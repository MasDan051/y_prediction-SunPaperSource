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-105" yWindow="-105" windowWidth="20730" windowHeight="11760" tabRatio="931" activeTab="10"/>
  </bookViews>
  <sheets>
    <sheet name="Report1" sheetId="39" r:id="rId1"/>
    <sheet name="GRAFIK" sheetId="49" r:id="rId2"/>
    <sheet name="Listrik" sheetId="45" r:id="rId3"/>
    <sheet name="Trim Rwd" sheetId="47" r:id="rId4"/>
    <sheet name="Efficiency1" sheetId="46" r:id="rId5"/>
    <sheet name="Efficiency2" sheetId="54" r:id="rId6"/>
    <sheet name="Chem" sheetId="1" r:id="rId7"/>
    <sheet name="BB" sheetId="2" r:id="rId8"/>
    <sheet name="RBP" sheetId="50" r:id="rId9"/>
    <sheet name="Sheet1" sheetId="53" r:id="rId10"/>
    <sheet name="summary" sheetId="52" r:id="rId11"/>
    <sheet name="31" sheetId="43" r:id="rId12"/>
    <sheet name="30" sheetId="4" r:id="rId13"/>
    <sheet name="29" sheetId="37" r:id="rId14"/>
    <sheet name="28" sheetId="6" r:id="rId15"/>
    <sheet name="27" sheetId="7" r:id="rId16"/>
    <sheet name="26" sheetId="8" r:id="rId17"/>
    <sheet name="25" sheetId="9" r:id="rId18"/>
    <sheet name="24" sheetId="10" r:id="rId19"/>
    <sheet name="23" sheetId="11" r:id="rId20"/>
    <sheet name="22" sheetId="12" r:id="rId21"/>
    <sheet name="21" sheetId="13" r:id="rId22"/>
    <sheet name="20" sheetId="14" r:id="rId23"/>
    <sheet name="19" sheetId="15" r:id="rId24"/>
    <sheet name="18" sheetId="16" r:id="rId25"/>
    <sheet name="17" sheetId="17" r:id="rId26"/>
    <sheet name="16" sheetId="18" r:id="rId27"/>
    <sheet name="15" sheetId="19" r:id="rId28"/>
    <sheet name="14" sheetId="20" r:id="rId29"/>
    <sheet name="13" sheetId="22" r:id="rId30"/>
    <sheet name="12" sheetId="21" r:id="rId31"/>
    <sheet name="11" sheetId="23" r:id="rId32"/>
    <sheet name="10" sheetId="24" r:id="rId33"/>
    <sheet name="9" sheetId="25" r:id="rId34"/>
    <sheet name="8" sheetId="26" r:id="rId35"/>
    <sheet name="7" sheetId="28" r:id="rId36"/>
    <sheet name="6" sheetId="27" r:id="rId37"/>
    <sheet name="5" sheetId="29" r:id="rId38"/>
    <sheet name="4" sheetId="30" r:id="rId39"/>
    <sheet name="3" sheetId="31" r:id="rId40"/>
    <sheet name="2" sheetId="32" r:id="rId41"/>
    <sheet name="1" sheetId="33" r:id="rId42"/>
  </sheets>
  <externalReferences>
    <externalReference r:id="rId43"/>
  </externalReferences>
  <definedNames>
    <definedName name="_xlnm._FilterDatabase" localSheetId="9" hidden="1">Sheet1!$B$1:$F$106</definedName>
    <definedName name="_xlnm.Print_Area" localSheetId="41">'1'!$A$2:$M$61</definedName>
    <definedName name="_xlnm.Print_Area" localSheetId="32">'10'!$A$2:$M$61</definedName>
    <definedName name="_xlnm.Print_Area" localSheetId="31">'11'!$A$2:$M$61</definedName>
    <definedName name="_xlnm.Print_Area" localSheetId="30">'12'!$A$2:$M$61</definedName>
    <definedName name="_xlnm.Print_Area" localSheetId="29">'13'!$A$1:$M$62</definedName>
    <definedName name="_xlnm.Print_Area" localSheetId="28">'14'!$A$1:$M$61</definedName>
    <definedName name="_xlnm.Print_Area" localSheetId="27">'15'!$A$1:$M$61</definedName>
    <definedName name="_xlnm.Print_Area" localSheetId="26">'16'!$A$1:$M$61</definedName>
    <definedName name="_xlnm.Print_Area" localSheetId="25">'17'!$A$1:$M$61</definedName>
    <definedName name="_xlnm.Print_Area" localSheetId="24">'18'!$A$1:$M$61</definedName>
    <definedName name="_xlnm.Print_Area" localSheetId="23">'19'!$A$1:$M$61</definedName>
    <definedName name="_xlnm.Print_Area" localSheetId="40">'2'!$A$2:$M$61</definedName>
    <definedName name="_xlnm.Print_Area" localSheetId="22">'20'!$A$1:$M$62</definedName>
    <definedName name="_xlnm.Print_Area" localSheetId="21">'21'!$A$1:$M$61</definedName>
    <definedName name="_xlnm.Print_Area" localSheetId="20">'22'!$A$1:$M$61</definedName>
    <definedName name="_xlnm.Print_Area" localSheetId="19">'23'!$A$1:$M$61</definedName>
    <definedName name="_xlnm.Print_Area" localSheetId="18">'24'!$A$1:$M$61</definedName>
    <definedName name="_xlnm.Print_Area" localSheetId="17">'25'!$A$1:$M$61</definedName>
    <definedName name="_xlnm.Print_Area" localSheetId="16">'26'!$A$1:$M$61</definedName>
    <definedName name="_xlnm.Print_Area" localSheetId="15">'27'!$A$1:$M$61</definedName>
    <definedName name="_xlnm.Print_Area" localSheetId="14">'28'!$A$1:$M$61</definedName>
    <definedName name="_xlnm.Print_Area" localSheetId="13">'29'!$A$1:$M$61</definedName>
    <definedName name="_xlnm.Print_Area" localSheetId="39">'3'!$A$1:$M$61</definedName>
    <definedName name="_xlnm.Print_Area" localSheetId="12">'30'!$A$1:$M$61</definedName>
    <definedName name="_xlnm.Print_Area" localSheetId="11">'31'!$A$1:$L$63</definedName>
    <definedName name="_xlnm.Print_Area" localSheetId="38">'4'!$A$1:$M$61</definedName>
    <definedName name="_xlnm.Print_Area" localSheetId="37">'5'!$A$1:$M$61</definedName>
    <definedName name="_xlnm.Print_Area" localSheetId="36">'6'!$A$2:$M$61</definedName>
    <definedName name="_xlnm.Print_Area" localSheetId="35">'7'!$A$2:$M$61</definedName>
    <definedName name="_xlnm.Print_Area" localSheetId="34">'8'!$A$2:$M$61</definedName>
    <definedName name="_xlnm.Print_Area" localSheetId="33">'9'!$A$1:$M$62</definedName>
    <definedName name="_xlnm.Print_Area" localSheetId="6">Chem!$CY$6:$DK$15</definedName>
    <definedName name="_xlnm.Print_Area" localSheetId="4">Efficiency1!$A$3:$X$94</definedName>
    <definedName name="_xlnm.Print_Area" localSheetId="5">Efficiency2!$A$3:$X$94</definedName>
    <definedName name="_xlnm.Print_Area" localSheetId="2">Listrik!$A$2:$AE$40</definedName>
    <definedName name="_xlnm.Print_Area" localSheetId="0">Report1!$A$2:$BE$41</definedName>
  </definedNames>
  <calcPr calcId="144525"/>
</workbook>
</file>

<file path=xl/calcChain.xml><?xml version="1.0" encoding="utf-8"?>
<calcChain xmlns="http://schemas.openxmlformats.org/spreadsheetml/2006/main">
  <c r="Q141" i="54" l="1"/>
  <c r="K57" i="33" l="1"/>
  <c r="J57" i="33"/>
  <c r="K56" i="33"/>
  <c r="J56" i="33"/>
  <c r="E53" i="33"/>
  <c r="D53" i="33"/>
  <c r="C53" i="33"/>
  <c r="E52" i="33"/>
  <c r="D52" i="33"/>
  <c r="C52" i="33"/>
  <c r="J51" i="33"/>
  <c r="I51" i="33"/>
  <c r="E51" i="33"/>
  <c r="D51" i="33"/>
  <c r="C51" i="33"/>
  <c r="J50" i="33"/>
  <c r="I50" i="33"/>
  <c r="E50" i="33"/>
  <c r="D50" i="33"/>
  <c r="C50" i="33"/>
  <c r="J49" i="33"/>
  <c r="E49" i="33"/>
  <c r="D49" i="33"/>
  <c r="C49" i="33"/>
  <c r="E48" i="33"/>
  <c r="D48" i="33"/>
  <c r="C48" i="33"/>
  <c r="E47" i="33"/>
  <c r="D47" i="33"/>
  <c r="C47" i="33"/>
  <c r="E46" i="33"/>
  <c r="D46" i="33"/>
  <c r="C46" i="33"/>
  <c r="M45" i="33"/>
  <c r="L45" i="33"/>
  <c r="J45" i="33"/>
  <c r="I45" i="33"/>
  <c r="E45" i="33"/>
  <c r="D45" i="33"/>
  <c r="C45" i="33"/>
  <c r="M44" i="33"/>
  <c r="L44" i="33"/>
  <c r="J44" i="33"/>
  <c r="I44" i="33"/>
  <c r="E44" i="33"/>
  <c r="D44" i="33"/>
  <c r="C44" i="33"/>
  <c r="M43" i="33"/>
  <c r="L43" i="33"/>
  <c r="J43" i="33"/>
  <c r="I43" i="33"/>
  <c r="E43" i="33"/>
  <c r="D43" i="33"/>
  <c r="C43" i="33"/>
  <c r="G42" i="33"/>
  <c r="F42" i="33"/>
  <c r="E42" i="33"/>
  <c r="D42" i="33"/>
  <c r="C42" i="33"/>
  <c r="J41" i="33"/>
  <c r="E41" i="33"/>
  <c r="D41" i="33"/>
  <c r="C41" i="33"/>
  <c r="J40" i="33"/>
  <c r="I40" i="33"/>
  <c r="E40" i="33"/>
  <c r="D40" i="33"/>
  <c r="C40" i="33"/>
  <c r="J39" i="33"/>
  <c r="E39" i="33"/>
  <c r="D39" i="33"/>
  <c r="C39" i="33"/>
  <c r="J38" i="33"/>
  <c r="I38" i="33"/>
  <c r="E38" i="33"/>
  <c r="D38" i="33"/>
  <c r="C38" i="33"/>
  <c r="J37" i="33"/>
  <c r="I37" i="33"/>
  <c r="E35" i="33"/>
  <c r="D35" i="33"/>
  <c r="C35" i="33"/>
  <c r="M34" i="33"/>
  <c r="L34" i="33"/>
  <c r="K34" i="33"/>
  <c r="F34" i="33"/>
  <c r="E34" i="33"/>
  <c r="D34" i="33"/>
  <c r="C34" i="33"/>
  <c r="E33" i="33"/>
  <c r="D33" i="33"/>
  <c r="C33" i="33"/>
  <c r="M32" i="33"/>
  <c r="F32" i="33"/>
  <c r="E32" i="33"/>
  <c r="D32" i="33"/>
  <c r="C32" i="33"/>
  <c r="M31" i="33"/>
  <c r="R30" i="33"/>
  <c r="Q30" i="33"/>
  <c r="M30" i="33"/>
  <c r="R29" i="33"/>
  <c r="Q29" i="33"/>
  <c r="P29" i="33"/>
  <c r="M29" i="33"/>
  <c r="R28" i="33"/>
  <c r="Q28" i="33"/>
  <c r="P28" i="33"/>
  <c r="O28" i="33"/>
  <c r="M28" i="33"/>
  <c r="R27" i="33"/>
  <c r="Q27" i="33"/>
  <c r="P27" i="33"/>
  <c r="O27" i="33"/>
  <c r="M27" i="33"/>
  <c r="R26" i="33"/>
  <c r="Q26" i="33"/>
  <c r="P26" i="33"/>
  <c r="O26" i="33"/>
  <c r="M26" i="33"/>
  <c r="M25" i="33"/>
  <c r="M24" i="33"/>
  <c r="E24" i="33"/>
  <c r="D24" i="33"/>
  <c r="C24" i="33"/>
  <c r="M23" i="33"/>
  <c r="F23" i="33"/>
  <c r="E23" i="33"/>
  <c r="D23" i="33"/>
  <c r="C23" i="33"/>
  <c r="M22" i="33"/>
  <c r="M21" i="33"/>
  <c r="M20" i="33"/>
  <c r="M19" i="33"/>
  <c r="M18" i="33"/>
  <c r="M17" i="33"/>
  <c r="M16" i="33"/>
  <c r="M15" i="33"/>
  <c r="E15" i="33"/>
  <c r="D15" i="33"/>
  <c r="C15" i="33"/>
  <c r="M14" i="33"/>
  <c r="F14" i="33"/>
  <c r="E14" i="33"/>
  <c r="D14" i="33"/>
  <c r="C14" i="33"/>
  <c r="M13" i="33"/>
  <c r="M12" i="33"/>
  <c r="M11" i="33"/>
  <c r="M10" i="33"/>
  <c r="M9" i="33"/>
  <c r="O8" i="33"/>
  <c r="M8" i="33"/>
  <c r="M7" i="33"/>
  <c r="K7" i="33"/>
  <c r="N6" i="33"/>
  <c r="K57" i="32"/>
  <c r="J57" i="32"/>
  <c r="K56" i="32"/>
  <c r="J56" i="32"/>
  <c r="E53" i="32"/>
  <c r="D53" i="32"/>
  <c r="C53" i="32"/>
  <c r="E52" i="32"/>
  <c r="D52" i="32"/>
  <c r="C52" i="32"/>
  <c r="J51" i="32"/>
  <c r="I51" i="32"/>
  <c r="E51" i="32"/>
  <c r="D51" i="32"/>
  <c r="C51" i="32"/>
  <c r="J50" i="32"/>
  <c r="I50" i="32"/>
  <c r="E50" i="32"/>
  <c r="D50" i="32"/>
  <c r="C50" i="32"/>
  <c r="J49" i="32"/>
  <c r="I49" i="32"/>
  <c r="E49" i="32"/>
  <c r="D49" i="32"/>
  <c r="C49" i="32"/>
  <c r="E48" i="32"/>
  <c r="D48" i="32"/>
  <c r="C48" i="32"/>
  <c r="E47" i="32"/>
  <c r="D47" i="32"/>
  <c r="C47" i="32"/>
  <c r="E46" i="32"/>
  <c r="D46" i="32"/>
  <c r="C46" i="32"/>
  <c r="M45" i="32"/>
  <c r="L45" i="32"/>
  <c r="J45" i="32"/>
  <c r="I45" i="32"/>
  <c r="E45" i="32"/>
  <c r="D45" i="32"/>
  <c r="C45" i="32"/>
  <c r="M44" i="32"/>
  <c r="L44" i="32"/>
  <c r="J44" i="32"/>
  <c r="I44" i="32"/>
  <c r="E44" i="32"/>
  <c r="D44" i="32"/>
  <c r="C44" i="32"/>
  <c r="M43" i="32"/>
  <c r="L43" i="32"/>
  <c r="J43" i="32"/>
  <c r="I43" i="32"/>
  <c r="E43" i="32"/>
  <c r="D43" i="32"/>
  <c r="C43" i="32"/>
  <c r="G42" i="32"/>
  <c r="F42" i="32"/>
  <c r="E42" i="32"/>
  <c r="D42" i="32"/>
  <c r="C42" i="32"/>
  <c r="J41" i="32"/>
  <c r="E41" i="32"/>
  <c r="D41" i="32"/>
  <c r="C41" i="32"/>
  <c r="J40" i="32"/>
  <c r="I40" i="32"/>
  <c r="G40" i="32"/>
  <c r="E40" i="32"/>
  <c r="D40" i="32"/>
  <c r="C40" i="32"/>
  <c r="N39" i="32"/>
  <c r="J39" i="32"/>
  <c r="G39" i="32"/>
  <c r="E39" i="32"/>
  <c r="D39" i="32"/>
  <c r="C39" i="32"/>
  <c r="J38" i="32"/>
  <c r="I38" i="32"/>
  <c r="E38" i="32"/>
  <c r="D38" i="32"/>
  <c r="C38" i="32"/>
  <c r="J37" i="32"/>
  <c r="I37" i="32"/>
  <c r="E35" i="32"/>
  <c r="D35" i="32"/>
  <c r="C35" i="32"/>
  <c r="M34" i="32"/>
  <c r="L34" i="32"/>
  <c r="K34" i="32"/>
  <c r="F34" i="32"/>
  <c r="E34" i="32"/>
  <c r="D34" i="32"/>
  <c r="C34" i="32"/>
  <c r="E33" i="32"/>
  <c r="D33" i="32"/>
  <c r="C33" i="32"/>
  <c r="M32" i="32"/>
  <c r="J32" i="32"/>
  <c r="F32" i="32"/>
  <c r="E32" i="32"/>
  <c r="D32" i="32"/>
  <c r="C32" i="32"/>
  <c r="M31" i="32"/>
  <c r="J31" i="32"/>
  <c r="M30" i="32"/>
  <c r="J30" i="32"/>
  <c r="M29" i="32"/>
  <c r="J29" i="32"/>
  <c r="M28" i="32"/>
  <c r="J28" i="32"/>
  <c r="M27" i="32"/>
  <c r="J27" i="32"/>
  <c r="M26" i="32"/>
  <c r="J26" i="32"/>
  <c r="M25" i="32"/>
  <c r="J25" i="32"/>
  <c r="M24" i="32"/>
  <c r="J24" i="32"/>
  <c r="E24" i="32"/>
  <c r="D24" i="32"/>
  <c r="C24" i="32"/>
  <c r="M23" i="32"/>
  <c r="J23" i="32"/>
  <c r="F23" i="32"/>
  <c r="E23" i="32"/>
  <c r="D23" i="32"/>
  <c r="C23" i="32"/>
  <c r="M22" i="32"/>
  <c r="J22" i="32"/>
  <c r="M21" i="32"/>
  <c r="J21" i="32"/>
  <c r="M20" i="32"/>
  <c r="J20" i="32"/>
  <c r="M19" i="32"/>
  <c r="J19" i="32"/>
  <c r="F19" i="32"/>
  <c r="M18" i="32"/>
  <c r="J18" i="32"/>
  <c r="M17" i="32"/>
  <c r="J17" i="32"/>
  <c r="C17" i="32"/>
  <c r="M16" i="32"/>
  <c r="J16" i="32"/>
  <c r="M15" i="32"/>
  <c r="J15" i="32"/>
  <c r="E15" i="32"/>
  <c r="D15" i="32"/>
  <c r="C15" i="32"/>
  <c r="M14" i="32"/>
  <c r="J14" i="32"/>
  <c r="F14" i="32"/>
  <c r="E14" i="32"/>
  <c r="D14" i="32"/>
  <c r="C14" i="32"/>
  <c r="M13" i="32"/>
  <c r="J13" i="32"/>
  <c r="R12" i="32"/>
  <c r="Q12" i="32"/>
  <c r="M12" i="32"/>
  <c r="J12" i="32"/>
  <c r="R11" i="32"/>
  <c r="Q11" i="32"/>
  <c r="P11" i="32"/>
  <c r="M11" i="32"/>
  <c r="J11" i="32"/>
  <c r="R10" i="32"/>
  <c r="Q10" i="32"/>
  <c r="P10" i="32"/>
  <c r="O10" i="32"/>
  <c r="M10" i="32"/>
  <c r="J10" i="32"/>
  <c r="R9" i="32"/>
  <c r="Q9" i="32"/>
  <c r="P9" i="32"/>
  <c r="O9" i="32"/>
  <c r="M9" i="32"/>
  <c r="K9" i="32"/>
  <c r="R8" i="32"/>
  <c r="Q8" i="32"/>
  <c r="O8" i="32"/>
  <c r="M8" i="32"/>
  <c r="K8" i="32"/>
  <c r="M7" i="32"/>
  <c r="K7" i="32"/>
  <c r="J7" i="32"/>
  <c r="H4" i="32"/>
  <c r="K57" i="31"/>
  <c r="J57" i="31"/>
  <c r="K56" i="31"/>
  <c r="J56" i="31"/>
  <c r="E53" i="31"/>
  <c r="D53" i="31"/>
  <c r="C53" i="31"/>
  <c r="E52" i="31"/>
  <c r="D52" i="31"/>
  <c r="C52" i="31"/>
  <c r="J51" i="31"/>
  <c r="I51" i="31"/>
  <c r="E51" i="31"/>
  <c r="D51" i="31"/>
  <c r="C51" i="31"/>
  <c r="J50" i="31"/>
  <c r="I50" i="31"/>
  <c r="E50" i="31"/>
  <c r="D50" i="31"/>
  <c r="C50" i="31"/>
  <c r="J49" i="31"/>
  <c r="I49" i="31"/>
  <c r="E49" i="31"/>
  <c r="D49" i="31"/>
  <c r="C49" i="31"/>
  <c r="E48" i="31"/>
  <c r="D48" i="31"/>
  <c r="C48" i="31"/>
  <c r="E47" i="31"/>
  <c r="D47" i="31"/>
  <c r="C47" i="31"/>
  <c r="E46" i="31"/>
  <c r="D46" i="31"/>
  <c r="C46" i="31"/>
  <c r="M45" i="31"/>
  <c r="L45" i="31"/>
  <c r="J45" i="31"/>
  <c r="I45" i="31"/>
  <c r="E45" i="31"/>
  <c r="D45" i="31"/>
  <c r="C45" i="31"/>
  <c r="M44" i="31"/>
  <c r="L44" i="31"/>
  <c r="J44" i="31"/>
  <c r="I44" i="31"/>
  <c r="E44" i="31"/>
  <c r="D44" i="31"/>
  <c r="C44" i="31"/>
  <c r="M43" i="31"/>
  <c r="L43" i="31"/>
  <c r="J43" i="31"/>
  <c r="I43" i="31"/>
  <c r="E43" i="31"/>
  <c r="D43" i="31"/>
  <c r="C43" i="31"/>
  <c r="G42" i="31"/>
  <c r="F42" i="31"/>
  <c r="E42" i="31"/>
  <c r="D42" i="31"/>
  <c r="C42" i="31"/>
  <c r="J41" i="31"/>
  <c r="E41" i="31"/>
  <c r="D41" i="31"/>
  <c r="C41" i="31"/>
  <c r="J40" i="31"/>
  <c r="I40" i="31"/>
  <c r="G40" i="31"/>
  <c r="E40" i="31"/>
  <c r="D40" i="31"/>
  <c r="C40" i="31"/>
  <c r="J39" i="31"/>
  <c r="G39" i="31"/>
  <c r="E39" i="31"/>
  <c r="D39" i="31"/>
  <c r="C39" i="31"/>
  <c r="J38" i="31"/>
  <c r="I38" i="31"/>
  <c r="G38" i="31"/>
  <c r="E38" i="31"/>
  <c r="D38" i="31"/>
  <c r="C38" i="31"/>
  <c r="J37" i="31"/>
  <c r="I37" i="31"/>
  <c r="E35" i="31"/>
  <c r="D35" i="31"/>
  <c r="C35" i="31"/>
  <c r="M34" i="31"/>
  <c r="L34" i="31"/>
  <c r="K34" i="31"/>
  <c r="F34" i="31"/>
  <c r="E34" i="31"/>
  <c r="D34" i="31"/>
  <c r="C34" i="31"/>
  <c r="E33" i="31"/>
  <c r="D33" i="31"/>
  <c r="C33" i="31"/>
  <c r="M32" i="31"/>
  <c r="J32" i="31"/>
  <c r="F32" i="31"/>
  <c r="E32" i="31"/>
  <c r="D32" i="31"/>
  <c r="C32" i="31"/>
  <c r="M31" i="31"/>
  <c r="J31" i="31"/>
  <c r="M30" i="31"/>
  <c r="J30" i="31"/>
  <c r="M29" i="31"/>
  <c r="J29" i="31"/>
  <c r="M28" i="31"/>
  <c r="J28" i="31"/>
  <c r="M27" i="31"/>
  <c r="J27" i="31"/>
  <c r="M26" i="31"/>
  <c r="J26" i="31"/>
  <c r="M25" i="31"/>
  <c r="J25" i="31"/>
  <c r="M24" i="31"/>
  <c r="J24" i="31"/>
  <c r="E24" i="31"/>
  <c r="D24" i="31"/>
  <c r="C24" i="31"/>
  <c r="M23" i="31"/>
  <c r="J23" i="31"/>
  <c r="F23" i="31"/>
  <c r="E23" i="31"/>
  <c r="D23" i="31"/>
  <c r="C23" i="31"/>
  <c r="M22" i="31"/>
  <c r="J22" i="31"/>
  <c r="M21" i="31"/>
  <c r="J21" i="31"/>
  <c r="M20" i="31"/>
  <c r="J20" i="31"/>
  <c r="M19" i="31"/>
  <c r="J19" i="31"/>
  <c r="M18" i="31"/>
  <c r="J18" i="31"/>
  <c r="M17" i="31"/>
  <c r="J17" i="31"/>
  <c r="M16" i="31"/>
  <c r="J16" i="31"/>
  <c r="M15" i="31"/>
  <c r="J15" i="31"/>
  <c r="E15" i="31"/>
  <c r="D15" i="31"/>
  <c r="C15" i="31"/>
  <c r="M14" i="31"/>
  <c r="J14" i="31"/>
  <c r="F14" i="31"/>
  <c r="E14" i="31"/>
  <c r="D14" i="31"/>
  <c r="C14" i="31"/>
  <c r="M13" i="31"/>
  <c r="J13" i="31"/>
  <c r="M12" i="31"/>
  <c r="J12" i="31"/>
  <c r="M11" i="31"/>
  <c r="J11" i="31"/>
  <c r="M10" i="31"/>
  <c r="J10" i="31"/>
  <c r="M9" i="31"/>
  <c r="K9" i="31"/>
  <c r="J9" i="31"/>
  <c r="O8" i="31"/>
  <c r="M8" i="31"/>
  <c r="J8" i="31"/>
  <c r="M7" i="31"/>
  <c r="J7" i="31"/>
  <c r="N6" i="31"/>
  <c r="H4" i="31"/>
  <c r="K57" i="30"/>
  <c r="J57" i="30"/>
  <c r="K56" i="30"/>
  <c r="J56" i="30"/>
  <c r="E53" i="30"/>
  <c r="D53" i="30"/>
  <c r="C53" i="30"/>
  <c r="E52" i="30"/>
  <c r="D52" i="30"/>
  <c r="C52" i="30"/>
  <c r="J51" i="30"/>
  <c r="I51" i="30"/>
  <c r="E51" i="30"/>
  <c r="D51" i="30"/>
  <c r="C51" i="30"/>
  <c r="J50" i="30"/>
  <c r="I50" i="30"/>
  <c r="E50" i="30"/>
  <c r="D50" i="30"/>
  <c r="C50" i="30"/>
  <c r="J49" i="30"/>
  <c r="I49" i="30"/>
  <c r="E49" i="30"/>
  <c r="D49" i="30"/>
  <c r="C49" i="30"/>
  <c r="E48" i="30"/>
  <c r="D48" i="30"/>
  <c r="C48" i="30"/>
  <c r="E47" i="30"/>
  <c r="D47" i="30"/>
  <c r="C47" i="30"/>
  <c r="E46" i="30"/>
  <c r="D46" i="30"/>
  <c r="C46" i="30"/>
  <c r="M45" i="30"/>
  <c r="L45" i="30"/>
  <c r="J45" i="30"/>
  <c r="I45" i="30"/>
  <c r="E45" i="30"/>
  <c r="D45" i="30"/>
  <c r="C45" i="30"/>
  <c r="M44" i="30"/>
  <c r="L44" i="30"/>
  <c r="J44" i="30"/>
  <c r="I44" i="30"/>
  <c r="E44" i="30"/>
  <c r="D44" i="30"/>
  <c r="C44" i="30"/>
  <c r="M43" i="30"/>
  <c r="L43" i="30"/>
  <c r="J43" i="30"/>
  <c r="I43" i="30"/>
  <c r="E43" i="30"/>
  <c r="D43" i="30"/>
  <c r="C43" i="30"/>
  <c r="G42" i="30"/>
  <c r="F42" i="30"/>
  <c r="E42" i="30"/>
  <c r="D42" i="30"/>
  <c r="C42" i="30"/>
  <c r="J41" i="30"/>
  <c r="E41" i="30"/>
  <c r="D41" i="30"/>
  <c r="C41" i="30"/>
  <c r="J40" i="30"/>
  <c r="I40" i="30"/>
  <c r="E40" i="30"/>
  <c r="D40" i="30"/>
  <c r="C40" i="30"/>
  <c r="J39" i="30"/>
  <c r="E39" i="30"/>
  <c r="D39" i="30"/>
  <c r="C39" i="30"/>
  <c r="J38" i="30"/>
  <c r="E38" i="30"/>
  <c r="D38" i="30"/>
  <c r="C38" i="30"/>
  <c r="J37" i="30"/>
  <c r="I37" i="30"/>
  <c r="E35" i="30"/>
  <c r="D35" i="30"/>
  <c r="C35" i="30"/>
  <c r="M34" i="30"/>
  <c r="L34" i="30"/>
  <c r="K34" i="30"/>
  <c r="F34" i="30"/>
  <c r="E34" i="30"/>
  <c r="D34" i="30"/>
  <c r="C34" i="30"/>
  <c r="E33" i="30"/>
  <c r="D33" i="30"/>
  <c r="C33" i="30"/>
  <c r="M32" i="30"/>
  <c r="J32" i="30"/>
  <c r="F32" i="30"/>
  <c r="E32" i="30"/>
  <c r="D32" i="30"/>
  <c r="C32" i="30"/>
  <c r="M31" i="30"/>
  <c r="J31" i="30"/>
  <c r="M30" i="30"/>
  <c r="J30" i="30"/>
  <c r="M29" i="30"/>
  <c r="J29" i="30"/>
  <c r="M28" i="30"/>
  <c r="J28" i="30"/>
  <c r="M27" i="30"/>
  <c r="J27" i="30"/>
  <c r="F27" i="30"/>
  <c r="M26" i="30"/>
  <c r="J26" i="30"/>
  <c r="M25" i="30"/>
  <c r="J25" i="30"/>
  <c r="M24" i="30"/>
  <c r="J24" i="30"/>
  <c r="E24" i="30"/>
  <c r="D24" i="30"/>
  <c r="C24" i="30"/>
  <c r="M23" i="30"/>
  <c r="J23" i="30"/>
  <c r="F23" i="30"/>
  <c r="E23" i="30"/>
  <c r="D23" i="30"/>
  <c r="C23" i="30"/>
  <c r="M22" i="30"/>
  <c r="J22" i="30"/>
  <c r="M21" i="30"/>
  <c r="J21" i="30"/>
  <c r="M20" i="30"/>
  <c r="J20" i="30"/>
  <c r="M19" i="30"/>
  <c r="J19" i="30"/>
  <c r="M18" i="30"/>
  <c r="J18" i="30"/>
  <c r="M17" i="30"/>
  <c r="J17" i="30"/>
  <c r="M16" i="30"/>
  <c r="J16" i="30"/>
  <c r="M15" i="30"/>
  <c r="J15" i="30"/>
  <c r="E15" i="30"/>
  <c r="D15" i="30"/>
  <c r="C15" i="30"/>
  <c r="M14" i="30"/>
  <c r="J14" i="30"/>
  <c r="F14" i="30"/>
  <c r="E14" i="30"/>
  <c r="D14" i="30"/>
  <c r="C14" i="30"/>
  <c r="M13" i="30"/>
  <c r="J13" i="30"/>
  <c r="M12" i="30"/>
  <c r="J12" i="30"/>
  <c r="M11" i="30"/>
  <c r="J11" i="30"/>
  <c r="M10" i="30"/>
  <c r="J10" i="30"/>
  <c r="M9" i="30"/>
  <c r="J9" i="30"/>
  <c r="M8" i="30"/>
  <c r="J8" i="30"/>
  <c r="M7" i="30"/>
  <c r="J7" i="30"/>
  <c r="H4" i="30"/>
  <c r="K57" i="29"/>
  <c r="J57" i="29"/>
  <c r="K56" i="29"/>
  <c r="J56" i="29"/>
  <c r="E53" i="29"/>
  <c r="D53" i="29"/>
  <c r="C53" i="29"/>
  <c r="E52" i="29"/>
  <c r="D52" i="29"/>
  <c r="C52" i="29"/>
  <c r="J51" i="29"/>
  <c r="I51" i="29"/>
  <c r="E51" i="29"/>
  <c r="D51" i="29"/>
  <c r="C51" i="29"/>
  <c r="J50" i="29"/>
  <c r="I50" i="29"/>
  <c r="E50" i="29"/>
  <c r="D50" i="29"/>
  <c r="C50" i="29"/>
  <c r="J49" i="29"/>
  <c r="I49" i="29"/>
  <c r="E49" i="29"/>
  <c r="D49" i="29"/>
  <c r="C49" i="29"/>
  <c r="E48" i="29"/>
  <c r="D48" i="29"/>
  <c r="C48" i="29"/>
  <c r="E47" i="29"/>
  <c r="D47" i="29"/>
  <c r="C47" i="29"/>
  <c r="E46" i="29"/>
  <c r="D46" i="29"/>
  <c r="C46" i="29"/>
  <c r="M45" i="29"/>
  <c r="L45" i="29"/>
  <c r="J45" i="29"/>
  <c r="I45" i="29"/>
  <c r="E45" i="29"/>
  <c r="D45" i="29"/>
  <c r="C45" i="29"/>
  <c r="M44" i="29"/>
  <c r="L44" i="29"/>
  <c r="J44" i="29"/>
  <c r="I44" i="29"/>
  <c r="E44" i="29"/>
  <c r="D44" i="29"/>
  <c r="C44" i="29"/>
  <c r="M43" i="29"/>
  <c r="L43" i="29"/>
  <c r="J43" i="29"/>
  <c r="I43" i="29"/>
  <c r="E43" i="29"/>
  <c r="D43" i="29"/>
  <c r="C43" i="29"/>
  <c r="G42" i="29"/>
  <c r="F42" i="29"/>
  <c r="E42" i="29"/>
  <c r="D42" i="29"/>
  <c r="C42" i="29"/>
  <c r="J41" i="29"/>
  <c r="E41" i="29"/>
  <c r="D41" i="29"/>
  <c r="C41" i="29"/>
  <c r="J40" i="29"/>
  <c r="I40" i="29"/>
  <c r="E40" i="29"/>
  <c r="D40" i="29"/>
  <c r="C40" i="29"/>
  <c r="J39" i="29"/>
  <c r="E39" i="29"/>
  <c r="D39" i="29"/>
  <c r="C39" i="29"/>
  <c r="J38" i="29"/>
  <c r="I38" i="29"/>
  <c r="E38" i="29"/>
  <c r="D38" i="29"/>
  <c r="C38" i="29"/>
  <c r="J37" i="29"/>
  <c r="I37" i="29"/>
  <c r="E35" i="29"/>
  <c r="D35" i="29"/>
  <c r="C35" i="29"/>
  <c r="M34" i="29"/>
  <c r="L34" i="29"/>
  <c r="K34" i="29"/>
  <c r="F34" i="29"/>
  <c r="E34" i="29"/>
  <c r="D34" i="29"/>
  <c r="C34" i="29"/>
  <c r="E33" i="29"/>
  <c r="D33" i="29"/>
  <c r="C33" i="29"/>
  <c r="M32" i="29"/>
  <c r="J32" i="29"/>
  <c r="F32" i="29"/>
  <c r="E32" i="29"/>
  <c r="D32" i="29"/>
  <c r="C32" i="29"/>
  <c r="M31" i="29"/>
  <c r="J31" i="29"/>
  <c r="M30" i="29"/>
  <c r="J30" i="29"/>
  <c r="M29" i="29"/>
  <c r="J29" i="29"/>
  <c r="R28" i="29"/>
  <c r="Q28" i="29"/>
  <c r="M28" i="29"/>
  <c r="J28" i="29"/>
  <c r="R27" i="29"/>
  <c r="Q27" i="29"/>
  <c r="P27" i="29"/>
  <c r="M27" i="29"/>
  <c r="J27" i="29"/>
  <c r="R26" i="29"/>
  <c r="Q26" i="29"/>
  <c r="P26" i="29"/>
  <c r="O26" i="29"/>
  <c r="M26" i="29"/>
  <c r="J26" i="29"/>
  <c r="R25" i="29"/>
  <c r="Q25" i="29"/>
  <c r="P25" i="29"/>
  <c r="O25" i="29"/>
  <c r="M25" i="29"/>
  <c r="J25" i="29"/>
  <c r="M24" i="29"/>
  <c r="J24" i="29"/>
  <c r="E24" i="29"/>
  <c r="D24" i="29"/>
  <c r="C24" i="29"/>
  <c r="M23" i="29"/>
  <c r="J23" i="29"/>
  <c r="F23" i="29"/>
  <c r="E23" i="29"/>
  <c r="D23" i="29"/>
  <c r="C23" i="29"/>
  <c r="M22" i="29"/>
  <c r="J22" i="29"/>
  <c r="M21" i="29"/>
  <c r="J21" i="29"/>
  <c r="M20" i="29"/>
  <c r="J20" i="29"/>
  <c r="M19" i="29"/>
  <c r="J19" i="29"/>
  <c r="M18" i="29"/>
  <c r="J18" i="29"/>
  <c r="O17" i="29"/>
  <c r="M17" i="29"/>
  <c r="J17" i="29"/>
  <c r="M16" i="29"/>
  <c r="J16" i="29"/>
  <c r="M15" i="29"/>
  <c r="J15" i="29"/>
  <c r="E15" i="29"/>
  <c r="D15" i="29"/>
  <c r="C15" i="29"/>
  <c r="M14" i="29"/>
  <c r="J14" i="29"/>
  <c r="F14" i="29"/>
  <c r="E14" i="29"/>
  <c r="D14" i="29"/>
  <c r="C14" i="29"/>
  <c r="M13" i="29"/>
  <c r="J13" i="29"/>
  <c r="M12" i="29"/>
  <c r="J12" i="29"/>
  <c r="M11" i="29"/>
  <c r="J11" i="29"/>
  <c r="M10" i="29"/>
  <c r="K10" i="29"/>
  <c r="F10" i="29"/>
  <c r="M9" i="29"/>
  <c r="J9" i="29"/>
  <c r="P8" i="29"/>
  <c r="O8" i="29"/>
  <c r="M8" i="29"/>
  <c r="J8" i="29"/>
  <c r="M7" i="29"/>
  <c r="J7" i="29"/>
  <c r="N6" i="29"/>
  <c r="H4" i="29"/>
  <c r="K57" i="27"/>
  <c r="J57" i="27"/>
  <c r="K56" i="27"/>
  <c r="J56" i="27"/>
  <c r="E53" i="27"/>
  <c r="D53" i="27"/>
  <c r="C53" i="27"/>
  <c r="E52" i="27"/>
  <c r="D52" i="27"/>
  <c r="C52" i="27"/>
  <c r="J51" i="27"/>
  <c r="I51" i="27"/>
  <c r="E51" i="27"/>
  <c r="D51" i="27"/>
  <c r="C51" i="27"/>
  <c r="J50" i="27"/>
  <c r="I50" i="27"/>
  <c r="E50" i="27"/>
  <c r="D50" i="27"/>
  <c r="C50" i="27"/>
  <c r="J49" i="27"/>
  <c r="I49" i="27"/>
  <c r="E49" i="27"/>
  <c r="D49" i="27"/>
  <c r="C49" i="27"/>
  <c r="E48" i="27"/>
  <c r="D48" i="27"/>
  <c r="C48" i="27"/>
  <c r="E47" i="27"/>
  <c r="D47" i="27"/>
  <c r="C47" i="27"/>
  <c r="E46" i="27"/>
  <c r="D46" i="27"/>
  <c r="C46" i="27"/>
  <c r="M45" i="27"/>
  <c r="L45" i="27"/>
  <c r="J45" i="27"/>
  <c r="I45" i="27"/>
  <c r="E45" i="27"/>
  <c r="D45" i="27"/>
  <c r="C45" i="27"/>
  <c r="M44" i="27"/>
  <c r="L44" i="27"/>
  <c r="J44" i="27"/>
  <c r="I44" i="27"/>
  <c r="E44" i="27"/>
  <c r="D44" i="27"/>
  <c r="C44" i="27"/>
  <c r="M43" i="27"/>
  <c r="L43" i="27"/>
  <c r="J43" i="27"/>
  <c r="I43" i="27"/>
  <c r="E43" i="27"/>
  <c r="D43" i="27"/>
  <c r="C43" i="27"/>
  <c r="G42" i="27"/>
  <c r="F42" i="27"/>
  <c r="E42" i="27"/>
  <c r="D42" i="27"/>
  <c r="C42" i="27"/>
  <c r="J41" i="27"/>
  <c r="E41" i="27"/>
  <c r="D41" i="27"/>
  <c r="C41" i="27"/>
  <c r="J40" i="27"/>
  <c r="I40" i="27"/>
  <c r="G40" i="27"/>
  <c r="E40" i="27"/>
  <c r="D40" i="27"/>
  <c r="C40" i="27"/>
  <c r="J39" i="27"/>
  <c r="G39" i="27"/>
  <c r="E39" i="27"/>
  <c r="D39" i="27"/>
  <c r="C39" i="27"/>
  <c r="N38" i="27"/>
  <c r="J38" i="27"/>
  <c r="I38" i="27"/>
  <c r="E38" i="27"/>
  <c r="D38" i="27"/>
  <c r="C38" i="27"/>
  <c r="N37" i="27"/>
  <c r="J37" i="27"/>
  <c r="I37" i="27"/>
  <c r="E35" i="27"/>
  <c r="D35" i="27"/>
  <c r="C35" i="27"/>
  <c r="M34" i="27"/>
  <c r="L34" i="27"/>
  <c r="K34" i="27"/>
  <c r="F34" i="27"/>
  <c r="E34" i="27"/>
  <c r="D34" i="27"/>
  <c r="C34" i="27"/>
  <c r="E33" i="27"/>
  <c r="D33" i="27"/>
  <c r="C33" i="27"/>
  <c r="M32" i="27"/>
  <c r="J32" i="27"/>
  <c r="F32" i="27"/>
  <c r="E32" i="27"/>
  <c r="D32" i="27"/>
  <c r="C32" i="27"/>
  <c r="M31" i="27"/>
  <c r="J31" i="27"/>
  <c r="M30" i="27"/>
  <c r="J30" i="27"/>
  <c r="M29" i="27"/>
  <c r="J29" i="27"/>
  <c r="M28" i="27"/>
  <c r="J28" i="27"/>
  <c r="M27" i="27"/>
  <c r="J27" i="27"/>
  <c r="M26" i="27"/>
  <c r="J26" i="27"/>
  <c r="M25" i="27"/>
  <c r="J25" i="27"/>
  <c r="M24" i="27"/>
  <c r="J24" i="27"/>
  <c r="E24" i="27"/>
  <c r="D24" i="27"/>
  <c r="C24" i="27"/>
  <c r="M23" i="27"/>
  <c r="J23" i="27"/>
  <c r="F23" i="27"/>
  <c r="E23" i="27"/>
  <c r="D23" i="27"/>
  <c r="C23" i="27"/>
  <c r="M22" i="27"/>
  <c r="J22" i="27"/>
  <c r="M21" i="27"/>
  <c r="J21" i="27"/>
  <c r="M20" i="27"/>
  <c r="J20" i="27"/>
  <c r="M19" i="27"/>
  <c r="J19" i="27"/>
  <c r="M18" i="27"/>
  <c r="J18" i="27"/>
  <c r="M17" i="27"/>
  <c r="J17" i="27"/>
  <c r="M16" i="27"/>
  <c r="J16" i="27"/>
  <c r="M15" i="27"/>
  <c r="J15" i="27"/>
  <c r="E15" i="27"/>
  <c r="D15" i="27"/>
  <c r="C15" i="27"/>
  <c r="M14" i="27"/>
  <c r="J14" i="27"/>
  <c r="F14" i="27"/>
  <c r="E14" i="27"/>
  <c r="D14" i="27"/>
  <c r="C14" i="27"/>
  <c r="M13" i="27"/>
  <c r="J13" i="27"/>
  <c r="M12" i="27"/>
  <c r="J12" i="27"/>
  <c r="R11" i="27"/>
  <c r="Q11" i="27"/>
  <c r="M11" i="27"/>
  <c r="K11" i="27"/>
  <c r="R10" i="27"/>
  <c r="Q10" i="27"/>
  <c r="P10" i="27"/>
  <c r="M10" i="27"/>
  <c r="K10" i="27"/>
  <c r="J10" i="27"/>
  <c r="R9" i="27"/>
  <c r="Q9" i="27"/>
  <c r="P9" i="27"/>
  <c r="O9" i="27"/>
  <c r="M9" i="27"/>
  <c r="J9" i="27"/>
  <c r="R8" i="27"/>
  <c r="Q8" i="27"/>
  <c r="P8" i="27"/>
  <c r="O8" i="27"/>
  <c r="M8" i="27"/>
  <c r="J8" i="27"/>
  <c r="M7" i="27"/>
  <c r="J7" i="27"/>
  <c r="N6" i="27"/>
  <c r="H4" i="27"/>
  <c r="K57" i="28"/>
  <c r="J57" i="28"/>
  <c r="K56" i="28"/>
  <c r="J56" i="28"/>
  <c r="E53" i="28"/>
  <c r="D53" i="28"/>
  <c r="C53" i="28"/>
  <c r="E52" i="28"/>
  <c r="D52" i="28"/>
  <c r="C52" i="28"/>
  <c r="J51" i="28"/>
  <c r="I51" i="28"/>
  <c r="E51" i="28"/>
  <c r="D51" i="28"/>
  <c r="C51" i="28"/>
  <c r="J50" i="28"/>
  <c r="I50" i="28"/>
  <c r="E50" i="28"/>
  <c r="D50" i="28"/>
  <c r="C50" i="28"/>
  <c r="J49" i="28"/>
  <c r="I49" i="28"/>
  <c r="E49" i="28"/>
  <c r="D49" i="28"/>
  <c r="C49" i="28"/>
  <c r="E48" i="28"/>
  <c r="D48" i="28"/>
  <c r="C48" i="28"/>
  <c r="E47" i="28"/>
  <c r="D47" i="28"/>
  <c r="C47" i="28"/>
  <c r="E46" i="28"/>
  <c r="D46" i="28"/>
  <c r="C46" i="28"/>
  <c r="M45" i="28"/>
  <c r="L45" i="28"/>
  <c r="J45" i="28"/>
  <c r="I45" i="28"/>
  <c r="E45" i="28"/>
  <c r="D45" i="28"/>
  <c r="C45" i="28"/>
  <c r="M44" i="28"/>
  <c r="L44" i="28"/>
  <c r="J44" i="28"/>
  <c r="I44" i="28"/>
  <c r="E44" i="28"/>
  <c r="D44" i="28"/>
  <c r="C44" i="28"/>
  <c r="M43" i="28"/>
  <c r="L43" i="28"/>
  <c r="J43" i="28"/>
  <c r="I43" i="28"/>
  <c r="E43" i="28"/>
  <c r="D43" i="28"/>
  <c r="C43" i="28"/>
  <c r="G42" i="28"/>
  <c r="F42" i="28"/>
  <c r="E42" i="28"/>
  <c r="D42" i="28"/>
  <c r="C42" i="28"/>
  <c r="J41" i="28"/>
  <c r="E41" i="28"/>
  <c r="D41" i="28"/>
  <c r="C41" i="28"/>
  <c r="J40" i="28"/>
  <c r="I40" i="28"/>
  <c r="G40" i="28"/>
  <c r="E40" i="28"/>
  <c r="D40" i="28"/>
  <c r="C40" i="28"/>
  <c r="J39" i="28"/>
  <c r="G39" i="28"/>
  <c r="E39" i="28"/>
  <c r="D39" i="28"/>
  <c r="C39" i="28"/>
  <c r="J38" i="28"/>
  <c r="I38" i="28"/>
  <c r="G38" i="28"/>
  <c r="E38" i="28"/>
  <c r="D38" i="28"/>
  <c r="C38" i="28"/>
  <c r="J37" i="28"/>
  <c r="I37" i="28"/>
  <c r="E35" i="28"/>
  <c r="D35" i="28"/>
  <c r="C35" i="28"/>
  <c r="M34" i="28"/>
  <c r="L34" i="28"/>
  <c r="K34" i="28"/>
  <c r="F34" i="28"/>
  <c r="E34" i="28"/>
  <c r="D34" i="28"/>
  <c r="C34" i="28"/>
  <c r="E33" i="28"/>
  <c r="D33" i="28"/>
  <c r="C33" i="28"/>
  <c r="M32" i="28"/>
  <c r="J32" i="28"/>
  <c r="F32" i="28"/>
  <c r="E32" i="28"/>
  <c r="D32" i="28"/>
  <c r="C32" i="28"/>
  <c r="M31" i="28"/>
  <c r="J31" i="28"/>
  <c r="M30" i="28"/>
  <c r="J30" i="28"/>
  <c r="M29" i="28"/>
  <c r="J29" i="28"/>
  <c r="M28" i="28"/>
  <c r="J28" i="28"/>
  <c r="M27" i="28"/>
  <c r="J27" i="28"/>
  <c r="M26" i="28"/>
  <c r="J26" i="28"/>
  <c r="M25" i="28"/>
  <c r="J25" i="28"/>
  <c r="M24" i="28"/>
  <c r="J24" i="28"/>
  <c r="E24" i="28"/>
  <c r="D24" i="28"/>
  <c r="C24" i="28"/>
  <c r="M23" i="28"/>
  <c r="J23" i="28"/>
  <c r="F23" i="28"/>
  <c r="E23" i="28"/>
  <c r="D23" i="28"/>
  <c r="C23" i="28"/>
  <c r="M22" i="28"/>
  <c r="J22" i="28"/>
  <c r="M21" i="28"/>
  <c r="J21" i="28"/>
  <c r="M20" i="28"/>
  <c r="J20" i="28"/>
  <c r="M19" i="28"/>
  <c r="J19" i="28"/>
  <c r="M18" i="28"/>
  <c r="J18" i="28"/>
  <c r="M17" i="28"/>
  <c r="J17" i="28"/>
  <c r="M16" i="28"/>
  <c r="J16" i="28"/>
  <c r="M15" i="28"/>
  <c r="J15" i="28"/>
  <c r="E15" i="28"/>
  <c r="D15" i="28"/>
  <c r="C15" i="28"/>
  <c r="M14" i="28"/>
  <c r="J14" i="28"/>
  <c r="F14" i="28"/>
  <c r="E14" i="28"/>
  <c r="D14" i="28"/>
  <c r="C14" i="28"/>
  <c r="M13" i="28"/>
  <c r="J13" i="28"/>
  <c r="M12" i="28"/>
  <c r="J12" i="28"/>
  <c r="M11" i="28"/>
  <c r="K11" i="28"/>
  <c r="M10" i="28"/>
  <c r="J10" i="28"/>
  <c r="M9" i="28"/>
  <c r="J9" i="28"/>
  <c r="O8" i="28"/>
  <c r="M8" i="28"/>
  <c r="J8" i="28"/>
  <c r="M7" i="28"/>
  <c r="J7" i="28"/>
  <c r="N6" i="28"/>
  <c r="H4" i="28"/>
  <c r="K57" i="26"/>
  <c r="J57" i="26"/>
  <c r="K56" i="26"/>
  <c r="J56" i="26"/>
  <c r="E53" i="26"/>
  <c r="D53" i="26"/>
  <c r="C53" i="26"/>
  <c r="E52" i="26"/>
  <c r="D52" i="26"/>
  <c r="C52" i="26"/>
  <c r="J51" i="26"/>
  <c r="I51" i="26"/>
  <c r="E51" i="26"/>
  <c r="D51" i="26"/>
  <c r="C51" i="26"/>
  <c r="J50" i="26"/>
  <c r="I50" i="26"/>
  <c r="E50" i="26"/>
  <c r="D50" i="26"/>
  <c r="C50" i="26"/>
  <c r="J49" i="26"/>
  <c r="I49" i="26"/>
  <c r="E49" i="26"/>
  <c r="D49" i="26"/>
  <c r="C49" i="26"/>
  <c r="E48" i="26"/>
  <c r="D48" i="26"/>
  <c r="C48" i="26"/>
  <c r="E47" i="26"/>
  <c r="D47" i="26"/>
  <c r="C47" i="26"/>
  <c r="E46" i="26"/>
  <c r="D46" i="26"/>
  <c r="C46" i="26"/>
  <c r="M45" i="26"/>
  <c r="L45" i="26"/>
  <c r="J45" i="26"/>
  <c r="I45" i="26"/>
  <c r="E45" i="26"/>
  <c r="D45" i="26"/>
  <c r="C45" i="26"/>
  <c r="M44" i="26"/>
  <c r="L44" i="26"/>
  <c r="J44" i="26"/>
  <c r="I44" i="26"/>
  <c r="E44" i="26"/>
  <c r="D44" i="26"/>
  <c r="C44" i="26"/>
  <c r="M43" i="26"/>
  <c r="L43" i="26"/>
  <c r="J43" i="26"/>
  <c r="I43" i="26"/>
  <c r="E43" i="26"/>
  <c r="D43" i="26"/>
  <c r="C43" i="26"/>
  <c r="G42" i="26"/>
  <c r="F42" i="26"/>
  <c r="E42" i="26"/>
  <c r="D42" i="26"/>
  <c r="C42" i="26"/>
  <c r="J41" i="26"/>
  <c r="E41" i="26"/>
  <c r="D41" i="26"/>
  <c r="C41" i="26"/>
  <c r="J40" i="26"/>
  <c r="I40" i="26"/>
  <c r="G40" i="26"/>
  <c r="E40" i="26"/>
  <c r="D40" i="26"/>
  <c r="C40" i="26"/>
  <c r="J39" i="26"/>
  <c r="G39" i="26"/>
  <c r="E39" i="26"/>
  <c r="D39" i="26"/>
  <c r="C39" i="26"/>
  <c r="J38" i="26"/>
  <c r="I38" i="26"/>
  <c r="G38" i="26"/>
  <c r="E38" i="26"/>
  <c r="D38" i="26"/>
  <c r="C38" i="26"/>
  <c r="J37" i="26"/>
  <c r="I37" i="26"/>
  <c r="E35" i="26"/>
  <c r="D35" i="26"/>
  <c r="C35" i="26"/>
  <c r="M34" i="26"/>
  <c r="L34" i="26"/>
  <c r="K34" i="26"/>
  <c r="F34" i="26"/>
  <c r="E34" i="26"/>
  <c r="D34" i="26"/>
  <c r="C34" i="26"/>
  <c r="E33" i="26"/>
  <c r="D33" i="26"/>
  <c r="C33" i="26"/>
  <c r="M32" i="26"/>
  <c r="J32" i="26"/>
  <c r="F32" i="26"/>
  <c r="E32" i="26"/>
  <c r="D32" i="26"/>
  <c r="C32" i="26"/>
  <c r="M31" i="26"/>
  <c r="J31" i="26"/>
  <c r="M30" i="26"/>
  <c r="J30" i="26"/>
  <c r="M29" i="26"/>
  <c r="J29" i="26"/>
  <c r="M28" i="26"/>
  <c r="J28" i="26"/>
  <c r="M27" i="26"/>
  <c r="J27" i="26"/>
  <c r="M26" i="26"/>
  <c r="J26" i="26"/>
  <c r="M25" i="26"/>
  <c r="J25" i="26"/>
  <c r="M24" i="26"/>
  <c r="J24" i="26"/>
  <c r="E24" i="26"/>
  <c r="D24" i="26"/>
  <c r="C24" i="26"/>
  <c r="M23" i="26"/>
  <c r="J23" i="26"/>
  <c r="F23" i="26"/>
  <c r="E23" i="26"/>
  <c r="D23" i="26"/>
  <c r="C23" i="26"/>
  <c r="M22" i="26"/>
  <c r="J22" i="26"/>
  <c r="M21" i="26"/>
  <c r="J21" i="26"/>
  <c r="M20" i="26"/>
  <c r="J20" i="26"/>
  <c r="M19" i="26"/>
  <c r="J19" i="26"/>
  <c r="M18" i="26"/>
  <c r="J18" i="26"/>
  <c r="M17" i="26"/>
  <c r="J17" i="26"/>
  <c r="M16" i="26"/>
  <c r="J16" i="26"/>
  <c r="M15" i="26"/>
  <c r="J15" i="26"/>
  <c r="E15" i="26"/>
  <c r="D15" i="26"/>
  <c r="C15" i="26"/>
  <c r="M14" i="26"/>
  <c r="J14" i="26"/>
  <c r="F14" i="26"/>
  <c r="E14" i="26"/>
  <c r="D14" i="26"/>
  <c r="C14" i="26"/>
  <c r="M13" i="26"/>
  <c r="J13" i="26"/>
  <c r="M12" i="26"/>
  <c r="J12" i="26"/>
  <c r="M11" i="26"/>
  <c r="K11" i="26"/>
  <c r="J11" i="26"/>
  <c r="M10" i="26"/>
  <c r="J10" i="26"/>
  <c r="M9" i="26"/>
  <c r="J9" i="26"/>
  <c r="O8" i="26"/>
  <c r="M8" i="26"/>
  <c r="J8" i="26"/>
  <c r="M7" i="26"/>
  <c r="J7" i="26"/>
  <c r="N6" i="26"/>
  <c r="H4" i="26"/>
  <c r="J58" i="25"/>
  <c r="K57" i="25"/>
  <c r="J57" i="25"/>
  <c r="K56" i="25"/>
  <c r="J56" i="25"/>
  <c r="E53" i="25"/>
  <c r="D53" i="25"/>
  <c r="C53" i="25"/>
  <c r="E52" i="25"/>
  <c r="D52" i="25"/>
  <c r="C52" i="25"/>
  <c r="J51" i="25"/>
  <c r="I51" i="25"/>
  <c r="E51" i="25"/>
  <c r="D51" i="25"/>
  <c r="C51" i="25"/>
  <c r="J50" i="25"/>
  <c r="I50" i="25"/>
  <c r="E50" i="25"/>
  <c r="D50" i="25"/>
  <c r="C50" i="25"/>
  <c r="J49" i="25"/>
  <c r="I49" i="25"/>
  <c r="E49" i="25"/>
  <c r="D49" i="25"/>
  <c r="C49" i="25"/>
  <c r="E48" i="25"/>
  <c r="D48" i="25"/>
  <c r="C48" i="25"/>
  <c r="E47" i="25"/>
  <c r="D47" i="25"/>
  <c r="C47" i="25"/>
  <c r="E46" i="25"/>
  <c r="D46" i="25"/>
  <c r="C46" i="25"/>
  <c r="M45" i="25"/>
  <c r="L45" i="25"/>
  <c r="J45" i="25"/>
  <c r="I45" i="25"/>
  <c r="E45" i="25"/>
  <c r="D45" i="25"/>
  <c r="C45" i="25"/>
  <c r="M44" i="25"/>
  <c r="L44" i="25"/>
  <c r="J44" i="25"/>
  <c r="I44" i="25"/>
  <c r="E44" i="25"/>
  <c r="D44" i="25"/>
  <c r="C44" i="25"/>
  <c r="M43" i="25"/>
  <c r="L43" i="25"/>
  <c r="J43" i="25"/>
  <c r="I43" i="25"/>
  <c r="E43" i="25"/>
  <c r="D43" i="25"/>
  <c r="C43" i="25"/>
  <c r="G42" i="25"/>
  <c r="F42" i="25"/>
  <c r="E42" i="25"/>
  <c r="D42" i="25"/>
  <c r="C42" i="25"/>
  <c r="N41" i="25"/>
  <c r="J41" i="25"/>
  <c r="E41" i="25"/>
  <c r="D41" i="25"/>
  <c r="C41" i="25"/>
  <c r="N40" i="25"/>
  <c r="J40" i="25"/>
  <c r="I40" i="25"/>
  <c r="G40" i="25"/>
  <c r="E40" i="25"/>
  <c r="D40" i="25"/>
  <c r="C40" i="25"/>
  <c r="N39" i="25"/>
  <c r="J39" i="25"/>
  <c r="G39" i="25"/>
  <c r="E39" i="25"/>
  <c r="D39" i="25"/>
  <c r="C39" i="25"/>
  <c r="N38" i="25"/>
  <c r="J38" i="25"/>
  <c r="I38" i="25"/>
  <c r="G38" i="25"/>
  <c r="E38" i="25"/>
  <c r="D38" i="25"/>
  <c r="C38" i="25"/>
  <c r="N37" i="25"/>
  <c r="J37" i="25"/>
  <c r="I37" i="25"/>
  <c r="E35" i="25"/>
  <c r="D35" i="25"/>
  <c r="C35" i="25"/>
  <c r="M34" i="25"/>
  <c r="L34" i="25"/>
  <c r="K34" i="25"/>
  <c r="F34" i="25"/>
  <c r="E34" i="25"/>
  <c r="D34" i="25"/>
  <c r="C34" i="25"/>
  <c r="E33" i="25"/>
  <c r="D33" i="25"/>
  <c r="C33" i="25"/>
  <c r="M32" i="25"/>
  <c r="J32" i="25"/>
  <c r="F32" i="25"/>
  <c r="E32" i="25"/>
  <c r="D32" i="25"/>
  <c r="C32" i="25"/>
  <c r="M31" i="25"/>
  <c r="J31" i="25"/>
  <c r="M30" i="25"/>
  <c r="J30" i="25"/>
  <c r="M29" i="25"/>
  <c r="J29" i="25"/>
  <c r="M28" i="25"/>
  <c r="J28" i="25"/>
  <c r="M27" i="25"/>
  <c r="J27" i="25"/>
  <c r="M26" i="25"/>
  <c r="J26" i="25"/>
  <c r="C26" i="25"/>
  <c r="M25" i="25"/>
  <c r="J25" i="25"/>
  <c r="C25" i="25"/>
  <c r="M24" i="25"/>
  <c r="J24" i="25"/>
  <c r="E24" i="25"/>
  <c r="D24" i="25"/>
  <c r="C24" i="25"/>
  <c r="M23" i="25"/>
  <c r="J23" i="25"/>
  <c r="F23" i="25"/>
  <c r="E23" i="25"/>
  <c r="D23" i="25"/>
  <c r="C23" i="25"/>
  <c r="M22" i="25"/>
  <c r="J22" i="25"/>
  <c r="M21" i="25"/>
  <c r="J21" i="25"/>
  <c r="M20" i="25"/>
  <c r="J20" i="25"/>
  <c r="M19" i="25"/>
  <c r="J19" i="25"/>
  <c r="M18" i="25"/>
  <c r="J18" i="25"/>
  <c r="C18" i="25"/>
  <c r="M17" i="25"/>
  <c r="J17" i="25"/>
  <c r="C17" i="25"/>
  <c r="M16" i="25"/>
  <c r="J16" i="25"/>
  <c r="C16" i="25"/>
  <c r="M15" i="25"/>
  <c r="J15" i="25"/>
  <c r="E15" i="25"/>
  <c r="D15" i="25"/>
  <c r="C15" i="25"/>
  <c r="M14" i="25"/>
  <c r="K14" i="25"/>
  <c r="F14" i="25"/>
  <c r="E14" i="25"/>
  <c r="D14" i="25"/>
  <c r="C14" i="25"/>
  <c r="M13" i="25"/>
  <c r="K13" i="25"/>
  <c r="M12" i="25"/>
  <c r="K12" i="25"/>
  <c r="M11" i="25"/>
  <c r="K11" i="25"/>
  <c r="J11" i="25"/>
  <c r="M10" i="25"/>
  <c r="J10" i="25"/>
  <c r="M9" i="25"/>
  <c r="J9" i="25"/>
  <c r="O8" i="25"/>
  <c r="M8" i="25"/>
  <c r="J8" i="25"/>
  <c r="M7" i="25"/>
  <c r="J7" i="25"/>
  <c r="N6" i="25"/>
  <c r="H4" i="25"/>
  <c r="J59" i="24"/>
  <c r="K57" i="24"/>
  <c r="J57" i="24"/>
  <c r="K56" i="24"/>
  <c r="J56" i="24"/>
  <c r="E53" i="24"/>
  <c r="D53" i="24"/>
  <c r="C53" i="24"/>
  <c r="E52" i="24"/>
  <c r="D52" i="24"/>
  <c r="C52" i="24"/>
  <c r="J51" i="24"/>
  <c r="I51" i="24"/>
  <c r="E51" i="24"/>
  <c r="D51" i="24"/>
  <c r="C51" i="24"/>
  <c r="J50" i="24"/>
  <c r="I50" i="24"/>
  <c r="E50" i="24"/>
  <c r="D50" i="24"/>
  <c r="C50" i="24"/>
  <c r="J49" i="24"/>
  <c r="I49" i="24"/>
  <c r="E49" i="24"/>
  <c r="D49" i="24"/>
  <c r="C49" i="24"/>
  <c r="E48" i="24"/>
  <c r="D48" i="24"/>
  <c r="C48" i="24"/>
  <c r="E47" i="24"/>
  <c r="D47" i="24"/>
  <c r="C47" i="24"/>
  <c r="E46" i="24"/>
  <c r="D46" i="24"/>
  <c r="C46" i="24"/>
  <c r="M45" i="24"/>
  <c r="L45" i="24"/>
  <c r="J45" i="24"/>
  <c r="I45" i="24"/>
  <c r="E45" i="24"/>
  <c r="D45" i="24"/>
  <c r="C45" i="24"/>
  <c r="M44" i="24"/>
  <c r="L44" i="24"/>
  <c r="J44" i="24"/>
  <c r="I44" i="24"/>
  <c r="E44" i="24"/>
  <c r="D44" i="24"/>
  <c r="C44" i="24"/>
  <c r="M43" i="24"/>
  <c r="L43" i="24"/>
  <c r="J43" i="24"/>
  <c r="I43" i="24"/>
  <c r="E43" i="24"/>
  <c r="D43" i="24"/>
  <c r="C43" i="24"/>
  <c r="G42" i="24"/>
  <c r="F42" i="24"/>
  <c r="E42" i="24"/>
  <c r="D42" i="24"/>
  <c r="C42" i="24"/>
  <c r="J41" i="24"/>
  <c r="E41" i="24"/>
  <c r="D41" i="24"/>
  <c r="C41" i="24"/>
  <c r="J40" i="24"/>
  <c r="I40" i="24"/>
  <c r="G40" i="24"/>
  <c r="E40" i="24"/>
  <c r="D40" i="24"/>
  <c r="C40" i="24"/>
  <c r="J39" i="24"/>
  <c r="G39" i="24"/>
  <c r="E39" i="24"/>
  <c r="D39" i="24"/>
  <c r="C39" i="24"/>
  <c r="J38" i="24"/>
  <c r="I38" i="24"/>
  <c r="G38" i="24"/>
  <c r="E38" i="24"/>
  <c r="D38" i="24"/>
  <c r="C38" i="24"/>
  <c r="J37" i="24"/>
  <c r="I37" i="24"/>
  <c r="E35" i="24"/>
  <c r="D35" i="24"/>
  <c r="C35" i="24"/>
  <c r="M34" i="24"/>
  <c r="L34" i="24"/>
  <c r="K34" i="24"/>
  <c r="F34" i="24"/>
  <c r="E34" i="24"/>
  <c r="D34" i="24"/>
  <c r="C34" i="24"/>
  <c r="E33" i="24"/>
  <c r="D33" i="24"/>
  <c r="C33" i="24"/>
  <c r="M32" i="24"/>
  <c r="J32" i="24"/>
  <c r="F32" i="24"/>
  <c r="E32" i="24"/>
  <c r="D32" i="24"/>
  <c r="C32" i="24"/>
  <c r="M31" i="24"/>
  <c r="J31" i="24"/>
  <c r="M30" i="24"/>
  <c r="J30" i="24"/>
  <c r="M29" i="24"/>
  <c r="J29" i="24"/>
  <c r="M28" i="24"/>
  <c r="J28" i="24"/>
  <c r="M27" i="24"/>
  <c r="J27" i="24"/>
  <c r="M26" i="24"/>
  <c r="J26" i="24"/>
  <c r="M25" i="24"/>
  <c r="J25" i="24"/>
  <c r="M24" i="24"/>
  <c r="J24" i="24"/>
  <c r="E24" i="24"/>
  <c r="D24" i="24"/>
  <c r="C24" i="24"/>
  <c r="M23" i="24"/>
  <c r="J23" i="24"/>
  <c r="F23" i="24"/>
  <c r="E23" i="24"/>
  <c r="D23" i="24"/>
  <c r="C23" i="24"/>
  <c r="M22" i="24"/>
  <c r="J22" i="24"/>
  <c r="M21" i="24"/>
  <c r="J21" i="24"/>
  <c r="M20" i="24"/>
  <c r="J20" i="24"/>
  <c r="M19" i="24"/>
  <c r="J19" i="24"/>
  <c r="M18" i="24"/>
  <c r="J18" i="24"/>
  <c r="M17" i="24"/>
  <c r="J17" i="24"/>
  <c r="M16" i="24"/>
  <c r="J16" i="24"/>
  <c r="M15" i="24"/>
  <c r="J15" i="24"/>
  <c r="E15" i="24"/>
  <c r="D15" i="24"/>
  <c r="C15" i="24"/>
  <c r="M14" i="24"/>
  <c r="K14" i="24"/>
  <c r="J14" i="24"/>
  <c r="F14" i="24"/>
  <c r="E14" i="24"/>
  <c r="D14" i="24"/>
  <c r="C14" i="24"/>
  <c r="M13" i="24"/>
  <c r="J13" i="24"/>
  <c r="M12" i="24"/>
  <c r="J12" i="24"/>
  <c r="M11" i="24"/>
  <c r="J11" i="24"/>
  <c r="M10" i="24"/>
  <c r="J10" i="24"/>
  <c r="M9" i="24"/>
  <c r="J9" i="24"/>
  <c r="O8" i="24"/>
  <c r="M8" i="24"/>
  <c r="J8" i="24"/>
  <c r="M7" i="24"/>
  <c r="J7" i="24"/>
  <c r="N6" i="24"/>
  <c r="H4" i="24"/>
  <c r="J59" i="23"/>
  <c r="K57" i="23"/>
  <c r="J57" i="23"/>
  <c r="K56" i="23"/>
  <c r="J56" i="23"/>
  <c r="E53" i="23"/>
  <c r="D53" i="23"/>
  <c r="C53" i="23"/>
  <c r="E52" i="23"/>
  <c r="D52" i="23"/>
  <c r="C52" i="23"/>
  <c r="J51" i="23"/>
  <c r="I51" i="23"/>
  <c r="E51" i="23"/>
  <c r="D51" i="23"/>
  <c r="C51" i="23"/>
  <c r="J50" i="23"/>
  <c r="I50" i="23"/>
  <c r="E50" i="23"/>
  <c r="D50" i="23"/>
  <c r="C50" i="23"/>
  <c r="J49" i="23"/>
  <c r="I49" i="23"/>
  <c r="E49" i="23"/>
  <c r="D49" i="23"/>
  <c r="C49" i="23"/>
  <c r="E48" i="23"/>
  <c r="D48" i="23"/>
  <c r="C48" i="23"/>
  <c r="E47" i="23"/>
  <c r="D47" i="23"/>
  <c r="C47" i="23"/>
  <c r="E46" i="23"/>
  <c r="D46" i="23"/>
  <c r="C46" i="23"/>
  <c r="M45" i="23"/>
  <c r="L45" i="23"/>
  <c r="J45" i="23"/>
  <c r="I45" i="23"/>
  <c r="E45" i="23"/>
  <c r="D45" i="23"/>
  <c r="C45" i="23"/>
  <c r="M44" i="23"/>
  <c r="L44" i="23"/>
  <c r="J44" i="23"/>
  <c r="I44" i="23"/>
  <c r="E44" i="23"/>
  <c r="D44" i="23"/>
  <c r="C44" i="23"/>
  <c r="M43" i="23"/>
  <c r="L43" i="23"/>
  <c r="J43" i="23"/>
  <c r="I43" i="23"/>
  <c r="E43" i="23"/>
  <c r="D43" i="23"/>
  <c r="C43" i="23"/>
  <c r="G42" i="23"/>
  <c r="F42" i="23"/>
  <c r="E42" i="23"/>
  <c r="D42" i="23"/>
  <c r="C42" i="23"/>
  <c r="N41" i="23"/>
  <c r="J41" i="23"/>
  <c r="E41" i="23"/>
  <c r="D41" i="23"/>
  <c r="C41" i="23"/>
  <c r="J40" i="23"/>
  <c r="I40" i="23"/>
  <c r="E40" i="23"/>
  <c r="D40" i="23"/>
  <c r="C40" i="23"/>
  <c r="J39" i="23"/>
  <c r="E39" i="23"/>
  <c r="D39" i="23"/>
  <c r="C39" i="23"/>
  <c r="J38" i="23"/>
  <c r="I38" i="23"/>
  <c r="E38" i="23"/>
  <c r="D38" i="23"/>
  <c r="C38" i="23"/>
  <c r="J37" i="23"/>
  <c r="I37" i="23"/>
  <c r="S36" i="23"/>
  <c r="R36" i="23"/>
  <c r="Q36" i="23"/>
  <c r="S35" i="23"/>
  <c r="R35" i="23"/>
  <c r="Q35" i="23"/>
  <c r="E35" i="23"/>
  <c r="D35" i="23"/>
  <c r="C35" i="23"/>
  <c r="M34" i="23"/>
  <c r="L34" i="23"/>
  <c r="K34" i="23"/>
  <c r="F34" i="23"/>
  <c r="E34" i="23"/>
  <c r="D34" i="23"/>
  <c r="C34" i="23"/>
  <c r="E33" i="23"/>
  <c r="D33" i="23"/>
  <c r="C33" i="23"/>
  <c r="S32" i="23"/>
  <c r="R32" i="23"/>
  <c r="P32" i="23"/>
  <c r="M32" i="23"/>
  <c r="J32" i="23"/>
  <c r="F32" i="23"/>
  <c r="E32" i="23"/>
  <c r="D32" i="23"/>
  <c r="C32" i="23"/>
  <c r="S31" i="23"/>
  <c r="R31" i="23"/>
  <c r="P31" i="23"/>
  <c r="M31" i="23"/>
  <c r="J31" i="23"/>
  <c r="S30" i="23"/>
  <c r="R30" i="23"/>
  <c r="P30" i="23"/>
  <c r="M30" i="23"/>
  <c r="J30" i="23"/>
  <c r="M29" i="23"/>
  <c r="J29" i="23"/>
  <c r="M28" i="23"/>
  <c r="J28" i="23"/>
  <c r="S27" i="23"/>
  <c r="R27" i="23"/>
  <c r="P27" i="23"/>
  <c r="M27" i="23"/>
  <c r="J27" i="23"/>
  <c r="S26" i="23"/>
  <c r="R26" i="23"/>
  <c r="Q26" i="23"/>
  <c r="M26" i="23"/>
  <c r="J26" i="23"/>
  <c r="S25" i="23"/>
  <c r="R25" i="23"/>
  <c r="Q25" i="23"/>
  <c r="M25" i="23"/>
  <c r="J25" i="23"/>
  <c r="M24" i="23"/>
  <c r="J24" i="23"/>
  <c r="E24" i="23"/>
  <c r="D24" i="23"/>
  <c r="C24" i="23"/>
  <c r="M23" i="23"/>
  <c r="J23" i="23"/>
  <c r="F23" i="23"/>
  <c r="E23" i="23"/>
  <c r="D23" i="23"/>
  <c r="C23" i="23"/>
  <c r="S22" i="23"/>
  <c r="R22" i="23"/>
  <c r="P22" i="23"/>
  <c r="M22" i="23"/>
  <c r="J22" i="23"/>
  <c r="S21" i="23"/>
  <c r="R21" i="23"/>
  <c r="P21" i="23"/>
  <c r="M21" i="23"/>
  <c r="J21" i="23"/>
  <c r="S20" i="23"/>
  <c r="R20" i="23"/>
  <c r="P20" i="23"/>
  <c r="M20" i="23"/>
  <c r="J20" i="23"/>
  <c r="M19" i="23"/>
  <c r="J19" i="23"/>
  <c r="M18" i="23"/>
  <c r="J18" i="23"/>
  <c r="S17" i="23"/>
  <c r="R17" i="23"/>
  <c r="Q17" i="23"/>
  <c r="P17" i="23"/>
  <c r="M17" i="23"/>
  <c r="J17" i="23"/>
  <c r="M16" i="23"/>
  <c r="J16" i="23"/>
  <c r="S15" i="23"/>
  <c r="R15" i="23"/>
  <c r="Q15" i="23"/>
  <c r="M15" i="23"/>
  <c r="J15" i="23"/>
  <c r="E15" i="23"/>
  <c r="D15" i="23"/>
  <c r="C15" i="23"/>
  <c r="S14" i="23"/>
  <c r="R14" i="23"/>
  <c r="Q14" i="23"/>
  <c r="M14" i="23"/>
  <c r="K14" i="23"/>
  <c r="J14" i="23"/>
  <c r="F14" i="23"/>
  <c r="E14" i="23"/>
  <c r="D14" i="23"/>
  <c r="C14" i="23"/>
  <c r="M13" i="23"/>
  <c r="J13" i="23"/>
  <c r="M12" i="23"/>
  <c r="J12" i="23"/>
  <c r="S11" i="23"/>
  <c r="R11" i="23"/>
  <c r="P11" i="23"/>
  <c r="M11" i="23"/>
  <c r="J11" i="23"/>
  <c r="S10" i="23"/>
  <c r="R10" i="23"/>
  <c r="P10" i="23"/>
  <c r="M10" i="23"/>
  <c r="J10" i="23"/>
  <c r="S9" i="23"/>
  <c r="R9" i="23"/>
  <c r="P9" i="23"/>
  <c r="M9" i="23"/>
  <c r="J9" i="23"/>
  <c r="M8" i="23"/>
  <c r="J8" i="23"/>
  <c r="M7" i="23"/>
  <c r="J7" i="23"/>
  <c r="S6" i="23"/>
  <c r="R6" i="23"/>
  <c r="Q6" i="23"/>
  <c r="P6" i="23"/>
  <c r="J4" i="23"/>
  <c r="H4" i="23"/>
  <c r="J59" i="21"/>
  <c r="K57" i="21"/>
  <c r="J57" i="21"/>
  <c r="K56" i="21"/>
  <c r="J56" i="21"/>
  <c r="E53" i="21"/>
  <c r="D53" i="21"/>
  <c r="C53" i="21"/>
  <c r="E52" i="21"/>
  <c r="D52" i="21"/>
  <c r="C52" i="21"/>
  <c r="J51" i="21"/>
  <c r="I51" i="21"/>
  <c r="E51" i="21"/>
  <c r="D51" i="21"/>
  <c r="C51" i="21"/>
  <c r="J50" i="21"/>
  <c r="I50" i="21"/>
  <c r="E50" i="21"/>
  <c r="D50" i="21"/>
  <c r="C50" i="21"/>
  <c r="J49" i="21"/>
  <c r="I49" i="21"/>
  <c r="E49" i="21"/>
  <c r="D49" i="21"/>
  <c r="C49" i="21"/>
  <c r="E48" i="21"/>
  <c r="D48" i="21"/>
  <c r="C48" i="21"/>
  <c r="E47" i="21"/>
  <c r="D47" i="21"/>
  <c r="C47" i="21"/>
  <c r="E46" i="21"/>
  <c r="D46" i="21"/>
  <c r="C46" i="21"/>
  <c r="M45" i="21"/>
  <c r="L45" i="21"/>
  <c r="J45" i="21"/>
  <c r="I45" i="21"/>
  <c r="E45" i="21"/>
  <c r="D45" i="21"/>
  <c r="C45" i="21"/>
  <c r="M44" i="21"/>
  <c r="L44" i="21"/>
  <c r="J44" i="21"/>
  <c r="I44" i="21"/>
  <c r="E44" i="21"/>
  <c r="D44" i="21"/>
  <c r="C44" i="21"/>
  <c r="M43" i="21"/>
  <c r="L43" i="21"/>
  <c r="J43" i="21"/>
  <c r="I43" i="21"/>
  <c r="E43" i="21"/>
  <c r="D43" i="21"/>
  <c r="C43" i="21"/>
  <c r="G42" i="21"/>
  <c r="F42" i="21"/>
  <c r="E42" i="21"/>
  <c r="D42" i="21"/>
  <c r="C42" i="21"/>
  <c r="J41" i="21"/>
  <c r="E41" i="21"/>
  <c r="D41" i="21"/>
  <c r="C41" i="21"/>
  <c r="J40" i="21"/>
  <c r="I40" i="21"/>
  <c r="E40" i="21"/>
  <c r="D40" i="21"/>
  <c r="C40" i="21"/>
  <c r="J39" i="21"/>
  <c r="E39" i="21"/>
  <c r="D39" i="21"/>
  <c r="C39" i="21"/>
  <c r="J38" i="21"/>
  <c r="I38" i="21"/>
  <c r="E38" i="21"/>
  <c r="D38" i="21"/>
  <c r="C38" i="21"/>
  <c r="J37" i="21"/>
  <c r="I37" i="21"/>
  <c r="E35" i="21"/>
  <c r="D35" i="21"/>
  <c r="C35" i="21"/>
  <c r="M34" i="21"/>
  <c r="L34" i="21"/>
  <c r="K34" i="21"/>
  <c r="F34" i="21"/>
  <c r="E34" i="21"/>
  <c r="D34" i="21"/>
  <c r="C34" i="21"/>
  <c r="E33" i="21"/>
  <c r="D33" i="21"/>
  <c r="C33" i="21"/>
  <c r="M32" i="21"/>
  <c r="J32" i="21"/>
  <c r="F32" i="21"/>
  <c r="E32" i="21"/>
  <c r="D32" i="21"/>
  <c r="C32" i="21"/>
  <c r="M31" i="21"/>
  <c r="J31" i="21"/>
  <c r="M30" i="21"/>
  <c r="J30" i="21"/>
  <c r="M29" i="21"/>
  <c r="J29" i="21"/>
  <c r="M28" i="21"/>
  <c r="J28" i="21"/>
  <c r="M27" i="21"/>
  <c r="J27" i="21"/>
  <c r="M26" i="21"/>
  <c r="J26" i="21"/>
  <c r="M25" i="21"/>
  <c r="J25" i="21"/>
  <c r="M24" i="21"/>
  <c r="J24" i="21"/>
  <c r="E24" i="21"/>
  <c r="D24" i="21"/>
  <c r="C24" i="21"/>
  <c r="M23" i="21"/>
  <c r="J23" i="21"/>
  <c r="F23" i="21"/>
  <c r="E23" i="21"/>
  <c r="D23" i="21"/>
  <c r="C23" i="21"/>
  <c r="M22" i="21"/>
  <c r="J22" i="21"/>
  <c r="M21" i="21"/>
  <c r="J21" i="21"/>
  <c r="M20" i="21"/>
  <c r="J20" i="21"/>
  <c r="M19" i="21"/>
  <c r="J19" i="21"/>
  <c r="M18" i="21"/>
  <c r="J18" i="21"/>
  <c r="M17" i="21"/>
  <c r="J17" i="21"/>
  <c r="M16" i="21"/>
  <c r="J16" i="21"/>
  <c r="M15" i="21"/>
  <c r="J15" i="21"/>
  <c r="E15" i="21"/>
  <c r="D15" i="21"/>
  <c r="C15" i="21"/>
  <c r="M14" i="21"/>
  <c r="K14" i="21"/>
  <c r="J14" i="21"/>
  <c r="F14" i="21"/>
  <c r="E14" i="21"/>
  <c r="D14" i="21"/>
  <c r="C14" i="21"/>
  <c r="M13" i="21"/>
  <c r="J13" i="21"/>
  <c r="M12" i="21"/>
  <c r="J12" i="21"/>
  <c r="M11" i="21"/>
  <c r="J11" i="21"/>
  <c r="M10" i="21"/>
  <c r="J10" i="21"/>
  <c r="M9" i="21"/>
  <c r="J9" i="21"/>
  <c r="O8" i="21"/>
  <c r="M8" i="21"/>
  <c r="J8" i="21"/>
  <c r="M7" i="21"/>
  <c r="J7" i="21"/>
  <c r="N6" i="21"/>
  <c r="H4" i="21"/>
  <c r="J59" i="22"/>
  <c r="K57" i="22"/>
  <c r="J57" i="22"/>
  <c r="K56" i="22"/>
  <c r="J56" i="22"/>
  <c r="E53" i="22"/>
  <c r="D53" i="22"/>
  <c r="C53" i="22"/>
  <c r="E52" i="22"/>
  <c r="D52" i="22"/>
  <c r="C52" i="22"/>
  <c r="J51" i="22"/>
  <c r="I51" i="22"/>
  <c r="E51" i="22"/>
  <c r="D51" i="22"/>
  <c r="C51" i="22"/>
  <c r="J50" i="22"/>
  <c r="I50" i="22"/>
  <c r="E50" i="22"/>
  <c r="D50" i="22"/>
  <c r="C50" i="22"/>
  <c r="J49" i="22"/>
  <c r="I49" i="22"/>
  <c r="E49" i="22"/>
  <c r="D49" i="22"/>
  <c r="C49" i="22"/>
  <c r="E48" i="22"/>
  <c r="D48" i="22"/>
  <c r="C48" i="22"/>
  <c r="E47" i="22"/>
  <c r="D47" i="22"/>
  <c r="C47" i="22"/>
  <c r="E46" i="22"/>
  <c r="D46" i="22"/>
  <c r="C46" i="22"/>
  <c r="M45" i="22"/>
  <c r="L45" i="22"/>
  <c r="J45" i="22"/>
  <c r="I45" i="22"/>
  <c r="E45" i="22"/>
  <c r="D45" i="22"/>
  <c r="C45" i="22"/>
  <c r="M44" i="22"/>
  <c r="L44" i="22"/>
  <c r="J44" i="22"/>
  <c r="I44" i="22"/>
  <c r="E44" i="22"/>
  <c r="D44" i="22"/>
  <c r="C44" i="22"/>
  <c r="M43" i="22"/>
  <c r="L43" i="22"/>
  <c r="J43" i="22"/>
  <c r="I43" i="22"/>
  <c r="E43" i="22"/>
  <c r="D43" i="22"/>
  <c r="C43" i="22"/>
  <c r="G42" i="22"/>
  <c r="F42" i="22"/>
  <c r="E42" i="22"/>
  <c r="D42" i="22"/>
  <c r="C42" i="22"/>
  <c r="J41" i="22"/>
  <c r="E41" i="22"/>
  <c r="D41" i="22"/>
  <c r="C41" i="22"/>
  <c r="J40" i="22"/>
  <c r="I40" i="22"/>
  <c r="G40" i="22"/>
  <c r="E40" i="22"/>
  <c r="D40" i="22"/>
  <c r="C40" i="22"/>
  <c r="J39" i="22"/>
  <c r="G39" i="22"/>
  <c r="E39" i="22"/>
  <c r="D39" i="22"/>
  <c r="C39" i="22"/>
  <c r="J38" i="22"/>
  <c r="I38" i="22"/>
  <c r="G38" i="22"/>
  <c r="E38" i="22"/>
  <c r="D38" i="22"/>
  <c r="C38" i="22"/>
  <c r="J37" i="22"/>
  <c r="I37" i="22"/>
  <c r="E35" i="22"/>
  <c r="D35" i="22"/>
  <c r="C35" i="22"/>
  <c r="M34" i="22"/>
  <c r="L34" i="22"/>
  <c r="K34" i="22"/>
  <c r="F34" i="22"/>
  <c r="E34" i="22"/>
  <c r="D34" i="22"/>
  <c r="C34" i="22"/>
  <c r="E33" i="22"/>
  <c r="D33" i="22"/>
  <c r="C33" i="22"/>
  <c r="M32" i="22"/>
  <c r="J32" i="22"/>
  <c r="F32" i="22"/>
  <c r="E32" i="22"/>
  <c r="D32" i="22"/>
  <c r="C32" i="22"/>
  <c r="M31" i="22"/>
  <c r="J31" i="22"/>
  <c r="M30" i="22"/>
  <c r="J30" i="22"/>
  <c r="M29" i="22"/>
  <c r="J29" i="22"/>
  <c r="M28" i="22"/>
  <c r="J28" i="22"/>
  <c r="M27" i="22"/>
  <c r="J27" i="22"/>
  <c r="M26" i="22"/>
  <c r="J26" i="22"/>
  <c r="M25" i="22"/>
  <c r="J25" i="22"/>
  <c r="M24" i="22"/>
  <c r="J24" i="22"/>
  <c r="E24" i="22"/>
  <c r="D24" i="22"/>
  <c r="C24" i="22"/>
  <c r="M23" i="22"/>
  <c r="J23" i="22"/>
  <c r="F23" i="22"/>
  <c r="E23" i="22"/>
  <c r="D23" i="22"/>
  <c r="C23" i="22"/>
  <c r="M22" i="22"/>
  <c r="J22" i="22"/>
  <c r="M21" i="22"/>
  <c r="J21" i="22"/>
  <c r="M20" i="22"/>
  <c r="J20" i="22"/>
  <c r="M19" i="22"/>
  <c r="J19" i="22"/>
  <c r="M18" i="22"/>
  <c r="J18" i="22"/>
  <c r="M17" i="22"/>
  <c r="J17" i="22"/>
  <c r="M16" i="22"/>
  <c r="J16" i="22"/>
  <c r="M15" i="22"/>
  <c r="J15" i="22"/>
  <c r="E15" i="22"/>
  <c r="D15" i="22"/>
  <c r="C15" i="22"/>
  <c r="M14" i="22"/>
  <c r="K14" i="22"/>
  <c r="J14" i="22"/>
  <c r="F14" i="22"/>
  <c r="E14" i="22"/>
  <c r="D14" i="22"/>
  <c r="C14" i="22"/>
  <c r="M13" i="22"/>
  <c r="J13" i="22"/>
  <c r="M12" i="22"/>
  <c r="J12" i="22"/>
  <c r="M11" i="22"/>
  <c r="J11" i="22"/>
  <c r="M10" i="22"/>
  <c r="J10" i="22"/>
  <c r="M9" i="22"/>
  <c r="J9" i="22"/>
  <c r="O8" i="22"/>
  <c r="M8" i="22"/>
  <c r="J8" i="22"/>
  <c r="M7" i="22"/>
  <c r="J7" i="22"/>
  <c r="N6" i="22"/>
  <c r="H4" i="22"/>
  <c r="J59" i="20"/>
  <c r="K57" i="20"/>
  <c r="J57" i="20"/>
  <c r="K56" i="20"/>
  <c r="J56" i="20"/>
  <c r="E53" i="20"/>
  <c r="D53" i="20"/>
  <c r="C53" i="20"/>
  <c r="E52" i="20"/>
  <c r="D52" i="20"/>
  <c r="C52" i="20"/>
  <c r="J51" i="20"/>
  <c r="I51" i="20"/>
  <c r="E51" i="20"/>
  <c r="D51" i="20"/>
  <c r="C51" i="20"/>
  <c r="J50" i="20"/>
  <c r="I50" i="20"/>
  <c r="E50" i="20"/>
  <c r="D50" i="20"/>
  <c r="C50" i="20"/>
  <c r="J49" i="20"/>
  <c r="I49" i="20"/>
  <c r="E49" i="20"/>
  <c r="D49" i="20"/>
  <c r="C49" i="20"/>
  <c r="E48" i="20"/>
  <c r="D48" i="20"/>
  <c r="C48" i="20"/>
  <c r="E47" i="20"/>
  <c r="D47" i="20"/>
  <c r="C47" i="20"/>
  <c r="E46" i="20"/>
  <c r="D46" i="20"/>
  <c r="C46" i="20"/>
  <c r="M45" i="20"/>
  <c r="L45" i="20"/>
  <c r="J45" i="20"/>
  <c r="I45" i="20"/>
  <c r="E45" i="20"/>
  <c r="D45" i="20"/>
  <c r="C45" i="20"/>
  <c r="M44" i="20"/>
  <c r="L44" i="20"/>
  <c r="J44" i="20"/>
  <c r="I44" i="20"/>
  <c r="E44" i="20"/>
  <c r="D44" i="20"/>
  <c r="C44" i="20"/>
  <c r="M43" i="20"/>
  <c r="L43" i="20"/>
  <c r="J43" i="20"/>
  <c r="I43" i="20"/>
  <c r="E43" i="20"/>
  <c r="D43" i="20"/>
  <c r="C43" i="20"/>
  <c r="G42" i="20"/>
  <c r="F42" i="20"/>
  <c r="E42" i="20"/>
  <c r="D42" i="20"/>
  <c r="C42" i="20"/>
  <c r="J41" i="20"/>
  <c r="E41" i="20"/>
  <c r="D41" i="20"/>
  <c r="C41" i="20"/>
  <c r="J40" i="20"/>
  <c r="I40" i="20"/>
  <c r="G40" i="20"/>
  <c r="E40" i="20"/>
  <c r="D40" i="20"/>
  <c r="C40" i="20"/>
  <c r="J39" i="20"/>
  <c r="G39" i="20"/>
  <c r="E39" i="20"/>
  <c r="D39" i="20"/>
  <c r="C39" i="20"/>
  <c r="J38" i="20"/>
  <c r="I38" i="20"/>
  <c r="G38" i="20"/>
  <c r="E38" i="20"/>
  <c r="D38" i="20"/>
  <c r="C38" i="20"/>
  <c r="J37" i="20"/>
  <c r="I37" i="20"/>
  <c r="E35" i="20"/>
  <c r="D35" i="20"/>
  <c r="C35" i="20"/>
  <c r="M34" i="20"/>
  <c r="L34" i="20"/>
  <c r="K34" i="20"/>
  <c r="F34" i="20"/>
  <c r="E34" i="20"/>
  <c r="D34" i="20"/>
  <c r="C34" i="20"/>
  <c r="E33" i="20"/>
  <c r="D33" i="20"/>
  <c r="C33" i="20"/>
  <c r="M32" i="20"/>
  <c r="J32" i="20"/>
  <c r="F32" i="20"/>
  <c r="E32" i="20"/>
  <c r="D32" i="20"/>
  <c r="C32" i="20"/>
  <c r="M31" i="20"/>
  <c r="J31" i="20"/>
  <c r="M30" i="20"/>
  <c r="J30" i="20"/>
  <c r="M29" i="20"/>
  <c r="J29" i="20"/>
  <c r="M28" i="20"/>
  <c r="J28" i="20"/>
  <c r="M27" i="20"/>
  <c r="J27" i="20"/>
  <c r="M26" i="20"/>
  <c r="J26" i="20"/>
  <c r="M25" i="20"/>
  <c r="J25" i="20"/>
  <c r="M24" i="20"/>
  <c r="J24" i="20"/>
  <c r="E24" i="20"/>
  <c r="D24" i="20"/>
  <c r="C24" i="20"/>
  <c r="M23" i="20"/>
  <c r="J23" i="20"/>
  <c r="F23" i="20"/>
  <c r="E23" i="20"/>
  <c r="D23" i="20"/>
  <c r="C23" i="20"/>
  <c r="M22" i="20"/>
  <c r="J22" i="20"/>
  <c r="M21" i="20"/>
  <c r="J21" i="20"/>
  <c r="M20" i="20"/>
  <c r="J20" i="20"/>
  <c r="M19" i="20"/>
  <c r="J19" i="20"/>
  <c r="M18" i="20"/>
  <c r="J18" i="20"/>
  <c r="M17" i="20"/>
  <c r="J17" i="20"/>
  <c r="M16" i="20"/>
  <c r="J16" i="20"/>
  <c r="M15" i="20"/>
  <c r="J15" i="20"/>
  <c r="E15" i="20"/>
  <c r="D15" i="20"/>
  <c r="C15" i="20"/>
  <c r="M14" i="20"/>
  <c r="K14" i="20"/>
  <c r="J14" i="20"/>
  <c r="F14" i="20"/>
  <c r="E14" i="20"/>
  <c r="D14" i="20"/>
  <c r="C14" i="20"/>
  <c r="M13" i="20"/>
  <c r="J13" i="20"/>
  <c r="M12" i="20"/>
  <c r="J12" i="20"/>
  <c r="M11" i="20"/>
  <c r="J11" i="20"/>
  <c r="M10" i="20"/>
  <c r="J10" i="20"/>
  <c r="M9" i="20"/>
  <c r="J9" i="20"/>
  <c r="O8" i="20"/>
  <c r="M8" i="20"/>
  <c r="J8" i="20"/>
  <c r="M7" i="20"/>
  <c r="J7" i="20"/>
  <c r="N6" i="20"/>
  <c r="H4" i="20"/>
  <c r="J59" i="19"/>
  <c r="K57" i="19"/>
  <c r="J57" i="19"/>
  <c r="K56" i="19"/>
  <c r="J56" i="19"/>
  <c r="E53" i="19"/>
  <c r="D53" i="19"/>
  <c r="C53" i="19"/>
  <c r="E52" i="19"/>
  <c r="D52" i="19"/>
  <c r="C52" i="19"/>
  <c r="J51" i="19"/>
  <c r="I51" i="19"/>
  <c r="E51" i="19"/>
  <c r="D51" i="19"/>
  <c r="C51" i="19"/>
  <c r="J50" i="19"/>
  <c r="I50" i="19"/>
  <c r="E50" i="19"/>
  <c r="D50" i="19"/>
  <c r="C50" i="19"/>
  <c r="J49" i="19"/>
  <c r="I49" i="19"/>
  <c r="E49" i="19"/>
  <c r="D49" i="19"/>
  <c r="C49" i="19"/>
  <c r="E48" i="19"/>
  <c r="D48" i="19"/>
  <c r="C48" i="19"/>
  <c r="E47" i="19"/>
  <c r="D47" i="19"/>
  <c r="C47" i="19"/>
  <c r="E46" i="19"/>
  <c r="D46" i="19"/>
  <c r="C46" i="19"/>
  <c r="M45" i="19"/>
  <c r="L45" i="19"/>
  <c r="J45" i="19"/>
  <c r="I45" i="19"/>
  <c r="E45" i="19"/>
  <c r="D45" i="19"/>
  <c r="C45" i="19"/>
  <c r="M44" i="19"/>
  <c r="L44" i="19"/>
  <c r="J44" i="19"/>
  <c r="I44" i="19"/>
  <c r="E44" i="19"/>
  <c r="D44" i="19"/>
  <c r="C44" i="19"/>
  <c r="M43" i="19"/>
  <c r="L43" i="19"/>
  <c r="J43" i="19"/>
  <c r="I43" i="19"/>
  <c r="E43" i="19"/>
  <c r="D43" i="19"/>
  <c r="C43" i="19"/>
  <c r="E42" i="19"/>
  <c r="D42" i="19"/>
  <c r="C42" i="19"/>
  <c r="J41" i="19"/>
  <c r="E41" i="19"/>
  <c r="D41" i="19"/>
  <c r="C41" i="19"/>
  <c r="J40" i="19"/>
  <c r="I40" i="19"/>
  <c r="G40" i="19"/>
  <c r="E40" i="19"/>
  <c r="D40" i="19"/>
  <c r="C40" i="19"/>
  <c r="J39" i="19"/>
  <c r="G39" i="19"/>
  <c r="E39" i="19"/>
  <c r="D39" i="19"/>
  <c r="C39" i="19"/>
  <c r="J38" i="19"/>
  <c r="I38" i="19"/>
  <c r="G38" i="19"/>
  <c r="E38" i="19"/>
  <c r="D38" i="19"/>
  <c r="C38" i="19"/>
  <c r="J37" i="19"/>
  <c r="I37" i="19"/>
  <c r="E35" i="19"/>
  <c r="D35" i="19"/>
  <c r="C35" i="19"/>
  <c r="M34" i="19"/>
  <c r="L34" i="19"/>
  <c r="K34" i="19"/>
  <c r="F34" i="19"/>
  <c r="E34" i="19"/>
  <c r="D34" i="19"/>
  <c r="C34" i="19"/>
  <c r="E33" i="19"/>
  <c r="D33" i="19"/>
  <c r="C33" i="19"/>
  <c r="M32" i="19"/>
  <c r="J32" i="19"/>
  <c r="F32" i="19"/>
  <c r="E32" i="19"/>
  <c r="D32" i="19"/>
  <c r="C32" i="19"/>
  <c r="M31" i="19"/>
  <c r="J31" i="19"/>
  <c r="M30" i="19"/>
  <c r="J30" i="19"/>
  <c r="M29" i="19"/>
  <c r="J29" i="19"/>
  <c r="M28" i="19"/>
  <c r="J28" i="19"/>
  <c r="M27" i="19"/>
  <c r="J27" i="19"/>
  <c r="M26" i="19"/>
  <c r="J26" i="19"/>
  <c r="M25" i="19"/>
  <c r="J25" i="19"/>
  <c r="M24" i="19"/>
  <c r="J24" i="19"/>
  <c r="E24" i="19"/>
  <c r="D24" i="19"/>
  <c r="C24" i="19"/>
  <c r="M23" i="19"/>
  <c r="J23" i="19"/>
  <c r="E23" i="19"/>
  <c r="D23" i="19"/>
  <c r="C23" i="19"/>
  <c r="M22" i="19"/>
  <c r="J22" i="19"/>
  <c r="M21" i="19"/>
  <c r="J21" i="19"/>
  <c r="M20" i="19"/>
  <c r="J20" i="19"/>
  <c r="M19" i="19"/>
  <c r="J19" i="19"/>
  <c r="M18" i="19"/>
  <c r="J18" i="19"/>
  <c r="M17" i="19"/>
  <c r="J17" i="19"/>
  <c r="M16" i="19"/>
  <c r="J16" i="19"/>
  <c r="M15" i="19"/>
  <c r="J15" i="19"/>
  <c r="E15" i="19"/>
  <c r="D15" i="19"/>
  <c r="C15" i="19"/>
  <c r="M14" i="19"/>
  <c r="K14" i="19"/>
  <c r="J14" i="19"/>
  <c r="E14" i="19"/>
  <c r="D14" i="19"/>
  <c r="C14" i="19"/>
  <c r="M13" i="19"/>
  <c r="J13" i="19"/>
  <c r="M12" i="19"/>
  <c r="J12" i="19"/>
  <c r="M11" i="19"/>
  <c r="J11" i="19"/>
  <c r="M10" i="19"/>
  <c r="J10" i="19"/>
  <c r="M9" i="19"/>
  <c r="J9" i="19"/>
  <c r="O8" i="19"/>
  <c r="M8" i="19"/>
  <c r="J8" i="19"/>
  <c r="M7" i="19"/>
  <c r="J7" i="19"/>
  <c r="N6" i="19"/>
  <c r="H4" i="19"/>
  <c r="J59" i="18"/>
  <c r="K57" i="18"/>
  <c r="J57" i="18"/>
  <c r="K56" i="18"/>
  <c r="J56" i="18"/>
  <c r="E53" i="18"/>
  <c r="D53" i="18"/>
  <c r="C53" i="18"/>
  <c r="E52" i="18"/>
  <c r="D52" i="18"/>
  <c r="C52" i="18"/>
  <c r="J51" i="18"/>
  <c r="I51" i="18"/>
  <c r="E51" i="18"/>
  <c r="D51" i="18"/>
  <c r="C51" i="18"/>
  <c r="J50" i="18"/>
  <c r="I50" i="18"/>
  <c r="E50" i="18"/>
  <c r="D50" i="18"/>
  <c r="C50" i="18"/>
  <c r="J49" i="18"/>
  <c r="I49" i="18"/>
  <c r="E49" i="18"/>
  <c r="D49" i="18"/>
  <c r="C49" i="18"/>
  <c r="E48" i="18"/>
  <c r="D48" i="18"/>
  <c r="C48" i="18"/>
  <c r="E47" i="18"/>
  <c r="D47" i="18"/>
  <c r="C47" i="18"/>
  <c r="E46" i="18"/>
  <c r="D46" i="18"/>
  <c r="C46" i="18"/>
  <c r="M45" i="18"/>
  <c r="L45" i="18"/>
  <c r="J45" i="18"/>
  <c r="I45" i="18"/>
  <c r="E45" i="18"/>
  <c r="D45" i="18"/>
  <c r="C45" i="18"/>
  <c r="M44" i="18"/>
  <c r="L44" i="18"/>
  <c r="J44" i="18"/>
  <c r="I44" i="18"/>
  <c r="E44" i="18"/>
  <c r="D44" i="18"/>
  <c r="C44" i="18"/>
  <c r="M43" i="18"/>
  <c r="L43" i="18"/>
  <c r="J43" i="18"/>
  <c r="I43" i="18"/>
  <c r="E43" i="18"/>
  <c r="D43" i="18"/>
  <c r="C43" i="18"/>
  <c r="E42" i="18"/>
  <c r="D42" i="18"/>
  <c r="C42" i="18"/>
  <c r="J41" i="18"/>
  <c r="E41" i="18"/>
  <c r="D41" i="18"/>
  <c r="C41" i="18"/>
  <c r="J40" i="18"/>
  <c r="I40" i="18"/>
  <c r="G40" i="18"/>
  <c r="E40" i="18"/>
  <c r="D40" i="18"/>
  <c r="C40" i="18"/>
  <c r="J39" i="18"/>
  <c r="E39" i="18"/>
  <c r="D39" i="18"/>
  <c r="C39" i="18"/>
  <c r="N38" i="18"/>
  <c r="J38" i="18"/>
  <c r="I38" i="18"/>
  <c r="G38" i="18"/>
  <c r="E38" i="18"/>
  <c r="D38" i="18"/>
  <c r="C38" i="18"/>
  <c r="N37" i="18"/>
  <c r="J37" i="18"/>
  <c r="I37" i="18"/>
  <c r="E35" i="18"/>
  <c r="D35" i="18"/>
  <c r="C35" i="18"/>
  <c r="M34" i="18"/>
  <c r="L34" i="18"/>
  <c r="K34" i="18"/>
  <c r="F34" i="18"/>
  <c r="E34" i="18"/>
  <c r="D34" i="18"/>
  <c r="C34" i="18"/>
  <c r="E33" i="18"/>
  <c r="D33" i="18"/>
  <c r="C33" i="18"/>
  <c r="M32" i="18"/>
  <c r="J32" i="18"/>
  <c r="F32" i="18"/>
  <c r="E32" i="18"/>
  <c r="D32" i="18"/>
  <c r="C32" i="18"/>
  <c r="M31" i="18"/>
  <c r="J31" i="18"/>
  <c r="M30" i="18"/>
  <c r="J30" i="18"/>
  <c r="M29" i="18"/>
  <c r="J29" i="18"/>
  <c r="M28" i="18"/>
  <c r="J28" i="18"/>
  <c r="M27" i="18"/>
  <c r="J27" i="18"/>
  <c r="M26" i="18"/>
  <c r="J26" i="18"/>
  <c r="M25" i="18"/>
  <c r="J25" i="18"/>
  <c r="M24" i="18"/>
  <c r="J24" i="18"/>
  <c r="E24" i="18"/>
  <c r="D24" i="18"/>
  <c r="C24" i="18"/>
  <c r="M23" i="18"/>
  <c r="J23" i="18"/>
  <c r="F23" i="18"/>
  <c r="E23" i="18"/>
  <c r="D23" i="18"/>
  <c r="C23" i="18"/>
  <c r="M22" i="18"/>
  <c r="J22" i="18"/>
  <c r="M21" i="18"/>
  <c r="J21" i="18"/>
  <c r="M20" i="18"/>
  <c r="J20" i="18"/>
  <c r="R19" i="18"/>
  <c r="Q19" i="18"/>
  <c r="M19" i="18"/>
  <c r="J19" i="18"/>
  <c r="R18" i="18"/>
  <c r="Q18" i="18"/>
  <c r="P18" i="18"/>
  <c r="M18" i="18"/>
  <c r="J18" i="18"/>
  <c r="R17" i="18"/>
  <c r="Q17" i="18"/>
  <c r="O17" i="18"/>
  <c r="M17" i="18"/>
  <c r="J17" i="18"/>
  <c r="C17" i="18"/>
  <c r="R16" i="18"/>
  <c r="Q16" i="18"/>
  <c r="O16" i="18"/>
  <c r="M16" i="18"/>
  <c r="J16" i="18"/>
  <c r="M15" i="18"/>
  <c r="K15" i="18"/>
  <c r="E15" i="18"/>
  <c r="D15" i="18"/>
  <c r="C15" i="18"/>
  <c r="M14" i="18"/>
  <c r="K14" i="18"/>
  <c r="J14" i="18"/>
  <c r="F14" i="18"/>
  <c r="E14" i="18"/>
  <c r="D14" i="18"/>
  <c r="C14" i="18"/>
  <c r="M13" i="18"/>
  <c r="J13" i="18"/>
  <c r="M12" i="18"/>
  <c r="J12" i="18"/>
  <c r="M11" i="18"/>
  <c r="J11" i="18"/>
  <c r="M10" i="18"/>
  <c r="J10" i="18"/>
  <c r="M9" i="18"/>
  <c r="J9" i="18"/>
  <c r="O8" i="18"/>
  <c r="M8" i="18"/>
  <c r="J8" i="18"/>
  <c r="M7" i="18"/>
  <c r="J7" i="18"/>
  <c r="N6" i="18"/>
  <c r="H4" i="18"/>
  <c r="K57" i="17"/>
  <c r="J57" i="17"/>
  <c r="K56" i="17"/>
  <c r="J56" i="17"/>
  <c r="E53" i="17"/>
  <c r="D53" i="17"/>
  <c r="C53" i="17"/>
  <c r="E52" i="17"/>
  <c r="D52" i="17"/>
  <c r="C52" i="17"/>
  <c r="J51" i="17"/>
  <c r="I51" i="17"/>
  <c r="E51" i="17"/>
  <c r="D51" i="17"/>
  <c r="C51" i="17"/>
  <c r="J50" i="17"/>
  <c r="I50" i="17"/>
  <c r="E50" i="17"/>
  <c r="D50" i="17"/>
  <c r="C50" i="17"/>
  <c r="J49" i="17"/>
  <c r="I49" i="17"/>
  <c r="E49" i="17"/>
  <c r="D49" i="17"/>
  <c r="C49" i="17"/>
  <c r="E48" i="17"/>
  <c r="D48" i="17"/>
  <c r="C48" i="17"/>
  <c r="E47" i="17"/>
  <c r="D47" i="17"/>
  <c r="C47" i="17"/>
  <c r="E46" i="17"/>
  <c r="D46" i="17"/>
  <c r="C46" i="17"/>
  <c r="M45" i="17"/>
  <c r="L45" i="17"/>
  <c r="J45" i="17"/>
  <c r="I45" i="17"/>
  <c r="E45" i="17"/>
  <c r="D45" i="17"/>
  <c r="C45" i="17"/>
  <c r="M44" i="17"/>
  <c r="L44" i="17"/>
  <c r="J44" i="17"/>
  <c r="I44" i="17"/>
  <c r="E44" i="17"/>
  <c r="D44" i="17"/>
  <c r="C44" i="17"/>
  <c r="M43" i="17"/>
  <c r="L43" i="17"/>
  <c r="J43" i="17"/>
  <c r="I43" i="17"/>
  <c r="E43" i="17"/>
  <c r="D43" i="17"/>
  <c r="C43" i="17"/>
  <c r="G42" i="17"/>
  <c r="F42" i="17"/>
  <c r="E42" i="17"/>
  <c r="D42" i="17"/>
  <c r="C42" i="17"/>
  <c r="J41" i="17"/>
  <c r="E41" i="17"/>
  <c r="D41" i="17"/>
  <c r="C41" i="17"/>
  <c r="J40" i="17"/>
  <c r="I40" i="17"/>
  <c r="E40" i="17"/>
  <c r="D40" i="17"/>
  <c r="C40" i="17"/>
  <c r="J39" i="17"/>
  <c r="E39" i="17"/>
  <c r="D39" i="17"/>
  <c r="C39" i="17"/>
  <c r="O38" i="17"/>
  <c r="N38" i="17"/>
  <c r="J38" i="17"/>
  <c r="I38" i="17"/>
  <c r="E38" i="17"/>
  <c r="D38" i="17"/>
  <c r="C38" i="17"/>
  <c r="O37" i="17"/>
  <c r="N37" i="17"/>
  <c r="J37" i="17"/>
  <c r="I37" i="17"/>
  <c r="E35" i="17"/>
  <c r="D35" i="17"/>
  <c r="C35" i="17"/>
  <c r="M34" i="17"/>
  <c r="L34" i="17"/>
  <c r="K34" i="17"/>
  <c r="F34" i="17"/>
  <c r="E34" i="17"/>
  <c r="D34" i="17"/>
  <c r="C34" i="17"/>
  <c r="E33" i="17"/>
  <c r="D33" i="17"/>
  <c r="C33" i="17"/>
  <c r="M32" i="17"/>
  <c r="J32" i="17"/>
  <c r="F32" i="17"/>
  <c r="E32" i="17"/>
  <c r="D32" i="17"/>
  <c r="C32" i="17"/>
  <c r="M31" i="17"/>
  <c r="J31" i="17"/>
  <c r="M30" i="17"/>
  <c r="J30" i="17"/>
  <c r="M29" i="17"/>
  <c r="J29" i="17"/>
  <c r="M28" i="17"/>
  <c r="J28" i="17"/>
  <c r="M27" i="17"/>
  <c r="J27" i="17"/>
  <c r="M26" i="17"/>
  <c r="J26" i="17"/>
  <c r="M25" i="17"/>
  <c r="J25" i="17"/>
  <c r="M24" i="17"/>
  <c r="J24" i="17"/>
  <c r="E24" i="17"/>
  <c r="D24" i="17"/>
  <c r="C24" i="17"/>
  <c r="M23" i="17"/>
  <c r="J23" i="17"/>
  <c r="F23" i="17"/>
  <c r="E23" i="17"/>
  <c r="D23" i="17"/>
  <c r="C23" i="17"/>
  <c r="M22" i="17"/>
  <c r="J22" i="17"/>
  <c r="M21" i="17"/>
  <c r="J21" i="17"/>
  <c r="M20" i="17"/>
  <c r="J20" i="17"/>
  <c r="M19" i="17"/>
  <c r="J19" i="17"/>
  <c r="M18" i="17"/>
  <c r="J18" i="17"/>
  <c r="M17" i="17"/>
  <c r="J17" i="17"/>
  <c r="M16" i="17"/>
  <c r="J16" i="17"/>
  <c r="M15" i="17"/>
  <c r="K15" i="17"/>
  <c r="J15" i="17"/>
  <c r="E15" i="17"/>
  <c r="D15" i="17"/>
  <c r="C15" i="17"/>
  <c r="M14" i="17"/>
  <c r="J14" i="17"/>
  <c r="F14" i="17"/>
  <c r="E14" i="17"/>
  <c r="D14" i="17"/>
  <c r="C14" i="17"/>
  <c r="M13" i="17"/>
  <c r="J13" i="17"/>
  <c r="M12" i="17"/>
  <c r="J12" i="17"/>
  <c r="M11" i="17"/>
  <c r="J11" i="17"/>
  <c r="M10" i="17"/>
  <c r="K10" i="17"/>
  <c r="J10" i="17"/>
  <c r="M9" i="17"/>
  <c r="J9" i="17"/>
  <c r="O8" i="17"/>
  <c r="M8" i="17"/>
  <c r="J8" i="17"/>
  <c r="M7" i="17"/>
  <c r="J7" i="17"/>
  <c r="N6" i="17"/>
  <c r="H4" i="17"/>
  <c r="K57" i="16"/>
  <c r="J57" i="16"/>
  <c r="K56" i="16"/>
  <c r="J56" i="16"/>
  <c r="E53" i="16"/>
  <c r="D53" i="16"/>
  <c r="C53" i="16"/>
  <c r="E52" i="16"/>
  <c r="D52" i="16"/>
  <c r="C52" i="16"/>
  <c r="J51" i="16"/>
  <c r="I51" i="16"/>
  <c r="E51" i="16"/>
  <c r="D51" i="16"/>
  <c r="C51" i="16"/>
  <c r="J50" i="16"/>
  <c r="I50" i="16"/>
  <c r="E50" i="16"/>
  <c r="D50" i="16"/>
  <c r="C50" i="16"/>
  <c r="J49" i="16"/>
  <c r="I49" i="16"/>
  <c r="E49" i="16"/>
  <c r="D49" i="16"/>
  <c r="C49" i="16"/>
  <c r="E48" i="16"/>
  <c r="D48" i="16"/>
  <c r="C48" i="16"/>
  <c r="E47" i="16"/>
  <c r="D47" i="16"/>
  <c r="C47" i="16"/>
  <c r="E46" i="16"/>
  <c r="D46" i="16"/>
  <c r="C46" i="16"/>
  <c r="M45" i="16"/>
  <c r="L45" i="16"/>
  <c r="J45" i="16"/>
  <c r="I45" i="16"/>
  <c r="E45" i="16"/>
  <c r="D45" i="16"/>
  <c r="C45" i="16"/>
  <c r="M44" i="16"/>
  <c r="L44" i="16"/>
  <c r="J44" i="16"/>
  <c r="I44" i="16"/>
  <c r="E44" i="16"/>
  <c r="D44" i="16"/>
  <c r="C44" i="16"/>
  <c r="M43" i="16"/>
  <c r="L43" i="16"/>
  <c r="J43" i="16"/>
  <c r="I43" i="16"/>
  <c r="E43" i="16"/>
  <c r="D43" i="16"/>
  <c r="C43" i="16"/>
  <c r="G42" i="16"/>
  <c r="F42" i="16"/>
  <c r="E42" i="16"/>
  <c r="D42" i="16"/>
  <c r="C42" i="16"/>
  <c r="J41" i="16"/>
  <c r="E41" i="16"/>
  <c r="D41" i="16"/>
  <c r="C41" i="16"/>
  <c r="J40" i="16"/>
  <c r="I40" i="16"/>
  <c r="G40" i="16"/>
  <c r="E40" i="16"/>
  <c r="D40" i="16"/>
  <c r="C40" i="16"/>
  <c r="N39" i="16"/>
  <c r="J39" i="16"/>
  <c r="G39" i="16"/>
  <c r="E39" i="16"/>
  <c r="D39" i="16"/>
  <c r="C39" i="16"/>
  <c r="N38" i="16"/>
  <c r="J38" i="16"/>
  <c r="I38" i="16"/>
  <c r="G38" i="16"/>
  <c r="E38" i="16"/>
  <c r="D38" i="16"/>
  <c r="C38" i="16"/>
  <c r="N37" i="16"/>
  <c r="J37" i="16"/>
  <c r="I37" i="16"/>
  <c r="E35" i="16"/>
  <c r="D35" i="16"/>
  <c r="C35" i="16"/>
  <c r="M34" i="16"/>
  <c r="L34" i="16"/>
  <c r="K34" i="16"/>
  <c r="F34" i="16"/>
  <c r="E34" i="16"/>
  <c r="D34" i="16"/>
  <c r="C34" i="16"/>
  <c r="E33" i="16"/>
  <c r="D33" i="16"/>
  <c r="C33" i="16"/>
  <c r="M32" i="16"/>
  <c r="J32" i="16"/>
  <c r="F32" i="16"/>
  <c r="E32" i="16"/>
  <c r="D32" i="16"/>
  <c r="C32" i="16"/>
  <c r="M31" i="16"/>
  <c r="J31" i="16"/>
  <c r="M30" i="16"/>
  <c r="J30" i="16"/>
  <c r="M29" i="16"/>
  <c r="J29" i="16"/>
  <c r="M28" i="16"/>
  <c r="J28" i="16"/>
  <c r="M27" i="16"/>
  <c r="J27" i="16"/>
  <c r="M26" i="16"/>
  <c r="J26" i="16"/>
  <c r="M25" i="16"/>
  <c r="J25" i="16"/>
  <c r="M24" i="16"/>
  <c r="J24" i="16"/>
  <c r="E24" i="16"/>
  <c r="D24" i="16"/>
  <c r="C24" i="16"/>
  <c r="M23" i="16"/>
  <c r="J23" i="16"/>
  <c r="E23" i="16"/>
  <c r="D23" i="16"/>
  <c r="C23" i="16"/>
  <c r="M22" i="16"/>
  <c r="J22" i="16"/>
  <c r="M21" i="16"/>
  <c r="J21" i="16"/>
  <c r="M20" i="16"/>
  <c r="J20" i="16"/>
  <c r="M19" i="16"/>
  <c r="J19" i="16"/>
  <c r="M18" i="16"/>
  <c r="J18" i="16"/>
  <c r="M17" i="16"/>
  <c r="J17" i="16"/>
  <c r="M16" i="16"/>
  <c r="K16" i="16"/>
  <c r="M15" i="16"/>
  <c r="J15" i="16"/>
  <c r="E15" i="16"/>
  <c r="D15" i="16"/>
  <c r="C15" i="16"/>
  <c r="M14" i="16"/>
  <c r="J14" i="16"/>
  <c r="E14" i="16"/>
  <c r="D14" i="16"/>
  <c r="C14" i="16"/>
  <c r="M13" i="16"/>
  <c r="J13" i="16"/>
  <c r="M12" i="16"/>
  <c r="J12" i="16"/>
  <c r="F12" i="16"/>
  <c r="P11" i="16"/>
  <c r="M11" i="16"/>
  <c r="K11" i="16"/>
  <c r="J11" i="16"/>
  <c r="P10" i="16"/>
  <c r="O10" i="16"/>
  <c r="M10" i="16"/>
  <c r="K10" i="16"/>
  <c r="J10" i="16"/>
  <c r="P9" i="16"/>
  <c r="O9" i="16"/>
  <c r="M9" i="16"/>
  <c r="J9" i="16"/>
  <c r="P8" i="16"/>
  <c r="O8" i="16"/>
  <c r="M8" i="16"/>
  <c r="J8" i="16"/>
  <c r="M7" i="16"/>
  <c r="J7" i="16"/>
  <c r="N6" i="16"/>
  <c r="H4" i="16"/>
  <c r="K57" i="15"/>
  <c r="J57" i="15"/>
  <c r="K56" i="15"/>
  <c r="J56" i="15"/>
  <c r="E53" i="15"/>
  <c r="D53" i="15"/>
  <c r="C53" i="15"/>
  <c r="E52" i="15"/>
  <c r="D52" i="15"/>
  <c r="C52" i="15"/>
  <c r="J51" i="15"/>
  <c r="I51" i="15"/>
  <c r="E51" i="15"/>
  <c r="D51" i="15"/>
  <c r="C51" i="15"/>
  <c r="J50" i="15"/>
  <c r="I50" i="15"/>
  <c r="E50" i="15"/>
  <c r="D50" i="15"/>
  <c r="C50" i="15"/>
  <c r="J49" i="15"/>
  <c r="I49" i="15"/>
  <c r="E49" i="15"/>
  <c r="D49" i="15"/>
  <c r="C49" i="15"/>
  <c r="E48" i="15"/>
  <c r="D48" i="15"/>
  <c r="C48" i="15"/>
  <c r="E47" i="15"/>
  <c r="D47" i="15"/>
  <c r="C47" i="15"/>
  <c r="E46" i="15"/>
  <c r="D46" i="15"/>
  <c r="C46" i="15"/>
  <c r="M45" i="15"/>
  <c r="L45" i="15"/>
  <c r="J45" i="15"/>
  <c r="I45" i="15"/>
  <c r="E45" i="15"/>
  <c r="D45" i="15"/>
  <c r="C45" i="15"/>
  <c r="M44" i="15"/>
  <c r="L44" i="15"/>
  <c r="J44" i="15"/>
  <c r="I44" i="15"/>
  <c r="E44" i="15"/>
  <c r="D44" i="15"/>
  <c r="C44" i="15"/>
  <c r="M43" i="15"/>
  <c r="L43" i="15"/>
  <c r="J43" i="15"/>
  <c r="I43" i="15"/>
  <c r="E43" i="15"/>
  <c r="D43" i="15"/>
  <c r="C43" i="15"/>
  <c r="G42" i="15"/>
  <c r="F42" i="15"/>
  <c r="E42" i="15"/>
  <c r="D42" i="15"/>
  <c r="C42" i="15"/>
  <c r="J41" i="15"/>
  <c r="E41" i="15"/>
  <c r="D41" i="15"/>
  <c r="C41" i="15"/>
  <c r="J40" i="15"/>
  <c r="I40" i="15"/>
  <c r="G40" i="15"/>
  <c r="E40" i="15"/>
  <c r="D40" i="15"/>
  <c r="C40" i="15"/>
  <c r="J39" i="15"/>
  <c r="G39" i="15"/>
  <c r="E39" i="15"/>
  <c r="D39" i="15"/>
  <c r="C39" i="15"/>
  <c r="N38" i="15"/>
  <c r="J38" i="15"/>
  <c r="I38" i="15"/>
  <c r="E38" i="15"/>
  <c r="D38" i="15"/>
  <c r="C38" i="15"/>
  <c r="J37" i="15"/>
  <c r="I37" i="15"/>
  <c r="E35" i="15"/>
  <c r="D35" i="15"/>
  <c r="C35" i="15"/>
  <c r="M34" i="15"/>
  <c r="L34" i="15"/>
  <c r="K34" i="15"/>
  <c r="F34" i="15"/>
  <c r="E34" i="15"/>
  <c r="D34" i="15"/>
  <c r="C34" i="15"/>
  <c r="E33" i="15"/>
  <c r="D33" i="15"/>
  <c r="C33" i="15"/>
  <c r="M32" i="15"/>
  <c r="J32" i="15"/>
  <c r="F32" i="15"/>
  <c r="E32" i="15"/>
  <c r="D32" i="15"/>
  <c r="C32" i="15"/>
  <c r="M31" i="15"/>
  <c r="J31" i="15"/>
  <c r="M30" i="15"/>
  <c r="J30" i="15"/>
  <c r="M29" i="15"/>
  <c r="J29" i="15"/>
  <c r="M28" i="15"/>
  <c r="J28" i="15"/>
  <c r="M27" i="15"/>
  <c r="J27" i="15"/>
  <c r="M26" i="15"/>
  <c r="J26" i="15"/>
  <c r="M25" i="15"/>
  <c r="J25" i="15"/>
  <c r="M24" i="15"/>
  <c r="J24" i="15"/>
  <c r="E24" i="15"/>
  <c r="D24" i="15"/>
  <c r="C24" i="15"/>
  <c r="M23" i="15"/>
  <c r="J23" i="15"/>
  <c r="E23" i="15"/>
  <c r="D23" i="15"/>
  <c r="C23" i="15"/>
  <c r="M22" i="15"/>
  <c r="J22" i="15"/>
  <c r="R21" i="15"/>
  <c r="Q21" i="15"/>
  <c r="M21" i="15"/>
  <c r="J21" i="15"/>
  <c r="R20" i="15"/>
  <c r="Q20" i="15"/>
  <c r="P20" i="15"/>
  <c r="M20" i="15"/>
  <c r="J20" i="15"/>
  <c r="R19" i="15"/>
  <c r="Q19" i="15"/>
  <c r="P19" i="15"/>
  <c r="O19" i="15"/>
  <c r="M19" i="15"/>
  <c r="J19" i="15"/>
  <c r="R18" i="15"/>
  <c r="Q18" i="15"/>
  <c r="P18" i="15"/>
  <c r="O18" i="15"/>
  <c r="M18" i="15"/>
  <c r="J18" i="15"/>
  <c r="M17" i="15"/>
  <c r="K17" i="15"/>
  <c r="M16" i="15"/>
  <c r="K16" i="15"/>
  <c r="J16" i="15"/>
  <c r="M15" i="15"/>
  <c r="J15" i="15"/>
  <c r="E15" i="15"/>
  <c r="D15" i="15"/>
  <c r="C15" i="15"/>
  <c r="M14" i="15"/>
  <c r="J14" i="15"/>
  <c r="E14" i="15"/>
  <c r="D14" i="15"/>
  <c r="C14" i="15"/>
  <c r="M13" i="15"/>
  <c r="J13" i="15"/>
  <c r="R12" i="15"/>
  <c r="Q12" i="15"/>
  <c r="M12" i="15"/>
  <c r="J12" i="15"/>
  <c r="R11" i="15"/>
  <c r="Q11" i="15"/>
  <c r="P11" i="15"/>
  <c r="M11" i="15"/>
  <c r="J11" i="15"/>
  <c r="R10" i="15"/>
  <c r="Q10" i="15"/>
  <c r="O10" i="15"/>
  <c r="M10" i="15"/>
  <c r="J10" i="15"/>
  <c r="R9" i="15"/>
  <c r="Q9" i="15"/>
  <c r="P9" i="15"/>
  <c r="O9" i="15"/>
  <c r="M9" i="15"/>
  <c r="J9" i="15"/>
  <c r="R8" i="15"/>
  <c r="Q8" i="15"/>
  <c r="O8" i="15"/>
  <c r="M8" i="15"/>
  <c r="J8" i="15"/>
  <c r="M7" i="15"/>
  <c r="J7" i="15"/>
  <c r="N6" i="15"/>
  <c r="H4" i="15"/>
  <c r="K57" i="14"/>
  <c r="J57" i="14"/>
  <c r="K56" i="14"/>
  <c r="J56" i="14"/>
  <c r="E53" i="14"/>
  <c r="D53" i="14"/>
  <c r="C53" i="14"/>
  <c r="E52" i="14"/>
  <c r="D52" i="14"/>
  <c r="C52" i="14"/>
  <c r="J51" i="14"/>
  <c r="I51" i="14"/>
  <c r="E51" i="14"/>
  <c r="D51" i="14"/>
  <c r="C51" i="14"/>
  <c r="J50" i="14"/>
  <c r="I50" i="14"/>
  <c r="E50" i="14"/>
  <c r="D50" i="14"/>
  <c r="C50" i="14"/>
  <c r="J49" i="14"/>
  <c r="I49" i="14"/>
  <c r="E49" i="14"/>
  <c r="D49" i="14"/>
  <c r="C49" i="14"/>
  <c r="E48" i="14"/>
  <c r="D48" i="14"/>
  <c r="C48" i="14"/>
  <c r="E47" i="14"/>
  <c r="D47" i="14"/>
  <c r="C47" i="14"/>
  <c r="E46" i="14"/>
  <c r="D46" i="14"/>
  <c r="C46" i="14"/>
  <c r="M45" i="14"/>
  <c r="L45" i="14"/>
  <c r="J45" i="14"/>
  <c r="I45" i="14"/>
  <c r="E45" i="14"/>
  <c r="D45" i="14"/>
  <c r="C45" i="14"/>
  <c r="M44" i="14"/>
  <c r="L44" i="14"/>
  <c r="J44" i="14"/>
  <c r="I44" i="14"/>
  <c r="E44" i="14"/>
  <c r="D44" i="14"/>
  <c r="C44" i="14"/>
  <c r="M43" i="14"/>
  <c r="L43" i="14"/>
  <c r="J43" i="14"/>
  <c r="I43" i="14"/>
  <c r="E43" i="14"/>
  <c r="D43" i="14"/>
  <c r="C43" i="14"/>
  <c r="G42" i="14"/>
  <c r="F42" i="14"/>
  <c r="E42" i="14"/>
  <c r="D42" i="14"/>
  <c r="C42" i="14"/>
  <c r="J41" i="14"/>
  <c r="E41" i="14"/>
  <c r="D41" i="14"/>
  <c r="C41" i="14"/>
  <c r="J40" i="14"/>
  <c r="I40" i="14"/>
  <c r="E40" i="14"/>
  <c r="D40" i="14"/>
  <c r="C40" i="14"/>
  <c r="J39" i="14"/>
  <c r="E39" i="14"/>
  <c r="D39" i="14"/>
  <c r="C39" i="14"/>
  <c r="N38" i="14"/>
  <c r="J38" i="14"/>
  <c r="I38" i="14"/>
  <c r="G38" i="14"/>
  <c r="E38" i="14"/>
  <c r="D38" i="14"/>
  <c r="C38" i="14"/>
  <c r="N37" i="14"/>
  <c r="J37" i="14"/>
  <c r="I37" i="14"/>
  <c r="E35" i="14"/>
  <c r="D35" i="14"/>
  <c r="C35" i="14"/>
  <c r="M34" i="14"/>
  <c r="L34" i="14"/>
  <c r="K34" i="14"/>
  <c r="F34" i="14"/>
  <c r="E34" i="14"/>
  <c r="D34" i="14"/>
  <c r="C34" i="14"/>
  <c r="E33" i="14"/>
  <c r="D33" i="14"/>
  <c r="C33" i="14"/>
  <c r="M32" i="14"/>
  <c r="J32" i="14"/>
  <c r="F32" i="14"/>
  <c r="E32" i="14"/>
  <c r="D32" i="14"/>
  <c r="C32" i="14"/>
  <c r="M31" i="14"/>
  <c r="J31" i="14"/>
  <c r="M30" i="14"/>
  <c r="J30" i="14"/>
  <c r="M29" i="14"/>
  <c r="J29" i="14"/>
  <c r="M28" i="14"/>
  <c r="J28" i="14"/>
  <c r="M27" i="14"/>
  <c r="J27" i="14"/>
  <c r="M26" i="14"/>
  <c r="J26" i="14"/>
  <c r="M25" i="14"/>
  <c r="J25" i="14"/>
  <c r="M24" i="14"/>
  <c r="J24" i="14"/>
  <c r="E24" i="14"/>
  <c r="D24" i="14"/>
  <c r="C24" i="14"/>
  <c r="M23" i="14"/>
  <c r="J23" i="14"/>
  <c r="F23" i="14"/>
  <c r="E23" i="14"/>
  <c r="D23" i="14"/>
  <c r="C23" i="14"/>
  <c r="M22" i="14"/>
  <c r="J22" i="14"/>
  <c r="M21" i="14"/>
  <c r="J21" i="14"/>
  <c r="M20" i="14"/>
  <c r="J20" i="14"/>
  <c r="M19" i="14"/>
  <c r="J19" i="14"/>
  <c r="R18" i="14"/>
  <c r="Q18" i="14"/>
  <c r="M18" i="14"/>
  <c r="K18" i="14"/>
  <c r="R17" i="14"/>
  <c r="Q17" i="14"/>
  <c r="P17" i="14"/>
  <c r="M17" i="14"/>
  <c r="K17" i="14"/>
  <c r="J17" i="14"/>
  <c r="C17" i="14"/>
  <c r="R16" i="14"/>
  <c r="Q16" i="14"/>
  <c r="P16" i="14"/>
  <c r="O16" i="14"/>
  <c r="M16" i="14"/>
  <c r="J16" i="14"/>
  <c r="R15" i="14"/>
  <c r="Q15" i="14"/>
  <c r="P15" i="14"/>
  <c r="O15" i="14"/>
  <c r="M15" i="14"/>
  <c r="J15" i="14"/>
  <c r="E15" i="14"/>
  <c r="D15" i="14"/>
  <c r="C15" i="14"/>
  <c r="M14" i="14"/>
  <c r="J14" i="14"/>
  <c r="F14" i="14"/>
  <c r="E14" i="14"/>
  <c r="D14" i="14"/>
  <c r="C14" i="14"/>
  <c r="M13" i="14"/>
  <c r="J13" i="14"/>
  <c r="M12" i="14"/>
  <c r="J12" i="14"/>
  <c r="M11" i="14"/>
  <c r="J11" i="14"/>
  <c r="M10" i="14"/>
  <c r="J10" i="14"/>
  <c r="M9" i="14"/>
  <c r="J9" i="14"/>
  <c r="O8" i="14"/>
  <c r="M8" i="14"/>
  <c r="J8" i="14"/>
  <c r="M7" i="14"/>
  <c r="J7" i="14"/>
  <c r="N6" i="14"/>
  <c r="H4" i="14"/>
  <c r="K57" i="13"/>
  <c r="J57" i="13"/>
  <c r="K56" i="13"/>
  <c r="J56" i="13"/>
  <c r="E53" i="13"/>
  <c r="D53" i="13"/>
  <c r="C53" i="13"/>
  <c r="E52" i="13"/>
  <c r="D52" i="13"/>
  <c r="C52" i="13"/>
  <c r="J51" i="13"/>
  <c r="I51" i="13"/>
  <c r="E51" i="13"/>
  <c r="D51" i="13"/>
  <c r="C51" i="13"/>
  <c r="J50" i="13"/>
  <c r="I50" i="13"/>
  <c r="E50" i="13"/>
  <c r="D50" i="13"/>
  <c r="C50" i="13"/>
  <c r="J49" i="13"/>
  <c r="I49" i="13"/>
  <c r="E49" i="13"/>
  <c r="D49" i="13"/>
  <c r="C49" i="13"/>
  <c r="E48" i="13"/>
  <c r="D48" i="13"/>
  <c r="C48" i="13"/>
  <c r="E47" i="13"/>
  <c r="D47" i="13"/>
  <c r="C47" i="13"/>
  <c r="E46" i="13"/>
  <c r="D46" i="13"/>
  <c r="C46" i="13"/>
  <c r="M45" i="13"/>
  <c r="L45" i="13"/>
  <c r="J45" i="13"/>
  <c r="I45" i="13"/>
  <c r="E45" i="13"/>
  <c r="D45" i="13"/>
  <c r="C45" i="13"/>
  <c r="M44" i="13"/>
  <c r="L44" i="13"/>
  <c r="J44" i="13"/>
  <c r="I44" i="13"/>
  <c r="E44" i="13"/>
  <c r="D44" i="13"/>
  <c r="C44" i="13"/>
  <c r="M43" i="13"/>
  <c r="L43" i="13"/>
  <c r="J43" i="13"/>
  <c r="I43" i="13"/>
  <c r="E43" i="13"/>
  <c r="D43" i="13"/>
  <c r="C43" i="13"/>
  <c r="G42" i="13"/>
  <c r="F42" i="13"/>
  <c r="E42" i="13"/>
  <c r="D42" i="13"/>
  <c r="C42" i="13"/>
  <c r="J41" i="13"/>
  <c r="E41" i="13"/>
  <c r="D41" i="13"/>
  <c r="C41" i="13"/>
  <c r="J40" i="13"/>
  <c r="I40" i="13"/>
  <c r="G40" i="13"/>
  <c r="E40" i="13"/>
  <c r="D40" i="13"/>
  <c r="C40" i="13"/>
  <c r="J39" i="13"/>
  <c r="G39" i="13"/>
  <c r="E39" i="13"/>
  <c r="D39" i="13"/>
  <c r="C39" i="13"/>
  <c r="J38" i="13"/>
  <c r="I38" i="13"/>
  <c r="G38" i="13"/>
  <c r="E38" i="13"/>
  <c r="D38" i="13"/>
  <c r="C38" i="13"/>
  <c r="J37" i="13"/>
  <c r="I37" i="13"/>
  <c r="E35" i="13"/>
  <c r="D35" i="13"/>
  <c r="C35" i="13"/>
  <c r="M34" i="13"/>
  <c r="L34" i="13"/>
  <c r="K34" i="13"/>
  <c r="F34" i="13"/>
  <c r="E34" i="13"/>
  <c r="D34" i="13"/>
  <c r="C34" i="13"/>
  <c r="E33" i="13"/>
  <c r="D33" i="13"/>
  <c r="C33" i="13"/>
  <c r="M32" i="13"/>
  <c r="J32" i="13"/>
  <c r="F32" i="13"/>
  <c r="E32" i="13"/>
  <c r="D32" i="13"/>
  <c r="C32" i="13"/>
  <c r="M31" i="13"/>
  <c r="J31" i="13"/>
  <c r="M30" i="13"/>
  <c r="J30" i="13"/>
  <c r="M29" i="13"/>
  <c r="J29" i="13"/>
  <c r="M28" i="13"/>
  <c r="J28" i="13"/>
  <c r="M27" i="13"/>
  <c r="J27" i="13"/>
  <c r="M26" i="13"/>
  <c r="J26" i="13"/>
  <c r="M25" i="13"/>
  <c r="J25" i="13"/>
  <c r="M24" i="13"/>
  <c r="J24" i="13"/>
  <c r="E24" i="13"/>
  <c r="D24" i="13"/>
  <c r="C24" i="13"/>
  <c r="M23" i="13"/>
  <c r="J23" i="13"/>
  <c r="F23" i="13"/>
  <c r="E23" i="13"/>
  <c r="D23" i="13"/>
  <c r="C23" i="13"/>
  <c r="M22" i="13"/>
  <c r="J22" i="13"/>
  <c r="M21" i="13"/>
  <c r="J21" i="13"/>
  <c r="M20" i="13"/>
  <c r="J20" i="13"/>
  <c r="M19" i="13"/>
  <c r="J19" i="13"/>
  <c r="M18" i="13"/>
  <c r="K18" i="13"/>
  <c r="J18" i="13"/>
  <c r="M17" i="13"/>
  <c r="J17" i="13"/>
  <c r="M16" i="13"/>
  <c r="J16" i="13"/>
  <c r="M15" i="13"/>
  <c r="J15" i="13"/>
  <c r="E15" i="13"/>
  <c r="D15" i="13"/>
  <c r="C15" i="13"/>
  <c r="M14" i="13"/>
  <c r="J14" i="13"/>
  <c r="F14" i="13"/>
  <c r="E14" i="13"/>
  <c r="D14" i="13"/>
  <c r="C14" i="13"/>
  <c r="M13" i="13"/>
  <c r="J13" i="13"/>
  <c r="M12" i="13"/>
  <c r="J12" i="13"/>
  <c r="M11" i="13"/>
  <c r="J11" i="13"/>
  <c r="M10" i="13"/>
  <c r="J10" i="13"/>
  <c r="M9" i="13"/>
  <c r="J9" i="13"/>
  <c r="O8" i="13"/>
  <c r="M8" i="13"/>
  <c r="J8" i="13"/>
  <c r="M7" i="13"/>
  <c r="J7" i="13"/>
  <c r="N6" i="13"/>
  <c r="H4" i="13"/>
  <c r="K57" i="12"/>
  <c r="J57" i="12"/>
  <c r="K56" i="12"/>
  <c r="J56" i="12"/>
  <c r="E53" i="12"/>
  <c r="D53" i="12"/>
  <c r="C53" i="12"/>
  <c r="E52" i="12"/>
  <c r="D52" i="12"/>
  <c r="C52" i="12"/>
  <c r="J51" i="12"/>
  <c r="I51" i="12"/>
  <c r="E51" i="12"/>
  <c r="D51" i="12"/>
  <c r="C51" i="12"/>
  <c r="J50" i="12"/>
  <c r="I50" i="12"/>
  <c r="E50" i="12"/>
  <c r="D50" i="12"/>
  <c r="C50" i="12"/>
  <c r="J49" i="12"/>
  <c r="I49" i="12"/>
  <c r="E49" i="12"/>
  <c r="D49" i="12"/>
  <c r="C49" i="12"/>
  <c r="E48" i="12"/>
  <c r="D48" i="12"/>
  <c r="C48" i="12"/>
  <c r="E47" i="12"/>
  <c r="D47" i="12"/>
  <c r="C47" i="12"/>
  <c r="E46" i="12"/>
  <c r="D46" i="12"/>
  <c r="C46" i="12"/>
  <c r="M45" i="12"/>
  <c r="L45" i="12"/>
  <c r="J45" i="12"/>
  <c r="I45" i="12"/>
  <c r="E45" i="12"/>
  <c r="D45" i="12"/>
  <c r="C45" i="12"/>
  <c r="M44" i="12"/>
  <c r="L44" i="12"/>
  <c r="J44" i="12"/>
  <c r="I44" i="12"/>
  <c r="E44" i="12"/>
  <c r="D44" i="12"/>
  <c r="C44" i="12"/>
  <c r="M43" i="12"/>
  <c r="L43" i="12"/>
  <c r="J43" i="12"/>
  <c r="I43" i="12"/>
  <c r="E43" i="12"/>
  <c r="D43" i="12"/>
  <c r="C43" i="12"/>
  <c r="G42" i="12"/>
  <c r="F42" i="12"/>
  <c r="E42" i="12"/>
  <c r="D42" i="12"/>
  <c r="C42" i="12"/>
  <c r="O41" i="12"/>
  <c r="J41" i="12"/>
  <c r="E41" i="12"/>
  <c r="D41" i="12"/>
  <c r="C41" i="12"/>
  <c r="P40" i="12"/>
  <c r="O40" i="12"/>
  <c r="J40" i="12"/>
  <c r="I40" i="12"/>
  <c r="G40" i="12"/>
  <c r="E40" i="12"/>
  <c r="D40" i="12"/>
  <c r="C40" i="12"/>
  <c r="P39" i="12"/>
  <c r="O39" i="12"/>
  <c r="J39" i="12"/>
  <c r="G39" i="12"/>
  <c r="E39" i="12"/>
  <c r="D39" i="12"/>
  <c r="C39" i="12"/>
  <c r="P38" i="12"/>
  <c r="O38" i="12"/>
  <c r="J38" i="12"/>
  <c r="I38" i="12"/>
  <c r="G38" i="12"/>
  <c r="E38" i="12"/>
  <c r="D38" i="12"/>
  <c r="C38" i="12"/>
  <c r="P37" i="12"/>
  <c r="O37" i="12"/>
  <c r="J37" i="12"/>
  <c r="I37" i="12"/>
  <c r="E35" i="12"/>
  <c r="D35" i="12"/>
  <c r="C35" i="12"/>
  <c r="M34" i="12"/>
  <c r="L34" i="12"/>
  <c r="K34" i="12"/>
  <c r="F34" i="12"/>
  <c r="E34" i="12"/>
  <c r="D34" i="12"/>
  <c r="C34" i="12"/>
  <c r="E33" i="12"/>
  <c r="D33" i="12"/>
  <c r="C33" i="12"/>
  <c r="M32" i="12"/>
  <c r="J32" i="12"/>
  <c r="F32" i="12"/>
  <c r="E32" i="12"/>
  <c r="D32" i="12"/>
  <c r="C32" i="12"/>
  <c r="M31" i="12"/>
  <c r="J31" i="12"/>
  <c r="M30" i="12"/>
  <c r="J30" i="12"/>
  <c r="M29" i="12"/>
  <c r="J29" i="12"/>
  <c r="M28" i="12"/>
  <c r="J28" i="12"/>
  <c r="M27" i="12"/>
  <c r="J27" i="12"/>
  <c r="M26" i="12"/>
  <c r="J26" i="12"/>
  <c r="M25" i="12"/>
  <c r="J25" i="12"/>
  <c r="M24" i="12"/>
  <c r="J24" i="12"/>
  <c r="E24" i="12"/>
  <c r="D24" i="12"/>
  <c r="C24" i="12"/>
  <c r="M23" i="12"/>
  <c r="J23" i="12"/>
  <c r="F23" i="12"/>
  <c r="E23" i="12"/>
  <c r="D23" i="12"/>
  <c r="C23" i="12"/>
  <c r="M22" i="12"/>
  <c r="J22" i="12"/>
  <c r="M21" i="12"/>
  <c r="K21" i="12"/>
  <c r="M20" i="12"/>
  <c r="K20" i="12"/>
  <c r="M19" i="12"/>
  <c r="K19" i="12"/>
  <c r="M18" i="12"/>
  <c r="K18" i="12"/>
  <c r="J18" i="12"/>
  <c r="M17" i="12"/>
  <c r="J17" i="12"/>
  <c r="C17" i="12"/>
  <c r="M16" i="12"/>
  <c r="J16" i="12"/>
  <c r="C16" i="12"/>
  <c r="M15" i="12"/>
  <c r="J15" i="12"/>
  <c r="E15" i="12"/>
  <c r="D15" i="12"/>
  <c r="C15" i="12"/>
  <c r="M14" i="12"/>
  <c r="J14" i="12"/>
  <c r="F14" i="12"/>
  <c r="E14" i="12"/>
  <c r="D14" i="12"/>
  <c r="C14" i="12"/>
  <c r="M13" i="12"/>
  <c r="J13" i="12"/>
  <c r="M12" i="12"/>
  <c r="J12" i="12"/>
  <c r="M11" i="12"/>
  <c r="J11" i="12"/>
  <c r="M10" i="12"/>
  <c r="J10" i="12"/>
  <c r="M9" i="12"/>
  <c r="J9" i="12"/>
  <c r="O8" i="12"/>
  <c r="M8" i="12"/>
  <c r="J8" i="12"/>
  <c r="C8" i="12"/>
  <c r="M7" i="12"/>
  <c r="J7" i="12"/>
  <c r="N6" i="12"/>
  <c r="H4" i="12"/>
  <c r="K57" i="11"/>
  <c r="J57" i="11"/>
  <c r="K56" i="11"/>
  <c r="J56" i="11"/>
  <c r="E53" i="11"/>
  <c r="D53" i="11"/>
  <c r="C53" i="11"/>
  <c r="E52" i="11"/>
  <c r="D52" i="11"/>
  <c r="C52" i="11"/>
  <c r="J51" i="11"/>
  <c r="I51" i="11"/>
  <c r="E51" i="11"/>
  <c r="D51" i="11"/>
  <c r="C51" i="11"/>
  <c r="J50" i="11"/>
  <c r="I50" i="11"/>
  <c r="E50" i="11"/>
  <c r="D50" i="11"/>
  <c r="C50" i="11"/>
  <c r="J49" i="11"/>
  <c r="I49" i="11"/>
  <c r="E49" i="11"/>
  <c r="D49" i="11"/>
  <c r="C49" i="11"/>
  <c r="E48" i="11"/>
  <c r="D48" i="11"/>
  <c r="C48" i="11"/>
  <c r="E47" i="11"/>
  <c r="D47" i="11"/>
  <c r="C47" i="11"/>
  <c r="E46" i="11"/>
  <c r="D46" i="11"/>
  <c r="C46" i="11"/>
  <c r="M45" i="11"/>
  <c r="L45" i="11"/>
  <c r="J45" i="11"/>
  <c r="I45" i="11"/>
  <c r="E45" i="11"/>
  <c r="D45" i="11"/>
  <c r="C45" i="11"/>
  <c r="M44" i="11"/>
  <c r="L44" i="11"/>
  <c r="J44" i="11"/>
  <c r="I44" i="11"/>
  <c r="E44" i="11"/>
  <c r="D44" i="11"/>
  <c r="C44" i="11"/>
  <c r="M43" i="11"/>
  <c r="L43" i="11"/>
  <c r="J43" i="11"/>
  <c r="I43" i="11"/>
  <c r="E43" i="11"/>
  <c r="D43" i="11"/>
  <c r="C43" i="11"/>
  <c r="G42" i="11"/>
  <c r="F42" i="11"/>
  <c r="E42" i="11"/>
  <c r="D42" i="11"/>
  <c r="C42" i="11"/>
  <c r="J41" i="11"/>
  <c r="E41" i="11"/>
  <c r="D41" i="11"/>
  <c r="C41" i="11"/>
  <c r="J40" i="11"/>
  <c r="I40" i="11"/>
  <c r="G40" i="11"/>
  <c r="E40" i="11"/>
  <c r="D40" i="11"/>
  <c r="C40" i="11"/>
  <c r="J39" i="11"/>
  <c r="G39" i="11"/>
  <c r="E39" i="11"/>
  <c r="D39" i="11"/>
  <c r="C39" i="11"/>
  <c r="J38" i="11"/>
  <c r="I38" i="11"/>
  <c r="G38" i="11"/>
  <c r="E38" i="11"/>
  <c r="D38" i="11"/>
  <c r="C38" i="11"/>
  <c r="J37" i="11"/>
  <c r="I37" i="11"/>
  <c r="E35" i="11"/>
  <c r="D35" i="11"/>
  <c r="C35" i="11"/>
  <c r="M34" i="11"/>
  <c r="L34" i="11"/>
  <c r="K34" i="11"/>
  <c r="F34" i="11"/>
  <c r="E34" i="11"/>
  <c r="D34" i="11"/>
  <c r="C34" i="11"/>
  <c r="E33" i="11"/>
  <c r="D33" i="11"/>
  <c r="C33" i="11"/>
  <c r="M32" i="11"/>
  <c r="J32" i="11"/>
  <c r="F32" i="11"/>
  <c r="E32" i="11"/>
  <c r="D32" i="11"/>
  <c r="C32" i="11"/>
  <c r="M31" i="11"/>
  <c r="J31" i="11"/>
  <c r="M30" i="11"/>
  <c r="J30" i="11"/>
  <c r="M29" i="11"/>
  <c r="J29" i="11"/>
  <c r="M28" i="11"/>
  <c r="J28" i="11"/>
  <c r="M27" i="11"/>
  <c r="J27" i="11"/>
  <c r="M26" i="11"/>
  <c r="J26" i="11"/>
  <c r="M25" i="11"/>
  <c r="J25" i="11"/>
  <c r="M24" i="11"/>
  <c r="J24" i="11"/>
  <c r="E24" i="11"/>
  <c r="D24" i="11"/>
  <c r="C24" i="11"/>
  <c r="M23" i="11"/>
  <c r="J23" i="11"/>
  <c r="F23" i="11"/>
  <c r="E23" i="11"/>
  <c r="D23" i="11"/>
  <c r="C23" i="11"/>
  <c r="M22" i="11"/>
  <c r="J22" i="11"/>
  <c r="M21" i="11"/>
  <c r="K21" i="11"/>
  <c r="J21" i="11"/>
  <c r="M20" i="11"/>
  <c r="J20" i="11"/>
  <c r="M19" i="11"/>
  <c r="J19" i="11"/>
  <c r="M18" i="11"/>
  <c r="J18" i="11"/>
  <c r="M17" i="11"/>
  <c r="J17" i="11"/>
  <c r="M16" i="11"/>
  <c r="J16" i="11"/>
  <c r="S15" i="11"/>
  <c r="R15" i="11"/>
  <c r="Q15" i="11"/>
  <c r="M15" i="11"/>
  <c r="J15" i="11"/>
  <c r="E15" i="11"/>
  <c r="D15" i="11"/>
  <c r="C15" i="11"/>
  <c r="S14" i="11"/>
  <c r="R14" i="11"/>
  <c r="Q14" i="11"/>
  <c r="M14" i="11"/>
  <c r="J14" i="11"/>
  <c r="F14" i="11"/>
  <c r="E14" i="11"/>
  <c r="D14" i="11"/>
  <c r="C14" i="11"/>
  <c r="M13" i="11"/>
  <c r="J13" i="11"/>
  <c r="M12" i="11"/>
  <c r="J12" i="11"/>
  <c r="M11" i="11"/>
  <c r="J11" i="11"/>
  <c r="M10" i="11"/>
  <c r="J10" i="11"/>
  <c r="M9" i="11"/>
  <c r="J9" i="11"/>
  <c r="S8" i="11"/>
  <c r="R8" i="11"/>
  <c r="P8" i="11"/>
  <c r="M8" i="11"/>
  <c r="J8" i="11"/>
  <c r="S7" i="11"/>
  <c r="R7" i="11"/>
  <c r="P7" i="11"/>
  <c r="M7" i="11"/>
  <c r="J7" i="11"/>
  <c r="S6" i="11"/>
  <c r="R6" i="11"/>
  <c r="P6" i="11"/>
  <c r="J4" i="11"/>
  <c r="H4" i="11"/>
  <c r="K57" i="10"/>
  <c r="J57" i="10"/>
  <c r="K56" i="10"/>
  <c r="J56" i="10"/>
  <c r="E53" i="10"/>
  <c r="D53" i="10"/>
  <c r="C53" i="10"/>
  <c r="E52" i="10"/>
  <c r="D52" i="10"/>
  <c r="C52" i="10"/>
  <c r="J51" i="10"/>
  <c r="I51" i="10"/>
  <c r="E51" i="10"/>
  <c r="D51" i="10"/>
  <c r="C51" i="10"/>
  <c r="J50" i="10"/>
  <c r="I50" i="10"/>
  <c r="E50" i="10"/>
  <c r="D50" i="10"/>
  <c r="C50" i="10"/>
  <c r="J49" i="10"/>
  <c r="I49" i="10"/>
  <c r="E49" i="10"/>
  <c r="D49" i="10"/>
  <c r="C49" i="10"/>
  <c r="E48" i="10"/>
  <c r="D48" i="10"/>
  <c r="C48" i="10"/>
  <c r="E47" i="10"/>
  <c r="D47" i="10"/>
  <c r="C47" i="10"/>
  <c r="E46" i="10"/>
  <c r="D46" i="10"/>
  <c r="C46" i="10"/>
  <c r="M45" i="10"/>
  <c r="L45" i="10"/>
  <c r="J45" i="10"/>
  <c r="I45" i="10"/>
  <c r="E45" i="10"/>
  <c r="D45" i="10"/>
  <c r="C45" i="10"/>
  <c r="M44" i="10"/>
  <c r="L44" i="10"/>
  <c r="J44" i="10"/>
  <c r="I44" i="10"/>
  <c r="E44" i="10"/>
  <c r="D44" i="10"/>
  <c r="C44" i="10"/>
  <c r="M43" i="10"/>
  <c r="L43" i="10"/>
  <c r="J43" i="10"/>
  <c r="I43" i="10"/>
  <c r="E43" i="10"/>
  <c r="D43" i="10"/>
  <c r="C43" i="10"/>
  <c r="G42" i="10"/>
  <c r="F42" i="10"/>
  <c r="E42" i="10"/>
  <c r="D42" i="10"/>
  <c r="C42" i="10"/>
  <c r="J41" i="10"/>
  <c r="E41" i="10"/>
  <c r="D41" i="10"/>
  <c r="C41" i="10"/>
  <c r="J40" i="10"/>
  <c r="I40" i="10"/>
  <c r="E40" i="10"/>
  <c r="D40" i="10"/>
  <c r="C40" i="10"/>
  <c r="Q39" i="10"/>
  <c r="J39" i="10"/>
  <c r="E39" i="10"/>
  <c r="D39" i="10"/>
  <c r="C39" i="10"/>
  <c r="J38" i="10"/>
  <c r="I38" i="10"/>
  <c r="E38" i="10"/>
  <c r="D38" i="10"/>
  <c r="C38" i="10"/>
  <c r="J37" i="10"/>
  <c r="I37" i="10"/>
  <c r="S35" i="10"/>
  <c r="R35" i="10"/>
  <c r="Q35" i="10"/>
  <c r="E35" i="10"/>
  <c r="D35" i="10"/>
  <c r="C35" i="10"/>
  <c r="S34" i="10"/>
  <c r="R34" i="10"/>
  <c r="Q34" i="10"/>
  <c r="M34" i="10"/>
  <c r="L34" i="10"/>
  <c r="K34" i="10"/>
  <c r="F34" i="10"/>
  <c r="E34" i="10"/>
  <c r="D34" i="10"/>
  <c r="C34" i="10"/>
  <c r="E33" i="10"/>
  <c r="D33" i="10"/>
  <c r="C33" i="10"/>
  <c r="M32" i="10"/>
  <c r="J32" i="10"/>
  <c r="F32" i="10"/>
  <c r="E32" i="10"/>
  <c r="D32" i="10"/>
  <c r="C32" i="10"/>
  <c r="M31" i="10"/>
  <c r="M30" i="10"/>
  <c r="M29" i="10"/>
  <c r="M28" i="10"/>
  <c r="M27" i="10"/>
  <c r="Y26" i="10"/>
  <c r="X26" i="10"/>
  <c r="S26" i="10"/>
  <c r="R26" i="10"/>
  <c r="P26" i="10"/>
  <c r="M26" i="10"/>
  <c r="Y25" i="10"/>
  <c r="X25" i="10"/>
  <c r="W25" i="10"/>
  <c r="S25" i="10"/>
  <c r="R25" i="10"/>
  <c r="Q25" i="10"/>
  <c r="M25" i="10"/>
  <c r="S24" i="10"/>
  <c r="R24" i="10"/>
  <c r="Q24" i="10"/>
  <c r="M24" i="10"/>
  <c r="E24" i="10"/>
  <c r="D24" i="10"/>
  <c r="C24" i="10"/>
  <c r="M23" i="10"/>
  <c r="F23" i="10"/>
  <c r="E23" i="10"/>
  <c r="D23" i="10"/>
  <c r="C23" i="10"/>
  <c r="M22" i="10"/>
  <c r="K22" i="10"/>
  <c r="M21" i="10"/>
  <c r="K21" i="10"/>
  <c r="J21" i="10"/>
  <c r="M20" i="10"/>
  <c r="J20" i="10"/>
  <c r="M19" i="10"/>
  <c r="J19" i="10"/>
  <c r="Y18" i="10"/>
  <c r="X18" i="10"/>
  <c r="M18" i="10"/>
  <c r="J18" i="10"/>
  <c r="Y17" i="10"/>
  <c r="X17" i="10"/>
  <c r="S17" i="10"/>
  <c r="R17" i="10"/>
  <c r="Q17" i="10"/>
  <c r="P17" i="10"/>
  <c r="M17" i="10"/>
  <c r="J17" i="10"/>
  <c r="S16" i="10"/>
  <c r="R16" i="10"/>
  <c r="P16" i="10"/>
  <c r="M16" i="10"/>
  <c r="J16" i="10"/>
  <c r="C16" i="10"/>
  <c r="Y15" i="10"/>
  <c r="X15" i="10"/>
  <c r="S15" i="10"/>
  <c r="R15" i="10"/>
  <c r="Q15" i="10"/>
  <c r="M15" i="10"/>
  <c r="J15" i="10"/>
  <c r="E15" i="10"/>
  <c r="D15" i="10"/>
  <c r="C15" i="10"/>
  <c r="Y14" i="10"/>
  <c r="X14" i="10"/>
  <c r="W14" i="10"/>
  <c r="S14" i="10"/>
  <c r="R14" i="10"/>
  <c r="Q14" i="10"/>
  <c r="M14" i="10"/>
  <c r="J14" i="10"/>
  <c r="F14" i="10"/>
  <c r="E14" i="10"/>
  <c r="D14" i="10"/>
  <c r="C14" i="10"/>
  <c r="M13" i="10"/>
  <c r="J13" i="10"/>
  <c r="M12" i="10"/>
  <c r="J12" i="10"/>
  <c r="M11" i="10"/>
  <c r="J11" i="10"/>
  <c r="M10" i="10"/>
  <c r="J10" i="10"/>
  <c r="M9" i="10"/>
  <c r="J9" i="10"/>
  <c r="M8" i="10"/>
  <c r="J8" i="10"/>
  <c r="Y7" i="10"/>
  <c r="X7" i="10"/>
  <c r="V7" i="10"/>
  <c r="M7" i="10"/>
  <c r="J7" i="10"/>
  <c r="Y6" i="10"/>
  <c r="X6" i="10"/>
  <c r="V6" i="10"/>
  <c r="S6" i="10"/>
  <c r="R6" i="10"/>
  <c r="P6" i="10"/>
  <c r="J4" i="10"/>
  <c r="H4" i="10"/>
  <c r="K57" i="9"/>
  <c r="J57" i="9"/>
  <c r="K56" i="9"/>
  <c r="J56" i="9"/>
  <c r="E53" i="9"/>
  <c r="D53" i="9"/>
  <c r="C53" i="9"/>
  <c r="E52" i="9"/>
  <c r="D52" i="9"/>
  <c r="C52" i="9"/>
  <c r="J51" i="9"/>
  <c r="I51" i="9"/>
  <c r="E51" i="9"/>
  <c r="D51" i="9"/>
  <c r="C51" i="9"/>
  <c r="J50" i="9"/>
  <c r="I50" i="9"/>
  <c r="E50" i="9"/>
  <c r="D50" i="9"/>
  <c r="C50" i="9"/>
  <c r="J49" i="9"/>
  <c r="I49" i="9"/>
  <c r="E49" i="9"/>
  <c r="D49" i="9"/>
  <c r="C49" i="9"/>
  <c r="E48" i="9"/>
  <c r="D48" i="9"/>
  <c r="C48" i="9"/>
  <c r="E47" i="9"/>
  <c r="D47" i="9"/>
  <c r="C47" i="9"/>
  <c r="E46" i="9"/>
  <c r="D46" i="9"/>
  <c r="C46" i="9"/>
  <c r="M45" i="9"/>
  <c r="L45" i="9"/>
  <c r="J45" i="9"/>
  <c r="I45" i="9"/>
  <c r="E45" i="9"/>
  <c r="D45" i="9"/>
  <c r="C45" i="9"/>
  <c r="M44" i="9"/>
  <c r="L44" i="9"/>
  <c r="J44" i="9"/>
  <c r="I44" i="9"/>
  <c r="E44" i="9"/>
  <c r="D44" i="9"/>
  <c r="C44" i="9"/>
  <c r="M43" i="9"/>
  <c r="L43" i="9"/>
  <c r="J43" i="9"/>
  <c r="I43" i="9"/>
  <c r="E43" i="9"/>
  <c r="D43" i="9"/>
  <c r="C43" i="9"/>
  <c r="G42" i="9"/>
  <c r="F42" i="9"/>
  <c r="E42" i="9"/>
  <c r="D42" i="9"/>
  <c r="C42" i="9"/>
  <c r="J41" i="9"/>
  <c r="E41" i="9"/>
  <c r="D41" i="9"/>
  <c r="C41" i="9"/>
  <c r="J40" i="9"/>
  <c r="I40" i="9"/>
  <c r="E40" i="9"/>
  <c r="D40" i="9"/>
  <c r="C40" i="9"/>
  <c r="J39" i="9"/>
  <c r="E39" i="9"/>
  <c r="D39" i="9"/>
  <c r="C39" i="9"/>
  <c r="Q38" i="9"/>
  <c r="J38" i="9"/>
  <c r="I38" i="9"/>
  <c r="E38" i="9"/>
  <c r="D38" i="9"/>
  <c r="C38" i="9"/>
  <c r="J37" i="9"/>
  <c r="I37" i="9"/>
  <c r="Q36" i="9"/>
  <c r="E35" i="9"/>
  <c r="D35" i="9"/>
  <c r="C35" i="9"/>
  <c r="M34" i="9"/>
  <c r="L34" i="9"/>
  <c r="K34" i="9"/>
  <c r="F34" i="9"/>
  <c r="E34" i="9"/>
  <c r="D34" i="9"/>
  <c r="C34" i="9"/>
  <c r="S33" i="9"/>
  <c r="R33" i="9"/>
  <c r="Q33" i="9"/>
  <c r="E33" i="9"/>
  <c r="D33" i="9"/>
  <c r="C33" i="9"/>
  <c r="S32" i="9"/>
  <c r="R32" i="9"/>
  <c r="Q32" i="9"/>
  <c r="M32" i="9"/>
  <c r="J32" i="9"/>
  <c r="F32" i="9"/>
  <c r="E32" i="9"/>
  <c r="D32" i="9"/>
  <c r="C32" i="9"/>
  <c r="M31" i="9"/>
  <c r="J31" i="9"/>
  <c r="M30" i="9"/>
  <c r="J30" i="9"/>
  <c r="M29" i="9"/>
  <c r="J29" i="9"/>
  <c r="M28" i="9"/>
  <c r="J28" i="9"/>
  <c r="M27" i="9"/>
  <c r="J27" i="9"/>
  <c r="M26" i="9"/>
  <c r="J26" i="9"/>
  <c r="S25" i="9"/>
  <c r="R25" i="9"/>
  <c r="P25" i="9"/>
  <c r="M25" i="9"/>
  <c r="J25" i="9"/>
  <c r="S24" i="9"/>
  <c r="R24" i="9"/>
  <c r="P24" i="9"/>
  <c r="M24" i="9"/>
  <c r="J24" i="9"/>
  <c r="E24" i="9"/>
  <c r="D24" i="9"/>
  <c r="C24" i="9"/>
  <c r="M23" i="9"/>
  <c r="K23" i="9"/>
  <c r="F23" i="9"/>
  <c r="E23" i="9"/>
  <c r="D23" i="9"/>
  <c r="C23" i="9"/>
  <c r="M22" i="9"/>
  <c r="K22" i="9"/>
  <c r="J22" i="9"/>
  <c r="M21" i="9"/>
  <c r="J21" i="9"/>
  <c r="M20" i="9"/>
  <c r="J20" i="9"/>
  <c r="M19" i="9"/>
  <c r="J19" i="9"/>
  <c r="M18" i="9"/>
  <c r="J18" i="9"/>
  <c r="M17" i="9"/>
  <c r="J17" i="9"/>
  <c r="M16" i="9"/>
  <c r="J16" i="9"/>
  <c r="S15" i="9"/>
  <c r="R15" i="9"/>
  <c r="Q15" i="9"/>
  <c r="M15" i="9"/>
  <c r="J15" i="9"/>
  <c r="E15" i="9"/>
  <c r="D15" i="9"/>
  <c r="C15" i="9"/>
  <c r="S14" i="9"/>
  <c r="R14" i="9"/>
  <c r="Q14" i="9"/>
  <c r="M14" i="9"/>
  <c r="J14" i="9"/>
  <c r="F14" i="9"/>
  <c r="E14" i="9"/>
  <c r="D14" i="9"/>
  <c r="C14" i="9"/>
  <c r="M13" i="9"/>
  <c r="J13" i="9"/>
  <c r="M12" i="9"/>
  <c r="J12" i="9"/>
  <c r="M11" i="9"/>
  <c r="J11" i="9"/>
  <c r="M10" i="9"/>
  <c r="J10" i="9"/>
  <c r="M9" i="9"/>
  <c r="J9" i="9"/>
  <c r="M8" i="9"/>
  <c r="J8" i="9"/>
  <c r="S7" i="9"/>
  <c r="R7" i="9"/>
  <c r="P7" i="9"/>
  <c r="M7" i="9"/>
  <c r="J7" i="9"/>
  <c r="S6" i="9"/>
  <c r="R6" i="9"/>
  <c r="P6" i="9"/>
  <c r="J4" i="9"/>
  <c r="H4" i="9"/>
  <c r="K57" i="8"/>
  <c r="J57" i="8"/>
  <c r="K56" i="8"/>
  <c r="J56" i="8"/>
  <c r="E53" i="8"/>
  <c r="D53" i="8"/>
  <c r="C53" i="8"/>
  <c r="E52" i="8"/>
  <c r="D52" i="8"/>
  <c r="C52" i="8"/>
  <c r="J51" i="8"/>
  <c r="I51" i="8"/>
  <c r="E51" i="8"/>
  <c r="D51" i="8"/>
  <c r="C51" i="8"/>
  <c r="J50" i="8"/>
  <c r="I50" i="8"/>
  <c r="E50" i="8"/>
  <c r="D50" i="8"/>
  <c r="C50" i="8"/>
  <c r="J49" i="8"/>
  <c r="I49" i="8"/>
  <c r="E49" i="8"/>
  <c r="D49" i="8"/>
  <c r="C49" i="8"/>
  <c r="E48" i="8"/>
  <c r="D48" i="8"/>
  <c r="C48" i="8"/>
  <c r="E47" i="8"/>
  <c r="D47" i="8"/>
  <c r="C47" i="8"/>
  <c r="E46" i="8"/>
  <c r="D46" i="8"/>
  <c r="C46" i="8"/>
  <c r="M45" i="8"/>
  <c r="L45" i="8"/>
  <c r="J45" i="8"/>
  <c r="I45" i="8"/>
  <c r="E45" i="8"/>
  <c r="D45" i="8"/>
  <c r="C45" i="8"/>
  <c r="M44" i="8"/>
  <c r="L44" i="8"/>
  <c r="J44" i="8"/>
  <c r="I44" i="8"/>
  <c r="E44" i="8"/>
  <c r="D44" i="8"/>
  <c r="C44" i="8"/>
  <c r="M43" i="8"/>
  <c r="L43" i="8"/>
  <c r="J43" i="8"/>
  <c r="I43" i="8"/>
  <c r="E43" i="8"/>
  <c r="D43" i="8"/>
  <c r="C43" i="8"/>
  <c r="G42" i="8"/>
  <c r="F42" i="8"/>
  <c r="E42" i="8"/>
  <c r="D42" i="8"/>
  <c r="C42" i="8"/>
  <c r="J41" i="8"/>
  <c r="E41" i="8"/>
  <c r="D41" i="8"/>
  <c r="C41" i="8"/>
  <c r="J40" i="8"/>
  <c r="I40" i="8"/>
  <c r="G40" i="8"/>
  <c r="E40" i="8"/>
  <c r="D40" i="8"/>
  <c r="C40" i="8"/>
  <c r="J39" i="8"/>
  <c r="G39" i="8"/>
  <c r="E39" i="8"/>
  <c r="D39" i="8"/>
  <c r="C39" i="8"/>
  <c r="N38" i="8"/>
  <c r="J38" i="8"/>
  <c r="I38" i="8"/>
  <c r="G38" i="8"/>
  <c r="E38" i="8"/>
  <c r="D38" i="8"/>
  <c r="C38" i="8"/>
  <c r="N37" i="8"/>
  <c r="J37" i="8"/>
  <c r="I37" i="8"/>
  <c r="E35" i="8"/>
  <c r="D35" i="8"/>
  <c r="C35" i="8"/>
  <c r="M34" i="8"/>
  <c r="L34" i="8"/>
  <c r="K34" i="8"/>
  <c r="F34" i="8"/>
  <c r="E34" i="8"/>
  <c r="D34" i="8"/>
  <c r="C34" i="8"/>
  <c r="E33" i="8"/>
  <c r="D33" i="8"/>
  <c r="C33" i="8"/>
  <c r="M32" i="8"/>
  <c r="J32" i="8"/>
  <c r="F32" i="8"/>
  <c r="E32" i="8"/>
  <c r="D32" i="8"/>
  <c r="C32" i="8"/>
  <c r="M31" i="8"/>
  <c r="J31" i="8"/>
  <c r="M30" i="8"/>
  <c r="J30" i="8"/>
  <c r="M29" i="8"/>
  <c r="J29" i="8"/>
  <c r="M28" i="8"/>
  <c r="J28" i="8"/>
  <c r="M27" i="8"/>
  <c r="J27" i="8"/>
  <c r="M26" i="8"/>
  <c r="J26" i="8"/>
  <c r="C26" i="8"/>
  <c r="M25" i="8"/>
  <c r="J25" i="8"/>
  <c r="M24" i="8"/>
  <c r="K24" i="8"/>
  <c r="E24" i="8"/>
  <c r="D24" i="8"/>
  <c r="C24" i="8"/>
  <c r="M23" i="8"/>
  <c r="K23" i="8"/>
  <c r="J23" i="8"/>
  <c r="F23" i="8"/>
  <c r="E23" i="8"/>
  <c r="D23" i="8"/>
  <c r="C23" i="8"/>
  <c r="M22" i="8"/>
  <c r="J22" i="8"/>
  <c r="M21" i="8"/>
  <c r="J21" i="8"/>
  <c r="M20" i="8"/>
  <c r="J20" i="8"/>
  <c r="M19" i="8"/>
  <c r="J19" i="8"/>
  <c r="M18" i="8"/>
  <c r="J18" i="8"/>
  <c r="M17" i="8"/>
  <c r="J17" i="8"/>
  <c r="M16" i="8"/>
  <c r="J16" i="8"/>
  <c r="M15" i="8"/>
  <c r="J15" i="8"/>
  <c r="E15" i="8"/>
  <c r="D15" i="8"/>
  <c r="C15" i="8"/>
  <c r="M14" i="8"/>
  <c r="J14" i="8"/>
  <c r="F14" i="8"/>
  <c r="E14" i="8"/>
  <c r="D14" i="8"/>
  <c r="C14" i="8"/>
  <c r="M13" i="8"/>
  <c r="J13" i="8"/>
  <c r="M12" i="8"/>
  <c r="J12" i="8"/>
  <c r="M11" i="8"/>
  <c r="J11" i="8"/>
  <c r="M10" i="8"/>
  <c r="J10" i="8"/>
  <c r="M9" i="8"/>
  <c r="J9" i="8"/>
  <c r="O8" i="8"/>
  <c r="M8" i="8"/>
  <c r="J8" i="8"/>
  <c r="M7" i="8"/>
  <c r="J7" i="8"/>
  <c r="N6" i="8"/>
  <c r="H4" i="8"/>
  <c r="K57" i="7"/>
  <c r="J57" i="7"/>
  <c r="K56" i="7"/>
  <c r="J56" i="7"/>
  <c r="E53" i="7"/>
  <c r="D53" i="7"/>
  <c r="C53" i="7"/>
  <c r="E52" i="7"/>
  <c r="D52" i="7"/>
  <c r="C52" i="7"/>
  <c r="J51" i="7"/>
  <c r="I51" i="7"/>
  <c r="E51" i="7"/>
  <c r="D51" i="7"/>
  <c r="C51" i="7"/>
  <c r="J50" i="7"/>
  <c r="I50" i="7"/>
  <c r="E50" i="7"/>
  <c r="D50" i="7"/>
  <c r="C50" i="7"/>
  <c r="J49" i="7"/>
  <c r="I49" i="7"/>
  <c r="E49" i="7"/>
  <c r="D49" i="7"/>
  <c r="C49" i="7"/>
  <c r="E48" i="7"/>
  <c r="D48" i="7"/>
  <c r="C48" i="7"/>
  <c r="E47" i="7"/>
  <c r="D47" i="7"/>
  <c r="C47" i="7"/>
  <c r="E46" i="7"/>
  <c r="D46" i="7"/>
  <c r="C46" i="7"/>
  <c r="M45" i="7"/>
  <c r="L45" i="7"/>
  <c r="J45" i="7"/>
  <c r="I45" i="7"/>
  <c r="E45" i="7"/>
  <c r="D45" i="7"/>
  <c r="C45" i="7"/>
  <c r="M44" i="7"/>
  <c r="L44" i="7"/>
  <c r="J44" i="7"/>
  <c r="I44" i="7"/>
  <c r="E44" i="7"/>
  <c r="D44" i="7"/>
  <c r="C44" i="7"/>
  <c r="M43" i="7"/>
  <c r="L43" i="7"/>
  <c r="J43" i="7"/>
  <c r="I43" i="7"/>
  <c r="E43" i="7"/>
  <c r="D43" i="7"/>
  <c r="C43" i="7"/>
  <c r="G42" i="7"/>
  <c r="F42" i="7"/>
  <c r="E42" i="7"/>
  <c r="D42" i="7"/>
  <c r="C42" i="7"/>
  <c r="J41" i="7"/>
  <c r="E41" i="7"/>
  <c r="D41" i="7"/>
  <c r="C41" i="7"/>
  <c r="J40" i="7"/>
  <c r="I40" i="7"/>
  <c r="G40" i="7"/>
  <c r="E40" i="7"/>
  <c r="D40" i="7"/>
  <c r="C40" i="7"/>
  <c r="J39" i="7"/>
  <c r="G39" i="7"/>
  <c r="E39" i="7"/>
  <c r="D39" i="7"/>
  <c r="C39" i="7"/>
  <c r="J38" i="7"/>
  <c r="I38" i="7"/>
  <c r="G38" i="7"/>
  <c r="E38" i="7"/>
  <c r="D38" i="7"/>
  <c r="C38" i="7"/>
  <c r="J37" i="7"/>
  <c r="I37" i="7"/>
  <c r="E35" i="7"/>
  <c r="D35" i="7"/>
  <c r="C35" i="7"/>
  <c r="M34" i="7"/>
  <c r="L34" i="7"/>
  <c r="K34" i="7"/>
  <c r="F34" i="7"/>
  <c r="E34" i="7"/>
  <c r="D34" i="7"/>
  <c r="C34" i="7"/>
  <c r="E33" i="7"/>
  <c r="D33" i="7"/>
  <c r="C33" i="7"/>
  <c r="M32" i="7"/>
  <c r="J32" i="7"/>
  <c r="F32" i="7"/>
  <c r="E32" i="7"/>
  <c r="D32" i="7"/>
  <c r="C32" i="7"/>
  <c r="M31" i="7"/>
  <c r="J31" i="7"/>
  <c r="M30" i="7"/>
  <c r="J30" i="7"/>
  <c r="M29" i="7"/>
  <c r="J29" i="7"/>
  <c r="M28" i="7"/>
  <c r="J28" i="7"/>
  <c r="M27" i="7"/>
  <c r="J27" i="7"/>
  <c r="M26" i="7"/>
  <c r="J26" i="7"/>
  <c r="M25" i="7"/>
  <c r="J25" i="7"/>
  <c r="M24" i="7"/>
  <c r="K24" i="7"/>
  <c r="J24" i="7"/>
  <c r="E24" i="7"/>
  <c r="D24" i="7"/>
  <c r="C24" i="7"/>
  <c r="M23" i="7"/>
  <c r="J23" i="7"/>
  <c r="F23" i="7"/>
  <c r="E23" i="7"/>
  <c r="D23" i="7"/>
  <c r="C23" i="7"/>
  <c r="M22" i="7"/>
  <c r="J22" i="7"/>
  <c r="M21" i="7"/>
  <c r="J21" i="7"/>
  <c r="M20" i="7"/>
  <c r="J20" i="7"/>
  <c r="M19" i="7"/>
  <c r="J19" i="7"/>
  <c r="M18" i="7"/>
  <c r="J18" i="7"/>
  <c r="M17" i="7"/>
  <c r="J17" i="7"/>
  <c r="M16" i="7"/>
  <c r="J16" i="7"/>
  <c r="M15" i="7"/>
  <c r="J15" i="7"/>
  <c r="E15" i="7"/>
  <c r="D15" i="7"/>
  <c r="C15" i="7"/>
  <c r="M14" i="7"/>
  <c r="J14" i="7"/>
  <c r="F14" i="7"/>
  <c r="E14" i="7"/>
  <c r="D14" i="7"/>
  <c r="C14" i="7"/>
  <c r="M13" i="7"/>
  <c r="J13" i="7"/>
  <c r="M12" i="7"/>
  <c r="J12" i="7"/>
  <c r="M11" i="7"/>
  <c r="J11" i="7"/>
  <c r="M10" i="7"/>
  <c r="J10" i="7"/>
  <c r="M9" i="7"/>
  <c r="J9" i="7"/>
  <c r="O8" i="7"/>
  <c r="M8" i="7"/>
  <c r="J8" i="7"/>
  <c r="M7" i="7"/>
  <c r="J7" i="7"/>
  <c r="N6" i="7"/>
  <c r="H4" i="7"/>
  <c r="K57" i="6"/>
  <c r="J57" i="6"/>
  <c r="K56" i="6"/>
  <c r="J56" i="6"/>
  <c r="E53" i="6"/>
  <c r="D53" i="6"/>
  <c r="C53" i="6"/>
  <c r="E52" i="6"/>
  <c r="D52" i="6"/>
  <c r="C52" i="6"/>
  <c r="J51" i="6"/>
  <c r="I51" i="6"/>
  <c r="E51" i="6"/>
  <c r="D51" i="6"/>
  <c r="C51" i="6"/>
  <c r="J50" i="6"/>
  <c r="I50" i="6"/>
  <c r="E50" i="6"/>
  <c r="D50" i="6"/>
  <c r="C50" i="6"/>
  <c r="J49" i="6"/>
  <c r="I49" i="6"/>
  <c r="E49" i="6"/>
  <c r="D49" i="6"/>
  <c r="C49" i="6"/>
  <c r="E48" i="6"/>
  <c r="D48" i="6"/>
  <c r="C48" i="6"/>
  <c r="E47" i="6"/>
  <c r="D47" i="6"/>
  <c r="C47" i="6"/>
  <c r="E46" i="6"/>
  <c r="D46" i="6"/>
  <c r="C46" i="6"/>
  <c r="M45" i="6"/>
  <c r="L45" i="6"/>
  <c r="J45" i="6"/>
  <c r="I45" i="6"/>
  <c r="E45" i="6"/>
  <c r="D45" i="6"/>
  <c r="C45" i="6"/>
  <c r="M44" i="6"/>
  <c r="L44" i="6"/>
  <c r="J44" i="6"/>
  <c r="I44" i="6"/>
  <c r="E44" i="6"/>
  <c r="D44" i="6"/>
  <c r="C44" i="6"/>
  <c r="M43" i="6"/>
  <c r="L43" i="6"/>
  <c r="J43" i="6"/>
  <c r="I43" i="6"/>
  <c r="E43" i="6"/>
  <c r="D43" i="6"/>
  <c r="C43" i="6"/>
  <c r="G42" i="6"/>
  <c r="F42" i="6"/>
  <c r="E42" i="6"/>
  <c r="D42" i="6"/>
  <c r="C42" i="6"/>
  <c r="J41" i="6"/>
  <c r="E41" i="6"/>
  <c r="D41" i="6"/>
  <c r="C41" i="6"/>
  <c r="J40" i="6"/>
  <c r="I40" i="6"/>
  <c r="E40" i="6"/>
  <c r="D40" i="6"/>
  <c r="C40" i="6"/>
  <c r="J39" i="6"/>
  <c r="E39" i="6"/>
  <c r="D39" i="6"/>
  <c r="C39" i="6"/>
  <c r="J38" i="6"/>
  <c r="I38" i="6"/>
  <c r="E38" i="6"/>
  <c r="D38" i="6"/>
  <c r="C38" i="6"/>
  <c r="J37" i="6"/>
  <c r="I37" i="6"/>
  <c r="E35" i="6"/>
  <c r="D35" i="6"/>
  <c r="C35" i="6"/>
  <c r="M34" i="6"/>
  <c r="L34" i="6"/>
  <c r="K34" i="6"/>
  <c r="F34" i="6"/>
  <c r="E34" i="6"/>
  <c r="D34" i="6"/>
  <c r="C34" i="6"/>
  <c r="E33" i="6"/>
  <c r="D33" i="6"/>
  <c r="C33" i="6"/>
  <c r="M32" i="6"/>
  <c r="J32" i="6"/>
  <c r="F32" i="6"/>
  <c r="E32" i="6"/>
  <c r="D32" i="6"/>
  <c r="C32" i="6"/>
  <c r="M31" i="6"/>
  <c r="J31" i="6"/>
  <c r="M30" i="6"/>
  <c r="J30" i="6"/>
  <c r="M29" i="6"/>
  <c r="J29" i="6"/>
  <c r="M28" i="6"/>
  <c r="J28" i="6"/>
  <c r="M27" i="6"/>
  <c r="J27" i="6"/>
  <c r="M26" i="6"/>
  <c r="J26" i="6"/>
  <c r="M25" i="6"/>
  <c r="J25" i="6"/>
  <c r="M24" i="6"/>
  <c r="K24" i="6"/>
  <c r="J24" i="6"/>
  <c r="E24" i="6"/>
  <c r="D24" i="6"/>
  <c r="C24" i="6"/>
  <c r="M23" i="6"/>
  <c r="J23" i="6"/>
  <c r="F23" i="6"/>
  <c r="E23" i="6"/>
  <c r="D23" i="6"/>
  <c r="C23" i="6"/>
  <c r="M22" i="6"/>
  <c r="J22" i="6"/>
  <c r="M21" i="6"/>
  <c r="J21" i="6"/>
  <c r="M20" i="6"/>
  <c r="J20" i="6"/>
  <c r="M19" i="6"/>
  <c r="J19" i="6"/>
  <c r="M18" i="6"/>
  <c r="J18" i="6"/>
  <c r="M17" i="6"/>
  <c r="J17" i="6"/>
  <c r="M16" i="6"/>
  <c r="J16" i="6"/>
  <c r="M15" i="6"/>
  <c r="J15" i="6"/>
  <c r="E15" i="6"/>
  <c r="D15" i="6"/>
  <c r="C15" i="6"/>
  <c r="M14" i="6"/>
  <c r="J14" i="6"/>
  <c r="F14" i="6"/>
  <c r="E14" i="6"/>
  <c r="D14" i="6"/>
  <c r="C14" i="6"/>
  <c r="M13" i="6"/>
  <c r="J13" i="6"/>
  <c r="M12" i="6"/>
  <c r="J12" i="6"/>
  <c r="R11" i="6"/>
  <c r="Q11" i="6"/>
  <c r="M11" i="6"/>
  <c r="J11" i="6"/>
  <c r="R10" i="6"/>
  <c r="Q10" i="6"/>
  <c r="P10" i="6"/>
  <c r="M10" i="6"/>
  <c r="J10" i="6"/>
  <c r="R9" i="6"/>
  <c r="Q9" i="6"/>
  <c r="P9" i="6"/>
  <c r="O9" i="6"/>
  <c r="M9" i="6"/>
  <c r="J9" i="6"/>
  <c r="R8" i="6"/>
  <c r="Q8" i="6"/>
  <c r="P8" i="6"/>
  <c r="O8" i="6"/>
  <c r="M8" i="6"/>
  <c r="J8" i="6"/>
  <c r="M7" i="6"/>
  <c r="J7" i="6"/>
  <c r="N6" i="6"/>
  <c r="H4" i="6"/>
  <c r="K57" i="37"/>
  <c r="J57" i="37"/>
  <c r="K56" i="37"/>
  <c r="J56" i="37"/>
  <c r="E53" i="37"/>
  <c r="D53" i="37"/>
  <c r="C53" i="37"/>
  <c r="E52" i="37"/>
  <c r="D52" i="37"/>
  <c r="C52" i="37"/>
  <c r="J51" i="37"/>
  <c r="I51" i="37"/>
  <c r="E51" i="37"/>
  <c r="D51" i="37"/>
  <c r="C51" i="37"/>
  <c r="J50" i="37"/>
  <c r="I50" i="37"/>
  <c r="E50" i="37"/>
  <c r="D50" i="37"/>
  <c r="C50" i="37"/>
  <c r="J49" i="37"/>
  <c r="I49" i="37"/>
  <c r="E49" i="37"/>
  <c r="D49" i="37"/>
  <c r="C49" i="37"/>
  <c r="E48" i="37"/>
  <c r="D48" i="37"/>
  <c r="C48" i="37"/>
  <c r="E47" i="37"/>
  <c r="D47" i="37"/>
  <c r="C47" i="37"/>
  <c r="E46" i="37"/>
  <c r="D46" i="37"/>
  <c r="C46" i="37"/>
  <c r="M45" i="37"/>
  <c r="L45" i="37"/>
  <c r="J45" i="37"/>
  <c r="I45" i="37"/>
  <c r="E45" i="37"/>
  <c r="D45" i="37"/>
  <c r="C45" i="37"/>
  <c r="M44" i="37"/>
  <c r="L44" i="37"/>
  <c r="J44" i="37"/>
  <c r="I44" i="37"/>
  <c r="E44" i="37"/>
  <c r="D44" i="37"/>
  <c r="C44" i="37"/>
  <c r="M43" i="37"/>
  <c r="L43" i="37"/>
  <c r="J43" i="37"/>
  <c r="I43" i="37"/>
  <c r="E43" i="37"/>
  <c r="D43" i="37"/>
  <c r="C43" i="37"/>
  <c r="G42" i="37"/>
  <c r="F42" i="37"/>
  <c r="E42" i="37"/>
  <c r="D42" i="37"/>
  <c r="C42" i="37"/>
  <c r="J41" i="37"/>
  <c r="E41" i="37"/>
  <c r="D41" i="37"/>
  <c r="C41" i="37"/>
  <c r="J40" i="37"/>
  <c r="I40" i="37"/>
  <c r="G40" i="37"/>
  <c r="E40" i="37"/>
  <c r="D40" i="37"/>
  <c r="C40" i="37"/>
  <c r="J39" i="37"/>
  <c r="G39" i="37"/>
  <c r="E39" i="37"/>
  <c r="D39" i="37"/>
  <c r="C39" i="37"/>
  <c r="N38" i="37"/>
  <c r="J38" i="37"/>
  <c r="I38" i="37"/>
  <c r="E38" i="37"/>
  <c r="D38" i="37"/>
  <c r="C38" i="37"/>
  <c r="N37" i="37"/>
  <c r="J37" i="37"/>
  <c r="I37" i="37"/>
  <c r="E35" i="37"/>
  <c r="D35" i="37"/>
  <c r="C35" i="37"/>
  <c r="M34" i="37"/>
  <c r="L34" i="37"/>
  <c r="K34" i="37"/>
  <c r="F34" i="37"/>
  <c r="E34" i="37"/>
  <c r="D34" i="37"/>
  <c r="C34" i="37"/>
  <c r="E33" i="37"/>
  <c r="D33" i="37"/>
  <c r="C33" i="37"/>
  <c r="M32" i="37"/>
  <c r="J32" i="37"/>
  <c r="F32" i="37"/>
  <c r="E32" i="37"/>
  <c r="D32" i="37"/>
  <c r="C32" i="37"/>
  <c r="M31" i="37"/>
  <c r="J31" i="37"/>
  <c r="M30" i="37"/>
  <c r="J30" i="37"/>
  <c r="M29" i="37"/>
  <c r="J29" i="37"/>
  <c r="M28" i="37"/>
  <c r="J28" i="37"/>
  <c r="M27" i="37"/>
  <c r="J27" i="37"/>
  <c r="M26" i="37"/>
  <c r="J26" i="37"/>
  <c r="M25" i="37"/>
  <c r="K25" i="37"/>
  <c r="Y24" i="37"/>
  <c r="X24" i="37"/>
  <c r="M24" i="37"/>
  <c r="K24" i="37"/>
  <c r="J24" i="37"/>
  <c r="E24" i="37"/>
  <c r="D24" i="37"/>
  <c r="C24" i="37"/>
  <c r="Y23" i="37"/>
  <c r="X23" i="37"/>
  <c r="M23" i="37"/>
  <c r="J23" i="37"/>
  <c r="F23" i="37"/>
  <c r="E23" i="37"/>
  <c r="D23" i="37"/>
  <c r="C23" i="37"/>
  <c r="Y22" i="37"/>
  <c r="X22" i="37"/>
  <c r="M22" i="37"/>
  <c r="J22" i="37"/>
  <c r="Y21" i="37"/>
  <c r="X21" i="37"/>
  <c r="M21" i="37"/>
  <c r="J21" i="37"/>
  <c r="Y20" i="37"/>
  <c r="X20" i="37"/>
  <c r="M20" i="37"/>
  <c r="J20" i="37"/>
  <c r="M19" i="37"/>
  <c r="J19" i="37"/>
  <c r="M18" i="37"/>
  <c r="J18" i="37"/>
  <c r="M17" i="37"/>
  <c r="J17" i="37"/>
  <c r="W16" i="37"/>
  <c r="V16" i="37"/>
  <c r="U16" i="37"/>
  <c r="T16" i="37"/>
  <c r="R16" i="37"/>
  <c r="M16" i="37"/>
  <c r="J16" i="37"/>
  <c r="M15" i="37"/>
  <c r="J15" i="37"/>
  <c r="E15" i="37"/>
  <c r="D15" i="37"/>
  <c r="C15" i="37"/>
  <c r="M14" i="37"/>
  <c r="J14" i="37"/>
  <c r="F14" i="37"/>
  <c r="E14" i="37"/>
  <c r="D14" i="37"/>
  <c r="C14" i="37"/>
  <c r="M13" i="37"/>
  <c r="J13" i="37"/>
  <c r="M12" i="37"/>
  <c r="J12" i="37"/>
  <c r="R11" i="37"/>
  <c r="Q11" i="37"/>
  <c r="M11" i="37"/>
  <c r="J11" i="37"/>
  <c r="R10" i="37"/>
  <c r="Q10" i="37"/>
  <c r="P10" i="37"/>
  <c r="M10" i="37"/>
  <c r="J10" i="37"/>
  <c r="R9" i="37"/>
  <c r="Q9" i="37"/>
  <c r="P9" i="37"/>
  <c r="O9" i="37"/>
  <c r="M9" i="37"/>
  <c r="J9" i="37"/>
  <c r="R8" i="37"/>
  <c r="Q8" i="37"/>
  <c r="O8" i="37"/>
  <c r="M8" i="37"/>
  <c r="J8" i="37"/>
  <c r="M7" i="37"/>
  <c r="J7" i="37"/>
  <c r="N6" i="37"/>
  <c r="H4" i="37"/>
  <c r="K57" i="4"/>
  <c r="J57" i="4"/>
  <c r="K56" i="4"/>
  <c r="J56" i="4"/>
  <c r="E53" i="4"/>
  <c r="D53" i="4"/>
  <c r="C53" i="4"/>
  <c r="E52" i="4"/>
  <c r="D52" i="4"/>
  <c r="C52" i="4"/>
  <c r="J51" i="4"/>
  <c r="I51" i="4"/>
  <c r="E51" i="4"/>
  <c r="D51" i="4"/>
  <c r="C51" i="4"/>
  <c r="J50" i="4"/>
  <c r="I50" i="4"/>
  <c r="E50" i="4"/>
  <c r="D50" i="4"/>
  <c r="C50" i="4"/>
  <c r="J49" i="4"/>
  <c r="I49" i="4"/>
  <c r="E49" i="4"/>
  <c r="D49" i="4"/>
  <c r="C49" i="4"/>
  <c r="E48" i="4"/>
  <c r="D48" i="4"/>
  <c r="C48" i="4"/>
  <c r="E47" i="4"/>
  <c r="D47" i="4"/>
  <c r="C47" i="4"/>
  <c r="E46" i="4"/>
  <c r="D46" i="4"/>
  <c r="C46" i="4"/>
  <c r="M45" i="4"/>
  <c r="L45" i="4"/>
  <c r="J45" i="4"/>
  <c r="I45" i="4"/>
  <c r="E45" i="4"/>
  <c r="D45" i="4"/>
  <c r="C45" i="4"/>
  <c r="M44" i="4"/>
  <c r="L44" i="4"/>
  <c r="J44" i="4"/>
  <c r="I44" i="4"/>
  <c r="E44" i="4"/>
  <c r="D44" i="4"/>
  <c r="C44" i="4"/>
  <c r="M43" i="4"/>
  <c r="L43" i="4"/>
  <c r="J43" i="4"/>
  <c r="I43" i="4"/>
  <c r="E43" i="4"/>
  <c r="D43" i="4"/>
  <c r="C43" i="4"/>
  <c r="G42" i="4"/>
  <c r="F42" i="4"/>
  <c r="E42" i="4"/>
  <c r="D42" i="4"/>
  <c r="C42" i="4"/>
  <c r="Q41" i="4"/>
  <c r="J41" i="4"/>
  <c r="E41" i="4"/>
  <c r="D41" i="4"/>
  <c r="C41" i="4"/>
  <c r="Q40" i="4"/>
  <c r="J40" i="4"/>
  <c r="I40" i="4"/>
  <c r="E40" i="4"/>
  <c r="D40" i="4"/>
  <c r="C40" i="4"/>
  <c r="Q39" i="4"/>
  <c r="J39" i="4"/>
  <c r="E39" i="4"/>
  <c r="D39" i="4"/>
  <c r="C39" i="4"/>
  <c r="N38" i="4"/>
  <c r="J38" i="4"/>
  <c r="I38" i="4"/>
  <c r="E38" i="4"/>
  <c r="D38" i="4"/>
  <c r="C38" i="4"/>
  <c r="N37" i="4"/>
  <c r="J37" i="4"/>
  <c r="I37" i="4"/>
  <c r="S36" i="4"/>
  <c r="R36" i="4"/>
  <c r="Q36" i="4"/>
  <c r="S35" i="4"/>
  <c r="R35" i="4"/>
  <c r="Q35" i="4"/>
  <c r="E35" i="4"/>
  <c r="D35" i="4"/>
  <c r="C35" i="4"/>
  <c r="M34" i="4"/>
  <c r="L34" i="4"/>
  <c r="K34" i="4"/>
  <c r="F34" i="4"/>
  <c r="E34" i="4"/>
  <c r="D34" i="4"/>
  <c r="C34" i="4"/>
  <c r="E33" i="4"/>
  <c r="D33" i="4"/>
  <c r="C33" i="4"/>
  <c r="M32" i="4"/>
  <c r="J32" i="4"/>
  <c r="F32" i="4"/>
  <c r="E32" i="4"/>
  <c r="D32" i="4"/>
  <c r="C32" i="4"/>
  <c r="M31" i="4"/>
  <c r="J31" i="4"/>
  <c r="M30" i="4"/>
  <c r="J30" i="4"/>
  <c r="M29" i="4"/>
  <c r="J29" i="4"/>
  <c r="S28" i="4"/>
  <c r="R28" i="4"/>
  <c r="P28" i="4"/>
  <c r="M28" i="4"/>
  <c r="J28" i="4"/>
  <c r="S27" i="4"/>
  <c r="R27" i="4"/>
  <c r="P27" i="4"/>
  <c r="M27" i="4"/>
  <c r="J27" i="4"/>
  <c r="S26" i="4"/>
  <c r="R26" i="4"/>
  <c r="Q26" i="4"/>
  <c r="M26" i="4"/>
  <c r="K26" i="4"/>
  <c r="S25" i="4"/>
  <c r="R25" i="4"/>
  <c r="Q25" i="4"/>
  <c r="M25" i="4"/>
  <c r="K25" i="4"/>
  <c r="J25" i="4"/>
  <c r="M24" i="4"/>
  <c r="J24" i="4"/>
  <c r="E24" i="4"/>
  <c r="D24" i="4"/>
  <c r="C24" i="4"/>
  <c r="M23" i="4"/>
  <c r="J23" i="4"/>
  <c r="F23" i="4"/>
  <c r="E23" i="4"/>
  <c r="D23" i="4"/>
  <c r="C23" i="4"/>
  <c r="M22" i="4"/>
  <c r="J22" i="4"/>
  <c r="M21" i="4"/>
  <c r="J21" i="4"/>
  <c r="M20" i="4"/>
  <c r="J20" i="4"/>
  <c r="M19" i="4"/>
  <c r="J19" i="4"/>
  <c r="S18" i="4"/>
  <c r="R18" i="4"/>
  <c r="P18" i="4"/>
  <c r="M18" i="4"/>
  <c r="J18" i="4"/>
  <c r="S17" i="4"/>
  <c r="R17" i="4"/>
  <c r="Q17" i="4"/>
  <c r="P17" i="4"/>
  <c r="M17" i="4"/>
  <c r="J17" i="4"/>
  <c r="C17" i="4"/>
  <c r="M16" i="4"/>
  <c r="J16" i="4"/>
  <c r="S15" i="4"/>
  <c r="R15" i="4"/>
  <c r="Q15" i="4"/>
  <c r="M15" i="4"/>
  <c r="J15" i="4"/>
  <c r="E15" i="4"/>
  <c r="D15" i="4"/>
  <c r="C15" i="4"/>
  <c r="S14" i="4"/>
  <c r="R14" i="4"/>
  <c r="Q14" i="4"/>
  <c r="M14" i="4"/>
  <c r="J14" i="4"/>
  <c r="F14" i="4"/>
  <c r="E14" i="4"/>
  <c r="D14" i="4"/>
  <c r="C14" i="4"/>
  <c r="M13" i="4"/>
  <c r="J13" i="4"/>
  <c r="M12" i="4"/>
  <c r="J12" i="4"/>
  <c r="M11" i="4"/>
  <c r="J11" i="4"/>
  <c r="M10" i="4"/>
  <c r="J10" i="4"/>
  <c r="M9" i="4"/>
  <c r="J9" i="4"/>
  <c r="M8" i="4"/>
  <c r="J8" i="4"/>
  <c r="S7" i="4"/>
  <c r="R7" i="4"/>
  <c r="P7" i="4"/>
  <c r="M7" i="4"/>
  <c r="J7" i="4"/>
  <c r="S6" i="4"/>
  <c r="R6" i="4"/>
  <c r="P6" i="4"/>
  <c r="H4" i="4"/>
  <c r="K57" i="43"/>
  <c r="J57" i="43"/>
  <c r="K56" i="43"/>
  <c r="J56" i="43"/>
  <c r="E53" i="43"/>
  <c r="D53" i="43"/>
  <c r="C53" i="43"/>
  <c r="E52" i="43"/>
  <c r="D52" i="43"/>
  <c r="C52" i="43"/>
  <c r="J51" i="43"/>
  <c r="I51" i="43"/>
  <c r="E51" i="43"/>
  <c r="D51" i="43"/>
  <c r="C51" i="43"/>
  <c r="J50" i="43"/>
  <c r="I50" i="43"/>
  <c r="E50" i="43"/>
  <c r="D50" i="43"/>
  <c r="C50" i="43"/>
  <c r="J49" i="43"/>
  <c r="I49" i="43"/>
  <c r="E49" i="43"/>
  <c r="D49" i="43"/>
  <c r="C49" i="43"/>
  <c r="E48" i="43"/>
  <c r="D48" i="43"/>
  <c r="C48" i="43"/>
  <c r="E47" i="43"/>
  <c r="D47" i="43"/>
  <c r="C47" i="43"/>
  <c r="E46" i="43"/>
  <c r="D46" i="43"/>
  <c r="C46" i="43"/>
  <c r="M45" i="43"/>
  <c r="L45" i="43"/>
  <c r="J45" i="43"/>
  <c r="I45" i="43"/>
  <c r="E45" i="43"/>
  <c r="D45" i="43"/>
  <c r="C45" i="43"/>
  <c r="M44" i="43"/>
  <c r="L44" i="43"/>
  <c r="J44" i="43"/>
  <c r="I44" i="43"/>
  <c r="E44" i="43"/>
  <c r="D44" i="43"/>
  <c r="C44" i="43"/>
  <c r="M43" i="43"/>
  <c r="L43" i="43"/>
  <c r="J43" i="43"/>
  <c r="I43" i="43"/>
  <c r="E43" i="43"/>
  <c r="D43" i="43"/>
  <c r="C43" i="43"/>
  <c r="G42" i="43"/>
  <c r="F42" i="43"/>
  <c r="E42" i="43"/>
  <c r="D42" i="43"/>
  <c r="C42" i="43"/>
  <c r="J41" i="43"/>
  <c r="E41" i="43"/>
  <c r="D41" i="43"/>
  <c r="C41" i="43"/>
  <c r="J40" i="43"/>
  <c r="I40" i="43"/>
  <c r="G40" i="43"/>
  <c r="E40" i="43"/>
  <c r="D40" i="43"/>
  <c r="C40" i="43"/>
  <c r="J39" i="43"/>
  <c r="G39" i="43"/>
  <c r="E39" i="43"/>
  <c r="D39" i="43"/>
  <c r="C39" i="43"/>
  <c r="J38" i="43"/>
  <c r="I38" i="43"/>
  <c r="G38" i="43"/>
  <c r="E38" i="43"/>
  <c r="D38" i="43"/>
  <c r="C38" i="43"/>
  <c r="N37" i="43"/>
  <c r="J37" i="43"/>
  <c r="I37" i="43"/>
  <c r="E35" i="43"/>
  <c r="D35" i="43"/>
  <c r="C35" i="43"/>
  <c r="M34" i="43"/>
  <c r="L34" i="43"/>
  <c r="K34" i="43"/>
  <c r="F34" i="43"/>
  <c r="E34" i="43"/>
  <c r="D34" i="43"/>
  <c r="C34" i="43"/>
  <c r="E33" i="43"/>
  <c r="D33" i="43"/>
  <c r="C33" i="43"/>
  <c r="M32" i="43"/>
  <c r="J32" i="43"/>
  <c r="F32" i="43"/>
  <c r="E32" i="43"/>
  <c r="D32" i="43"/>
  <c r="C32" i="43"/>
  <c r="M31" i="43"/>
  <c r="J31" i="43"/>
  <c r="M30" i="43"/>
  <c r="J30" i="43"/>
  <c r="M29" i="43"/>
  <c r="J29" i="43"/>
  <c r="M28" i="43"/>
  <c r="K28" i="43"/>
  <c r="M27" i="43"/>
  <c r="K27" i="43"/>
  <c r="M26" i="43"/>
  <c r="K26" i="43"/>
  <c r="J26" i="43"/>
  <c r="M25" i="43"/>
  <c r="J25" i="43"/>
  <c r="M24" i="43"/>
  <c r="J24" i="43"/>
  <c r="E24" i="43"/>
  <c r="D24" i="43"/>
  <c r="C24" i="43"/>
  <c r="M23" i="43"/>
  <c r="J23" i="43"/>
  <c r="F23" i="43"/>
  <c r="E23" i="43"/>
  <c r="D23" i="43"/>
  <c r="C23" i="43"/>
  <c r="M22" i="43"/>
  <c r="J22" i="43"/>
  <c r="M21" i="43"/>
  <c r="J21" i="43"/>
  <c r="M20" i="43"/>
  <c r="J20" i="43"/>
  <c r="M19" i="43"/>
  <c r="J19" i="43"/>
  <c r="M18" i="43"/>
  <c r="J18" i="43"/>
  <c r="M17" i="43"/>
  <c r="J17" i="43"/>
  <c r="M16" i="43"/>
  <c r="J16" i="43"/>
  <c r="M15" i="43"/>
  <c r="J15" i="43"/>
  <c r="E15" i="43"/>
  <c r="D15" i="43"/>
  <c r="C15" i="43"/>
  <c r="M14" i="43"/>
  <c r="J14" i="43"/>
  <c r="F14" i="43"/>
  <c r="E14" i="43"/>
  <c r="D14" i="43"/>
  <c r="C14" i="43"/>
  <c r="M13" i="43"/>
  <c r="J13" i="43"/>
  <c r="M12" i="43"/>
  <c r="J12" i="43"/>
  <c r="P11" i="43"/>
  <c r="M11" i="43"/>
  <c r="J11" i="43"/>
  <c r="P10" i="43"/>
  <c r="M10" i="43"/>
  <c r="J10" i="43"/>
  <c r="P9" i="43"/>
  <c r="M9" i="43"/>
  <c r="J9" i="43"/>
  <c r="O8" i="43"/>
  <c r="M8" i="43"/>
  <c r="J8" i="43"/>
  <c r="C8" i="43"/>
  <c r="M7" i="43"/>
  <c r="J7" i="43"/>
  <c r="N6" i="43"/>
  <c r="H4" i="43"/>
  <c r="M42" i="52"/>
  <c r="D42" i="52"/>
  <c r="M41" i="52"/>
  <c r="D41" i="52"/>
  <c r="M40" i="52"/>
  <c r="D40" i="52"/>
  <c r="M39" i="52"/>
  <c r="D39" i="52"/>
  <c r="M38" i="52"/>
  <c r="D38" i="52"/>
  <c r="M37" i="52"/>
  <c r="D37" i="52"/>
  <c r="M36" i="52"/>
  <c r="D36" i="52"/>
  <c r="M35" i="52"/>
  <c r="D35" i="52"/>
  <c r="M34" i="52"/>
  <c r="D34" i="52"/>
  <c r="M33" i="52"/>
  <c r="D33" i="52"/>
  <c r="M32" i="52"/>
  <c r="D32" i="52"/>
  <c r="M31" i="52"/>
  <c r="D31" i="52"/>
  <c r="M30" i="52"/>
  <c r="D30" i="52"/>
  <c r="M29" i="52"/>
  <c r="D29" i="52"/>
  <c r="M28" i="52"/>
  <c r="D28" i="52"/>
  <c r="M27" i="52"/>
  <c r="D27" i="52"/>
  <c r="M26" i="52"/>
  <c r="D26" i="52"/>
  <c r="M25" i="52"/>
  <c r="D25" i="52"/>
  <c r="M24" i="52"/>
  <c r="D24" i="52"/>
  <c r="M23" i="52"/>
  <c r="D23" i="52"/>
  <c r="M22" i="52"/>
  <c r="D22" i="52"/>
  <c r="M21" i="52"/>
  <c r="D21" i="52"/>
  <c r="M20" i="52"/>
  <c r="D20" i="52"/>
  <c r="M19" i="52"/>
  <c r="D19" i="52"/>
  <c r="M18" i="52"/>
  <c r="D18" i="52"/>
  <c r="M17" i="52"/>
  <c r="D17" i="52"/>
  <c r="M16" i="52"/>
  <c r="D16" i="52"/>
  <c r="M11" i="52"/>
  <c r="D11" i="52"/>
  <c r="M10" i="52"/>
  <c r="D10" i="52"/>
  <c r="M9" i="52"/>
  <c r="D9" i="52"/>
  <c r="M8" i="52"/>
  <c r="D8" i="52"/>
  <c r="M7" i="52"/>
  <c r="D7" i="52"/>
  <c r="M6" i="52"/>
  <c r="D6" i="52"/>
  <c r="M5" i="52"/>
  <c r="D5" i="52"/>
  <c r="M4" i="52"/>
  <c r="D4" i="52"/>
  <c r="Q3" i="52"/>
  <c r="P3" i="52"/>
  <c r="O3" i="52"/>
  <c r="N3" i="52"/>
  <c r="M3" i="52"/>
  <c r="H3" i="52"/>
  <c r="G3" i="52"/>
  <c r="F3" i="52"/>
  <c r="E3" i="52"/>
  <c r="G68" i="53"/>
  <c r="R66" i="53"/>
  <c r="AH39" i="50"/>
  <c r="AG39" i="50"/>
  <c r="AF39" i="50"/>
  <c r="AE39" i="50"/>
  <c r="AD39" i="50"/>
  <c r="AC39" i="50"/>
  <c r="AB39" i="50"/>
  <c r="AA39" i="50"/>
  <c r="Z39" i="50"/>
  <c r="Y39" i="50"/>
  <c r="X39" i="50"/>
  <c r="W39" i="50"/>
  <c r="V39" i="50"/>
  <c r="U39" i="50"/>
  <c r="T39" i="50"/>
  <c r="S39" i="50"/>
  <c r="R39" i="50"/>
  <c r="Q39" i="50"/>
  <c r="P39" i="50"/>
  <c r="O39" i="50"/>
  <c r="N39" i="50"/>
  <c r="M39" i="50"/>
  <c r="L39" i="50"/>
  <c r="K39" i="50"/>
  <c r="J39" i="50"/>
  <c r="I39" i="50"/>
  <c r="H39" i="50"/>
  <c r="G39" i="50"/>
  <c r="F39" i="50"/>
  <c r="E39" i="50"/>
  <c r="D39" i="50"/>
  <c r="C39" i="50"/>
  <c r="B39" i="50"/>
  <c r="AH37" i="50"/>
  <c r="AG37" i="50"/>
  <c r="AH36" i="50"/>
  <c r="AG36" i="50"/>
  <c r="AH35" i="50"/>
  <c r="AG35" i="50"/>
  <c r="AH34" i="50"/>
  <c r="AG34" i="50"/>
  <c r="AH33" i="50"/>
  <c r="AG33" i="50"/>
  <c r="AH32" i="50"/>
  <c r="AG32" i="50"/>
  <c r="AH31" i="50"/>
  <c r="AG31" i="50"/>
  <c r="AH30" i="50"/>
  <c r="AG30" i="50"/>
  <c r="AH29" i="50"/>
  <c r="AG29" i="50"/>
  <c r="AH28" i="50"/>
  <c r="AG28" i="50"/>
  <c r="AH27" i="50"/>
  <c r="AG27" i="50"/>
  <c r="AH26" i="50"/>
  <c r="AG26" i="50"/>
  <c r="AH25" i="50"/>
  <c r="AG25" i="50"/>
  <c r="AH24" i="50"/>
  <c r="AG24" i="50"/>
  <c r="AH23" i="50"/>
  <c r="AG23" i="50"/>
  <c r="AH22" i="50"/>
  <c r="AG22" i="50"/>
  <c r="AH21" i="50"/>
  <c r="AG21" i="50"/>
  <c r="AH20" i="50"/>
  <c r="AG20" i="50"/>
  <c r="AH19" i="50"/>
  <c r="AG19" i="50"/>
  <c r="AH18" i="50"/>
  <c r="AG18" i="50"/>
  <c r="P18" i="50"/>
  <c r="C18" i="50"/>
  <c r="AH17" i="50"/>
  <c r="AG17" i="50"/>
  <c r="AH16" i="50"/>
  <c r="AG16" i="50"/>
  <c r="AH15" i="50"/>
  <c r="AG15" i="50"/>
  <c r="AH14" i="50"/>
  <c r="AG14" i="50"/>
  <c r="AH13" i="50"/>
  <c r="AG13" i="50"/>
  <c r="AH12" i="50"/>
  <c r="AG12" i="50"/>
  <c r="S12" i="50"/>
  <c r="Q12" i="50"/>
  <c r="H12" i="50"/>
  <c r="G12" i="50"/>
  <c r="AH11" i="50"/>
  <c r="AG11" i="50"/>
  <c r="AH10" i="50"/>
  <c r="AG10" i="50"/>
  <c r="AH9" i="50"/>
  <c r="AG9" i="50"/>
  <c r="AH8" i="50"/>
  <c r="AG8" i="50"/>
  <c r="AH7" i="50"/>
  <c r="AG7" i="50"/>
  <c r="N7" i="50"/>
  <c r="AH6" i="50"/>
  <c r="AG6" i="50"/>
  <c r="AG4" i="50"/>
  <c r="AG3" i="50"/>
  <c r="K48" i="2"/>
  <c r="G48" i="2"/>
  <c r="G46" i="2"/>
  <c r="G45" i="2"/>
  <c r="G44" i="2"/>
  <c r="DI42" i="2"/>
  <c r="DH42" i="2"/>
  <c r="DG42" i="2"/>
  <c r="DD42" i="2"/>
  <c r="DC42" i="2"/>
  <c r="CZ42" i="2"/>
  <c r="CY42" i="2"/>
  <c r="CV42" i="2"/>
  <c r="CU42" i="2"/>
  <c r="CR42" i="2"/>
  <c r="CQ42" i="2"/>
  <c r="CN42" i="2"/>
  <c r="CM42" i="2"/>
  <c r="CJ42" i="2"/>
  <c r="CI42" i="2"/>
  <c r="CF42" i="2"/>
  <c r="CE42" i="2"/>
  <c r="CB42" i="2"/>
  <c r="CA42" i="2"/>
  <c r="BX42" i="2"/>
  <c r="BW42" i="2"/>
  <c r="BT42" i="2"/>
  <c r="BS42" i="2"/>
  <c r="BP42" i="2"/>
  <c r="BO42" i="2"/>
  <c r="BL42" i="2"/>
  <c r="BK42" i="2"/>
  <c r="BH42" i="2"/>
  <c r="BG42" i="2"/>
  <c r="BD42" i="2"/>
  <c r="BC42" i="2"/>
  <c r="AZ42" i="2"/>
  <c r="AY42" i="2"/>
  <c r="AV42" i="2"/>
  <c r="AU42" i="2"/>
  <c r="AR42" i="2"/>
  <c r="AQ42" i="2"/>
  <c r="AN42" i="2"/>
  <c r="AM42" i="2"/>
  <c r="AJ42" i="2"/>
  <c r="AI42" i="2"/>
  <c r="AF42" i="2"/>
  <c r="AE42" i="2"/>
  <c r="AB42" i="2"/>
  <c r="AA42" i="2"/>
  <c r="X42" i="2"/>
  <c r="W42" i="2"/>
  <c r="T42" i="2"/>
  <c r="S42" i="2"/>
  <c r="P42" i="2"/>
  <c r="O42" i="2"/>
  <c r="L42" i="2"/>
  <c r="K42" i="2"/>
  <c r="H42" i="2"/>
  <c r="G42" i="2"/>
  <c r="F42" i="2"/>
  <c r="E42" i="2"/>
  <c r="D42" i="2"/>
  <c r="DM40" i="2"/>
  <c r="DL40" i="2"/>
  <c r="DK40" i="2"/>
  <c r="DJ40" i="2"/>
  <c r="DI40" i="2"/>
  <c r="DH40" i="2"/>
  <c r="DG40" i="2"/>
  <c r="DF40" i="2"/>
  <c r="DE40" i="2"/>
  <c r="DD40" i="2"/>
  <c r="DB40" i="2"/>
  <c r="DA40" i="2"/>
  <c r="CZ40" i="2"/>
  <c r="CX40" i="2"/>
  <c r="CW40" i="2"/>
  <c r="CV40" i="2"/>
  <c r="CU40" i="2"/>
  <c r="CT40" i="2"/>
  <c r="CS40" i="2"/>
  <c r="CR40" i="2"/>
  <c r="CP40" i="2"/>
  <c r="CO40" i="2"/>
  <c r="CN40" i="2"/>
  <c r="CL40" i="2"/>
  <c r="CK40" i="2"/>
  <c r="CJ40" i="2"/>
  <c r="CH40" i="2"/>
  <c r="CG40" i="2"/>
  <c r="CF40" i="2"/>
  <c r="CD40" i="2"/>
  <c r="CC40" i="2"/>
  <c r="CB40" i="2"/>
  <c r="BZ40" i="2"/>
  <c r="BY40" i="2"/>
  <c r="BX40" i="2"/>
  <c r="BV40" i="2"/>
  <c r="BU40" i="2"/>
  <c r="BT40" i="2"/>
  <c r="BR40" i="2"/>
  <c r="BQ40" i="2"/>
  <c r="BP40" i="2"/>
  <c r="BN40" i="2"/>
  <c r="BM40" i="2"/>
  <c r="BL40" i="2"/>
  <c r="BJ40" i="2"/>
  <c r="BI40" i="2"/>
  <c r="BH40" i="2"/>
  <c r="BF40" i="2"/>
  <c r="BE40" i="2"/>
  <c r="BD40" i="2"/>
  <c r="BB40" i="2"/>
  <c r="BA40" i="2"/>
  <c r="AZ40" i="2"/>
  <c r="AX40" i="2"/>
  <c r="AW40" i="2"/>
  <c r="AV40" i="2"/>
  <c r="AT40" i="2"/>
  <c r="AS40" i="2"/>
  <c r="AR40" i="2"/>
  <c r="AP40" i="2"/>
  <c r="AO40" i="2"/>
  <c r="AN40" i="2"/>
  <c r="AM40" i="2"/>
  <c r="AL40" i="2"/>
  <c r="AK40" i="2"/>
  <c r="AJ40" i="2"/>
  <c r="AH40" i="2"/>
  <c r="AG40" i="2"/>
  <c r="AF40" i="2"/>
  <c r="AD40" i="2"/>
  <c r="AC40" i="2"/>
  <c r="AB40" i="2"/>
  <c r="AA40" i="2"/>
  <c r="Z40" i="2"/>
  <c r="Y40" i="2"/>
  <c r="X40" i="2"/>
  <c r="V40" i="2"/>
  <c r="U40" i="2"/>
  <c r="T40" i="2"/>
  <c r="R40" i="2"/>
  <c r="Q40" i="2"/>
  <c r="P40" i="2"/>
  <c r="O40" i="2"/>
  <c r="N40" i="2"/>
  <c r="M40" i="2"/>
  <c r="L40" i="2"/>
  <c r="J40" i="2"/>
  <c r="I40" i="2"/>
  <c r="H40" i="2"/>
  <c r="F40" i="2"/>
  <c r="E40" i="2"/>
  <c r="D40" i="2"/>
  <c r="C40" i="2"/>
  <c r="B40" i="2"/>
  <c r="A40" i="2"/>
  <c r="DL39" i="2"/>
  <c r="DK39" i="2"/>
  <c r="DJ39" i="2"/>
  <c r="DI39" i="2"/>
  <c r="DH39" i="2"/>
  <c r="DG39" i="2"/>
  <c r="DF39" i="2"/>
  <c r="DE39" i="2"/>
  <c r="DD39" i="2"/>
  <c r="DB39" i="2"/>
  <c r="DA39" i="2"/>
  <c r="CZ39" i="2"/>
  <c r="CX39" i="2"/>
  <c r="CW39" i="2"/>
  <c r="CV39" i="2"/>
  <c r="CU39" i="2"/>
  <c r="CT39" i="2"/>
  <c r="CS39" i="2"/>
  <c r="CR39" i="2"/>
  <c r="CP39" i="2"/>
  <c r="CO39" i="2"/>
  <c r="CN39" i="2"/>
  <c r="CL39" i="2"/>
  <c r="CK39" i="2"/>
  <c r="CJ39" i="2"/>
  <c r="CH39" i="2"/>
  <c r="CG39" i="2"/>
  <c r="CF39" i="2"/>
  <c r="CD39" i="2"/>
  <c r="CC39" i="2"/>
  <c r="CB39" i="2"/>
  <c r="BZ39" i="2"/>
  <c r="BY39" i="2"/>
  <c r="BX39" i="2"/>
  <c r="BV39" i="2"/>
  <c r="BU39" i="2"/>
  <c r="BT39" i="2"/>
  <c r="BR39" i="2"/>
  <c r="BQ39" i="2"/>
  <c r="BP39" i="2"/>
  <c r="BN39" i="2"/>
  <c r="BM39" i="2"/>
  <c r="BL39" i="2"/>
  <c r="BJ39" i="2"/>
  <c r="BI39" i="2"/>
  <c r="BH39" i="2"/>
  <c r="BF39" i="2"/>
  <c r="BE39" i="2"/>
  <c r="BD39" i="2"/>
  <c r="BB39" i="2"/>
  <c r="BA39" i="2"/>
  <c r="AZ39" i="2"/>
  <c r="AX39" i="2"/>
  <c r="AW39" i="2"/>
  <c r="AV39" i="2"/>
  <c r="AT39" i="2"/>
  <c r="AS39" i="2"/>
  <c r="AR39" i="2"/>
  <c r="AP39" i="2"/>
  <c r="AO39" i="2"/>
  <c r="AN39" i="2"/>
  <c r="AM39" i="2"/>
  <c r="AL39" i="2"/>
  <c r="AK39" i="2"/>
  <c r="AJ39" i="2"/>
  <c r="AH39" i="2"/>
  <c r="AG39" i="2"/>
  <c r="AF39" i="2"/>
  <c r="AD39" i="2"/>
  <c r="AC39" i="2"/>
  <c r="AB39" i="2"/>
  <c r="AA39" i="2"/>
  <c r="Z39" i="2"/>
  <c r="Y39" i="2"/>
  <c r="X39" i="2"/>
  <c r="V39" i="2"/>
  <c r="U39" i="2"/>
  <c r="T39" i="2"/>
  <c r="R39" i="2"/>
  <c r="Q39" i="2"/>
  <c r="P39" i="2"/>
  <c r="O39" i="2"/>
  <c r="N39" i="2"/>
  <c r="M39" i="2"/>
  <c r="L39" i="2"/>
  <c r="J39" i="2"/>
  <c r="I39" i="2"/>
  <c r="H39" i="2"/>
  <c r="F39" i="2"/>
  <c r="E39" i="2"/>
  <c r="D39" i="2"/>
  <c r="C39" i="2"/>
  <c r="B39" i="2"/>
  <c r="A39" i="2"/>
  <c r="DL38" i="2"/>
  <c r="DK38" i="2"/>
  <c r="DJ38" i="2"/>
  <c r="DI38" i="2"/>
  <c r="DH38" i="2"/>
  <c r="DG38" i="2"/>
  <c r="DF38" i="2"/>
  <c r="DE38" i="2"/>
  <c r="DD38" i="2"/>
  <c r="DB38" i="2"/>
  <c r="DA38" i="2"/>
  <c r="CZ38" i="2"/>
  <c r="CX38" i="2"/>
  <c r="CW38" i="2"/>
  <c r="CV38" i="2"/>
  <c r="CU38" i="2"/>
  <c r="CT38" i="2"/>
  <c r="CS38" i="2"/>
  <c r="CR38" i="2"/>
  <c r="CP38" i="2"/>
  <c r="CO38" i="2"/>
  <c r="CN38" i="2"/>
  <c r="CL38" i="2"/>
  <c r="CK38" i="2"/>
  <c r="CJ38" i="2"/>
  <c r="CH38" i="2"/>
  <c r="CG38" i="2"/>
  <c r="CF38" i="2"/>
  <c r="CD38" i="2"/>
  <c r="CC38" i="2"/>
  <c r="CB38" i="2"/>
  <c r="BZ38" i="2"/>
  <c r="BY38" i="2"/>
  <c r="BX38" i="2"/>
  <c r="BV38" i="2"/>
  <c r="BU38" i="2"/>
  <c r="BT38" i="2"/>
  <c r="BR38" i="2"/>
  <c r="BQ38" i="2"/>
  <c r="BP38" i="2"/>
  <c r="BN38" i="2"/>
  <c r="BM38" i="2"/>
  <c r="BL38" i="2"/>
  <c r="BJ38" i="2"/>
  <c r="BI38" i="2"/>
  <c r="BH38" i="2"/>
  <c r="BF38" i="2"/>
  <c r="BE38" i="2"/>
  <c r="BD38" i="2"/>
  <c r="BB38" i="2"/>
  <c r="BA38" i="2"/>
  <c r="AZ38" i="2"/>
  <c r="AX38" i="2"/>
  <c r="AW38" i="2"/>
  <c r="AV38" i="2"/>
  <c r="AT38" i="2"/>
  <c r="AS38" i="2"/>
  <c r="AR38" i="2"/>
  <c r="AP38" i="2"/>
  <c r="AO38" i="2"/>
  <c r="AN38" i="2"/>
  <c r="AM38" i="2"/>
  <c r="AL38" i="2"/>
  <c r="AK38" i="2"/>
  <c r="AJ38" i="2"/>
  <c r="AH38" i="2"/>
  <c r="AG38" i="2"/>
  <c r="AF38" i="2"/>
  <c r="AD38" i="2"/>
  <c r="AC38" i="2"/>
  <c r="AB38" i="2"/>
  <c r="AA38" i="2"/>
  <c r="Z38" i="2"/>
  <c r="Y38" i="2"/>
  <c r="X38" i="2"/>
  <c r="V38" i="2"/>
  <c r="U38" i="2"/>
  <c r="T38" i="2"/>
  <c r="R38" i="2"/>
  <c r="Q38" i="2"/>
  <c r="P38" i="2"/>
  <c r="N38" i="2"/>
  <c r="M38" i="2"/>
  <c r="L38" i="2"/>
  <c r="J38" i="2"/>
  <c r="I38" i="2"/>
  <c r="H38" i="2"/>
  <c r="F38" i="2"/>
  <c r="E38" i="2"/>
  <c r="D38" i="2"/>
  <c r="C38" i="2"/>
  <c r="B38" i="2"/>
  <c r="A38" i="2"/>
  <c r="DM37" i="2"/>
  <c r="DL37" i="2"/>
  <c r="DK37" i="2"/>
  <c r="DJ37" i="2"/>
  <c r="DI37" i="2"/>
  <c r="DH37" i="2"/>
  <c r="DG37" i="2"/>
  <c r="DF37" i="2"/>
  <c r="DE37" i="2"/>
  <c r="DD37" i="2"/>
  <c r="DB37" i="2"/>
  <c r="DA37" i="2"/>
  <c r="CZ37" i="2"/>
  <c r="CX37" i="2"/>
  <c r="CW37" i="2"/>
  <c r="CV37" i="2"/>
  <c r="CU37" i="2"/>
  <c r="CT37" i="2"/>
  <c r="CS37" i="2"/>
  <c r="CR37" i="2"/>
  <c r="CP37" i="2"/>
  <c r="CO37" i="2"/>
  <c r="CN37" i="2"/>
  <c r="CL37" i="2"/>
  <c r="CK37" i="2"/>
  <c r="CJ37" i="2"/>
  <c r="CH37" i="2"/>
  <c r="CG37" i="2"/>
  <c r="CF37" i="2"/>
  <c r="CD37" i="2"/>
  <c r="CC37" i="2"/>
  <c r="CB37" i="2"/>
  <c r="BZ37" i="2"/>
  <c r="BY37" i="2"/>
  <c r="BX37" i="2"/>
  <c r="BV37" i="2"/>
  <c r="BU37" i="2"/>
  <c r="BT37" i="2"/>
  <c r="BR37" i="2"/>
  <c r="BQ37" i="2"/>
  <c r="BP37" i="2"/>
  <c r="BN37" i="2"/>
  <c r="BM37" i="2"/>
  <c r="BL37" i="2"/>
  <c r="BJ37" i="2"/>
  <c r="BI37" i="2"/>
  <c r="BH37" i="2"/>
  <c r="BF37" i="2"/>
  <c r="BE37" i="2"/>
  <c r="BD37" i="2"/>
  <c r="BB37" i="2"/>
  <c r="BA37" i="2"/>
  <c r="AZ37" i="2"/>
  <c r="AX37" i="2"/>
  <c r="AW37" i="2"/>
  <c r="AV37" i="2"/>
  <c r="AT37" i="2"/>
  <c r="AS37" i="2"/>
  <c r="AR37" i="2"/>
  <c r="AP37" i="2"/>
  <c r="AO37" i="2"/>
  <c r="AN37" i="2"/>
  <c r="AM37" i="2"/>
  <c r="AL37" i="2"/>
  <c r="AK37" i="2"/>
  <c r="AJ37" i="2"/>
  <c r="AH37" i="2"/>
  <c r="AG37" i="2"/>
  <c r="AF37" i="2"/>
  <c r="AD37" i="2"/>
  <c r="AC37" i="2"/>
  <c r="AB37" i="2"/>
  <c r="AA37" i="2"/>
  <c r="Z37" i="2"/>
  <c r="Y37" i="2"/>
  <c r="X37" i="2"/>
  <c r="V37" i="2"/>
  <c r="U37" i="2"/>
  <c r="T37" i="2"/>
  <c r="R37" i="2"/>
  <c r="Q37" i="2"/>
  <c r="P37" i="2"/>
  <c r="N37" i="2"/>
  <c r="M37" i="2"/>
  <c r="L37" i="2"/>
  <c r="J37" i="2"/>
  <c r="I37" i="2"/>
  <c r="H37" i="2"/>
  <c r="F37" i="2"/>
  <c r="E37" i="2"/>
  <c r="D37" i="2"/>
  <c r="C37" i="2"/>
  <c r="B37" i="2"/>
  <c r="A37" i="2"/>
  <c r="DM36" i="2"/>
  <c r="DL36" i="2"/>
  <c r="DK36" i="2"/>
  <c r="DJ36" i="2"/>
  <c r="DI36" i="2"/>
  <c r="DH36" i="2"/>
  <c r="DG36" i="2"/>
  <c r="DF36" i="2"/>
  <c r="DE36" i="2"/>
  <c r="DD36" i="2"/>
  <c r="DB36" i="2"/>
  <c r="DA36" i="2"/>
  <c r="CZ36" i="2"/>
  <c r="CX36" i="2"/>
  <c r="CW36" i="2"/>
  <c r="CV36" i="2"/>
  <c r="CU36" i="2"/>
  <c r="CT36" i="2"/>
  <c r="CS36" i="2"/>
  <c r="CR36" i="2"/>
  <c r="CP36" i="2"/>
  <c r="CO36" i="2"/>
  <c r="CN36" i="2"/>
  <c r="CL36" i="2"/>
  <c r="CK36" i="2"/>
  <c r="CJ36" i="2"/>
  <c r="CH36" i="2"/>
  <c r="CG36" i="2"/>
  <c r="CF36" i="2"/>
  <c r="CD36" i="2"/>
  <c r="CC36" i="2"/>
  <c r="CB36" i="2"/>
  <c r="BZ36" i="2"/>
  <c r="BY36" i="2"/>
  <c r="BX36" i="2"/>
  <c r="BV36" i="2"/>
  <c r="BU36" i="2"/>
  <c r="BT36" i="2"/>
  <c r="BR36" i="2"/>
  <c r="BQ36" i="2"/>
  <c r="BP36" i="2"/>
  <c r="BN36" i="2"/>
  <c r="BM36" i="2"/>
  <c r="BL36" i="2"/>
  <c r="BJ36" i="2"/>
  <c r="BI36" i="2"/>
  <c r="BH36" i="2"/>
  <c r="BF36" i="2"/>
  <c r="BE36" i="2"/>
  <c r="BD36" i="2"/>
  <c r="BB36" i="2"/>
  <c r="BA36" i="2"/>
  <c r="AZ36" i="2"/>
  <c r="AX36" i="2"/>
  <c r="AW36" i="2"/>
  <c r="AV36" i="2"/>
  <c r="AT36" i="2"/>
  <c r="AS36" i="2"/>
  <c r="AR36" i="2"/>
  <c r="AP36" i="2"/>
  <c r="AO36" i="2"/>
  <c r="AN36" i="2"/>
  <c r="AM36" i="2"/>
  <c r="AL36" i="2"/>
  <c r="AK36" i="2"/>
  <c r="AJ36" i="2"/>
  <c r="AH36" i="2"/>
  <c r="AG36" i="2"/>
  <c r="AF36" i="2"/>
  <c r="AD36" i="2"/>
  <c r="AC36" i="2"/>
  <c r="AB36" i="2"/>
  <c r="AA36" i="2"/>
  <c r="Z36" i="2"/>
  <c r="Y36" i="2"/>
  <c r="X36" i="2"/>
  <c r="V36" i="2"/>
  <c r="U36" i="2"/>
  <c r="T36" i="2"/>
  <c r="R36" i="2"/>
  <c r="Q36" i="2"/>
  <c r="P36" i="2"/>
  <c r="N36" i="2"/>
  <c r="M36" i="2"/>
  <c r="L36" i="2"/>
  <c r="J36" i="2"/>
  <c r="I36" i="2"/>
  <c r="H36" i="2"/>
  <c r="F36" i="2"/>
  <c r="E36" i="2"/>
  <c r="D36" i="2"/>
  <c r="C36" i="2"/>
  <c r="B36" i="2"/>
  <c r="A36" i="2"/>
  <c r="DM35" i="2"/>
  <c r="DL35" i="2"/>
  <c r="DK35" i="2"/>
  <c r="DJ35" i="2"/>
  <c r="DI35" i="2"/>
  <c r="DH35" i="2"/>
  <c r="DG35" i="2"/>
  <c r="DF35" i="2"/>
  <c r="DE35" i="2"/>
  <c r="DD35" i="2"/>
  <c r="DB35" i="2"/>
  <c r="DA35" i="2"/>
  <c r="CZ35" i="2"/>
  <c r="CX35" i="2"/>
  <c r="CW35" i="2"/>
  <c r="CV35" i="2"/>
  <c r="CU35" i="2"/>
  <c r="CT35" i="2"/>
  <c r="CS35" i="2"/>
  <c r="CR35" i="2"/>
  <c r="CP35" i="2"/>
  <c r="CO35" i="2"/>
  <c r="CN35" i="2"/>
  <c r="CL35" i="2"/>
  <c r="CK35" i="2"/>
  <c r="CJ35" i="2"/>
  <c r="CH35" i="2"/>
  <c r="CG35" i="2"/>
  <c r="CF35" i="2"/>
  <c r="CD35" i="2"/>
  <c r="CC35" i="2"/>
  <c r="CB35" i="2"/>
  <c r="BZ35" i="2"/>
  <c r="BY35" i="2"/>
  <c r="BX35" i="2"/>
  <c r="BV35" i="2"/>
  <c r="BU35" i="2"/>
  <c r="BT35" i="2"/>
  <c r="BR35" i="2"/>
  <c r="BQ35" i="2"/>
  <c r="BP35" i="2"/>
  <c r="BN35" i="2"/>
  <c r="BM35" i="2"/>
  <c r="BL35" i="2"/>
  <c r="BJ35" i="2"/>
  <c r="BI35" i="2"/>
  <c r="BH35" i="2"/>
  <c r="BF35" i="2"/>
  <c r="BE35" i="2"/>
  <c r="BD35" i="2"/>
  <c r="BB35" i="2"/>
  <c r="BA35" i="2"/>
  <c r="AZ35" i="2"/>
  <c r="AX35" i="2"/>
  <c r="AW35" i="2"/>
  <c r="AV35" i="2"/>
  <c r="AT35" i="2"/>
  <c r="AS35" i="2"/>
  <c r="AR35" i="2"/>
  <c r="AP35" i="2"/>
  <c r="AO35" i="2"/>
  <c r="AN35" i="2"/>
  <c r="AM35" i="2"/>
  <c r="AL35" i="2"/>
  <c r="AK35" i="2"/>
  <c r="AJ35" i="2"/>
  <c r="AH35" i="2"/>
  <c r="AG35" i="2"/>
  <c r="AF35" i="2"/>
  <c r="AD35" i="2"/>
  <c r="AC35" i="2"/>
  <c r="AB35" i="2"/>
  <c r="AA35" i="2"/>
  <c r="Z35" i="2"/>
  <c r="Y35" i="2"/>
  <c r="X35" i="2"/>
  <c r="V35" i="2"/>
  <c r="U35" i="2"/>
  <c r="T35" i="2"/>
  <c r="R35" i="2"/>
  <c r="Q35" i="2"/>
  <c r="P35" i="2"/>
  <c r="N35" i="2"/>
  <c r="M35" i="2"/>
  <c r="L35" i="2"/>
  <c r="J35" i="2"/>
  <c r="I35" i="2"/>
  <c r="H35" i="2"/>
  <c r="F35" i="2"/>
  <c r="E35" i="2"/>
  <c r="D35" i="2"/>
  <c r="C35" i="2"/>
  <c r="B35" i="2"/>
  <c r="A35" i="2"/>
  <c r="DM34" i="2"/>
  <c r="DL34" i="2"/>
  <c r="DK34" i="2"/>
  <c r="DJ34" i="2"/>
  <c r="DI34" i="2"/>
  <c r="DH34" i="2"/>
  <c r="DG34" i="2"/>
  <c r="DF34" i="2"/>
  <c r="DE34" i="2"/>
  <c r="DD34" i="2"/>
  <c r="DB34" i="2"/>
  <c r="DA34" i="2"/>
  <c r="CZ34" i="2"/>
  <c r="CX34" i="2"/>
  <c r="CW34" i="2"/>
  <c r="CV34" i="2"/>
  <c r="CU34" i="2"/>
  <c r="CT34" i="2"/>
  <c r="CS34" i="2"/>
  <c r="CR34" i="2"/>
  <c r="CP34" i="2"/>
  <c r="CO34" i="2"/>
  <c r="CN34" i="2"/>
  <c r="CL34" i="2"/>
  <c r="CK34" i="2"/>
  <c r="CJ34" i="2"/>
  <c r="CH34" i="2"/>
  <c r="CG34" i="2"/>
  <c r="CF34" i="2"/>
  <c r="CD34" i="2"/>
  <c r="CC34" i="2"/>
  <c r="CB34" i="2"/>
  <c r="BZ34" i="2"/>
  <c r="BY34" i="2"/>
  <c r="BX34" i="2"/>
  <c r="BV34" i="2"/>
  <c r="BU34" i="2"/>
  <c r="BT34" i="2"/>
  <c r="BR34" i="2"/>
  <c r="BQ34" i="2"/>
  <c r="BP34" i="2"/>
  <c r="BN34" i="2"/>
  <c r="BM34" i="2"/>
  <c r="BL34" i="2"/>
  <c r="BJ34" i="2"/>
  <c r="BI34" i="2"/>
  <c r="BH34" i="2"/>
  <c r="BF34" i="2"/>
  <c r="BE34" i="2"/>
  <c r="BD34" i="2"/>
  <c r="BB34" i="2"/>
  <c r="BA34" i="2"/>
  <c r="AZ34" i="2"/>
  <c r="AX34" i="2"/>
  <c r="AW34" i="2"/>
  <c r="AV34" i="2"/>
  <c r="AT34" i="2"/>
  <c r="AS34" i="2"/>
  <c r="AR34" i="2"/>
  <c r="AP34" i="2"/>
  <c r="AO34" i="2"/>
  <c r="AN34" i="2"/>
  <c r="AM34" i="2"/>
  <c r="AL34" i="2"/>
  <c r="AK34" i="2"/>
  <c r="AJ34" i="2"/>
  <c r="AH34" i="2"/>
  <c r="AG34" i="2"/>
  <c r="AF34" i="2"/>
  <c r="AD34" i="2"/>
  <c r="AC34" i="2"/>
  <c r="AB34" i="2"/>
  <c r="AA34" i="2"/>
  <c r="Z34" i="2"/>
  <c r="Y34" i="2"/>
  <c r="X34" i="2"/>
  <c r="V34" i="2"/>
  <c r="U34" i="2"/>
  <c r="T34" i="2"/>
  <c r="R34" i="2"/>
  <c r="Q34" i="2"/>
  <c r="P34" i="2"/>
  <c r="N34" i="2"/>
  <c r="M34" i="2"/>
  <c r="L34" i="2"/>
  <c r="J34" i="2"/>
  <c r="I34" i="2"/>
  <c r="H34" i="2"/>
  <c r="F34" i="2"/>
  <c r="E34" i="2"/>
  <c r="D34" i="2"/>
  <c r="C34" i="2"/>
  <c r="B34" i="2"/>
  <c r="A34" i="2"/>
  <c r="DM33" i="2"/>
  <c r="DL33" i="2"/>
  <c r="DK33" i="2"/>
  <c r="DJ33" i="2"/>
  <c r="DI33" i="2"/>
  <c r="DH33" i="2"/>
  <c r="DG33" i="2"/>
  <c r="DF33" i="2"/>
  <c r="DE33" i="2"/>
  <c r="DD33" i="2"/>
  <c r="DB33" i="2"/>
  <c r="DA33" i="2"/>
  <c r="CZ33" i="2"/>
  <c r="CX33" i="2"/>
  <c r="CW33" i="2"/>
  <c r="CV33" i="2"/>
  <c r="CU33" i="2"/>
  <c r="CT33" i="2"/>
  <c r="CS33" i="2"/>
  <c r="CR33" i="2"/>
  <c r="CP33" i="2"/>
  <c r="CO33" i="2"/>
  <c r="CN33" i="2"/>
  <c r="CL33" i="2"/>
  <c r="CK33" i="2"/>
  <c r="CJ33" i="2"/>
  <c r="CH33" i="2"/>
  <c r="CG33" i="2"/>
  <c r="CF33" i="2"/>
  <c r="CD33" i="2"/>
  <c r="CC33" i="2"/>
  <c r="CB33" i="2"/>
  <c r="BZ33" i="2"/>
  <c r="BY33" i="2"/>
  <c r="BX33" i="2"/>
  <c r="BV33" i="2"/>
  <c r="BU33" i="2"/>
  <c r="BT33" i="2"/>
  <c r="BR33" i="2"/>
  <c r="BQ33" i="2"/>
  <c r="BP33" i="2"/>
  <c r="BN33" i="2"/>
  <c r="BM33" i="2"/>
  <c r="BL33" i="2"/>
  <c r="BJ33" i="2"/>
  <c r="BI33" i="2"/>
  <c r="BH33" i="2"/>
  <c r="BF33" i="2"/>
  <c r="BE33" i="2"/>
  <c r="BD33" i="2"/>
  <c r="BB33" i="2"/>
  <c r="BA33" i="2"/>
  <c r="AZ33" i="2"/>
  <c r="AX33" i="2"/>
  <c r="AW33" i="2"/>
  <c r="AV33" i="2"/>
  <c r="AT33" i="2"/>
  <c r="AS33" i="2"/>
  <c r="AR33" i="2"/>
  <c r="AP33" i="2"/>
  <c r="AO33" i="2"/>
  <c r="AN33" i="2"/>
  <c r="AM33" i="2"/>
  <c r="AL33" i="2"/>
  <c r="AK33" i="2"/>
  <c r="AJ33" i="2"/>
  <c r="AH33" i="2"/>
  <c r="AG33" i="2"/>
  <c r="AF33" i="2"/>
  <c r="AD33" i="2"/>
  <c r="AC33" i="2"/>
  <c r="AB33" i="2"/>
  <c r="AA33" i="2"/>
  <c r="Z33" i="2"/>
  <c r="Y33" i="2"/>
  <c r="X33" i="2"/>
  <c r="V33" i="2"/>
  <c r="U33" i="2"/>
  <c r="T33" i="2"/>
  <c r="R33" i="2"/>
  <c r="Q33" i="2"/>
  <c r="P33" i="2"/>
  <c r="N33" i="2"/>
  <c r="M33" i="2"/>
  <c r="L33" i="2"/>
  <c r="J33" i="2"/>
  <c r="I33" i="2"/>
  <c r="H33" i="2"/>
  <c r="F33" i="2"/>
  <c r="E33" i="2"/>
  <c r="D33" i="2"/>
  <c r="C33" i="2"/>
  <c r="B33" i="2"/>
  <c r="A33" i="2"/>
  <c r="DM32" i="2"/>
  <c r="DL32" i="2"/>
  <c r="DK32" i="2"/>
  <c r="DJ32" i="2"/>
  <c r="DI32" i="2"/>
  <c r="DH32" i="2"/>
  <c r="DG32" i="2"/>
  <c r="DF32" i="2"/>
  <c r="DE32" i="2"/>
  <c r="DD32" i="2"/>
  <c r="DB32" i="2"/>
  <c r="DA32" i="2"/>
  <c r="CZ32" i="2"/>
  <c r="CX32" i="2"/>
  <c r="CW32" i="2"/>
  <c r="CV32" i="2"/>
  <c r="CU32" i="2"/>
  <c r="CT32" i="2"/>
  <c r="CS32" i="2"/>
  <c r="CR32" i="2"/>
  <c r="CP32" i="2"/>
  <c r="CO32" i="2"/>
  <c r="CN32" i="2"/>
  <c r="CL32" i="2"/>
  <c r="CK32" i="2"/>
  <c r="CJ32" i="2"/>
  <c r="CH32" i="2"/>
  <c r="CG32" i="2"/>
  <c r="CF32" i="2"/>
  <c r="CD32" i="2"/>
  <c r="CC32" i="2"/>
  <c r="CB32" i="2"/>
  <c r="BZ32" i="2"/>
  <c r="BY32" i="2"/>
  <c r="BX32" i="2"/>
  <c r="BV32" i="2"/>
  <c r="BU32" i="2"/>
  <c r="BT32" i="2"/>
  <c r="BR32" i="2"/>
  <c r="BQ32" i="2"/>
  <c r="BP32" i="2"/>
  <c r="BN32" i="2"/>
  <c r="BM32" i="2"/>
  <c r="BL32" i="2"/>
  <c r="BJ32" i="2"/>
  <c r="BI32" i="2"/>
  <c r="BH32" i="2"/>
  <c r="BF32" i="2"/>
  <c r="BE32" i="2"/>
  <c r="BD32" i="2"/>
  <c r="BB32" i="2"/>
  <c r="BA32" i="2"/>
  <c r="AZ32" i="2"/>
  <c r="AX32" i="2"/>
  <c r="AW32" i="2"/>
  <c r="AV32" i="2"/>
  <c r="AT32" i="2"/>
  <c r="AS32" i="2"/>
  <c r="AR32" i="2"/>
  <c r="AP32" i="2"/>
  <c r="AO32" i="2"/>
  <c r="AN32" i="2"/>
  <c r="AM32" i="2"/>
  <c r="AL32" i="2"/>
  <c r="AK32" i="2"/>
  <c r="AJ32" i="2"/>
  <c r="AH32" i="2"/>
  <c r="AG32" i="2"/>
  <c r="AF32" i="2"/>
  <c r="AD32" i="2"/>
  <c r="AC32" i="2"/>
  <c r="AB32" i="2"/>
  <c r="AA32" i="2"/>
  <c r="Z32" i="2"/>
  <c r="Y32" i="2"/>
  <c r="X32" i="2"/>
  <c r="V32" i="2"/>
  <c r="U32" i="2"/>
  <c r="T32" i="2"/>
  <c r="R32" i="2"/>
  <c r="Q32" i="2"/>
  <c r="P32" i="2"/>
  <c r="N32" i="2"/>
  <c r="M32" i="2"/>
  <c r="L32" i="2"/>
  <c r="J32" i="2"/>
  <c r="I32" i="2"/>
  <c r="H32" i="2"/>
  <c r="F32" i="2"/>
  <c r="E32" i="2"/>
  <c r="D32" i="2"/>
  <c r="C32" i="2"/>
  <c r="B32" i="2"/>
  <c r="A32" i="2"/>
  <c r="DM31" i="2"/>
  <c r="DL31" i="2"/>
  <c r="DK31" i="2"/>
  <c r="DJ31" i="2"/>
  <c r="DI31" i="2"/>
  <c r="DH31" i="2"/>
  <c r="DG31" i="2"/>
  <c r="DF31" i="2"/>
  <c r="DE31" i="2"/>
  <c r="DD31" i="2"/>
  <c r="DB31" i="2"/>
  <c r="DA31" i="2"/>
  <c r="CZ31" i="2"/>
  <c r="CX31" i="2"/>
  <c r="CW31" i="2"/>
  <c r="CV31" i="2"/>
  <c r="CU31" i="2"/>
  <c r="CT31" i="2"/>
  <c r="CS31" i="2"/>
  <c r="CR31" i="2"/>
  <c r="CP31" i="2"/>
  <c r="CO31" i="2"/>
  <c r="CN31" i="2"/>
  <c r="CL31" i="2"/>
  <c r="CK31" i="2"/>
  <c r="CJ31" i="2"/>
  <c r="CH31" i="2"/>
  <c r="CG31" i="2"/>
  <c r="CF31" i="2"/>
  <c r="CD31" i="2"/>
  <c r="CC31" i="2"/>
  <c r="CB31" i="2"/>
  <c r="BZ31" i="2"/>
  <c r="BY31" i="2"/>
  <c r="BX31" i="2"/>
  <c r="BV31" i="2"/>
  <c r="BU31" i="2"/>
  <c r="BT31" i="2"/>
  <c r="BR31" i="2"/>
  <c r="BQ31" i="2"/>
  <c r="BP31" i="2"/>
  <c r="BN31" i="2"/>
  <c r="BM31" i="2"/>
  <c r="BL31" i="2"/>
  <c r="BJ31" i="2"/>
  <c r="BI31" i="2"/>
  <c r="BH31" i="2"/>
  <c r="BF31" i="2"/>
  <c r="BE31" i="2"/>
  <c r="BD31" i="2"/>
  <c r="BB31" i="2"/>
  <c r="BA31" i="2"/>
  <c r="AZ31" i="2"/>
  <c r="AX31" i="2"/>
  <c r="AW31" i="2"/>
  <c r="AV31" i="2"/>
  <c r="AT31" i="2"/>
  <c r="AS31" i="2"/>
  <c r="AR31" i="2"/>
  <c r="AP31" i="2"/>
  <c r="AO31" i="2"/>
  <c r="AN31" i="2"/>
  <c r="AM31" i="2"/>
  <c r="AL31" i="2"/>
  <c r="AK31" i="2"/>
  <c r="AJ31" i="2"/>
  <c r="AH31" i="2"/>
  <c r="AG31" i="2"/>
  <c r="AF31" i="2"/>
  <c r="AD31" i="2"/>
  <c r="AC31" i="2"/>
  <c r="AB31" i="2"/>
  <c r="AA31" i="2"/>
  <c r="Z31" i="2"/>
  <c r="Y31" i="2"/>
  <c r="X31" i="2"/>
  <c r="V31" i="2"/>
  <c r="U31" i="2"/>
  <c r="T31" i="2"/>
  <c r="R31" i="2"/>
  <c r="Q31" i="2"/>
  <c r="P31" i="2"/>
  <c r="O31" i="2"/>
  <c r="N31" i="2"/>
  <c r="M31" i="2"/>
  <c r="L31" i="2"/>
  <c r="J31" i="2"/>
  <c r="I31" i="2"/>
  <c r="H31" i="2"/>
  <c r="F31" i="2"/>
  <c r="E31" i="2"/>
  <c r="D31" i="2"/>
  <c r="C31" i="2"/>
  <c r="B31" i="2"/>
  <c r="A31" i="2"/>
  <c r="DM30" i="2"/>
  <c r="DL30" i="2"/>
  <c r="DK30" i="2"/>
  <c r="DJ30" i="2"/>
  <c r="DI30" i="2"/>
  <c r="DH30" i="2"/>
  <c r="DG30" i="2"/>
  <c r="DF30" i="2"/>
  <c r="DE30" i="2"/>
  <c r="DD30" i="2"/>
  <c r="DB30" i="2"/>
  <c r="DA30" i="2"/>
  <c r="CZ30" i="2"/>
  <c r="CX30" i="2"/>
  <c r="CW30" i="2"/>
  <c r="CV30" i="2"/>
  <c r="CU30" i="2"/>
  <c r="CT30" i="2"/>
  <c r="CS30" i="2"/>
  <c r="CR30" i="2"/>
  <c r="CP30" i="2"/>
  <c r="CO30" i="2"/>
  <c r="CN30" i="2"/>
  <c r="CL30" i="2"/>
  <c r="CK30" i="2"/>
  <c r="CJ30" i="2"/>
  <c r="CH30" i="2"/>
  <c r="CG30" i="2"/>
  <c r="CF30" i="2"/>
  <c r="CD30" i="2"/>
  <c r="CC30" i="2"/>
  <c r="CB30" i="2"/>
  <c r="BZ30" i="2"/>
  <c r="BY30" i="2"/>
  <c r="BX30" i="2"/>
  <c r="BV30" i="2"/>
  <c r="BU30" i="2"/>
  <c r="BT30" i="2"/>
  <c r="BR30" i="2"/>
  <c r="BQ30" i="2"/>
  <c r="BP30" i="2"/>
  <c r="BN30" i="2"/>
  <c r="BM30" i="2"/>
  <c r="BL30" i="2"/>
  <c r="BJ30" i="2"/>
  <c r="BI30" i="2"/>
  <c r="BH30" i="2"/>
  <c r="BF30" i="2"/>
  <c r="BE30" i="2"/>
  <c r="BD30" i="2"/>
  <c r="BB30" i="2"/>
  <c r="BA30" i="2"/>
  <c r="AZ30" i="2"/>
  <c r="AX30" i="2"/>
  <c r="AW30" i="2"/>
  <c r="AV30" i="2"/>
  <c r="AT30" i="2"/>
  <c r="AS30" i="2"/>
  <c r="AR30" i="2"/>
  <c r="AP30" i="2"/>
  <c r="AO30" i="2"/>
  <c r="AN30" i="2"/>
  <c r="AM30" i="2"/>
  <c r="AL30" i="2"/>
  <c r="AK30" i="2"/>
  <c r="AJ30" i="2"/>
  <c r="AH30" i="2"/>
  <c r="AG30" i="2"/>
  <c r="AF30" i="2"/>
  <c r="AD30" i="2"/>
  <c r="AC30" i="2"/>
  <c r="AB30" i="2"/>
  <c r="AA30" i="2"/>
  <c r="Z30" i="2"/>
  <c r="Y30" i="2"/>
  <c r="X30" i="2"/>
  <c r="V30" i="2"/>
  <c r="U30" i="2"/>
  <c r="T30" i="2"/>
  <c r="R30" i="2"/>
  <c r="Q30" i="2"/>
  <c r="P30" i="2"/>
  <c r="O30" i="2"/>
  <c r="N30" i="2"/>
  <c r="M30" i="2"/>
  <c r="L30" i="2"/>
  <c r="J30" i="2"/>
  <c r="I30" i="2"/>
  <c r="H30" i="2"/>
  <c r="F30" i="2"/>
  <c r="E30" i="2"/>
  <c r="D30" i="2"/>
  <c r="C30" i="2"/>
  <c r="B30" i="2"/>
  <c r="A30" i="2"/>
  <c r="DM29" i="2"/>
  <c r="DL29" i="2"/>
  <c r="DK29" i="2"/>
  <c r="DJ29" i="2"/>
  <c r="DI29" i="2"/>
  <c r="DH29" i="2"/>
  <c r="DG29" i="2"/>
  <c r="DF29" i="2"/>
  <c r="DE29" i="2"/>
  <c r="DD29" i="2"/>
  <c r="DB29" i="2"/>
  <c r="DA29" i="2"/>
  <c r="CZ29" i="2"/>
  <c r="CX29" i="2"/>
  <c r="CW29" i="2"/>
  <c r="CV29" i="2"/>
  <c r="CU29" i="2"/>
  <c r="CT29" i="2"/>
  <c r="CS29" i="2"/>
  <c r="CR29" i="2"/>
  <c r="CP29" i="2"/>
  <c r="CO29" i="2"/>
  <c r="CN29" i="2"/>
  <c r="CL29" i="2"/>
  <c r="CK29" i="2"/>
  <c r="CJ29" i="2"/>
  <c r="CH29" i="2"/>
  <c r="CG29" i="2"/>
  <c r="CF29" i="2"/>
  <c r="CD29" i="2"/>
  <c r="CC29" i="2"/>
  <c r="CB29" i="2"/>
  <c r="BZ29" i="2"/>
  <c r="BY29" i="2"/>
  <c r="BX29" i="2"/>
  <c r="BV29" i="2"/>
  <c r="BU29" i="2"/>
  <c r="BT29" i="2"/>
  <c r="BR29" i="2"/>
  <c r="BQ29" i="2"/>
  <c r="BP29" i="2"/>
  <c r="BN29" i="2"/>
  <c r="BM29" i="2"/>
  <c r="BL29" i="2"/>
  <c r="BJ29" i="2"/>
  <c r="BI29" i="2"/>
  <c r="BH29" i="2"/>
  <c r="BF29" i="2"/>
  <c r="BE29" i="2"/>
  <c r="BD29" i="2"/>
  <c r="BB29" i="2"/>
  <c r="BA29" i="2"/>
  <c r="AZ29" i="2"/>
  <c r="AX29" i="2"/>
  <c r="AW29" i="2"/>
  <c r="AV29" i="2"/>
  <c r="AT29" i="2"/>
  <c r="AS29" i="2"/>
  <c r="AR29" i="2"/>
  <c r="AP29" i="2"/>
  <c r="AO29" i="2"/>
  <c r="AN29" i="2"/>
  <c r="AM29" i="2"/>
  <c r="AL29" i="2"/>
  <c r="AK29" i="2"/>
  <c r="AJ29" i="2"/>
  <c r="AH29" i="2"/>
  <c r="AG29" i="2"/>
  <c r="AF29" i="2"/>
  <c r="AD29" i="2"/>
  <c r="AC29" i="2"/>
  <c r="AB29" i="2"/>
  <c r="AA29" i="2"/>
  <c r="Z29" i="2"/>
  <c r="Y29" i="2"/>
  <c r="X29" i="2"/>
  <c r="V29" i="2"/>
  <c r="U29" i="2"/>
  <c r="T29" i="2"/>
  <c r="R29" i="2"/>
  <c r="Q29" i="2"/>
  <c r="P29" i="2"/>
  <c r="O29" i="2"/>
  <c r="N29" i="2"/>
  <c r="M29" i="2"/>
  <c r="L29" i="2"/>
  <c r="J29" i="2"/>
  <c r="I29" i="2"/>
  <c r="H29" i="2"/>
  <c r="F29" i="2"/>
  <c r="E29" i="2"/>
  <c r="D29" i="2"/>
  <c r="C29" i="2"/>
  <c r="B29" i="2"/>
  <c r="A29" i="2"/>
  <c r="DM28" i="2"/>
  <c r="DL28" i="2"/>
  <c r="DK28" i="2"/>
  <c r="DJ28" i="2"/>
  <c r="DI28" i="2"/>
  <c r="DH28" i="2"/>
  <c r="DG28" i="2"/>
  <c r="DF28" i="2"/>
  <c r="DE28" i="2"/>
  <c r="DD28" i="2"/>
  <c r="DB28" i="2"/>
  <c r="DA28" i="2"/>
  <c r="CZ28" i="2"/>
  <c r="CX28" i="2"/>
  <c r="CW28" i="2"/>
  <c r="CV28" i="2"/>
  <c r="CU28" i="2"/>
  <c r="CT28" i="2"/>
  <c r="CS28" i="2"/>
  <c r="CR28" i="2"/>
  <c r="CP28" i="2"/>
  <c r="CO28" i="2"/>
  <c r="CN28" i="2"/>
  <c r="CL28" i="2"/>
  <c r="CK28" i="2"/>
  <c r="CJ28" i="2"/>
  <c r="CH28" i="2"/>
  <c r="CG28" i="2"/>
  <c r="CF28" i="2"/>
  <c r="CD28" i="2"/>
  <c r="CC28" i="2"/>
  <c r="CB28" i="2"/>
  <c r="BZ28" i="2"/>
  <c r="BY28" i="2"/>
  <c r="BX28" i="2"/>
  <c r="BV28" i="2"/>
  <c r="BU28" i="2"/>
  <c r="BT28" i="2"/>
  <c r="BR28" i="2"/>
  <c r="BQ28" i="2"/>
  <c r="BP28" i="2"/>
  <c r="BN28" i="2"/>
  <c r="BM28" i="2"/>
  <c r="BL28" i="2"/>
  <c r="BJ28" i="2"/>
  <c r="BI28" i="2"/>
  <c r="BH28" i="2"/>
  <c r="BF28" i="2"/>
  <c r="BE28" i="2"/>
  <c r="BD28" i="2"/>
  <c r="BB28" i="2"/>
  <c r="BA28" i="2"/>
  <c r="AZ28" i="2"/>
  <c r="AX28" i="2"/>
  <c r="AW28" i="2"/>
  <c r="AV28" i="2"/>
  <c r="AT28" i="2"/>
  <c r="AS28" i="2"/>
  <c r="AR28" i="2"/>
  <c r="AP28" i="2"/>
  <c r="AO28" i="2"/>
  <c r="AN28" i="2"/>
  <c r="AM28" i="2"/>
  <c r="AL28" i="2"/>
  <c r="AK28" i="2"/>
  <c r="AJ28" i="2"/>
  <c r="AH28" i="2"/>
  <c r="AG28" i="2"/>
  <c r="AF28" i="2"/>
  <c r="AD28" i="2"/>
  <c r="AC28" i="2"/>
  <c r="AB28" i="2"/>
  <c r="AA28" i="2"/>
  <c r="Z28" i="2"/>
  <c r="Y28" i="2"/>
  <c r="X28" i="2"/>
  <c r="V28" i="2"/>
  <c r="U28" i="2"/>
  <c r="T28" i="2"/>
  <c r="R28" i="2"/>
  <c r="Q28" i="2"/>
  <c r="P28" i="2"/>
  <c r="O28" i="2"/>
  <c r="N28" i="2"/>
  <c r="M28" i="2"/>
  <c r="L28" i="2"/>
  <c r="J28" i="2"/>
  <c r="I28" i="2"/>
  <c r="H28" i="2"/>
  <c r="F28" i="2"/>
  <c r="E28" i="2"/>
  <c r="D28" i="2"/>
  <c r="C28" i="2"/>
  <c r="B28" i="2"/>
  <c r="A28" i="2"/>
  <c r="DM27" i="2"/>
  <c r="DL27" i="2"/>
  <c r="DK27" i="2"/>
  <c r="DJ27" i="2"/>
  <c r="DI27" i="2"/>
  <c r="DH27" i="2"/>
  <c r="DG27" i="2"/>
  <c r="DF27" i="2"/>
  <c r="DE27" i="2"/>
  <c r="DD27" i="2"/>
  <c r="DB27" i="2"/>
  <c r="DA27" i="2"/>
  <c r="CZ27" i="2"/>
  <c r="CX27" i="2"/>
  <c r="CW27" i="2"/>
  <c r="CV27" i="2"/>
  <c r="CU27" i="2"/>
  <c r="CT27" i="2"/>
  <c r="CS27" i="2"/>
  <c r="CR27" i="2"/>
  <c r="CP27" i="2"/>
  <c r="CO27" i="2"/>
  <c r="CN27" i="2"/>
  <c r="CL27" i="2"/>
  <c r="CK27" i="2"/>
  <c r="CJ27" i="2"/>
  <c r="CH27" i="2"/>
  <c r="CG27" i="2"/>
  <c r="CF27" i="2"/>
  <c r="CD27" i="2"/>
  <c r="CC27" i="2"/>
  <c r="CB27" i="2"/>
  <c r="BZ27" i="2"/>
  <c r="BY27" i="2"/>
  <c r="BX27" i="2"/>
  <c r="BV27" i="2"/>
  <c r="BU27" i="2"/>
  <c r="BT27" i="2"/>
  <c r="BR27" i="2"/>
  <c r="BQ27" i="2"/>
  <c r="BP27" i="2"/>
  <c r="BN27" i="2"/>
  <c r="BM27" i="2"/>
  <c r="BL27" i="2"/>
  <c r="BJ27" i="2"/>
  <c r="BI27" i="2"/>
  <c r="BH27" i="2"/>
  <c r="BF27" i="2"/>
  <c r="BE27" i="2"/>
  <c r="BD27" i="2"/>
  <c r="BB27" i="2"/>
  <c r="BA27" i="2"/>
  <c r="AZ27" i="2"/>
  <c r="AX27" i="2"/>
  <c r="AW27" i="2"/>
  <c r="AV27" i="2"/>
  <c r="AT27" i="2"/>
  <c r="AS27" i="2"/>
  <c r="AR27" i="2"/>
  <c r="AP27" i="2"/>
  <c r="AO27" i="2"/>
  <c r="AN27" i="2"/>
  <c r="AM27" i="2"/>
  <c r="AL27" i="2"/>
  <c r="AK27" i="2"/>
  <c r="AJ27" i="2"/>
  <c r="AH27" i="2"/>
  <c r="AG27" i="2"/>
  <c r="AF27" i="2"/>
  <c r="AD27" i="2"/>
  <c r="AC27" i="2"/>
  <c r="AB27" i="2"/>
  <c r="AA27" i="2"/>
  <c r="Z27" i="2"/>
  <c r="Y27" i="2"/>
  <c r="X27" i="2"/>
  <c r="V27" i="2"/>
  <c r="U27" i="2"/>
  <c r="T27" i="2"/>
  <c r="R27" i="2"/>
  <c r="Q27" i="2"/>
  <c r="P27" i="2"/>
  <c r="O27" i="2"/>
  <c r="N27" i="2"/>
  <c r="M27" i="2"/>
  <c r="L27" i="2"/>
  <c r="J27" i="2"/>
  <c r="I27" i="2"/>
  <c r="H27" i="2"/>
  <c r="F27" i="2"/>
  <c r="E27" i="2"/>
  <c r="D27" i="2"/>
  <c r="C27" i="2"/>
  <c r="B27" i="2"/>
  <c r="A27" i="2"/>
  <c r="DM26" i="2"/>
  <c r="DL26" i="2"/>
  <c r="DK26" i="2"/>
  <c r="DJ26" i="2"/>
  <c r="DI26" i="2"/>
  <c r="DH26" i="2"/>
  <c r="DG26" i="2"/>
  <c r="DF26" i="2"/>
  <c r="DE26" i="2"/>
  <c r="DD26" i="2"/>
  <c r="DB26" i="2"/>
  <c r="DA26" i="2"/>
  <c r="CZ26" i="2"/>
  <c r="CX26" i="2"/>
  <c r="CW26" i="2"/>
  <c r="CV26" i="2"/>
  <c r="CU26" i="2"/>
  <c r="CT26" i="2"/>
  <c r="CS26" i="2"/>
  <c r="CR26" i="2"/>
  <c r="CP26" i="2"/>
  <c r="CO26" i="2"/>
  <c r="CN26" i="2"/>
  <c r="CL26" i="2"/>
  <c r="CK26" i="2"/>
  <c r="CJ26" i="2"/>
  <c r="CH26" i="2"/>
  <c r="CG26" i="2"/>
  <c r="CF26" i="2"/>
  <c r="CD26" i="2"/>
  <c r="CC26" i="2"/>
  <c r="CB26" i="2"/>
  <c r="BZ26" i="2"/>
  <c r="BY26" i="2"/>
  <c r="BX26" i="2"/>
  <c r="BV26" i="2"/>
  <c r="BU26" i="2"/>
  <c r="BT26" i="2"/>
  <c r="BR26" i="2"/>
  <c r="BQ26" i="2"/>
  <c r="BP26" i="2"/>
  <c r="BN26" i="2"/>
  <c r="BM26" i="2"/>
  <c r="BL26" i="2"/>
  <c r="BJ26" i="2"/>
  <c r="BI26" i="2"/>
  <c r="BH26" i="2"/>
  <c r="BF26" i="2"/>
  <c r="BE26" i="2"/>
  <c r="BD26" i="2"/>
  <c r="BB26" i="2"/>
  <c r="BA26" i="2"/>
  <c r="AZ26" i="2"/>
  <c r="AX26" i="2"/>
  <c r="AW26" i="2"/>
  <c r="AV26" i="2"/>
  <c r="AT26" i="2"/>
  <c r="AS26" i="2"/>
  <c r="AR26" i="2"/>
  <c r="AP26" i="2"/>
  <c r="AO26" i="2"/>
  <c r="AN26" i="2"/>
  <c r="AM26" i="2"/>
  <c r="AL26" i="2"/>
  <c r="AK26" i="2"/>
  <c r="AJ26" i="2"/>
  <c r="AH26" i="2"/>
  <c r="AG26" i="2"/>
  <c r="AF26" i="2"/>
  <c r="AD26" i="2"/>
  <c r="AC26" i="2"/>
  <c r="AB26" i="2"/>
  <c r="AA26" i="2"/>
  <c r="Z26" i="2"/>
  <c r="Y26" i="2"/>
  <c r="X26" i="2"/>
  <c r="V26" i="2"/>
  <c r="U26" i="2"/>
  <c r="T26" i="2"/>
  <c r="R26" i="2"/>
  <c r="Q26" i="2"/>
  <c r="P26" i="2"/>
  <c r="N26" i="2"/>
  <c r="M26" i="2"/>
  <c r="L26" i="2"/>
  <c r="J26" i="2"/>
  <c r="I26" i="2"/>
  <c r="H26" i="2"/>
  <c r="F26" i="2"/>
  <c r="E26" i="2"/>
  <c r="D26" i="2"/>
  <c r="C26" i="2"/>
  <c r="B26" i="2"/>
  <c r="A26" i="2"/>
  <c r="DM25" i="2"/>
  <c r="DL25" i="2"/>
  <c r="DK25" i="2"/>
  <c r="DJ25" i="2"/>
  <c r="DI25" i="2"/>
  <c r="DH25" i="2"/>
  <c r="DG25" i="2"/>
  <c r="DF25" i="2"/>
  <c r="DE25" i="2"/>
  <c r="DD25" i="2"/>
  <c r="DB25" i="2"/>
  <c r="DA25" i="2"/>
  <c r="CZ25" i="2"/>
  <c r="CX25" i="2"/>
  <c r="CW25" i="2"/>
  <c r="CV25" i="2"/>
  <c r="CU25" i="2"/>
  <c r="CT25" i="2"/>
  <c r="CS25" i="2"/>
  <c r="CR25" i="2"/>
  <c r="CP25" i="2"/>
  <c r="CO25" i="2"/>
  <c r="CN25" i="2"/>
  <c r="CL25" i="2"/>
  <c r="CK25" i="2"/>
  <c r="CJ25" i="2"/>
  <c r="CH25" i="2"/>
  <c r="CG25" i="2"/>
  <c r="CF25" i="2"/>
  <c r="CD25" i="2"/>
  <c r="CC25" i="2"/>
  <c r="CB25" i="2"/>
  <c r="BZ25" i="2"/>
  <c r="BY25" i="2"/>
  <c r="BX25" i="2"/>
  <c r="BV25" i="2"/>
  <c r="BU25" i="2"/>
  <c r="BT25" i="2"/>
  <c r="BR25" i="2"/>
  <c r="BQ25" i="2"/>
  <c r="BP25" i="2"/>
  <c r="BN25" i="2"/>
  <c r="BM25" i="2"/>
  <c r="BL25" i="2"/>
  <c r="BJ25" i="2"/>
  <c r="BI25" i="2"/>
  <c r="BH25" i="2"/>
  <c r="BF25" i="2"/>
  <c r="BE25" i="2"/>
  <c r="BD25" i="2"/>
  <c r="BB25" i="2"/>
  <c r="BA25" i="2"/>
  <c r="AZ25" i="2"/>
  <c r="AX25" i="2"/>
  <c r="AW25" i="2"/>
  <c r="AV25" i="2"/>
  <c r="AT25" i="2"/>
  <c r="AS25" i="2"/>
  <c r="AR25" i="2"/>
  <c r="AP25" i="2"/>
  <c r="AO25" i="2"/>
  <c r="AN25" i="2"/>
  <c r="AM25" i="2"/>
  <c r="AL25" i="2"/>
  <c r="AK25" i="2"/>
  <c r="AJ25" i="2"/>
  <c r="AH25" i="2"/>
  <c r="AG25" i="2"/>
  <c r="AF25" i="2"/>
  <c r="AD25" i="2"/>
  <c r="AC25" i="2"/>
  <c r="AB25" i="2"/>
  <c r="AA25" i="2"/>
  <c r="Z25" i="2"/>
  <c r="Y25" i="2"/>
  <c r="X25" i="2"/>
  <c r="V25" i="2"/>
  <c r="U25" i="2"/>
  <c r="T25" i="2"/>
  <c r="R25" i="2"/>
  <c r="Q25" i="2"/>
  <c r="P25" i="2"/>
  <c r="O25" i="2"/>
  <c r="N25" i="2"/>
  <c r="M25" i="2"/>
  <c r="L25" i="2"/>
  <c r="J25" i="2"/>
  <c r="I25" i="2"/>
  <c r="H25" i="2"/>
  <c r="F25" i="2"/>
  <c r="E25" i="2"/>
  <c r="D25" i="2"/>
  <c r="C25" i="2"/>
  <c r="B25" i="2"/>
  <c r="A25" i="2"/>
  <c r="DM24" i="2"/>
  <c r="DL24" i="2"/>
  <c r="DK24" i="2"/>
  <c r="DJ24" i="2"/>
  <c r="DI24" i="2"/>
  <c r="DH24" i="2"/>
  <c r="DG24" i="2"/>
  <c r="DF24" i="2"/>
  <c r="DE24" i="2"/>
  <c r="DD24" i="2"/>
  <c r="DB24" i="2"/>
  <c r="DA24" i="2"/>
  <c r="CZ24" i="2"/>
  <c r="CX24" i="2"/>
  <c r="CW24" i="2"/>
  <c r="CV24" i="2"/>
  <c r="CU24" i="2"/>
  <c r="CT24" i="2"/>
  <c r="CS24" i="2"/>
  <c r="CR24" i="2"/>
  <c r="CP24" i="2"/>
  <c r="CO24" i="2"/>
  <c r="CN24" i="2"/>
  <c r="CL24" i="2"/>
  <c r="CK24" i="2"/>
  <c r="CJ24" i="2"/>
  <c r="CH24" i="2"/>
  <c r="CG24" i="2"/>
  <c r="CF24" i="2"/>
  <c r="CD24" i="2"/>
  <c r="CC24" i="2"/>
  <c r="CB24" i="2"/>
  <c r="BZ24" i="2"/>
  <c r="BY24" i="2"/>
  <c r="BX24" i="2"/>
  <c r="BV24" i="2"/>
  <c r="BU24" i="2"/>
  <c r="BT24" i="2"/>
  <c r="BR24" i="2"/>
  <c r="BQ24" i="2"/>
  <c r="BP24" i="2"/>
  <c r="BN24" i="2"/>
  <c r="BM24" i="2"/>
  <c r="BL24" i="2"/>
  <c r="BJ24" i="2"/>
  <c r="BI24" i="2"/>
  <c r="BH24" i="2"/>
  <c r="BF24" i="2"/>
  <c r="BE24" i="2"/>
  <c r="BD24" i="2"/>
  <c r="BB24" i="2"/>
  <c r="BA24" i="2"/>
  <c r="AZ24" i="2"/>
  <c r="AX24" i="2"/>
  <c r="AW24" i="2"/>
  <c r="AV24" i="2"/>
  <c r="AT24" i="2"/>
  <c r="AS24" i="2"/>
  <c r="AR24" i="2"/>
  <c r="AP24" i="2"/>
  <c r="AO24" i="2"/>
  <c r="AN24" i="2"/>
  <c r="AM24" i="2"/>
  <c r="AL24" i="2"/>
  <c r="AK24" i="2"/>
  <c r="AJ24" i="2"/>
  <c r="AH24" i="2"/>
  <c r="AG24" i="2"/>
  <c r="AF24" i="2"/>
  <c r="AD24" i="2"/>
  <c r="AC24" i="2"/>
  <c r="AB24" i="2"/>
  <c r="AA24" i="2"/>
  <c r="Z24" i="2"/>
  <c r="Y24" i="2"/>
  <c r="X24" i="2"/>
  <c r="V24" i="2"/>
  <c r="U24" i="2"/>
  <c r="T24" i="2"/>
  <c r="R24" i="2"/>
  <c r="Q24" i="2"/>
  <c r="P24" i="2"/>
  <c r="O24" i="2"/>
  <c r="N24" i="2"/>
  <c r="M24" i="2"/>
  <c r="L24" i="2"/>
  <c r="J24" i="2"/>
  <c r="I24" i="2"/>
  <c r="H24" i="2"/>
  <c r="F24" i="2"/>
  <c r="E24" i="2"/>
  <c r="D24" i="2"/>
  <c r="C24" i="2"/>
  <c r="B24" i="2"/>
  <c r="A24" i="2"/>
  <c r="DM23" i="2"/>
  <c r="DL23" i="2"/>
  <c r="DK23" i="2"/>
  <c r="DJ23" i="2"/>
  <c r="DI23" i="2"/>
  <c r="DH23" i="2"/>
  <c r="DG23" i="2"/>
  <c r="DF23" i="2"/>
  <c r="DE23" i="2"/>
  <c r="DD23" i="2"/>
  <c r="DB23" i="2"/>
  <c r="DA23" i="2"/>
  <c r="CZ23" i="2"/>
  <c r="CX23" i="2"/>
  <c r="CW23" i="2"/>
  <c r="CV23" i="2"/>
  <c r="CU23" i="2"/>
  <c r="CT23" i="2"/>
  <c r="CS23" i="2"/>
  <c r="CR23" i="2"/>
  <c r="CP23" i="2"/>
  <c r="CO23" i="2"/>
  <c r="CN23" i="2"/>
  <c r="CL23" i="2"/>
  <c r="CK23" i="2"/>
  <c r="CJ23" i="2"/>
  <c r="CH23" i="2"/>
  <c r="CG23" i="2"/>
  <c r="CF23" i="2"/>
  <c r="CD23" i="2"/>
  <c r="CC23" i="2"/>
  <c r="CB23" i="2"/>
  <c r="BZ23" i="2"/>
  <c r="BY23" i="2"/>
  <c r="BX23" i="2"/>
  <c r="BV23" i="2"/>
  <c r="BU23" i="2"/>
  <c r="BT23" i="2"/>
  <c r="BR23" i="2"/>
  <c r="BQ23" i="2"/>
  <c r="BP23" i="2"/>
  <c r="BN23" i="2"/>
  <c r="BM23" i="2"/>
  <c r="BL23" i="2"/>
  <c r="BJ23" i="2"/>
  <c r="BI23" i="2"/>
  <c r="BH23" i="2"/>
  <c r="BF23" i="2"/>
  <c r="BE23" i="2"/>
  <c r="BD23" i="2"/>
  <c r="BB23" i="2"/>
  <c r="BA23" i="2"/>
  <c r="AZ23" i="2"/>
  <c r="AX23" i="2"/>
  <c r="AW23" i="2"/>
  <c r="AV23" i="2"/>
  <c r="AT23" i="2"/>
  <c r="AS23" i="2"/>
  <c r="AR23" i="2"/>
  <c r="AP23" i="2"/>
  <c r="AO23" i="2"/>
  <c r="AN23" i="2"/>
  <c r="AM23" i="2"/>
  <c r="AL23" i="2"/>
  <c r="AK23" i="2"/>
  <c r="AJ23" i="2"/>
  <c r="AH23" i="2"/>
  <c r="AG23" i="2"/>
  <c r="AF23" i="2"/>
  <c r="AD23" i="2"/>
  <c r="AC23" i="2"/>
  <c r="AB23" i="2"/>
  <c r="AA23" i="2"/>
  <c r="Z23" i="2"/>
  <c r="Y23" i="2"/>
  <c r="X23" i="2"/>
  <c r="V23" i="2"/>
  <c r="U23" i="2"/>
  <c r="T23" i="2"/>
  <c r="R23" i="2"/>
  <c r="Q23" i="2"/>
  <c r="P23" i="2"/>
  <c r="O23" i="2"/>
  <c r="N23" i="2"/>
  <c r="M23" i="2"/>
  <c r="L23" i="2"/>
  <c r="J23" i="2"/>
  <c r="I23" i="2"/>
  <c r="H23" i="2"/>
  <c r="F23" i="2"/>
  <c r="E23" i="2"/>
  <c r="D23" i="2"/>
  <c r="C23" i="2"/>
  <c r="B23" i="2"/>
  <c r="A23" i="2"/>
  <c r="DM22" i="2"/>
  <c r="DL22" i="2"/>
  <c r="DK22" i="2"/>
  <c r="DJ22" i="2"/>
  <c r="DI22" i="2"/>
  <c r="DH22" i="2"/>
  <c r="DG22" i="2"/>
  <c r="DF22" i="2"/>
  <c r="DE22" i="2"/>
  <c r="DD22" i="2"/>
  <c r="DB22" i="2"/>
  <c r="DA22" i="2"/>
  <c r="CZ22" i="2"/>
  <c r="CX22" i="2"/>
  <c r="CW22" i="2"/>
  <c r="CV22" i="2"/>
  <c r="CU22" i="2"/>
  <c r="CT22" i="2"/>
  <c r="CS22" i="2"/>
  <c r="CR22" i="2"/>
  <c r="CP22" i="2"/>
  <c r="CO22" i="2"/>
  <c r="CN22" i="2"/>
  <c r="CL22" i="2"/>
  <c r="CK22" i="2"/>
  <c r="CJ22" i="2"/>
  <c r="CH22" i="2"/>
  <c r="CG22" i="2"/>
  <c r="CF22" i="2"/>
  <c r="CD22" i="2"/>
  <c r="CC22" i="2"/>
  <c r="CB22" i="2"/>
  <c r="BZ22" i="2"/>
  <c r="BY22" i="2"/>
  <c r="BX22" i="2"/>
  <c r="BV22" i="2"/>
  <c r="BU22" i="2"/>
  <c r="BT22" i="2"/>
  <c r="BR22" i="2"/>
  <c r="BQ22" i="2"/>
  <c r="BP22" i="2"/>
  <c r="BN22" i="2"/>
  <c r="BM22" i="2"/>
  <c r="BL22" i="2"/>
  <c r="BJ22" i="2"/>
  <c r="BI22" i="2"/>
  <c r="BH22" i="2"/>
  <c r="BF22" i="2"/>
  <c r="BE22" i="2"/>
  <c r="BD22" i="2"/>
  <c r="BB22" i="2"/>
  <c r="BA22" i="2"/>
  <c r="AZ22" i="2"/>
  <c r="AX22" i="2"/>
  <c r="AW22" i="2"/>
  <c r="AV22" i="2"/>
  <c r="AT22" i="2"/>
  <c r="AS22" i="2"/>
  <c r="AR22" i="2"/>
  <c r="AP22" i="2"/>
  <c r="AO22" i="2"/>
  <c r="AN22" i="2"/>
  <c r="AM22" i="2"/>
  <c r="AL22" i="2"/>
  <c r="AK22" i="2"/>
  <c r="AJ22" i="2"/>
  <c r="AH22" i="2"/>
  <c r="AG22" i="2"/>
  <c r="AF22" i="2"/>
  <c r="AD22" i="2"/>
  <c r="AC22" i="2"/>
  <c r="AB22" i="2"/>
  <c r="AA22" i="2"/>
  <c r="Z22" i="2"/>
  <c r="Y22" i="2"/>
  <c r="X22" i="2"/>
  <c r="V22" i="2"/>
  <c r="U22" i="2"/>
  <c r="T22" i="2"/>
  <c r="R22" i="2"/>
  <c r="Q22" i="2"/>
  <c r="P22" i="2"/>
  <c r="O22" i="2"/>
  <c r="N22" i="2"/>
  <c r="M22" i="2"/>
  <c r="L22" i="2"/>
  <c r="J22" i="2"/>
  <c r="I22" i="2"/>
  <c r="H22" i="2"/>
  <c r="F22" i="2"/>
  <c r="E22" i="2"/>
  <c r="D22" i="2"/>
  <c r="C22" i="2"/>
  <c r="B22" i="2"/>
  <c r="A22" i="2"/>
  <c r="DM21" i="2"/>
  <c r="DL21" i="2"/>
  <c r="DK21" i="2"/>
  <c r="DJ21" i="2"/>
  <c r="DI21" i="2"/>
  <c r="DH21" i="2"/>
  <c r="DG21" i="2"/>
  <c r="DF21" i="2"/>
  <c r="DE21" i="2"/>
  <c r="DD21" i="2"/>
  <c r="DB21" i="2"/>
  <c r="DA21" i="2"/>
  <c r="CZ21" i="2"/>
  <c r="CX21" i="2"/>
  <c r="CW21" i="2"/>
  <c r="CV21" i="2"/>
  <c r="CU21" i="2"/>
  <c r="CT21" i="2"/>
  <c r="CS21" i="2"/>
  <c r="CR21" i="2"/>
  <c r="CP21" i="2"/>
  <c r="CO21" i="2"/>
  <c r="CN21" i="2"/>
  <c r="CL21" i="2"/>
  <c r="CK21" i="2"/>
  <c r="CJ21" i="2"/>
  <c r="CH21" i="2"/>
  <c r="CG21" i="2"/>
  <c r="CF21" i="2"/>
  <c r="CD21" i="2"/>
  <c r="CC21" i="2"/>
  <c r="CB21" i="2"/>
  <c r="BZ21" i="2"/>
  <c r="BY21" i="2"/>
  <c r="BX21" i="2"/>
  <c r="BV21" i="2"/>
  <c r="BU21" i="2"/>
  <c r="BT21" i="2"/>
  <c r="BR21" i="2"/>
  <c r="BQ21" i="2"/>
  <c r="BP21" i="2"/>
  <c r="BN21" i="2"/>
  <c r="BM21" i="2"/>
  <c r="BL21" i="2"/>
  <c r="BJ21" i="2"/>
  <c r="BI21" i="2"/>
  <c r="BH21" i="2"/>
  <c r="BF21" i="2"/>
  <c r="BE21" i="2"/>
  <c r="BD21" i="2"/>
  <c r="BB21" i="2"/>
  <c r="BA21" i="2"/>
  <c r="AZ21" i="2"/>
  <c r="AX21" i="2"/>
  <c r="AW21" i="2"/>
  <c r="AV21" i="2"/>
  <c r="AT21" i="2"/>
  <c r="AS21" i="2"/>
  <c r="AR21" i="2"/>
  <c r="AP21" i="2"/>
  <c r="AO21" i="2"/>
  <c r="AN21" i="2"/>
  <c r="AM21" i="2"/>
  <c r="AL21" i="2"/>
  <c r="AK21" i="2"/>
  <c r="AJ21" i="2"/>
  <c r="AH21" i="2"/>
  <c r="AG21" i="2"/>
  <c r="AF21" i="2"/>
  <c r="AD21" i="2"/>
  <c r="AC21" i="2"/>
  <c r="AB21" i="2"/>
  <c r="AA21" i="2"/>
  <c r="Z21" i="2"/>
  <c r="Y21" i="2"/>
  <c r="X21" i="2"/>
  <c r="V21" i="2"/>
  <c r="U21" i="2"/>
  <c r="T21" i="2"/>
  <c r="R21" i="2"/>
  <c r="Q21" i="2"/>
  <c r="P21" i="2"/>
  <c r="O21" i="2"/>
  <c r="N21" i="2"/>
  <c r="M21" i="2"/>
  <c r="L21" i="2"/>
  <c r="J21" i="2"/>
  <c r="I21" i="2"/>
  <c r="H21" i="2"/>
  <c r="F21" i="2"/>
  <c r="E21" i="2"/>
  <c r="D21" i="2"/>
  <c r="C21" i="2"/>
  <c r="B21" i="2"/>
  <c r="A21" i="2"/>
  <c r="DL20" i="2"/>
  <c r="DK20" i="2"/>
  <c r="DJ20" i="2"/>
  <c r="DI20" i="2"/>
  <c r="DH20" i="2"/>
  <c r="DG20" i="2"/>
  <c r="DF20" i="2"/>
  <c r="DE20" i="2"/>
  <c r="DD20" i="2"/>
  <c r="DB20" i="2"/>
  <c r="DA20" i="2"/>
  <c r="CZ20" i="2"/>
  <c r="CX20" i="2"/>
  <c r="CW20" i="2"/>
  <c r="CV20" i="2"/>
  <c r="CU20" i="2"/>
  <c r="CT20" i="2"/>
  <c r="CS20" i="2"/>
  <c r="CR20" i="2"/>
  <c r="CP20" i="2"/>
  <c r="CO20" i="2"/>
  <c r="CN20" i="2"/>
  <c r="CL20" i="2"/>
  <c r="CK20" i="2"/>
  <c r="CJ20" i="2"/>
  <c r="CH20" i="2"/>
  <c r="CG20" i="2"/>
  <c r="CF20" i="2"/>
  <c r="CD20" i="2"/>
  <c r="CC20" i="2"/>
  <c r="CB20" i="2"/>
  <c r="BZ20" i="2"/>
  <c r="BY20" i="2"/>
  <c r="BX20" i="2"/>
  <c r="BV20" i="2"/>
  <c r="BU20" i="2"/>
  <c r="BT20" i="2"/>
  <c r="BR20" i="2"/>
  <c r="BQ20" i="2"/>
  <c r="BP20" i="2"/>
  <c r="BN20" i="2"/>
  <c r="BM20" i="2"/>
  <c r="BL20" i="2"/>
  <c r="BJ20" i="2"/>
  <c r="BI20" i="2"/>
  <c r="BH20" i="2"/>
  <c r="BF20" i="2"/>
  <c r="BE20" i="2"/>
  <c r="BD20" i="2"/>
  <c r="BB20" i="2"/>
  <c r="BA20" i="2"/>
  <c r="AZ20" i="2"/>
  <c r="AX20" i="2"/>
  <c r="AW20" i="2"/>
  <c r="AV20" i="2"/>
  <c r="AT20" i="2"/>
  <c r="AS20" i="2"/>
  <c r="AR20" i="2"/>
  <c r="AP20" i="2"/>
  <c r="AO20" i="2"/>
  <c r="AN20" i="2"/>
  <c r="AM20" i="2"/>
  <c r="AL20" i="2"/>
  <c r="AK20" i="2"/>
  <c r="AJ20" i="2"/>
  <c r="AH20" i="2"/>
  <c r="AG20" i="2"/>
  <c r="AF20" i="2"/>
  <c r="AD20" i="2"/>
  <c r="AC20" i="2"/>
  <c r="AB20" i="2"/>
  <c r="AA20" i="2"/>
  <c r="Z20" i="2"/>
  <c r="Y20" i="2"/>
  <c r="X20" i="2"/>
  <c r="V20" i="2"/>
  <c r="U20" i="2"/>
  <c r="T20" i="2"/>
  <c r="R20" i="2"/>
  <c r="Q20" i="2"/>
  <c r="P20" i="2"/>
  <c r="N20" i="2"/>
  <c r="M20" i="2"/>
  <c r="L20" i="2"/>
  <c r="J20" i="2"/>
  <c r="I20" i="2"/>
  <c r="H20" i="2"/>
  <c r="F20" i="2"/>
  <c r="E20" i="2"/>
  <c r="D20" i="2"/>
  <c r="C20" i="2"/>
  <c r="B20" i="2"/>
  <c r="A20" i="2"/>
  <c r="DM19" i="2"/>
  <c r="DL19" i="2"/>
  <c r="DK19" i="2"/>
  <c r="DJ19" i="2"/>
  <c r="DI19" i="2"/>
  <c r="DH19" i="2"/>
  <c r="DG19" i="2"/>
  <c r="DF19" i="2"/>
  <c r="DE19" i="2"/>
  <c r="DD19" i="2"/>
  <c r="DB19" i="2"/>
  <c r="DA19" i="2"/>
  <c r="CZ19" i="2"/>
  <c r="CX19" i="2"/>
  <c r="CW19" i="2"/>
  <c r="CV19" i="2"/>
  <c r="CU19" i="2"/>
  <c r="CT19" i="2"/>
  <c r="CS19" i="2"/>
  <c r="CR19" i="2"/>
  <c r="CP19" i="2"/>
  <c r="CO19" i="2"/>
  <c r="CN19" i="2"/>
  <c r="CL19" i="2"/>
  <c r="CK19" i="2"/>
  <c r="CJ19" i="2"/>
  <c r="CH19" i="2"/>
  <c r="CG19" i="2"/>
  <c r="CF19" i="2"/>
  <c r="CD19" i="2"/>
  <c r="CC19" i="2"/>
  <c r="CB19" i="2"/>
  <c r="BZ19" i="2"/>
  <c r="BY19" i="2"/>
  <c r="BX19" i="2"/>
  <c r="BV19" i="2"/>
  <c r="BU19" i="2"/>
  <c r="BT19" i="2"/>
  <c r="BR19" i="2"/>
  <c r="BQ19" i="2"/>
  <c r="BP19" i="2"/>
  <c r="BN19" i="2"/>
  <c r="BM19" i="2"/>
  <c r="BL19" i="2"/>
  <c r="BJ19" i="2"/>
  <c r="BI19" i="2"/>
  <c r="BH19" i="2"/>
  <c r="BF19" i="2"/>
  <c r="BE19" i="2"/>
  <c r="BD19" i="2"/>
  <c r="BB19" i="2"/>
  <c r="BA19" i="2"/>
  <c r="AZ19" i="2"/>
  <c r="AX19" i="2"/>
  <c r="AW19" i="2"/>
  <c r="AV19" i="2"/>
  <c r="AT19" i="2"/>
  <c r="AS19" i="2"/>
  <c r="AR19" i="2"/>
  <c r="AP19" i="2"/>
  <c r="AO19" i="2"/>
  <c r="AN19" i="2"/>
  <c r="AM19" i="2"/>
  <c r="AL19" i="2"/>
  <c r="AK19" i="2"/>
  <c r="AJ19" i="2"/>
  <c r="AH19" i="2"/>
  <c r="AG19" i="2"/>
  <c r="AF19" i="2"/>
  <c r="AD19" i="2"/>
  <c r="AC19" i="2"/>
  <c r="AB19" i="2"/>
  <c r="AA19" i="2"/>
  <c r="Z19" i="2"/>
  <c r="Y19" i="2"/>
  <c r="X19" i="2"/>
  <c r="V19" i="2"/>
  <c r="U19" i="2"/>
  <c r="T19" i="2"/>
  <c r="R19" i="2"/>
  <c r="Q19" i="2"/>
  <c r="P19" i="2"/>
  <c r="N19" i="2"/>
  <c r="M19" i="2"/>
  <c r="L19" i="2"/>
  <c r="J19" i="2"/>
  <c r="I19" i="2"/>
  <c r="H19" i="2"/>
  <c r="F19" i="2"/>
  <c r="E19" i="2"/>
  <c r="D19" i="2"/>
  <c r="C19" i="2"/>
  <c r="B19" i="2"/>
  <c r="A19" i="2"/>
  <c r="DM18" i="2"/>
  <c r="DL18" i="2"/>
  <c r="DK18" i="2"/>
  <c r="DJ18" i="2"/>
  <c r="DI18" i="2"/>
  <c r="DH18" i="2"/>
  <c r="DG18" i="2"/>
  <c r="DF18" i="2"/>
  <c r="DE18" i="2"/>
  <c r="DD18" i="2"/>
  <c r="DB18" i="2"/>
  <c r="DA18" i="2"/>
  <c r="CZ18" i="2"/>
  <c r="CX18" i="2"/>
  <c r="CW18" i="2"/>
  <c r="CV18" i="2"/>
  <c r="CU18" i="2"/>
  <c r="CT18" i="2"/>
  <c r="CS18" i="2"/>
  <c r="CR18" i="2"/>
  <c r="CP18" i="2"/>
  <c r="CO18" i="2"/>
  <c r="CN18" i="2"/>
  <c r="CL18" i="2"/>
  <c r="CK18" i="2"/>
  <c r="CJ18" i="2"/>
  <c r="CH18" i="2"/>
  <c r="CG18" i="2"/>
  <c r="CF18" i="2"/>
  <c r="CD18" i="2"/>
  <c r="CC18" i="2"/>
  <c r="CB18" i="2"/>
  <c r="BZ18" i="2"/>
  <c r="BY18" i="2"/>
  <c r="BX18" i="2"/>
  <c r="BV18" i="2"/>
  <c r="BU18" i="2"/>
  <c r="BT18" i="2"/>
  <c r="BR18" i="2"/>
  <c r="BQ18" i="2"/>
  <c r="BP18" i="2"/>
  <c r="BN18" i="2"/>
  <c r="BM18" i="2"/>
  <c r="BL18" i="2"/>
  <c r="BJ18" i="2"/>
  <c r="BI18" i="2"/>
  <c r="BH18" i="2"/>
  <c r="BF18" i="2"/>
  <c r="BE18" i="2"/>
  <c r="BD18" i="2"/>
  <c r="BB18" i="2"/>
  <c r="BA18" i="2"/>
  <c r="AZ18" i="2"/>
  <c r="AX18" i="2"/>
  <c r="AW18" i="2"/>
  <c r="AV18" i="2"/>
  <c r="AT18" i="2"/>
  <c r="AS18" i="2"/>
  <c r="AR18" i="2"/>
  <c r="AP18" i="2"/>
  <c r="AO18" i="2"/>
  <c r="AN18" i="2"/>
  <c r="AM18" i="2"/>
  <c r="AL18" i="2"/>
  <c r="AK18" i="2"/>
  <c r="AJ18" i="2"/>
  <c r="AH18" i="2"/>
  <c r="AG18" i="2"/>
  <c r="AF18" i="2"/>
  <c r="AD18" i="2"/>
  <c r="AC18" i="2"/>
  <c r="AB18" i="2"/>
  <c r="AA18" i="2"/>
  <c r="Z18" i="2"/>
  <c r="Y18" i="2"/>
  <c r="X18" i="2"/>
  <c r="V18" i="2"/>
  <c r="U18" i="2"/>
  <c r="T18" i="2"/>
  <c r="R18" i="2"/>
  <c r="Q18" i="2"/>
  <c r="P18" i="2"/>
  <c r="O18" i="2"/>
  <c r="N18" i="2"/>
  <c r="M18" i="2"/>
  <c r="L18" i="2"/>
  <c r="J18" i="2"/>
  <c r="I18" i="2"/>
  <c r="H18" i="2"/>
  <c r="F18" i="2"/>
  <c r="E18" i="2"/>
  <c r="D18" i="2"/>
  <c r="C18" i="2"/>
  <c r="B18" i="2"/>
  <c r="A18" i="2"/>
  <c r="DM17" i="2"/>
  <c r="DL17" i="2"/>
  <c r="DK17" i="2"/>
  <c r="DJ17" i="2"/>
  <c r="DI17" i="2"/>
  <c r="DH17" i="2"/>
  <c r="DG17" i="2"/>
  <c r="DF17" i="2"/>
  <c r="DE17" i="2"/>
  <c r="DD17" i="2"/>
  <c r="DB17" i="2"/>
  <c r="DA17" i="2"/>
  <c r="CZ17" i="2"/>
  <c r="CX17" i="2"/>
  <c r="CW17" i="2"/>
  <c r="CV17" i="2"/>
  <c r="CU17" i="2"/>
  <c r="CT17" i="2"/>
  <c r="CS17" i="2"/>
  <c r="CR17" i="2"/>
  <c r="CP17" i="2"/>
  <c r="CO17" i="2"/>
  <c r="CN17" i="2"/>
  <c r="CL17" i="2"/>
  <c r="CK17" i="2"/>
  <c r="CJ17" i="2"/>
  <c r="CH17" i="2"/>
  <c r="CG17" i="2"/>
  <c r="CF17" i="2"/>
  <c r="CD17" i="2"/>
  <c r="CC17" i="2"/>
  <c r="CB17" i="2"/>
  <c r="BZ17" i="2"/>
  <c r="BY17" i="2"/>
  <c r="BX17" i="2"/>
  <c r="BV17" i="2"/>
  <c r="BU17" i="2"/>
  <c r="BT17" i="2"/>
  <c r="BR17" i="2"/>
  <c r="BQ17" i="2"/>
  <c r="BP17" i="2"/>
  <c r="BN17" i="2"/>
  <c r="BM17" i="2"/>
  <c r="BL17" i="2"/>
  <c r="BJ17" i="2"/>
  <c r="BI17" i="2"/>
  <c r="BH17" i="2"/>
  <c r="BF17" i="2"/>
  <c r="BE17" i="2"/>
  <c r="BD17" i="2"/>
  <c r="BB17" i="2"/>
  <c r="BA17" i="2"/>
  <c r="AZ17" i="2"/>
  <c r="AX17" i="2"/>
  <c r="AW17" i="2"/>
  <c r="AV17" i="2"/>
  <c r="AT17" i="2"/>
  <c r="AS17" i="2"/>
  <c r="AR17" i="2"/>
  <c r="AP17" i="2"/>
  <c r="AO17" i="2"/>
  <c r="AN17" i="2"/>
  <c r="AM17" i="2"/>
  <c r="AL17" i="2"/>
  <c r="AK17" i="2"/>
  <c r="AJ17" i="2"/>
  <c r="AH17" i="2"/>
  <c r="AG17" i="2"/>
  <c r="AF17" i="2"/>
  <c r="AD17" i="2"/>
  <c r="AC17" i="2"/>
  <c r="AB17" i="2"/>
  <c r="AA17" i="2"/>
  <c r="Z17" i="2"/>
  <c r="Y17" i="2"/>
  <c r="X17" i="2"/>
  <c r="V17" i="2"/>
  <c r="U17" i="2"/>
  <c r="T17" i="2"/>
  <c r="R17" i="2"/>
  <c r="Q17" i="2"/>
  <c r="P17" i="2"/>
  <c r="O17" i="2"/>
  <c r="N17" i="2"/>
  <c r="M17" i="2"/>
  <c r="L17" i="2"/>
  <c r="J17" i="2"/>
  <c r="I17" i="2"/>
  <c r="H17" i="2"/>
  <c r="F17" i="2"/>
  <c r="E17" i="2"/>
  <c r="D17" i="2"/>
  <c r="C17" i="2"/>
  <c r="B17" i="2"/>
  <c r="A17" i="2"/>
  <c r="DM16" i="2"/>
  <c r="DL16" i="2"/>
  <c r="DK16" i="2"/>
  <c r="DJ16" i="2"/>
  <c r="DI16" i="2"/>
  <c r="DH16" i="2"/>
  <c r="DG16" i="2"/>
  <c r="DF16" i="2"/>
  <c r="DE16" i="2"/>
  <c r="DD16" i="2"/>
  <c r="DB16" i="2"/>
  <c r="DA16" i="2"/>
  <c r="CZ16" i="2"/>
  <c r="CX16" i="2"/>
  <c r="CW16" i="2"/>
  <c r="CV16" i="2"/>
  <c r="CU16" i="2"/>
  <c r="CT16" i="2"/>
  <c r="CS16" i="2"/>
  <c r="CR16" i="2"/>
  <c r="CP16" i="2"/>
  <c r="CO16" i="2"/>
  <c r="CN16" i="2"/>
  <c r="CL16" i="2"/>
  <c r="CK16" i="2"/>
  <c r="CJ16" i="2"/>
  <c r="CH16" i="2"/>
  <c r="CG16" i="2"/>
  <c r="CF16" i="2"/>
  <c r="CD16" i="2"/>
  <c r="CC16" i="2"/>
  <c r="CB16" i="2"/>
  <c r="BZ16" i="2"/>
  <c r="BY16" i="2"/>
  <c r="BX16" i="2"/>
  <c r="BV16" i="2"/>
  <c r="BU16" i="2"/>
  <c r="BT16" i="2"/>
  <c r="BR16" i="2"/>
  <c r="BQ16" i="2"/>
  <c r="BP16" i="2"/>
  <c r="BN16" i="2"/>
  <c r="BM16" i="2"/>
  <c r="BL16" i="2"/>
  <c r="BJ16" i="2"/>
  <c r="BI16" i="2"/>
  <c r="BH16" i="2"/>
  <c r="BF16" i="2"/>
  <c r="BE16" i="2"/>
  <c r="BD16" i="2"/>
  <c r="BB16" i="2"/>
  <c r="BA16" i="2"/>
  <c r="AZ16" i="2"/>
  <c r="AX16" i="2"/>
  <c r="AW16" i="2"/>
  <c r="AV16" i="2"/>
  <c r="AT16" i="2"/>
  <c r="AS16" i="2"/>
  <c r="AR16" i="2"/>
  <c r="AP16" i="2"/>
  <c r="AO16" i="2"/>
  <c r="AN16" i="2"/>
  <c r="AM16" i="2"/>
  <c r="AL16" i="2"/>
  <c r="AK16" i="2"/>
  <c r="AJ16" i="2"/>
  <c r="AH16" i="2"/>
  <c r="AG16" i="2"/>
  <c r="AF16" i="2"/>
  <c r="AD16" i="2"/>
  <c r="AC16" i="2"/>
  <c r="AB16" i="2"/>
  <c r="AA16" i="2"/>
  <c r="Z16" i="2"/>
  <c r="Y16" i="2"/>
  <c r="X16" i="2"/>
  <c r="V16" i="2"/>
  <c r="U16" i="2"/>
  <c r="T16" i="2"/>
  <c r="R16" i="2"/>
  <c r="Q16" i="2"/>
  <c r="P16" i="2"/>
  <c r="O16" i="2"/>
  <c r="N16" i="2"/>
  <c r="M16" i="2"/>
  <c r="L16" i="2"/>
  <c r="J16" i="2"/>
  <c r="I16" i="2"/>
  <c r="H16" i="2"/>
  <c r="F16" i="2"/>
  <c r="E16" i="2"/>
  <c r="D16" i="2"/>
  <c r="C16" i="2"/>
  <c r="B16" i="2"/>
  <c r="A16" i="2"/>
  <c r="DM15" i="2"/>
  <c r="DL15" i="2"/>
  <c r="DK15" i="2"/>
  <c r="DJ15" i="2"/>
  <c r="DI15" i="2"/>
  <c r="DH15" i="2"/>
  <c r="DG15" i="2"/>
  <c r="DF15" i="2"/>
  <c r="DE15" i="2"/>
  <c r="DD15" i="2"/>
  <c r="DB15" i="2"/>
  <c r="DA15" i="2"/>
  <c r="CZ15" i="2"/>
  <c r="CX15" i="2"/>
  <c r="CW15" i="2"/>
  <c r="CV15" i="2"/>
  <c r="CU15" i="2"/>
  <c r="CT15" i="2"/>
  <c r="CS15" i="2"/>
  <c r="CR15" i="2"/>
  <c r="CP15" i="2"/>
  <c r="CO15" i="2"/>
  <c r="CN15" i="2"/>
  <c r="CL15" i="2"/>
  <c r="CK15" i="2"/>
  <c r="CJ15" i="2"/>
  <c r="CH15" i="2"/>
  <c r="CG15" i="2"/>
  <c r="CF15" i="2"/>
  <c r="CD15" i="2"/>
  <c r="CC15" i="2"/>
  <c r="CB15" i="2"/>
  <c r="BZ15" i="2"/>
  <c r="BY15" i="2"/>
  <c r="BX15" i="2"/>
  <c r="BV15" i="2"/>
  <c r="BU15" i="2"/>
  <c r="BT15" i="2"/>
  <c r="BR15" i="2"/>
  <c r="BQ15" i="2"/>
  <c r="BP15" i="2"/>
  <c r="BN15" i="2"/>
  <c r="BM15" i="2"/>
  <c r="BL15" i="2"/>
  <c r="BJ15" i="2"/>
  <c r="BI15" i="2"/>
  <c r="BH15" i="2"/>
  <c r="BF15" i="2"/>
  <c r="BE15" i="2"/>
  <c r="BD15" i="2"/>
  <c r="BB15" i="2"/>
  <c r="BA15" i="2"/>
  <c r="AZ15" i="2"/>
  <c r="AX15" i="2"/>
  <c r="AW15" i="2"/>
  <c r="AV15" i="2"/>
  <c r="AT15" i="2"/>
  <c r="AS15" i="2"/>
  <c r="AR15" i="2"/>
  <c r="AP15" i="2"/>
  <c r="AO15" i="2"/>
  <c r="AN15" i="2"/>
  <c r="AM15" i="2"/>
  <c r="AL15" i="2"/>
  <c r="AK15" i="2"/>
  <c r="AJ15" i="2"/>
  <c r="AH15" i="2"/>
  <c r="AG15" i="2"/>
  <c r="AF15" i="2"/>
  <c r="AD15" i="2"/>
  <c r="AC15" i="2"/>
  <c r="AB15" i="2"/>
  <c r="AA15" i="2"/>
  <c r="Z15" i="2"/>
  <c r="Y15" i="2"/>
  <c r="X15" i="2"/>
  <c r="V15" i="2"/>
  <c r="U15" i="2"/>
  <c r="T15" i="2"/>
  <c r="R15" i="2"/>
  <c r="Q15" i="2"/>
  <c r="P15" i="2"/>
  <c r="O15" i="2"/>
  <c r="N15" i="2"/>
  <c r="M15" i="2"/>
  <c r="L15" i="2"/>
  <c r="J15" i="2"/>
  <c r="I15" i="2"/>
  <c r="H15" i="2"/>
  <c r="F15" i="2"/>
  <c r="E15" i="2"/>
  <c r="D15" i="2"/>
  <c r="C15" i="2"/>
  <c r="B15" i="2"/>
  <c r="A15" i="2"/>
  <c r="DM14" i="2"/>
  <c r="DL14" i="2"/>
  <c r="DK14" i="2"/>
  <c r="DJ14" i="2"/>
  <c r="DI14" i="2"/>
  <c r="DH14" i="2"/>
  <c r="DG14" i="2"/>
  <c r="DF14" i="2"/>
  <c r="DE14" i="2"/>
  <c r="DD14" i="2"/>
  <c r="DB14" i="2"/>
  <c r="DA14" i="2"/>
  <c r="CZ14" i="2"/>
  <c r="CX14" i="2"/>
  <c r="CW14" i="2"/>
  <c r="CV14" i="2"/>
  <c r="CU14" i="2"/>
  <c r="CT14" i="2"/>
  <c r="CS14" i="2"/>
  <c r="CR14" i="2"/>
  <c r="CP14" i="2"/>
  <c r="CO14" i="2"/>
  <c r="CN14" i="2"/>
  <c r="CL14" i="2"/>
  <c r="CK14" i="2"/>
  <c r="CJ14" i="2"/>
  <c r="CH14" i="2"/>
  <c r="CG14" i="2"/>
  <c r="CF14" i="2"/>
  <c r="CD14" i="2"/>
  <c r="CC14" i="2"/>
  <c r="CB14" i="2"/>
  <c r="BZ14" i="2"/>
  <c r="BY14" i="2"/>
  <c r="BX14" i="2"/>
  <c r="BV14" i="2"/>
  <c r="BU14" i="2"/>
  <c r="BT14" i="2"/>
  <c r="BR14" i="2"/>
  <c r="BQ14" i="2"/>
  <c r="BP14" i="2"/>
  <c r="BN14" i="2"/>
  <c r="BM14" i="2"/>
  <c r="BL14" i="2"/>
  <c r="BJ14" i="2"/>
  <c r="BI14" i="2"/>
  <c r="BH14" i="2"/>
  <c r="BF14" i="2"/>
  <c r="BE14" i="2"/>
  <c r="BD14" i="2"/>
  <c r="BB14" i="2"/>
  <c r="BA14" i="2"/>
  <c r="AZ14" i="2"/>
  <c r="AX14" i="2"/>
  <c r="AW14" i="2"/>
  <c r="AV14" i="2"/>
  <c r="AT14" i="2"/>
  <c r="AS14" i="2"/>
  <c r="AR14" i="2"/>
  <c r="AP14" i="2"/>
  <c r="AO14" i="2"/>
  <c r="AN14" i="2"/>
  <c r="AM14" i="2"/>
  <c r="AL14" i="2"/>
  <c r="AK14" i="2"/>
  <c r="AJ14" i="2"/>
  <c r="AH14" i="2"/>
  <c r="AG14" i="2"/>
  <c r="AF14" i="2"/>
  <c r="AD14" i="2"/>
  <c r="AC14" i="2"/>
  <c r="AB14" i="2"/>
  <c r="AA14" i="2"/>
  <c r="Z14" i="2"/>
  <c r="Y14" i="2"/>
  <c r="X14" i="2"/>
  <c r="V14" i="2"/>
  <c r="U14" i="2"/>
  <c r="T14" i="2"/>
  <c r="R14" i="2"/>
  <c r="Q14" i="2"/>
  <c r="P14" i="2"/>
  <c r="O14" i="2"/>
  <c r="N14" i="2"/>
  <c r="M14" i="2"/>
  <c r="L14" i="2"/>
  <c r="J14" i="2"/>
  <c r="I14" i="2"/>
  <c r="H14" i="2"/>
  <c r="F14" i="2"/>
  <c r="E14" i="2"/>
  <c r="D14" i="2"/>
  <c r="C14" i="2"/>
  <c r="B14" i="2"/>
  <c r="A14" i="2"/>
  <c r="DM13" i="2"/>
  <c r="DL13" i="2"/>
  <c r="DK13" i="2"/>
  <c r="DJ13" i="2"/>
  <c r="DI13" i="2"/>
  <c r="DH13" i="2"/>
  <c r="DG13" i="2"/>
  <c r="DF13" i="2"/>
  <c r="DE13" i="2"/>
  <c r="DD13" i="2"/>
  <c r="DB13" i="2"/>
  <c r="DA13" i="2"/>
  <c r="CZ13" i="2"/>
  <c r="CX13" i="2"/>
  <c r="CW13" i="2"/>
  <c r="CV13" i="2"/>
  <c r="CU13" i="2"/>
  <c r="CT13" i="2"/>
  <c r="CS13" i="2"/>
  <c r="CR13" i="2"/>
  <c r="CP13" i="2"/>
  <c r="CO13" i="2"/>
  <c r="CN13" i="2"/>
  <c r="CL13" i="2"/>
  <c r="CK13" i="2"/>
  <c r="CJ13" i="2"/>
  <c r="CH13" i="2"/>
  <c r="CG13" i="2"/>
  <c r="CF13" i="2"/>
  <c r="CD13" i="2"/>
  <c r="CC13" i="2"/>
  <c r="CB13" i="2"/>
  <c r="BZ13" i="2"/>
  <c r="BY13" i="2"/>
  <c r="BX13" i="2"/>
  <c r="BV13" i="2"/>
  <c r="BU13" i="2"/>
  <c r="BT13" i="2"/>
  <c r="BR13" i="2"/>
  <c r="BQ13" i="2"/>
  <c r="BP13" i="2"/>
  <c r="BN13" i="2"/>
  <c r="BM13" i="2"/>
  <c r="BL13" i="2"/>
  <c r="BJ13" i="2"/>
  <c r="BI13" i="2"/>
  <c r="BH13" i="2"/>
  <c r="BF13" i="2"/>
  <c r="BE13" i="2"/>
  <c r="BD13" i="2"/>
  <c r="BB13" i="2"/>
  <c r="BA13" i="2"/>
  <c r="AZ13" i="2"/>
  <c r="AX13" i="2"/>
  <c r="AW13" i="2"/>
  <c r="AV13" i="2"/>
  <c r="AT13" i="2"/>
  <c r="AS13" i="2"/>
  <c r="AR13" i="2"/>
  <c r="AP13" i="2"/>
  <c r="AO13" i="2"/>
  <c r="AN13" i="2"/>
  <c r="AM13" i="2"/>
  <c r="AL13" i="2"/>
  <c r="AK13" i="2"/>
  <c r="AJ13" i="2"/>
  <c r="AH13" i="2"/>
  <c r="AG13" i="2"/>
  <c r="AF13" i="2"/>
  <c r="AD13" i="2"/>
  <c r="AC13" i="2"/>
  <c r="AB13" i="2"/>
  <c r="AA13" i="2"/>
  <c r="Z13" i="2"/>
  <c r="Y13" i="2"/>
  <c r="X13" i="2"/>
  <c r="V13" i="2"/>
  <c r="U13" i="2"/>
  <c r="T13" i="2"/>
  <c r="R13" i="2"/>
  <c r="Q13" i="2"/>
  <c r="P13" i="2"/>
  <c r="N13" i="2"/>
  <c r="M13" i="2"/>
  <c r="L13" i="2"/>
  <c r="J13" i="2"/>
  <c r="I13" i="2"/>
  <c r="H13" i="2"/>
  <c r="F13" i="2"/>
  <c r="E13" i="2"/>
  <c r="D13" i="2"/>
  <c r="C13" i="2"/>
  <c r="B13" i="2"/>
  <c r="A13" i="2"/>
  <c r="DM12" i="2"/>
  <c r="DL12" i="2"/>
  <c r="DK12" i="2"/>
  <c r="DJ12" i="2"/>
  <c r="DI12" i="2"/>
  <c r="DH12" i="2"/>
  <c r="DG12" i="2"/>
  <c r="DF12" i="2"/>
  <c r="DE12" i="2"/>
  <c r="DD12" i="2"/>
  <c r="DB12" i="2"/>
  <c r="DA12" i="2"/>
  <c r="CZ12" i="2"/>
  <c r="CX12" i="2"/>
  <c r="CW12" i="2"/>
  <c r="CV12" i="2"/>
  <c r="CU12" i="2"/>
  <c r="CT12" i="2"/>
  <c r="CS12" i="2"/>
  <c r="CR12" i="2"/>
  <c r="CP12" i="2"/>
  <c r="CO12" i="2"/>
  <c r="CN12" i="2"/>
  <c r="CL12" i="2"/>
  <c r="CK12" i="2"/>
  <c r="CJ12" i="2"/>
  <c r="CH12" i="2"/>
  <c r="CG12" i="2"/>
  <c r="CF12" i="2"/>
  <c r="CD12" i="2"/>
  <c r="CC12" i="2"/>
  <c r="CB12" i="2"/>
  <c r="BZ12" i="2"/>
  <c r="BY12" i="2"/>
  <c r="BX12" i="2"/>
  <c r="BV12" i="2"/>
  <c r="BU12" i="2"/>
  <c r="BT12" i="2"/>
  <c r="BR12" i="2"/>
  <c r="BQ12" i="2"/>
  <c r="BP12" i="2"/>
  <c r="BN12" i="2"/>
  <c r="BM12" i="2"/>
  <c r="BL12" i="2"/>
  <c r="BJ12" i="2"/>
  <c r="BI12" i="2"/>
  <c r="BH12" i="2"/>
  <c r="BF12" i="2"/>
  <c r="BE12" i="2"/>
  <c r="BD12" i="2"/>
  <c r="BB12" i="2"/>
  <c r="BA12" i="2"/>
  <c r="AZ12" i="2"/>
  <c r="AX12" i="2"/>
  <c r="AW12" i="2"/>
  <c r="AV12" i="2"/>
  <c r="AT12" i="2"/>
  <c r="AS12" i="2"/>
  <c r="AR12" i="2"/>
  <c r="AP12" i="2"/>
  <c r="AO12" i="2"/>
  <c r="AN12" i="2"/>
  <c r="AM12" i="2"/>
  <c r="AL12" i="2"/>
  <c r="AK12" i="2"/>
  <c r="AJ12" i="2"/>
  <c r="AH12" i="2"/>
  <c r="AG12" i="2"/>
  <c r="AF12" i="2"/>
  <c r="AD12" i="2"/>
  <c r="AC12" i="2"/>
  <c r="AB12" i="2"/>
  <c r="AA12" i="2"/>
  <c r="Z12" i="2"/>
  <c r="Y12" i="2"/>
  <c r="X12" i="2"/>
  <c r="V12" i="2"/>
  <c r="U12" i="2"/>
  <c r="T12" i="2"/>
  <c r="R12" i="2"/>
  <c r="Q12" i="2"/>
  <c r="P12" i="2"/>
  <c r="N12" i="2"/>
  <c r="M12" i="2"/>
  <c r="L12" i="2"/>
  <c r="J12" i="2"/>
  <c r="I12" i="2"/>
  <c r="H12" i="2"/>
  <c r="F12" i="2"/>
  <c r="E12" i="2"/>
  <c r="D12" i="2"/>
  <c r="C12" i="2"/>
  <c r="B12" i="2"/>
  <c r="A12" i="2"/>
  <c r="DM11" i="2"/>
  <c r="DL11" i="2"/>
  <c r="DK11" i="2"/>
  <c r="DJ11" i="2"/>
  <c r="DI11" i="2"/>
  <c r="DH11" i="2"/>
  <c r="DG11" i="2"/>
  <c r="DF11" i="2"/>
  <c r="DE11" i="2"/>
  <c r="DD11" i="2"/>
  <c r="DB11" i="2"/>
  <c r="DA11" i="2"/>
  <c r="CZ11" i="2"/>
  <c r="CX11" i="2"/>
  <c r="CW11" i="2"/>
  <c r="CV11" i="2"/>
  <c r="CU11" i="2"/>
  <c r="CT11" i="2"/>
  <c r="CS11" i="2"/>
  <c r="CR11" i="2"/>
  <c r="CP11" i="2"/>
  <c r="CO11" i="2"/>
  <c r="CN11" i="2"/>
  <c r="CL11" i="2"/>
  <c r="CK11" i="2"/>
  <c r="CJ11" i="2"/>
  <c r="CH11" i="2"/>
  <c r="CG11" i="2"/>
  <c r="CF11" i="2"/>
  <c r="CD11" i="2"/>
  <c r="CC11" i="2"/>
  <c r="CB11" i="2"/>
  <c r="BZ11" i="2"/>
  <c r="BY11" i="2"/>
  <c r="BX11" i="2"/>
  <c r="BV11" i="2"/>
  <c r="BU11" i="2"/>
  <c r="BT11" i="2"/>
  <c r="BR11" i="2"/>
  <c r="BQ11" i="2"/>
  <c r="BP11" i="2"/>
  <c r="BN11" i="2"/>
  <c r="BM11" i="2"/>
  <c r="BL11" i="2"/>
  <c r="BJ11" i="2"/>
  <c r="BI11" i="2"/>
  <c r="BH11" i="2"/>
  <c r="BF11" i="2"/>
  <c r="BE11" i="2"/>
  <c r="BD11" i="2"/>
  <c r="BB11" i="2"/>
  <c r="BA11" i="2"/>
  <c r="AZ11" i="2"/>
  <c r="AX11" i="2"/>
  <c r="AW11" i="2"/>
  <c r="AV11" i="2"/>
  <c r="AT11" i="2"/>
  <c r="AS11" i="2"/>
  <c r="AR11" i="2"/>
  <c r="AP11" i="2"/>
  <c r="AO11" i="2"/>
  <c r="AN11" i="2"/>
  <c r="AM11" i="2"/>
  <c r="AL11" i="2"/>
  <c r="AK11" i="2"/>
  <c r="AJ11" i="2"/>
  <c r="AH11" i="2"/>
  <c r="AG11" i="2"/>
  <c r="AF11" i="2"/>
  <c r="AD11" i="2"/>
  <c r="AC11" i="2"/>
  <c r="AB11" i="2"/>
  <c r="AA11" i="2"/>
  <c r="Z11" i="2"/>
  <c r="Y11" i="2"/>
  <c r="X11" i="2"/>
  <c r="V11" i="2"/>
  <c r="U11" i="2"/>
  <c r="T11" i="2"/>
  <c r="R11" i="2"/>
  <c r="Q11" i="2"/>
  <c r="P11" i="2"/>
  <c r="N11" i="2"/>
  <c r="M11" i="2"/>
  <c r="L11" i="2"/>
  <c r="J11" i="2"/>
  <c r="I11" i="2"/>
  <c r="H11" i="2"/>
  <c r="F11" i="2"/>
  <c r="E11" i="2"/>
  <c r="D11" i="2"/>
  <c r="C11" i="2"/>
  <c r="B11" i="2"/>
  <c r="A11" i="2"/>
  <c r="DM10" i="2"/>
  <c r="DL10" i="2"/>
  <c r="DK10" i="2"/>
  <c r="DJ10" i="2"/>
  <c r="DI10" i="2"/>
  <c r="DH10" i="2"/>
  <c r="DG10" i="2"/>
  <c r="DF10" i="2"/>
  <c r="DE10" i="2"/>
  <c r="DD10" i="2"/>
  <c r="DB10" i="2"/>
  <c r="DA10" i="2"/>
  <c r="CZ10" i="2"/>
  <c r="CX10" i="2"/>
  <c r="CW10" i="2"/>
  <c r="CV10" i="2"/>
  <c r="CU10" i="2"/>
  <c r="CT10" i="2"/>
  <c r="CS10" i="2"/>
  <c r="CR10" i="2"/>
  <c r="CP10" i="2"/>
  <c r="CO10" i="2"/>
  <c r="CN10" i="2"/>
  <c r="CL10" i="2"/>
  <c r="CK10" i="2"/>
  <c r="CJ10" i="2"/>
  <c r="CH10" i="2"/>
  <c r="CG10" i="2"/>
  <c r="CF10" i="2"/>
  <c r="CD10" i="2"/>
  <c r="CC10" i="2"/>
  <c r="CB10" i="2"/>
  <c r="BZ10" i="2"/>
  <c r="BY10" i="2"/>
  <c r="BX10" i="2"/>
  <c r="BV10" i="2"/>
  <c r="BU10" i="2"/>
  <c r="BT10" i="2"/>
  <c r="BR10" i="2"/>
  <c r="BQ10" i="2"/>
  <c r="BP10" i="2"/>
  <c r="BN10" i="2"/>
  <c r="BM10" i="2"/>
  <c r="BL10" i="2"/>
  <c r="BJ10" i="2"/>
  <c r="BI10" i="2"/>
  <c r="BH10" i="2"/>
  <c r="BF10" i="2"/>
  <c r="BE10" i="2"/>
  <c r="BD10" i="2"/>
  <c r="BB10" i="2"/>
  <c r="BA10" i="2"/>
  <c r="AZ10" i="2"/>
  <c r="AX10" i="2"/>
  <c r="AW10" i="2"/>
  <c r="AV10" i="2"/>
  <c r="AT10" i="2"/>
  <c r="AS10" i="2"/>
  <c r="AR10" i="2"/>
  <c r="AP10" i="2"/>
  <c r="AO10" i="2"/>
  <c r="AN10" i="2"/>
  <c r="AM10" i="2"/>
  <c r="AL10" i="2"/>
  <c r="AK10" i="2"/>
  <c r="AJ10" i="2"/>
  <c r="AH10" i="2"/>
  <c r="AG10" i="2"/>
  <c r="AF10" i="2"/>
  <c r="AD10" i="2"/>
  <c r="AC10" i="2"/>
  <c r="AB10" i="2"/>
  <c r="AA10" i="2"/>
  <c r="Z10" i="2"/>
  <c r="Y10" i="2"/>
  <c r="X10" i="2"/>
  <c r="V10" i="2"/>
  <c r="U10" i="2"/>
  <c r="T10" i="2"/>
  <c r="R10" i="2"/>
  <c r="Q10" i="2"/>
  <c r="P10" i="2"/>
  <c r="N10" i="2"/>
  <c r="M10" i="2"/>
  <c r="L10" i="2"/>
  <c r="J10" i="2"/>
  <c r="I10" i="2"/>
  <c r="H10" i="2"/>
  <c r="F10" i="2"/>
  <c r="E10" i="2"/>
  <c r="D10" i="2"/>
  <c r="C10" i="2"/>
  <c r="B10" i="2"/>
  <c r="A10" i="2"/>
  <c r="KS41" i="1"/>
  <c r="KR41" i="1"/>
  <c r="KQ41" i="1"/>
  <c r="KP41" i="1"/>
  <c r="KO41" i="1"/>
  <c r="KN41" i="1"/>
  <c r="KM41" i="1"/>
  <c r="KL41" i="1"/>
  <c r="KK41" i="1"/>
  <c r="KJ41" i="1"/>
  <c r="KI41" i="1"/>
  <c r="KH41" i="1"/>
  <c r="KG41" i="1"/>
  <c r="KF41" i="1"/>
  <c r="KE41" i="1"/>
  <c r="KD41" i="1"/>
  <c r="KC41" i="1"/>
  <c r="KB41" i="1"/>
  <c r="KA41" i="1"/>
  <c r="JZ41" i="1"/>
  <c r="JY41" i="1"/>
  <c r="JX41" i="1"/>
  <c r="JW41" i="1"/>
  <c r="JV41" i="1"/>
  <c r="JU41" i="1"/>
  <c r="JT41" i="1"/>
  <c r="JS41" i="1"/>
  <c r="JR41" i="1"/>
  <c r="JQ41" i="1"/>
  <c r="JP41" i="1"/>
  <c r="JO41" i="1"/>
  <c r="JN41" i="1"/>
  <c r="JM41" i="1"/>
  <c r="JL41" i="1"/>
  <c r="JK41" i="1"/>
  <c r="JJ41" i="1"/>
  <c r="JI41" i="1"/>
  <c r="JH41" i="1"/>
  <c r="JG41" i="1"/>
  <c r="JF41" i="1"/>
  <c r="JE41" i="1"/>
  <c r="JD41" i="1"/>
  <c r="JC41" i="1"/>
  <c r="JB41" i="1"/>
  <c r="JA41" i="1"/>
  <c r="IZ41" i="1"/>
  <c r="IY41" i="1"/>
  <c r="IX41" i="1"/>
  <c r="IW41" i="1"/>
  <c r="IV41" i="1"/>
  <c r="IU41" i="1"/>
  <c r="IT41" i="1"/>
  <c r="IS41" i="1"/>
  <c r="IR41" i="1"/>
  <c r="IQ41" i="1"/>
  <c r="IP41" i="1"/>
  <c r="IO41" i="1"/>
  <c r="IN41" i="1"/>
  <c r="IM41" i="1"/>
  <c r="IL41" i="1"/>
  <c r="IK41" i="1"/>
  <c r="IJ41" i="1"/>
  <c r="II41" i="1"/>
  <c r="IH41" i="1"/>
  <c r="IG41" i="1"/>
  <c r="IF41" i="1"/>
  <c r="IE41" i="1"/>
  <c r="ID41" i="1"/>
  <c r="IC41" i="1"/>
  <c r="IB41" i="1"/>
  <c r="IA41" i="1"/>
  <c r="HZ41" i="1"/>
  <c r="HY41" i="1"/>
  <c r="HX41" i="1"/>
  <c r="HW41" i="1"/>
  <c r="HV41" i="1"/>
  <c r="HU41" i="1"/>
  <c r="HT41" i="1"/>
  <c r="HS41" i="1"/>
  <c r="HR41" i="1"/>
  <c r="HQ41" i="1"/>
  <c r="HP41" i="1"/>
  <c r="HO41" i="1"/>
  <c r="HN41" i="1"/>
  <c r="HM41" i="1"/>
  <c r="HL41" i="1"/>
  <c r="HK41" i="1"/>
  <c r="HJ41" i="1"/>
  <c r="HI41" i="1"/>
  <c r="HH41" i="1"/>
  <c r="HG41" i="1"/>
  <c r="HF41" i="1"/>
  <c r="HE41" i="1"/>
  <c r="HD41" i="1"/>
  <c r="HC41" i="1"/>
  <c r="HB41" i="1"/>
  <c r="HA41" i="1"/>
  <c r="GZ41" i="1"/>
  <c r="GY41" i="1"/>
  <c r="GX41" i="1"/>
  <c r="GW41" i="1"/>
  <c r="GV41" i="1"/>
  <c r="GU41" i="1"/>
  <c r="GT41" i="1"/>
  <c r="GS41" i="1"/>
  <c r="GR41" i="1"/>
  <c r="GQ41" i="1"/>
  <c r="GP41" i="1"/>
  <c r="GO41" i="1"/>
  <c r="GN41" i="1"/>
  <c r="GM41" i="1"/>
  <c r="GL41" i="1"/>
  <c r="GK41" i="1"/>
  <c r="GJ41" i="1"/>
  <c r="GI41" i="1"/>
  <c r="GH41" i="1"/>
  <c r="GG41" i="1"/>
  <c r="GF41" i="1"/>
  <c r="GE41" i="1"/>
  <c r="GD41" i="1"/>
  <c r="GC41" i="1"/>
  <c r="GB41" i="1"/>
  <c r="GA41" i="1"/>
  <c r="FZ41" i="1"/>
  <c r="FY41" i="1"/>
  <c r="FX41" i="1"/>
  <c r="FW41" i="1"/>
  <c r="FV41" i="1"/>
  <c r="FU41" i="1"/>
  <c r="FT41" i="1"/>
  <c r="FS41" i="1"/>
  <c r="FR41" i="1"/>
  <c r="FQ41" i="1"/>
  <c r="FP41" i="1"/>
  <c r="FO41" i="1"/>
  <c r="FN41" i="1"/>
  <c r="FM41" i="1"/>
  <c r="FL41" i="1"/>
  <c r="FK41" i="1"/>
  <c r="FJ41" i="1"/>
  <c r="FI41" i="1"/>
  <c r="FH41" i="1"/>
  <c r="FG41" i="1"/>
  <c r="FF41" i="1"/>
  <c r="FE41" i="1"/>
  <c r="FD41" i="1"/>
  <c r="FC41" i="1"/>
  <c r="FB41" i="1"/>
  <c r="FA41" i="1"/>
  <c r="EZ41" i="1"/>
  <c r="EY41" i="1"/>
  <c r="EX41" i="1"/>
  <c r="EW41" i="1"/>
  <c r="EV41" i="1"/>
  <c r="EU41" i="1"/>
  <c r="ET41" i="1"/>
  <c r="ES41" i="1"/>
  <c r="ER41" i="1"/>
  <c r="EQ41" i="1"/>
  <c r="EP41" i="1"/>
  <c r="EO41" i="1"/>
  <c r="EN41" i="1"/>
  <c r="EM41" i="1"/>
  <c r="EL41" i="1"/>
  <c r="EK41" i="1"/>
  <c r="EJ41" i="1"/>
  <c r="EI41" i="1"/>
  <c r="EH41" i="1"/>
  <c r="EG41" i="1"/>
  <c r="EF41" i="1"/>
  <c r="EE41" i="1"/>
  <c r="ED41" i="1"/>
  <c r="EC41" i="1"/>
  <c r="EB41" i="1"/>
  <c r="EA41" i="1"/>
  <c r="DZ41" i="1"/>
  <c r="DY41" i="1"/>
  <c r="DX41" i="1"/>
  <c r="DW41" i="1"/>
  <c r="DV41" i="1"/>
  <c r="DU41" i="1"/>
  <c r="DT41" i="1"/>
  <c r="DS41" i="1"/>
  <c r="DR41" i="1"/>
  <c r="DQ41" i="1"/>
  <c r="DP41" i="1"/>
  <c r="DO41" i="1"/>
  <c r="DN41" i="1"/>
  <c r="DM41" i="1"/>
  <c r="DL41" i="1"/>
  <c r="DK41" i="1"/>
  <c r="DJ41" i="1"/>
  <c r="DI41" i="1"/>
  <c r="DH41" i="1"/>
  <c r="DG41" i="1"/>
  <c r="DF41" i="1"/>
  <c r="DE41" i="1"/>
  <c r="DD41" i="1"/>
  <c r="DC41" i="1"/>
  <c r="DB41" i="1"/>
  <c r="DA41" i="1"/>
  <c r="CZ41" i="1"/>
  <c r="CY41" i="1"/>
  <c r="CX41" i="1"/>
  <c r="CW41" i="1"/>
  <c r="CV41" i="1"/>
  <c r="CU41" i="1"/>
  <c r="CT41" i="1"/>
  <c r="CS41" i="1"/>
  <c r="CR41" i="1"/>
  <c r="CQ41" i="1"/>
  <c r="CP41" i="1"/>
  <c r="CO41" i="1"/>
  <c r="CN41" i="1"/>
  <c r="CM41" i="1"/>
  <c r="CL41" i="1"/>
  <c r="CK41" i="1"/>
  <c r="CJ41" i="1"/>
  <c r="CI41" i="1"/>
  <c r="CH41" i="1"/>
  <c r="CG41" i="1"/>
  <c r="CF41" i="1"/>
  <c r="CE41" i="1"/>
  <c r="CD41" i="1"/>
  <c r="CC41" i="1"/>
  <c r="CB41" i="1"/>
  <c r="CA41" i="1"/>
  <c r="BZ41" i="1"/>
  <c r="BY41" i="1"/>
  <c r="BX41" i="1"/>
  <c r="BW41" i="1"/>
  <c r="BV41" i="1"/>
  <c r="BU41" i="1"/>
  <c r="BT41" i="1"/>
  <c r="BS41" i="1"/>
  <c r="BR41" i="1"/>
  <c r="BQ41" i="1"/>
  <c r="BP41" i="1"/>
  <c r="BO41" i="1"/>
  <c r="BN41" i="1"/>
  <c r="BM41" i="1"/>
  <c r="BL41" i="1"/>
  <c r="BK41" i="1"/>
  <c r="BJ41" i="1"/>
  <c r="BI41" i="1"/>
  <c r="BH41" i="1"/>
  <c r="BG41" i="1"/>
  <c r="BF41" i="1"/>
  <c r="BE41" i="1"/>
  <c r="BD41" i="1"/>
  <c r="BC41" i="1"/>
  <c r="BB41" i="1"/>
  <c r="BA41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D41" i="1"/>
  <c r="KS39" i="1"/>
  <c r="KR39" i="1"/>
  <c r="KQ39" i="1"/>
  <c r="KP39" i="1"/>
  <c r="KO39" i="1"/>
  <c r="KM39" i="1"/>
  <c r="KL39" i="1"/>
  <c r="KJ39" i="1"/>
  <c r="KI39" i="1"/>
  <c r="KG39" i="1"/>
  <c r="KF39" i="1"/>
  <c r="KD39" i="1"/>
  <c r="KC39" i="1"/>
  <c r="KA39" i="1"/>
  <c r="JZ39" i="1"/>
  <c r="JX39" i="1"/>
  <c r="JW39" i="1"/>
  <c r="JU39" i="1"/>
  <c r="JT39" i="1"/>
  <c r="JR39" i="1"/>
  <c r="JQ39" i="1"/>
  <c r="JO39" i="1"/>
  <c r="JN39" i="1"/>
  <c r="JL39" i="1"/>
  <c r="JK39" i="1"/>
  <c r="JI39" i="1"/>
  <c r="JH39" i="1"/>
  <c r="JF39" i="1"/>
  <c r="JE39" i="1"/>
  <c r="JC39" i="1"/>
  <c r="JB39" i="1"/>
  <c r="IZ39" i="1"/>
  <c r="IY39" i="1"/>
  <c r="IW39" i="1"/>
  <c r="IV39" i="1"/>
  <c r="IT39" i="1"/>
  <c r="IS39" i="1"/>
  <c r="IQ39" i="1"/>
  <c r="IP39" i="1"/>
  <c r="IN39" i="1"/>
  <c r="IM39" i="1"/>
  <c r="IK39" i="1"/>
  <c r="IJ39" i="1"/>
  <c r="IH39" i="1"/>
  <c r="IG39" i="1"/>
  <c r="IE39" i="1"/>
  <c r="ID39" i="1"/>
  <c r="IB39" i="1"/>
  <c r="IA39" i="1"/>
  <c r="HY39" i="1"/>
  <c r="HX39" i="1"/>
  <c r="HV39" i="1"/>
  <c r="HU39" i="1"/>
  <c r="HS39" i="1"/>
  <c r="HR39" i="1"/>
  <c r="HP39" i="1"/>
  <c r="HO39" i="1"/>
  <c r="HM39" i="1"/>
  <c r="HL39" i="1"/>
  <c r="HJ39" i="1"/>
  <c r="HI39" i="1"/>
  <c r="HG39" i="1"/>
  <c r="HF39" i="1"/>
  <c r="HD39" i="1"/>
  <c r="HC39" i="1"/>
  <c r="HA39" i="1"/>
  <c r="GZ39" i="1"/>
  <c r="GX39" i="1"/>
  <c r="GW39" i="1"/>
  <c r="GU39" i="1"/>
  <c r="GT39" i="1"/>
  <c r="GR39" i="1"/>
  <c r="GQ39" i="1"/>
  <c r="GO39" i="1"/>
  <c r="GN39" i="1"/>
  <c r="GL39" i="1"/>
  <c r="GK39" i="1"/>
  <c r="GI39" i="1"/>
  <c r="GH39" i="1"/>
  <c r="GF39" i="1"/>
  <c r="GE39" i="1"/>
  <c r="GC39" i="1"/>
  <c r="GB39" i="1"/>
  <c r="FZ39" i="1"/>
  <c r="FY39" i="1"/>
  <c r="FW39" i="1"/>
  <c r="FV39" i="1"/>
  <c r="FT39" i="1"/>
  <c r="FS39" i="1"/>
  <c r="FQ39" i="1"/>
  <c r="FP39" i="1"/>
  <c r="FN39" i="1"/>
  <c r="FM39" i="1"/>
  <c r="FK39" i="1"/>
  <c r="FJ39" i="1"/>
  <c r="FH39" i="1"/>
  <c r="FG39" i="1"/>
  <c r="FE39" i="1"/>
  <c r="FD39" i="1"/>
  <c r="FB39" i="1"/>
  <c r="FA39" i="1"/>
  <c r="EY39" i="1"/>
  <c r="EX39" i="1"/>
  <c r="EV39" i="1"/>
  <c r="EU39" i="1"/>
  <c r="ES39" i="1"/>
  <c r="ER39" i="1"/>
  <c r="EP39" i="1"/>
  <c r="EO39" i="1"/>
  <c r="EM39" i="1"/>
  <c r="EL39" i="1"/>
  <c r="EJ39" i="1"/>
  <c r="EI39" i="1"/>
  <c r="EG39" i="1"/>
  <c r="EF39" i="1"/>
  <c r="ED39" i="1"/>
  <c r="EC39" i="1"/>
  <c r="EA39" i="1"/>
  <c r="DZ39" i="1"/>
  <c r="DX39" i="1"/>
  <c r="DW39" i="1"/>
  <c r="DU39" i="1"/>
  <c r="DT39" i="1"/>
  <c r="DR39" i="1"/>
  <c r="DQ39" i="1"/>
  <c r="DO39" i="1"/>
  <c r="DN39" i="1"/>
  <c r="DL39" i="1"/>
  <c r="DK39" i="1"/>
  <c r="DI39" i="1"/>
  <c r="DH39" i="1"/>
  <c r="DF39" i="1"/>
  <c r="DE39" i="1"/>
  <c r="DC39" i="1"/>
  <c r="DB39" i="1"/>
  <c r="CZ39" i="1"/>
  <c r="CY39" i="1"/>
  <c r="CW39" i="1"/>
  <c r="CV39" i="1"/>
  <c r="CT39" i="1"/>
  <c r="CS39" i="1"/>
  <c r="CQ39" i="1"/>
  <c r="CP39" i="1"/>
  <c r="CN39" i="1"/>
  <c r="CM39" i="1"/>
  <c r="CK39" i="1"/>
  <c r="CJ39" i="1"/>
  <c r="CH39" i="1"/>
  <c r="CG39" i="1"/>
  <c r="CE39" i="1"/>
  <c r="CD39" i="1"/>
  <c r="CB39" i="1"/>
  <c r="CA39" i="1"/>
  <c r="BY39" i="1"/>
  <c r="BX39" i="1"/>
  <c r="BV39" i="1"/>
  <c r="BU39" i="1"/>
  <c r="BS39" i="1"/>
  <c r="BR39" i="1"/>
  <c r="BP39" i="1"/>
  <c r="BO39" i="1"/>
  <c r="BM39" i="1"/>
  <c r="BL39" i="1"/>
  <c r="BJ39" i="1"/>
  <c r="BI39" i="1"/>
  <c r="BG39" i="1"/>
  <c r="BF39" i="1"/>
  <c r="BD39" i="1"/>
  <c r="BC39" i="1"/>
  <c r="BA39" i="1"/>
  <c r="AZ39" i="1"/>
  <c r="AX39" i="1"/>
  <c r="AW39" i="1"/>
  <c r="AU39" i="1"/>
  <c r="AT39" i="1"/>
  <c r="AR39" i="1"/>
  <c r="AQ39" i="1"/>
  <c r="AO39" i="1"/>
  <c r="AN39" i="1"/>
  <c r="AL39" i="1"/>
  <c r="AK39" i="1"/>
  <c r="AI39" i="1"/>
  <c r="AH39" i="1"/>
  <c r="AF39" i="1"/>
  <c r="AE39" i="1"/>
  <c r="AC39" i="1"/>
  <c r="AB39" i="1"/>
  <c r="Z39" i="1"/>
  <c r="Y39" i="1"/>
  <c r="W39" i="1"/>
  <c r="V39" i="1"/>
  <c r="T39" i="1"/>
  <c r="S39" i="1"/>
  <c r="Q39" i="1"/>
  <c r="P39" i="1"/>
  <c r="N39" i="1"/>
  <c r="M39" i="1"/>
  <c r="K39" i="1"/>
  <c r="J39" i="1"/>
  <c r="H39" i="1"/>
  <c r="G39" i="1"/>
  <c r="E39" i="1"/>
  <c r="D39" i="1"/>
  <c r="C39" i="1"/>
  <c r="B39" i="1"/>
  <c r="A39" i="1"/>
  <c r="KS38" i="1"/>
  <c r="KR38" i="1"/>
  <c r="KQ38" i="1"/>
  <c r="KP38" i="1"/>
  <c r="KO38" i="1"/>
  <c r="KM38" i="1"/>
  <c r="KL38" i="1"/>
  <c r="KJ38" i="1"/>
  <c r="KI38" i="1"/>
  <c r="KG38" i="1"/>
  <c r="KF38" i="1"/>
  <c r="KD38" i="1"/>
  <c r="KC38" i="1"/>
  <c r="KA38" i="1"/>
  <c r="JZ38" i="1"/>
  <c r="JX38" i="1"/>
  <c r="JW38" i="1"/>
  <c r="JU38" i="1"/>
  <c r="JT38" i="1"/>
  <c r="JR38" i="1"/>
  <c r="JQ38" i="1"/>
  <c r="JO38" i="1"/>
  <c r="JN38" i="1"/>
  <c r="JL38" i="1"/>
  <c r="JK38" i="1"/>
  <c r="JI38" i="1"/>
  <c r="JH38" i="1"/>
  <c r="JF38" i="1"/>
  <c r="JE38" i="1"/>
  <c r="JC38" i="1"/>
  <c r="JB38" i="1"/>
  <c r="IZ38" i="1"/>
  <c r="IY38" i="1"/>
  <c r="IW38" i="1"/>
  <c r="IV38" i="1"/>
  <c r="IT38" i="1"/>
  <c r="IS38" i="1"/>
  <c r="IQ38" i="1"/>
  <c r="IP38" i="1"/>
  <c r="IN38" i="1"/>
  <c r="IM38" i="1"/>
  <c r="IK38" i="1"/>
  <c r="IJ38" i="1"/>
  <c r="IH38" i="1"/>
  <c r="IG38" i="1"/>
  <c r="IE38" i="1"/>
  <c r="ID38" i="1"/>
  <c r="IB38" i="1"/>
  <c r="IA38" i="1"/>
  <c r="HY38" i="1"/>
  <c r="HX38" i="1"/>
  <c r="HV38" i="1"/>
  <c r="HU38" i="1"/>
  <c r="HS38" i="1"/>
  <c r="HR38" i="1"/>
  <c r="HP38" i="1"/>
  <c r="HO38" i="1"/>
  <c r="HM38" i="1"/>
  <c r="HL38" i="1"/>
  <c r="HJ38" i="1"/>
  <c r="HI38" i="1"/>
  <c r="HG38" i="1"/>
  <c r="HF38" i="1"/>
  <c r="HD38" i="1"/>
  <c r="HC38" i="1"/>
  <c r="HA38" i="1"/>
  <c r="GZ38" i="1"/>
  <c r="GX38" i="1"/>
  <c r="GW38" i="1"/>
  <c r="GU38" i="1"/>
  <c r="GT38" i="1"/>
  <c r="GR38" i="1"/>
  <c r="GQ38" i="1"/>
  <c r="GO38" i="1"/>
  <c r="GN38" i="1"/>
  <c r="GL38" i="1"/>
  <c r="GK38" i="1"/>
  <c r="GI38" i="1"/>
  <c r="GH38" i="1"/>
  <c r="GF38" i="1"/>
  <c r="GE38" i="1"/>
  <c r="GC38" i="1"/>
  <c r="GB38" i="1"/>
  <c r="FZ38" i="1"/>
  <c r="FY38" i="1"/>
  <c r="FW38" i="1"/>
  <c r="FV38" i="1"/>
  <c r="FT38" i="1"/>
  <c r="FS38" i="1"/>
  <c r="FQ38" i="1"/>
  <c r="FP38" i="1"/>
  <c r="FN38" i="1"/>
  <c r="FM38" i="1"/>
  <c r="FK38" i="1"/>
  <c r="FJ38" i="1"/>
  <c r="FH38" i="1"/>
  <c r="FG38" i="1"/>
  <c r="FE38" i="1"/>
  <c r="FD38" i="1"/>
  <c r="FB38" i="1"/>
  <c r="FA38" i="1"/>
  <c r="EY38" i="1"/>
  <c r="EX38" i="1"/>
  <c r="EV38" i="1"/>
  <c r="EU38" i="1"/>
  <c r="ES38" i="1"/>
  <c r="ER38" i="1"/>
  <c r="EP38" i="1"/>
  <c r="EO38" i="1"/>
  <c r="EM38" i="1"/>
  <c r="EL38" i="1"/>
  <c r="EJ38" i="1"/>
  <c r="EI38" i="1"/>
  <c r="EG38" i="1"/>
  <c r="EF38" i="1"/>
  <c r="ED38" i="1"/>
  <c r="EC38" i="1"/>
  <c r="EA38" i="1"/>
  <c r="DZ38" i="1"/>
  <c r="DX38" i="1"/>
  <c r="DW38" i="1"/>
  <c r="DU38" i="1"/>
  <c r="DT38" i="1"/>
  <c r="DR38" i="1"/>
  <c r="DQ38" i="1"/>
  <c r="DO38" i="1"/>
  <c r="DN38" i="1"/>
  <c r="DL38" i="1"/>
  <c r="DK38" i="1"/>
  <c r="DI38" i="1"/>
  <c r="DH38" i="1"/>
  <c r="DF38" i="1"/>
  <c r="DE38" i="1"/>
  <c r="DC38" i="1"/>
  <c r="DB38" i="1"/>
  <c r="CZ38" i="1"/>
  <c r="CY38" i="1"/>
  <c r="CW38" i="1"/>
  <c r="CV38" i="1"/>
  <c r="CT38" i="1"/>
  <c r="CS38" i="1"/>
  <c r="CQ38" i="1"/>
  <c r="CP38" i="1"/>
  <c r="CN38" i="1"/>
  <c r="CM38" i="1"/>
  <c r="CK38" i="1"/>
  <c r="CJ38" i="1"/>
  <c r="CH38" i="1"/>
  <c r="CG38" i="1"/>
  <c r="CE38" i="1"/>
  <c r="CD38" i="1"/>
  <c r="CB38" i="1"/>
  <c r="CA38" i="1"/>
  <c r="BY38" i="1"/>
  <c r="BX38" i="1"/>
  <c r="BV38" i="1"/>
  <c r="BU38" i="1"/>
  <c r="BS38" i="1"/>
  <c r="BR38" i="1"/>
  <c r="BP38" i="1"/>
  <c r="BO38" i="1"/>
  <c r="BM38" i="1"/>
  <c r="BL38" i="1"/>
  <c r="BJ38" i="1"/>
  <c r="BI38" i="1"/>
  <c r="BG38" i="1"/>
  <c r="BF38" i="1"/>
  <c r="BD38" i="1"/>
  <c r="BC38" i="1"/>
  <c r="BA38" i="1"/>
  <c r="AZ38" i="1"/>
  <c r="AX38" i="1"/>
  <c r="AW38" i="1"/>
  <c r="AU38" i="1"/>
  <c r="AT38" i="1"/>
  <c r="AR38" i="1"/>
  <c r="AQ38" i="1"/>
  <c r="AO38" i="1"/>
  <c r="AN38" i="1"/>
  <c r="AL38" i="1"/>
  <c r="AK38" i="1"/>
  <c r="AI38" i="1"/>
  <c r="AH38" i="1"/>
  <c r="AF38" i="1"/>
  <c r="AE38" i="1"/>
  <c r="AC38" i="1"/>
  <c r="AB38" i="1"/>
  <c r="Z38" i="1"/>
  <c r="Y38" i="1"/>
  <c r="W38" i="1"/>
  <c r="V38" i="1"/>
  <c r="T38" i="1"/>
  <c r="S38" i="1"/>
  <c r="Q38" i="1"/>
  <c r="P38" i="1"/>
  <c r="N38" i="1"/>
  <c r="M38" i="1"/>
  <c r="K38" i="1"/>
  <c r="J38" i="1"/>
  <c r="H38" i="1"/>
  <c r="G38" i="1"/>
  <c r="E38" i="1"/>
  <c r="D38" i="1"/>
  <c r="C38" i="1"/>
  <c r="B38" i="1"/>
  <c r="A38" i="1"/>
  <c r="KS37" i="1"/>
  <c r="KR37" i="1"/>
  <c r="KQ37" i="1"/>
  <c r="KP37" i="1"/>
  <c r="KO37" i="1"/>
  <c r="KM37" i="1"/>
  <c r="KL37" i="1"/>
  <c r="KJ37" i="1"/>
  <c r="KI37" i="1"/>
  <c r="KG37" i="1"/>
  <c r="KF37" i="1"/>
  <c r="KD37" i="1"/>
  <c r="KC37" i="1"/>
  <c r="KA37" i="1"/>
  <c r="JZ37" i="1"/>
  <c r="JX37" i="1"/>
  <c r="JW37" i="1"/>
  <c r="JU37" i="1"/>
  <c r="JT37" i="1"/>
  <c r="JR37" i="1"/>
  <c r="JQ37" i="1"/>
  <c r="JO37" i="1"/>
  <c r="JN37" i="1"/>
  <c r="JL37" i="1"/>
  <c r="JK37" i="1"/>
  <c r="JI37" i="1"/>
  <c r="JH37" i="1"/>
  <c r="JF37" i="1"/>
  <c r="JE37" i="1"/>
  <c r="JC37" i="1"/>
  <c r="JB37" i="1"/>
  <c r="IZ37" i="1"/>
  <c r="IY37" i="1"/>
  <c r="IW37" i="1"/>
  <c r="IV37" i="1"/>
  <c r="IT37" i="1"/>
  <c r="IS37" i="1"/>
  <c r="IQ37" i="1"/>
  <c r="IP37" i="1"/>
  <c r="IN37" i="1"/>
  <c r="IM37" i="1"/>
  <c r="IK37" i="1"/>
  <c r="IJ37" i="1"/>
  <c r="IH37" i="1"/>
  <c r="IG37" i="1"/>
  <c r="IE37" i="1"/>
  <c r="ID37" i="1"/>
  <c r="IB37" i="1"/>
  <c r="IA37" i="1"/>
  <c r="HY37" i="1"/>
  <c r="HX37" i="1"/>
  <c r="HV37" i="1"/>
  <c r="HU37" i="1"/>
  <c r="HS37" i="1"/>
  <c r="HR37" i="1"/>
  <c r="HP37" i="1"/>
  <c r="HO37" i="1"/>
  <c r="HM37" i="1"/>
  <c r="HL37" i="1"/>
  <c r="HJ37" i="1"/>
  <c r="HI37" i="1"/>
  <c r="HG37" i="1"/>
  <c r="HF37" i="1"/>
  <c r="HD37" i="1"/>
  <c r="HC37" i="1"/>
  <c r="HA37" i="1"/>
  <c r="GZ37" i="1"/>
  <c r="GX37" i="1"/>
  <c r="GW37" i="1"/>
  <c r="GU37" i="1"/>
  <c r="GT37" i="1"/>
  <c r="GR37" i="1"/>
  <c r="GQ37" i="1"/>
  <c r="GO37" i="1"/>
  <c r="GN37" i="1"/>
  <c r="GL37" i="1"/>
  <c r="GK37" i="1"/>
  <c r="GI37" i="1"/>
  <c r="GH37" i="1"/>
  <c r="GF37" i="1"/>
  <c r="GE37" i="1"/>
  <c r="GC37" i="1"/>
  <c r="GB37" i="1"/>
  <c r="FZ37" i="1"/>
  <c r="FY37" i="1"/>
  <c r="FW37" i="1"/>
  <c r="FV37" i="1"/>
  <c r="FT37" i="1"/>
  <c r="FS37" i="1"/>
  <c r="FQ37" i="1"/>
  <c r="FP37" i="1"/>
  <c r="FN37" i="1"/>
  <c r="FM37" i="1"/>
  <c r="FK37" i="1"/>
  <c r="FJ37" i="1"/>
  <c r="FH37" i="1"/>
  <c r="FG37" i="1"/>
  <c r="FE37" i="1"/>
  <c r="FD37" i="1"/>
  <c r="FB37" i="1"/>
  <c r="FA37" i="1"/>
  <c r="EY37" i="1"/>
  <c r="EX37" i="1"/>
  <c r="EV37" i="1"/>
  <c r="EU37" i="1"/>
  <c r="ES37" i="1"/>
  <c r="ER37" i="1"/>
  <c r="EP37" i="1"/>
  <c r="EO37" i="1"/>
  <c r="EM37" i="1"/>
  <c r="EL37" i="1"/>
  <c r="EJ37" i="1"/>
  <c r="EI37" i="1"/>
  <c r="EG37" i="1"/>
  <c r="EF37" i="1"/>
  <c r="ED37" i="1"/>
  <c r="EC37" i="1"/>
  <c r="EA37" i="1"/>
  <c r="DZ37" i="1"/>
  <c r="DX37" i="1"/>
  <c r="DW37" i="1"/>
  <c r="DU37" i="1"/>
  <c r="DT37" i="1"/>
  <c r="DR37" i="1"/>
  <c r="DQ37" i="1"/>
  <c r="DO37" i="1"/>
  <c r="DN37" i="1"/>
  <c r="DL37" i="1"/>
  <c r="DK37" i="1"/>
  <c r="DI37" i="1"/>
  <c r="DH37" i="1"/>
  <c r="DF37" i="1"/>
  <c r="DE37" i="1"/>
  <c r="DC37" i="1"/>
  <c r="DB37" i="1"/>
  <c r="CZ37" i="1"/>
  <c r="CY37" i="1"/>
  <c r="CW37" i="1"/>
  <c r="CV37" i="1"/>
  <c r="CT37" i="1"/>
  <c r="CS37" i="1"/>
  <c r="CQ37" i="1"/>
  <c r="CP37" i="1"/>
  <c r="CN37" i="1"/>
  <c r="CM37" i="1"/>
  <c r="CK37" i="1"/>
  <c r="CJ37" i="1"/>
  <c r="CH37" i="1"/>
  <c r="CG37" i="1"/>
  <c r="CE37" i="1"/>
  <c r="CD37" i="1"/>
  <c r="CB37" i="1"/>
  <c r="CA37" i="1"/>
  <c r="BY37" i="1"/>
  <c r="BX37" i="1"/>
  <c r="BV37" i="1"/>
  <c r="BU37" i="1"/>
  <c r="BS37" i="1"/>
  <c r="BR37" i="1"/>
  <c r="BP37" i="1"/>
  <c r="BO37" i="1"/>
  <c r="BM37" i="1"/>
  <c r="BL37" i="1"/>
  <c r="BJ37" i="1"/>
  <c r="BI37" i="1"/>
  <c r="BG37" i="1"/>
  <c r="BF37" i="1"/>
  <c r="BD37" i="1"/>
  <c r="BC37" i="1"/>
  <c r="BA37" i="1"/>
  <c r="AZ37" i="1"/>
  <c r="AX37" i="1"/>
  <c r="AW37" i="1"/>
  <c r="AU37" i="1"/>
  <c r="AT37" i="1"/>
  <c r="AR37" i="1"/>
  <c r="AQ37" i="1"/>
  <c r="AO37" i="1"/>
  <c r="AN37" i="1"/>
  <c r="AL37" i="1"/>
  <c r="AK37" i="1"/>
  <c r="AI37" i="1"/>
  <c r="AH37" i="1"/>
  <c r="AF37" i="1"/>
  <c r="AE37" i="1"/>
  <c r="AC37" i="1"/>
  <c r="AB37" i="1"/>
  <c r="Z37" i="1"/>
  <c r="Y37" i="1"/>
  <c r="W37" i="1"/>
  <c r="V37" i="1"/>
  <c r="T37" i="1"/>
  <c r="S37" i="1"/>
  <c r="Q37" i="1"/>
  <c r="P37" i="1"/>
  <c r="N37" i="1"/>
  <c r="M37" i="1"/>
  <c r="K37" i="1"/>
  <c r="J37" i="1"/>
  <c r="H37" i="1"/>
  <c r="G37" i="1"/>
  <c r="E37" i="1"/>
  <c r="D37" i="1"/>
  <c r="C37" i="1"/>
  <c r="B37" i="1"/>
  <c r="A37" i="1"/>
  <c r="KS36" i="1"/>
  <c r="KR36" i="1"/>
  <c r="KQ36" i="1"/>
  <c r="KP36" i="1"/>
  <c r="KO36" i="1"/>
  <c r="KM36" i="1"/>
  <c r="KL36" i="1"/>
  <c r="KJ36" i="1"/>
  <c r="KI36" i="1"/>
  <c r="KG36" i="1"/>
  <c r="KF36" i="1"/>
  <c r="KD36" i="1"/>
  <c r="KC36" i="1"/>
  <c r="KA36" i="1"/>
  <c r="JZ36" i="1"/>
  <c r="JX36" i="1"/>
  <c r="JW36" i="1"/>
  <c r="JU36" i="1"/>
  <c r="JT36" i="1"/>
  <c r="JR36" i="1"/>
  <c r="JQ36" i="1"/>
  <c r="JO36" i="1"/>
  <c r="JN36" i="1"/>
  <c r="JL36" i="1"/>
  <c r="JK36" i="1"/>
  <c r="JI36" i="1"/>
  <c r="JH36" i="1"/>
  <c r="JF36" i="1"/>
  <c r="JE36" i="1"/>
  <c r="JC36" i="1"/>
  <c r="JB36" i="1"/>
  <c r="IZ36" i="1"/>
  <c r="IY36" i="1"/>
  <c r="IW36" i="1"/>
  <c r="IV36" i="1"/>
  <c r="IT36" i="1"/>
  <c r="IS36" i="1"/>
  <c r="IQ36" i="1"/>
  <c r="IP36" i="1"/>
  <c r="IN36" i="1"/>
  <c r="IM36" i="1"/>
  <c r="IK36" i="1"/>
  <c r="IJ36" i="1"/>
  <c r="IH36" i="1"/>
  <c r="IG36" i="1"/>
  <c r="IE36" i="1"/>
  <c r="ID36" i="1"/>
  <c r="IB36" i="1"/>
  <c r="IA36" i="1"/>
  <c r="HY36" i="1"/>
  <c r="HX36" i="1"/>
  <c r="HV36" i="1"/>
  <c r="HU36" i="1"/>
  <c r="HS36" i="1"/>
  <c r="HR36" i="1"/>
  <c r="HP36" i="1"/>
  <c r="HO36" i="1"/>
  <c r="HM36" i="1"/>
  <c r="HL36" i="1"/>
  <c r="HJ36" i="1"/>
  <c r="HI36" i="1"/>
  <c r="HG36" i="1"/>
  <c r="HF36" i="1"/>
  <c r="HD36" i="1"/>
  <c r="HC36" i="1"/>
  <c r="HA36" i="1"/>
  <c r="GZ36" i="1"/>
  <c r="GX36" i="1"/>
  <c r="GW36" i="1"/>
  <c r="GU36" i="1"/>
  <c r="GT36" i="1"/>
  <c r="GR36" i="1"/>
  <c r="GQ36" i="1"/>
  <c r="GO36" i="1"/>
  <c r="GN36" i="1"/>
  <c r="GL36" i="1"/>
  <c r="GK36" i="1"/>
  <c r="GI36" i="1"/>
  <c r="GH36" i="1"/>
  <c r="GF36" i="1"/>
  <c r="GE36" i="1"/>
  <c r="GC36" i="1"/>
  <c r="GB36" i="1"/>
  <c r="FZ36" i="1"/>
  <c r="FY36" i="1"/>
  <c r="FW36" i="1"/>
  <c r="FV36" i="1"/>
  <c r="FT36" i="1"/>
  <c r="FS36" i="1"/>
  <c r="FQ36" i="1"/>
  <c r="FP36" i="1"/>
  <c r="FN36" i="1"/>
  <c r="FM36" i="1"/>
  <c r="FK36" i="1"/>
  <c r="FJ36" i="1"/>
  <c r="FH36" i="1"/>
  <c r="FG36" i="1"/>
  <c r="FE36" i="1"/>
  <c r="FD36" i="1"/>
  <c r="FB36" i="1"/>
  <c r="FA36" i="1"/>
  <c r="EY36" i="1"/>
  <c r="EX36" i="1"/>
  <c r="EV36" i="1"/>
  <c r="EU36" i="1"/>
  <c r="ES36" i="1"/>
  <c r="ER36" i="1"/>
  <c r="EP36" i="1"/>
  <c r="EO36" i="1"/>
  <c r="EM36" i="1"/>
  <c r="EL36" i="1"/>
  <c r="EJ36" i="1"/>
  <c r="EI36" i="1"/>
  <c r="EG36" i="1"/>
  <c r="EF36" i="1"/>
  <c r="ED36" i="1"/>
  <c r="EC36" i="1"/>
  <c r="EA36" i="1"/>
  <c r="DZ36" i="1"/>
  <c r="DX36" i="1"/>
  <c r="DW36" i="1"/>
  <c r="DU36" i="1"/>
  <c r="DT36" i="1"/>
  <c r="DR36" i="1"/>
  <c r="DQ36" i="1"/>
  <c r="DO36" i="1"/>
  <c r="DN36" i="1"/>
  <c r="DL36" i="1"/>
  <c r="DK36" i="1"/>
  <c r="DI36" i="1"/>
  <c r="DH36" i="1"/>
  <c r="DF36" i="1"/>
  <c r="DE36" i="1"/>
  <c r="DC36" i="1"/>
  <c r="DB36" i="1"/>
  <c r="CZ36" i="1"/>
  <c r="CY36" i="1"/>
  <c r="CW36" i="1"/>
  <c r="CV36" i="1"/>
  <c r="CT36" i="1"/>
  <c r="CS36" i="1"/>
  <c r="CQ36" i="1"/>
  <c r="CP36" i="1"/>
  <c r="CN36" i="1"/>
  <c r="CM36" i="1"/>
  <c r="CK36" i="1"/>
  <c r="CJ36" i="1"/>
  <c r="CH36" i="1"/>
  <c r="CG36" i="1"/>
  <c r="CE36" i="1"/>
  <c r="CD36" i="1"/>
  <c r="CB36" i="1"/>
  <c r="CA36" i="1"/>
  <c r="BY36" i="1"/>
  <c r="BX36" i="1"/>
  <c r="BV36" i="1"/>
  <c r="BU36" i="1"/>
  <c r="BS36" i="1"/>
  <c r="BR36" i="1"/>
  <c r="BP36" i="1"/>
  <c r="BO36" i="1"/>
  <c r="BM36" i="1"/>
  <c r="BL36" i="1"/>
  <c r="BJ36" i="1"/>
  <c r="BI36" i="1"/>
  <c r="BG36" i="1"/>
  <c r="BF36" i="1"/>
  <c r="BD36" i="1"/>
  <c r="BC36" i="1"/>
  <c r="BA36" i="1"/>
  <c r="AZ36" i="1"/>
  <c r="AX36" i="1"/>
  <c r="AW36" i="1"/>
  <c r="AU36" i="1"/>
  <c r="AT36" i="1"/>
  <c r="AR36" i="1"/>
  <c r="AQ36" i="1"/>
  <c r="AO36" i="1"/>
  <c r="AN36" i="1"/>
  <c r="AL36" i="1"/>
  <c r="AK36" i="1"/>
  <c r="AI36" i="1"/>
  <c r="AH36" i="1"/>
  <c r="AF36" i="1"/>
  <c r="AE36" i="1"/>
  <c r="AC36" i="1"/>
  <c r="AB36" i="1"/>
  <c r="Z36" i="1"/>
  <c r="Y36" i="1"/>
  <c r="W36" i="1"/>
  <c r="V36" i="1"/>
  <c r="T36" i="1"/>
  <c r="S36" i="1"/>
  <c r="Q36" i="1"/>
  <c r="P36" i="1"/>
  <c r="N36" i="1"/>
  <c r="M36" i="1"/>
  <c r="K36" i="1"/>
  <c r="J36" i="1"/>
  <c r="H36" i="1"/>
  <c r="G36" i="1"/>
  <c r="E36" i="1"/>
  <c r="D36" i="1"/>
  <c r="C36" i="1"/>
  <c r="B36" i="1"/>
  <c r="A36" i="1"/>
  <c r="KS35" i="1"/>
  <c r="KR35" i="1"/>
  <c r="KQ35" i="1"/>
  <c r="KP35" i="1"/>
  <c r="KO35" i="1"/>
  <c r="KM35" i="1"/>
  <c r="KL35" i="1"/>
  <c r="KJ35" i="1"/>
  <c r="KI35" i="1"/>
  <c r="KG35" i="1"/>
  <c r="KF35" i="1"/>
  <c r="KD35" i="1"/>
  <c r="KC35" i="1"/>
  <c r="KA35" i="1"/>
  <c r="JZ35" i="1"/>
  <c r="JX35" i="1"/>
  <c r="JW35" i="1"/>
  <c r="JU35" i="1"/>
  <c r="JT35" i="1"/>
  <c r="JR35" i="1"/>
  <c r="JQ35" i="1"/>
  <c r="JO35" i="1"/>
  <c r="JN35" i="1"/>
  <c r="JL35" i="1"/>
  <c r="JK35" i="1"/>
  <c r="JI35" i="1"/>
  <c r="JH35" i="1"/>
  <c r="JF35" i="1"/>
  <c r="JE35" i="1"/>
  <c r="JC35" i="1"/>
  <c r="JB35" i="1"/>
  <c r="IZ35" i="1"/>
  <c r="IY35" i="1"/>
  <c r="IW35" i="1"/>
  <c r="IV35" i="1"/>
  <c r="IT35" i="1"/>
  <c r="IS35" i="1"/>
  <c r="IQ35" i="1"/>
  <c r="IP35" i="1"/>
  <c r="IN35" i="1"/>
  <c r="IM35" i="1"/>
  <c r="IK35" i="1"/>
  <c r="IJ35" i="1"/>
  <c r="IH35" i="1"/>
  <c r="IG35" i="1"/>
  <c r="IE35" i="1"/>
  <c r="ID35" i="1"/>
  <c r="IB35" i="1"/>
  <c r="IA35" i="1"/>
  <c r="HY35" i="1"/>
  <c r="HX35" i="1"/>
  <c r="HV35" i="1"/>
  <c r="HU35" i="1"/>
  <c r="HS35" i="1"/>
  <c r="HR35" i="1"/>
  <c r="HP35" i="1"/>
  <c r="HO35" i="1"/>
  <c r="HM35" i="1"/>
  <c r="HL35" i="1"/>
  <c r="HJ35" i="1"/>
  <c r="HI35" i="1"/>
  <c r="HG35" i="1"/>
  <c r="HF35" i="1"/>
  <c r="HD35" i="1"/>
  <c r="HC35" i="1"/>
  <c r="HA35" i="1"/>
  <c r="GZ35" i="1"/>
  <c r="GX35" i="1"/>
  <c r="GW35" i="1"/>
  <c r="GU35" i="1"/>
  <c r="GT35" i="1"/>
  <c r="GR35" i="1"/>
  <c r="GQ35" i="1"/>
  <c r="GO35" i="1"/>
  <c r="GN35" i="1"/>
  <c r="GL35" i="1"/>
  <c r="GK35" i="1"/>
  <c r="GI35" i="1"/>
  <c r="GH35" i="1"/>
  <c r="GF35" i="1"/>
  <c r="GE35" i="1"/>
  <c r="GC35" i="1"/>
  <c r="GB35" i="1"/>
  <c r="FZ35" i="1"/>
  <c r="FY35" i="1"/>
  <c r="FW35" i="1"/>
  <c r="FV35" i="1"/>
  <c r="FT35" i="1"/>
  <c r="FS35" i="1"/>
  <c r="FQ35" i="1"/>
  <c r="FP35" i="1"/>
  <c r="FN35" i="1"/>
  <c r="FM35" i="1"/>
  <c r="FK35" i="1"/>
  <c r="FJ35" i="1"/>
  <c r="FH35" i="1"/>
  <c r="FG35" i="1"/>
  <c r="FE35" i="1"/>
  <c r="FD35" i="1"/>
  <c r="FB35" i="1"/>
  <c r="FA35" i="1"/>
  <c r="EY35" i="1"/>
  <c r="EX35" i="1"/>
  <c r="EV35" i="1"/>
  <c r="EU35" i="1"/>
  <c r="ES35" i="1"/>
  <c r="ER35" i="1"/>
  <c r="EP35" i="1"/>
  <c r="EO35" i="1"/>
  <c r="EM35" i="1"/>
  <c r="EL35" i="1"/>
  <c r="EJ35" i="1"/>
  <c r="EI35" i="1"/>
  <c r="EG35" i="1"/>
  <c r="EF35" i="1"/>
  <c r="ED35" i="1"/>
  <c r="EC35" i="1"/>
  <c r="EA35" i="1"/>
  <c r="DZ35" i="1"/>
  <c r="DX35" i="1"/>
  <c r="DW35" i="1"/>
  <c r="DU35" i="1"/>
  <c r="DT35" i="1"/>
  <c r="DR35" i="1"/>
  <c r="DQ35" i="1"/>
  <c r="DO35" i="1"/>
  <c r="DN35" i="1"/>
  <c r="DL35" i="1"/>
  <c r="DK35" i="1"/>
  <c r="DI35" i="1"/>
  <c r="DH35" i="1"/>
  <c r="DF35" i="1"/>
  <c r="DE35" i="1"/>
  <c r="DC35" i="1"/>
  <c r="DB35" i="1"/>
  <c r="CZ35" i="1"/>
  <c r="CY35" i="1"/>
  <c r="CW35" i="1"/>
  <c r="CV35" i="1"/>
  <c r="CT35" i="1"/>
  <c r="CS35" i="1"/>
  <c r="CQ35" i="1"/>
  <c r="CP35" i="1"/>
  <c r="CN35" i="1"/>
  <c r="CM35" i="1"/>
  <c r="CK35" i="1"/>
  <c r="CJ35" i="1"/>
  <c r="CH35" i="1"/>
  <c r="CG35" i="1"/>
  <c r="CE35" i="1"/>
  <c r="CD35" i="1"/>
  <c r="CB35" i="1"/>
  <c r="CA35" i="1"/>
  <c r="BY35" i="1"/>
  <c r="BX35" i="1"/>
  <c r="BV35" i="1"/>
  <c r="BU35" i="1"/>
  <c r="BS35" i="1"/>
  <c r="BR35" i="1"/>
  <c r="BP35" i="1"/>
  <c r="BO35" i="1"/>
  <c r="BM35" i="1"/>
  <c r="BL35" i="1"/>
  <c r="BJ35" i="1"/>
  <c r="BI35" i="1"/>
  <c r="BG35" i="1"/>
  <c r="BF35" i="1"/>
  <c r="BD35" i="1"/>
  <c r="BC35" i="1"/>
  <c r="BA35" i="1"/>
  <c r="AZ35" i="1"/>
  <c r="AX35" i="1"/>
  <c r="AW35" i="1"/>
  <c r="AU35" i="1"/>
  <c r="AT35" i="1"/>
  <c r="AR35" i="1"/>
  <c r="AQ35" i="1"/>
  <c r="AO35" i="1"/>
  <c r="AN35" i="1"/>
  <c r="AL35" i="1"/>
  <c r="AK35" i="1"/>
  <c r="AI35" i="1"/>
  <c r="AH35" i="1"/>
  <c r="AF35" i="1"/>
  <c r="AE35" i="1"/>
  <c r="AC35" i="1"/>
  <c r="AB35" i="1"/>
  <c r="Z35" i="1"/>
  <c r="Y35" i="1"/>
  <c r="W35" i="1"/>
  <c r="V35" i="1"/>
  <c r="T35" i="1"/>
  <c r="S35" i="1"/>
  <c r="Q35" i="1"/>
  <c r="P35" i="1"/>
  <c r="N35" i="1"/>
  <c r="M35" i="1"/>
  <c r="K35" i="1"/>
  <c r="J35" i="1"/>
  <c r="H35" i="1"/>
  <c r="G35" i="1"/>
  <c r="E35" i="1"/>
  <c r="D35" i="1"/>
  <c r="C35" i="1"/>
  <c r="B35" i="1"/>
  <c r="A35" i="1"/>
  <c r="KS34" i="1"/>
  <c r="KR34" i="1"/>
  <c r="KQ34" i="1"/>
  <c r="KP34" i="1"/>
  <c r="KO34" i="1"/>
  <c r="KM34" i="1"/>
  <c r="KL34" i="1"/>
  <c r="KJ34" i="1"/>
  <c r="KI34" i="1"/>
  <c r="KG34" i="1"/>
  <c r="KF34" i="1"/>
  <c r="KD34" i="1"/>
  <c r="KC34" i="1"/>
  <c r="KA34" i="1"/>
  <c r="JZ34" i="1"/>
  <c r="JX34" i="1"/>
  <c r="JW34" i="1"/>
  <c r="JU34" i="1"/>
  <c r="JT34" i="1"/>
  <c r="JR34" i="1"/>
  <c r="JQ34" i="1"/>
  <c r="JO34" i="1"/>
  <c r="JN34" i="1"/>
  <c r="JL34" i="1"/>
  <c r="JK34" i="1"/>
  <c r="JI34" i="1"/>
  <c r="JH34" i="1"/>
  <c r="JF34" i="1"/>
  <c r="JE34" i="1"/>
  <c r="JC34" i="1"/>
  <c r="JB34" i="1"/>
  <c r="IZ34" i="1"/>
  <c r="IY34" i="1"/>
  <c r="IW34" i="1"/>
  <c r="IV34" i="1"/>
  <c r="IT34" i="1"/>
  <c r="IS34" i="1"/>
  <c r="IQ34" i="1"/>
  <c r="IP34" i="1"/>
  <c r="IN34" i="1"/>
  <c r="IM34" i="1"/>
  <c r="IK34" i="1"/>
  <c r="IJ34" i="1"/>
  <c r="IH34" i="1"/>
  <c r="IG34" i="1"/>
  <c r="IE34" i="1"/>
  <c r="ID34" i="1"/>
  <c r="IB34" i="1"/>
  <c r="IA34" i="1"/>
  <c r="HY34" i="1"/>
  <c r="HX34" i="1"/>
  <c r="HV34" i="1"/>
  <c r="HU34" i="1"/>
  <c r="HS34" i="1"/>
  <c r="HR34" i="1"/>
  <c r="HP34" i="1"/>
  <c r="HO34" i="1"/>
  <c r="HM34" i="1"/>
  <c r="HL34" i="1"/>
  <c r="HJ34" i="1"/>
  <c r="HI34" i="1"/>
  <c r="HG34" i="1"/>
  <c r="HF34" i="1"/>
  <c r="HD34" i="1"/>
  <c r="HC34" i="1"/>
  <c r="HA34" i="1"/>
  <c r="GZ34" i="1"/>
  <c r="GX34" i="1"/>
  <c r="GW34" i="1"/>
  <c r="GU34" i="1"/>
  <c r="GT34" i="1"/>
  <c r="GR34" i="1"/>
  <c r="GQ34" i="1"/>
  <c r="GO34" i="1"/>
  <c r="GN34" i="1"/>
  <c r="GL34" i="1"/>
  <c r="GK34" i="1"/>
  <c r="GI34" i="1"/>
  <c r="GH34" i="1"/>
  <c r="GF34" i="1"/>
  <c r="GE34" i="1"/>
  <c r="GC34" i="1"/>
  <c r="GB34" i="1"/>
  <c r="FZ34" i="1"/>
  <c r="FY34" i="1"/>
  <c r="FW34" i="1"/>
  <c r="FV34" i="1"/>
  <c r="FT34" i="1"/>
  <c r="FS34" i="1"/>
  <c r="FQ34" i="1"/>
  <c r="FP34" i="1"/>
  <c r="FN34" i="1"/>
  <c r="FM34" i="1"/>
  <c r="FK34" i="1"/>
  <c r="FJ34" i="1"/>
  <c r="FH34" i="1"/>
  <c r="FG34" i="1"/>
  <c r="FE34" i="1"/>
  <c r="FD34" i="1"/>
  <c r="FB34" i="1"/>
  <c r="FA34" i="1"/>
  <c r="EY34" i="1"/>
  <c r="EX34" i="1"/>
  <c r="EV34" i="1"/>
  <c r="EU34" i="1"/>
  <c r="ES34" i="1"/>
  <c r="ER34" i="1"/>
  <c r="EP34" i="1"/>
  <c r="EO34" i="1"/>
  <c r="EM34" i="1"/>
  <c r="EL34" i="1"/>
  <c r="EJ34" i="1"/>
  <c r="EI34" i="1"/>
  <c r="EG34" i="1"/>
  <c r="EF34" i="1"/>
  <c r="ED34" i="1"/>
  <c r="EC34" i="1"/>
  <c r="EA34" i="1"/>
  <c r="DZ34" i="1"/>
  <c r="DX34" i="1"/>
  <c r="DW34" i="1"/>
  <c r="DU34" i="1"/>
  <c r="DT34" i="1"/>
  <c r="DR34" i="1"/>
  <c r="DQ34" i="1"/>
  <c r="DO34" i="1"/>
  <c r="DN34" i="1"/>
  <c r="DL34" i="1"/>
  <c r="DK34" i="1"/>
  <c r="DI34" i="1"/>
  <c r="DH34" i="1"/>
  <c r="DF34" i="1"/>
  <c r="DE34" i="1"/>
  <c r="DC34" i="1"/>
  <c r="DB34" i="1"/>
  <c r="CZ34" i="1"/>
  <c r="CY34" i="1"/>
  <c r="CW34" i="1"/>
  <c r="CV34" i="1"/>
  <c r="CT34" i="1"/>
  <c r="CS34" i="1"/>
  <c r="CQ34" i="1"/>
  <c r="CP34" i="1"/>
  <c r="CN34" i="1"/>
  <c r="CM34" i="1"/>
  <c r="CK34" i="1"/>
  <c r="CJ34" i="1"/>
  <c r="CH34" i="1"/>
  <c r="CG34" i="1"/>
  <c r="CE34" i="1"/>
  <c r="CD34" i="1"/>
  <c r="CB34" i="1"/>
  <c r="CA34" i="1"/>
  <c r="BY34" i="1"/>
  <c r="BX34" i="1"/>
  <c r="BV34" i="1"/>
  <c r="BU34" i="1"/>
  <c r="BS34" i="1"/>
  <c r="BR34" i="1"/>
  <c r="BP34" i="1"/>
  <c r="BO34" i="1"/>
  <c r="BM34" i="1"/>
  <c r="BL34" i="1"/>
  <c r="BJ34" i="1"/>
  <c r="BI34" i="1"/>
  <c r="BG34" i="1"/>
  <c r="BF34" i="1"/>
  <c r="BD34" i="1"/>
  <c r="BC34" i="1"/>
  <c r="BA34" i="1"/>
  <c r="AZ34" i="1"/>
  <c r="AX34" i="1"/>
  <c r="AW34" i="1"/>
  <c r="AU34" i="1"/>
  <c r="AT34" i="1"/>
  <c r="AR34" i="1"/>
  <c r="AQ34" i="1"/>
  <c r="AO34" i="1"/>
  <c r="AN34" i="1"/>
  <c r="AL34" i="1"/>
  <c r="AK34" i="1"/>
  <c r="AI34" i="1"/>
  <c r="AH34" i="1"/>
  <c r="AF34" i="1"/>
  <c r="AE34" i="1"/>
  <c r="AC34" i="1"/>
  <c r="AB34" i="1"/>
  <c r="Z34" i="1"/>
  <c r="Y34" i="1"/>
  <c r="W34" i="1"/>
  <c r="V34" i="1"/>
  <c r="T34" i="1"/>
  <c r="S34" i="1"/>
  <c r="Q34" i="1"/>
  <c r="P34" i="1"/>
  <c r="N34" i="1"/>
  <c r="M34" i="1"/>
  <c r="K34" i="1"/>
  <c r="J34" i="1"/>
  <c r="H34" i="1"/>
  <c r="G34" i="1"/>
  <c r="E34" i="1"/>
  <c r="D34" i="1"/>
  <c r="C34" i="1"/>
  <c r="B34" i="1"/>
  <c r="A34" i="1"/>
  <c r="KS33" i="1"/>
  <c r="KR33" i="1"/>
  <c r="KQ33" i="1"/>
  <c r="KP33" i="1"/>
  <c r="KO33" i="1"/>
  <c r="KM33" i="1"/>
  <c r="KL33" i="1"/>
  <c r="KJ33" i="1"/>
  <c r="KI33" i="1"/>
  <c r="KG33" i="1"/>
  <c r="KF33" i="1"/>
  <c r="KD33" i="1"/>
  <c r="KC33" i="1"/>
  <c r="KA33" i="1"/>
  <c r="JZ33" i="1"/>
  <c r="JX33" i="1"/>
  <c r="JW33" i="1"/>
  <c r="JU33" i="1"/>
  <c r="JT33" i="1"/>
  <c r="JR33" i="1"/>
  <c r="JQ33" i="1"/>
  <c r="JO33" i="1"/>
  <c r="JN33" i="1"/>
  <c r="JL33" i="1"/>
  <c r="JK33" i="1"/>
  <c r="JI33" i="1"/>
  <c r="JH33" i="1"/>
  <c r="JF33" i="1"/>
  <c r="JE33" i="1"/>
  <c r="JC33" i="1"/>
  <c r="JB33" i="1"/>
  <c r="IZ33" i="1"/>
  <c r="IY33" i="1"/>
  <c r="IW33" i="1"/>
  <c r="IV33" i="1"/>
  <c r="IT33" i="1"/>
  <c r="IS33" i="1"/>
  <c r="IQ33" i="1"/>
  <c r="IP33" i="1"/>
  <c r="IN33" i="1"/>
  <c r="IM33" i="1"/>
  <c r="IK33" i="1"/>
  <c r="IJ33" i="1"/>
  <c r="IH33" i="1"/>
  <c r="IG33" i="1"/>
  <c r="IE33" i="1"/>
  <c r="ID33" i="1"/>
  <c r="IB33" i="1"/>
  <c r="IA33" i="1"/>
  <c r="HY33" i="1"/>
  <c r="HX33" i="1"/>
  <c r="HV33" i="1"/>
  <c r="HU33" i="1"/>
  <c r="HS33" i="1"/>
  <c r="HR33" i="1"/>
  <c r="HP33" i="1"/>
  <c r="HO33" i="1"/>
  <c r="HM33" i="1"/>
  <c r="HL33" i="1"/>
  <c r="HJ33" i="1"/>
  <c r="HI33" i="1"/>
  <c r="HG33" i="1"/>
  <c r="HF33" i="1"/>
  <c r="HD33" i="1"/>
  <c r="HC33" i="1"/>
  <c r="HA33" i="1"/>
  <c r="GZ33" i="1"/>
  <c r="GX33" i="1"/>
  <c r="GW33" i="1"/>
  <c r="GU33" i="1"/>
  <c r="GT33" i="1"/>
  <c r="GR33" i="1"/>
  <c r="GQ33" i="1"/>
  <c r="GO33" i="1"/>
  <c r="GN33" i="1"/>
  <c r="GL33" i="1"/>
  <c r="GK33" i="1"/>
  <c r="GI33" i="1"/>
  <c r="GH33" i="1"/>
  <c r="GF33" i="1"/>
  <c r="GE33" i="1"/>
  <c r="GC33" i="1"/>
  <c r="GB33" i="1"/>
  <c r="FZ33" i="1"/>
  <c r="FY33" i="1"/>
  <c r="FW33" i="1"/>
  <c r="FV33" i="1"/>
  <c r="FT33" i="1"/>
  <c r="FS33" i="1"/>
  <c r="FQ33" i="1"/>
  <c r="FP33" i="1"/>
  <c r="FN33" i="1"/>
  <c r="FM33" i="1"/>
  <c r="FK33" i="1"/>
  <c r="FJ33" i="1"/>
  <c r="FH33" i="1"/>
  <c r="FG33" i="1"/>
  <c r="FE33" i="1"/>
  <c r="FD33" i="1"/>
  <c r="FB33" i="1"/>
  <c r="FA33" i="1"/>
  <c r="EY33" i="1"/>
  <c r="EX33" i="1"/>
  <c r="EV33" i="1"/>
  <c r="EU33" i="1"/>
  <c r="ES33" i="1"/>
  <c r="ER33" i="1"/>
  <c r="EP33" i="1"/>
  <c r="EO33" i="1"/>
  <c r="EM33" i="1"/>
  <c r="EL33" i="1"/>
  <c r="EJ33" i="1"/>
  <c r="EI33" i="1"/>
  <c r="EG33" i="1"/>
  <c r="EF33" i="1"/>
  <c r="ED33" i="1"/>
  <c r="EC33" i="1"/>
  <c r="EA33" i="1"/>
  <c r="DZ33" i="1"/>
  <c r="DX33" i="1"/>
  <c r="DW33" i="1"/>
  <c r="DU33" i="1"/>
  <c r="DT33" i="1"/>
  <c r="DR33" i="1"/>
  <c r="DQ33" i="1"/>
  <c r="DO33" i="1"/>
  <c r="DN33" i="1"/>
  <c r="DL33" i="1"/>
  <c r="DK33" i="1"/>
  <c r="DI33" i="1"/>
  <c r="DH33" i="1"/>
  <c r="DF33" i="1"/>
  <c r="DE33" i="1"/>
  <c r="DC33" i="1"/>
  <c r="DB33" i="1"/>
  <c r="CZ33" i="1"/>
  <c r="CY33" i="1"/>
  <c r="CW33" i="1"/>
  <c r="CV33" i="1"/>
  <c r="CT33" i="1"/>
  <c r="CS33" i="1"/>
  <c r="CQ33" i="1"/>
  <c r="CP33" i="1"/>
  <c r="CN33" i="1"/>
  <c r="CM33" i="1"/>
  <c r="CK33" i="1"/>
  <c r="CJ33" i="1"/>
  <c r="CH33" i="1"/>
  <c r="CG33" i="1"/>
  <c r="CE33" i="1"/>
  <c r="CD33" i="1"/>
  <c r="CB33" i="1"/>
  <c r="CA33" i="1"/>
  <c r="BY33" i="1"/>
  <c r="BX33" i="1"/>
  <c r="BV33" i="1"/>
  <c r="BU33" i="1"/>
  <c r="BS33" i="1"/>
  <c r="BR33" i="1"/>
  <c r="BP33" i="1"/>
  <c r="BO33" i="1"/>
  <c r="BM33" i="1"/>
  <c r="BL33" i="1"/>
  <c r="BJ33" i="1"/>
  <c r="BI33" i="1"/>
  <c r="BG33" i="1"/>
  <c r="BF33" i="1"/>
  <c r="BD33" i="1"/>
  <c r="BC33" i="1"/>
  <c r="BA33" i="1"/>
  <c r="AZ33" i="1"/>
  <c r="AX33" i="1"/>
  <c r="AW33" i="1"/>
  <c r="AU33" i="1"/>
  <c r="AT33" i="1"/>
  <c r="AR33" i="1"/>
  <c r="AQ33" i="1"/>
  <c r="AO33" i="1"/>
  <c r="AN33" i="1"/>
  <c r="AL33" i="1"/>
  <c r="AK33" i="1"/>
  <c r="AI33" i="1"/>
  <c r="AH33" i="1"/>
  <c r="AF33" i="1"/>
  <c r="AE33" i="1"/>
  <c r="AC33" i="1"/>
  <c r="AB33" i="1"/>
  <c r="Z33" i="1"/>
  <c r="Y33" i="1"/>
  <c r="W33" i="1"/>
  <c r="V33" i="1"/>
  <c r="T33" i="1"/>
  <c r="S33" i="1"/>
  <c r="Q33" i="1"/>
  <c r="P33" i="1"/>
  <c r="N33" i="1"/>
  <c r="M33" i="1"/>
  <c r="K33" i="1"/>
  <c r="J33" i="1"/>
  <c r="H33" i="1"/>
  <c r="G33" i="1"/>
  <c r="E33" i="1"/>
  <c r="D33" i="1"/>
  <c r="C33" i="1"/>
  <c r="B33" i="1"/>
  <c r="A33" i="1"/>
  <c r="KS32" i="1"/>
  <c r="KR32" i="1"/>
  <c r="KQ32" i="1"/>
  <c r="KP32" i="1"/>
  <c r="KO32" i="1"/>
  <c r="KM32" i="1"/>
  <c r="KL32" i="1"/>
  <c r="KJ32" i="1"/>
  <c r="KI32" i="1"/>
  <c r="KG32" i="1"/>
  <c r="KF32" i="1"/>
  <c r="KD32" i="1"/>
  <c r="KC32" i="1"/>
  <c r="KA32" i="1"/>
  <c r="JZ32" i="1"/>
  <c r="JX32" i="1"/>
  <c r="JW32" i="1"/>
  <c r="JU32" i="1"/>
  <c r="JT32" i="1"/>
  <c r="JR32" i="1"/>
  <c r="JQ32" i="1"/>
  <c r="JO32" i="1"/>
  <c r="JN32" i="1"/>
  <c r="JL32" i="1"/>
  <c r="JK32" i="1"/>
  <c r="JI32" i="1"/>
  <c r="JH32" i="1"/>
  <c r="JF32" i="1"/>
  <c r="JE32" i="1"/>
  <c r="JC32" i="1"/>
  <c r="JB32" i="1"/>
  <c r="IZ32" i="1"/>
  <c r="IY32" i="1"/>
  <c r="IW32" i="1"/>
  <c r="IV32" i="1"/>
  <c r="IT32" i="1"/>
  <c r="IS32" i="1"/>
  <c r="IQ32" i="1"/>
  <c r="IP32" i="1"/>
  <c r="IN32" i="1"/>
  <c r="IM32" i="1"/>
  <c r="IK32" i="1"/>
  <c r="IJ32" i="1"/>
  <c r="IH32" i="1"/>
  <c r="IG32" i="1"/>
  <c r="IE32" i="1"/>
  <c r="ID32" i="1"/>
  <c r="IB32" i="1"/>
  <c r="IA32" i="1"/>
  <c r="HY32" i="1"/>
  <c r="HX32" i="1"/>
  <c r="HV32" i="1"/>
  <c r="HU32" i="1"/>
  <c r="HS32" i="1"/>
  <c r="HR32" i="1"/>
  <c r="HP32" i="1"/>
  <c r="HO32" i="1"/>
  <c r="HM32" i="1"/>
  <c r="HL32" i="1"/>
  <c r="HJ32" i="1"/>
  <c r="HI32" i="1"/>
  <c r="HG32" i="1"/>
  <c r="HF32" i="1"/>
  <c r="HD32" i="1"/>
  <c r="HC32" i="1"/>
  <c r="HA32" i="1"/>
  <c r="GZ32" i="1"/>
  <c r="GX32" i="1"/>
  <c r="GW32" i="1"/>
  <c r="GU32" i="1"/>
  <c r="GT32" i="1"/>
  <c r="GR32" i="1"/>
  <c r="GQ32" i="1"/>
  <c r="GO32" i="1"/>
  <c r="GN32" i="1"/>
  <c r="GL32" i="1"/>
  <c r="GK32" i="1"/>
  <c r="GI32" i="1"/>
  <c r="GH32" i="1"/>
  <c r="GF32" i="1"/>
  <c r="GE32" i="1"/>
  <c r="GC32" i="1"/>
  <c r="GB32" i="1"/>
  <c r="FZ32" i="1"/>
  <c r="FY32" i="1"/>
  <c r="FW32" i="1"/>
  <c r="FV32" i="1"/>
  <c r="FT32" i="1"/>
  <c r="FS32" i="1"/>
  <c r="FQ32" i="1"/>
  <c r="FP32" i="1"/>
  <c r="FN32" i="1"/>
  <c r="FM32" i="1"/>
  <c r="FK32" i="1"/>
  <c r="FJ32" i="1"/>
  <c r="FH32" i="1"/>
  <c r="FG32" i="1"/>
  <c r="FE32" i="1"/>
  <c r="FD32" i="1"/>
  <c r="FB32" i="1"/>
  <c r="FA32" i="1"/>
  <c r="EY32" i="1"/>
  <c r="EX32" i="1"/>
  <c r="EV32" i="1"/>
  <c r="EU32" i="1"/>
  <c r="ES32" i="1"/>
  <c r="ER32" i="1"/>
  <c r="EP32" i="1"/>
  <c r="EO32" i="1"/>
  <c r="EM32" i="1"/>
  <c r="EL32" i="1"/>
  <c r="EJ32" i="1"/>
  <c r="EI32" i="1"/>
  <c r="EG32" i="1"/>
  <c r="EF32" i="1"/>
  <c r="ED32" i="1"/>
  <c r="EC32" i="1"/>
  <c r="EA32" i="1"/>
  <c r="DZ32" i="1"/>
  <c r="DX32" i="1"/>
  <c r="DW32" i="1"/>
  <c r="DU32" i="1"/>
  <c r="DT32" i="1"/>
  <c r="DR32" i="1"/>
  <c r="DQ32" i="1"/>
  <c r="DO32" i="1"/>
  <c r="DN32" i="1"/>
  <c r="DL32" i="1"/>
  <c r="DK32" i="1"/>
  <c r="DI32" i="1"/>
  <c r="DH32" i="1"/>
  <c r="DF32" i="1"/>
  <c r="DE32" i="1"/>
  <c r="DC32" i="1"/>
  <c r="DB32" i="1"/>
  <c r="CZ32" i="1"/>
  <c r="CY32" i="1"/>
  <c r="CW32" i="1"/>
  <c r="CV32" i="1"/>
  <c r="CT32" i="1"/>
  <c r="CS32" i="1"/>
  <c r="CQ32" i="1"/>
  <c r="CP32" i="1"/>
  <c r="CN32" i="1"/>
  <c r="CM32" i="1"/>
  <c r="CK32" i="1"/>
  <c r="CJ32" i="1"/>
  <c r="CH32" i="1"/>
  <c r="CG32" i="1"/>
  <c r="CE32" i="1"/>
  <c r="CD32" i="1"/>
  <c r="CB32" i="1"/>
  <c r="CA32" i="1"/>
  <c r="BY32" i="1"/>
  <c r="BX32" i="1"/>
  <c r="BV32" i="1"/>
  <c r="BU32" i="1"/>
  <c r="BS32" i="1"/>
  <c r="BR32" i="1"/>
  <c r="BP32" i="1"/>
  <c r="BO32" i="1"/>
  <c r="BM32" i="1"/>
  <c r="BL32" i="1"/>
  <c r="BJ32" i="1"/>
  <c r="BI32" i="1"/>
  <c r="BG32" i="1"/>
  <c r="BF32" i="1"/>
  <c r="BD32" i="1"/>
  <c r="BC32" i="1"/>
  <c r="BA32" i="1"/>
  <c r="AZ32" i="1"/>
  <c r="AX32" i="1"/>
  <c r="AW32" i="1"/>
  <c r="AU32" i="1"/>
  <c r="AT32" i="1"/>
  <c r="AR32" i="1"/>
  <c r="AQ32" i="1"/>
  <c r="AO32" i="1"/>
  <c r="AN32" i="1"/>
  <c r="AL32" i="1"/>
  <c r="AK32" i="1"/>
  <c r="AI32" i="1"/>
  <c r="AH32" i="1"/>
  <c r="AF32" i="1"/>
  <c r="AE32" i="1"/>
  <c r="AC32" i="1"/>
  <c r="AB32" i="1"/>
  <c r="Z32" i="1"/>
  <c r="Y32" i="1"/>
  <c r="W32" i="1"/>
  <c r="V32" i="1"/>
  <c r="T32" i="1"/>
  <c r="S32" i="1"/>
  <c r="Q32" i="1"/>
  <c r="P32" i="1"/>
  <c r="N32" i="1"/>
  <c r="M32" i="1"/>
  <c r="K32" i="1"/>
  <c r="J32" i="1"/>
  <c r="H32" i="1"/>
  <c r="G32" i="1"/>
  <c r="E32" i="1"/>
  <c r="D32" i="1"/>
  <c r="C32" i="1"/>
  <c r="B32" i="1"/>
  <c r="A32" i="1"/>
  <c r="KS31" i="1"/>
  <c r="KR31" i="1"/>
  <c r="KQ31" i="1"/>
  <c r="KP31" i="1"/>
  <c r="KO31" i="1"/>
  <c r="KM31" i="1"/>
  <c r="KL31" i="1"/>
  <c r="KJ31" i="1"/>
  <c r="KI31" i="1"/>
  <c r="KG31" i="1"/>
  <c r="KF31" i="1"/>
  <c r="KD31" i="1"/>
  <c r="KC31" i="1"/>
  <c r="KA31" i="1"/>
  <c r="JZ31" i="1"/>
  <c r="JX31" i="1"/>
  <c r="JW31" i="1"/>
  <c r="JU31" i="1"/>
  <c r="JT31" i="1"/>
  <c r="JR31" i="1"/>
  <c r="JQ31" i="1"/>
  <c r="JO31" i="1"/>
  <c r="JN31" i="1"/>
  <c r="JL31" i="1"/>
  <c r="JK31" i="1"/>
  <c r="JI31" i="1"/>
  <c r="JH31" i="1"/>
  <c r="JF31" i="1"/>
  <c r="JE31" i="1"/>
  <c r="JC31" i="1"/>
  <c r="JB31" i="1"/>
  <c r="IZ31" i="1"/>
  <c r="IY31" i="1"/>
  <c r="IW31" i="1"/>
  <c r="IV31" i="1"/>
  <c r="IT31" i="1"/>
  <c r="IS31" i="1"/>
  <c r="IQ31" i="1"/>
  <c r="IP31" i="1"/>
  <c r="IN31" i="1"/>
  <c r="IM31" i="1"/>
  <c r="IK31" i="1"/>
  <c r="IJ31" i="1"/>
  <c r="IH31" i="1"/>
  <c r="IG31" i="1"/>
  <c r="IE31" i="1"/>
  <c r="ID31" i="1"/>
  <c r="IB31" i="1"/>
  <c r="IA31" i="1"/>
  <c r="HY31" i="1"/>
  <c r="HX31" i="1"/>
  <c r="HV31" i="1"/>
  <c r="HU31" i="1"/>
  <c r="HS31" i="1"/>
  <c r="HR31" i="1"/>
  <c r="HP31" i="1"/>
  <c r="HO31" i="1"/>
  <c r="HM31" i="1"/>
  <c r="HL31" i="1"/>
  <c r="HJ31" i="1"/>
  <c r="HI31" i="1"/>
  <c r="HG31" i="1"/>
  <c r="HF31" i="1"/>
  <c r="HD31" i="1"/>
  <c r="HC31" i="1"/>
  <c r="HA31" i="1"/>
  <c r="GZ31" i="1"/>
  <c r="GX31" i="1"/>
  <c r="GW31" i="1"/>
  <c r="GU31" i="1"/>
  <c r="GT31" i="1"/>
  <c r="GR31" i="1"/>
  <c r="GQ31" i="1"/>
  <c r="GO31" i="1"/>
  <c r="GN31" i="1"/>
  <c r="GL31" i="1"/>
  <c r="GK31" i="1"/>
  <c r="GI31" i="1"/>
  <c r="GH31" i="1"/>
  <c r="GF31" i="1"/>
  <c r="GE31" i="1"/>
  <c r="GC31" i="1"/>
  <c r="GB31" i="1"/>
  <c r="FZ31" i="1"/>
  <c r="FY31" i="1"/>
  <c r="FW31" i="1"/>
  <c r="FV31" i="1"/>
  <c r="FT31" i="1"/>
  <c r="FS31" i="1"/>
  <c r="FQ31" i="1"/>
  <c r="FP31" i="1"/>
  <c r="FN31" i="1"/>
  <c r="FM31" i="1"/>
  <c r="FK31" i="1"/>
  <c r="FJ31" i="1"/>
  <c r="FH31" i="1"/>
  <c r="FG31" i="1"/>
  <c r="FE31" i="1"/>
  <c r="FD31" i="1"/>
  <c r="FB31" i="1"/>
  <c r="FA31" i="1"/>
  <c r="EY31" i="1"/>
  <c r="EX31" i="1"/>
  <c r="EV31" i="1"/>
  <c r="EU31" i="1"/>
  <c r="ES31" i="1"/>
  <c r="ER31" i="1"/>
  <c r="EP31" i="1"/>
  <c r="EO31" i="1"/>
  <c r="EM31" i="1"/>
  <c r="EL31" i="1"/>
  <c r="EJ31" i="1"/>
  <c r="EI31" i="1"/>
  <c r="EG31" i="1"/>
  <c r="EF31" i="1"/>
  <c r="ED31" i="1"/>
  <c r="EC31" i="1"/>
  <c r="EA31" i="1"/>
  <c r="DZ31" i="1"/>
  <c r="DX31" i="1"/>
  <c r="DW31" i="1"/>
  <c r="DU31" i="1"/>
  <c r="DT31" i="1"/>
  <c r="DR31" i="1"/>
  <c r="DQ31" i="1"/>
  <c r="DO31" i="1"/>
  <c r="DN31" i="1"/>
  <c r="DL31" i="1"/>
  <c r="DK31" i="1"/>
  <c r="DI31" i="1"/>
  <c r="DH31" i="1"/>
  <c r="DF31" i="1"/>
  <c r="DE31" i="1"/>
  <c r="DC31" i="1"/>
  <c r="DB31" i="1"/>
  <c r="CZ31" i="1"/>
  <c r="CY31" i="1"/>
  <c r="CW31" i="1"/>
  <c r="CV31" i="1"/>
  <c r="CT31" i="1"/>
  <c r="CS31" i="1"/>
  <c r="CQ31" i="1"/>
  <c r="CP31" i="1"/>
  <c r="CN31" i="1"/>
  <c r="CM31" i="1"/>
  <c r="CK31" i="1"/>
  <c r="CJ31" i="1"/>
  <c r="CH31" i="1"/>
  <c r="CG31" i="1"/>
  <c r="CE31" i="1"/>
  <c r="CD31" i="1"/>
  <c r="CB31" i="1"/>
  <c r="CA31" i="1"/>
  <c r="BY31" i="1"/>
  <c r="BX31" i="1"/>
  <c r="BV31" i="1"/>
  <c r="BU31" i="1"/>
  <c r="BS31" i="1"/>
  <c r="BR31" i="1"/>
  <c r="BP31" i="1"/>
  <c r="BO31" i="1"/>
  <c r="BM31" i="1"/>
  <c r="BL31" i="1"/>
  <c r="BJ31" i="1"/>
  <c r="BI31" i="1"/>
  <c r="BG31" i="1"/>
  <c r="BF31" i="1"/>
  <c r="BD31" i="1"/>
  <c r="BC31" i="1"/>
  <c r="BA31" i="1"/>
  <c r="AZ31" i="1"/>
  <c r="AX31" i="1"/>
  <c r="AW31" i="1"/>
  <c r="AU31" i="1"/>
  <c r="AT31" i="1"/>
  <c r="AR31" i="1"/>
  <c r="AQ31" i="1"/>
  <c r="AO31" i="1"/>
  <c r="AN31" i="1"/>
  <c r="AL31" i="1"/>
  <c r="AK31" i="1"/>
  <c r="AI31" i="1"/>
  <c r="AH31" i="1"/>
  <c r="AF31" i="1"/>
  <c r="AE31" i="1"/>
  <c r="AC31" i="1"/>
  <c r="AB31" i="1"/>
  <c r="Z31" i="1"/>
  <c r="Y31" i="1"/>
  <c r="W31" i="1"/>
  <c r="V31" i="1"/>
  <c r="T31" i="1"/>
  <c r="S31" i="1"/>
  <c r="Q31" i="1"/>
  <c r="P31" i="1"/>
  <c r="N31" i="1"/>
  <c r="M31" i="1"/>
  <c r="K31" i="1"/>
  <c r="J31" i="1"/>
  <c r="H31" i="1"/>
  <c r="G31" i="1"/>
  <c r="E31" i="1"/>
  <c r="D31" i="1"/>
  <c r="C31" i="1"/>
  <c r="B31" i="1"/>
  <c r="A31" i="1"/>
  <c r="KS30" i="1"/>
  <c r="KR30" i="1"/>
  <c r="KQ30" i="1"/>
  <c r="KP30" i="1"/>
  <c r="KO30" i="1"/>
  <c r="KM30" i="1"/>
  <c r="KL30" i="1"/>
  <c r="KJ30" i="1"/>
  <c r="KI30" i="1"/>
  <c r="KG30" i="1"/>
  <c r="KF30" i="1"/>
  <c r="KD30" i="1"/>
  <c r="KC30" i="1"/>
  <c r="KA30" i="1"/>
  <c r="JZ30" i="1"/>
  <c r="JX30" i="1"/>
  <c r="JW30" i="1"/>
  <c r="JU30" i="1"/>
  <c r="JT30" i="1"/>
  <c r="JR30" i="1"/>
  <c r="JQ30" i="1"/>
  <c r="JO30" i="1"/>
  <c r="JN30" i="1"/>
  <c r="JL30" i="1"/>
  <c r="JK30" i="1"/>
  <c r="JI30" i="1"/>
  <c r="JH30" i="1"/>
  <c r="JF30" i="1"/>
  <c r="JE30" i="1"/>
  <c r="JC30" i="1"/>
  <c r="JB30" i="1"/>
  <c r="IZ30" i="1"/>
  <c r="IY30" i="1"/>
  <c r="IW30" i="1"/>
  <c r="IV30" i="1"/>
  <c r="IT30" i="1"/>
  <c r="IS30" i="1"/>
  <c r="IQ30" i="1"/>
  <c r="IP30" i="1"/>
  <c r="IN30" i="1"/>
  <c r="IM30" i="1"/>
  <c r="IK30" i="1"/>
  <c r="IJ30" i="1"/>
  <c r="IH30" i="1"/>
  <c r="IG30" i="1"/>
  <c r="IE30" i="1"/>
  <c r="ID30" i="1"/>
  <c r="IB30" i="1"/>
  <c r="IA30" i="1"/>
  <c r="HY30" i="1"/>
  <c r="HX30" i="1"/>
  <c r="HV30" i="1"/>
  <c r="HU30" i="1"/>
  <c r="HS30" i="1"/>
  <c r="HR30" i="1"/>
  <c r="HP30" i="1"/>
  <c r="HO30" i="1"/>
  <c r="HM30" i="1"/>
  <c r="HL30" i="1"/>
  <c r="HJ30" i="1"/>
  <c r="HI30" i="1"/>
  <c r="HG30" i="1"/>
  <c r="HF30" i="1"/>
  <c r="HD30" i="1"/>
  <c r="HC30" i="1"/>
  <c r="HA30" i="1"/>
  <c r="GZ30" i="1"/>
  <c r="GX30" i="1"/>
  <c r="GW30" i="1"/>
  <c r="GU30" i="1"/>
  <c r="GT30" i="1"/>
  <c r="GR30" i="1"/>
  <c r="GQ30" i="1"/>
  <c r="GO30" i="1"/>
  <c r="GN30" i="1"/>
  <c r="GL30" i="1"/>
  <c r="GK30" i="1"/>
  <c r="GI30" i="1"/>
  <c r="GH30" i="1"/>
  <c r="GF30" i="1"/>
  <c r="GE30" i="1"/>
  <c r="GC30" i="1"/>
  <c r="GB30" i="1"/>
  <c r="FZ30" i="1"/>
  <c r="FY30" i="1"/>
  <c r="FW30" i="1"/>
  <c r="FV30" i="1"/>
  <c r="FT30" i="1"/>
  <c r="FS30" i="1"/>
  <c r="FQ30" i="1"/>
  <c r="FP30" i="1"/>
  <c r="FN30" i="1"/>
  <c r="FM30" i="1"/>
  <c r="FK30" i="1"/>
  <c r="FJ30" i="1"/>
  <c r="FH30" i="1"/>
  <c r="FG30" i="1"/>
  <c r="FE30" i="1"/>
  <c r="FD30" i="1"/>
  <c r="FB30" i="1"/>
  <c r="FA30" i="1"/>
  <c r="EY30" i="1"/>
  <c r="EX30" i="1"/>
  <c r="EV30" i="1"/>
  <c r="EU30" i="1"/>
  <c r="ES30" i="1"/>
  <c r="ER30" i="1"/>
  <c r="EP30" i="1"/>
  <c r="EO30" i="1"/>
  <c r="EM30" i="1"/>
  <c r="EL30" i="1"/>
  <c r="EJ30" i="1"/>
  <c r="EI30" i="1"/>
  <c r="EG30" i="1"/>
  <c r="EF30" i="1"/>
  <c r="ED30" i="1"/>
  <c r="EC30" i="1"/>
  <c r="EA30" i="1"/>
  <c r="DZ30" i="1"/>
  <c r="DX30" i="1"/>
  <c r="DW30" i="1"/>
  <c r="DU30" i="1"/>
  <c r="DT30" i="1"/>
  <c r="DR30" i="1"/>
  <c r="DQ30" i="1"/>
  <c r="DO30" i="1"/>
  <c r="DN30" i="1"/>
  <c r="DL30" i="1"/>
  <c r="DK30" i="1"/>
  <c r="DI30" i="1"/>
  <c r="DH30" i="1"/>
  <c r="DF30" i="1"/>
  <c r="DE30" i="1"/>
  <c r="DC30" i="1"/>
  <c r="DB30" i="1"/>
  <c r="CZ30" i="1"/>
  <c r="CY30" i="1"/>
  <c r="CW30" i="1"/>
  <c r="CV30" i="1"/>
  <c r="CT30" i="1"/>
  <c r="CS30" i="1"/>
  <c r="CQ30" i="1"/>
  <c r="CP30" i="1"/>
  <c r="CN30" i="1"/>
  <c r="CM30" i="1"/>
  <c r="CK30" i="1"/>
  <c r="CJ30" i="1"/>
  <c r="CH30" i="1"/>
  <c r="CG30" i="1"/>
  <c r="CE30" i="1"/>
  <c r="CD30" i="1"/>
  <c r="CB30" i="1"/>
  <c r="CA30" i="1"/>
  <c r="BY30" i="1"/>
  <c r="BX30" i="1"/>
  <c r="BV30" i="1"/>
  <c r="BU30" i="1"/>
  <c r="BS30" i="1"/>
  <c r="BR30" i="1"/>
  <c r="BP30" i="1"/>
  <c r="BO30" i="1"/>
  <c r="BM30" i="1"/>
  <c r="BL30" i="1"/>
  <c r="BJ30" i="1"/>
  <c r="BI30" i="1"/>
  <c r="BG30" i="1"/>
  <c r="BF30" i="1"/>
  <c r="BD30" i="1"/>
  <c r="BC30" i="1"/>
  <c r="BA30" i="1"/>
  <c r="AZ30" i="1"/>
  <c r="AX30" i="1"/>
  <c r="AW30" i="1"/>
  <c r="AU30" i="1"/>
  <c r="AT30" i="1"/>
  <c r="AR30" i="1"/>
  <c r="AQ30" i="1"/>
  <c r="AO30" i="1"/>
  <c r="AN30" i="1"/>
  <c r="AL30" i="1"/>
  <c r="AK30" i="1"/>
  <c r="AI30" i="1"/>
  <c r="AH30" i="1"/>
  <c r="AF30" i="1"/>
  <c r="AE30" i="1"/>
  <c r="AC30" i="1"/>
  <c r="AB30" i="1"/>
  <c r="Z30" i="1"/>
  <c r="Y30" i="1"/>
  <c r="W30" i="1"/>
  <c r="V30" i="1"/>
  <c r="T30" i="1"/>
  <c r="S30" i="1"/>
  <c r="Q30" i="1"/>
  <c r="P30" i="1"/>
  <c r="N30" i="1"/>
  <c r="M30" i="1"/>
  <c r="K30" i="1"/>
  <c r="J30" i="1"/>
  <c r="H30" i="1"/>
  <c r="G30" i="1"/>
  <c r="E30" i="1"/>
  <c r="D30" i="1"/>
  <c r="C30" i="1"/>
  <c r="B30" i="1"/>
  <c r="A30" i="1"/>
  <c r="KS29" i="1"/>
  <c r="KR29" i="1"/>
  <c r="KQ29" i="1"/>
  <c r="KP29" i="1"/>
  <c r="KO29" i="1"/>
  <c r="KM29" i="1"/>
  <c r="KL29" i="1"/>
  <c r="KJ29" i="1"/>
  <c r="KI29" i="1"/>
  <c r="KG29" i="1"/>
  <c r="KF29" i="1"/>
  <c r="KD29" i="1"/>
  <c r="KC29" i="1"/>
  <c r="KA29" i="1"/>
  <c r="JZ29" i="1"/>
  <c r="JX29" i="1"/>
  <c r="JW29" i="1"/>
  <c r="JU29" i="1"/>
  <c r="JT29" i="1"/>
  <c r="JR29" i="1"/>
  <c r="JQ29" i="1"/>
  <c r="JO29" i="1"/>
  <c r="JN29" i="1"/>
  <c r="JL29" i="1"/>
  <c r="JK29" i="1"/>
  <c r="JI29" i="1"/>
  <c r="JH29" i="1"/>
  <c r="JF29" i="1"/>
  <c r="JE29" i="1"/>
  <c r="JC29" i="1"/>
  <c r="JB29" i="1"/>
  <c r="IZ29" i="1"/>
  <c r="IY29" i="1"/>
  <c r="IW29" i="1"/>
  <c r="IV29" i="1"/>
  <c r="IT29" i="1"/>
  <c r="IS29" i="1"/>
  <c r="IQ29" i="1"/>
  <c r="IP29" i="1"/>
  <c r="IN29" i="1"/>
  <c r="IM29" i="1"/>
  <c r="IK29" i="1"/>
  <c r="IJ29" i="1"/>
  <c r="IH29" i="1"/>
  <c r="IG29" i="1"/>
  <c r="IE29" i="1"/>
  <c r="ID29" i="1"/>
  <c r="IB29" i="1"/>
  <c r="IA29" i="1"/>
  <c r="HY29" i="1"/>
  <c r="HX29" i="1"/>
  <c r="HV29" i="1"/>
  <c r="HU29" i="1"/>
  <c r="HS29" i="1"/>
  <c r="HR29" i="1"/>
  <c r="HP29" i="1"/>
  <c r="HO29" i="1"/>
  <c r="HM29" i="1"/>
  <c r="HL29" i="1"/>
  <c r="HJ29" i="1"/>
  <c r="HI29" i="1"/>
  <c r="HG29" i="1"/>
  <c r="HF29" i="1"/>
  <c r="HD29" i="1"/>
  <c r="HC29" i="1"/>
  <c r="HA29" i="1"/>
  <c r="GZ29" i="1"/>
  <c r="GX29" i="1"/>
  <c r="GW29" i="1"/>
  <c r="GU29" i="1"/>
  <c r="GT29" i="1"/>
  <c r="GR29" i="1"/>
  <c r="GQ29" i="1"/>
  <c r="GO29" i="1"/>
  <c r="GN29" i="1"/>
  <c r="GL29" i="1"/>
  <c r="GK29" i="1"/>
  <c r="GI29" i="1"/>
  <c r="GH29" i="1"/>
  <c r="GF29" i="1"/>
  <c r="GE29" i="1"/>
  <c r="GC29" i="1"/>
  <c r="GB29" i="1"/>
  <c r="FZ29" i="1"/>
  <c r="FY29" i="1"/>
  <c r="FW29" i="1"/>
  <c r="FV29" i="1"/>
  <c r="FT29" i="1"/>
  <c r="FS29" i="1"/>
  <c r="FQ29" i="1"/>
  <c r="FP29" i="1"/>
  <c r="FN29" i="1"/>
  <c r="FM29" i="1"/>
  <c r="FK29" i="1"/>
  <c r="FJ29" i="1"/>
  <c r="FH29" i="1"/>
  <c r="FG29" i="1"/>
  <c r="FE29" i="1"/>
  <c r="FD29" i="1"/>
  <c r="FB29" i="1"/>
  <c r="FA29" i="1"/>
  <c r="EY29" i="1"/>
  <c r="EX29" i="1"/>
  <c r="EV29" i="1"/>
  <c r="EU29" i="1"/>
  <c r="ES29" i="1"/>
  <c r="ER29" i="1"/>
  <c r="EP29" i="1"/>
  <c r="EO29" i="1"/>
  <c r="EM29" i="1"/>
  <c r="EL29" i="1"/>
  <c r="EJ29" i="1"/>
  <c r="EI29" i="1"/>
  <c r="EG29" i="1"/>
  <c r="EF29" i="1"/>
  <c r="ED29" i="1"/>
  <c r="EC29" i="1"/>
  <c r="EA29" i="1"/>
  <c r="DZ29" i="1"/>
  <c r="DX29" i="1"/>
  <c r="DW29" i="1"/>
  <c r="DU29" i="1"/>
  <c r="DT29" i="1"/>
  <c r="DR29" i="1"/>
  <c r="DQ29" i="1"/>
  <c r="DO29" i="1"/>
  <c r="DN29" i="1"/>
  <c r="DL29" i="1"/>
  <c r="DK29" i="1"/>
  <c r="DI29" i="1"/>
  <c r="DH29" i="1"/>
  <c r="DF29" i="1"/>
  <c r="DE29" i="1"/>
  <c r="DC29" i="1"/>
  <c r="DB29" i="1"/>
  <c r="CZ29" i="1"/>
  <c r="CY29" i="1"/>
  <c r="CW29" i="1"/>
  <c r="CV29" i="1"/>
  <c r="CT29" i="1"/>
  <c r="CS29" i="1"/>
  <c r="CQ29" i="1"/>
  <c r="CP29" i="1"/>
  <c r="CN29" i="1"/>
  <c r="CM29" i="1"/>
  <c r="CK29" i="1"/>
  <c r="CJ29" i="1"/>
  <c r="CH29" i="1"/>
  <c r="CG29" i="1"/>
  <c r="CE29" i="1"/>
  <c r="CD29" i="1"/>
  <c r="CB29" i="1"/>
  <c r="CA29" i="1"/>
  <c r="BY29" i="1"/>
  <c r="BX29" i="1"/>
  <c r="BV29" i="1"/>
  <c r="BU29" i="1"/>
  <c r="BS29" i="1"/>
  <c r="BR29" i="1"/>
  <c r="BP29" i="1"/>
  <c r="BO29" i="1"/>
  <c r="BM29" i="1"/>
  <c r="BL29" i="1"/>
  <c r="BJ29" i="1"/>
  <c r="BI29" i="1"/>
  <c r="BG29" i="1"/>
  <c r="BF29" i="1"/>
  <c r="BD29" i="1"/>
  <c r="BC29" i="1"/>
  <c r="BA29" i="1"/>
  <c r="AZ29" i="1"/>
  <c r="AX29" i="1"/>
  <c r="AW29" i="1"/>
  <c r="AU29" i="1"/>
  <c r="AT29" i="1"/>
  <c r="AR29" i="1"/>
  <c r="AQ29" i="1"/>
  <c r="AO29" i="1"/>
  <c r="AN29" i="1"/>
  <c r="AL29" i="1"/>
  <c r="AK29" i="1"/>
  <c r="AI29" i="1"/>
  <c r="AH29" i="1"/>
  <c r="AF29" i="1"/>
  <c r="AE29" i="1"/>
  <c r="AC29" i="1"/>
  <c r="AB29" i="1"/>
  <c r="Z29" i="1"/>
  <c r="Y29" i="1"/>
  <c r="W29" i="1"/>
  <c r="V29" i="1"/>
  <c r="T29" i="1"/>
  <c r="S29" i="1"/>
  <c r="Q29" i="1"/>
  <c r="P29" i="1"/>
  <c r="N29" i="1"/>
  <c r="M29" i="1"/>
  <c r="K29" i="1"/>
  <c r="J29" i="1"/>
  <c r="H29" i="1"/>
  <c r="G29" i="1"/>
  <c r="E29" i="1"/>
  <c r="D29" i="1"/>
  <c r="C29" i="1"/>
  <c r="B29" i="1"/>
  <c r="A29" i="1"/>
  <c r="KS28" i="1"/>
  <c r="KR28" i="1"/>
  <c r="KQ28" i="1"/>
  <c r="KP28" i="1"/>
  <c r="KO28" i="1"/>
  <c r="KM28" i="1"/>
  <c r="KL28" i="1"/>
  <c r="KJ28" i="1"/>
  <c r="KI28" i="1"/>
  <c r="KG28" i="1"/>
  <c r="KF28" i="1"/>
  <c r="KD28" i="1"/>
  <c r="KC28" i="1"/>
  <c r="KA28" i="1"/>
  <c r="JZ28" i="1"/>
  <c r="JX28" i="1"/>
  <c r="JW28" i="1"/>
  <c r="JU28" i="1"/>
  <c r="JT28" i="1"/>
  <c r="JR28" i="1"/>
  <c r="JQ28" i="1"/>
  <c r="JO28" i="1"/>
  <c r="JN28" i="1"/>
  <c r="JL28" i="1"/>
  <c r="JK28" i="1"/>
  <c r="JI28" i="1"/>
  <c r="JH28" i="1"/>
  <c r="JF28" i="1"/>
  <c r="JE28" i="1"/>
  <c r="JC28" i="1"/>
  <c r="JB28" i="1"/>
  <c r="IZ28" i="1"/>
  <c r="IY28" i="1"/>
  <c r="IW28" i="1"/>
  <c r="IV28" i="1"/>
  <c r="IT28" i="1"/>
  <c r="IS28" i="1"/>
  <c r="IQ28" i="1"/>
  <c r="IP28" i="1"/>
  <c r="IN28" i="1"/>
  <c r="IM28" i="1"/>
  <c r="IK28" i="1"/>
  <c r="IJ28" i="1"/>
  <c r="IH28" i="1"/>
  <c r="IG28" i="1"/>
  <c r="IE28" i="1"/>
  <c r="ID28" i="1"/>
  <c r="IB28" i="1"/>
  <c r="IA28" i="1"/>
  <c r="HY28" i="1"/>
  <c r="HX28" i="1"/>
  <c r="HV28" i="1"/>
  <c r="HU28" i="1"/>
  <c r="HS28" i="1"/>
  <c r="HR28" i="1"/>
  <c r="HP28" i="1"/>
  <c r="HO28" i="1"/>
  <c r="HM28" i="1"/>
  <c r="HL28" i="1"/>
  <c r="HJ28" i="1"/>
  <c r="HI28" i="1"/>
  <c r="HG28" i="1"/>
  <c r="HF28" i="1"/>
  <c r="HD28" i="1"/>
  <c r="HC28" i="1"/>
  <c r="HA28" i="1"/>
  <c r="GZ28" i="1"/>
  <c r="GX28" i="1"/>
  <c r="GW28" i="1"/>
  <c r="GU28" i="1"/>
  <c r="GT28" i="1"/>
  <c r="GR28" i="1"/>
  <c r="GQ28" i="1"/>
  <c r="GO28" i="1"/>
  <c r="GN28" i="1"/>
  <c r="GL28" i="1"/>
  <c r="GK28" i="1"/>
  <c r="GI28" i="1"/>
  <c r="GH28" i="1"/>
  <c r="GF28" i="1"/>
  <c r="GE28" i="1"/>
  <c r="GC28" i="1"/>
  <c r="GB28" i="1"/>
  <c r="FZ28" i="1"/>
  <c r="FY28" i="1"/>
  <c r="FW28" i="1"/>
  <c r="FV28" i="1"/>
  <c r="FT28" i="1"/>
  <c r="FS28" i="1"/>
  <c r="FQ28" i="1"/>
  <c r="FP28" i="1"/>
  <c r="FN28" i="1"/>
  <c r="FM28" i="1"/>
  <c r="FK28" i="1"/>
  <c r="FJ28" i="1"/>
  <c r="FH28" i="1"/>
  <c r="FG28" i="1"/>
  <c r="FE28" i="1"/>
  <c r="FD28" i="1"/>
  <c r="FB28" i="1"/>
  <c r="FA28" i="1"/>
  <c r="EY28" i="1"/>
  <c r="EX28" i="1"/>
  <c r="EV28" i="1"/>
  <c r="EU28" i="1"/>
  <c r="ES28" i="1"/>
  <c r="ER28" i="1"/>
  <c r="EP28" i="1"/>
  <c r="EO28" i="1"/>
  <c r="EM28" i="1"/>
  <c r="EL28" i="1"/>
  <c r="EJ28" i="1"/>
  <c r="EI28" i="1"/>
  <c r="EG28" i="1"/>
  <c r="EF28" i="1"/>
  <c r="ED28" i="1"/>
  <c r="EC28" i="1"/>
  <c r="EA28" i="1"/>
  <c r="DZ28" i="1"/>
  <c r="DX28" i="1"/>
  <c r="DW28" i="1"/>
  <c r="DU28" i="1"/>
  <c r="DT28" i="1"/>
  <c r="DR28" i="1"/>
  <c r="DQ28" i="1"/>
  <c r="DO28" i="1"/>
  <c r="DN28" i="1"/>
  <c r="DL28" i="1"/>
  <c r="DK28" i="1"/>
  <c r="DI28" i="1"/>
  <c r="DH28" i="1"/>
  <c r="DF28" i="1"/>
  <c r="DE28" i="1"/>
  <c r="DC28" i="1"/>
  <c r="DB28" i="1"/>
  <c r="CZ28" i="1"/>
  <c r="CY28" i="1"/>
  <c r="CW28" i="1"/>
  <c r="CV28" i="1"/>
  <c r="CT28" i="1"/>
  <c r="CS28" i="1"/>
  <c r="CQ28" i="1"/>
  <c r="CP28" i="1"/>
  <c r="CN28" i="1"/>
  <c r="CM28" i="1"/>
  <c r="CK28" i="1"/>
  <c r="CJ28" i="1"/>
  <c r="CH28" i="1"/>
  <c r="CG28" i="1"/>
  <c r="CE28" i="1"/>
  <c r="CD28" i="1"/>
  <c r="CB28" i="1"/>
  <c r="CA28" i="1"/>
  <c r="BY28" i="1"/>
  <c r="BX28" i="1"/>
  <c r="BV28" i="1"/>
  <c r="BU28" i="1"/>
  <c r="BS28" i="1"/>
  <c r="BR28" i="1"/>
  <c r="BP28" i="1"/>
  <c r="BO28" i="1"/>
  <c r="BM28" i="1"/>
  <c r="BL28" i="1"/>
  <c r="BJ28" i="1"/>
  <c r="BI28" i="1"/>
  <c r="BG28" i="1"/>
  <c r="BF28" i="1"/>
  <c r="BD28" i="1"/>
  <c r="BC28" i="1"/>
  <c r="BA28" i="1"/>
  <c r="AZ28" i="1"/>
  <c r="AX28" i="1"/>
  <c r="AW28" i="1"/>
  <c r="AU28" i="1"/>
  <c r="AT28" i="1"/>
  <c r="AR28" i="1"/>
  <c r="AQ28" i="1"/>
  <c r="AO28" i="1"/>
  <c r="AN28" i="1"/>
  <c r="AL28" i="1"/>
  <c r="AK28" i="1"/>
  <c r="AI28" i="1"/>
  <c r="AH28" i="1"/>
  <c r="AF28" i="1"/>
  <c r="AE28" i="1"/>
  <c r="AC28" i="1"/>
  <c r="AB28" i="1"/>
  <c r="Z28" i="1"/>
  <c r="Y28" i="1"/>
  <c r="W28" i="1"/>
  <c r="V28" i="1"/>
  <c r="T28" i="1"/>
  <c r="S28" i="1"/>
  <c r="Q28" i="1"/>
  <c r="P28" i="1"/>
  <c r="N28" i="1"/>
  <c r="M28" i="1"/>
  <c r="K28" i="1"/>
  <c r="J28" i="1"/>
  <c r="H28" i="1"/>
  <c r="G28" i="1"/>
  <c r="E28" i="1"/>
  <c r="D28" i="1"/>
  <c r="C28" i="1"/>
  <c r="B28" i="1"/>
  <c r="A28" i="1"/>
  <c r="KS27" i="1"/>
  <c r="KR27" i="1"/>
  <c r="KQ27" i="1"/>
  <c r="KP27" i="1"/>
  <c r="KO27" i="1"/>
  <c r="KM27" i="1"/>
  <c r="KL27" i="1"/>
  <c r="KJ27" i="1"/>
  <c r="KI27" i="1"/>
  <c r="KG27" i="1"/>
  <c r="KF27" i="1"/>
  <c r="KD27" i="1"/>
  <c r="KC27" i="1"/>
  <c r="KA27" i="1"/>
  <c r="JZ27" i="1"/>
  <c r="JX27" i="1"/>
  <c r="JW27" i="1"/>
  <c r="JU27" i="1"/>
  <c r="JT27" i="1"/>
  <c r="JR27" i="1"/>
  <c r="JQ27" i="1"/>
  <c r="JO27" i="1"/>
  <c r="JN27" i="1"/>
  <c r="JL27" i="1"/>
  <c r="JK27" i="1"/>
  <c r="JI27" i="1"/>
  <c r="JH27" i="1"/>
  <c r="JF27" i="1"/>
  <c r="JE27" i="1"/>
  <c r="JC27" i="1"/>
  <c r="JB27" i="1"/>
  <c r="IZ27" i="1"/>
  <c r="IY27" i="1"/>
  <c r="IW27" i="1"/>
  <c r="IV27" i="1"/>
  <c r="IT27" i="1"/>
  <c r="IS27" i="1"/>
  <c r="IQ27" i="1"/>
  <c r="IP27" i="1"/>
  <c r="IN27" i="1"/>
  <c r="IM27" i="1"/>
  <c r="IK27" i="1"/>
  <c r="IJ27" i="1"/>
  <c r="IH27" i="1"/>
  <c r="IG27" i="1"/>
  <c r="IE27" i="1"/>
  <c r="ID27" i="1"/>
  <c r="IB27" i="1"/>
  <c r="IA27" i="1"/>
  <c r="HY27" i="1"/>
  <c r="HX27" i="1"/>
  <c r="HV27" i="1"/>
  <c r="HU27" i="1"/>
  <c r="HS27" i="1"/>
  <c r="HR27" i="1"/>
  <c r="HP27" i="1"/>
  <c r="HO27" i="1"/>
  <c r="HM27" i="1"/>
  <c r="HL27" i="1"/>
  <c r="HJ27" i="1"/>
  <c r="HI27" i="1"/>
  <c r="HG27" i="1"/>
  <c r="HF27" i="1"/>
  <c r="HD27" i="1"/>
  <c r="HC27" i="1"/>
  <c r="HA27" i="1"/>
  <c r="GZ27" i="1"/>
  <c r="GX27" i="1"/>
  <c r="GW27" i="1"/>
  <c r="GU27" i="1"/>
  <c r="GT27" i="1"/>
  <c r="GR27" i="1"/>
  <c r="GQ27" i="1"/>
  <c r="GO27" i="1"/>
  <c r="GN27" i="1"/>
  <c r="GL27" i="1"/>
  <c r="GK27" i="1"/>
  <c r="GI27" i="1"/>
  <c r="GH27" i="1"/>
  <c r="GF27" i="1"/>
  <c r="GE27" i="1"/>
  <c r="GC27" i="1"/>
  <c r="GB27" i="1"/>
  <c r="FZ27" i="1"/>
  <c r="FY27" i="1"/>
  <c r="FW27" i="1"/>
  <c r="FV27" i="1"/>
  <c r="FT27" i="1"/>
  <c r="FS27" i="1"/>
  <c r="FQ27" i="1"/>
  <c r="FP27" i="1"/>
  <c r="FN27" i="1"/>
  <c r="FM27" i="1"/>
  <c r="FK27" i="1"/>
  <c r="FJ27" i="1"/>
  <c r="FH27" i="1"/>
  <c r="FG27" i="1"/>
  <c r="FE27" i="1"/>
  <c r="FD27" i="1"/>
  <c r="FB27" i="1"/>
  <c r="FA27" i="1"/>
  <c r="EY27" i="1"/>
  <c r="EX27" i="1"/>
  <c r="EV27" i="1"/>
  <c r="EU27" i="1"/>
  <c r="ES27" i="1"/>
  <c r="ER27" i="1"/>
  <c r="EP27" i="1"/>
  <c r="EO27" i="1"/>
  <c r="EM27" i="1"/>
  <c r="EL27" i="1"/>
  <c r="EJ27" i="1"/>
  <c r="EI27" i="1"/>
  <c r="EG27" i="1"/>
  <c r="EF27" i="1"/>
  <c r="ED27" i="1"/>
  <c r="EC27" i="1"/>
  <c r="EA27" i="1"/>
  <c r="DZ27" i="1"/>
  <c r="DX27" i="1"/>
  <c r="DW27" i="1"/>
  <c r="DU27" i="1"/>
  <c r="DT27" i="1"/>
  <c r="DR27" i="1"/>
  <c r="DQ27" i="1"/>
  <c r="DO27" i="1"/>
  <c r="DN27" i="1"/>
  <c r="DL27" i="1"/>
  <c r="DK27" i="1"/>
  <c r="DI27" i="1"/>
  <c r="DH27" i="1"/>
  <c r="DF27" i="1"/>
  <c r="DE27" i="1"/>
  <c r="DC27" i="1"/>
  <c r="DB27" i="1"/>
  <c r="CZ27" i="1"/>
  <c r="CY27" i="1"/>
  <c r="CW27" i="1"/>
  <c r="CV27" i="1"/>
  <c r="CT27" i="1"/>
  <c r="CS27" i="1"/>
  <c r="CQ27" i="1"/>
  <c r="CP27" i="1"/>
  <c r="CN27" i="1"/>
  <c r="CM27" i="1"/>
  <c r="CK27" i="1"/>
  <c r="CJ27" i="1"/>
  <c r="CH27" i="1"/>
  <c r="CG27" i="1"/>
  <c r="CE27" i="1"/>
  <c r="CD27" i="1"/>
  <c r="CB27" i="1"/>
  <c r="CA27" i="1"/>
  <c r="BY27" i="1"/>
  <c r="BX27" i="1"/>
  <c r="BV27" i="1"/>
  <c r="BU27" i="1"/>
  <c r="BS27" i="1"/>
  <c r="BR27" i="1"/>
  <c r="BP27" i="1"/>
  <c r="BO27" i="1"/>
  <c r="BM27" i="1"/>
  <c r="BL27" i="1"/>
  <c r="BJ27" i="1"/>
  <c r="BI27" i="1"/>
  <c r="BG27" i="1"/>
  <c r="BF27" i="1"/>
  <c r="BD27" i="1"/>
  <c r="BC27" i="1"/>
  <c r="BA27" i="1"/>
  <c r="AZ27" i="1"/>
  <c r="AX27" i="1"/>
  <c r="AW27" i="1"/>
  <c r="AU27" i="1"/>
  <c r="AT27" i="1"/>
  <c r="AR27" i="1"/>
  <c r="AQ27" i="1"/>
  <c r="AO27" i="1"/>
  <c r="AN27" i="1"/>
  <c r="AL27" i="1"/>
  <c r="AK27" i="1"/>
  <c r="AI27" i="1"/>
  <c r="AH27" i="1"/>
  <c r="AF27" i="1"/>
  <c r="AE27" i="1"/>
  <c r="AC27" i="1"/>
  <c r="AB27" i="1"/>
  <c r="Z27" i="1"/>
  <c r="Y27" i="1"/>
  <c r="W27" i="1"/>
  <c r="V27" i="1"/>
  <c r="T27" i="1"/>
  <c r="S27" i="1"/>
  <c r="Q27" i="1"/>
  <c r="P27" i="1"/>
  <c r="N27" i="1"/>
  <c r="M27" i="1"/>
  <c r="K27" i="1"/>
  <c r="J27" i="1"/>
  <c r="H27" i="1"/>
  <c r="G27" i="1"/>
  <c r="E27" i="1"/>
  <c r="D27" i="1"/>
  <c r="C27" i="1"/>
  <c r="B27" i="1"/>
  <c r="A27" i="1"/>
  <c r="KS26" i="1"/>
  <c r="KR26" i="1"/>
  <c r="KQ26" i="1"/>
  <c r="KP26" i="1"/>
  <c r="KO26" i="1"/>
  <c r="KM26" i="1"/>
  <c r="KL26" i="1"/>
  <c r="KJ26" i="1"/>
  <c r="KI26" i="1"/>
  <c r="KG26" i="1"/>
  <c r="KF26" i="1"/>
  <c r="KD26" i="1"/>
  <c r="KC26" i="1"/>
  <c r="KA26" i="1"/>
  <c r="JZ26" i="1"/>
  <c r="JX26" i="1"/>
  <c r="JW26" i="1"/>
  <c r="JU26" i="1"/>
  <c r="JT26" i="1"/>
  <c r="JR26" i="1"/>
  <c r="JQ26" i="1"/>
  <c r="JO26" i="1"/>
  <c r="JN26" i="1"/>
  <c r="JL26" i="1"/>
  <c r="JK26" i="1"/>
  <c r="JI26" i="1"/>
  <c r="JH26" i="1"/>
  <c r="JF26" i="1"/>
  <c r="JE26" i="1"/>
  <c r="JC26" i="1"/>
  <c r="JB26" i="1"/>
  <c r="IZ26" i="1"/>
  <c r="IY26" i="1"/>
  <c r="IW26" i="1"/>
  <c r="IV26" i="1"/>
  <c r="IT26" i="1"/>
  <c r="IS26" i="1"/>
  <c r="IQ26" i="1"/>
  <c r="IP26" i="1"/>
  <c r="IN26" i="1"/>
  <c r="IM26" i="1"/>
  <c r="IK26" i="1"/>
  <c r="IJ26" i="1"/>
  <c r="IH26" i="1"/>
  <c r="IG26" i="1"/>
  <c r="IE26" i="1"/>
  <c r="ID26" i="1"/>
  <c r="IB26" i="1"/>
  <c r="IA26" i="1"/>
  <c r="HY26" i="1"/>
  <c r="HX26" i="1"/>
  <c r="HV26" i="1"/>
  <c r="HU26" i="1"/>
  <c r="HS26" i="1"/>
  <c r="HR26" i="1"/>
  <c r="HP26" i="1"/>
  <c r="HO26" i="1"/>
  <c r="HM26" i="1"/>
  <c r="HL26" i="1"/>
  <c r="HJ26" i="1"/>
  <c r="HI26" i="1"/>
  <c r="HG26" i="1"/>
  <c r="HF26" i="1"/>
  <c r="HD26" i="1"/>
  <c r="HC26" i="1"/>
  <c r="HA26" i="1"/>
  <c r="GZ26" i="1"/>
  <c r="GX26" i="1"/>
  <c r="GW26" i="1"/>
  <c r="GU26" i="1"/>
  <c r="GT26" i="1"/>
  <c r="GR26" i="1"/>
  <c r="GQ26" i="1"/>
  <c r="GO26" i="1"/>
  <c r="GN26" i="1"/>
  <c r="GL26" i="1"/>
  <c r="GK26" i="1"/>
  <c r="GI26" i="1"/>
  <c r="GH26" i="1"/>
  <c r="GF26" i="1"/>
  <c r="GE26" i="1"/>
  <c r="GC26" i="1"/>
  <c r="GB26" i="1"/>
  <c r="FZ26" i="1"/>
  <c r="FY26" i="1"/>
  <c r="FW26" i="1"/>
  <c r="FV26" i="1"/>
  <c r="FT26" i="1"/>
  <c r="FS26" i="1"/>
  <c r="FQ26" i="1"/>
  <c r="FP26" i="1"/>
  <c r="FN26" i="1"/>
  <c r="FM26" i="1"/>
  <c r="FK26" i="1"/>
  <c r="FJ26" i="1"/>
  <c r="FH26" i="1"/>
  <c r="FG26" i="1"/>
  <c r="FE26" i="1"/>
  <c r="FD26" i="1"/>
  <c r="FB26" i="1"/>
  <c r="FA26" i="1"/>
  <c r="EY26" i="1"/>
  <c r="EX26" i="1"/>
  <c r="EV26" i="1"/>
  <c r="EU26" i="1"/>
  <c r="ES26" i="1"/>
  <c r="ER26" i="1"/>
  <c r="EP26" i="1"/>
  <c r="EO26" i="1"/>
  <c r="EM26" i="1"/>
  <c r="EL26" i="1"/>
  <c r="EJ26" i="1"/>
  <c r="EI26" i="1"/>
  <c r="EG26" i="1"/>
  <c r="EF26" i="1"/>
  <c r="ED26" i="1"/>
  <c r="EC26" i="1"/>
  <c r="EA26" i="1"/>
  <c r="DZ26" i="1"/>
  <c r="DX26" i="1"/>
  <c r="DW26" i="1"/>
  <c r="DU26" i="1"/>
  <c r="DT26" i="1"/>
  <c r="DR26" i="1"/>
  <c r="DQ26" i="1"/>
  <c r="DO26" i="1"/>
  <c r="DN26" i="1"/>
  <c r="DL26" i="1"/>
  <c r="DK26" i="1"/>
  <c r="DI26" i="1"/>
  <c r="DH26" i="1"/>
  <c r="DF26" i="1"/>
  <c r="DE26" i="1"/>
  <c r="DC26" i="1"/>
  <c r="DB26" i="1"/>
  <c r="CZ26" i="1"/>
  <c r="CY26" i="1"/>
  <c r="CW26" i="1"/>
  <c r="CV26" i="1"/>
  <c r="CT26" i="1"/>
  <c r="CS26" i="1"/>
  <c r="CQ26" i="1"/>
  <c r="CP26" i="1"/>
  <c r="CN26" i="1"/>
  <c r="CM26" i="1"/>
  <c r="CK26" i="1"/>
  <c r="CJ26" i="1"/>
  <c r="CH26" i="1"/>
  <c r="CG26" i="1"/>
  <c r="CE26" i="1"/>
  <c r="CD26" i="1"/>
  <c r="CB26" i="1"/>
  <c r="CA26" i="1"/>
  <c r="BY26" i="1"/>
  <c r="BX26" i="1"/>
  <c r="BV26" i="1"/>
  <c r="BU26" i="1"/>
  <c r="BS26" i="1"/>
  <c r="BR26" i="1"/>
  <c r="BP26" i="1"/>
  <c r="BO26" i="1"/>
  <c r="BM26" i="1"/>
  <c r="BL26" i="1"/>
  <c r="BJ26" i="1"/>
  <c r="BI26" i="1"/>
  <c r="BG26" i="1"/>
  <c r="BF26" i="1"/>
  <c r="BD26" i="1"/>
  <c r="BC26" i="1"/>
  <c r="BA26" i="1"/>
  <c r="AZ26" i="1"/>
  <c r="AX26" i="1"/>
  <c r="AW26" i="1"/>
  <c r="AU26" i="1"/>
  <c r="AT26" i="1"/>
  <c r="AR26" i="1"/>
  <c r="AQ26" i="1"/>
  <c r="AO26" i="1"/>
  <c r="AN26" i="1"/>
  <c r="AL26" i="1"/>
  <c r="AK26" i="1"/>
  <c r="AI26" i="1"/>
  <c r="AH26" i="1"/>
  <c r="AF26" i="1"/>
  <c r="AE26" i="1"/>
  <c r="AC26" i="1"/>
  <c r="AB26" i="1"/>
  <c r="Z26" i="1"/>
  <c r="Y26" i="1"/>
  <c r="W26" i="1"/>
  <c r="V26" i="1"/>
  <c r="T26" i="1"/>
  <c r="S26" i="1"/>
  <c r="Q26" i="1"/>
  <c r="P26" i="1"/>
  <c r="N26" i="1"/>
  <c r="M26" i="1"/>
  <c r="K26" i="1"/>
  <c r="J26" i="1"/>
  <c r="H26" i="1"/>
  <c r="G26" i="1"/>
  <c r="E26" i="1"/>
  <c r="D26" i="1"/>
  <c r="C26" i="1"/>
  <c r="B26" i="1"/>
  <c r="A26" i="1"/>
  <c r="KS25" i="1"/>
  <c r="KR25" i="1"/>
  <c r="KQ25" i="1"/>
  <c r="KP25" i="1"/>
  <c r="KO25" i="1"/>
  <c r="KM25" i="1"/>
  <c r="KL25" i="1"/>
  <c r="KJ25" i="1"/>
  <c r="KI25" i="1"/>
  <c r="KG25" i="1"/>
  <c r="KF25" i="1"/>
  <c r="KD25" i="1"/>
  <c r="KC25" i="1"/>
  <c r="KA25" i="1"/>
  <c r="JZ25" i="1"/>
  <c r="JX25" i="1"/>
  <c r="JW25" i="1"/>
  <c r="JU25" i="1"/>
  <c r="JT25" i="1"/>
  <c r="JR25" i="1"/>
  <c r="JQ25" i="1"/>
  <c r="JO25" i="1"/>
  <c r="JN25" i="1"/>
  <c r="JL25" i="1"/>
  <c r="JK25" i="1"/>
  <c r="JI25" i="1"/>
  <c r="JH25" i="1"/>
  <c r="JF25" i="1"/>
  <c r="JE25" i="1"/>
  <c r="JC25" i="1"/>
  <c r="JB25" i="1"/>
  <c r="IZ25" i="1"/>
  <c r="IY25" i="1"/>
  <c r="IW25" i="1"/>
  <c r="IV25" i="1"/>
  <c r="IT25" i="1"/>
  <c r="IS25" i="1"/>
  <c r="IQ25" i="1"/>
  <c r="IP25" i="1"/>
  <c r="IN25" i="1"/>
  <c r="IM25" i="1"/>
  <c r="IK25" i="1"/>
  <c r="IJ25" i="1"/>
  <c r="IH25" i="1"/>
  <c r="IG25" i="1"/>
  <c r="IE25" i="1"/>
  <c r="ID25" i="1"/>
  <c r="IB25" i="1"/>
  <c r="IA25" i="1"/>
  <c r="HY25" i="1"/>
  <c r="HX25" i="1"/>
  <c r="HV25" i="1"/>
  <c r="HU25" i="1"/>
  <c r="HS25" i="1"/>
  <c r="HR25" i="1"/>
  <c r="HP25" i="1"/>
  <c r="HO25" i="1"/>
  <c r="HM25" i="1"/>
  <c r="HL25" i="1"/>
  <c r="HJ25" i="1"/>
  <c r="HI25" i="1"/>
  <c r="HG25" i="1"/>
  <c r="HF25" i="1"/>
  <c r="HD25" i="1"/>
  <c r="HC25" i="1"/>
  <c r="HA25" i="1"/>
  <c r="GZ25" i="1"/>
  <c r="GX25" i="1"/>
  <c r="GW25" i="1"/>
  <c r="GU25" i="1"/>
  <c r="GT25" i="1"/>
  <c r="GR25" i="1"/>
  <c r="GQ25" i="1"/>
  <c r="GO25" i="1"/>
  <c r="GN25" i="1"/>
  <c r="GL25" i="1"/>
  <c r="GK25" i="1"/>
  <c r="GI25" i="1"/>
  <c r="GH25" i="1"/>
  <c r="GF25" i="1"/>
  <c r="GE25" i="1"/>
  <c r="GC25" i="1"/>
  <c r="GB25" i="1"/>
  <c r="FZ25" i="1"/>
  <c r="FY25" i="1"/>
  <c r="FW25" i="1"/>
  <c r="FV25" i="1"/>
  <c r="FT25" i="1"/>
  <c r="FS25" i="1"/>
  <c r="FQ25" i="1"/>
  <c r="FP25" i="1"/>
  <c r="FN25" i="1"/>
  <c r="FM25" i="1"/>
  <c r="FK25" i="1"/>
  <c r="FJ25" i="1"/>
  <c r="FH25" i="1"/>
  <c r="FG25" i="1"/>
  <c r="FE25" i="1"/>
  <c r="FD25" i="1"/>
  <c r="FB25" i="1"/>
  <c r="FA25" i="1"/>
  <c r="EY25" i="1"/>
  <c r="EX25" i="1"/>
  <c r="EV25" i="1"/>
  <c r="EU25" i="1"/>
  <c r="ES25" i="1"/>
  <c r="ER25" i="1"/>
  <c r="EP25" i="1"/>
  <c r="EO25" i="1"/>
  <c r="EM25" i="1"/>
  <c r="EL25" i="1"/>
  <c r="EJ25" i="1"/>
  <c r="EI25" i="1"/>
  <c r="EG25" i="1"/>
  <c r="EF25" i="1"/>
  <c r="ED25" i="1"/>
  <c r="EC25" i="1"/>
  <c r="EA25" i="1"/>
  <c r="DZ25" i="1"/>
  <c r="DX25" i="1"/>
  <c r="DW25" i="1"/>
  <c r="DU25" i="1"/>
  <c r="DT25" i="1"/>
  <c r="DR25" i="1"/>
  <c r="DQ25" i="1"/>
  <c r="DO25" i="1"/>
  <c r="DN25" i="1"/>
  <c r="DL25" i="1"/>
  <c r="DK25" i="1"/>
  <c r="DI25" i="1"/>
  <c r="DH25" i="1"/>
  <c r="DF25" i="1"/>
  <c r="DE25" i="1"/>
  <c r="DC25" i="1"/>
  <c r="DB25" i="1"/>
  <c r="CZ25" i="1"/>
  <c r="CY25" i="1"/>
  <c r="CW25" i="1"/>
  <c r="CV25" i="1"/>
  <c r="CT25" i="1"/>
  <c r="CS25" i="1"/>
  <c r="CQ25" i="1"/>
  <c r="CP25" i="1"/>
  <c r="CN25" i="1"/>
  <c r="CM25" i="1"/>
  <c r="CK25" i="1"/>
  <c r="CJ25" i="1"/>
  <c r="CH25" i="1"/>
  <c r="CG25" i="1"/>
  <c r="CE25" i="1"/>
  <c r="CD25" i="1"/>
  <c r="CB25" i="1"/>
  <c r="CA25" i="1"/>
  <c r="BY25" i="1"/>
  <c r="BX25" i="1"/>
  <c r="BV25" i="1"/>
  <c r="BU25" i="1"/>
  <c r="BS25" i="1"/>
  <c r="BR25" i="1"/>
  <c r="BP25" i="1"/>
  <c r="BO25" i="1"/>
  <c r="BM25" i="1"/>
  <c r="BL25" i="1"/>
  <c r="BJ25" i="1"/>
  <c r="BI25" i="1"/>
  <c r="BG25" i="1"/>
  <c r="BF25" i="1"/>
  <c r="BD25" i="1"/>
  <c r="BC25" i="1"/>
  <c r="BA25" i="1"/>
  <c r="AZ25" i="1"/>
  <c r="AX25" i="1"/>
  <c r="AW25" i="1"/>
  <c r="AU25" i="1"/>
  <c r="AT25" i="1"/>
  <c r="AR25" i="1"/>
  <c r="AQ25" i="1"/>
  <c r="AO25" i="1"/>
  <c r="AN25" i="1"/>
  <c r="AL25" i="1"/>
  <c r="AK25" i="1"/>
  <c r="AI25" i="1"/>
  <c r="AH25" i="1"/>
  <c r="AF25" i="1"/>
  <c r="AE25" i="1"/>
  <c r="AC25" i="1"/>
  <c r="AB25" i="1"/>
  <c r="Z25" i="1"/>
  <c r="Y25" i="1"/>
  <c r="W25" i="1"/>
  <c r="V25" i="1"/>
  <c r="T25" i="1"/>
  <c r="S25" i="1"/>
  <c r="Q25" i="1"/>
  <c r="P25" i="1"/>
  <c r="N25" i="1"/>
  <c r="M25" i="1"/>
  <c r="K25" i="1"/>
  <c r="J25" i="1"/>
  <c r="H25" i="1"/>
  <c r="G25" i="1"/>
  <c r="E25" i="1"/>
  <c r="D25" i="1"/>
  <c r="C25" i="1"/>
  <c r="B25" i="1"/>
  <c r="A25" i="1"/>
  <c r="KS24" i="1"/>
  <c r="KR24" i="1"/>
  <c r="KQ24" i="1"/>
  <c r="KP24" i="1"/>
  <c r="KO24" i="1"/>
  <c r="KM24" i="1"/>
  <c r="KL24" i="1"/>
  <c r="KJ24" i="1"/>
  <c r="KI24" i="1"/>
  <c r="KG24" i="1"/>
  <c r="KF24" i="1"/>
  <c r="KD24" i="1"/>
  <c r="KC24" i="1"/>
  <c r="KA24" i="1"/>
  <c r="JZ24" i="1"/>
  <c r="JX24" i="1"/>
  <c r="JW24" i="1"/>
  <c r="JU24" i="1"/>
  <c r="JT24" i="1"/>
  <c r="JR24" i="1"/>
  <c r="JQ24" i="1"/>
  <c r="JO24" i="1"/>
  <c r="JN24" i="1"/>
  <c r="JL24" i="1"/>
  <c r="JK24" i="1"/>
  <c r="JI24" i="1"/>
  <c r="JH24" i="1"/>
  <c r="JF24" i="1"/>
  <c r="JE24" i="1"/>
  <c r="JC24" i="1"/>
  <c r="JB24" i="1"/>
  <c r="IZ24" i="1"/>
  <c r="IY24" i="1"/>
  <c r="IW24" i="1"/>
  <c r="IV24" i="1"/>
  <c r="IT24" i="1"/>
  <c r="IS24" i="1"/>
  <c r="IQ24" i="1"/>
  <c r="IP24" i="1"/>
  <c r="IN24" i="1"/>
  <c r="IM24" i="1"/>
  <c r="IK24" i="1"/>
  <c r="IJ24" i="1"/>
  <c r="IH24" i="1"/>
  <c r="IG24" i="1"/>
  <c r="IE24" i="1"/>
  <c r="ID24" i="1"/>
  <c r="IB24" i="1"/>
  <c r="IA24" i="1"/>
  <c r="HY24" i="1"/>
  <c r="HX24" i="1"/>
  <c r="HV24" i="1"/>
  <c r="HU24" i="1"/>
  <c r="HS24" i="1"/>
  <c r="HR24" i="1"/>
  <c r="HP24" i="1"/>
  <c r="HO24" i="1"/>
  <c r="HM24" i="1"/>
  <c r="HL24" i="1"/>
  <c r="HJ24" i="1"/>
  <c r="HI24" i="1"/>
  <c r="HG24" i="1"/>
  <c r="HF24" i="1"/>
  <c r="HD24" i="1"/>
  <c r="HC24" i="1"/>
  <c r="HA24" i="1"/>
  <c r="GZ24" i="1"/>
  <c r="GX24" i="1"/>
  <c r="GW24" i="1"/>
  <c r="GU24" i="1"/>
  <c r="GT24" i="1"/>
  <c r="GR24" i="1"/>
  <c r="GQ24" i="1"/>
  <c r="GO24" i="1"/>
  <c r="GN24" i="1"/>
  <c r="GL24" i="1"/>
  <c r="GK24" i="1"/>
  <c r="GI24" i="1"/>
  <c r="GH24" i="1"/>
  <c r="GF24" i="1"/>
  <c r="GE24" i="1"/>
  <c r="GC24" i="1"/>
  <c r="GB24" i="1"/>
  <c r="FZ24" i="1"/>
  <c r="FY24" i="1"/>
  <c r="FW24" i="1"/>
  <c r="FV24" i="1"/>
  <c r="FT24" i="1"/>
  <c r="FS24" i="1"/>
  <c r="FQ24" i="1"/>
  <c r="FP24" i="1"/>
  <c r="FN24" i="1"/>
  <c r="FM24" i="1"/>
  <c r="FK24" i="1"/>
  <c r="FJ24" i="1"/>
  <c r="FH24" i="1"/>
  <c r="FG24" i="1"/>
  <c r="FE24" i="1"/>
  <c r="FD24" i="1"/>
  <c r="FB24" i="1"/>
  <c r="FA24" i="1"/>
  <c r="EY24" i="1"/>
  <c r="EX24" i="1"/>
  <c r="EV24" i="1"/>
  <c r="EU24" i="1"/>
  <c r="ES24" i="1"/>
  <c r="ER24" i="1"/>
  <c r="EP24" i="1"/>
  <c r="EO24" i="1"/>
  <c r="EM24" i="1"/>
  <c r="EL24" i="1"/>
  <c r="EJ24" i="1"/>
  <c r="EI24" i="1"/>
  <c r="EG24" i="1"/>
  <c r="EF24" i="1"/>
  <c r="ED24" i="1"/>
  <c r="EC24" i="1"/>
  <c r="EA24" i="1"/>
  <c r="DZ24" i="1"/>
  <c r="DX24" i="1"/>
  <c r="DW24" i="1"/>
  <c r="DU24" i="1"/>
  <c r="DT24" i="1"/>
  <c r="DR24" i="1"/>
  <c r="DQ24" i="1"/>
  <c r="DO24" i="1"/>
  <c r="DN24" i="1"/>
  <c r="DL24" i="1"/>
  <c r="DK24" i="1"/>
  <c r="DI24" i="1"/>
  <c r="DH24" i="1"/>
  <c r="DF24" i="1"/>
  <c r="DE24" i="1"/>
  <c r="DC24" i="1"/>
  <c r="DB24" i="1"/>
  <c r="CZ24" i="1"/>
  <c r="CY24" i="1"/>
  <c r="CW24" i="1"/>
  <c r="CV24" i="1"/>
  <c r="CT24" i="1"/>
  <c r="CS24" i="1"/>
  <c r="CQ24" i="1"/>
  <c r="CP24" i="1"/>
  <c r="CN24" i="1"/>
  <c r="CM24" i="1"/>
  <c r="CK24" i="1"/>
  <c r="CJ24" i="1"/>
  <c r="CH24" i="1"/>
  <c r="CG24" i="1"/>
  <c r="CE24" i="1"/>
  <c r="CD24" i="1"/>
  <c r="CB24" i="1"/>
  <c r="CA24" i="1"/>
  <c r="BY24" i="1"/>
  <c r="BX24" i="1"/>
  <c r="BV24" i="1"/>
  <c r="BU24" i="1"/>
  <c r="BS24" i="1"/>
  <c r="BR24" i="1"/>
  <c r="BP24" i="1"/>
  <c r="BO24" i="1"/>
  <c r="BM24" i="1"/>
  <c r="BL24" i="1"/>
  <c r="BJ24" i="1"/>
  <c r="BI24" i="1"/>
  <c r="BG24" i="1"/>
  <c r="BF24" i="1"/>
  <c r="BD24" i="1"/>
  <c r="BC24" i="1"/>
  <c r="BA24" i="1"/>
  <c r="AZ24" i="1"/>
  <c r="AX24" i="1"/>
  <c r="AW24" i="1"/>
  <c r="AU24" i="1"/>
  <c r="AT24" i="1"/>
  <c r="AR24" i="1"/>
  <c r="AQ24" i="1"/>
  <c r="AO24" i="1"/>
  <c r="AN24" i="1"/>
  <c r="AL24" i="1"/>
  <c r="AK24" i="1"/>
  <c r="AI24" i="1"/>
  <c r="AH24" i="1"/>
  <c r="AF24" i="1"/>
  <c r="AE24" i="1"/>
  <c r="AC24" i="1"/>
  <c r="AB24" i="1"/>
  <c r="Z24" i="1"/>
  <c r="Y24" i="1"/>
  <c r="W24" i="1"/>
  <c r="V24" i="1"/>
  <c r="T24" i="1"/>
  <c r="S24" i="1"/>
  <c r="Q24" i="1"/>
  <c r="P24" i="1"/>
  <c r="N24" i="1"/>
  <c r="M24" i="1"/>
  <c r="K24" i="1"/>
  <c r="J24" i="1"/>
  <c r="H24" i="1"/>
  <c r="G24" i="1"/>
  <c r="E24" i="1"/>
  <c r="D24" i="1"/>
  <c r="C24" i="1"/>
  <c r="B24" i="1"/>
  <c r="A24" i="1"/>
  <c r="KS23" i="1"/>
  <c r="KR23" i="1"/>
  <c r="KQ23" i="1"/>
  <c r="KP23" i="1"/>
  <c r="KO23" i="1"/>
  <c r="KM23" i="1"/>
  <c r="KL23" i="1"/>
  <c r="KJ23" i="1"/>
  <c r="KI23" i="1"/>
  <c r="KG23" i="1"/>
  <c r="KF23" i="1"/>
  <c r="KD23" i="1"/>
  <c r="KC23" i="1"/>
  <c r="KA23" i="1"/>
  <c r="JZ23" i="1"/>
  <c r="JX23" i="1"/>
  <c r="JW23" i="1"/>
  <c r="JU23" i="1"/>
  <c r="JT23" i="1"/>
  <c r="JR23" i="1"/>
  <c r="JQ23" i="1"/>
  <c r="JO23" i="1"/>
  <c r="JN23" i="1"/>
  <c r="JL23" i="1"/>
  <c r="JK23" i="1"/>
  <c r="JI23" i="1"/>
  <c r="JH23" i="1"/>
  <c r="JF23" i="1"/>
  <c r="JE23" i="1"/>
  <c r="JC23" i="1"/>
  <c r="JB23" i="1"/>
  <c r="IZ23" i="1"/>
  <c r="IY23" i="1"/>
  <c r="IW23" i="1"/>
  <c r="IV23" i="1"/>
  <c r="IT23" i="1"/>
  <c r="IS23" i="1"/>
  <c r="IQ23" i="1"/>
  <c r="IP23" i="1"/>
  <c r="IN23" i="1"/>
  <c r="IM23" i="1"/>
  <c r="IK23" i="1"/>
  <c r="IJ23" i="1"/>
  <c r="IH23" i="1"/>
  <c r="IG23" i="1"/>
  <c r="IE23" i="1"/>
  <c r="ID23" i="1"/>
  <c r="IB23" i="1"/>
  <c r="IA23" i="1"/>
  <c r="HY23" i="1"/>
  <c r="HX23" i="1"/>
  <c r="HV23" i="1"/>
  <c r="HU23" i="1"/>
  <c r="HS23" i="1"/>
  <c r="HR23" i="1"/>
  <c r="HP23" i="1"/>
  <c r="HO23" i="1"/>
  <c r="HM23" i="1"/>
  <c r="HL23" i="1"/>
  <c r="HJ23" i="1"/>
  <c r="HI23" i="1"/>
  <c r="HG23" i="1"/>
  <c r="HF23" i="1"/>
  <c r="HD23" i="1"/>
  <c r="HC23" i="1"/>
  <c r="HA23" i="1"/>
  <c r="GZ23" i="1"/>
  <c r="GX23" i="1"/>
  <c r="GW23" i="1"/>
  <c r="GU23" i="1"/>
  <c r="GT23" i="1"/>
  <c r="GR23" i="1"/>
  <c r="GQ23" i="1"/>
  <c r="GO23" i="1"/>
  <c r="GN23" i="1"/>
  <c r="GL23" i="1"/>
  <c r="GK23" i="1"/>
  <c r="GI23" i="1"/>
  <c r="GH23" i="1"/>
  <c r="GF23" i="1"/>
  <c r="GE23" i="1"/>
  <c r="GC23" i="1"/>
  <c r="GB23" i="1"/>
  <c r="FZ23" i="1"/>
  <c r="FY23" i="1"/>
  <c r="FW23" i="1"/>
  <c r="FV23" i="1"/>
  <c r="FT23" i="1"/>
  <c r="FS23" i="1"/>
  <c r="FQ23" i="1"/>
  <c r="FP23" i="1"/>
  <c r="FN23" i="1"/>
  <c r="FM23" i="1"/>
  <c r="FK23" i="1"/>
  <c r="FJ23" i="1"/>
  <c r="FH23" i="1"/>
  <c r="FG23" i="1"/>
  <c r="FE23" i="1"/>
  <c r="FD23" i="1"/>
  <c r="FB23" i="1"/>
  <c r="FA23" i="1"/>
  <c r="EY23" i="1"/>
  <c r="EX23" i="1"/>
  <c r="EV23" i="1"/>
  <c r="EU23" i="1"/>
  <c r="ES23" i="1"/>
  <c r="ER23" i="1"/>
  <c r="EP23" i="1"/>
  <c r="EO23" i="1"/>
  <c r="EM23" i="1"/>
  <c r="EL23" i="1"/>
  <c r="EJ23" i="1"/>
  <c r="EI23" i="1"/>
  <c r="EG23" i="1"/>
  <c r="EF23" i="1"/>
  <c r="ED23" i="1"/>
  <c r="EC23" i="1"/>
  <c r="EA23" i="1"/>
  <c r="DZ23" i="1"/>
  <c r="DX23" i="1"/>
  <c r="DW23" i="1"/>
  <c r="DU23" i="1"/>
  <c r="DT23" i="1"/>
  <c r="DR23" i="1"/>
  <c r="DQ23" i="1"/>
  <c r="DO23" i="1"/>
  <c r="DN23" i="1"/>
  <c r="DL23" i="1"/>
  <c r="DK23" i="1"/>
  <c r="DI23" i="1"/>
  <c r="DH23" i="1"/>
  <c r="DF23" i="1"/>
  <c r="DE23" i="1"/>
  <c r="DC23" i="1"/>
  <c r="DB23" i="1"/>
  <c r="CZ23" i="1"/>
  <c r="CY23" i="1"/>
  <c r="CW23" i="1"/>
  <c r="CV23" i="1"/>
  <c r="CT23" i="1"/>
  <c r="CS23" i="1"/>
  <c r="CQ23" i="1"/>
  <c r="CP23" i="1"/>
  <c r="CN23" i="1"/>
  <c r="CM23" i="1"/>
  <c r="CK23" i="1"/>
  <c r="CJ23" i="1"/>
  <c r="CH23" i="1"/>
  <c r="CG23" i="1"/>
  <c r="CE23" i="1"/>
  <c r="CD23" i="1"/>
  <c r="CB23" i="1"/>
  <c r="CA23" i="1"/>
  <c r="BY23" i="1"/>
  <c r="BX23" i="1"/>
  <c r="BV23" i="1"/>
  <c r="BU23" i="1"/>
  <c r="BS23" i="1"/>
  <c r="BR23" i="1"/>
  <c r="BP23" i="1"/>
  <c r="BO23" i="1"/>
  <c r="BM23" i="1"/>
  <c r="BL23" i="1"/>
  <c r="BJ23" i="1"/>
  <c r="BI23" i="1"/>
  <c r="BG23" i="1"/>
  <c r="BF23" i="1"/>
  <c r="BD23" i="1"/>
  <c r="BC23" i="1"/>
  <c r="BA23" i="1"/>
  <c r="AZ23" i="1"/>
  <c r="AX23" i="1"/>
  <c r="AW23" i="1"/>
  <c r="AU23" i="1"/>
  <c r="AT23" i="1"/>
  <c r="AR23" i="1"/>
  <c r="AQ23" i="1"/>
  <c r="AO23" i="1"/>
  <c r="AN23" i="1"/>
  <c r="AL23" i="1"/>
  <c r="AK23" i="1"/>
  <c r="AI23" i="1"/>
  <c r="AH23" i="1"/>
  <c r="AF23" i="1"/>
  <c r="AE23" i="1"/>
  <c r="AC23" i="1"/>
  <c r="AB23" i="1"/>
  <c r="Z23" i="1"/>
  <c r="Y23" i="1"/>
  <c r="W23" i="1"/>
  <c r="V23" i="1"/>
  <c r="T23" i="1"/>
  <c r="S23" i="1"/>
  <c r="Q23" i="1"/>
  <c r="P23" i="1"/>
  <c r="N23" i="1"/>
  <c r="M23" i="1"/>
  <c r="K23" i="1"/>
  <c r="J23" i="1"/>
  <c r="H23" i="1"/>
  <c r="G23" i="1"/>
  <c r="E23" i="1"/>
  <c r="D23" i="1"/>
  <c r="C23" i="1"/>
  <c r="B23" i="1"/>
  <c r="A23" i="1"/>
  <c r="KS22" i="1"/>
  <c r="KR22" i="1"/>
  <c r="KQ22" i="1"/>
  <c r="KP22" i="1"/>
  <c r="KO22" i="1"/>
  <c r="KM22" i="1"/>
  <c r="KL22" i="1"/>
  <c r="KJ22" i="1"/>
  <c r="KI22" i="1"/>
  <c r="KG22" i="1"/>
  <c r="KF22" i="1"/>
  <c r="KD22" i="1"/>
  <c r="KC22" i="1"/>
  <c r="KA22" i="1"/>
  <c r="JZ22" i="1"/>
  <c r="JX22" i="1"/>
  <c r="JW22" i="1"/>
  <c r="JU22" i="1"/>
  <c r="JT22" i="1"/>
  <c r="JR22" i="1"/>
  <c r="JQ22" i="1"/>
  <c r="JO22" i="1"/>
  <c r="JN22" i="1"/>
  <c r="JL22" i="1"/>
  <c r="JK22" i="1"/>
  <c r="JI22" i="1"/>
  <c r="JH22" i="1"/>
  <c r="JF22" i="1"/>
  <c r="JE22" i="1"/>
  <c r="JC22" i="1"/>
  <c r="JB22" i="1"/>
  <c r="IZ22" i="1"/>
  <c r="IY22" i="1"/>
  <c r="IW22" i="1"/>
  <c r="IV22" i="1"/>
  <c r="IT22" i="1"/>
  <c r="IS22" i="1"/>
  <c r="IQ22" i="1"/>
  <c r="IP22" i="1"/>
  <c r="IN22" i="1"/>
  <c r="IM22" i="1"/>
  <c r="IK22" i="1"/>
  <c r="IJ22" i="1"/>
  <c r="IH22" i="1"/>
  <c r="IG22" i="1"/>
  <c r="IE22" i="1"/>
  <c r="ID22" i="1"/>
  <c r="IB22" i="1"/>
  <c r="IA22" i="1"/>
  <c r="HY22" i="1"/>
  <c r="HX22" i="1"/>
  <c r="HV22" i="1"/>
  <c r="HU22" i="1"/>
  <c r="HS22" i="1"/>
  <c r="HR22" i="1"/>
  <c r="HP22" i="1"/>
  <c r="HO22" i="1"/>
  <c r="HM22" i="1"/>
  <c r="HL22" i="1"/>
  <c r="HJ22" i="1"/>
  <c r="HI22" i="1"/>
  <c r="HG22" i="1"/>
  <c r="HF22" i="1"/>
  <c r="HD22" i="1"/>
  <c r="HC22" i="1"/>
  <c r="HA22" i="1"/>
  <c r="GZ22" i="1"/>
  <c r="GX22" i="1"/>
  <c r="GW22" i="1"/>
  <c r="GU22" i="1"/>
  <c r="GT22" i="1"/>
  <c r="GR22" i="1"/>
  <c r="GQ22" i="1"/>
  <c r="GO22" i="1"/>
  <c r="GN22" i="1"/>
  <c r="GL22" i="1"/>
  <c r="GK22" i="1"/>
  <c r="GI22" i="1"/>
  <c r="GH22" i="1"/>
  <c r="GF22" i="1"/>
  <c r="GE22" i="1"/>
  <c r="GC22" i="1"/>
  <c r="GB22" i="1"/>
  <c r="FZ22" i="1"/>
  <c r="FY22" i="1"/>
  <c r="FW22" i="1"/>
  <c r="FV22" i="1"/>
  <c r="FT22" i="1"/>
  <c r="FS22" i="1"/>
  <c r="FQ22" i="1"/>
  <c r="FP22" i="1"/>
  <c r="FN22" i="1"/>
  <c r="FM22" i="1"/>
  <c r="FK22" i="1"/>
  <c r="FJ22" i="1"/>
  <c r="FH22" i="1"/>
  <c r="FG22" i="1"/>
  <c r="FE22" i="1"/>
  <c r="FD22" i="1"/>
  <c r="FB22" i="1"/>
  <c r="FA22" i="1"/>
  <c r="EY22" i="1"/>
  <c r="EX22" i="1"/>
  <c r="EV22" i="1"/>
  <c r="EU22" i="1"/>
  <c r="ES22" i="1"/>
  <c r="ER22" i="1"/>
  <c r="EP22" i="1"/>
  <c r="EO22" i="1"/>
  <c r="EM22" i="1"/>
  <c r="EL22" i="1"/>
  <c r="EJ22" i="1"/>
  <c r="EI22" i="1"/>
  <c r="EG22" i="1"/>
  <c r="EF22" i="1"/>
  <c r="ED22" i="1"/>
  <c r="EC22" i="1"/>
  <c r="EA22" i="1"/>
  <c r="DZ22" i="1"/>
  <c r="DX22" i="1"/>
  <c r="DW22" i="1"/>
  <c r="DU22" i="1"/>
  <c r="DT22" i="1"/>
  <c r="DR22" i="1"/>
  <c r="DQ22" i="1"/>
  <c r="DO22" i="1"/>
  <c r="DN22" i="1"/>
  <c r="DL22" i="1"/>
  <c r="DK22" i="1"/>
  <c r="DI22" i="1"/>
  <c r="DH22" i="1"/>
  <c r="DF22" i="1"/>
  <c r="DE22" i="1"/>
  <c r="DC22" i="1"/>
  <c r="DB22" i="1"/>
  <c r="CZ22" i="1"/>
  <c r="CY22" i="1"/>
  <c r="CW22" i="1"/>
  <c r="CV22" i="1"/>
  <c r="CT22" i="1"/>
  <c r="CS22" i="1"/>
  <c r="CQ22" i="1"/>
  <c r="CP22" i="1"/>
  <c r="CN22" i="1"/>
  <c r="CM22" i="1"/>
  <c r="CK22" i="1"/>
  <c r="CJ22" i="1"/>
  <c r="CH22" i="1"/>
  <c r="CG22" i="1"/>
  <c r="CE22" i="1"/>
  <c r="CD22" i="1"/>
  <c r="CB22" i="1"/>
  <c r="CA22" i="1"/>
  <c r="BY22" i="1"/>
  <c r="BX22" i="1"/>
  <c r="BV22" i="1"/>
  <c r="BU22" i="1"/>
  <c r="BS22" i="1"/>
  <c r="BR22" i="1"/>
  <c r="BP22" i="1"/>
  <c r="BO22" i="1"/>
  <c r="BM22" i="1"/>
  <c r="BL22" i="1"/>
  <c r="BJ22" i="1"/>
  <c r="BI22" i="1"/>
  <c r="BG22" i="1"/>
  <c r="BF22" i="1"/>
  <c r="BD22" i="1"/>
  <c r="BC22" i="1"/>
  <c r="BA22" i="1"/>
  <c r="AZ22" i="1"/>
  <c r="AX22" i="1"/>
  <c r="AW22" i="1"/>
  <c r="AU22" i="1"/>
  <c r="AT22" i="1"/>
  <c r="AR22" i="1"/>
  <c r="AQ22" i="1"/>
  <c r="AO22" i="1"/>
  <c r="AN22" i="1"/>
  <c r="AL22" i="1"/>
  <c r="AK22" i="1"/>
  <c r="AI22" i="1"/>
  <c r="AH22" i="1"/>
  <c r="AF22" i="1"/>
  <c r="AE22" i="1"/>
  <c r="AC22" i="1"/>
  <c r="AB22" i="1"/>
  <c r="Z22" i="1"/>
  <c r="Y22" i="1"/>
  <c r="W22" i="1"/>
  <c r="V22" i="1"/>
  <c r="T22" i="1"/>
  <c r="S22" i="1"/>
  <c r="Q22" i="1"/>
  <c r="P22" i="1"/>
  <c r="N22" i="1"/>
  <c r="M22" i="1"/>
  <c r="K22" i="1"/>
  <c r="J22" i="1"/>
  <c r="H22" i="1"/>
  <c r="G22" i="1"/>
  <c r="E22" i="1"/>
  <c r="D22" i="1"/>
  <c r="C22" i="1"/>
  <c r="B22" i="1"/>
  <c r="A22" i="1"/>
  <c r="KS21" i="1"/>
  <c r="KR21" i="1"/>
  <c r="KQ21" i="1"/>
  <c r="KP21" i="1"/>
  <c r="KO21" i="1"/>
  <c r="KM21" i="1"/>
  <c r="KL21" i="1"/>
  <c r="KJ21" i="1"/>
  <c r="KI21" i="1"/>
  <c r="KG21" i="1"/>
  <c r="KF21" i="1"/>
  <c r="KD21" i="1"/>
  <c r="KC21" i="1"/>
  <c r="KA21" i="1"/>
  <c r="JZ21" i="1"/>
  <c r="JX21" i="1"/>
  <c r="JW21" i="1"/>
  <c r="JU21" i="1"/>
  <c r="JT21" i="1"/>
  <c r="JR21" i="1"/>
  <c r="JQ21" i="1"/>
  <c r="JO21" i="1"/>
  <c r="JN21" i="1"/>
  <c r="JL21" i="1"/>
  <c r="JK21" i="1"/>
  <c r="JI21" i="1"/>
  <c r="JH21" i="1"/>
  <c r="JF21" i="1"/>
  <c r="JE21" i="1"/>
  <c r="JC21" i="1"/>
  <c r="JB21" i="1"/>
  <c r="IZ21" i="1"/>
  <c r="IY21" i="1"/>
  <c r="IW21" i="1"/>
  <c r="IV21" i="1"/>
  <c r="IT21" i="1"/>
  <c r="IS21" i="1"/>
  <c r="IQ21" i="1"/>
  <c r="IP21" i="1"/>
  <c r="IN21" i="1"/>
  <c r="IM21" i="1"/>
  <c r="IK21" i="1"/>
  <c r="IJ21" i="1"/>
  <c r="IH21" i="1"/>
  <c r="IG21" i="1"/>
  <c r="IE21" i="1"/>
  <c r="ID21" i="1"/>
  <c r="IB21" i="1"/>
  <c r="IA21" i="1"/>
  <c r="HY21" i="1"/>
  <c r="HX21" i="1"/>
  <c r="HV21" i="1"/>
  <c r="HU21" i="1"/>
  <c r="HS21" i="1"/>
  <c r="HR21" i="1"/>
  <c r="HP21" i="1"/>
  <c r="HO21" i="1"/>
  <c r="HM21" i="1"/>
  <c r="HL21" i="1"/>
  <c r="HJ21" i="1"/>
  <c r="HI21" i="1"/>
  <c r="HG21" i="1"/>
  <c r="HF21" i="1"/>
  <c r="HD21" i="1"/>
  <c r="HC21" i="1"/>
  <c r="HA21" i="1"/>
  <c r="GZ21" i="1"/>
  <c r="GX21" i="1"/>
  <c r="GW21" i="1"/>
  <c r="GU21" i="1"/>
  <c r="GT21" i="1"/>
  <c r="GR21" i="1"/>
  <c r="GQ21" i="1"/>
  <c r="GO21" i="1"/>
  <c r="GN21" i="1"/>
  <c r="GL21" i="1"/>
  <c r="GK21" i="1"/>
  <c r="GI21" i="1"/>
  <c r="GH21" i="1"/>
  <c r="GF21" i="1"/>
  <c r="GE21" i="1"/>
  <c r="GC21" i="1"/>
  <c r="GB21" i="1"/>
  <c r="FZ21" i="1"/>
  <c r="FY21" i="1"/>
  <c r="FW21" i="1"/>
  <c r="FV21" i="1"/>
  <c r="FT21" i="1"/>
  <c r="FS21" i="1"/>
  <c r="FQ21" i="1"/>
  <c r="FP21" i="1"/>
  <c r="FN21" i="1"/>
  <c r="FM21" i="1"/>
  <c r="FK21" i="1"/>
  <c r="FJ21" i="1"/>
  <c r="FH21" i="1"/>
  <c r="FG21" i="1"/>
  <c r="FE21" i="1"/>
  <c r="FD21" i="1"/>
  <c r="FB21" i="1"/>
  <c r="FA21" i="1"/>
  <c r="EY21" i="1"/>
  <c r="EX21" i="1"/>
  <c r="EV21" i="1"/>
  <c r="EU21" i="1"/>
  <c r="ES21" i="1"/>
  <c r="ER21" i="1"/>
  <c r="EP21" i="1"/>
  <c r="EO21" i="1"/>
  <c r="EM21" i="1"/>
  <c r="EL21" i="1"/>
  <c r="EJ21" i="1"/>
  <c r="EI21" i="1"/>
  <c r="EG21" i="1"/>
  <c r="EF21" i="1"/>
  <c r="ED21" i="1"/>
  <c r="EC21" i="1"/>
  <c r="EA21" i="1"/>
  <c r="DZ21" i="1"/>
  <c r="DX21" i="1"/>
  <c r="DW21" i="1"/>
  <c r="DU21" i="1"/>
  <c r="DT21" i="1"/>
  <c r="DR21" i="1"/>
  <c r="DQ21" i="1"/>
  <c r="DO21" i="1"/>
  <c r="DN21" i="1"/>
  <c r="DL21" i="1"/>
  <c r="DK21" i="1"/>
  <c r="DI21" i="1"/>
  <c r="DH21" i="1"/>
  <c r="DF21" i="1"/>
  <c r="DE21" i="1"/>
  <c r="DC21" i="1"/>
  <c r="DB21" i="1"/>
  <c r="CZ21" i="1"/>
  <c r="CY21" i="1"/>
  <c r="CW21" i="1"/>
  <c r="CV21" i="1"/>
  <c r="CT21" i="1"/>
  <c r="CS21" i="1"/>
  <c r="CQ21" i="1"/>
  <c r="CP21" i="1"/>
  <c r="CN21" i="1"/>
  <c r="CM21" i="1"/>
  <c r="CK21" i="1"/>
  <c r="CJ21" i="1"/>
  <c r="CH21" i="1"/>
  <c r="CG21" i="1"/>
  <c r="CE21" i="1"/>
  <c r="CD21" i="1"/>
  <c r="CB21" i="1"/>
  <c r="CA21" i="1"/>
  <c r="BY21" i="1"/>
  <c r="BX21" i="1"/>
  <c r="BV21" i="1"/>
  <c r="BU21" i="1"/>
  <c r="BS21" i="1"/>
  <c r="BR21" i="1"/>
  <c r="BP21" i="1"/>
  <c r="BO21" i="1"/>
  <c r="BM21" i="1"/>
  <c r="BL21" i="1"/>
  <c r="BJ21" i="1"/>
  <c r="BI21" i="1"/>
  <c r="BG21" i="1"/>
  <c r="BF21" i="1"/>
  <c r="BD21" i="1"/>
  <c r="BC21" i="1"/>
  <c r="BA21" i="1"/>
  <c r="AZ21" i="1"/>
  <c r="AX21" i="1"/>
  <c r="AW21" i="1"/>
  <c r="AU21" i="1"/>
  <c r="AT21" i="1"/>
  <c r="AR21" i="1"/>
  <c r="AQ21" i="1"/>
  <c r="AO21" i="1"/>
  <c r="AN21" i="1"/>
  <c r="AL21" i="1"/>
  <c r="AK21" i="1"/>
  <c r="AI21" i="1"/>
  <c r="AH21" i="1"/>
  <c r="AF21" i="1"/>
  <c r="AE21" i="1"/>
  <c r="AC21" i="1"/>
  <c r="AB21" i="1"/>
  <c r="Z21" i="1"/>
  <c r="Y21" i="1"/>
  <c r="W21" i="1"/>
  <c r="V21" i="1"/>
  <c r="T21" i="1"/>
  <c r="S21" i="1"/>
  <c r="Q21" i="1"/>
  <c r="P21" i="1"/>
  <c r="N21" i="1"/>
  <c r="M21" i="1"/>
  <c r="K21" i="1"/>
  <c r="J21" i="1"/>
  <c r="H21" i="1"/>
  <c r="G21" i="1"/>
  <c r="E21" i="1"/>
  <c r="D21" i="1"/>
  <c r="C21" i="1"/>
  <c r="B21" i="1"/>
  <c r="A21" i="1"/>
  <c r="KS20" i="1"/>
  <c r="KR20" i="1"/>
  <c r="KQ20" i="1"/>
  <c r="KP20" i="1"/>
  <c r="KO20" i="1"/>
  <c r="KM20" i="1"/>
  <c r="KL20" i="1"/>
  <c r="KJ20" i="1"/>
  <c r="KI20" i="1"/>
  <c r="KG20" i="1"/>
  <c r="KF20" i="1"/>
  <c r="KD20" i="1"/>
  <c r="KC20" i="1"/>
  <c r="KA20" i="1"/>
  <c r="JZ20" i="1"/>
  <c r="JX20" i="1"/>
  <c r="JW20" i="1"/>
  <c r="JU20" i="1"/>
  <c r="JT20" i="1"/>
  <c r="JR20" i="1"/>
  <c r="JQ20" i="1"/>
  <c r="JO20" i="1"/>
  <c r="JN20" i="1"/>
  <c r="JL20" i="1"/>
  <c r="JK20" i="1"/>
  <c r="JI20" i="1"/>
  <c r="JH20" i="1"/>
  <c r="JF20" i="1"/>
  <c r="JE20" i="1"/>
  <c r="JC20" i="1"/>
  <c r="JB20" i="1"/>
  <c r="IZ20" i="1"/>
  <c r="IY20" i="1"/>
  <c r="IW20" i="1"/>
  <c r="IV20" i="1"/>
  <c r="IT20" i="1"/>
  <c r="IS20" i="1"/>
  <c r="IQ20" i="1"/>
  <c r="IP20" i="1"/>
  <c r="IN20" i="1"/>
  <c r="IM20" i="1"/>
  <c r="IK20" i="1"/>
  <c r="IJ20" i="1"/>
  <c r="IH20" i="1"/>
  <c r="IG20" i="1"/>
  <c r="IE20" i="1"/>
  <c r="ID20" i="1"/>
  <c r="IB20" i="1"/>
  <c r="IA20" i="1"/>
  <c r="HY20" i="1"/>
  <c r="HX20" i="1"/>
  <c r="HV20" i="1"/>
  <c r="HU20" i="1"/>
  <c r="HS20" i="1"/>
  <c r="HR20" i="1"/>
  <c r="HP20" i="1"/>
  <c r="HO20" i="1"/>
  <c r="HM20" i="1"/>
  <c r="HL20" i="1"/>
  <c r="HJ20" i="1"/>
  <c r="HI20" i="1"/>
  <c r="HG20" i="1"/>
  <c r="HF20" i="1"/>
  <c r="HD20" i="1"/>
  <c r="HC20" i="1"/>
  <c r="HA20" i="1"/>
  <c r="GZ20" i="1"/>
  <c r="GX20" i="1"/>
  <c r="GW20" i="1"/>
  <c r="GU20" i="1"/>
  <c r="GT20" i="1"/>
  <c r="GR20" i="1"/>
  <c r="GQ20" i="1"/>
  <c r="GO20" i="1"/>
  <c r="GN20" i="1"/>
  <c r="GL20" i="1"/>
  <c r="GK20" i="1"/>
  <c r="GI20" i="1"/>
  <c r="GH20" i="1"/>
  <c r="GF20" i="1"/>
  <c r="GE20" i="1"/>
  <c r="GC20" i="1"/>
  <c r="GB20" i="1"/>
  <c r="FZ20" i="1"/>
  <c r="FY20" i="1"/>
  <c r="FW20" i="1"/>
  <c r="FV20" i="1"/>
  <c r="FT20" i="1"/>
  <c r="FS20" i="1"/>
  <c r="FQ20" i="1"/>
  <c r="FP20" i="1"/>
  <c r="FN20" i="1"/>
  <c r="FM20" i="1"/>
  <c r="FK20" i="1"/>
  <c r="FJ20" i="1"/>
  <c r="FH20" i="1"/>
  <c r="FG20" i="1"/>
  <c r="FE20" i="1"/>
  <c r="FD20" i="1"/>
  <c r="FB20" i="1"/>
  <c r="FA20" i="1"/>
  <c r="EY20" i="1"/>
  <c r="EX20" i="1"/>
  <c r="EV20" i="1"/>
  <c r="EU20" i="1"/>
  <c r="ES20" i="1"/>
  <c r="ER20" i="1"/>
  <c r="EP20" i="1"/>
  <c r="EO20" i="1"/>
  <c r="EM20" i="1"/>
  <c r="EL20" i="1"/>
  <c r="EJ20" i="1"/>
  <c r="EI20" i="1"/>
  <c r="EG20" i="1"/>
  <c r="EF20" i="1"/>
  <c r="ED20" i="1"/>
  <c r="EC20" i="1"/>
  <c r="EA20" i="1"/>
  <c r="DZ20" i="1"/>
  <c r="DX20" i="1"/>
  <c r="DW20" i="1"/>
  <c r="DU20" i="1"/>
  <c r="DT20" i="1"/>
  <c r="DR20" i="1"/>
  <c r="DQ20" i="1"/>
  <c r="DO20" i="1"/>
  <c r="DN20" i="1"/>
  <c r="DL20" i="1"/>
  <c r="DK20" i="1"/>
  <c r="DI20" i="1"/>
  <c r="DH20" i="1"/>
  <c r="DF20" i="1"/>
  <c r="DE20" i="1"/>
  <c r="DC20" i="1"/>
  <c r="DB20" i="1"/>
  <c r="CZ20" i="1"/>
  <c r="CY20" i="1"/>
  <c r="CW20" i="1"/>
  <c r="CV20" i="1"/>
  <c r="CT20" i="1"/>
  <c r="CS20" i="1"/>
  <c r="CQ20" i="1"/>
  <c r="CP20" i="1"/>
  <c r="CN20" i="1"/>
  <c r="CM20" i="1"/>
  <c r="CK20" i="1"/>
  <c r="CJ20" i="1"/>
  <c r="CH20" i="1"/>
  <c r="CG20" i="1"/>
  <c r="CE20" i="1"/>
  <c r="CD20" i="1"/>
  <c r="CB20" i="1"/>
  <c r="CA20" i="1"/>
  <c r="BY20" i="1"/>
  <c r="BX20" i="1"/>
  <c r="BV20" i="1"/>
  <c r="BU20" i="1"/>
  <c r="BS20" i="1"/>
  <c r="BR20" i="1"/>
  <c r="BP20" i="1"/>
  <c r="BO20" i="1"/>
  <c r="BM20" i="1"/>
  <c r="BL20" i="1"/>
  <c r="BJ20" i="1"/>
  <c r="BI20" i="1"/>
  <c r="BG20" i="1"/>
  <c r="BF20" i="1"/>
  <c r="BD20" i="1"/>
  <c r="BC20" i="1"/>
  <c r="BA20" i="1"/>
  <c r="AZ20" i="1"/>
  <c r="AX20" i="1"/>
  <c r="AW20" i="1"/>
  <c r="AU20" i="1"/>
  <c r="AT20" i="1"/>
  <c r="AR20" i="1"/>
  <c r="AQ20" i="1"/>
  <c r="AO20" i="1"/>
  <c r="AN20" i="1"/>
  <c r="AL20" i="1"/>
  <c r="AK20" i="1"/>
  <c r="AI20" i="1"/>
  <c r="AH20" i="1"/>
  <c r="AF20" i="1"/>
  <c r="AE20" i="1"/>
  <c r="AC20" i="1"/>
  <c r="AB20" i="1"/>
  <c r="Z20" i="1"/>
  <c r="Y20" i="1"/>
  <c r="W20" i="1"/>
  <c r="V20" i="1"/>
  <c r="T20" i="1"/>
  <c r="S20" i="1"/>
  <c r="Q20" i="1"/>
  <c r="P20" i="1"/>
  <c r="N20" i="1"/>
  <c r="M20" i="1"/>
  <c r="K20" i="1"/>
  <c r="J20" i="1"/>
  <c r="H20" i="1"/>
  <c r="G20" i="1"/>
  <c r="E20" i="1"/>
  <c r="D20" i="1"/>
  <c r="C20" i="1"/>
  <c r="B20" i="1"/>
  <c r="A20" i="1"/>
  <c r="KS19" i="1"/>
  <c r="KR19" i="1"/>
  <c r="KQ19" i="1"/>
  <c r="KP19" i="1"/>
  <c r="KO19" i="1"/>
  <c r="KM19" i="1"/>
  <c r="KL19" i="1"/>
  <c r="KJ19" i="1"/>
  <c r="KI19" i="1"/>
  <c r="KG19" i="1"/>
  <c r="KF19" i="1"/>
  <c r="KD19" i="1"/>
  <c r="KC19" i="1"/>
  <c r="KA19" i="1"/>
  <c r="JZ19" i="1"/>
  <c r="JX19" i="1"/>
  <c r="JW19" i="1"/>
  <c r="JU19" i="1"/>
  <c r="JT19" i="1"/>
  <c r="JR19" i="1"/>
  <c r="JQ19" i="1"/>
  <c r="JO19" i="1"/>
  <c r="JN19" i="1"/>
  <c r="JL19" i="1"/>
  <c r="JK19" i="1"/>
  <c r="JI19" i="1"/>
  <c r="JH19" i="1"/>
  <c r="JF19" i="1"/>
  <c r="JE19" i="1"/>
  <c r="JC19" i="1"/>
  <c r="JB19" i="1"/>
  <c r="IZ19" i="1"/>
  <c r="IY19" i="1"/>
  <c r="IW19" i="1"/>
  <c r="IV19" i="1"/>
  <c r="IT19" i="1"/>
  <c r="IS19" i="1"/>
  <c r="IQ19" i="1"/>
  <c r="IP19" i="1"/>
  <c r="IN19" i="1"/>
  <c r="IM19" i="1"/>
  <c r="IK19" i="1"/>
  <c r="IJ19" i="1"/>
  <c r="IH19" i="1"/>
  <c r="IG19" i="1"/>
  <c r="IE19" i="1"/>
  <c r="ID19" i="1"/>
  <c r="IB19" i="1"/>
  <c r="IA19" i="1"/>
  <c r="HY19" i="1"/>
  <c r="HX19" i="1"/>
  <c r="HV19" i="1"/>
  <c r="HU19" i="1"/>
  <c r="HS19" i="1"/>
  <c r="HR19" i="1"/>
  <c r="HP19" i="1"/>
  <c r="HO19" i="1"/>
  <c r="HM19" i="1"/>
  <c r="HL19" i="1"/>
  <c r="HJ19" i="1"/>
  <c r="HI19" i="1"/>
  <c r="HG19" i="1"/>
  <c r="HF19" i="1"/>
  <c r="HD19" i="1"/>
  <c r="HC19" i="1"/>
  <c r="HA19" i="1"/>
  <c r="GZ19" i="1"/>
  <c r="GX19" i="1"/>
  <c r="GW19" i="1"/>
  <c r="GU19" i="1"/>
  <c r="GT19" i="1"/>
  <c r="GR19" i="1"/>
  <c r="GQ19" i="1"/>
  <c r="GO19" i="1"/>
  <c r="GN19" i="1"/>
  <c r="GL19" i="1"/>
  <c r="GK19" i="1"/>
  <c r="GI19" i="1"/>
  <c r="GH19" i="1"/>
  <c r="GF19" i="1"/>
  <c r="GE19" i="1"/>
  <c r="GC19" i="1"/>
  <c r="GB19" i="1"/>
  <c r="FZ19" i="1"/>
  <c r="FY19" i="1"/>
  <c r="FW19" i="1"/>
  <c r="FV19" i="1"/>
  <c r="FT19" i="1"/>
  <c r="FS19" i="1"/>
  <c r="FQ19" i="1"/>
  <c r="FP19" i="1"/>
  <c r="FN19" i="1"/>
  <c r="FM19" i="1"/>
  <c r="FK19" i="1"/>
  <c r="FJ19" i="1"/>
  <c r="FH19" i="1"/>
  <c r="FG19" i="1"/>
  <c r="FE19" i="1"/>
  <c r="FD19" i="1"/>
  <c r="FB19" i="1"/>
  <c r="FA19" i="1"/>
  <c r="EY19" i="1"/>
  <c r="EX19" i="1"/>
  <c r="EV19" i="1"/>
  <c r="EU19" i="1"/>
  <c r="ES19" i="1"/>
  <c r="ER19" i="1"/>
  <c r="EP19" i="1"/>
  <c r="EO19" i="1"/>
  <c r="EM19" i="1"/>
  <c r="EL19" i="1"/>
  <c r="EJ19" i="1"/>
  <c r="EI19" i="1"/>
  <c r="EG19" i="1"/>
  <c r="EF19" i="1"/>
  <c r="ED19" i="1"/>
  <c r="EC19" i="1"/>
  <c r="EA19" i="1"/>
  <c r="DZ19" i="1"/>
  <c r="DX19" i="1"/>
  <c r="DW19" i="1"/>
  <c r="DU19" i="1"/>
  <c r="DT19" i="1"/>
  <c r="DR19" i="1"/>
  <c r="DQ19" i="1"/>
  <c r="DO19" i="1"/>
  <c r="DN19" i="1"/>
  <c r="DL19" i="1"/>
  <c r="DK19" i="1"/>
  <c r="DI19" i="1"/>
  <c r="DH19" i="1"/>
  <c r="DF19" i="1"/>
  <c r="DE19" i="1"/>
  <c r="DC19" i="1"/>
  <c r="DB19" i="1"/>
  <c r="CZ19" i="1"/>
  <c r="CY19" i="1"/>
  <c r="CW19" i="1"/>
  <c r="CV19" i="1"/>
  <c r="CT19" i="1"/>
  <c r="CS19" i="1"/>
  <c r="CQ19" i="1"/>
  <c r="CP19" i="1"/>
  <c r="CN19" i="1"/>
  <c r="CM19" i="1"/>
  <c r="CK19" i="1"/>
  <c r="CJ19" i="1"/>
  <c r="CH19" i="1"/>
  <c r="CG19" i="1"/>
  <c r="CE19" i="1"/>
  <c r="CD19" i="1"/>
  <c r="CB19" i="1"/>
  <c r="CA19" i="1"/>
  <c r="BY19" i="1"/>
  <c r="BX19" i="1"/>
  <c r="BV19" i="1"/>
  <c r="BU19" i="1"/>
  <c r="BS19" i="1"/>
  <c r="BR19" i="1"/>
  <c r="BP19" i="1"/>
  <c r="BO19" i="1"/>
  <c r="BM19" i="1"/>
  <c r="BL19" i="1"/>
  <c r="BJ19" i="1"/>
  <c r="BI19" i="1"/>
  <c r="BG19" i="1"/>
  <c r="BF19" i="1"/>
  <c r="BD19" i="1"/>
  <c r="BC19" i="1"/>
  <c r="BA19" i="1"/>
  <c r="AZ19" i="1"/>
  <c r="AX19" i="1"/>
  <c r="AW19" i="1"/>
  <c r="AU19" i="1"/>
  <c r="AT19" i="1"/>
  <c r="AR19" i="1"/>
  <c r="AQ19" i="1"/>
  <c r="AO19" i="1"/>
  <c r="AN19" i="1"/>
  <c r="AL19" i="1"/>
  <c r="AK19" i="1"/>
  <c r="AI19" i="1"/>
  <c r="AH19" i="1"/>
  <c r="AF19" i="1"/>
  <c r="AE19" i="1"/>
  <c r="AC19" i="1"/>
  <c r="AB19" i="1"/>
  <c r="Z19" i="1"/>
  <c r="Y19" i="1"/>
  <c r="W19" i="1"/>
  <c r="V19" i="1"/>
  <c r="T19" i="1"/>
  <c r="S19" i="1"/>
  <c r="Q19" i="1"/>
  <c r="P19" i="1"/>
  <c r="N19" i="1"/>
  <c r="M19" i="1"/>
  <c r="K19" i="1"/>
  <c r="J19" i="1"/>
  <c r="H19" i="1"/>
  <c r="G19" i="1"/>
  <c r="E19" i="1"/>
  <c r="D19" i="1"/>
  <c r="C19" i="1"/>
  <c r="B19" i="1"/>
  <c r="A19" i="1"/>
  <c r="KS18" i="1"/>
  <c r="KR18" i="1"/>
  <c r="KQ18" i="1"/>
  <c r="KP18" i="1"/>
  <c r="KO18" i="1"/>
  <c r="KM18" i="1"/>
  <c r="KL18" i="1"/>
  <c r="KJ18" i="1"/>
  <c r="KI18" i="1"/>
  <c r="KG18" i="1"/>
  <c r="KF18" i="1"/>
  <c r="KD18" i="1"/>
  <c r="KC18" i="1"/>
  <c r="KA18" i="1"/>
  <c r="JZ18" i="1"/>
  <c r="JX18" i="1"/>
  <c r="JW18" i="1"/>
  <c r="JU18" i="1"/>
  <c r="JT18" i="1"/>
  <c r="JR18" i="1"/>
  <c r="JQ18" i="1"/>
  <c r="JO18" i="1"/>
  <c r="JN18" i="1"/>
  <c r="JL18" i="1"/>
  <c r="JK18" i="1"/>
  <c r="JI18" i="1"/>
  <c r="JH18" i="1"/>
  <c r="JF18" i="1"/>
  <c r="JE18" i="1"/>
  <c r="JC18" i="1"/>
  <c r="JB18" i="1"/>
  <c r="IZ18" i="1"/>
  <c r="IY18" i="1"/>
  <c r="IW18" i="1"/>
  <c r="IV18" i="1"/>
  <c r="IT18" i="1"/>
  <c r="IS18" i="1"/>
  <c r="IQ18" i="1"/>
  <c r="IP18" i="1"/>
  <c r="IN18" i="1"/>
  <c r="IM18" i="1"/>
  <c r="IK18" i="1"/>
  <c r="IJ18" i="1"/>
  <c r="IH18" i="1"/>
  <c r="IG18" i="1"/>
  <c r="IE18" i="1"/>
  <c r="ID18" i="1"/>
  <c r="IB18" i="1"/>
  <c r="IA18" i="1"/>
  <c r="HY18" i="1"/>
  <c r="HX18" i="1"/>
  <c r="HV18" i="1"/>
  <c r="HU18" i="1"/>
  <c r="HS18" i="1"/>
  <c r="HR18" i="1"/>
  <c r="HP18" i="1"/>
  <c r="HO18" i="1"/>
  <c r="HM18" i="1"/>
  <c r="HL18" i="1"/>
  <c r="HJ18" i="1"/>
  <c r="HI18" i="1"/>
  <c r="HG18" i="1"/>
  <c r="HF18" i="1"/>
  <c r="HD18" i="1"/>
  <c r="HC18" i="1"/>
  <c r="HA18" i="1"/>
  <c r="GZ18" i="1"/>
  <c r="GX18" i="1"/>
  <c r="GW18" i="1"/>
  <c r="GU18" i="1"/>
  <c r="GT18" i="1"/>
  <c r="GR18" i="1"/>
  <c r="GQ18" i="1"/>
  <c r="GO18" i="1"/>
  <c r="GN18" i="1"/>
  <c r="GL18" i="1"/>
  <c r="GK18" i="1"/>
  <c r="GI18" i="1"/>
  <c r="GH18" i="1"/>
  <c r="GF18" i="1"/>
  <c r="GE18" i="1"/>
  <c r="GC18" i="1"/>
  <c r="GB18" i="1"/>
  <c r="FZ18" i="1"/>
  <c r="FY18" i="1"/>
  <c r="FW18" i="1"/>
  <c r="FV18" i="1"/>
  <c r="FT18" i="1"/>
  <c r="FS18" i="1"/>
  <c r="FQ18" i="1"/>
  <c r="FP18" i="1"/>
  <c r="FN18" i="1"/>
  <c r="FM18" i="1"/>
  <c r="FK18" i="1"/>
  <c r="FJ18" i="1"/>
  <c r="FH18" i="1"/>
  <c r="FG18" i="1"/>
  <c r="FE18" i="1"/>
  <c r="FD18" i="1"/>
  <c r="FB18" i="1"/>
  <c r="FA18" i="1"/>
  <c r="EY18" i="1"/>
  <c r="EX18" i="1"/>
  <c r="EV18" i="1"/>
  <c r="EU18" i="1"/>
  <c r="ES18" i="1"/>
  <c r="ER18" i="1"/>
  <c r="EP18" i="1"/>
  <c r="EO18" i="1"/>
  <c r="EM18" i="1"/>
  <c r="EL18" i="1"/>
  <c r="EJ18" i="1"/>
  <c r="EI18" i="1"/>
  <c r="EG18" i="1"/>
  <c r="EF18" i="1"/>
  <c r="ED18" i="1"/>
  <c r="EC18" i="1"/>
  <c r="EA18" i="1"/>
  <c r="DZ18" i="1"/>
  <c r="DX18" i="1"/>
  <c r="DW18" i="1"/>
  <c r="DU18" i="1"/>
  <c r="DT18" i="1"/>
  <c r="DR18" i="1"/>
  <c r="DQ18" i="1"/>
  <c r="DO18" i="1"/>
  <c r="DN18" i="1"/>
  <c r="DL18" i="1"/>
  <c r="DK18" i="1"/>
  <c r="DI18" i="1"/>
  <c r="DH18" i="1"/>
  <c r="DF18" i="1"/>
  <c r="DE18" i="1"/>
  <c r="DC18" i="1"/>
  <c r="DB18" i="1"/>
  <c r="CZ18" i="1"/>
  <c r="CY18" i="1"/>
  <c r="CW18" i="1"/>
  <c r="CV18" i="1"/>
  <c r="CT18" i="1"/>
  <c r="CS18" i="1"/>
  <c r="CQ18" i="1"/>
  <c r="CP18" i="1"/>
  <c r="CN18" i="1"/>
  <c r="CM18" i="1"/>
  <c r="CK18" i="1"/>
  <c r="CJ18" i="1"/>
  <c r="CH18" i="1"/>
  <c r="CG18" i="1"/>
  <c r="CE18" i="1"/>
  <c r="CD18" i="1"/>
  <c r="CB18" i="1"/>
  <c r="CA18" i="1"/>
  <c r="BY18" i="1"/>
  <c r="BX18" i="1"/>
  <c r="BV18" i="1"/>
  <c r="BU18" i="1"/>
  <c r="BS18" i="1"/>
  <c r="BR18" i="1"/>
  <c r="BP18" i="1"/>
  <c r="BO18" i="1"/>
  <c r="BM18" i="1"/>
  <c r="BL18" i="1"/>
  <c r="BJ18" i="1"/>
  <c r="BI18" i="1"/>
  <c r="BG18" i="1"/>
  <c r="BF18" i="1"/>
  <c r="BD18" i="1"/>
  <c r="BC18" i="1"/>
  <c r="BA18" i="1"/>
  <c r="AZ18" i="1"/>
  <c r="AX18" i="1"/>
  <c r="AW18" i="1"/>
  <c r="AU18" i="1"/>
  <c r="AT18" i="1"/>
  <c r="AR18" i="1"/>
  <c r="AQ18" i="1"/>
  <c r="AO18" i="1"/>
  <c r="AN18" i="1"/>
  <c r="AL18" i="1"/>
  <c r="AK18" i="1"/>
  <c r="AI18" i="1"/>
  <c r="AH18" i="1"/>
  <c r="AF18" i="1"/>
  <c r="AE18" i="1"/>
  <c r="AC18" i="1"/>
  <c r="AB18" i="1"/>
  <c r="Z18" i="1"/>
  <c r="Y18" i="1"/>
  <c r="W18" i="1"/>
  <c r="V18" i="1"/>
  <c r="T18" i="1"/>
  <c r="S18" i="1"/>
  <c r="Q18" i="1"/>
  <c r="P18" i="1"/>
  <c r="N18" i="1"/>
  <c r="M18" i="1"/>
  <c r="K18" i="1"/>
  <c r="J18" i="1"/>
  <c r="H18" i="1"/>
  <c r="G18" i="1"/>
  <c r="E18" i="1"/>
  <c r="D18" i="1"/>
  <c r="C18" i="1"/>
  <c r="B18" i="1"/>
  <c r="A18" i="1"/>
  <c r="KS17" i="1"/>
  <c r="KR17" i="1"/>
  <c r="KQ17" i="1"/>
  <c r="KP17" i="1"/>
  <c r="KO17" i="1"/>
  <c r="KM17" i="1"/>
  <c r="KL17" i="1"/>
  <c r="KJ17" i="1"/>
  <c r="KI17" i="1"/>
  <c r="KG17" i="1"/>
  <c r="KF17" i="1"/>
  <c r="KD17" i="1"/>
  <c r="KC17" i="1"/>
  <c r="KA17" i="1"/>
  <c r="JZ17" i="1"/>
  <c r="JX17" i="1"/>
  <c r="JW17" i="1"/>
  <c r="JU17" i="1"/>
  <c r="JT17" i="1"/>
  <c r="JR17" i="1"/>
  <c r="JQ17" i="1"/>
  <c r="JO17" i="1"/>
  <c r="JN17" i="1"/>
  <c r="JL17" i="1"/>
  <c r="JK17" i="1"/>
  <c r="JI17" i="1"/>
  <c r="JH17" i="1"/>
  <c r="JF17" i="1"/>
  <c r="JE17" i="1"/>
  <c r="JC17" i="1"/>
  <c r="JB17" i="1"/>
  <c r="IZ17" i="1"/>
  <c r="IY17" i="1"/>
  <c r="IW17" i="1"/>
  <c r="IV17" i="1"/>
  <c r="IT17" i="1"/>
  <c r="IS17" i="1"/>
  <c r="IQ17" i="1"/>
  <c r="IP17" i="1"/>
  <c r="IN17" i="1"/>
  <c r="IM17" i="1"/>
  <c r="IK17" i="1"/>
  <c r="IJ17" i="1"/>
  <c r="IH17" i="1"/>
  <c r="IG17" i="1"/>
  <c r="IE17" i="1"/>
  <c r="ID17" i="1"/>
  <c r="IB17" i="1"/>
  <c r="IA17" i="1"/>
  <c r="HY17" i="1"/>
  <c r="HX17" i="1"/>
  <c r="HV17" i="1"/>
  <c r="HU17" i="1"/>
  <c r="HS17" i="1"/>
  <c r="HR17" i="1"/>
  <c r="HP17" i="1"/>
  <c r="HO17" i="1"/>
  <c r="HM17" i="1"/>
  <c r="HL17" i="1"/>
  <c r="HJ17" i="1"/>
  <c r="HI17" i="1"/>
  <c r="HG17" i="1"/>
  <c r="HF17" i="1"/>
  <c r="HD17" i="1"/>
  <c r="HC17" i="1"/>
  <c r="HA17" i="1"/>
  <c r="GZ17" i="1"/>
  <c r="GX17" i="1"/>
  <c r="GW17" i="1"/>
  <c r="GU17" i="1"/>
  <c r="GT17" i="1"/>
  <c r="GR17" i="1"/>
  <c r="GQ17" i="1"/>
  <c r="GO17" i="1"/>
  <c r="GN17" i="1"/>
  <c r="GL17" i="1"/>
  <c r="GK17" i="1"/>
  <c r="GI17" i="1"/>
  <c r="GH17" i="1"/>
  <c r="GF17" i="1"/>
  <c r="GE17" i="1"/>
  <c r="GC17" i="1"/>
  <c r="GB17" i="1"/>
  <c r="FZ17" i="1"/>
  <c r="FY17" i="1"/>
  <c r="FW17" i="1"/>
  <c r="FV17" i="1"/>
  <c r="FT17" i="1"/>
  <c r="FS17" i="1"/>
  <c r="FQ17" i="1"/>
  <c r="FP17" i="1"/>
  <c r="FN17" i="1"/>
  <c r="FM17" i="1"/>
  <c r="FK17" i="1"/>
  <c r="FJ17" i="1"/>
  <c r="FH17" i="1"/>
  <c r="FG17" i="1"/>
  <c r="FE17" i="1"/>
  <c r="FD17" i="1"/>
  <c r="FB17" i="1"/>
  <c r="FA17" i="1"/>
  <c r="EY17" i="1"/>
  <c r="EX17" i="1"/>
  <c r="EV17" i="1"/>
  <c r="EU17" i="1"/>
  <c r="ES17" i="1"/>
  <c r="ER17" i="1"/>
  <c r="EP17" i="1"/>
  <c r="EO17" i="1"/>
  <c r="EM17" i="1"/>
  <c r="EL17" i="1"/>
  <c r="EJ17" i="1"/>
  <c r="EI17" i="1"/>
  <c r="EG17" i="1"/>
  <c r="EF17" i="1"/>
  <c r="ED17" i="1"/>
  <c r="EC17" i="1"/>
  <c r="EA17" i="1"/>
  <c r="DZ17" i="1"/>
  <c r="DX17" i="1"/>
  <c r="DW17" i="1"/>
  <c r="DU17" i="1"/>
  <c r="DT17" i="1"/>
  <c r="DR17" i="1"/>
  <c r="DQ17" i="1"/>
  <c r="DO17" i="1"/>
  <c r="DN17" i="1"/>
  <c r="DL17" i="1"/>
  <c r="DK17" i="1"/>
  <c r="DI17" i="1"/>
  <c r="DH17" i="1"/>
  <c r="DF17" i="1"/>
  <c r="DE17" i="1"/>
  <c r="DC17" i="1"/>
  <c r="DB17" i="1"/>
  <c r="CZ17" i="1"/>
  <c r="CY17" i="1"/>
  <c r="CW17" i="1"/>
  <c r="CV17" i="1"/>
  <c r="CT17" i="1"/>
  <c r="CS17" i="1"/>
  <c r="CQ17" i="1"/>
  <c r="CP17" i="1"/>
  <c r="CN17" i="1"/>
  <c r="CM17" i="1"/>
  <c r="CK17" i="1"/>
  <c r="CJ17" i="1"/>
  <c r="CH17" i="1"/>
  <c r="CG17" i="1"/>
  <c r="CE17" i="1"/>
  <c r="CD17" i="1"/>
  <c r="CB17" i="1"/>
  <c r="CA17" i="1"/>
  <c r="BY17" i="1"/>
  <c r="BX17" i="1"/>
  <c r="BV17" i="1"/>
  <c r="BU17" i="1"/>
  <c r="BS17" i="1"/>
  <c r="BR17" i="1"/>
  <c r="BP17" i="1"/>
  <c r="BO17" i="1"/>
  <c r="BM17" i="1"/>
  <c r="BL17" i="1"/>
  <c r="BJ17" i="1"/>
  <c r="BI17" i="1"/>
  <c r="BG17" i="1"/>
  <c r="BF17" i="1"/>
  <c r="BD17" i="1"/>
  <c r="BC17" i="1"/>
  <c r="BA17" i="1"/>
  <c r="AZ17" i="1"/>
  <c r="AX17" i="1"/>
  <c r="AW17" i="1"/>
  <c r="AU17" i="1"/>
  <c r="AT17" i="1"/>
  <c r="AR17" i="1"/>
  <c r="AQ17" i="1"/>
  <c r="AO17" i="1"/>
  <c r="AN17" i="1"/>
  <c r="AL17" i="1"/>
  <c r="AK17" i="1"/>
  <c r="AI17" i="1"/>
  <c r="AH17" i="1"/>
  <c r="AF17" i="1"/>
  <c r="AE17" i="1"/>
  <c r="AC17" i="1"/>
  <c r="AB17" i="1"/>
  <c r="Z17" i="1"/>
  <c r="Y17" i="1"/>
  <c r="W17" i="1"/>
  <c r="V17" i="1"/>
  <c r="T17" i="1"/>
  <c r="S17" i="1"/>
  <c r="Q17" i="1"/>
  <c r="P17" i="1"/>
  <c r="N17" i="1"/>
  <c r="M17" i="1"/>
  <c r="K17" i="1"/>
  <c r="J17" i="1"/>
  <c r="H17" i="1"/>
  <c r="G17" i="1"/>
  <c r="E17" i="1"/>
  <c r="D17" i="1"/>
  <c r="C17" i="1"/>
  <c r="B17" i="1"/>
  <c r="A17" i="1"/>
  <c r="KS16" i="1"/>
  <c r="KR16" i="1"/>
  <c r="KQ16" i="1"/>
  <c r="KP16" i="1"/>
  <c r="KO16" i="1"/>
  <c r="KM16" i="1"/>
  <c r="KL16" i="1"/>
  <c r="KJ16" i="1"/>
  <c r="KI16" i="1"/>
  <c r="KG16" i="1"/>
  <c r="KF16" i="1"/>
  <c r="KD16" i="1"/>
  <c r="KC16" i="1"/>
  <c r="KA16" i="1"/>
  <c r="JZ16" i="1"/>
  <c r="JX16" i="1"/>
  <c r="JW16" i="1"/>
  <c r="JU16" i="1"/>
  <c r="JT16" i="1"/>
  <c r="JR16" i="1"/>
  <c r="JQ16" i="1"/>
  <c r="JO16" i="1"/>
  <c r="JN16" i="1"/>
  <c r="JL16" i="1"/>
  <c r="JK16" i="1"/>
  <c r="JI16" i="1"/>
  <c r="JH16" i="1"/>
  <c r="JF16" i="1"/>
  <c r="JE16" i="1"/>
  <c r="JC16" i="1"/>
  <c r="JB16" i="1"/>
  <c r="IZ16" i="1"/>
  <c r="IY16" i="1"/>
  <c r="IW16" i="1"/>
  <c r="IV16" i="1"/>
  <c r="IT16" i="1"/>
  <c r="IS16" i="1"/>
  <c r="IQ16" i="1"/>
  <c r="IP16" i="1"/>
  <c r="IN16" i="1"/>
  <c r="IM16" i="1"/>
  <c r="IK16" i="1"/>
  <c r="IJ16" i="1"/>
  <c r="IH16" i="1"/>
  <c r="IG16" i="1"/>
  <c r="IE16" i="1"/>
  <c r="ID16" i="1"/>
  <c r="IB16" i="1"/>
  <c r="IA16" i="1"/>
  <c r="HY16" i="1"/>
  <c r="HX16" i="1"/>
  <c r="HV16" i="1"/>
  <c r="HU16" i="1"/>
  <c r="HS16" i="1"/>
  <c r="HR16" i="1"/>
  <c r="HP16" i="1"/>
  <c r="HO16" i="1"/>
  <c r="HM16" i="1"/>
  <c r="HL16" i="1"/>
  <c r="HJ16" i="1"/>
  <c r="HI16" i="1"/>
  <c r="HG16" i="1"/>
  <c r="HF16" i="1"/>
  <c r="HD16" i="1"/>
  <c r="HC16" i="1"/>
  <c r="HA16" i="1"/>
  <c r="GZ16" i="1"/>
  <c r="GX16" i="1"/>
  <c r="GW16" i="1"/>
  <c r="GU16" i="1"/>
  <c r="GT16" i="1"/>
  <c r="GR16" i="1"/>
  <c r="GQ16" i="1"/>
  <c r="GO16" i="1"/>
  <c r="GN16" i="1"/>
  <c r="GL16" i="1"/>
  <c r="GK16" i="1"/>
  <c r="GI16" i="1"/>
  <c r="GH16" i="1"/>
  <c r="GF16" i="1"/>
  <c r="GE16" i="1"/>
  <c r="GC16" i="1"/>
  <c r="GB16" i="1"/>
  <c r="FZ16" i="1"/>
  <c r="FY16" i="1"/>
  <c r="FW16" i="1"/>
  <c r="FV16" i="1"/>
  <c r="FT16" i="1"/>
  <c r="FS16" i="1"/>
  <c r="FQ16" i="1"/>
  <c r="FP16" i="1"/>
  <c r="FN16" i="1"/>
  <c r="FM16" i="1"/>
  <c r="FK16" i="1"/>
  <c r="FJ16" i="1"/>
  <c r="FH16" i="1"/>
  <c r="FG16" i="1"/>
  <c r="FE16" i="1"/>
  <c r="FD16" i="1"/>
  <c r="FB16" i="1"/>
  <c r="FA16" i="1"/>
  <c r="EY16" i="1"/>
  <c r="EX16" i="1"/>
  <c r="EV16" i="1"/>
  <c r="EU16" i="1"/>
  <c r="ES16" i="1"/>
  <c r="ER16" i="1"/>
  <c r="EP16" i="1"/>
  <c r="EO16" i="1"/>
  <c r="EM16" i="1"/>
  <c r="EL16" i="1"/>
  <c r="EJ16" i="1"/>
  <c r="EI16" i="1"/>
  <c r="EG16" i="1"/>
  <c r="EF16" i="1"/>
  <c r="ED16" i="1"/>
  <c r="EC16" i="1"/>
  <c r="EA16" i="1"/>
  <c r="DZ16" i="1"/>
  <c r="DX16" i="1"/>
  <c r="DW16" i="1"/>
  <c r="DU16" i="1"/>
  <c r="DT16" i="1"/>
  <c r="DR16" i="1"/>
  <c r="DQ16" i="1"/>
  <c r="DO16" i="1"/>
  <c r="DN16" i="1"/>
  <c r="DL16" i="1"/>
  <c r="DK16" i="1"/>
  <c r="DI16" i="1"/>
  <c r="DH16" i="1"/>
  <c r="DF16" i="1"/>
  <c r="DE16" i="1"/>
  <c r="DC16" i="1"/>
  <c r="DB16" i="1"/>
  <c r="CZ16" i="1"/>
  <c r="CY16" i="1"/>
  <c r="CW16" i="1"/>
  <c r="CV16" i="1"/>
  <c r="CT16" i="1"/>
  <c r="CS16" i="1"/>
  <c r="CQ16" i="1"/>
  <c r="CP16" i="1"/>
  <c r="CN16" i="1"/>
  <c r="CM16" i="1"/>
  <c r="CK16" i="1"/>
  <c r="CJ16" i="1"/>
  <c r="CH16" i="1"/>
  <c r="CG16" i="1"/>
  <c r="CE16" i="1"/>
  <c r="CD16" i="1"/>
  <c r="CB16" i="1"/>
  <c r="CA16" i="1"/>
  <c r="BY16" i="1"/>
  <c r="BX16" i="1"/>
  <c r="BV16" i="1"/>
  <c r="BU16" i="1"/>
  <c r="BS16" i="1"/>
  <c r="BR16" i="1"/>
  <c r="BP16" i="1"/>
  <c r="BO16" i="1"/>
  <c r="BM16" i="1"/>
  <c r="BL16" i="1"/>
  <c r="BJ16" i="1"/>
  <c r="BI16" i="1"/>
  <c r="BG16" i="1"/>
  <c r="BF16" i="1"/>
  <c r="BD16" i="1"/>
  <c r="BC16" i="1"/>
  <c r="BA16" i="1"/>
  <c r="AZ16" i="1"/>
  <c r="AX16" i="1"/>
  <c r="AW16" i="1"/>
  <c r="AU16" i="1"/>
  <c r="AT16" i="1"/>
  <c r="AR16" i="1"/>
  <c r="AQ16" i="1"/>
  <c r="AO16" i="1"/>
  <c r="AN16" i="1"/>
  <c r="AL16" i="1"/>
  <c r="AK16" i="1"/>
  <c r="AI16" i="1"/>
  <c r="AH16" i="1"/>
  <c r="AF16" i="1"/>
  <c r="AE16" i="1"/>
  <c r="AC16" i="1"/>
  <c r="AB16" i="1"/>
  <c r="Z16" i="1"/>
  <c r="Y16" i="1"/>
  <c r="W16" i="1"/>
  <c r="V16" i="1"/>
  <c r="T16" i="1"/>
  <c r="S16" i="1"/>
  <c r="Q16" i="1"/>
  <c r="P16" i="1"/>
  <c r="N16" i="1"/>
  <c r="M16" i="1"/>
  <c r="K16" i="1"/>
  <c r="J16" i="1"/>
  <c r="H16" i="1"/>
  <c r="G16" i="1"/>
  <c r="E16" i="1"/>
  <c r="D16" i="1"/>
  <c r="C16" i="1"/>
  <c r="B16" i="1"/>
  <c r="A16" i="1"/>
  <c r="KS15" i="1"/>
  <c r="KR15" i="1"/>
  <c r="KQ15" i="1"/>
  <c r="KP15" i="1"/>
  <c r="KO15" i="1"/>
  <c r="KM15" i="1"/>
  <c r="KL15" i="1"/>
  <c r="KJ15" i="1"/>
  <c r="KI15" i="1"/>
  <c r="KG15" i="1"/>
  <c r="KF15" i="1"/>
  <c r="KD15" i="1"/>
  <c r="KC15" i="1"/>
  <c r="KA15" i="1"/>
  <c r="JZ15" i="1"/>
  <c r="JX15" i="1"/>
  <c r="JW15" i="1"/>
  <c r="JU15" i="1"/>
  <c r="JT15" i="1"/>
  <c r="JR15" i="1"/>
  <c r="JQ15" i="1"/>
  <c r="JO15" i="1"/>
  <c r="JN15" i="1"/>
  <c r="JL15" i="1"/>
  <c r="JK15" i="1"/>
  <c r="JI15" i="1"/>
  <c r="JH15" i="1"/>
  <c r="JF15" i="1"/>
  <c r="JE15" i="1"/>
  <c r="JC15" i="1"/>
  <c r="JB15" i="1"/>
  <c r="IZ15" i="1"/>
  <c r="IY15" i="1"/>
  <c r="IW15" i="1"/>
  <c r="IV15" i="1"/>
  <c r="IT15" i="1"/>
  <c r="IS15" i="1"/>
  <c r="IQ15" i="1"/>
  <c r="IP15" i="1"/>
  <c r="IN15" i="1"/>
  <c r="IM15" i="1"/>
  <c r="IK15" i="1"/>
  <c r="IJ15" i="1"/>
  <c r="IH15" i="1"/>
  <c r="IG15" i="1"/>
  <c r="IE15" i="1"/>
  <c r="ID15" i="1"/>
  <c r="IB15" i="1"/>
  <c r="IA15" i="1"/>
  <c r="HY15" i="1"/>
  <c r="HX15" i="1"/>
  <c r="HV15" i="1"/>
  <c r="HU15" i="1"/>
  <c r="HS15" i="1"/>
  <c r="HR15" i="1"/>
  <c r="HP15" i="1"/>
  <c r="HO15" i="1"/>
  <c r="HM15" i="1"/>
  <c r="HL15" i="1"/>
  <c r="HJ15" i="1"/>
  <c r="HI15" i="1"/>
  <c r="HG15" i="1"/>
  <c r="HF15" i="1"/>
  <c r="HD15" i="1"/>
  <c r="HC15" i="1"/>
  <c r="HA15" i="1"/>
  <c r="GZ15" i="1"/>
  <c r="GX15" i="1"/>
  <c r="GW15" i="1"/>
  <c r="GU15" i="1"/>
  <c r="GT15" i="1"/>
  <c r="GR15" i="1"/>
  <c r="GQ15" i="1"/>
  <c r="GO15" i="1"/>
  <c r="GN15" i="1"/>
  <c r="GL15" i="1"/>
  <c r="GK15" i="1"/>
  <c r="GI15" i="1"/>
  <c r="GH15" i="1"/>
  <c r="GF15" i="1"/>
  <c r="GE15" i="1"/>
  <c r="GC15" i="1"/>
  <c r="GB15" i="1"/>
  <c r="FZ15" i="1"/>
  <c r="FY15" i="1"/>
  <c r="FW15" i="1"/>
  <c r="FV15" i="1"/>
  <c r="FT15" i="1"/>
  <c r="FS15" i="1"/>
  <c r="FQ15" i="1"/>
  <c r="FP15" i="1"/>
  <c r="FN15" i="1"/>
  <c r="FM15" i="1"/>
  <c r="FK15" i="1"/>
  <c r="FJ15" i="1"/>
  <c r="FH15" i="1"/>
  <c r="FG15" i="1"/>
  <c r="FE15" i="1"/>
  <c r="FD15" i="1"/>
  <c r="FB15" i="1"/>
  <c r="FA15" i="1"/>
  <c r="EY15" i="1"/>
  <c r="EX15" i="1"/>
  <c r="EV15" i="1"/>
  <c r="EU15" i="1"/>
  <c r="ES15" i="1"/>
  <c r="ER15" i="1"/>
  <c r="EP15" i="1"/>
  <c r="EO15" i="1"/>
  <c r="EM15" i="1"/>
  <c r="EL15" i="1"/>
  <c r="EJ15" i="1"/>
  <c r="EI15" i="1"/>
  <c r="EG15" i="1"/>
  <c r="EF15" i="1"/>
  <c r="ED15" i="1"/>
  <c r="EC15" i="1"/>
  <c r="EA15" i="1"/>
  <c r="DZ15" i="1"/>
  <c r="DX15" i="1"/>
  <c r="DW15" i="1"/>
  <c r="DU15" i="1"/>
  <c r="DT15" i="1"/>
  <c r="DR15" i="1"/>
  <c r="DQ15" i="1"/>
  <c r="DO15" i="1"/>
  <c r="DN15" i="1"/>
  <c r="DL15" i="1"/>
  <c r="DK15" i="1"/>
  <c r="DI15" i="1"/>
  <c r="DH15" i="1"/>
  <c r="DF15" i="1"/>
  <c r="DE15" i="1"/>
  <c r="DC15" i="1"/>
  <c r="DB15" i="1"/>
  <c r="CZ15" i="1"/>
  <c r="CY15" i="1"/>
  <c r="CW15" i="1"/>
  <c r="CV15" i="1"/>
  <c r="CT15" i="1"/>
  <c r="CS15" i="1"/>
  <c r="CQ15" i="1"/>
  <c r="CP15" i="1"/>
  <c r="CN15" i="1"/>
  <c r="CM15" i="1"/>
  <c r="CK15" i="1"/>
  <c r="CJ15" i="1"/>
  <c r="CH15" i="1"/>
  <c r="CG15" i="1"/>
  <c r="CE15" i="1"/>
  <c r="CD15" i="1"/>
  <c r="CB15" i="1"/>
  <c r="CA15" i="1"/>
  <c r="BY15" i="1"/>
  <c r="BX15" i="1"/>
  <c r="BV15" i="1"/>
  <c r="BU15" i="1"/>
  <c r="BS15" i="1"/>
  <c r="BR15" i="1"/>
  <c r="BP15" i="1"/>
  <c r="BO15" i="1"/>
  <c r="BM15" i="1"/>
  <c r="BL15" i="1"/>
  <c r="BJ15" i="1"/>
  <c r="BI15" i="1"/>
  <c r="BG15" i="1"/>
  <c r="BF15" i="1"/>
  <c r="BD15" i="1"/>
  <c r="BC15" i="1"/>
  <c r="BA15" i="1"/>
  <c r="AZ15" i="1"/>
  <c r="AX15" i="1"/>
  <c r="AW15" i="1"/>
  <c r="AU15" i="1"/>
  <c r="AT15" i="1"/>
  <c r="AR15" i="1"/>
  <c r="AQ15" i="1"/>
  <c r="AO15" i="1"/>
  <c r="AN15" i="1"/>
  <c r="AL15" i="1"/>
  <c r="AK15" i="1"/>
  <c r="AI15" i="1"/>
  <c r="AH15" i="1"/>
  <c r="AF15" i="1"/>
  <c r="AE15" i="1"/>
  <c r="AC15" i="1"/>
  <c r="AB15" i="1"/>
  <c r="Z15" i="1"/>
  <c r="Y15" i="1"/>
  <c r="W15" i="1"/>
  <c r="V15" i="1"/>
  <c r="T15" i="1"/>
  <c r="S15" i="1"/>
  <c r="Q15" i="1"/>
  <c r="P15" i="1"/>
  <c r="N15" i="1"/>
  <c r="M15" i="1"/>
  <c r="K15" i="1"/>
  <c r="J15" i="1"/>
  <c r="H15" i="1"/>
  <c r="G15" i="1"/>
  <c r="E15" i="1"/>
  <c r="D15" i="1"/>
  <c r="C15" i="1"/>
  <c r="B15" i="1"/>
  <c r="A15" i="1"/>
  <c r="KS14" i="1"/>
  <c r="KR14" i="1"/>
  <c r="KQ14" i="1"/>
  <c r="KP14" i="1"/>
  <c r="KO14" i="1"/>
  <c r="KM14" i="1"/>
  <c r="KL14" i="1"/>
  <c r="KJ14" i="1"/>
  <c r="KI14" i="1"/>
  <c r="KG14" i="1"/>
  <c r="KF14" i="1"/>
  <c r="KD14" i="1"/>
  <c r="KC14" i="1"/>
  <c r="KA14" i="1"/>
  <c r="JZ14" i="1"/>
  <c r="JX14" i="1"/>
  <c r="JW14" i="1"/>
  <c r="JU14" i="1"/>
  <c r="JT14" i="1"/>
  <c r="JR14" i="1"/>
  <c r="JQ14" i="1"/>
  <c r="JO14" i="1"/>
  <c r="JN14" i="1"/>
  <c r="JL14" i="1"/>
  <c r="JK14" i="1"/>
  <c r="JI14" i="1"/>
  <c r="JH14" i="1"/>
  <c r="JF14" i="1"/>
  <c r="JE14" i="1"/>
  <c r="JC14" i="1"/>
  <c r="JB14" i="1"/>
  <c r="IZ14" i="1"/>
  <c r="IY14" i="1"/>
  <c r="IW14" i="1"/>
  <c r="IV14" i="1"/>
  <c r="IT14" i="1"/>
  <c r="IS14" i="1"/>
  <c r="IQ14" i="1"/>
  <c r="IP14" i="1"/>
  <c r="IN14" i="1"/>
  <c r="IM14" i="1"/>
  <c r="IK14" i="1"/>
  <c r="IJ14" i="1"/>
  <c r="IH14" i="1"/>
  <c r="IG14" i="1"/>
  <c r="IE14" i="1"/>
  <c r="ID14" i="1"/>
  <c r="IB14" i="1"/>
  <c r="IA14" i="1"/>
  <c r="HY14" i="1"/>
  <c r="HX14" i="1"/>
  <c r="HV14" i="1"/>
  <c r="HU14" i="1"/>
  <c r="HS14" i="1"/>
  <c r="HR14" i="1"/>
  <c r="HP14" i="1"/>
  <c r="HO14" i="1"/>
  <c r="HM14" i="1"/>
  <c r="HL14" i="1"/>
  <c r="HJ14" i="1"/>
  <c r="HI14" i="1"/>
  <c r="HG14" i="1"/>
  <c r="HF14" i="1"/>
  <c r="HD14" i="1"/>
  <c r="HC14" i="1"/>
  <c r="HA14" i="1"/>
  <c r="GZ14" i="1"/>
  <c r="GX14" i="1"/>
  <c r="GW14" i="1"/>
  <c r="GU14" i="1"/>
  <c r="GT14" i="1"/>
  <c r="GR14" i="1"/>
  <c r="GQ14" i="1"/>
  <c r="GO14" i="1"/>
  <c r="GN14" i="1"/>
  <c r="GL14" i="1"/>
  <c r="GK14" i="1"/>
  <c r="GI14" i="1"/>
  <c r="GH14" i="1"/>
  <c r="GF14" i="1"/>
  <c r="GE14" i="1"/>
  <c r="GC14" i="1"/>
  <c r="GB14" i="1"/>
  <c r="FZ14" i="1"/>
  <c r="FY14" i="1"/>
  <c r="FW14" i="1"/>
  <c r="FV14" i="1"/>
  <c r="FT14" i="1"/>
  <c r="FS14" i="1"/>
  <c r="FQ14" i="1"/>
  <c r="FP14" i="1"/>
  <c r="FN14" i="1"/>
  <c r="FM14" i="1"/>
  <c r="FK14" i="1"/>
  <c r="FJ14" i="1"/>
  <c r="FH14" i="1"/>
  <c r="FG14" i="1"/>
  <c r="FE14" i="1"/>
  <c r="FD14" i="1"/>
  <c r="FB14" i="1"/>
  <c r="FA14" i="1"/>
  <c r="EY14" i="1"/>
  <c r="EX14" i="1"/>
  <c r="EV14" i="1"/>
  <c r="EU14" i="1"/>
  <c r="ES14" i="1"/>
  <c r="ER14" i="1"/>
  <c r="EP14" i="1"/>
  <c r="EO14" i="1"/>
  <c r="EM14" i="1"/>
  <c r="EL14" i="1"/>
  <c r="EJ14" i="1"/>
  <c r="EI14" i="1"/>
  <c r="EG14" i="1"/>
  <c r="EF14" i="1"/>
  <c r="ED14" i="1"/>
  <c r="EC14" i="1"/>
  <c r="EA14" i="1"/>
  <c r="DZ14" i="1"/>
  <c r="DX14" i="1"/>
  <c r="DW14" i="1"/>
  <c r="DU14" i="1"/>
  <c r="DT14" i="1"/>
  <c r="DR14" i="1"/>
  <c r="DQ14" i="1"/>
  <c r="DO14" i="1"/>
  <c r="DN14" i="1"/>
  <c r="DL14" i="1"/>
  <c r="DK14" i="1"/>
  <c r="DI14" i="1"/>
  <c r="DH14" i="1"/>
  <c r="DF14" i="1"/>
  <c r="DE14" i="1"/>
  <c r="DC14" i="1"/>
  <c r="DB14" i="1"/>
  <c r="CZ14" i="1"/>
  <c r="CY14" i="1"/>
  <c r="CW14" i="1"/>
  <c r="CV14" i="1"/>
  <c r="CT14" i="1"/>
  <c r="CS14" i="1"/>
  <c r="CQ14" i="1"/>
  <c r="CP14" i="1"/>
  <c r="CN14" i="1"/>
  <c r="CM14" i="1"/>
  <c r="CK14" i="1"/>
  <c r="CJ14" i="1"/>
  <c r="CH14" i="1"/>
  <c r="CG14" i="1"/>
  <c r="CE14" i="1"/>
  <c r="CD14" i="1"/>
  <c r="CB14" i="1"/>
  <c r="CA14" i="1"/>
  <c r="BY14" i="1"/>
  <c r="BX14" i="1"/>
  <c r="BV14" i="1"/>
  <c r="BU14" i="1"/>
  <c r="BS14" i="1"/>
  <c r="BR14" i="1"/>
  <c r="BP14" i="1"/>
  <c r="BO14" i="1"/>
  <c r="BM14" i="1"/>
  <c r="BL14" i="1"/>
  <c r="BJ14" i="1"/>
  <c r="BI14" i="1"/>
  <c r="BG14" i="1"/>
  <c r="BF14" i="1"/>
  <c r="BD14" i="1"/>
  <c r="BC14" i="1"/>
  <c r="BA14" i="1"/>
  <c r="AZ14" i="1"/>
  <c r="AX14" i="1"/>
  <c r="AW14" i="1"/>
  <c r="AU14" i="1"/>
  <c r="AT14" i="1"/>
  <c r="AR14" i="1"/>
  <c r="AQ14" i="1"/>
  <c r="AO14" i="1"/>
  <c r="AN14" i="1"/>
  <c r="AL14" i="1"/>
  <c r="AK14" i="1"/>
  <c r="AI14" i="1"/>
  <c r="AH14" i="1"/>
  <c r="AF14" i="1"/>
  <c r="AE14" i="1"/>
  <c r="AC14" i="1"/>
  <c r="AB14" i="1"/>
  <c r="Z14" i="1"/>
  <c r="Y14" i="1"/>
  <c r="W14" i="1"/>
  <c r="V14" i="1"/>
  <c r="T14" i="1"/>
  <c r="S14" i="1"/>
  <c r="Q14" i="1"/>
  <c r="P14" i="1"/>
  <c r="N14" i="1"/>
  <c r="M14" i="1"/>
  <c r="K14" i="1"/>
  <c r="J14" i="1"/>
  <c r="H14" i="1"/>
  <c r="G14" i="1"/>
  <c r="E14" i="1"/>
  <c r="D14" i="1"/>
  <c r="C14" i="1"/>
  <c r="B14" i="1"/>
  <c r="A14" i="1"/>
  <c r="KS13" i="1"/>
  <c r="KR13" i="1"/>
  <c r="KQ13" i="1"/>
  <c r="KP13" i="1"/>
  <c r="KO13" i="1"/>
  <c r="KM13" i="1"/>
  <c r="KL13" i="1"/>
  <c r="KJ13" i="1"/>
  <c r="KI13" i="1"/>
  <c r="KG13" i="1"/>
  <c r="KF13" i="1"/>
  <c r="KD13" i="1"/>
  <c r="KC13" i="1"/>
  <c r="KA13" i="1"/>
  <c r="JZ13" i="1"/>
  <c r="JX13" i="1"/>
  <c r="JW13" i="1"/>
  <c r="JU13" i="1"/>
  <c r="JT13" i="1"/>
  <c r="JR13" i="1"/>
  <c r="JQ13" i="1"/>
  <c r="JO13" i="1"/>
  <c r="JN13" i="1"/>
  <c r="JL13" i="1"/>
  <c r="JK13" i="1"/>
  <c r="JI13" i="1"/>
  <c r="JH13" i="1"/>
  <c r="JF13" i="1"/>
  <c r="JE13" i="1"/>
  <c r="JC13" i="1"/>
  <c r="JB13" i="1"/>
  <c r="IZ13" i="1"/>
  <c r="IY13" i="1"/>
  <c r="IW13" i="1"/>
  <c r="IV13" i="1"/>
  <c r="IT13" i="1"/>
  <c r="IS13" i="1"/>
  <c r="IQ13" i="1"/>
  <c r="IP13" i="1"/>
  <c r="IN13" i="1"/>
  <c r="IM13" i="1"/>
  <c r="IK13" i="1"/>
  <c r="IJ13" i="1"/>
  <c r="IH13" i="1"/>
  <c r="IG13" i="1"/>
  <c r="IE13" i="1"/>
  <c r="ID13" i="1"/>
  <c r="IB13" i="1"/>
  <c r="IA13" i="1"/>
  <c r="HY13" i="1"/>
  <c r="HX13" i="1"/>
  <c r="HV13" i="1"/>
  <c r="HU13" i="1"/>
  <c r="HS13" i="1"/>
  <c r="HR13" i="1"/>
  <c r="HP13" i="1"/>
  <c r="HO13" i="1"/>
  <c r="HM13" i="1"/>
  <c r="HL13" i="1"/>
  <c r="HJ13" i="1"/>
  <c r="HI13" i="1"/>
  <c r="HG13" i="1"/>
  <c r="HF13" i="1"/>
  <c r="HD13" i="1"/>
  <c r="HC13" i="1"/>
  <c r="HA13" i="1"/>
  <c r="GZ13" i="1"/>
  <c r="GX13" i="1"/>
  <c r="GW13" i="1"/>
  <c r="GU13" i="1"/>
  <c r="GT13" i="1"/>
  <c r="GR13" i="1"/>
  <c r="GQ13" i="1"/>
  <c r="GO13" i="1"/>
  <c r="GN13" i="1"/>
  <c r="GL13" i="1"/>
  <c r="GK13" i="1"/>
  <c r="GI13" i="1"/>
  <c r="GH13" i="1"/>
  <c r="GF13" i="1"/>
  <c r="GE13" i="1"/>
  <c r="GC13" i="1"/>
  <c r="GB13" i="1"/>
  <c r="FZ13" i="1"/>
  <c r="FY13" i="1"/>
  <c r="FW13" i="1"/>
  <c r="FV13" i="1"/>
  <c r="FT13" i="1"/>
  <c r="FS13" i="1"/>
  <c r="FQ13" i="1"/>
  <c r="FP13" i="1"/>
  <c r="FN13" i="1"/>
  <c r="FM13" i="1"/>
  <c r="FK13" i="1"/>
  <c r="FJ13" i="1"/>
  <c r="FH13" i="1"/>
  <c r="FG13" i="1"/>
  <c r="FE13" i="1"/>
  <c r="FD13" i="1"/>
  <c r="FB13" i="1"/>
  <c r="FA13" i="1"/>
  <c r="EY13" i="1"/>
  <c r="EX13" i="1"/>
  <c r="EV13" i="1"/>
  <c r="EU13" i="1"/>
  <c r="ES13" i="1"/>
  <c r="ER13" i="1"/>
  <c r="EP13" i="1"/>
  <c r="EO13" i="1"/>
  <c r="EM13" i="1"/>
  <c r="EL13" i="1"/>
  <c r="EJ13" i="1"/>
  <c r="EI13" i="1"/>
  <c r="EG13" i="1"/>
  <c r="EF13" i="1"/>
  <c r="ED13" i="1"/>
  <c r="EC13" i="1"/>
  <c r="EA13" i="1"/>
  <c r="DZ13" i="1"/>
  <c r="DX13" i="1"/>
  <c r="DW13" i="1"/>
  <c r="DU13" i="1"/>
  <c r="DT13" i="1"/>
  <c r="DR13" i="1"/>
  <c r="DQ13" i="1"/>
  <c r="DO13" i="1"/>
  <c r="DN13" i="1"/>
  <c r="DL13" i="1"/>
  <c r="DK13" i="1"/>
  <c r="DH13" i="1"/>
  <c r="DF13" i="1"/>
  <c r="DE13" i="1"/>
  <c r="DC13" i="1"/>
  <c r="DB13" i="1"/>
  <c r="CZ13" i="1"/>
  <c r="CY13" i="1"/>
  <c r="CW13" i="1"/>
  <c r="CV13" i="1"/>
  <c r="CT13" i="1"/>
  <c r="CS13" i="1"/>
  <c r="CQ13" i="1"/>
  <c r="CP13" i="1"/>
  <c r="CN13" i="1"/>
  <c r="CM13" i="1"/>
  <c r="CK13" i="1"/>
  <c r="CJ13" i="1"/>
  <c r="CH13" i="1"/>
  <c r="CG13" i="1"/>
  <c r="CE13" i="1"/>
  <c r="CD13" i="1"/>
  <c r="CB13" i="1"/>
  <c r="CA13" i="1"/>
  <c r="BY13" i="1"/>
  <c r="BX13" i="1"/>
  <c r="BV13" i="1"/>
  <c r="BU13" i="1"/>
  <c r="BS13" i="1"/>
  <c r="BR13" i="1"/>
  <c r="BP13" i="1"/>
  <c r="BO13" i="1"/>
  <c r="BM13" i="1"/>
  <c r="BL13" i="1"/>
  <c r="BJ13" i="1"/>
  <c r="BI13" i="1"/>
  <c r="BG13" i="1"/>
  <c r="BF13" i="1"/>
  <c r="BD13" i="1"/>
  <c r="BC13" i="1"/>
  <c r="BA13" i="1"/>
  <c r="AZ13" i="1"/>
  <c r="AX13" i="1"/>
  <c r="AW13" i="1"/>
  <c r="AU13" i="1"/>
  <c r="AT13" i="1"/>
  <c r="AR13" i="1"/>
  <c r="AQ13" i="1"/>
  <c r="AO13" i="1"/>
  <c r="AN13" i="1"/>
  <c r="AL13" i="1"/>
  <c r="AK13" i="1"/>
  <c r="AI13" i="1"/>
  <c r="AH13" i="1"/>
  <c r="AF13" i="1"/>
  <c r="AE13" i="1"/>
  <c r="AC13" i="1"/>
  <c r="AB13" i="1"/>
  <c r="Z13" i="1"/>
  <c r="Y13" i="1"/>
  <c r="W13" i="1"/>
  <c r="V13" i="1"/>
  <c r="T13" i="1"/>
  <c r="S13" i="1"/>
  <c r="Q13" i="1"/>
  <c r="P13" i="1"/>
  <c r="N13" i="1"/>
  <c r="M13" i="1"/>
  <c r="K13" i="1"/>
  <c r="J13" i="1"/>
  <c r="H13" i="1"/>
  <c r="G13" i="1"/>
  <c r="E13" i="1"/>
  <c r="D13" i="1"/>
  <c r="C13" i="1"/>
  <c r="B13" i="1"/>
  <c r="A13" i="1"/>
  <c r="KS12" i="1"/>
  <c r="KR12" i="1"/>
  <c r="KQ12" i="1"/>
  <c r="KP12" i="1"/>
  <c r="KO12" i="1"/>
  <c r="KM12" i="1"/>
  <c r="KL12" i="1"/>
  <c r="KJ12" i="1"/>
  <c r="KI12" i="1"/>
  <c r="KG12" i="1"/>
  <c r="KF12" i="1"/>
  <c r="KD12" i="1"/>
  <c r="KC12" i="1"/>
  <c r="KA12" i="1"/>
  <c r="JZ12" i="1"/>
  <c r="JX12" i="1"/>
  <c r="JW12" i="1"/>
  <c r="JU12" i="1"/>
  <c r="JT12" i="1"/>
  <c r="JR12" i="1"/>
  <c r="JQ12" i="1"/>
  <c r="JO12" i="1"/>
  <c r="JN12" i="1"/>
  <c r="JL12" i="1"/>
  <c r="JK12" i="1"/>
  <c r="JI12" i="1"/>
  <c r="JH12" i="1"/>
  <c r="JF12" i="1"/>
  <c r="JE12" i="1"/>
  <c r="JC12" i="1"/>
  <c r="JB12" i="1"/>
  <c r="IZ12" i="1"/>
  <c r="IY12" i="1"/>
  <c r="IW12" i="1"/>
  <c r="IV12" i="1"/>
  <c r="IT12" i="1"/>
  <c r="IS12" i="1"/>
  <c r="IQ12" i="1"/>
  <c r="IP12" i="1"/>
  <c r="IN12" i="1"/>
  <c r="IM12" i="1"/>
  <c r="IK12" i="1"/>
  <c r="IJ12" i="1"/>
  <c r="IH12" i="1"/>
  <c r="IG12" i="1"/>
  <c r="IE12" i="1"/>
  <c r="ID12" i="1"/>
  <c r="IB12" i="1"/>
  <c r="IA12" i="1"/>
  <c r="HY12" i="1"/>
  <c r="HX12" i="1"/>
  <c r="HV12" i="1"/>
  <c r="HU12" i="1"/>
  <c r="HS12" i="1"/>
  <c r="HR12" i="1"/>
  <c r="HP12" i="1"/>
  <c r="HO12" i="1"/>
  <c r="HM12" i="1"/>
  <c r="HL12" i="1"/>
  <c r="HJ12" i="1"/>
  <c r="HI12" i="1"/>
  <c r="HG12" i="1"/>
  <c r="HF12" i="1"/>
  <c r="HD12" i="1"/>
  <c r="HC12" i="1"/>
  <c r="HA12" i="1"/>
  <c r="GZ12" i="1"/>
  <c r="GX12" i="1"/>
  <c r="GW12" i="1"/>
  <c r="GU12" i="1"/>
  <c r="GT12" i="1"/>
  <c r="GR12" i="1"/>
  <c r="GQ12" i="1"/>
  <c r="GO12" i="1"/>
  <c r="GN12" i="1"/>
  <c r="GL12" i="1"/>
  <c r="GK12" i="1"/>
  <c r="GI12" i="1"/>
  <c r="GH12" i="1"/>
  <c r="GF12" i="1"/>
  <c r="GE12" i="1"/>
  <c r="GC12" i="1"/>
  <c r="GB12" i="1"/>
  <c r="FZ12" i="1"/>
  <c r="FY12" i="1"/>
  <c r="FW12" i="1"/>
  <c r="FV12" i="1"/>
  <c r="FT12" i="1"/>
  <c r="FS12" i="1"/>
  <c r="FQ12" i="1"/>
  <c r="FP12" i="1"/>
  <c r="FN12" i="1"/>
  <c r="FM12" i="1"/>
  <c r="FK12" i="1"/>
  <c r="FJ12" i="1"/>
  <c r="FH12" i="1"/>
  <c r="FG12" i="1"/>
  <c r="FE12" i="1"/>
  <c r="FD12" i="1"/>
  <c r="FB12" i="1"/>
  <c r="FA12" i="1"/>
  <c r="EY12" i="1"/>
  <c r="EX12" i="1"/>
  <c r="EV12" i="1"/>
  <c r="EU12" i="1"/>
  <c r="ES12" i="1"/>
  <c r="ER12" i="1"/>
  <c r="EP12" i="1"/>
  <c r="EO12" i="1"/>
  <c r="EM12" i="1"/>
  <c r="EL12" i="1"/>
  <c r="EJ12" i="1"/>
  <c r="EI12" i="1"/>
  <c r="EG12" i="1"/>
  <c r="EF12" i="1"/>
  <c r="ED12" i="1"/>
  <c r="EC12" i="1"/>
  <c r="EA12" i="1"/>
  <c r="DZ12" i="1"/>
  <c r="DX12" i="1"/>
  <c r="DW12" i="1"/>
  <c r="DU12" i="1"/>
  <c r="DT12" i="1"/>
  <c r="DR12" i="1"/>
  <c r="DQ12" i="1"/>
  <c r="DO12" i="1"/>
  <c r="DN12" i="1"/>
  <c r="DL12" i="1"/>
  <c r="DK12" i="1"/>
  <c r="DH12" i="1"/>
  <c r="DF12" i="1"/>
  <c r="DE12" i="1"/>
  <c r="DC12" i="1"/>
  <c r="DB12" i="1"/>
  <c r="CZ12" i="1"/>
  <c r="CY12" i="1"/>
  <c r="CW12" i="1"/>
  <c r="CV12" i="1"/>
  <c r="CT12" i="1"/>
  <c r="CS12" i="1"/>
  <c r="CQ12" i="1"/>
  <c r="CP12" i="1"/>
  <c r="CN12" i="1"/>
  <c r="CM12" i="1"/>
  <c r="CK12" i="1"/>
  <c r="CJ12" i="1"/>
  <c r="CH12" i="1"/>
  <c r="CG12" i="1"/>
  <c r="CE12" i="1"/>
  <c r="CD12" i="1"/>
  <c r="CB12" i="1"/>
  <c r="CA12" i="1"/>
  <c r="BY12" i="1"/>
  <c r="BX12" i="1"/>
  <c r="BV12" i="1"/>
  <c r="BU12" i="1"/>
  <c r="BS12" i="1"/>
  <c r="BR12" i="1"/>
  <c r="BP12" i="1"/>
  <c r="BO12" i="1"/>
  <c r="BM12" i="1"/>
  <c r="BL12" i="1"/>
  <c r="BJ12" i="1"/>
  <c r="BI12" i="1"/>
  <c r="BG12" i="1"/>
  <c r="BF12" i="1"/>
  <c r="BD12" i="1"/>
  <c r="BC12" i="1"/>
  <c r="BA12" i="1"/>
  <c r="AZ12" i="1"/>
  <c r="AX12" i="1"/>
  <c r="AW12" i="1"/>
  <c r="AU12" i="1"/>
  <c r="AT12" i="1"/>
  <c r="AR12" i="1"/>
  <c r="AQ12" i="1"/>
  <c r="AO12" i="1"/>
  <c r="AN12" i="1"/>
  <c r="AL12" i="1"/>
  <c r="AK12" i="1"/>
  <c r="AI12" i="1"/>
  <c r="AH12" i="1"/>
  <c r="AF12" i="1"/>
  <c r="AE12" i="1"/>
  <c r="AC12" i="1"/>
  <c r="AB12" i="1"/>
  <c r="Z12" i="1"/>
  <c r="Y12" i="1"/>
  <c r="W12" i="1"/>
  <c r="V12" i="1"/>
  <c r="T12" i="1"/>
  <c r="S12" i="1"/>
  <c r="Q12" i="1"/>
  <c r="P12" i="1"/>
  <c r="N12" i="1"/>
  <c r="M12" i="1"/>
  <c r="K12" i="1"/>
  <c r="J12" i="1"/>
  <c r="H12" i="1"/>
  <c r="G12" i="1"/>
  <c r="E12" i="1"/>
  <c r="D12" i="1"/>
  <c r="C12" i="1"/>
  <c r="B12" i="1"/>
  <c r="A12" i="1"/>
  <c r="KS11" i="1"/>
  <c r="KR11" i="1"/>
  <c r="KQ11" i="1"/>
  <c r="KP11" i="1"/>
  <c r="KO11" i="1"/>
  <c r="KM11" i="1"/>
  <c r="KL11" i="1"/>
  <c r="KJ11" i="1"/>
  <c r="KI11" i="1"/>
  <c r="KG11" i="1"/>
  <c r="KF11" i="1"/>
  <c r="KD11" i="1"/>
  <c r="KC11" i="1"/>
  <c r="KA11" i="1"/>
  <c r="JZ11" i="1"/>
  <c r="JX11" i="1"/>
  <c r="JW11" i="1"/>
  <c r="JU11" i="1"/>
  <c r="JT11" i="1"/>
  <c r="JR11" i="1"/>
  <c r="JQ11" i="1"/>
  <c r="JO11" i="1"/>
  <c r="JN11" i="1"/>
  <c r="JL11" i="1"/>
  <c r="JK11" i="1"/>
  <c r="JI11" i="1"/>
  <c r="JH11" i="1"/>
  <c r="JF11" i="1"/>
  <c r="JE11" i="1"/>
  <c r="JC11" i="1"/>
  <c r="JB11" i="1"/>
  <c r="IZ11" i="1"/>
  <c r="IY11" i="1"/>
  <c r="IW11" i="1"/>
  <c r="IV11" i="1"/>
  <c r="IT11" i="1"/>
  <c r="IS11" i="1"/>
  <c r="IQ11" i="1"/>
  <c r="IP11" i="1"/>
  <c r="IN11" i="1"/>
  <c r="IM11" i="1"/>
  <c r="IK11" i="1"/>
  <c r="IJ11" i="1"/>
  <c r="IH11" i="1"/>
  <c r="IG11" i="1"/>
  <c r="IE11" i="1"/>
  <c r="ID11" i="1"/>
  <c r="IB11" i="1"/>
  <c r="IA11" i="1"/>
  <c r="HY11" i="1"/>
  <c r="HX11" i="1"/>
  <c r="HV11" i="1"/>
  <c r="HU11" i="1"/>
  <c r="HS11" i="1"/>
  <c r="HR11" i="1"/>
  <c r="HP11" i="1"/>
  <c r="HO11" i="1"/>
  <c r="HM11" i="1"/>
  <c r="HL11" i="1"/>
  <c r="HJ11" i="1"/>
  <c r="HI11" i="1"/>
  <c r="HG11" i="1"/>
  <c r="HF11" i="1"/>
  <c r="HD11" i="1"/>
  <c r="HC11" i="1"/>
  <c r="HA11" i="1"/>
  <c r="GZ11" i="1"/>
  <c r="GX11" i="1"/>
  <c r="GW11" i="1"/>
  <c r="GU11" i="1"/>
  <c r="GT11" i="1"/>
  <c r="GR11" i="1"/>
  <c r="GQ11" i="1"/>
  <c r="GO11" i="1"/>
  <c r="GN11" i="1"/>
  <c r="GL11" i="1"/>
  <c r="GK11" i="1"/>
  <c r="GI11" i="1"/>
  <c r="GH11" i="1"/>
  <c r="GF11" i="1"/>
  <c r="GE11" i="1"/>
  <c r="GC11" i="1"/>
  <c r="GB11" i="1"/>
  <c r="FZ11" i="1"/>
  <c r="FY11" i="1"/>
  <c r="FW11" i="1"/>
  <c r="FV11" i="1"/>
  <c r="FT11" i="1"/>
  <c r="FS11" i="1"/>
  <c r="FQ11" i="1"/>
  <c r="FP11" i="1"/>
  <c r="FN11" i="1"/>
  <c r="FM11" i="1"/>
  <c r="FK11" i="1"/>
  <c r="FJ11" i="1"/>
  <c r="FH11" i="1"/>
  <c r="FG11" i="1"/>
  <c r="FE11" i="1"/>
  <c r="FD11" i="1"/>
  <c r="FB11" i="1"/>
  <c r="FA11" i="1"/>
  <c r="EY11" i="1"/>
  <c r="EX11" i="1"/>
  <c r="EV11" i="1"/>
  <c r="EU11" i="1"/>
  <c r="ES11" i="1"/>
  <c r="ER11" i="1"/>
  <c r="EP11" i="1"/>
  <c r="EO11" i="1"/>
  <c r="EM11" i="1"/>
  <c r="EL11" i="1"/>
  <c r="EJ11" i="1"/>
  <c r="EI11" i="1"/>
  <c r="EG11" i="1"/>
  <c r="EF11" i="1"/>
  <c r="ED11" i="1"/>
  <c r="EC11" i="1"/>
  <c r="EA11" i="1"/>
  <c r="DZ11" i="1"/>
  <c r="DX11" i="1"/>
  <c r="DW11" i="1"/>
  <c r="DU11" i="1"/>
  <c r="DT11" i="1"/>
  <c r="DR11" i="1"/>
  <c r="DQ11" i="1"/>
  <c r="DO11" i="1"/>
  <c r="DN11" i="1"/>
  <c r="DL11" i="1"/>
  <c r="DK11" i="1"/>
  <c r="DH11" i="1"/>
  <c r="DF11" i="1"/>
  <c r="DE11" i="1"/>
  <c r="DC11" i="1"/>
  <c r="DB11" i="1"/>
  <c r="CZ11" i="1"/>
  <c r="CY11" i="1"/>
  <c r="CW11" i="1"/>
  <c r="CV11" i="1"/>
  <c r="CT11" i="1"/>
  <c r="CS11" i="1"/>
  <c r="CQ11" i="1"/>
  <c r="CP11" i="1"/>
  <c r="CN11" i="1"/>
  <c r="CM11" i="1"/>
  <c r="CK11" i="1"/>
  <c r="CJ11" i="1"/>
  <c r="CH11" i="1"/>
  <c r="CG11" i="1"/>
  <c r="CE11" i="1"/>
  <c r="CD11" i="1"/>
  <c r="CB11" i="1"/>
  <c r="CA11" i="1"/>
  <c r="BY11" i="1"/>
  <c r="BX11" i="1"/>
  <c r="BV11" i="1"/>
  <c r="BU11" i="1"/>
  <c r="BS11" i="1"/>
  <c r="BR11" i="1"/>
  <c r="BP11" i="1"/>
  <c r="BO11" i="1"/>
  <c r="BM11" i="1"/>
  <c r="BL11" i="1"/>
  <c r="BJ11" i="1"/>
  <c r="BI11" i="1"/>
  <c r="BG11" i="1"/>
  <c r="BF11" i="1"/>
  <c r="BD11" i="1"/>
  <c r="BC11" i="1"/>
  <c r="BA11" i="1"/>
  <c r="AZ11" i="1"/>
  <c r="AX11" i="1"/>
  <c r="AW11" i="1"/>
  <c r="AU11" i="1"/>
  <c r="AT11" i="1"/>
  <c r="AR11" i="1"/>
  <c r="AQ11" i="1"/>
  <c r="AO11" i="1"/>
  <c r="AN11" i="1"/>
  <c r="AL11" i="1"/>
  <c r="AK11" i="1"/>
  <c r="AI11" i="1"/>
  <c r="AH11" i="1"/>
  <c r="AF11" i="1"/>
  <c r="AE11" i="1"/>
  <c r="AC11" i="1"/>
  <c r="AB11" i="1"/>
  <c r="Z11" i="1"/>
  <c r="Y11" i="1"/>
  <c r="W11" i="1"/>
  <c r="V11" i="1"/>
  <c r="T11" i="1"/>
  <c r="S11" i="1"/>
  <c r="Q11" i="1"/>
  <c r="P11" i="1"/>
  <c r="N11" i="1"/>
  <c r="M11" i="1"/>
  <c r="K11" i="1"/>
  <c r="J11" i="1"/>
  <c r="H11" i="1"/>
  <c r="G11" i="1"/>
  <c r="E11" i="1"/>
  <c r="D11" i="1"/>
  <c r="C11" i="1"/>
  <c r="B11" i="1"/>
  <c r="A11" i="1"/>
  <c r="KS10" i="1"/>
  <c r="KR10" i="1"/>
  <c r="KQ10" i="1"/>
  <c r="KP10" i="1"/>
  <c r="KO10" i="1"/>
  <c r="KM10" i="1"/>
  <c r="KL10" i="1"/>
  <c r="KJ10" i="1"/>
  <c r="KI10" i="1"/>
  <c r="KG10" i="1"/>
  <c r="KF10" i="1"/>
  <c r="KD10" i="1"/>
  <c r="KC10" i="1"/>
  <c r="KA10" i="1"/>
  <c r="JZ10" i="1"/>
  <c r="JX10" i="1"/>
  <c r="JW10" i="1"/>
  <c r="JU10" i="1"/>
  <c r="JT10" i="1"/>
  <c r="JR10" i="1"/>
  <c r="JQ10" i="1"/>
  <c r="JO10" i="1"/>
  <c r="JN10" i="1"/>
  <c r="JL10" i="1"/>
  <c r="JK10" i="1"/>
  <c r="JI10" i="1"/>
  <c r="JH10" i="1"/>
  <c r="JF10" i="1"/>
  <c r="JE10" i="1"/>
  <c r="JC10" i="1"/>
  <c r="JB10" i="1"/>
  <c r="IZ10" i="1"/>
  <c r="IY10" i="1"/>
  <c r="IW10" i="1"/>
  <c r="IV10" i="1"/>
  <c r="IT10" i="1"/>
  <c r="IS10" i="1"/>
  <c r="IQ10" i="1"/>
  <c r="IP10" i="1"/>
  <c r="IN10" i="1"/>
  <c r="IM10" i="1"/>
  <c r="IK10" i="1"/>
  <c r="IJ10" i="1"/>
  <c r="IH10" i="1"/>
  <c r="IG10" i="1"/>
  <c r="IE10" i="1"/>
  <c r="ID10" i="1"/>
  <c r="IB10" i="1"/>
  <c r="IA10" i="1"/>
  <c r="HY10" i="1"/>
  <c r="HX10" i="1"/>
  <c r="HV10" i="1"/>
  <c r="HU10" i="1"/>
  <c r="HS10" i="1"/>
  <c r="HR10" i="1"/>
  <c r="HP10" i="1"/>
  <c r="HO10" i="1"/>
  <c r="HM10" i="1"/>
  <c r="HL10" i="1"/>
  <c r="HJ10" i="1"/>
  <c r="HI10" i="1"/>
  <c r="HG10" i="1"/>
  <c r="HF10" i="1"/>
  <c r="HD10" i="1"/>
  <c r="HC10" i="1"/>
  <c r="HA10" i="1"/>
  <c r="GZ10" i="1"/>
  <c r="GX10" i="1"/>
  <c r="GW10" i="1"/>
  <c r="GU10" i="1"/>
  <c r="GT10" i="1"/>
  <c r="GR10" i="1"/>
  <c r="GQ10" i="1"/>
  <c r="GO10" i="1"/>
  <c r="GN10" i="1"/>
  <c r="GL10" i="1"/>
  <c r="GK10" i="1"/>
  <c r="GI10" i="1"/>
  <c r="GH10" i="1"/>
  <c r="GF10" i="1"/>
  <c r="GE10" i="1"/>
  <c r="GC10" i="1"/>
  <c r="GB10" i="1"/>
  <c r="FZ10" i="1"/>
  <c r="FY10" i="1"/>
  <c r="FW10" i="1"/>
  <c r="FV10" i="1"/>
  <c r="FT10" i="1"/>
  <c r="FS10" i="1"/>
  <c r="FQ10" i="1"/>
  <c r="FP10" i="1"/>
  <c r="FN10" i="1"/>
  <c r="FM10" i="1"/>
  <c r="FK10" i="1"/>
  <c r="FJ10" i="1"/>
  <c r="FH10" i="1"/>
  <c r="FG10" i="1"/>
  <c r="FE10" i="1"/>
  <c r="FD10" i="1"/>
  <c r="FB10" i="1"/>
  <c r="FA10" i="1"/>
  <c r="EY10" i="1"/>
  <c r="EX10" i="1"/>
  <c r="EV10" i="1"/>
  <c r="EU10" i="1"/>
  <c r="ES10" i="1"/>
  <c r="ER10" i="1"/>
  <c r="EP10" i="1"/>
  <c r="EO10" i="1"/>
  <c r="EM10" i="1"/>
  <c r="EL10" i="1"/>
  <c r="EJ10" i="1"/>
  <c r="EI10" i="1"/>
  <c r="EG10" i="1"/>
  <c r="EF10" i="1"/>
  <c r="ED10" i="1"/>
  <c r="EC10" i="1"/>
  <c r="EA10" i="1"/>
  <c r="DZ10" i="1"/>
  <c r="DX10" i="1"/>
  <c r="DW10" i="1"/>
  <c r="DU10" i="1"/>
  <c r="DT10" i="1"/>
  <c r="DR10" i="1"/>
  <c r="DQ10" i="1"/>
  <c r="DO10" i="1"/>
  <c r="DN10" i="1"/>
  <c r="DL10" i="1"/>
  <c r="DK10" i="1"/>
  <c r="DH10" i="1"/>
  <c r="DF10" i="1"/>
  <c r="DE10" i="1"/>
  <c r="DC10" i="1"/>
  <c r="DB10" i="1"/>
  <c r="CZ10" i="1"/>
  <c r="CY10" i="1"/>
  <c r="CW10" i="1"/>
  <c r="CV10" i="1"/>
  <c r="CT10" i="1"/>
  <c r="CS10" i="1"/>
  <c r="CQ10" i="1"/>
  <c r="CP10" i="1"/>
  <c r="CN10" i="1"/>
  <c r="CM10" i="1"/>
  <c r="CK10" i="1"/>
  <c r="CJ10" i="1"/>
  <c r="CH10" i="1"/>
  <c r="CG10" i="1"/>
  <c r="CE10" i="1"/>
  <c r="CD10" i="1"/>
  <c r="CB10" i="1"/>
  <c r="CA10" i="1"/>
  <c r="BY10" i="1"/>
  <c r="BX10" i="1"/>
  <c r="BV10" i="1"/>
  <c r="BU10" i="1"/>
  <c r="BS10" i="1"/>
  <c r="BR10" i="1"/>
  <c r="BP10" i="1"/>
  <c r="BO10" i="1"/>
  <c r="BM10" i="1"/>
  <c r="BL10" i="1"/>
  <c r="BJ10" i="1"/>
  <c r="BI10" i="1"/>
  <c r="BG10" i="1"/>
  <c r="BF10" i="1"/>
  <c r="BD10" i="1"/>
  <c r="BC10" i="1"/>
  <c r="BA10" i="1"/>
  <c r="AZ10" i="1"/>
  <c r="AX10" i="1"/>
  <c r="AW10" i="1"/>
  <c r="AU10" i="1"/>
  <c r="AT10" i="1"/>
  <c r="AR10" i="1"/>
  <c r="AQ10" i="1"/>
  <c r="AO10" i="1"/>
  <c r="AN10" i="1"/>
  <c r="AL10" i="1"/>
  <c r="AK10" i="1"/>
  <c r="AI10" i="1"/>
  <c r="AH10" i="1"/>
  <c r="AF10" i="1"/>
  <c r="AE10" i="1"/>
  <c r="AC10" i="1"/>
  <c r="AB10" i="1"/>
  <c r="Z10" i="1"/>
  <c r="Y10" i="1"/>
  <c r="W10" i="1"/>
  <c r="V10" i="1"/>
  <c r="T10" i="1"/>
  <c r="S10" i="1"/>
  <c r="Q10" i="1"/>
  <c r="P10" i="1"/>
  <c r="N10" i="1"/>
  <c r="M10" i="1"/>
  <c r="K10" i="1"/>
  <c r="J10" i="1"/>
  <c r="H10" i="1"/>
  <c r="G10" i="1"/>
  <c r="E10" i="1"/>
  <c r="D10" i="1"/>
  <c r="C10" i="1"/>
  <c r="B10" i="1"/>
  <c r="A10" i="1"/>
  <c r="KS9" i="1"/>
  <c r="KR9" i="1"/>
  <c r="KQ9" i="1"/>
  <c r="KP9" i="1"/>
  <c r="KO9" i="1"/>
  <c r="KM9" i="1"/>
  <c r="KL9" i="1"/>
  <c r="KJ9" i="1"/>
  <c r="KI9" i="1"/>
  <c r="KG9" i="1"/>
  <c r="KF9" i="1"/>
  <c r="KD9" i="1"/>
  <c r="KC9" i="1"/>
  <c r="KA9" i="1"/>
  <c r="JZ9" i="1"/>
  <c r="JX9" i="1"/>
  <c r="JW9" i="1"/>
  <c r="JU9" i="1"/>
  <c r="JT9" i="1"/>
  <c r="JR9" i="1"/>
  <c r="JQ9" i="1"/>
  <c r="JO9" i="1"/>
  <c r="JN9" i="1"/>
  <c r="JL9" i="1"/>
  <c r="JK9" i="1"/>
  <c r="JI9" i="1"/>
  <c r="JH9" i="1"/>
  <c r="JF9" i="1"/>
  <c r="JE9" i="1"/>
  <c r="JC9" i="1"/>
  <c r="JB9" i="1"/>
  <c r="IZ9" i="1"/>
  <c r="IY9" i="1"/>
  <c r="IW9" i="1"/>
  <c r="IV9" i="1"/>
  <c r="IT9" i="1"/>
  <c r="IS9" i="1"/>
  <c r="IQ9" i="1"/>
  <c r="IP9" i="1"/>
  <c r="IN9" i="1"/>
  <c r="IM9" i="1"/>
  <c r="IK9" i="1"/>
  <c r="IJ9" i="1"/>
  <c r="IH9" i="1"/>
  <c r="IG9" i="1"/>
  <c r="IE9" i="1"/>
  <c r="ID9" i="1"/>
  <c r="IB9" i="1"/>
  <c r="IA9" i="1"/>
  <c r="HY9" i="1"/>
  <c r="HX9" i="1"/>
  <c r="HV9" i="1"/>
  <c r="HU9" i="1"/>
  <c r="HS9" i="1"/>
  <c r="HR9" i="1"/>
  <c r="HP9" i="1"/>
  <c r="HO9" i="1"/>
  <c r="HM9" i="1"/>
  <c r="HL9" i="1"/>
  <c r="HJ9" i="1"/>
  <c r="HI9" i="1"/>
  <c r="HG9" i="1"/>
  <c r="HF9" i="1"/>
  <c r="HD9" i="1"/>
  <c r="HC9" i="1"/>
  <c r="HA9" i="1"/>
  <c r="GZ9" i="1"/>
  <c r="GX9" i="1"/>
  <c r="GW9" i="1"/>
  <c r="GU9" i="1"/>
  <c r="GT9" i="1"/>
  <c r="GR9" i="1"/>
  <c r="GQ9" i="1"/>
  <c r="GO9" i="1"/>
  <c r="GN9" i="1"/>
  <c r="GL9" i="1"/>
  <c r="GK9" i="1"/>
  <c r="GI9" i="1"/>
  <c r="GH9" i="1"/>
  <c r="GF9" i="1"/>
  <c r="GE9" i="1"/>
  <c r="GC9" i="1"/>
  <c r="GB9" i="1"/>
  <c r="FZ9" i="1"/>
  <c r="FY9" i="1"/>
  <c r="FW9" i="1"/>
  <c r="FV9" i="1"/>
  <c r="FT9" i="1"/>
  <c r="FS9" i="1"/>
  <c r="FQ9" i="1"/>
  <c r="FP9" i="1"/>
  <c r="FN9" i="1"/>
  <c r="FM9" i="1"/>
  <c r="FK9" i="1"/>
  <c r="FJ9" i="1"/>
  <c r="FH9" i="1"/>
  <c r="FG9" i="1"/>
  <c r="FE9" i="1"/>
  <c r="FD9" i="1"/>
  <c r="FB9" i="1"/>
  <c r="FA9" i="1"/>
  <c r="EY9" i="1"/>
  <c r="EX9" i="1"/>
  <c r="EV9" i="1"/>
  <c r="EU9" i="1"/>
  <c r="ES9" i="1"/>
  <c r="ER9" i="1"/>
  <c r="EP9" i="1"/>
  <c r="EO9" i="1"/>
  <c r="EM9" i="1"/>
  <c r="EL9" i="1"/>
  <c r="EJ9" i="1"/>
  <c r="EI9" i="1"/>
  <c r="EG9" i="1"/>
  <c r="EF9" i="1"/>
  <c r="ED9" i="1"/>
  <c r="EC9" i="1"/>
  <c r="EA9" i="1"/>
  <c r="DZ9" i="1"/>
  <c r="DX9" i="1"/>
  <c r="DW9" i="1"/>
  <c r="DU9" i="1"/>
  <c r="DT9" i="1"/>
  <c r="DR9" i="1"/>
  <c r="DQ9" i="1"/>
  <c r="DO9" i="1"/>
  <c r="DN9" i="1"/>
  <c r="DL9" i="1"/>
  <c r="DK9" i="1"/>
  <c r="DH9" i="1"/>
  <c r="DF9" i="1"/>
  <c r="DE9" i="1"/>
  <c r="DC9" i="1"/>
  <c r="DB9" i="1"/>
  <c r="CZ9" i="1"/>
  <c r="CY9" i="1"/>
  <c r="CW9" i="1"/>
  <c r="CV9" i="1"/>
  <c r="CT9" i="1"/>
  <c r="CS9" i="1"/>
  <c r="CQ9" i="1"/>
  <c r="CP9" i="1"/>
  <c r="CN9" i="1"/>
  <c r="CM9" i="1"/>
  <c r="CK9" i="1"/>
  <c r="CJ9" i="1"/>
  <c r="CH9" i="1"/>
  <c r="CG9" i="1"/>
  <c r="CE9" i="1"/>
  <c r="CD9" i="1"/>
  <c r="CB9" i="1"/>
  <c r="CA9" i="1"/>
  <c r="BY9" i="1"/>
  <c r="BX9" i="1"/>
  <c r="BV9" i="1"/>
  <c r="BU9" i="1"/>
  <c r="BS9" i="1"/>
  <c r="BR9" i="1"/>
  <c r="BP9" i="1"/>
  <c r="BO9" i="1"/>
  <c r="BM9" i="1"/>
  <c r="BL9" i="1"/>
  <c r="BJ9" i="1"/>
  <c r="BI9" i="1"/>
  <c r="BG9" i="1"/>
  <c r="BF9" i="1"/>
  <c r="BD9" i="1"/>
  <c r="BC9" i="1"/>
  <c r="BA9" i="1"/>
  <c r="AZ9" i="1"/>
  <c r="AX9" i="1"/>
  <c r="AW9" i="1"/>
  <c r="AU9" i="1"/>
  <c r="AT9" i="1"/>
  <c r="AR9" i="1"/>
  <c r="AQ9" i="1"/>
  <c r="AO9" i="1"/>
  <c r="AN9" i="1"/>
  <c r="AL9" i="1"/>
  <c r="AK9" i="1"/>
  <c r="AI9" i="1"/>
  <c r="AH9" i="1"/>
  <c r="AF9" i="1"/>
  <c r="AE9" i="1"/>
  <c r="AC9" i="1"/>
  <c r="AB9" i="1"/>
  <c r="Z9" i="1"/>
  <c r="Y9" i="1"/>
  <c r="W9" i="1"/>
  <c r="V9" i="1"/>
  <c r="T9" i="1"/>
  <c r="S9" i="1"/>
  <c r="Q9" i="1"/>
  <c r="P9" i="1"/>
  <c r="N9" i="1"/>
  <c r="M9" i="1"/>
  <c r="K9" i="1"/>
  <c r="J9" i="1"/>
  <c r="H9" i="1"/>
  <c r="G9" i="1"/>
  <c r="E9" i="1"/>
  <c r="D9" i="1"/>
  <c r="C9" i="1"/>
  <c r="B9" i="1"/>
  <c r="A9" i="1"/>
  <c r="X188" i="54"/>
  <c r="BF158" i="54"/>
  <c r="BE158" i="54"/>
  <c r="BD158" i="54"/>
  <c r="BC158" i="54"/>
  <c r="BB158" i="54"/>
  <c r="AZ158" i="54"/>
  <c r="AY158" i="54"/>
  <c r="AX158" i="54"/>
  <c r="AW158" i="54"/>
  <c r="AV158" i="54"/>
  <c r="AS158" i="54"/>
  <c r="AQ158" i="54"/>
  <c r="AP158" i="54"/>
  <c r="AN158" i="54"/>
  <c r="AL158" i="54"/>
  <c r="AK158" i="54"/>
  <c r="AJ158" i="54"/>
  <c r="AI158" i="54"/>
  <c r="AH158" i="54"/>
  <c r="AG158" i="54"/>
  <c r="AF158" i="54"/>
  <c r="AR157" i="54"/>
  <c r="AM157" i="54"/>
  <c r="AC157" i="54"/>
  <c r="AA157" i="54"/>
  <c r="BA155" i="54"/>
  <c r="AD155" i="54" s="1"/>
  <c r="AR155" i="54"/>
  <c r="AM155" i="54"/>
  <c r="AR154" i="54"/>
  <c r="BA154" i="54" s="1"/>
  <c r="AD154" i="54" s="1"/>
  <c r="AM154" i="54"/>
  <c r="W154" i="54"/>
  <c r="O154" i="54"/>
  <c r="C154" i="54" s="1"/>
  <c r="N154" i="54"/>
  <c r="V154" i="54" s="1"/>
  <c r="K154" i="54"/>
  <c r="J154" i="54"/>
  <c r="BA153" i="54"/>
  <c r="AR153" i="54"/>
  <c r="AM153" i="54"/>
  <c r="AD153" i="54"/>
  <c r="Z153" i="54"/>
  <c r="W153" i="54"/>
  <c r="O153" i="54"/>
  <c r="C153" i="54" s="1"/>
  <c r="N153" i="54"/>
  <c r="V153" i="54" s="1"/>
  <c r="K153" i="54"/>
  <c r="J153" i="54"/>
  <c r="BA152" i="54"/>
  <c r="AR152" i="54"/>
  <c r="AM152" i="54"/>
  <c r="AD152" i="54"/>
  <c r="Y152" i="54"/>
  <c r="Y158" i="54" s="1"/>
  <c r="W152" i="54"/>
  <c r="O152" i="54"/>
  <c r="U152" i="54" s="1"/>
  <c r="N152" i="54"/>
  <c r="K152" i="54" s="1"/>
  <c r="J152" i="54"/>
  <c r="AR150" i="54"/>
  <c r="BA150" i="54" s="1"/>
  <c r="AM150" i="54"/>
  <c r="AD150" i="54" s="1"/>
  <c r="BA149" i="54"/>
  <c r="AR149" i="54"/>
  <c r="AM149" i="54"/>
  <c r="AD149" i="54" s="1"/>
  <c r="Z149" i="54"/>
  <c r="W149" i="54"/>
  <c r="V149" i="54"/>
  <c r="P149" i="54"/>
  <c r="O149" i="54"/>
  <c r="U149" i="54" s="1"/>
  <c r="N149" i="54"/>
  <c r="K149" i="54"/>
  <c r="J149" i="54"/>
  <c r="C149" i="54"/>
  <c r="BA148" i="54"/>
  <c r="AR148" i="54"/>
  <c r="AM148" i="54"/>
  <c r="AD148" i="54" s="1"/>
  <c r="Z148" i="54"/>
  <c r="W148" i="54"/>
  <c r="O148" i="54"/>
  <c r="T148" i="54" s="1"/>
  <c r="N148" i="54"/>
  <c r="K148" i="54" s="1"/>
  <c r="J148" i="54"/>
  <c r="AR146" i="54"/>
  <c r="BA146" i="54" s="1"/>
  <c r="AD146" i="54" s="1"/>
  <c r="AM146" i="54"/>
  <c r="BA145" i="54"/>
  <c r="AD145" i="54" s="1"/>
  <c r="AR145" i="54"/>
  <c r="AM145" i="54"/>
  <c r="AT144" i="54"/>
  <c r="AT158" i="54" s="1"/>
  <c r="AR144" i="54"/>
  <c r="BA144" i="54" s="1"/>
  <c r="AD144" i="54" s="1"/>
  <c r="AM144" i="54"/>
  <c r="AR143" i="54"/>
  <c r="BA143" i="54" s="1"/>
  <c r="AM143" i="54"/>
  <c r="AR142" i="54"/>
  <c r="BA142" i="54" s="1"/>
  <c r="AD142" i="54" s="1"/>
  <c r="AM142" i="54"/>
  <c r="AR141" i="54"/>
  <c r="BA141" i="54" s="1"/>
  <c r="AM141" i="54"/>
  <c r="AD141" i="54" s="1"/>
  <c r="Z141" i="54"/>
  <c r="W141" i="54"/>
  <c r="S141" i="54"/>
  <c r="S158" i="54" s="1"/>
  <c r="O141" i="54"/>
  <c r="P141" i="54" s="1"/>
  <c r="M141" i="54"/>
  <c r="N141" i="54" s="1"/>
  <c r="J141" i="54"/>
  <c r="AR140" i="54"/>
  <c r="BA140" i="54" s="1"/>
  <c r="AD140" i="54" s="1"/>
  <c r="AM140" i="54"/>
  <c r="Z140" i="54"/>
  <c r="W140" i="54"/>
  <c r="U140" i="54"/>
  <c r="T140" i="54"/>
  <c r="O140" i="54"/>
  <c r="P140" i="54" s="1"/>
  <c r="N140" i="54"/>
  <c r="V140" i="54" s="1"/>
  <c r="J140" i="54"/>
  <c r="C140" i="54"/>
  <c r="AR138" i="54"/>
  <c r="BA138" i="54" s="1"/>
  <c r="AD138" i="54" s="1"/>
  <c r="AM138" i="54"/>
  <c r="BA137" i="54"/>
  <c r="AD137" i="54" s="1"/>
  <c r="AR137" i="54"/>
  <c r="AM137" i="54"/>
  <c r="AR136" i="54"/>
  <c r="BA136" i="54" s="1"/>
  <c r="AD136" i="54" s="1"/>
  <c r="AM136" i="54"/>
  <c r="Z136" i="54"/>
  <c r="W136" i="54"/>
  <c r="X136" i="54" s="1"/>
  <c r="U136" i="54"/>
  <c r="AA136" i="54" s="1"/>
  <c r="AB136" i="54" s="1"/>
  <c r="T136" i="54"/>
  <c r="O136" i="54"/>
  <c r="C136" i="54" s="1"/>
  <c r="N136" i="54"/>
  <c r="V136" i="54" s="1"/>
  <c r="K136" i="54"/>
  <c r="AC136" i="54" s="1"/>
  <c r="J136" i="54"/>
  <c r="AR134" i="54"/>
  <c r="BA134" i="54" s="1"/>
  <c r="AD134" i="54" s="1"/>
  <c r="AM134" i="54"/>
  <c r="AR133" i="54"/>
  <c r="BA133" i="54" s="1"/>
  <c r="AM133" i="54"/>
  <c r="AR132" i="54"/>
  <c r="BA132" i="54" s="1"/>
  <c r="AD132" i="54" s="1"/>
  <c r="AM132" i="54"/>
  <c r="Z132" i="54"/>
  <c r="W132" i="54"/>
  <c r="O132" i="54"/>
  <c r="U132" i="54" s="1"/>
  <c r="AA132" i="54" s="1"/>
  <c r="N132" i="54"/>
  <c r="V132" i="54" s="1"/>
  <c r="J132" i="54"/>
  <c r="AR130" i="54"/>
  <c r="BA130" i="54" s="1"/>
  <c r="AD130" i="54" s="1"/>
  <c r="AM130" i="54"/>
  <c r="AR129" i="54"/>
  <c r="BA129" i="54" s="1"/>
  <c r="AM129" i="54"/>
  <c r="AD129" i="54" s="1"/>
  <c r="W129" i="54"/>
  <c r="V129" i="54"/>
  <c r="U129" i="54"/>
  <c r="O129" i="54"/>
  <c r="K129" i="54" s="1"/>
  <c r="N129" i="54"/>
  <c r="J129" i="54"/>
  <c r="C129" i="54"/>
  <c r="BA128" i="54"/>
  <c r="AD128" i="54" s="1"/>
  <c r="AR128" i="54"/>
  <c r="AM128" i="54"/>
  <c r="Z128" i="54"/>
  <c r="W128" i="54"/>
  <c r="U128" i="54"/>
  <c r="AA128" i="54" s="1"/>
  <c r="O128" i="54"/>
  <c r="P128" i="54" s="1"/>
  <c r="N128" i="54"/>
  <c r="K128" i="54" s="1"/>
  <c r="J128" i="54"/>
  <c r="BA126" i="54"/>
  <c r="AD126" i="54" s="1"/>
  <c r="AR126" i="54"/>
  <c r="AM126" i="54"/>
  <c r="BA125" i="54"/>
  <c r="AR125" i="54"/>
  <c r="AM125" i="54"/>
  <c r="AD125" i="54" s="1"/>
  <c r="W125" i="54"/>
  <c r="T125" i="54"/>
  <c r="P125" i="54"/>
  <c r="O125" i="54"/>
  <c r="C125" i="54" s="1"/>
  <c r="N125" i="54"/>
  <c r="V125" i="54" s="1"/>
  <c r="K125" i="54"/>
  <c r="AC125" i="54" s="1"/>
  <c r="J125" i="54"/>
  <c r="AR124" i="54"/>
  <c r="BA124" i="54" s="1"/>
  <c r="AM124" i="54"/>
  <c r="AD124" i="54" s="1"/>
  <c r="W124" i="54"/>
  <c r="V124" i="54"/>
  <c r="U124" i="54"/>
  <c r="O124" i="54"/>
  <c r="T124" i="54" s="1"/>
  <c r="N124" i="54"/>
  <c r="K124" i="54" s="1"/>
  <c r="AC124" i="54" s="1"/>
  <c r="J124" i="54"/>
  <c r="C124" i="54"/>
  <c r="BA122" i="54"/>
  <c r="AD122" i="54" s="1"/>
  <c r="AR122" i="54"/>
  <c r="AM122" i="54"/>
  <c r="BA121" i="54"/>
  <c r="AR121" i="54"/>
  <c r="AM121" i="54"/>
  <c r="AD121" i="54"/>
  <c r="BA120" i="54"/>
  <c r="AD120" i="54" s="1"/>
  <c r="AR120" i="54"/>
  <c r="AM120" i="54"/>
  <c r="W120" i="54"/>
  <c r="U120" i="54"/>
  <c r="T120" i="54"/>
  <c r="P120" i="54"/>
  <c r="O120" i="54"/>
  <c r="N120" i="54"/>
  <c r="V120" i="54" s="1"/>
  <c r="J120" i="54"/>
  <c r="C120" i="54"/>
  <c r="BA119" i="54"/>
  <c r="AR119" i="54"/>
  <c r="AM119" i="54"/>
  <c r="AD119" i="54" s="1"/>
  <c r="Z119" i="54"/>
  <c r="W119" i="54"/>
  <c r="T119" i="54"/>
  <c r="P119" i="54"/>
  <c r="O119" i="54"/>
  <c r="U119" i="54" s="1"/>
  <c r="AA119" i="54" s="1"/>
  <c r="N119" i="54"/>
  <c r="V119" i="54" s="1"/>
  <c r="K119" i="54"/>
  <c r="J119" i="54"/>
  <c r="C119" i="54"/>
  <c r="AR117" i="54"/>
  <c r="BA117" i="54" s="1"/>
  <c r="AM117" i="54"/>
  <c r="AR116" i="54"/>
  <c r="BA116" i="54" s="1"/>
  <c r="AM116" i="54"/>
  <c r="AD116" i="54" s="1"/>
  <c r="AR115" i="54"/>
  <c r="BA115" i="54" s="1"/>
  <c r="AM115" i="54"/>
  <c r="Z115" i="54"/>
  <c r="W115" i="54"/>
  <c r="P115" i="54"/>
  <c r="O115" i="54"/>
  <c r="T115" i="54" s="1"/>
  <c r="N115" i="54"/>
  <c r="V115" i="54" s="1"/>
  <c r="M115" i="54"/>
  <c r="U115" i="54" s="1"/>
  <c r="AA115" i="54" s="1"/>
  <c r="J115" i="54"/>
  <c r="AR113" i="54"/>
  <c r="BA113" i="54" s="1"/>
  <c r="AM113" i="54"/>
  <c r="W113" i="54"/>
  <c r="P113" i="54"/>
  <c r="O113" i="54"/>
  <c r="T113" i="54" s="1"/>
  <c r="N113" i="54"/>
  <c r="V113" i="54" s="1"/>
  <c r="M113" i="54"/>
  <c r="U113" i="54" s="1"/>
  <c r="J113" i="54"/>
  <c r="AR112" i="54"/>
  <c r="BA112" i="54" s="1"/>
  <c r="AM112" i="54"/>
  <c r="W112" i="54"/>
  <c r="P112" i="54"/>
  <c r="O112" i="54"/>
  <c r="T112" i="54" s="1"/>
  <c r="N112" i="54"/>
  <c r="V112" i="54" s="1"/>
  <c r="M112" i="54"/>
  <c r="U112" i="54" s="1"/>
  <c r="J112" i="54"/>
  <c r="AR111" i="54"/>
  <c r="BA111" i="54" s="1"/>
  <c r="AM111" i="54"/>
  <c r="W111" i="54"/>
  <c r="P111" i="54"/>
  <c r="O111" i="54"/>
  <c r="T111" i="54" s="1"/>
  <c r="N111" i="54"/>
  <c r="V111" i="54" s="1"/>
  <c r="M111" i="54"/>
  <c r="U111" i="54" s="1"/>
  <c r="J111" i="54"/>
  <c r="AR110" i="54"/>
  <c r="BA110" i="54" s="1"/>
  <c r="AM110" i="54"/>
  <c r="Z110" i="54"/>
  <c r="W110" i="54"/>
  <c r="U110" i="54"/>
  <c r="P110" i="54"/>
  <c r="O110" i="54"/>
  <c r="M110" i="54"/>
  <c r="N110" i="54" s="1"/>
  <c r="J110" i="54"/>
  <c r="C110" i="54"/>
  <c r="AR108" i="54"/>
  <c r="BA108" i="54" s="1"/>
  <c r="AM108" i="54"/>
  <c r="AR107" i="54"/>
  <c r="BA107" i="54" s="1"/>
  <c r="AM107" i="54"/>
  <c r="AD107" i="54" s="1"/>
  <c r="AR106" i="54"/>
  <c r="BA106" i="54" s="1"/>
  <c r="AM106" i="54"/>
  <c r="Z106" i="54"/>
  <c r="W106" i="54"/>
  <c r="X106" i="54" s="1"/>
  <c r="P106" i="54"/>
  <c r="O106" i="54"/>
  <c r="U106" i="54" s="1"/>
  <c r="AA106" i="54" s="1"/>
  <c r="N106" i="54"/>
  <c r="V106" i="54" s="1"/>
  <c r="M106" i="54"/>
  <c r="K106" i="54"/>
  <c r="J106" i="54"/>
  <c r="AR104" i="54"/>
  <c r="BA104" i="54" s="1"/>
  <c r="AD104" i="54" s="1"/>
  <c r="AM104" i="54"/>
  <c r="AR103" i="54"/>
  <c r="BA103" i="54" s="1"/>
  <c r="AM103" i="54"/>
  <c r="AR102" i="54"/>
  <c r="BA102" i="54" s="1"/>
  <c r="AD102" i="54" s="1"/>
  <c r="AM102" i="54"/>
  <c r="W102" i="54"/>
  <c r="P102" i="54"/>
  <c r="O102" i="54"/>
  <c r="U102" i="54" s="1"/>
  <c r="N102" i="54"/>
  <c r="V102" i="54" s="1"/>
  <c r="M102" i="54"/>
  <c r="K102" i="54"/>
  <c r="J102" i="54"/>
  <c r="AR101" i="54"/>
  <c r="BA101" i="54" s="1"/>
  <c r="AD101" i="54" s="1"/>
  <c r="AM101" i="54"/>
  <c r="W101" i="54"/>
  <c r="O101" i="54"/>
  <c r="K101" i="54" s="1"/>
  <c r="N101" i="54"/>
  <c r="M101" i="54"/>
  <c r="J101" i="54"/>
  <c r="BA99" i="54"/>
  <c r="AR99" i="54"/>
  <c r="AM99" i="54"/>
  <c r="AD99" i="54" s="1"/>
  <c r="AR98" i="54"/>
  <c r="BA98" i="54" s="1"/>
  <c r="AM98" i="54"/>
  <c r="AD98" i="54" s="1"/>
  <c r="BA97" i="54"/>
  <c r="AR97" i="54"/>
  <c r="AM97" i="54"/>
  <c r="AD97" i="54" s="1"/>
  <c r="W97" i="54"/>
  <c r="O97" i="54"/>
  <c r="K97" i="54" s="1"/>
  <c r="N97" i="54"/>
  <c r="M97" i="54"/>
  <c r="J97" i="54"/>
  <c r="BA96" i="54"/>
  <c r="AR96" i="54"/>
  <c r="AM96" i="54"/>
  <c r="AD96" i="54" s="1"/>
  <c r="W96" i="54"/>
  <c r="U96" i="54"/>
  <c r="O96" i="54"/>
  <c r="P96" i="54" s="1"/>
  <c r="N96" i="54"/>
  <c r="V96" i="54" s="1"/>
  <c r="M96" i="54"/>
  <c r="T96" i="54" s="1"/>
  <c r="K96" i="54"/>
  <c r="J96" i="54"/>
  <c r="C96" i="54"/>
  <c r="BA94" i="54"/>
  <c r="AR94" i="54"/>
  <c r="AM94" i="54"/>
  <c r="AD94" i="54" s="1"/>
  <c r="AR93" i="54"/>
  <c r="BA93" i="54" s="1"/>
  <c r="AD93" i="54" s="1"/>
  <c r="AM93" i="54"/>
  <c r="BA92" i="54"/>
  <c r="AR92" i="54"/>
  <c r="AM92" i="54"/>
  <c r="AD92" i="54" s="1"/>
  <c r="W92" i="54"/>
  <c r="U92" i="54"/>
  <c r="O92" i="54"/>
  <c r="P92" i="54" s="1"/>
  <c r="N92" i="54"/>
  <c r="V92" i="54" s="1"/>
  <c r="M92" i="54"/>
  <c r="T92" i="54" s="1"/>
  <c r="K92" i="54"/>
  <c r="J92" i="54"/>
  <c r="C92" i="54"/>
  <c r="BA91" i="54"/>
  <c r="AR91" i="54"/>
  <c r="AM91" i="54"/>
  <c r="AD91" i="54" s="1"/>
  <c r="Z91" i="54"/>
  <c r="W91" i="54"/>
  <c r="Q91" i="54"/>
  <c r="P91" i="54" s="1"/>
  <c r="O91" i="54"/>
  <c r="N91" i="54"/>
  <c r="V91" i="54" s="1"/>
  <c r="M91" i="54"/>
  <c r="T91" i="54" s="1"/>
  <c r="J91" i="54"/>
  <c r="BA90" i="54"/>
  <c r="AR90" i="54"/>
  <c r="AM90" i="54"/>
  <c r="AD90" i="54"/>
  <c r="W90" i="54"/>
  <c r="T90" i="54"/>
  <c r="P90" i="54"/>
  <c r="O90" i="54"/>
  <c r="V90" i="54" s="1"/>
  <c r="N90" i="54"/>
  <c r="M90" i="54"/>
  <c r="K90" i="54"/>
  <c r="AC90" i="54" s="1"/>
  <c r="J90" i="54"/>
  <c r="BA88" i="54"/>
  <c r="AR88" i="54"/>
  <c r="AM88" i="54"/>
  <c r="AD88" i="54" s="1"/>
  <c r="AR87" i="54"/>
  <c r="BA87" i="54" s="1"/>
  <c r="AM87" i="54"/>
  <c r="AD87" i="54" s="1"/>
  <c r="W87" i="54"/>
  <c r="P87" i="54"/>
  <c r="O87" i="54"/>
  <c r="M87" i="54"/>
  <c r="T87" i="54" s="1"/>
  <c r="J87" i="54"/>
  <c r="AR86" i="54"/>
  <c r="BA86" i="54" s="1"/>
  <c r="AM86" i="54"/>
  <c r="W86" i="54"/>
  <c r="O86" i="54"/>
  <c r="N86" i="54"/>
  <c r="M86" i="54"/>
  <c r="K86" i="54"/>
  <c r="J86" i="54"/>
  <c r="AR84" i="54"/>
  <c r="BA84" i="54" s="1"/>
  <c r="AM84" i="54"/>
  <c r="AD84" i="54" s="1"/>
  <c r="AR83" i="54"/>
  <c r="BA83" i="54" s="1"/>
  <c r="AM83" i="54"/>
  <c r="AR82" i="54"/>
  <c r="BA82" i="54" s="1"/>
  <c r="AM82" i="54"/>
  <c r="W82" i="54"/>
  <c r="O82" i="54"/>
  <c r="N82" i="54"/>
  <c r="M82" i="54"/>
  <c r="K82" i="54"/>
  <c r="J82" i="54"/>
  <c r="AR81" i="54"/>
  <c r="BA81" i="54" s="1"/>
  <c r="AM81" i="54"/>
  <c r="Z81" i="54"/>
  <c r="W81" i="54"/>
  <c r="V81" i="54"/>
  <c r="P81" i="54"/>
  <c r="O81" i="54"/>
  <c r="U81" i="54" s="1"/>
  <c r="N81" i="54"/>
  <c r="K81" i="54" s="1"/>
  <c r="J81" i="54"/>
  <c r="C81" i="54"/>
  <c r="BA79" i="54"/>
  <c r="AR79" i="54"/>
  <c r="AM79" i="54"/>
  <c r="AD79" i="54" s="1"/>
  <c r="BA78" i="54"/>
  <c r="AR78" i="54"/>
  <c r="AM78" i="54"/>
  <c r="AD78" i="54" s="1"/>
  <c r="BA77" i="54"/>
  <c r="AR77" i="54"/>
  <c r="AM77" i="54"/>
  <c r="AD77" i="54" s="1"/>
  <c r="Z77" i="54"/>
  <c r="W77" i="54"/>
  <c r="V77" i="54"/>
  <c r="O77" i="54"/>
  <c r="N77" i="54"/>
  <c r="K77" i="54" s="1"/>
  <c r="J77" i="54"/>
  <c r="C77" i="54"/>
  <c r="BA75" i="54"/>
  <c r="AR75" i="54"/>
  <c r="AM75" i="54"/>
  <c r="AD75" i="54"/>
  <c r="BA74" i="54"/>
  <c r="AR74" i="54"/>
  <c r="AM74" i="54"/>
  <c r="AD74" i="54"/>
  <c r="BA73" i="54"/>
  <c r="AR73" i="54"/>
  <c r="AM73" i="54"/>
  <c r="AD73" i="54"/>
  <c r="Z73" i="54"/>
  <c r="W73" i="54"/>
  <c r="U73" i="54"/>
  <c r="AA73" i="54" s="1"/>
  <c r="T73" i="54"/>
  <c r="O73" i="54"/>
  <c r="N73" i="54"/>
  <c r="J73" i="54"/>
  <c r="BA71" i="54"/>
  <c r="AD71" i="54" s="1"/>
  <c r="AR71" i="54"/>
  <c r="AM71" i="54"/>
  <c r="BA70" i="54"/>
  <c r="AR70" i="54"/>
  <c r="AM70" i="54"/>
  <c r="AD70" i="54" s="1"/>
  <c r="AR69" i="54"/>
  <c r="BA69" i="54" s="1"/>
  <c r="AD69" i="54" s="1"/>
  <c r="AM69" i="54"/>
  <c r="BA68" i="54"/>
  <c r="AR68" i="54"/>
  <c r="AM68" i="54"/>
  <c r="BA67" i="54"/>
  <c r="AD67" i="54" s="1"/>
  <c r="AR67" i="54"/>
  <c r="AM67" i="54"/>
  <c r="Z67" i="54"/>
  <c r="W67" i="54"/>
  <c r="T67" i="54"/>
  <c r="O67" i="54"/>
  <c r="N67" i="54"/>
  <c r="V67" i="54" s="1"/>
  <c r="J67" i="54"/>
  <c r="AR65" i="54"/>
  <c r="BA65" i="54" s="1"/>
  <c r="AD65" i="54" s="1"/>
  <c r="AM65" i="54"/>
  <c r="AR64" i="54"/>
  <c r="BA64" i="54" s="1"/>
  <c r="AM64" i="54"/>
  <c r="BA63" i="54"/>
  <c r="AD63" i="54" s="1"/>
  <c r="AR63" i="54"/>
  <c r="AM63" i="54"/>
  <c r="BA62" i="54"/>
  <c r="AR62" i="54"/>
  <c r="AM62" i="54"/>
  <c r="AD62" i="54" s="1"/>
  <c r="Z62" i="54"/>
  <c r="W62" i="54"/>
  <c r="T62" i="54"/>
  <c r="P62" i="54"/>
  <c r="O62" i="54"/>
  <c r="U62" i="54" s="1"/>
  <c r="AA62" i="54" s="1"/>
  <c r="N62" i="54"/>
  <c r="V62" i="54" s="1"/>
  <c r="J62" i="54"/>
  <c r="C62" i="54"/>
  <c r="AR60" i="54"/>
  <c r="BA60" i="54" s="1"/>
  <c r="AO60" i="54"/>
  <c r="AO158" i="54" s="1"/>
  <c r="AM60" i="54"/>
  <c r="AD60" i="54"/>
  <c r="BA59" i="54"/>
  <c r="AR59" i="54"/>
  <c r="AM59" i="54"/>
  <c r="AD59" i="54" s="1"/>
  <c r="AR58" i="54"/>
  <c r="BA58" i="54" s="1"/>
  <c r="AD58" i="54" s="1"/>
  <c r="AM58" i="54"/>
  <c r="AR57" i="54"/>
  <c r="BA57" i="54" s="1"/>
  <c r="AM57" i="54"/>
  <c r="W57" i="54"/>
  <c r="X57" i="54" s="1"/>
  <c r="R57" i="54"/>
  <c r="V57" i="54" s="1"/>
  <c r="O57" i="54"/>
  <c r="T57" i="54" s="1"/>
  <c r="AC57" i="54" s="1"/>
  <c r="N57" i="54"/>
  <c r="K57" i="54"/>
  <c r="J57" i="54"/>
  <c r="C57" i="54"/>
  <c r="AR55" i="54"/>
  <c r="BA55" i="54" s="1"/>
  <c r="AM55" i="54"/>
  <c r="AD55" i="54" s="1"/>
  <c r="AR54" i="54"/>
  <c r="BA54" i="54" s="1"/>
  <c r="AD54" i="54" s="1"/>
  <c r="AM54" i="54"/>
  <c r="AR53" i="54"/>
  <c r="BA53" i="54" s="1"/>
  <c r="AM53" i="54"/>
  <c r="AR52" i="54"/>
  <c r="BA52" i="54" s="1"/>
  <c r="AD52" i="54" s="1"/>
  <c r="AM52" i="54"/>
  <c r="Z52" i="54"/>
  <c r="W52" i="54"/>
  <c r="P52" i="54"/>
  <c r="O52" i="54"/>
  <c r="M52" i="54"/>
  <c r="U52" i="54" s="1"/>
  <c r="AA52" i="54" s="1"/>
  <c r="J52" i="54"/>
  <c r="C52" i="54"/>
  <c r="AR50" i="54"/>
  <c r="BA50" i="54" s="1"/>
  <c r="AM50" i="54"/>
  <c r="Z50" i="54"/>
  <c r="W50" i="54"/>
  <c r="U50" i="54"/>
  <c r="O50" i="54"/>
  <c r="P50" i="54" s="1"/>
  <c r="M50" i="54"/>
  <c r="J50" i="54"/>
  <c r="C50" i="54"/>
  <c r="AR49" i="54"/>
  <c r="BA49" i="54" s="1"/>
  <c r="AM49" i="54"/>
  <c r="AD49" i="54" s="1"/>
  <c r="W49" i="54"/>
  <c r="O49" i="54"/>
  <c r="P49" i="54" s="1"/>
  <c r="N49" i="54"/>
  <c r="V49" i="54" s="1"/>
  <c r="M49" i="54"/>
  <c r="T49" i="54" s="1"/>
  <c r="K49" i="54"/>
  <c r="J49" i="54"/>
  <c r="BA48" i="54"/>
  <c r="AR48" i="54"/>
  <c r="AM48" i="54"/>
  <c r="AD48" i="54" s="1"/>
  <c r="W48" i="54"/>
  <c r="V48" i="54"/>
  <c r="U48" i="54"/>
  <c r="P48" i="54"/>
  <c r="O48" i="54"/>
  <c r="N48" i="54"/>
  <c r="K48" i="54" s="1"/>
  <c r="M48" i="54"/>
  <c r="T48" i="54" s="1"/>
  <c r="J48" i="54"/>
  <c r="C48" i="54"/>
  <c r="AR47" i="54"/>
  <c r="BA47" i="54" s="1"/>
  <c r="AD47" i="54" s="1"/>
  <c r="AM47" i="54"/>
  <c r="W47" i="54"/>
  <c r="P47" i="54"/>
  <c r="O47" i="54"/>
  <c r="M47" i="54"/>
  <c r="T47" i="54" s="1"/>
  <c r="J47" i="54"/>
  <c r="BA45" i="54"/>
  <c r="AR45" i="54"/>
  <c r="AM45" i="54"/>
  <c r="AD45" i="54" s="1"/>
  <c r="AR44" i="54"/>
  <c r="BA44" i="54" s="1"/>
  <c r="AM44" i="54"/>
  <c r="AR43" i="54"/>
  <c r="BA43" i="54" s="1"/>
  <c r="AD43" i="54" s="1"/>
  <c r="AM43" i="54"/>
  <c r="AR42" i="54"/>
  <c r="BA42" i="54" s="1"/>
  <c r="AM42" i="54"/>
  <c r="Z42" i="54"/>
  <c r="W42" i="54"/>
  <c r="T42" i="54"/>
  <c r="P42" i="54"/>
  <c r="O42" i="54"/>
  <c r="M42" i="54"/>
  <c r="J42" i="54"/>
  <c r="AR40" i="54"/>
  <c r="BA40" i="54" s="1"/>
  <c r="AM40" i="54"/>
  <c r="AD40" i="54" s="1"/>
  <c r="AR39" i="54"/>
  <c r="BA39" i="54" s="1"/>
  <c r="AM39" i="54"/>
  <c r="AR38" i="54"/>
  <c r="BA38" i="54" s="1"/>
  <c r="AM38" i="54"/>
  <c r="AD38" i="54" s="1"/>
  <c r="Z38" i="54"/>
  <c r="W38" i="54"/>
  <c r="V38" i="54"/>
  <c r="U38" i="54"/>
  <c r="AA38" i="54" s="1"/>
  <c r="O38" i="54"/>
  <c r="P38" i="54" s="1"/>
  <c r="N38" i="54"/>
  <c r="K38" i="54" s="1"/>
  <c r="M38" i="54"/>
  <c r="T38" i="54" s="1"/>
  <c r="J38" i="54"/>
  <c r="C38" i="54"/>
  <c r="AR36" i="54"/>
  <c r="BA36" i="54" s="1"/>
  <c r="AD36" i="54" s="1"/>
  <c r="AM36" i="54"/>
  <c r="AR35" i="54"/>
  <c r="BA35" i="54" s="1"/>
  <c r="AM35" i="54"/>
  <c r="AR34" i="54"/>
  <c r="BA34" i="54" s="1"/>
  <c r="AD34" i="54" s="1"/>
  <c r="AM34" i="54"/>
  <c r="AR33" i="54"/>
  <c r="BA33" i="54" s="1"/>
  <c r="AM33" i="54"/>
  <c r="AR32" i="54"/>
  <c r="BA32" i="54" s="1"/>
  <c r="AD32" i="54" s="1"/>
  <c r="AM32" i="54"/>
  <c r="Z32" i="54"/>
  <c r="W32" i="54"/>
  <c r="R32" i="54"/>
  <c r="Q32" i="54"/>
  <c r="O32" i="54"/>
  <c r="P32" i="54" s="1"/>
  <c r="N32" i="54"/>
  <c r="V32" i="54" s="1"/>
  <c r="M32" i="54"/>
  <c r="U32" i="54" s="1"/>
  <c r="J32" i="54"/>
  <c r="BA31" i="54"/>
  <c r="AR31" i="54"/>
  <c r="AM31" i="54"/>
  <c r="AD31" i="54"/>
  <c r="W31" i="54"/>
  <c r="U31" i="54"/>
  <c r="T31" i="54"/>
  <c r="P31" i="54"/>
  <c r="O31" i="54"/>
  <c r="M31" i="54"/>
  <c r="N31" i="54" s="1"/>
  <c r="J31" i="54"/>
  <c r="C31" i="54"/>
  <c r="BA29" i="54"/>
  <c r="AR29" i="54"/>
  <c r="AM29" i="54"/>
  <c r="AD29" i="54" s="1"/>
  <c r="AR28" i="54"/>
  <c r="BA28" i="54" s="1"/>
  <c r="AD28" i="54" s="1"/>
  <c r="AM28" i="54"/>
  <c r="BA27" i="54"/>
  <c r="AR27" i="54"/>
  <c r="AM27" i="54"/>
  <c r="AD27" i="54" s="1"/>
  <c r="AR26" i="54"/>
  <c r="BA26" i="54" s="1"/>
  <c r="AD26" i="54" s="1"/>
  <c r="AM26" i="54"/>
  <c r="Z26" i="54"/>
  <c r="W26" i="54"/>
  <c r="U26" i="54"/>
  <c r="AA26" i="54" s="1"/>
  <c r="T26" i="54"/>
  <c r="P26" i="54"/>
  <c r="O26" i="54"/>
  <c r="C26" i="54" s="1"/>
  <c r="N26" i="54"/>
  <c r="V26" i="54" s="1"/>
  <c r="J26" i="54"/>
  <c r="AR24" i="54"/>
  <c r="BA24" i="54" s="1"/>
  <c r="AM24" i="54"/>
  <c r="AU23" i="54"/>
  <c r="AR23" i="54"/>
  <c r="BA23" i="54" s="1"/>
  <c r="AD23" i="54" s="1"/>
  <c r="AM23" i="54"/>
  <c r="BA22" i="54"/>
  <c r="AD22" i="54" s="1"/>
  <c r="AR22" i="54"/>
  <c r="AM22" i="54"/>
  <c r="AR21" i="54"/>
  <c r="BA21" i="54" s="1"/>
  <c r="AD21" i="54" s="1"/>
  <c r="AM21" i="54"/>
  <c r="BA20" i="54"/>
  <c r="AD20" i="54" s="1"/>
  <c r="AR20" i="54"/>
  <c r="AM20" i="54"/>
  <c r="W20" i="54"/>
  <c r="R20" i="54"/>
  <c r="Q20" i="54"/>
  <c r="O20" i="54"/>
  <c r="P20" i="54" s="1"/>
  <c r="N20" i="54"/>
  <c r="V20" i="54" s="1"/>
  <c r="J20" i="54"/>
  <c r="AU18" i="54"/>
  <c r="AU158" i="54" s="1"/>
  <c r="AR18" i="54"/>
  <c r="BA18" i="54" s="1"/>
  <c r="AD18" i="54" s="1"/>
  <c r="AM18" i="54"/>
  <c r="AR17" i="54"/>
  <c r="BA17" i="54" s="1"/>
  <c r="AM17" i="54"/>
  <c r="BA16" i="54"/>
  <c r="AR16" i="54"/>
  <c r="AM16" i="54"/>
  <c r="AD16" i="54"/>
  <c r="AR15" i="54"/>
  <c r="BA15" i="54" s="1"/>
  <c r="AM15" i="54"/>
  <c r="Z15" i="54"/>
  <c r="W15" i="54"/>
  <c r="T15" i="54"/>
  <c r="R15" i="54"/>
  <c r="R158" i="54" s="1"/>
  <c r="Q15" i="54"/>
  <c r="P15" i="54"/>
  <c r="O15" i="54"/>
  <c r="U15" i="54" s="1"/>
  <c r="AA15" i="54" s="1"/>
  <c r="N15" i="54"/>
  <c r="V15" i="54" s="1"/>
  <c r="J15" i="54"/>
  <c r="C15" i="54"/>
  <c r="AR13" i="54"/>
  <c r="BA13" i="54" s="1"/>
  <c r="AM13" i="54"/>
  <c r="BA12" i="54"/>
  <c r="AR12" i="54"/>
  <c r="AM12" i="54"/>
  <c r="AD12" i="54"/>
  <c r="Z12" i="54"/>
  <c r="W12" i="54"/>
  <c r="O12" i="54"/>
  <c r="K12" i="54" s="1"/>
  <c r="N12" i="54"/>
  <c r="V12" i="54" s="1"/>
  <c r="J12" i="54"/>
  <c r="BA11" i="54"/>
  <c r="AR11" i="54"/>
  <c r="AM11" i="54"/>
  <c r="AD11" i="54"/>
  <c r="W11" i="54"/>
  <c r="V11" i="54"/>
  <c r="T11" i="54"/>
  <c r="P11" i="54"/>
  <c r="O11" i="54"/>
  <c r="U11" i="54" s="1"/>
  <c r="N11" i="54"/>
  <c r="K11" i="54" s="1"/>
  <c r="AC11" i="54" s="1"/>
  <c r="J11" i="54"/>
  <c r="C11" i="54"/>
  <c r="AR10" i="54"/>
  <c r="BA10" i="54" s="1"/>
  <c r="AM10" i="54"/>
  <c r="AD10" i="54" s="1"/>
  <c r="W10" i="54"/>
  <c r="P10" i="54"/>
  <c r="O10" i="54"/>
  <c r="U10" i="54" s="1"/>
  <c r="N10" i="54"/>
  <c r="V10" i="54" s="1"/>
  <c r="K10" i="54"/>
  <c r="J10" i="54"/>
  <c r="C10" i="54"/>
  <c r="BA8" i="54"/>
  <c r="AR8" i="54"/>
  <c r="AM8" i="54"/>
  <c r="AD8" i="54" s="1"/>
  <c r="AR7" i="54"/>
  <c r="BA7" i="54" s="1"/>
  <c r="AM7" i="54"/>
  <c r="AD7" i="54" s="1"/>
  <c r="BA6" i="54"/>
  <c r="AR6" i="54"/>
  <c r="AM6" i="54"/>
  <c r="Z6" i="54"/>
  <c r="W6" i="54"/>
  <c r="P6" i="54"/>
  <c r="O6" i="54"/>
  <c r="U6" i="54" s="1"/>
  <c r="N6" i="54"/>
  <c r="K6" i="54" s="1"/>
  <c r="J6" i="54"/>
  <c r="A6" i="54"/>
  <c r="X188" i="46"/>
  <c r="BF158" i="46"/>
  <c r="BE158" i="46"/>
  <c r="BD158" i="46"/>
  <c r="BC158" i="46"/>
  <c r="BB158" i="46"/>
  <c r="AZ158" i="46"/>
  <c r="AY158" i="46"/>
  <c r="AX158" i="46"/>
  <c r="AW158" i="46"/>
  <c r="AV158" i="46"/>
  <c r="AU158" i="46"/>
  <c r="AT158" i="46"/>
  <c r="AS158" i="46"/>
  <c r="AQ158" i="46"/>
  <c r="AP158" i="46"/>
  <c r="AN158" i="46"/>
  <c r="AL158" i="46"/>
  <c r="AK158" i="46"/>
  <c r="AJ158" i="46"/>
  <c r="AI158" i="46"/>
  <c r="AH158" i="46"/>
  <c r="AG158" i="46"/>
  <c r="AF158" i="46"/>
  <c r="S158" i="46"/>
  <c r="AC157" i="46"/>
  <c r="AA157" i="46"/>
  <c r="BA155" i="46"/>
  <c r="AR155" i="46"/>
  <c r="AM155" i="46"/>
  <c r="AD155" i="46" s="1"/>
  <c r="AR154" i="46"/>
  <c r="BA154" i="46" s="1"/>
  <c r="AD154" i="46" s="1"/>
  <c r="AM154" i="46"/>
  <c r="W154" i="46"/>
  <c r="U154" i="46"/>
  <c r="T154" i="46"/>
  <c r="P154" i="46"/>
  <c r="O154" i="46"/>
  <c r="N154" i="46"/>
  <c r="V154" i="46" s="1"/>
  <c r="K154" i="46"/>
  <c r="AC154" i="46" s="1"/>
  <c r="J154" i="46"/>
  <c r="C154" i="46"/>
  <c r="AR153" i="46"/>
  <c r="BA153" i="46" s="1"/>
  <c r="AM153" i="46"/>
  <c r="Z153" i="46"/>
  <c r="W153" i="46"/>
  <c r="U153" i="46"/>
  <c r="T153" i="46"/>
  <c r="P153" i="46"/>
  <c r="O153" i="46"/>
  <c r="N153" i="46"/>
  <c r="V153" i="46" s="1"/>
  <c r="K153" i="46"/>
  <c r="AC153" i="46" s="1"/>
  <c r="J153" i="46"/>
  <c r="C153" i="46"/>
  <c r="AR152" i="46"/>
  <c r="BA152" i="46" s="1"/>
  <c r="AM152" i="46"/>
  <c r="AD152" i="46" s="1"/>
  <c r="Y152" i="46"/>
  <c r="Y158" i="46" s="1"/>
  <c r="W152" i="46"/>
  <c r="V152" i="46"/>
  <c r="P152" i="46"/>
  <c r="O152" i="46"/>
  <c r="U152" i="46" s="1"/>
  <c r="AA152" i="46" s="1"/>
  <c r="N152" i="46"/>
  <c r="K152" i="46" s="1"/>
  <c r="J152" i="46"/>
  <c r="C152" i="46"/>
  <c r="AR150" i="46"/>
  <c r="BA150" i="46" s="1"/>
  <c r="AM150" i="46"/>
  <c r="BA149" i="46"/>
  <c r="AR149" i="46"/>
  <c r="AM149" i="46"/>
  <c r="AD149" i="46"/>
  <c r="Z149" i="46"/>
  <c r="W149" i="46"/>
  <c r="O149" i="46"/>
  <c r="U149" i="46" s="1"/>
  <c r="N149" i="46"/>
  <c r="J149" i="46"/>
  <c r="BA148" i="46"/>
  <c r="AR148" i="46"/>
  <c r="AM148" i="46"/>
  <c r="AD148" i="46"/>
  <c r="Z148" i="46"/>
  <c r="W148" i="46"/>
  <c r="U148" i="46"/>
  <c r="O148" i="46"/>
  <c r="K148" i="46" s="1"/>
  <c r="N148" i="46"/>
  <c r="V148" i="46" s="1"/>
  <c r="J148" i="46"/>
  <c r="BA146" i="46"/>
  <c r="AD146" i="46" s="1"/>
  <c r="AR146" i="46"/>
  <c r="AM146" i="46"/>
  <c r="AR145" i="46"/>
  <c r="BA145" i="46" s="1"/>
  <c r="AD145" i="46" s="1"/>
  <c r="AM145" i="46"/>
  <c r="BA144" i="46"/>
  <c r="AD144" i="46" s="1"/>
  <c r="AR144" i="46"/>
  <c r="AM144" i="46"/>
  <c r="AR143" i="46"/>
  <c r="BA143" i="46" s="1"/>
  <c r="AD143" i="46" s="1"/>
  <c r="AM143" i="46"/>
  <c r="BA142" i="46"/>
  <c r="AD142" i="46" s="1"/>
  <c r="AR142" i="46"/>
  <c r="AM142" i="46"/>
  <c r="AR141" i="46"/>
  <c r="BA141" i="46" s="1"/>
  <c r="AM141" i="46"/>
  <c r="Z141" i="46"/>
  <c r="W141" i="46"/>
  <c r="U141" i="46"/>
  <c r="T141" i="46"/>
  <c r="O141" i="46"/>
  <c r="P141" i="46" s="1"/>
  <c r="N141" i="46"/>
  <c r="K141" i="46" s="1"/>
  <c r="AC141" i="46" s="1"/>
  <c r="M141" i="46"/>
  <c r="J141" i="46"/>
  <c r="C141" i="46"/>
  <c r="BA140" i="46"/>
  <c r="AR140" i="46"/>
  <c r="AM140" i="46"/>
  <c r="AD140" i="46"/>
  <c r="Z140" i="46"/>
  <c r="W140" i="46"/>
  <c r="U140" i="46"/>
  <c r="O140" i="46"/>
  <c r="K140" i="46" s="1"/>
  <c r="N140" i="46"/>
  <c r="V140" i="46" s="1"/>
  <c r="J140" i="46"/>
  <c r="BA138" i="46"/>
  <c r="AD138" i="46" s="1"/>
  <c r="AR138" i="46"/>
  <c r="AM138" i="46"/>
  <c r="AR137" i="46"/>
  <c r="BA137" i="46" s="1"/>
  <c r="AM137" i="46"/>
  <c r="BA136" i="46"/>
  <c r="AD136" i="46" s="1"/>
  <c r="AR136" i="46"/>
  <c r="AM136" i="46"/>
  <c r="Z136" i="46"/>
  <c r="W136" i="46"/>
  <c r="V136" i="46"/>
  <c r="U136" i="46"/>
  <c r="AA136" i="46" s="1"/>
  <c r="T136" i="46"/>
  <c r="P136" i="46"/>
  <c r="O136" i="46"/>
  <c r="N136" i="46"/>
  <c r="K136" i="46"/>
  <c r="X136" i="46" s="1"/>
  <c r="J136" i="46"/>
  <c r="C136" i="46"/>
  <c r="BA134" i="46"/>
  <c r="AR134" i="46"/>
  <c r="AM134" i="46"/>
  <c r="AD134" i="46" s="1"/>
  <c r="AR133" i="46"/>
  <c r="BA133" i="46" s="1"/>
  <c r="AD133" i="46" s="1"/>
  <c r="AM133" i="46"/>
  <c r="BA132" i="46"/>
  <c r="AR132" i="46"/>
  <c r="AM132" i="46"/>
  <c r="AD132" i="46" s="1"/>
  <c r="Z132" i="46"/>
  <c r="W132" i="46"/>
  <c r="V132" i="46"/>
  <c r="U132" i="46"/>
  <c r="AA132" i="46" s="1"/>
  <c r="T132" i="46"/>
  <c r="P132" i="46"/>
  <c r="O132" i="46"/>
  <c r="N132" i="46"/>
  <c r="K132" i="46"/>
  <c r="AC132" i="46" s="1"/>
  <c r="J132" i="46"/>
  <c r="C132" i="46"/>
  <c r="BA130" i="46"/>
  <c r="AR130" i="46"/>
  <c r="AM130" i="46"/>
  <c r="AD130" i="46" s="1"/>
  <c r="AR129" i="46"/>
  <c r="BA129" i="46" s="1"/>
  <c r="AD129" i="46" s="1"/>
  <c r="AM129" i="46"/>
  <c r="W129" i="46"/>
  <c r="V129" i="46"/>
  <c r="T129" i="46"/>
  <c r="P129" i="46"/>
  <c r="O129" i="46"/>
  <c r="U129" i="46" s="1"/>
  <c r="N129" i="46"/>
  <c r="K129" i="46" s="1"/>
  <c r="AC129" i="46" s="1"/>
  <c r="J129" i="46"/>
  <c r="C129" i="46"/>
  <c r="AR128" i="46"/>
  <c r="BA128" i="46" s="1"/>
  <c r="AM128" i="46"/>
  <c r="Z128" i="46"/>
  <c r="W128" i="46"/>
  <c r="X128" i="46" s="1"/>
  <c r="U128" i="46"/>
  <c r="AA128" i="46" s="1"/>
  <c r="T128" i="46"/>
  <c r="O128" i="46"/>
  <c r="P128" i="46" s="1"/>
  <c r="N128" i="46"/>
  <c r="K128" i="46" s="1"/>
  <c r="AC128" i="46" s="1"/>
  <c r="J128" i="46"/>
  <c r="C128" i="46"/>
  <c r="AR126" i="46"/>
  <c r="BA126" i="46" s="1"/>
  <c r="AD126" i="46" s="1"/>
  <c r="AM126" i="46"/>
  <c r="BA125" i="46"/>
  <c r="AD125" i="46" s="1"/>
  <c r="AR125" i="46"/>
  <c r="AM125" i="46"/>
  <c r="W125" i="46"/>
  <c r="T125" i="46"/>
  <c r="O125" i="46"/>
  <c r="C125" i="46" s="1"/>
  <c r="N125" i="46"/>
  <c r="V125" i="46" s="1"/>
  <c r="J125" i="46"/>
  <c r="AR124" i="46"/>
  <c r="BA124" i="46" s="1"/>
  <c r="AD124" i="46" s="1"/>
  <c r="AM124" i="46"/>
  <c r="W124" i="46"/>
  <c r="V124" i="46"/>
  <c r="T124" i="46"/>
  <c r="P124" i="46"/>
  <c r="O124" i="46"/>
  <c r="U124" i="46" s="1"/>
  <c r="N124" i="46"/>
  <c r="K124" i="46" s="1"/>
  <c r="AC124" i="46" s="1"/>
  <c r="J124" i="46"/>
  <c r="C124" i="46"/>
  <c r="AR122" i="46"/>
  <c r="BA122" i="46" s="1"/>
  <c r="AM122" i="46"/>
  <c r="BA121" i="46"/>
  <c r="AR121" i="46"/>
  <c r="AM121" i="46"/>
  <c r="AD121" i="46"/>
  <c r="AR120" i="46"/>
  <c r="BA120" i="46" s="1"/>
  <c r="AM120" i="46"/>
  <c r="AD120" i="46" s="1"/>
  <c r="W120" i="46"/>
  <c r="U120" i="46"/>
  <c r="O120" i="46"/>
  <c r="K120" i="46" s="1"/>
  <c r="N120" i="46"/>
  <c r="V120" i="46" s="1"/>
  <c r="J120" i="46"/>
  <c r="BA119" i="46"/>
  <c r="AD119" i="46" s="1"/>
  <c r="AR119" i="46"/>
  <c r="AM119" i="46"/>
  <c r="Z119" i="46"/>
  <c r="W119" i="46"/>
  <c r="V119" i="46"/>
  <c r="U119" i="46"/>
  <c r="AA119" i="46" s="1"/>
  <c r="T119" i="46"/>
  <c r="P119" i="46"/>
  <c r="O119" i="46"/>
  <c r="N119" i="46"/>
  <c r="K119" i="46"/>
  <c r="J119" i="46"/>
  <c r="C119" i="46"/>
  <c r="BA117" i="46"/>
  <c r="AR117" i="46"/>
  <c r="AM117" i="46"/>
  <c r="AD117" i="46" s="1"/>
  <c r="AR116" i="46"/>
  <c r="BA116" i="46" s="1"/>
  <c r="AD116" i="46" s="1"/>
  <c r="AM116" i="46"/>
  <c r="BA115" i="46"/>
  <c r="AR115" i="46"/>
  <c r="AM115" i="46"/>
  <c r="AD115" i="46" s="1"/>
  <c r="Z115" i="46"/>
  <c r="W115" i="46"/>
  <c r="P115" i="46"/>
  <c r="O115" i="46"/>
  <c r="M115" i="46"/>
  <c r="U115" i="46" s="1"/>
  <c r="AA115" i="46" s="1"/>
  <c r="J115" i="46"/>
  <c r="AR113" i="46"/>
  <c r="BA113" i="46" s="1"/>
  <c r="AD113" i="46" s="1"/>
  <c r="AM113" i="46"/>
  <c r="W113" i="46"/>
  <c r="P113" i="46"/>
  <c r="O113" i="46"/>
  <c r="M113" i="46"/>
  <c r="U113" i="46" s="1"/>
  <c r="J113" i="46"/>
  <c r="AR112" i="46"/>
  <c r="BA112" i="46" s="1"/>
  <c r="AD112" i="46" s="1"/>
  <c r="AM112" i="46"/>
  <c r="W112" i="46"/>
  <c r="P112" i="46"/>
  <c r="O112" i="46"/>
  <c r="M112" i="46"/>
  <c r="U112" i="46" s="1"/>
  <c r="J112" i="46"/>
  <c r="AR111" i="46"/>
  <c r="BA111" i="46" s="1"/>
  <c r="AD111" i="46" s="1"/>
  <c r="AM111" i="46"/>
  <c r="W111" i="46"/>
  <c r="P111" i="46"/>
  <c r="O111" i="46"/>
  <c r="M111" i="46"/>
  <c r="U111" i="46" s="1"/>
  <c r="J111" i="46"/>
  <c r="AR110" i="46"/>
  <c r="BA110" i="46" s="1"/>
  <c r="AD110" i="46" s="1"/>
  <c r="AM110" i="46"/>
  <c r="Z110" i="46"/>
  <c r="W110" i="46"/>
  <c r="T110" i="46"/>
  <c r="O110" i="46"/>
  <c r="U110" i="46" s="1"/>
  <c r="M110" i="46"/>
  <c r="N110" i="46" s="1"/>
  <c r="J110" i="46"/>
  <c r="BA108" i="46"/>
  <c r="AR108" i="46"/>
  <c r="AM108" i="46"/>
  <c r="AD108" i="46" s="1"/>
  <c r="AR107" i="46"/>
  <c r="BA107" i="46" s="1"/>
  <c r="AD107" i="46" s="1"/>
  <c r="AM107" i="46"/>
  <c r="BA106" i="46"/>
  <c r="AR106" i="46"/>
  <c r="AM106" i="46"/>
  <c r="AD106" i="46" s="1"/>
  <c r="Z106" i="46"/>
  <c r="W106" i="46"/>
  <c r="P106" i="46"/>
  <c r="O106" i="46"/>
  <c r="M106" i="46"/>
  <c r="U106" i="46" s="1"/>
  <c r="AA106" i="46" s="1"/>
  <c r="J106" i="46"/>
  <c r="AR104" i="46"/>
  <c r="BA104" i="46" s="1"/>
  <c r="AD104" i="46" s="1"/>
  <c r="AM104" i="46"/>
  <c r="BA103" i="46"/>
  <c r="AR103" i="46"/>
  <c r="AM103" i="46"/>
  <c r="AD103" i="46" s="1"/>
  <c r="AR102" i="46"/>
  <c r="BA102" i="46" s="1"/>
  <c r="AD102" i="46" s="1"/>
  <c r="AM102" i="46"/>
  <c r="W102" i="46"/>
  <c r="P102" i="46"/>
  <c r="O102" i="46"/>
  <c r="M102" i="46"/>
  <c r="U102" i="46" s="1"/>
  <c r="J102" i="46"/>
  <c r="AR101" i="46"/>
  <c r="BA101" i="46" s="1"/>
  <c r="AD101" i="46" s="1"/>
  <c r="AM101" i="46"/>
  <c r="W101" i="46"/>
  <c r="V101" i="46"/>
  <c r="P101" i="46"/>
  <c r="O101" i="46"/>
  <c r="U101" i="46" s="1"/>
  <c r="AA101" i="46" s="1"/>
  <c r="N101" i="46"/>
  <c r="K101" i="46" s="1"/>
  <c r="M101" i="46"/>
  <c r="J101" i="46"/>
  <c r="AR99" i="46"/>
  <c r="BA99" i="46" s="1"/>
  <c r="AD99" i="46" s="1"/>
  <c r="AM99" i="46"/>
  <c r="AR98" i="46"/>
  <c r="BA98" i="46" s="1"/>
  <c r="AM98" i="46"/>
  <c r="AD98" i="46" s="1"/>
  <c r="AR97" i="46"/>
  <c r="BA97" i="46" s="1"/>
  <c r="AD97" i="46" s="1"/>
  <c r="AM97" i="46"/>
  <c r="W97" i="46"/>
  <c r="V97" i="46"/>
  <c r="P97" i="46"/>
  <c r="O97" i="46"/>
  <c r="U97" i="46" s="1"/>
  <c r="N97" i="46"/>
  <c r="K97" i="46" s="1"/>
  <c r="J97" i="46"/>
  <c r="C97" i="46"/>
  <c r="AR96" i="46"/>
  <c r="BA96" i="46" s="1"/>
  <c r="AM96" i="46"/>
  <c r="W96" i="46"/>
  <c r="P96" i="46"/>
  <c r="O96" i="46"/>
  <c r="M96" i="46"/>
  <c r="J96" i="46"/>
  <c r="AR94" i="46"/>
  <c r="BA94" i="46" s="1"/>
  <c r="AD94" i="46" s="1"/>
  <c r="AM94" i="46"/>
  <c r="BA93" i="46"/>
  <c r="AD93" i="46" s="1"/>
  <c r="AR93" i="46"/>
  <c r="AM93" i="46"/>
  <c r="AR92" i="46"/>
  <c r="BA92" i="46" s="1"/>
  <c r="AM92" i="46"/>
  <c r="AD92" i="46" s="1"/>
  <c r="W92" i="46"/>
  <c r="P92" i="46"/>
  <c r="O92" i="46"/>
  <c r="M92" i="46"/>
  <c r="J92" i="46"/>
  <c r="AR91" i="46"/>
  <c r="BA91" i="46" s="1"/>
  <c r="AM91" i="46"/>
  <c r="AD91" i="46" s="1"/>
  <c r="Z91" i="46"/>
  <c r="W91" i="46"/>
  <c r="Q91" i="46"/>
  <c r="O91" i="46"/>
  <c r="M91" i="46"/>
  <c r="N91" i="46" s="1"/>
  <c r="J91" i="46"/>
  <c r="BA90" i="46"/>
  <c r="AR90" i="46"/>
  <c r="AM90" i="46"/>
  <c r="AD90" i="46" s="1"/>
  <c r="W90" i="46"/>
  <c r="U90" i="46"/>
  <c r="O90" i="46"/>
  <c r="P90" i="46" s="1"/>
  <c r="M90" i="46"/>
  <c r="T90" i="46" s="1"/>
  <c r="J90" i="46"/>
  <c r="C90" i="46"/>
  <c r="AR88" i="46"/>
  <c r="BA88" i="46" s="1"/>
  <c r="AM88" i="46"/>
  <c r="BA87" i="46"/>
  <c r="AR87" i="46"/>
  <c r="AM87" i="46"/>
  <c r="AD87" i="46"/>
  <c r="W87" i="46"/>
  <c r="P87" i="46"/>
  <c r="O87" i="46"/>
  <c r="M87" i="46"/>
  <c r="J87" i="46"/>
  <c r="AR86" i="46"/>
  <c r="BA86" i="46" s="1"/>
  <c r="AM86" i="46"/>
  <c r="W86" i="46"/>
  <c r="P86" i="46"/>
  <c r="O86" i="46"/>
  <c r="M86" i="46"/>
  <c r="U86" i="46" s="1"/>
  <c r="J86" i="46"/>
  <c r="AR84" i="46"/>
  <c r="BA84" i="46" s="1"/>
  <c r="AD84" i="46" s="1"/>
  <c r="AM84" i="46"/>
  <c r="BA83" i="46"/>
  <c r="AR83" i="46"/>
  <c r="AM83" i="46"/>
  <c r="AR82" i="46"/>
  <c r="BA82" i="46" s="1"/>
  <c r="AM82" i="46"/>
  <c r="W82" i="46"/>
  <c r="P82" i="46"/>
  <c r="O82" i="46"/>
  <c r="M82" i="46"/>
  <c r="J82" i="46"/>
  <c r="AR81" i="46"/>
  <c r="BA81" i="46" s="1"/>
  <c r="AM81" i="46"/>
  <c r="Z81" i="46"/>
  <c r="W81" i="46"/>
  <c r="T81" i="46"/>
  <c r="P81" i="46"/>
  <c r="O81" i="46"/>
  <c r="N81" i="46"/>
  <c r="K81" i="46" s="1"/>
  <c r="AC81" i="46" s="1"/>
  <c r="J81" i="46"/>
  <c r="C81" i="46"/>
  <c r="AR79" i="46"/>
  <c r="BA79" i="46" s="1"/>
  <c r="AM79" i="46"/>
  <c r="AD79" i="46"/>
  <c r="BA78" i="46"/>
  <c r="AR78" i="46"/>
  <c r="AM78" i="46"/>
  <c r="AD78" i="46" s="1"/>
  <c r="AR77" i="46"/>
  <c r="BA77" i="46" s="1"/>
  <c r="AD77" i="46" s="1"/>
  <c r="AM77" i="46"/>
  <c r="Z77" i="46"/>
  <c r="W77" i="46"/>
  <c r="V77" i="46"/>
  <c r="T77" i="46"/>
  <c r="O77" i="46"/>
  <c r="P77" i="46" s="1"/>
  <c r="N77" i="46"/>
  <c r="K77" i="46"/>
  <c r="J77" i="46"/>
  <c r="BA75" i="46"/>
  <c r="AD75" i="46" s="1"/>
  <c r="AR75" i="46"/>
  <c r="AM75" i="46"/>
  <c r="AR74" i="46"/>
  <c r="BA74" i="46" s="1"/>
  <c r="AM74" i="46"/>
  <c r="BA73" i="46"/>
  <c r="AD73" i="46" s="1"/>
  <c r="AR73" i="46"/>
  <c r="AM73" i="46"/>
  <c r="Z73" i="46"/>
  <c r="W73" i="46"/>
  <c r="O73" i="46"/>
  <c r="C73" i="46" s="1"/>
  <c r="N73" i="46"/>
  <c r="K73" i="46" s="1"/>
  <c r="J73" i="46"/>
  <c r="AR71" i="46"/>
  <c r="BA71" i="46" s="1"/>
  <c r="AD71" i="46" s="1"/>
  <c r="AM71" i="46"/>
  <c r="BA70" i="46"/>
  <c r="AR70" i="46"/>
  <c r="AM70" i="46"/>
  <c r="BA69" i="46"/>
  <c r="AR69" i="46"/>
  <c r="AM69" i="46"/>
  <c r="AD69" i="46" s="1"/>
  <c r="AR68" i="46"/>
  <c r="BA68" i="46" s="1"/>
  <c r="AM68" i="46"/>
  <c r="AR67" i="46"/>
  <c r="BA67" i="46" s="1"/>
  <c r="AD67" i="46" s="1"/>
  <c r="AM67" i="46"/>
  <c r="Z67" i="46"/>
  <c r="W67" i="46"/>
  <c r="O67" i="46"/>
  <c r="C67" i="46" s="1"/>
  <c r="N21" i="39" s="1"/>
  <c r="G21" i="39" s="1"/>
  <c r="N67" i="46"/>
  <c r="K67" i="46" s="1"/>
  <c r="J67" i="46"/>
  <c r="BA65" i="46"/>
  <c r="AR65" i="46"/>
  <c r="AM65" i="46"/>
  <c r="AD65" i="46"/>
  <c r="BA64" i="46"/>
  <c r="AR64" i="46"/>
  <c r="AM64" i="46"/>
  <c r="AD64" i="46" s="1"/>
  <c r="BA63" i="46"/>
  <c r="AR63" i="46"/>
  <c r="AM63" i="46"/>
  <c r="AD63" i="46"/>
  <c r="BA62" i="46"/>
  <c r="AR62" i="46"/>
  <c r="AM62" i="46"/>
  <c r="AD62" i="46" s="1"/>
  <c r="Z62" i="46"/>
  <c r="W62" i="46"/>
  <c r="V62" i="46"/>
  <c r="T62" i="46"/>
  <c r="O62" i="46"/>
  <c r="U62" i="46" s="1"/>
  <c r="AA62" i="46" s="1"/>
  <c r="N62" i="46"/>
  <c r="K62" i="46" s="1"/>
  <c r="J62" i="46"/>
  <c r="C62" i="46"/>
  <c r="AR60" i="46"/>
  <c r="BA60" i="46" s="1"/>
  <c r="AD60" i="46" s="1"/>
  <c r="AO60" i="46"/>
  <c r="AO158" i="46" s="1"/>
  <c r="AM60" i="46"/>
  <c r="BA59" i="46"/>
  <c r="AR59" i="46"/>
  <c r="AM59" i="46"/>
  <c r="AD59" i="46" s="1"/>
  <c r="BA58" i="46"/>
  <c r="AD58" i="46" s="1"/>
  <c r="AR58" i="46"/>
  <c r="AM58" i="46"/>
  <c r="BA57" i="46"/>
  <c r="AR57" i="46"/>
  <c r="AM57" i="46"/>
  <c r="AD57" i="46" s="1"/>
  <c r="W57" i="46"/>
  <c r="X57" i="46" s="1"/>
  <c r="U57" i="46"/>
  <c r="AA57" i="46" s="1"/>
  <c r="R57" i="46"/>
  <c r="O57" i="46"/>
  <c r="T57" i="46" s="1"/>
  <c r="N57" i="46"/>
  <c r="V57" i="46" s="1"/>
  <c r="K57" i="46"/>
  <c r="J57" i="46"/>
  <c r="C57" i="46"/>
  <c r="AR55" i="46"/>
  <c r="BA55" i="46" s="1"/>
  <c r="AD55" i="46" s="1"/>
  <c r="AM55" i="46"/>
  <c r="AR54" i="46"/>
  <c r="BA54" i="46" s="1"/>
  <c r="AD54" i="46" s="1"/>
  <c r="AM54" i="46"/>
  <c r="AR53" i="46"/>
  <c r="BA53" i="46" s="1"/>
  <c r="AD53" i="46" s="1"/>
  <c r="AM53" i="46"/>
  <c r="AR52" i="46"/>
  <c r="BA52" i="46" s="1"/>
  <c r="AD52" i="46" s="1"/>
  <c r="AM52" i="46"/>
  <c r="Z52" i="46"/>
  <c r="W52" i="46"/>
  <c r="U52" i="46"/>
  <c r="AA52" i="46" s="1"/>
  <c r="P52" i="46"/>
  <c r="O52" i="46"/>
  <c r="M52" i="46"/>
  <c r="T52" i="46" s="1"/>
  <c r="J52" i="46"/>
  <c r="C52" i="46"/>
  <c r="AR50" i="46"/>
  <c r="BA50" i="46" s="1"/>
  <c r="AD50" i="46" s="1"/>
  <c r="AM50" i="46"/>
  <c r="Z50" i="46"/>
  <c r="W50" i="46"/>
  <c r="U50" i="46"/>
  <c r="P50" i="46"/>
  <c r="O50" i="46"/>
  <c r="M50" i="46"/>
  <c r="T50" i="46" s="1"/>
  <c r="J50" i="46"/>
  <c r="C50" i="46"/>
  <c r="AR49" i="46"/>
  <c r="BA49" i="46" s="1"/>
  <c r="AD49" i="46" s="1"/>
  <c r="AM49" i="46"/>
  <c r="W49" i="46"/>
  <c r="T49" i="46"/>
  <c r="O49" i="46"/>
  <c r="P49" i="46" s="1"/>
  <c r="M49" i="46"/>
  <c r="U49" i="46" s="1"/>
  <c r="J49" i="46"/>
  <c r="BA48" i="46"/>
  <c r="AR48" i="46"/>
  <c r="AM48" i="46"/>
  <c r="AD48" i="46" s="1"/>
  <c r="W48" i="46"/>
  <c r="U48" i="46"/>
  <c r="P48" i="46"/>
  <c r="O48" i="46"/>
  <c r="N48" i="46"/>
  <c r="V48" i="46" s="1"/>
  <c r="M48" i="46"/>
  <c r="T48" i="46" s="1"/>
  <c r="J48" i="46"/>
  <c r="C48" i="46"/>
  <c r="AR47" i="46"/>
  <c r="BA47" i="46" s="1"/>
  <c r="AD47" i="46" s="1"/>
  <c r="AM47" i="46"/>
  <c r="W47" i="46"/>
  <c r="O47" i="46"/>
  <c r="P47" i="46" s="1"/>
  <c r="M47" i="46"/>
  <c r="N47" i="46" s="1"/>
  <c r="J47" i="46"/>
  <c r="BA45" i="46"/>
  <c r="AD45" i="46" s="1"/>
  <c r="AR45" i="46"/>
  <c r="AM45" i="46"/>
  <c r="BA44" i="46"/>
  <c r="AR44" i="46"/>
  <c r="AM44" i="46"/>
  <c r="AD44" i="46" s="1"/>
  <c r="BA43" i="46"/>
  <c r="AD43" i="46" s="1"/>
  <c r="AR43" i="46"/>
  <c r="AM43" i="46"/>
  <c r="BA42" i="46"/>
  <c r="AR42" i="46"/>
  <c r="AM42" i="46"/>
  <c r="AD42" i="46" s="1"/>
  <c r="Z42" i="46"/>
  <c r="W42" i="46"/>
  <c r="O42" i="46"/>
  <c r="P42" i="46" s="1"/>
  <c r="M42" i="46"/>
  <c r="N42" i="46" s="1"/>
  <c r="J42" i="46"/>
  <c r="BA40" i="46"/>
  <c r="AD40" i="46" s="1"/>
  <c r="AR40" i="46"/>
  <c r="AM40" i="46"/>
  <c r="BA39" i="46"/>
  <c r="AR39" i="46"/>
  <c r="AM39" i="46"/>
  <c r="AD39" i="46" s="1"/>
  <c r="BA38" i="46"/>
  <c r="AD38" i="46" s="1"/>
  <c r="AR38" i="46"/>
  <c r="AM38" i="46"/>
  <c r="Z38" i="46"/>
  <c r="W38" i="46"/>
  <c r="O38" i="46"/>
  <c r="T38" i="46" s="1"/>
  <c r="M38" i="46"/>
  <c r="U38" i="46" s="1"/>
  <c r="AA38" i="46" s="1"/>
  <c r="J38" i="46"/>
  <c r="BA36" i="46"/>
  <c r="AR36" i="46"/>
  <c r="AM36" i="46"/>
  <c r="AD36" i="46" s="1"/>
  <c r="BA35" i="46"/>
  <c r="AD35" i="46" s="1"/>
  <c r="AR35" i="46"/>
  <c r="AM35" i="46"/>
  <c r="BA34" i="46"/>
  <c r="AR34" i="46"/>
  <c r="AM34" i="46"/>
  <c r="AD34" i="46" s="1"/>
  <c r="BA33" i="46"/>
  <c r="AD33" i="46" s="1"/>
  <c r="AR33" i="46"/>
  <c r="AM33" i="46"/>
  <c r="BA32" i="46"/>
  <c r="AR32" i="46"/>
  <c r="AM32" i="46"/>
  <c r="AD32" i="46" s="1"/>
  <c r="Z32" i="46"/>
  <c r="W32" i="46"/>
  <c r="R32" i="46"/>
  <c r="R158" i="46" s="1"/>
  <c r="Q32" i="46"/>
  <c r="Q158" i="46" s="1"/>
  <c r="O32" i="46"/>
  <c r="M32" i="46"/>
  <c r="T32" i="46" s="1"/>
  <c r="J32" i="46"/>
  <c r="C32" i="46"/>
  <c r="AR31" i="46"/>
  <c r="BA31" i="46" s="1"/>
  <c r="AD31" i="46" s="1"/>
  <c r="AM31" i="46"/>
  <c r="W31" i="46"/>
  <c r="O31" i="46"/>
  <c r="P31" i="46" s="1"/>
  <c r="M31" i="46"/>
  <c r="N31" i="46" s="1"/>
  <c r="J31" i="46"/>
  <c r="AR29" i="46"/>
  <c r="BA29" i="46" s="1"/>
  <c r="AM29" i="46"/>
  <c r="AD29" i="46" s="1"/>
  <c r="BA28" i="46"/>
  <c r="AR28" i="46"/>
  <c r="AM28" i="46"/>
  <c r="AD28" i="46" s="1"/>
  <c r="AR27" i="46"/>
  <c r="BA27" i="46" s="1"/>
  <c r="AM27" i="46"/>
  <c r="BA26" i="46"/>
  <c r="AR26" i="46"/>
  <c r="AM26" i="46"/>
  <c r="AD26" i="46" s="1"/>
  <c r="Z26" i="46"/>
  <c r="W26" i="46"/>
  <c r="O26" i="46"/>
  <c r="P26" i="46" s="1"/>
  <c r="N26" i="46"/>
  <c r="K26" i="46"/>
  <c r="X26" i="46" s="1"/>
  <c r="J26" i="46"/>
  <c r="AR24" i="46"/>
  <c r="BA24" i="46" s="1"/>
  <c r="AD24" i="46" s="1"/>
  <c r="AM24" i="46"/>
  <c r="AR23" i="46"/>
  <c r="BA23" i="46" s="1"/>
  <c r="AD23" i="46" s="1"/>
  <c r="AM23" i="46"/>
  <c r="AR22" i="46"/>
  <c r="BA22" i="46" s="1"/>
  <c r="AD22" i="46" s="1"/>
  <c r="AM22" i="46"/>
  <c r="AR21" i="46"/>
  <c r="BA21" i="46" s="1"/>
  <c r="AD21" i="46" s="1"/>
  <c r="AM21" i="46"/>
  <c r="AR20" i="46"/>
  <c r="BA20" i="46" s="1"/>
  <c r="AD20" i="46" s="1"/>
  <c r="AM20" i="46"/>
  <c r="W20" i="46"/>
  <c r="O20" i="46"/>
  <c r="U20" i="46" s="1"/>
  <c r="AA20" i="46" s="1"/>
  <c r="N20" i="46"/>
  <c r="V20" i="46" s="1"/>
  <c r="J20" i="46"/>
  <c r="AR18" i="46"/>
  <c r="BA18" i="46" s="1"/>
  <c r="AD18" i="46" s="1"/>
  <c r="AM18" i="46"/>
  <c r="AR17" i="46"/>
  <c r="BA17" i="46" s="1"/>
  <c r="AD17" i="46" s="1"/>
  <c r="AM17" i="46"/>
  <c r="AR16" i="46"/>
  <c r="BA16" i="46" s="1"/>
  <c r="AD16" i="46" s="1"/>
  <c r="AM16" i="46"/>
  <c r="AR15" i="46"/>
  <c r="BA15" i="46" s="1"/>
  <c r="AD15" i="46" s="1"/>
  <c r="AM15" i="46"/>
  <c r="Z15" i="46"/>
  <c r="W15" i="46"/>
  <c r="U15" i="46"/>
  <c r="AA15" i="46" s="1"/>
  <c r="T15" i="46"/>
  <c r="P15" i="46"/>
  <c r="O15" i="46"/>
  <c r="N15" i="46"/>
  <c r="K15" i="46" s="1"/>
  <c r="AC15" i="46" s="1"/>
  <c r="J15" i="46"/>
  <c r="C15" i="46"/>
  <c r="AR13" i="46"/>
  <c r="BA13" i="46" s="1"/>
  <c r="AM13" i="46"/>
  <c r="AD13" i="46" s="1"/>
  <c r="BA12" i="46"/>
  <c r="AR12" i="46"/>
  <c r="AM12" i="46"/>
  <c r="AD12" i="46" s="1"/>
  <c r="Z12" i="46"/>
  <c r="W12" i="46"/>
  <c r="U12" i="46"/>
  <c r="T12" i="46"/>
  <c r="P12" i="46"/>
  <c r="O12" i="46"/>
  <c r="C12" i="46" s="1"/>
  <c r="N12" i="46"/>
  <c r="V12" i="46" s="1"/>
  <c r="K12" i="46"/>
  <c r="AC12" i="46" s="1"/>
  <c r="J12" i="46"/>
  <c r="BA11" i="46"/>
  <c r="AR11" i="46"/>
  <c r="AM11" i="46"/>
  <c r="AD11" i="46" s="1"/>
  <c r="W11" i="46"/>
  <c r="T11" i="46"/>
  <c r="O11" i="46"/>
  <c r="V11" i="46" s="1"/>
  <c r="N11" i="46"/>
  <c r="J11" i="46"/>
  <c r="AR10" i="46"/>
  <c r="BA10" i="46" s="1"/>
  <c r="AD10" i="46" s="1"/>
  <c r="AM10" i="46"/>
  <c r="W10" i="46"/>
  <c r="V10" i="46"/>
  <c r="T10" i="46"/>
  <c r="O10" i="46"/>
  <c r="U10" i="46" s="1"/>
  <c r="N10" i="46"/>
  <c r="K10" i="46"/>
  <c r="J10" i="46"/>
  <c r="C10" i="46"/>
  <c r="AR8" i="46"/>
  <c r="BA8" i="46" s="1"/>
  <c r="AD8" i="46" s="1"/>
  <c r="AM8" i="46"/>
  <c r="AR7" i="46"/>
  <c r="BA7" i="46" s="1"/>
  <c r="AD7" i="46" s="1"/>
  <c r="AM7" i="46"/>
  <c r="AR6" i="46"/>
  <c r="AM6" i="46"/>
  <c r="Z6" i="46"/>
  <c r="Z158" i="46" s="1"/>
  <c r="W6" i="46"/>
  <c r="W158" i="46" s="1"/>
  <c r="U6" i="46"/>
  <c r="T6" i="46"/>
  <c r="P6" i="46"/>
  <c r="O6" i="46"/>
  <c r="N6" i="46"/>
  <c r="K6" i="46" s="1"/>
  <c r="J6" i="46"/>
  <c r="C6" i="46"/>
  <c r="A6" i="46"/>
  <c r="I107" i="47"/>
  <c r="H107" i="47"/>
  <c r="G107" i="47"/>
  <c r="E107" i="47"/>
  <c r="I106" i="47"/>
  <c r="H106" i="47"/>
  <c r="G106" i="47"/>
  <c r="E106" i="47"/>
  <c r="I105" i="47"/>
  <c r="H105" i="47"/>
  <c r="G105" i="47"/>
  <c r="F105" i="47"/>
  <c r="E105" i="47"/>
  <c r="G103" i="47"/>
  <c r="E103" i="47"/>
  <c r="G102" i="47"/>
  <c r="F102" i="47"/>
  <c r="E102" i="47"/>
  <c r="G101" i="47"/>
  <c r="F101" i="47"/>
  <c r="E101" i="47"/>
  <c r="I100" i="47"/>
  <c r="H100" i="47"/>
  <c r="G100" i="47"/>
  <c r="E100" i="47"/>
  <c r="G99" i="47"/>
  <c r="F99" i="47"/>
  <c r="E99" i="47"/>
  <c r="I98" i="47"/>
  <c r="H98" i="47"/>
  <c r="G98" i="47"/>
  <c r="F98" i="47"/>
  <c r="E98" i="47"/>
  <c r="G96" i="47"/>
  <c r="E96" i="47"/>
  <c r="I95" i="47"/>
  <c r="H95" i="47"/>
  <c r="G95" i="47"/>
  <c r="E95" i="47"/>
  <c r="I94" i="47"/>
  <c r="H94" i="47"/>
  <c r="G94" i="47"/>
  <c r="E94" i="47"/>
  <c r="I92" i="47"/>
  <c r="H92" i="47"/>
  <c r="G92" i="47"/>
  <c r="E92" i="47"/>
  <c r="I90" i="47"/>
  <c r="H90" i="47"/>
  <c r="G90" i="47"/>
  <c r="F90" i="47"/>
  <c r="E90" i="47"/>
  <c r="I88" i="47"/>
  <c r="H88" i="47"/>
  <c r="G88" i="47"/>
  <c r="E88" i="47"/>
  <c r="I87" i="47"/>
  <c r="H87" i="47"/>
  <c r="G87" i="47"/>
  <c r="E87" i="47"/>
  <c r="H85" i="47"/>
  <c r="G85" i="47"/>
  <c r="F85" i="47"/>
  <c r="E85" i="47"/>
  <c r="I84" i="47"/>
  <c r="H84" i="47"/>
  <c r="G84" i="47"/>
  <c r="F84" i="47"/>
  <c r="E84" i="47"/>
  <c r="H82" i="47"/>
  <c r="G82" i="47"/>
  <c r="F82" i="47"/>
  <c r="E82" i="47"/>
  <c r="G81" i="47"/>
  <c r="E81" i="47"/>
  <c r="G80" i="47"/>
  <c r="F80" i="47"/>
  <c r="E80" i="47"/>
  <c r="I79" i="47"/>
  <c r="H79" i="47"/>
  <c r="G79" i="47"/>
  <c r="E79" i="47"/>
  <c r="G77" i="47"/>
  <c r="E77" i="47"/>
  <c r="G76" i="47"/>
  <c r="F76" i="47"/>
  <c r="E76" i="47"/>
  <c r="H75" i="47"/>
  <c r="G75" i="47"/>
  <c r="F75" i="47"/>
  <c r="E75" i="47"/>
  <c r="I73" i="47"/>
  <c r="H73" i="47"/>
  <c r="G73" i="47"/>
  <c r="F73" i="47"/>
  <c r="E73" i="47"/>
  <c r="I72" i="47"/>
  <c r="H72" i="47"/>
  <c r="G72" i="47"/>
  <c r="E72" i="47"/>
  <c r="I71" i="47"/>
  <c r="H71" i="47"/>
  <c r="G71" i="47"/>
  <c r="E71" i="47"/>
  <c r="I70" i="47"/>
  <c r="H70" i="47"/>
  <c r="G70" i="47"/>
  <c r="E70" i="47"/>
  <c r="G68" i="47"/>
  <c r="E68" i="47"/>
  <c r="I67" i="47"/>
  <c r="H67" i="47"/>
  <c r="G67" i="47"/>
  <c r="F67" i="47"/>
  <c r="E67" i="47"/>
  <c r="I65" i="47"/>
  <c r="H65" i="47"/>
  <c r="G65" i="47"/>
  <c r="F65" i="47"/>
  <c r="E65" i="47"/>
  <c r="I64" i="47"/>
  <c r="H64" i="47"/>
  <c r="G64" i="47"/>
  <c r="E64" i="47"/>
  <c r="I62" i="47"/>
  <c r="H62" i="47"/>
  <c r="G62" i="47"/>
  <c r="F62" i="47"/>
  <c r="E62" i="47"/>
  <c r="I61" i="47"/>
  <c r="H61" i="47"/>
  <c r="G61" i="47"/>
  <c r="E61" i="47"/>
  <c r="I59" i="47"/>
  <c r="H59" i="47"/>
  <c r="G59" i="47"/>
  <c r="E59" i="47"/>
  <c r="I58" i="47"/>
  <c r="H58" i="47"/>
  <c r="G58" i="47"/>
  <c r="E58" i="47"/>
  <c r="I57" i="47"/>
  <c r="H57" i="47"/>
  <c r="G57" i="47"/>
  <c r="F57" i="47"/>
  <c r="E57" i="47"/>
  <c r="I55" i="47"/>
  <c r="H55" i="47"/>
  <c r="G55" i="47"/>
  <c r="E55" i="47"/>
  <c r="I54" i="47"/>
  <c r="H54" i="47"/>
  <c r="G54" i="47"/>
  <c r="E54" i="47"/>
  <c r="I52" i="47"/>
  <c r="H52" i="47"/>
  <c r="G52" i="47"/>
  <c r="E52" i="47"/>
  <c r="G51" i="47"/>
  <c r="F51" i="47"/>
  <c r="E51" i="47"/>
  <c r="I50" i="47"/>
  <c r="H50" i="47"/>
  <c r="G50" i="47"/>
  <c r="F50" i="47"/>
  <c r="E50" i="47"/>
  <c r="G48" i="47"/>
  <c r="E48" i="47"/>
  <c r="G47" i="47"/>
  <c r="E47" i="47"/>
  <c r="I46" i="47"/>
  <c r="H46" i="47"/>
  <c r="G46" i="47"/>
  <c r="F46" i="47"/>
  <c r="E46" i="47"/>
  <c r="G44" i="47"/>
  <c r="F44" i="47"/>
  <c r="E44" i="47"/>
  <c r="G43" i="47"/>
  <c r="F43" i="47"/>
  <c r="E43" i="47"/>
  <c r="I42" i="47"/>
  <c r="H42" i="47"/>
  <c r="G42" i="47"/>
  <c r="F42" i="47"/>
  <c r="E42" i="47"/>
  <c r="I40" i="47"/>
  <c r="H40" i="47"/>
  <c r="G40" i="47"/>
  <c r="F40" i="47"/>
  <c r="E40" i="47"/>
  <c r="G38" i="47"/>
  <c r="E38" i="47"/>
  <c r="I37" i="47"/>
  <c r="H37" i="47"/>
  <c r="G37" i="47"/>
  <c r="E37" i="47"/>
  <c r="I35" i="47"/>
  <c r="H35" i="47"/>
  <c r="G35" i="47"/>
  <c r="F35" i="47"/>
  <c r="E35" i="47"/>
  <c r="I33" i="47"/>
  <c r="H33" i="47"/>
  <c r="G33" i="47"/>
  <c r="F33" i="47"/>
  <c r="E33" i="47"/>
  <c r="I31" i="47"/>
  <c r="H31" i="47"/>
  <c r="G31" i="47"/>
  <c r="E31" i="47"/>
  <c r="I30" i="47"/>
  <c r="H30" i="47"/>
  <c r="G30" i="47"/>
  <c r="E30" i="47"/>
  <c r="I29" i="47"/>
  <c r="H29" i="47"/>
  <c r="G29" i="47"/>
  <c r="E29" i="47"/>
  <c r="I28" i="47"/>
  <c r="H28" i="47"/>
  <c r="G28" i="47"/>
  <c r="F28" i="47"/>
  <c r="E28" i="47"/>
  <c r="G26" i="47"/>
  <c r="E26" i="47"/>
  <c r="I25" i="47"/>
  <c r="H25" i="47"/>
  <c r="G25" i="47"/>
  <c r="F25" i="47"/>
  <c r="E25" i="47"/>
  <c r="G23" i="47"/>
  <c r="E23" i="47"/>
  <c r="G22" i="47"/>
  <c r="F22" i="47"/>
  <c r="E22" i="47"/>
  <c r="I21" i="47"/>
  <c r="H21" i="47"/>
  <c r="G21" i="47"/>
  <c r="E21" i="47"/>
  <c r="G19" i="47"/>
  <c r="F19" i="47"/>
  <c r="E19" i="47"/>
  <c r="I18" i="47"/>
  <c r="H18" i="47"/>
  <c r="G18" i="47"/>
  <c r="F18" i="47"/>
  <c r="E18" i="47"/>
  <c r="I17" i="47"/>
  <c r="H17" i="47"/>
  <c r="G17" i="47"/>
  <c r="E17" i="47"/>
  <c r="I15" i="47"/>
  <c r="H15" i="47"/>
  <c r="G15" i="47"/>
  <c r="E15" i="47"/>
  <c r="I13" i="47"/>
  <c r="H13" i="47"/>
  <c r="G13" i="47"/>
  <c r="E13" i="47"/>
  <c r="I11" i="47"/>
  <c r="H11" i="47"/>
  <c r="G11" i="47"/>
  <c r="F11" i="47"/>
  <c r="E11" i="47"/>
  <c r="I9" i="47"/>
  <c r="H9" i="47"/>
  <c r="G9" i="47"/>
  <c r="F9" i="47"/>
  <c r="E9" i="47"/>
  <c r="I8" i="47"/>
  <c r="H8" i="47"/>
  <c r="G8" i="47"/>
  <c r="E8" i="47"/>
  <c r="I7" i="47"/>
  <c r="H7" i="47"/>
  <c r="G7" i="47"/>
  <c r="E7" i="47"/>
  <c r="G5" i="47"/>
  <c r="F5" i="47"/>
  <c r="E5" i="47"/>
  <c r="I4" i="47"/>
  <c r="H4" i="47"/>
  <c r="G4" i="47"/>
  <c r="E4" i="47"/>
  <c r="A4" i="47"/>
  <c r="B1" i="47"/>
  <c r="C40" i="45"/>
  <c r="B40" i="45"/>
  <c r="AG38" i="45"/>
  <c r="AF38" i="45"/>
  <c r="L46" i="43" s="1"/>
  <c r="Z38" i="45"/>
  <c r="AA38" i="45" s="1"/>
  <c r="V38" i="45"/>
  <c r="W38" i="45" s="1"/>
  <c r="R38" i="45"/>
  <c r="S38" i="45" s="1"/>
  <c r="N38" i="45"/>
  <c r="O38" i="45" s="1"/>
  <c r="J38" i="45"/>
  <c r="K38" i="45" s="1"/>
  <c r="H38" i="45"/>
  <c r="E38" i="45"/>
  <c r="C38" i="45"/>
  <c r="B38" i="45"/>
  <c r="A38" i="45"/>
  <c r="AG37" i="45"/>
  <c r="AF37" i="45"/>
  <c r="Z37" i="45"/>
  <c r="AA37" i="45" s="1"/>
  <c r="V37" i="45"/>
  <c r="W37" i="45" s="1"/>
  <c r="R37" i="45"/>
  <c r="S37" i="45" s="1"/>
  <c r="N37" i="45"/>
  <c r="O37" i="45" s="1"/>
  <c r="J37" i="45"/>
  <c r="K37" i="45" s="1"/>
  <c r="H37" i="45"/>
  <c r="E37" i="45"/>
  <c r="C37" i="45"/>
  <c r="B37" i="45"/>
  <c r="A37" i="45"/>
  <c r="AG36" i="45"/>
  <c r="AF36" i="45"/>
  <c r="L46" i="37" s="1"/>
  <c r="Z36" i="45"/>
  <c r="AA36" i="45" s="1"/>
  <c r="V36" i="45"/>
  <c r="W36" i="45" s="1"/>
  <c r="R36" i="45"/>
  <c r="S36" i="45" s="1"/>
  <c r="N36" i="45"/>
  <c r="O36" i="45" s="1"/>
  <c r="J36" i="45"/>
  <c r="K36" i="45" s="1"/>
  <c r="H36" i="45"/>
  <c r="E36" i="45"/>
  <c r="C36" i="45"/>
  <c r="B36" i="45"/>
  <c r="A36" i="45"/>
  <c r="AG35" i="45"/>
  <c r="AF35" i="45"/>
  <c r="Z35" i="45"/>
  <c r="AA35" i="45" s="1"/>
  <c r="V35" i="45"/>
  <c r="W35" i="45" s="1"/>
  <c r="R35" i="45"/>
  <c r="S35" i="45" s="1"/>
  <c r="N35" i="45"/>
  <c r="O35" i="45" s="1"/>
  <c r="J35" i="45"/>
  <c r="K35" i="45" s="1"/>
  <c r="H35" i="45"/>
  <c r="E35" i="45"/>
  <c r="G35" i="45" s="1"/>
  <c r="C35" i="45"/>
  <c r="B35" i="45"/>
  <c r="A35" i="45"/>
  <c r="AG34" i="45"/>
  <c r="AF34" i="45"/>
  <c r="L46" i="7" s="1"/>
  <c r="Z34" i="45"/>
  <c r="AA34" i="45" s="1"/>
  <c r="V34" i="45"/>
  <c r="W34" i="45" s="1"/>
  <c r="R34" i="45"/>
  <c r="S34" i="45" s="1"/>
  <c r="N34" i="45"/>
  <c r="O34" i="45" s="1"/>
  <c r="J34" i="45"/>
  <c r="K34" i="45" s="1"/>
  <c r="H34" i="45"/>
  <c r="E34" i="45"/>
  <c r="F34" i="45" s="1"/>
  <c r="C34" i="45"/>
  <c r="B34" i="45"/>
  <c r="A34" i="45"/>
  <c r="AG33" i="45"/>
  <c r="AF33" i="45"/>
  <c r="L46" i="8" s="1"/>
  <c r="Z33" i="45"/>
  <c r="AA33" i="45" s="1"/>
  <c r="V33" i="45"/>
  <c r="W33" i="45" s="1"/>
  <c r="R33" i="45"/>
  <c r="S33" i="45" s="1"/>
  <c r="N33" i="45"/>
  <c r="O33" i="45" s="1"/>
  <c r="J33" i="45"/>
  <c r="K33" i="45" s="1"/>
  <c r="H33" i="45"/>
  <c r="E33" i="45"/>
  <c r="G33" i="45" s="1"/>
  <c r="C33" i="45"/>
  <c r="B33" i="45"/>
  <c r="A33" i="45"/>
  <c r="AG32" i="45"/>
  <c r="AF32" i="45"/>
  <c r="L46" i="9" s="1"/>
  <c r="Z32" i="45"/>
  <c r="AA32" i="45" s="1"/>
  <c r="V32" i="45"/>
  <c r="W32" i="45" s="1"/>
  <c r="R32" i="45"/>
  <c r="T32" i="45" s="1"/>
  <c r="N32" i="45"/>
  <c r="O32" i="45" s="1"/>
  <c r="J32" i="45"/>
  <c r="L32" i="45" s="1"/>
  <c r="H32" i="45"/>
  <c r="E32" i="45"/>
  <c r="G32" i="45" s="1"/>
  <c r="C32" i="45"/>
  <c r="B32" i="45"/>
  <c r="A32" i="45"/>
  <c r="AG31" i="45"/>
  <c r="AF31" i="45"/>
  <c r="L46" i="10" s="1"/>
  <c r="Z31" i="45"/>
  <c r="AA31" i="45" s="1"/>
  <c r="V31" i="45"/>
  <c r="X31" i="45" s="1"/>
  <c r="R31" i="45"/>
  <c r="S31" i="45" s="1"/>
  <c r="N31" i="45"/>
  <c r="O31" i="45" s="1"/>
  <c r="J31" i="45"/>
  <c r="K31" i="45" s="1"/>
  <c r="H31" i="45"/>
  <c r="E31" i="45"/>
  <c r="G31" i="45" s="1"/>
  <c r="C31" i="45"/>
  <c r="B31" i="45"/>
  <c r="A31" i="45"/>
  <c r="AG30" i="45"/>
  <c r="AF30" i="45"/>
  <c r="L46" i="11" s="1"/>
  <c r="Z30" i="45"/>
  <c r="AB30" i="45" s="1"/>
  <c r="V30" i="45"/>
  <c r="W30" i="45" s="1"/>
  <c r="R30" i="45"/>
  <c r="T30" i="45" s="1"/>
  <c r="N30" i="45"/>
  <c r="O30" i="45" s="1"/>
  <c r="J30" i="45"/>
  <c r="L30" i="45" s="1"/>
  <c r="H30" i="45"/>
  <c r="E30" i="45"/>
  <c r="G30" i="45" s="1"/>
  <c r="C30" i="45"/>
  <c r="B30" i="45"/>
  <c r="A30" i="45"/>
  <c r="AG29" i="45"/>
  <c r="AF29" i="45"/>
  <c r="L46" i="12" s="1"/>
  <c r="Z29" i="45"/>
  <c r="AA29" i="45" s="1"/>
  <c r="V29" i="45"/>
  <c r="W29" i="45" s="1"/>
  <c r="R29" i="45"/>
  <c r="S29" i="45" s="1"/>
  <c r="N29" i="45"/>
  <c r="O29" i="45" s="1"/>
  <c r="J29" i="45"/>
  <c r="K29" i="45" s="1"/>
  <c r="H29" i="45"/>
  <c r="E29" i="45"/>
  <c r="G29" i="45" s="1"/>
  <c r="C29" i="45"/>
  <c r="B29" i="45"/>
  <c r="A29" i="45"/>
  <c r="AG28" i="45"/>
  <c r="AF28" i="45"/>
  <c r="L46" i="13" s="1"/>
  <c r="Z28" i="45"/>
  <c r="AB28" i="45" s="1"/>
  <c r="V28" i="45"/>
  <c r="W28" i="45" s="1"/>
  <c r="R28" i="45"/>
  <c r="T28" i="45" s="1"/>
  <c r="N28" i="45"/>
  <c r="O28" i="45" s="1"/>
  <c r="J28" i="45"/>
  <c r="L28" i="45" s="1"/>
  <c r="H28" i="45"/>
  <c r="E28" i="45"/>
  <c r="G28" i="45" s="1"/>
  <c r="C28" i="45"/>
  <c r="B28" i="45"/>
  <c r="A28" i="45"/>
  <c r="AG27" i="45"/>
  <c r="AF27" i="45"/>
  <c r="L46" i="14" s="1"/>
  <c r="Z27" i="45"/>
  <c r="AA27" i="45" s="1"/>
  <c r="V27" i="45"/>
  <c r="W27" i="45" s="1"/>
  <c r="R27" i="45"/>
  <c r="S27" i="45" s="1"/>
  <c r="N27" i="45"/>
  <c r="O27" i="45" s="1"/>
  <c r="J27" i="45"/>
  <c r="K27" i="45" s="1"/>
  <c r="H27" i="45"/>
  <c r="E27" i="45"/>
  <c r="G27" i="45" s="1"/>
  <c r="C27" i="45"/>
  <c r="B27" i="45"/>
  <c r="A27" i="45"/>
  <c r="AG26" i="45"/>
  <c r="AF26" i="45"/>
  <c r="L46" i="15" s="1"/>
  <c r="Z26" i="45"/>
  <c r="AB26" i="45" s="1"/>
  <c r="V26" i="45"/>
  <c r="X26" i="45" s="1"/>
  <c r="R26" i="45"/>
  <c r="T26" i="45" s="1"/>
  <c r="N26" i="45"/>
  <c r="P26" i="45" s="1"/>
  <c r="J26" i="45"/>
  <c r="L26" i="45" s="1"/>
  <c r="H26" i="45"/>
  <c r="E26" i="45"/>
  <c r="G26" i="45" s="1"/>
  <c r="C26" i="45"/>
  <c r="B26" i="45"/>
  <c r="A26" i="45"/>
  <c r="AG25" i="45"/>
  <c r="AF25" i="45"/>
  <c r="L46" i="16" s="1"/>
  <c r="Z25" i="45"/>
  <c r="AB25" i="45" s="1"/>
  <c r="V25" i="45"/>
  <c r="X25" i="45" s="1"/>
  <c r="R25" i="45"/>
  <c r="T25" i="45" s="1"/>
  <c r="N25" i="45"/>
  <c r="P25" i="45" s="1"/>
  <c r="J25" i="45"/>
  <c r="L25" i="45" s="1"/>
  <c r="H25" i="45"/>
  <c r="E25" i="45"/>
  <c r="G25" i="45" s="1"/>
  <c r="C25" i="45"/>
  <c r="B25" i="45"/>
  <c r="A25" i="45"/>
  <c r="AG24" i="45"/>
  <c r="AF24" i="45"/>
  <c r="L46" i="17" s="1"/>
  <c r="Z24" i="45"/>
  <c r="AB24" i="45" s="1"/>
  <c r="V24" i="45"/>
  <c r="X24" i="45" s="1"/>
  <c r="R24" i="45"/>
  <c r="S24" i="45" s="1"/>
  <c r="N24" i="45"/>
  <c r="P24" i="45" s="1"/>
  <c r="J24" i="45"/>
  <c r="K24" i="45" s="1"/>
  <c r="H24" i="45"/>
  <c r="E24" i="45"/>
  <c r="F24" i="45" s="1"/>
  <c r="C24" i="45"/>
  <c r="B24" i="45"/>
  <c r="A24" i="45"/>
  <c r="AG23" i="45"/>
  <c r="AF23" i="45"/>
  <c r="L46" i="18" s="1"/>
  <c r="Z23" i="45"/>
  <c r="AA23" i="45" s="1"/>
  <c r="V23" i="45"/>
  <c r="X23" i="45" s="1"/>
  <c r="R23" i="45"/>
  <c r="T23" i="45" s="1"/>
  <c r="N23" i="45"/>
  <c r="P23" i="45" s="1"/>
  <c r="J23" i="45"/>
  <c r="K23" i="45" s="1"/>
  <c r="H23" i="45"/>
  <c r="E23" i="45"/>
  <c r="F23" i="45" s="1"/>
  <c r="C23" i="45"/>
  <c r="B23" i="45"/>
  <c r="A23" i="45"/>
  <c r="AG22" i="45"/>
  <c r="AF22" i="45"/>
  <c r="L46" i="19" s="1"/>
  <c r="Z22" i="45"/>
  <c r="AA22" i="45" s="1"/>
  <c r="V22" i="45"/>
  <c r="X22" i="45" s="1"/>
  <c r="R22" i="45"/>
  <c r="T22" i="45" s="1"/>
  <c r="N22" i="45"/>
  <c r="P22" i="45" s="1"/>
  <c r="J22" i="45"/>
  <c r="L22" i="45" s="1"/>
  <c r="H22" i="45"/>
  <c r="E22" i="45"/>
  <c r="G22" i="45" s="1"/>
  <c r="C22" i="45"/>
  <c r="B22" i="45"/>
  <c r="A22" i="45"/>
  <c r="AG21" i="45"/>
  <c r="AF21" i="45"/>
  <c r="L46" i="20" s="1"/>
  <c r="Z21" i="45"/>
  <c r="AA21" i="45" s="1"/>
  <c r="V21" i="45"/>
  <c r="X21" i="45" s="1"/>
  <c r="R21" i="45"/>
  <c r="T21" i="45" s="1"/>
  <c r="N21" i="45"/>
  <c r="P21" i="45" s="1"/>
  <c r="J21" i="45"/>
  <c r="K21" i="45" s="1"/>
  <c r="H21" i="45"/>
  <c r="E21" i="45"/>
  <c r="F21" i="45" s="1"/>
  <c r="C21" i="45"/>
  <c r="B21" i="45"/>
  <c r="A21" i="45"/>
  <c r="AG20" i="45"/>
  <c r="AF20" i="45"/>
  <c r="L46" i="22" s="1"/>
  <c r="Z20" i="45"/>
  <c r="AB20" i="45" s="1"/>
  <c r="V20" i="45"/>
  <c r="W20" i="45" s="1"/>
  <c r="R20" i="45"/>
  <c r="S20" i="45" s="1"/>
  <c r="N20" i="45"/>
  <c r="P20" i="45" s="1"/>
  <c r="J20" i="45"/>
  <c r="L20" i="45" s="1"/>
  <c r="H20" i="45"/>
  <c r="E20" i="45"/>
  <c r="C20" i="45"/>
  <c r="B20" i="45"/>
  <c r="A20" i="45"/>
  <c r="AG19" i="45"/>
  <c r="AF19" i="45"/>
  <c r="L46" i="21" s="1"/>
  <c r="Z19" i="45"/>
  <c r="AB19" i="45" s="1"/>
  <c r="V19" i="45"/>
  <c r="W19" i="45" s="1"/>
  <c r="R19" i="45"/>
  <c r="T19" i="45" s="1"/>
  <c r="N19" i="45"/>
  <c r="P19" i="45" s="1"/>
  <c r="J19" i="45"/>
  <c r="L19" i="45" s="1"/>
  <c r="H19" i="45"/>
  <c r="E19" i="45"/>
  <c r="F19" i="45" s="1"/>
  <c r="C19" i="45"/>
  <c r="B19" i="45"/>
  <c r="A19" i="45"/>
  <c r="AG18" i="45"/>
  <c r="AF18" i="45"/>
  <c r="L46" i="23" s="1"/>
  <c r="Z18" i="45"/>
  <c r="AB18" i="45" s="1"/>
  <c r="V18" i="45"/>
  <c r="W18" i="45" s="1"/>
  <c r="R18" i="45"/>
  <c r="T18" i="45" s="1"/>
  <c r="N18" i="45"/>
  <c r="P18" i="45" s="1"/>
  <c r="J18" i="45"/>
  <c r="K18" i="45" s="1"/>
  <c r="H18" i="45"/>
  <c r="E18" i="45"/>
  <c r="F18" i="45" s="1"/>
  <c r="C18" i="45"/>
  <c r="B18" i="45"/>
  <c r="A18" i="45"/>
  <c r="AG17" i="45"/>
  <c r="AF17" i="45"/>
  <c r="L46" i="24" s="1"/>
  <c r="Z17" i="45"/>
  <c r="AA17" i="45" s="1"/>
  <c r="V17" i="45"/>
  <c r="W17" i="45" s="1"/>
  <c r="R17" i="45"/>
  <c r="T17" i="45" s="1"/>
  <c r="N17" i="45"/>
  <c r="P17" i="45" s="1"/>
  <c r="J17" i="45"/>
  <c r="L17" i="45" s="1"/>
  <c r="H17" i="45"/>
  <c r="E17" i="45"/>
  <c r="F17" i="45" s="1"/>
  <c r="C17" i="45"/>
  <c r="B17" i="45"/>
  <c r="A17" i="45"/>
  <c r="AG16" i="45"/>
  <c r="AF16" i="45"/>
  <c r="L46" i="25" s="1"/>
  <c r="Z16" i="45"/>
  <c r="AB16" i="45" s="1"/>
  <c r="V16" i="45"/>
  <c r="X16" i="45" s="1"/>
  <c r="R16" i="45"/>
  <c r="T16" i="45" s="1"/>
  <c r="N16" i="45"/>
  <c r="P16" i="45" s="1"/>
  <c r="J16" i="45"/>
  <c r="L16" i="45" s="1"/>
  <c r="H16" i="45"/>
  <c r="E16" i="45"/>
  <c r="G16" i="45" s="1"/>
  <c r="C16" i="45"/>
  <c r="B16" i="45"/>
  <c r="A16" i="45"/>
  <c r="AG15" i="45"/>
  <c r="AF15" i="45"/>
  <c r="L46" i="26" s="1"/>
  <c r="Z15" i="45"/>
  <c r="AA15" i="45" s="1"/>
  <c r="V15" i="45"/>
  <c r="X15" i="45" s="1"/>
  <c r="R15" i="45"/>
  <c r="T15" i="45" s="1"/>
  <c r="N15" i="45"/>
  <c r="P15" i="45" s="1"/>
  <c r="J15" i="45"/>
  <c r="K15" i="45" s="1"/>
  <c r="H15" i="45"/>
  <c r="E15" i="45"/>
  <c r="F15" i="45" s="1"/>
  <c r="C15" i="45"/>
  <c r="B15" i="45"/>
  <c r="A15" i="45"/>
  <c r="AG14" i="45"/>
  <c r="AF14" i="45"/>
  <c r="L46" i="28" s="1"/>
  <c r="Z14" i="45"/>
  <c r="V14" i="45"/>
  <c r="X14" i="45" s="1"/>
  <c r="R14" i="45"/>
  <c r="N14" i="45"/>
  <c r="P14" i="45" s="1"/>
  <c r="J14" i="45"/>
  <c r="H14" i="45"/>
  <c r="E14" i="45"/>
  <c r="G14" i="45" s="1"/>
  <c r="C14" i="45"/>
  <c r="B14" i="45"/>
  <c r="A14" i="45"/>
  <c r="AG13" i="45"/>
  <c r="AF13" i="45"/>
  <c r="L46" i="27" s="1"/>
  <c r="Z13" i="45"/>
  <c r="AA13" i="45" s="1"/>
  <c r="V13" i="45"/>
  <c r="X13" i="45" s="1"/>
  <c r="R13" i="45"/>
  <c r="T13" i="45" s="1"/>
  <c r="N13" i="45"/>
  <c r="P13" i="45" s="1"/>
  <c r="J13" i="45"/>
  <c r="K13" i="45" s="1"/>
  <c r="H13" i="45"/>
  <c r="E13" i="45"/>
  <c r="F13" i="45" s="1"/>
  <c r="C13" i="45"/>
  <c r="B13" i="45"/>
  <c r="A13" i="45"/>
  <c r="AG12" i="45"/>
  <c r="AF12" i="45"/>
  <c r="L46" i="29" s="1"/>
  <c r="Z12" i="45"/>
  <c r="AB12" i="45" s="1"/>
  <c r="V12" i="45"/>
  <c r="R12" i="45"/>
  <c r="T12" i="45" s="1"/>
  <c r="N12" i="45"/>
  <c r="J12" i="45"/>
  <c r="L12" i="45" s="1"/>
  <c r="H12" i="45"/>
  <c r="E12" i="45"/>
  <c r="G12" i="45" s="1"/>
  <c r="C12" i="45"/>
  <c r="B12" i="45"/>
  <c r="A12" i="45"/>
  <c r="AG11" i="45"/>
  <c r="AF11" i="45"/>
  <c r="L46" i="30" s="1"/>
  <c r="Z11" i="45"/>
  <c r="AB11" i="45" s="1"/>
  <c r="V11" i="45"/>
  <c r="W11" i="45" s="1"/>
  <c r="R11" i="45"/>
  <c r="S11" i="45" s="1"/>
  <c r="N11" i="45"/>
  <c r="P11" i="45" s="1"/>
  <c r="J11" i="45"/>
  <c r="L11" i="45" s="1"/>
  <c r="H11" i="45"/>
  <c r="E11" i="45"/>
  <c r="F11" i="45" s="1"/>
  <c r="C11" i="45"/>
  <c r="B11" i="45"/>
  <c r="A11" i="45"/>
  <c r="AG10" i="45"/>
  <c r="AF10" i="45"/>
  <c r="L46" i="31" s="1"/>
  <c r="Z10" i="45"/>
  <c r="V10" i="45"/>
  <c r="R10" i="45"/>
  <c r="N10" i="45"/>
  <c r="J10" i="45"/>
  <c r="H10" i="45"/>
  <c r="E10" i="45"/>
  <c r="G10" i="45" s="1"/>
  <c r="C10" i="45"/>
  <c r="B10" i="45"/>
  <c r="A10" i="45"/>
  <c r="AG9" i="45"/>
  <c r="AF9" i="45"/>
  <c r="L46" i="32" s="1"/>
  <c r="Z9" i="45"/>
  <c r="V9" i="45"/>
  <c r="R9" i="45"/>
  <c r="N9" i="45"/>
  <c r="J9" i="45"/>
  <c r="H9" i="45"/>
  <c r="E9" i="45"/>
  <c r="G9" i="45" s="1"/>
  <c r="C9" i="45"/>
  <c r="B9" i="45"/>
  <c r="A9" i="45"/>
  <c r="AG8" i="45"/>
  <c r="AF8" i="45"/>
  <c r="Z8" i="45"/>
  <c r="Y8" i="45" s="1"/>
  <c r="Y9" i="45" s="1"/>
  <c r="Y10" i="45" s="1"/>
  <c r="Y11" i="45" s="1"/>
  <c r="Y12" i="45" s="1"/>
  <c r="Y13" i="45" s="1"/>
  <c r="Y14" i="45" s="1"/>
  <c r="Y15" i="45" s="1"/>
  <c r="Y16" i="45" s="1"/>
  <c r="Y17" i="45" s="1"/>
  <c r="Y18" i="45" s="1"/>
  <c r="Y19" i="45" s="1"/>
  <c r="Y20" i="45" s="1"/>
  <c r="Y21" i="45" s="1"/>
  <c r="Y22" i="45" s="1"/>
  <c r="Y23" i="45" s="1"/>
  <c r="Y24" i="45" s="1"/>
  <c r="Y25" i="45" s="1"/>
  <c r="Y26" i="45" s="1"/>
  <c r="Y27" i="45" s="1"/>
  <c r="Y28" i="45" s="1"/>
  <c r="Y29" i="45" s="1"/>
  <c r="Y30" i="45" s="1"/>
  <c r="Y31" i="45" s="1"/>
  <c r="Y32" i="45" s="1"/>
  <c r="Y33" i="45" s="1"/>
  <c r="Y34" i="45" s="1"/>
  <c r="Y35" i="45" s="1"/>
  <c r="V8" i="45"/>
  <c r="U8" i="45" s="1"/>
  <c r="U9" i="45" s="1"/>
  <c r="U10" i="45" s="1"/>
  <c r="U11" i="45" s="1"/>
  <c r="U12" i="45" s="1"/>
  <c r="U13" i="45" s="1"/>
  <c r="U14" i="45" s="1"/>
  <c r="R8" i="45"/>
  <c r="Q8" i="45" s="1"/>
  <c r="N8" i="45"/>
  <c r="M8" i="45" s="1"/>
  <c r="J8" i="45"/>
  <c r="I8" i="45" s="1"/>
  <c r="H8" i="45"/>
  <c r="E8" i="45"/>
  <c r="F8" i="45" s="1"/>
  <c r="C8" i="45"/>
  <c r="B8" i="45"/>
  <c r="A8" i="45"/>
  <c r="A7" i="45"/>
  <c r="AR41" i="39"/>
  <c r="AP41" i="39"/>
  <c r="AN41" i="39"/>
  <c r="AL41" i="39"/>
  <c r="AJ41" i="39"/>
  <c r="AH41" i="39"/>
  <c r="AF41" i="39"/>
  <c r="AD41" i="39"/>
  <c r="AB41" i="39"/>
  <c r="AA41" i="39"/>
  <c r="Z41" i="39"/>
  <c r="Y41" i="39"/>
  <c r="T41" i="39"/>
  <c r="R41" i="39"/>
  <c r="P41" i="39"/>
  <c r="I41" i="39"/>
  <c r="K40" i="39"/>
  <c r="J40" i="39"/>
  <c r="BH39" i="39"/>
  <c r="BJ39" i="39" s="1"/>
  <c r="BF39" i="39"/>
  <c r="AS39" i="39"/>
  <c r="AR39" i="39"/>
  <c r="AQ39" i="39"/>
  <c r="AP39" i="39"/>
  <c r="AO39" i="39"/>
  <c r="AM39" i="39"/>
  <c r="AL39" i="39"/>
  <c r="AK39" i="39"/>
  <c r="AJ39" i="39"/>
  <c r="AI39" i="39"/>
  <c r="AH39" i="39"/>
  <c r="AG39" i="39"/>
  <c r="AF39" i="39"/>
  <c r="AE39" i="39"/>
  <c r="AD39" i="39"/>
  <c r="AC39" i="39"/>
  <c r="U39" i="39"/>
  <c r="T39" i="39"/>
  <c r="S39" i="39"/>
  <c r="R39" i="39"/>
  <c r="Q39" i="39"/>
  <c r="P39" i="39"/>
  <c r="N39" i="39"/>
  <c r="G39" i="39" s="1"/>
  <c r="L39" i="39"/>
  <c r="V39" i="39" s="1"/>
  <c r="I39" i="39"/>
  <c r="F39" i="39"/>
  <c r="E39" i="39"/>
  <c r="D39" i="39"/>
  <c r="A39" i="39"/>
  <c r="BH38" i="39"/>
  <c r="BJ38" i="39" s="1"/>
  <c r="AS38" i="39"/>
  <c r="AR38" i="39"/>
  <c r="AQ38" i="39"/>
  <c r="AP38" i="39"/>
  <c r="AO38" i="39"/>
  <c r="AM38" i="39"/>
  <c r="AL38" i="39"/>
  <c r="AK38" i="39"/>
  <c r="AJ38" i="39"/>
  <c r="AI38" i="39"/>
  <c r="AH38" i="39"/>
  <c r="AG38" i="39"/>
  <c r="AF38" i="39"/>
  <c r="AE38" i="39"/>
  <c r="AD38" i="39"/>
  <c r="AC38" i="39"/>
  <c r="U38" i="39"/>
  <c r="T38" i="39"/>
  <c r="S38" i="39"/>
  <c r="R38" i="39"/>
  <c r="Q38" i="39"/>
  <c r="P38" i="39"/>
  <c r="I38" i="39"/>
  <c r="F38" i="39"/>
  <c r="E38" i="39"/>
  <c r="D38" i="39"/>
  <c r="A38" i="39"/>
  <c r="BF37" i="39"/>
  <c r="AS37" i="39"/>
  <c r="AR37" i="39"/>
  <c r="AQ37" i="39"/>
  <c r="AP37" i="39"/>
  <c r="AO37" i="39"/>
  <c r="AM37" i="39"/>
  <c r="AL37" i="39"/>
  <c r="AK37" i="39"/>
  <c r="AJ37" i="39"/>
  <c r="AI37" i="39"/>
  <c r="AH37" i="39"/>
  <c r="AG37" i="39"/>
  <c r="AF37" i="39"/>
  <c r="AE37" i="39"/>
  <c r="AD37" i="39"/>
  <c r="AC37" i="39"/>
  <c r="U37" i="39"/>
  <c r="T37" i="39"/>
  <c r="S37" i="39"/>
  <c r="R37" i="39"/>
  <c r="Q37" i="39"/>
  <c r="P37" i="39"/>
  <c r="L37" i="39"/>
  <c r="V37" i="39" s="1"/>
  <c r="I37" i="39"/>
  <c r="F37" i="39"/>
  <c r="E37" i="39"/>
  <c r="D37" i="39"/>
  <c r="A37" i="39"/>
  <c r="BJ36" i="39"/>
  <c r="BH36" i="39"/>
  <c r="BF36" i="39"/>
  <c r="AS36" i="39"/>
  <c r="AR36" i="39"/>
  <c r="AQ36" i="39"/>
  <c r="AP36" i="39"/>
  <c r="AO36" i="39"/>
  <c r="AM36" i="39"/>
  <c r="AL36" i="39"/>
  <c r="AK36" i="39"/>
  <c r="AJ36" i="39"/>
  <c r="AI36" i="39"/>
  <c r="AH36" i="39"/>
  <c r="AG36" i="39"/>
  <c r="AF36" i="39"/>
  <c r="AE36" i="39"/>
  <c r="AD36" i="39"/>
  <c r="AC36" i="39"/>
  <c r="V36" i="39"/>
  <c r="U36" i="39"/>
  <c r="T36" i="39"/>
  <c r="S36" i="39"/>
  <c r="R36" i="39"/>
  <c r="Q36" i="39"/>
  <c r="P36" i="39"/>
  <c r="N36" i="39"/>
  <c r="G36" i="39" s="1"/>
  <c r="L36" i="39"/>
  <c r="J36" i="39"/>
  <c r="I36" i="39"/>
  <c r="H36" i="39"/>
  <c r="F36" i="39"/>
  <c r="E36" i="39"/>
  <c r="D36" i="39"/>
  <c r="A36" i="39"/>
  <c r="BF35" i="39"/>
  <c r="AS35" i="39"/>
  <c r="AR35" i="39"/>
  <c r="AQ35" i="39"/>
  <c r="AP35" i="39"/>
  <c r="AO35" i="39"/>
  <c r="AM35" i="39"/>
  <c r="AL35" i="39"/>
  <c r="AK35" i="39"/>
  <c r="AJ35" i="39"/>
  <c r="AI35" i="39"/>
  <c r="AH35" i="39"/>
  <c r="AG35" i="39"/>
  <c r="AF35" i="39"/>
  <c r="AE35" i="39"/>
  <c r="AD35" i="39"/>
  <c r="AC35" i="39"/>
  <c r="V35" i="39"/>
  <c r="U35" i="39"/>
  <c r="T35" i="39"/>
  <c r="S35" i="39"/>
  <c r="R35" i="39"/>
  <c r="Q35" i="39"/>
  <c r="P35" i="39"/>
  <c r="N35" i="39"/>
  <c r="G35" i="39" s="1"/>
  <c r="L35" i="39"/>
  <c r="H35" i="39" s="1"/>
  <c r="I35" i="39"/>
  <c r="F35" i="39"/>
  <c r="E35" i="39"/>
  <c r="D35" i="39"/>
  <c r="A35" i="39"/>
  <c r="BJ34" i="39"/>
  <c r="BH34" i="39"/>
  <c r="BF34" i="39"/>
  <c r="AS34" i="39"/>
  <c r="AR34" i="39"/>
  <c r="AQ34" i="39"/>
  <c r="AP34" i="39"/>
  <c r="AO34" i="39"/>
  <c r="AM34" i="39"/>
  <c r="AL34" i="39"/>
  <c r="AK34" i="39"/>
  <c r="AJ34" i="39"/>
  <c r="AI34" i="39"/>
  <c r="AH34" i="39"/>
  <c r="AG34" i="39"/>
  <c r="AF34" i="39"/>
  <c r="AE34" i="39"/>
  <c r="AD34" i="39"/>
  <c r="AC34" i="39"/>
  <c r="V34" i="39"/>
  <c r="U34" i="39"/>
  <c r="T34" i="39"/>
  <c r="S34" i="39"/>
  <c r="R34" i="39"/>
  <c r="Q34" i="39"/>
  <c r="P34" i="39"/>
  <c r="N34" i="39"/>
  <c r="G34" i="39" s="1"/>
  <c r="L34" i="39"/>
  <c r="H34" i="39" s="1"/>
  <c r="I34" i="39"/>
  <c r="F34" i="39"/>
  <c r="E34" i="39"/>
  <c r="D34" i="39"/>
  <c r="A34" i="39"/>
  <c r="BH33" i="39"/>
  <c r="BJ33" i="39" s="1"/>
  <c r="AS33" i="39"/>
  <c r="AR33" i="39"/>
  <c r="AQ33" i="39"/>
  <c r="AP33" i="39"/>
  <c r="AO33" i="39"/>
  <c r="AM33" i="39"/>
  <c r="AL33" i="39"/>
  <c r="AK33" i="39"/>
  <c r="AJ33" i="39"/>
  <c r="AI33" i="39"/>
  <c r="AH33" i="39"/>
  <c r="AG33" i="39"/>
  <c r="AF33" i="39"/>
  <c r="AE33" i="39"/>
  <c r="AD33" i="39"/>
  <c r="AC33" i="39"/>
  <c r="U33" i="39"/>
  <c r="T33" i="39"/>
  <c r="S33" i="39"/>
  <c r="R33" i="39"/>
  <c r="Q33" i="39"/>
  <c r="P33" i="39"/>
  <c r="N33" i="39"/>
  <c r="G33" i="39" s="1"/>
  <c r="I33" i="39"/>
  <c r="F33" i="39"/>
  <c r="E33" i="39"/>
  <c r="D33" i="39"/>
  <c r="A33" i="39"/>
  <c r="AS32" i="39"/>
  <c r="AR32" i="39"/>
  <c r="AQ32" i="39"/>
  <c r="AP32" i="39"/>
  <c r="AO32" i="39"/>
  <c r="AM32" i="39"/>
  <c r="AL32" i="39"/>
  <c r="AK32" i="39"/>
  <c r="AJ32" i="39"/>
  <c r="AI32" i="39"/>
  <c r="AH32" i="39"/>
  <c r="AG32" i="39"/>
  <c r="AF32" i="39"/>
  <c r="AE32" i="39"/>
  <c r="AD32" i="39"/>
  <c r="AC32" i="39"/>
  <c r="U32" i="39"/>
  <c r="T32" i="39"/>
  <c r="S32" i="39"/>
  <c r="R32" i="39"/>
  <c r="Q32" i="39"/>
  <c r="P32" i="39"/>
  <c r="L32" i="39"/>
  <c r="J32" i="39" s="1"/>
  <c r="I32" i="39"/>
  <c r="F32" i="39"/>
  <c r="E32" i="39"/>
  <c r="D32" i="39"/>
  <c r="A32" i="39"/>
  <c r="AS31" i="39"/>
  <c r="AR31" i="39"/>
  <c r="AQ31" i="39"/>
  <c r="AP31" i="39"/>
  <c r="AO31" i="39"/>
  <c r="AM31" i="39"/>
  <c r="AL31" i="39"/>
  <c r="AK31" i="39"/>
  <c r="AJ31" i="39"/>
  <c r="AI31" i="39"/>
  <c r="AH31" i="39"/>
  <c r="AG31" i="39"/>
  <c r="AF31" i="39"/>
  <c r="AE31" i="39"/>
  <c r="AD31" i="39"/>
  <c r="AC31" i="39"/>
  <c r="U31" i="39"/>
  <c r="T31" i="39"/>
  <c r="S31" i="39"/>
  <c r="R31" i="39"/>
  <c r="Q31" i="39"/>
  <c r="P31" i="39"/>
  <c r="I31" i="39"/>
  <c r="F31" i="39"/>
  <c r="E31" i="39"/>
  <c r="D31" i="39"/>
  <c r="A31" i="39"/>
  <c r="BF30" i="39"/>
  <c r="AS30" i="39"/>
  <c r="AR30" i="39"/>
  <c r="AQ30" i="39"/>
  <c r="AP30" i="39"/>
  <c r="AO30" i="39"/>
  <c r="AM30" i="39"/>
  <c r="AL30" i="39"/>
  <c r="AK30" i="39"/>
  <c r="AJ30" i="39"/>
  <c r="AI30" i="39"/>
  <c r="AH30" i="39"/>
  <c r="AG30" i="39"/>
  <c r="AF30" i="39"/>
  <c r="AE30" i="39"/>
  <c r="AD30" i="39"/>
  <c r="AC30" i="39"/>
  <c r="U30" i="39"/>
  <c r="T30" i="39"/>
  <c r="S30" i="39"/>
  <c r="R30" i="39"/>
  <c r="Q30" i="39"/>
  <c r="P30" i="39"/>
  <c r="I30" i="39"/>
  <c r="F30" i="39"/>
  <c r="E30" i="39"/>
  <c r="D30" i="39"/>
  <c r="A30" i="39"/>
  <c r="BJ29" i="39"/>
  <c r="BH29" i="39"/>
  <c r="AS29" i="39"/>
  <c r="AR29" i="39"/>
  <c r="AQ29" i="39"/>
  <c r="AP29" i="39"/>
  <c r="AO29" i="39"/>
  <c r="AM29" i="39"/>
  <c r="AL29" i="39"/>
  <c r="AK29" i="39"/>
  <c r="AJ29" i="39"/>
  <c r="AI29" i="39"/>
  <c r="AH29" i="39"/>
  <c r="AG29" i="39"/>
  <c r="AF29" i="39"/>
  <c r="AE29" i="39"/>
  <c r="AD29" i="39"/>
  <c r="AC29" i="39"/>
  <c r="U29" i="39"/>
  <c r="T29" i="39"/>
  <c r="S29" i="39"/>
  <c r="R29" i="39"/>
  <c r="Q29" i="39"/>
  <c r="P29" i="39"/>
  <c r="I29" i="39"/>
  <c r="F29" i="39"/>
  <c r="E29" i="39"/>
  <c r="D29" i="39"/>
  <c r="A29" i="39"/>
  <c r="BJ28" i="39"/>
  <c r="BH28" i="39"/>
  <c r="AS28" i="39"/>
  <c r="AR28" i="39"/>
  <c r="AQ28" i="39"/>
  <c r="AP28" i="39"/>
  <c r="AO28" i="39"/>
  <c r="AM28" i="39"/>
  <c r="AL28" i="39"/>
  <c r="AK28" i="39"/>
  <c r="AJ28" i="39"/>
  <c r="AI28" i="39"/>
  <c r="AH28" i="39"/>
  <c r="AG28" i="39"/>
  <c r="AF28" i="39"/>
  <c r="AE28" i="39"/>
  <c r="AD28" i="39"/>
  <c r="AC28" i="39"/>
  <c r="U28" i="39"/>
  <c r="T28" i="39"/>
  <c r="S28" i="39"/>
  <c r="R28" i="39"/>
  <c r="Q28" i="39"/>
  <c r="P28" i="39"/>
  <c r="I28" i="39"/>
  <c r="F28" i="39"/>
  <c r="E28" i="39"/>
  <c r="D28" i="39"/>
  <c r="A28" i="39"/>
  <c r="BH27" i="39"/>
  <c r="BJ27" i="39" s="1"/>
  <c r="BF27" i="39"/>
  <c r="AS27" i="39"/>
  <c r="AR27" i="39"/>
  <c r="AQ27" i="39"/>
  <c r="AP27" i="39"/>
  <c r="AO27" i="39"/>
  <c r="AM27" i="39"/>
  <c r="AL27" i="39"/>
  <c r="AK27" i="39"/>
  <c r="AJ27" i="39"/>
  <c r="AI27" i="39"/>
  <c r="AH27" i="39"/>
  <c r="AG27" i="39"/>
  <c r="AF27" i="39"/>
  <c r="AE27" i="39"/>
  <c r="AD27" i="39"/>
  <c r="AC27" i="39"/>
  <c r="U27" i="39"/>
  <c r="T27" i="39"/>
  <c r="S27" i="39"/>
  <c r="R27" i="39"/>
  <c r="Q27" i="39"/>
  <c r="P27" i="39"/>
  <c r="I27" i="39"/>
  <c r="F27" i="39"/>
  <c r="E27" i="39"/>
  <c r="D27" i="39"/>
  <c r="A27" i="39"/>
  <c r="BF26" i="39"/>
  <c r="AS26" i="39"/>
  <c r="AR26" i="39"/>
  <c r="AQ26" i="39"/>
  <c r="AP26" i="39"/>
  <c r="AO26" i="39"/>
  <c r="AM26" i="39"/>
  <c r="AL26" i="39"/>
  <c r="AK26" i="39"/>
  <c r="AJ26" i="39"/>
  <c r="AI26" i="39"/>
  <c r="AH26" i="39"/>
  <c r="AG26" i="39"/>
  <c r="AF26" i="39"/>
  <c r="AE26" i="39"/>
  <c r="AD26" i="39"/>
  <c r="AC26" i="39"/>
  <c r="U26" i="39"/>
  <c r="T26" i="39"/>
  <c r="S26" i="39"/>
  <c r="R26" i="39"/>
  <c r="Q26" i="39"/>
  <c r="P26" i="39"/>
  <c r="I26" i="39"/>
  <c r="F26" i="39"/>
  <c r="E26" i="39"/>
  <c r="D26" i="39"/>
  <c r="A26" i="39"/>
  <c r="BF25" i="39"/>
  <c r="AS25" i="39"/>
  <c r="AR25" i="39"/>
  <c r="AQ25" i="39"/>
  <c r="AP25" i="39"/>
  <c r="AO25" i="39"/>
  <c r="AM25" i="39"/>
  <c r="AL25" i="39"/>
  <c r="AK25" i="39"/>
  <c r="AJ25" i="39"/>
  <c r="AI25" i="39"/>
  <c r="AH25" i="39"/>
  <c r="AG25" i="39"/>
  <c r="AF25" i="39"/>
  <c r="AE25" i="39"/>
  <c r="AD25" i="39"/>
  <c r="AC25" i="39"/>
  <c r="U25" i="39"/>
  <c r="T25" i="39"/>
  <c r="S25" i="39"/>
  <c r="R25" i="39"/>
  <c r="Q25" i="39"/>
  <c r="P25" i="39"/>
  <c r="I25" i="39"/>
  <c r="F25" i="39"/>
  <c r="E25" i="39"/>
  <c r="D25" i="39"/>
  <c r="A25" i="39"/>
  <c r="BJ24" i="39"/>
  <c r="BH24" i="39"/>
  <c r="AS24" i="39"/>
  <c r="AR24" i="39"/>
  <c r="AQ24" i="39"/>
  <c r="AP24" i="39"/>
  <c r="AO24" i="39"/>
  <c r="AM24" i="39"/>
  <c r="AL24" i="39"/>
  <c r="AK24" i="39"/>
  <c r="AJ24" i="39"/>
  <c r="AI24" i="39"/>
  <c r="AH24" i="39"/>
  <c r="AG24" i="39"/>
  <c r="AF24" i="39"/>
  <c r="AE24" i="39"/>
  <c r="AD24" i="39"/>
  <c r="AC24" i="39"/>
  <c r="U24" i="39"/>
  <c r="T24" i="39"/>
  <c r="S24" i="39"/>
  <c r="R24" i="39"/>
  <c r="Q24" i="39"/>
  <c r="P24" i="39"/>
  <c r="I24" i="39"/>
  <c r="F24" i="39"/>
  <c r="E24" i="39"/>
  <c r="D24" i="39"/>
  <c r="A24" i="39"/>
  <c r="BJ23" i="39"/>
  <c r="BH23" i="39"/>
  <c r="BF23" i="39"/>
  <c r="AS23" i="39"/>
  <c r="AR23" i="39"/>
  <c r="AQ23" i="39"/>
  <c r="AP23" i="39"/>
  <c r="AO23" i="39"/>
  <c r="AM23" i="39"/>
  <c r="AL23" i="39"/>
  <c r="AK23" i="39"/>
  <c r="AJ23" i="39"/>
  <c r="AI23" i="39"/>
  <c r="AH23" i="39"/>
  <c r="AG23" i="39"/>
  <c r="AF23" i="39"/>
  <c r="AE23" i="39"/>
  <c r="AD23" i="39"/>
  <c r="AC23" i="39"/>
  <c r="U23" i="39"/>
  <c r="T23" i="39"/>
  <c r="S23" i="39"/>
  <c r="R23" i="39"/>
  <c r="Q23" i="39"/>
  <c r="P23" i="39"/>
  <c r="L23" i="39"/>
  <c r="I23" i="39"/>
  <c r="F23" i="39"/>
  <c r="E23" i="39"/>
  <c r="D23" i="39"/>
  <c r="A23" i="39"/>
  <c r="BF22" i="39"/>
  <c r="AS22" i="39"/>
  <c r="AR22" i="39"/>
  <c r="AQ22" i="39"/>
  <c r="AP22" i="39"/>
  <c r="AO22" i="39"/>
  <c r="AM22" i="39"/>
  <c r="AL22" i="39"/>
  <c r="AK22" i="39"/>
  <c r="AJ22" i="39"/>
  <c r="AI22" i="39"/>
  <c r="AH22" i="39"/>
  <c r="AG22" i="39"/>
  <c r="AF22" i="39"/>
  <c r="AE22" i="39"/>
  <c r="AD22" i="39"/>
  <c r="AC22" i="39"/>
  <c r="U22" i="39"/>
  <c r="T22" i="39"/>
  <c r="S22" i="39"/>
  <c r="R22" i="39"/>
  <c r="Q22" i="39"/>
  <c r="P22" i="39"/>
  <c r="N22" i="39"/>
  <c r="I22" i="39"/>
  <c r="G22" i="39"/>
  <c r="F22" i="39"/>
  <c r="E22" i="39"/>
  <c r="D22" i="39"/>
  <c r="A22" i="39"/>
  <c r="BF21" i="39"/>
  <c r="AS21" i="39"/>
  <c r="AR21" i="39"/>
  <c r="AQ21" i="39"/>
  <c r="AP21" i="39"/>
  <c r="AO21" i="39"/>
  <c r="AM21" i="39"/>
  <c r="AL21" i="39"/>
  <c r="AK21" i="39"/>
  <c r="AJ21" i="39"/>
  <c r="AI21" i="39"/>
  <c r="AH21" i="39"/>
  <c r="AG21" i="39"/>
  <c r="AF21" i="39"/>
  <c r="AE21" i="39"/>
  <c r="AD21" i="39"/>
  <c r="AC21" i="39"/>
  <c r="U21" i="39"/>
  <c r="T21" i="39"/>
  <c r="S21" i="39"/>
  <c r="R21" i="39"/>
  <c r="Q21" i="39"/>
  <c r="P21" i="39"/>
  <c r="I21" i="39"/>
  <c r="F21" i="39"/>
  <c r="E21" i="39"/>
  <c r="D21" i="39"/>
  <c r="A21" i="39"/>
  <c r="BF20" i="39"/>
  <c r="AS20" i="39"/>
  <c r="AR20" i="39"/>
  <c r="AQ20" i="39"/>
  <c r="AP20" i="39"/>
  <c r="AO20" i="39"/>
  <c r="AM20" i="39"/>
  <c r="AL20" i="39"/>
  <c r="AK20" i="39"/>
  <c r="AJ20" i="39"/>
  <c r="AI20" i="39"/>
  <c r="AH20" i="39"/>
  <c r="AG20" i="39"/>
  <c r="AF20" i="39"/>
  <c r="AE20" i="39"/>
  <c r="AD20" i="39"/>
  <c r="AC20" i="39"/>
  <c r="U20" i="39"/>
  <c r="T20" i="39"/>
  <c r="S20" i="39"/>
  <c r="R20" i="39"/>
  <c r="Q20" i="39"/>
  <c r="P20" i="39"/>
  <c r="N20" i="39"/>
  <c r="G20" i="39" s="1"/>
  <c r="I20" i="39"/>
  <c r="F20" i="39"/>
  <c r="E20" i="39"/>
  <c r="D20" i="39"/>
  <c r="A20" i="39"/>
  <c r="BJ19" i="39"/>
  <c r="BH19" i="39"/>
  <c r="AS19" i="39"/>
  <c r="AR19" i="39"/>
  <c r="AQ19" i="39"/>
  <c r="AP19" i="39"/>
  <c r="AO19" i="39"/>
  <c r="AM19" i="39"/>
  <c r="AL19" i="39"/>
  <c r="AK19" i="39"/>
  <c r="AJ19" i="39"/>
  <c r="AI19" i="39"/>
  <c r="AH19" i="39"/>
  <c r="AG19" i="39"/>
  <c r="AF19" i="39"/>
  <c r="AE19" i="39"/>
  <c r="AD19" i="39"/>
  <c r="AC19" i="39"/>
  <c r="U19" i="39"/>
  <c r="T19" i="39"/>
  <c r="S19" i="39"/>
  <c r="R19" i="39"/>
  <c r="Q19" i="39"/>
  <c r="P19" i="39"/>
  <c r="N19" i="39"/>
  <c r="L19" i="39"/>
  <c r="H19" i="39" s="1"/>
  <c r="I19" i="39"/>
  <c r="G19" i="39"/>
  <c r="F19" i="39"/>
  <c r="E19" i="39"/>
  <c r="D19" i="39"/>
  <c r="A19" i="39"/>
  <c r="BF18" i="39"/>
  <c r="AS18" i="39"/>
  <c r="AR18" i="39"/>
  <c r="AQ18" i="39"/>
  <c r="AP18" i="39"/>
  <c r="AO18" i="39"/>
  <c r="AM18" i="39"/>
  <c r="AL18" i="39"/>
  <c r="AK18" i="39"/>
  <c r="AJ18" i="39"/>
  <c r="AI18" i="39"/>
  <c r="AH18" i="39"/>
  <c r="AG18" i="39"/>
  <c r="AF18" i="39"/>
  <c r="AE18" i="39"/>
  <c r="AD18" i="39"/>
  <c r="AC18" i="39"/>
  <c r="U18" i="39"/>
  <c r="T18" i="39"/>
  <c r="S18" i="39"/>
  <c r="R18" i="39"/>
  <c r="Q18" i="39"/>
  <c r="P18" i="39"/>
  <c r="N18" i="39"/>
  <c r="G18" i="39" s="1"/>
  <c r="I18" i="39"/>
  <c r="F18" i="39"/>
  <c r="E18" i="39"/>
  <c r="D18" i="39"/>
  <c r="A18" i="39"/>
  <c r="BF17" i="39"/>
  <c r="AS17" i="39"/>
  <c r="AR17" i="39"/>
  <c r="AQ17" i="39"/>
  <c r="AP17" i="39"/>
  <c r="AO17" i="39"/>
  <c r="AM17" i="39"/>
  <c r="AL17" i="39"/>
  <c r="AK17" i="39"/>
  <c r="AJ17" i="39"/>
  <c r="AI17" i="39"/>
  <c r="AH17" i="39"/>
  <c r="AG17" i="39"/>
  <c r="AF17" i="39"/>
  <c r="AE17" i="39"/>
  <c r="AD17" i="39"/>
  <c r="AC17" i="39"/>
  <c r="U17" i="39"/>
  <c r="T17" i="39"/>
  <c r="S17" i="39"/>
  <c r="R17" i="39"/>
  <c r="Q17" i="39"/>
  <c r="P17" i="39"/>
  <c r="I17" i="39"/>
  <c r="F17" i="39"/>
  <c r="E17" i="39"/>
  <c r="D17" i="39"/>
  <c r="A17" i="39"/>
  <c r="BF16" i="39"/>
  <c r="AS16" i="39"/>
  <c r="AR16" i="39"/>
  <c r="AQ16" i="39"/>
  <c r="AP16" i="39"/>
  <c r="AO16" i="39"/>
  <c r="AM16" i="39"/>
  <c r="AL16" i="39"/>
  <c r="AK16" i="39"/>
  <c r="AJ16" i="39"/>
  <c r="AI16" i="39"/>
  <c r="AH16" i="39"/>
  <c r="AG16" i="39"/>
  <c r="AF16" i="39"/>
  <c r="AE16" i="39"/>
  <c r="AD16" i="39"/>
  <c r="AC16" i="39"/>
  <c r="U16" i="39"/>
  <c r="T16" i="39"/>
  <c r="S16" i="39"/>
  <c r="R16" i="39"/>
  <c r="Q16" i="39"/>
  <c r="P16" i="39"/>
  <c r="I16" i="39"/>
  <c r="F16" i="39"/>
  <c r="E16" i="39"/>
  <c r="D16" i="39"/>
  <c r="A16" i="39"/>
  <c r="BF15" i="39"/>
  <c r="AS15" i="39"/>
  <c r="AR15" i="39"/>
  <c r="AQ15" i="39"/>
  <c r="AP15" i="39"/>
  <c r="AO15" i="39"/>
  <c r="AM15" i="39"/>
  <c r="AL15" i="39"/>
  <c r="AK15" i="39"/>
  <c r="AJ15" i="39"/>
  <c r="AI15" i="39"/>
  <c r="AH15" i="39"/>
  <c r="AG15" i="39"/>
  <c r="AF15" i="39"/>
  <c r="AE15" i="39"/>
  <c r="AD15" i="39"/>
  <c r="AC15" i="39"/>
  <c r="U15" i="39"/>
  <c r="T15" i="39"/>
  <c r="S15" i="39"/>
  <c r="R15" i="39"/>
  <c r="Q15" i="39"/>
  <c r="P15" i="39"/>
  <c r="I15" i="39"/>
  <c r="F15" i="39"/>
  <c r="E15" i="39"/>
  <c r="D15" i="39"/>
  <c r="A15" i="39"/>
  <c r="BF14" i="39"/>
  <c r="AS14" i="39"/>
  <c r="AR14" i="39"/>
  <c r="AQ14" i="39"/>
  <c r="AP14" i="39"/>
  <c r="AO14" i="39"/>
  <c r="AM14" i="39"/>
  <c r="AL14" i="39"/>
  <c r="AK14" i="39"/>
  <c r="AJ14" i="39"/>
  <c r="AI14" i="39"/>
  <c r="AH14" i="39"/>
  <c r="AG14" i="39"/>
  <c r="AF14" i="39"/>
  <c r="AE14" i="39"/>
  <c r="AD14" i="39"/>
  <c r="AC14" i="39"/>
  <c r="U14" i="39"/>
  <c r="T14" i="39"/>
  <c r="S14" i="39"/>
  <c r="R14" i="39"/>
  <c r="Q14" i="39"/>
  <c r="P14" i="39"/>
  <c r="I14" i="39"/>
  <c r="F14" i="39"/>
  <c r="E14" i="39"/>
  <c r="D14" i="39"/>
  <c r="A14" i="39"/>
  <c r="BF13" i="39"/>
  <c r="AS13" i="39"/>
  <c r="AR13" i="39"/>
  <c r="AQ13" i="39"/>
  <c r="AP13" i="39"/>
  <c r="AO13" i="39"/>
  <c r="AM13" i="39"/>
  <c r="AL13" i="39"/>
  <c r="AK13" i="39"/>
  <c r="AJ13" i="39"/>
  <c r="AI13" i="39"/>
  <c r="AH13" i="39"/>
  <c r="AG13" i="39"/>
  <c r="AF13" i="39"/>
  <c r="AE13" i="39"/>
  <c r="AD13" i="39"/>
  <c r="AC13" i="39"/>
  <c r="U13" i="39"/>
  <c r="T13" i="39"/>
  <c r="S13" i="39"/>
  <c r="R13" i="39"/>
  <c r="Q13" i="39"/>
  <c r="P13" i="39"/>
  <c r="L13" i="39"/>
  <c r="J13" i="39" s="1"/>
  <c r="I13" i="39"/>
  <c r="F13" i="39"/>
  <c r="E13" i="39"/>
  <c r="D13" i="39"/>
  <c r="A13" i="39"/>
  <c r="AS12" i="39"/>
  <c r="AR12" i="39"/>
  <c r="AQ12" i="39"/>
  <c r="AP12" i="39"/>
  <c r="AO12" i="39"/>
  <c r="AM12" i="39"/>
  <c r="AL12" i="39"/>
  <c r="AK12" i="39"/>
  <c r="AJ12" i="39"/>
  <c r="AI12" i="39"/>
  <c r="AH12" i="39"/>
  <c r="AG12" i="39"/>
  <c r="AF12" i="39"/>
  <c r="AE12" i="39"/>
  <c r="AD12" i="39"/>
  <c r="AC12" i="39"/>
  <c r="U12" i="39"/>
  <c r="T12" i="39"/>
  <c r="S12" i="39"/>
  <c r="R12" i="39"/>
  <c r="Q12" i="39"/>
  <c r="P12" i="39"/>
  <c r="I12" i="39"/>
  <c r="F12" i="39"/>
  <c r="E12" i="39"/>
  <c r="D12" i="39"/>
  <c r="A12" i="39"/>
  <c r="BF11" i="39"/>
  <c r="AS11" i="39"/>
  <c r="AR11" i="39"/>
  <c r="AQ11" i="39"/>
  <c r="AP11" i="39"/>
  <c r="AO11" i="39"/>
  <c r="AM11" i="39"/>
  <c r="AL11" i="39"/>
  <c r="AK11" i="39"/>
  <c r="AJ11" i="39"/>
  <c r="AI11" i="39"/>
  <c r="AH11" i="39"/>
  <c r="AG11" i="39"/>
  <c r="AF11" i="39"/>
  <c r="AE11" i="39"/>
  <c r="AD11" i="39"/>
  <c r="AC11" i="39"/>
  <c r="U11" i="39"/>
  <c r="T11" i="39"/>
  <c r="S11" i="39"/>
  <c r="R11" i="39"/>
  <c r="Q11" i="39"/>
  <c r="P11" i="39"/>
  <c r="N11" i="39"/>
  <c r="L11" i="39"/>
  <c r="H11" i="39" s="1"/>
  <c r="I11" i="39"/>
  <c r="G11" i="39"/>
  <c r="F11" i="39"/>
  <c r="E11" i="39"/>
  <c r="D11" i="39"/>
  <c r="A11" i="39"/>
  <c r="BF10" i="39"/>
  <c r="AS10" i="39"/>
  <c r="AR10" i="39"/>
  <c r="AQ10" i="39"/>
  <c r="AP10" i="39"/>
  <c r="AO10" i="39"/>
  <c r="AM10" i="39"/>
  <c r="AL10" i="39"/>
  <c r="AK10" i="39"/>
  <c r="AJ10" i="39"/>
  <c r="AI10" i="39"/>
  <c r="AH10" i="39"/>
  <c r="AG10" i="39"/>
  <c r="AF10" i="39"/>
  <c r="AE10" i="39"/>
  <c r="AD10" i="39"/>
  <c r="AC10" i="39"/>
  <c r="U10" i="39"/>
  <c r="T10" i="39"/>
  <c r="S10" i="39"/>
  <c r="R10" i="39"/>
  <c r="Q10" i="39"/>
  <c r="P10" i="39"/>
  <c r="I10" i="39"/>
  <c r="F10" i="39"/>
  <c r="E10" i="39"/>
  <c r="D10" i="39"/>
  <c r="A10" i="39"/>
  <c r="AS9" i="39"/>
  <c r="AR9" i="39"/>
  <c r="AQ9" i="39"/>
  <c r="AP9" i="39"/>
  <c r="AO9" i="39"/>
  <c r="AM9" i="39"/>
  <c r="AL9" i="39"/>
  <c r="AK9" i="39"/>
  <c r="AJ9" i="39"/>
  <c r="AI9" i="39"/>
  <c r="AH9" i="39"/>
  <c r="AG9" i="39"/>
  <c r="AF9" i="39"/>
  <c r="AE9" i="39"/>
  <c r="AD9" i="39"/>
  <c r="AC9" i="39"/>
  <c r="V9" i="39"/>
  <c r="U9" i="39"/>
  <c r="T9" i="39"/>
  <c r="S9" i="39"/>
  <c r="R9" i="39"/>
  <c r="Q9" i="39"/>
  <c r="P9" i="39"/>
  <c r="N9" i="39"/>
  <c r="O9" i="39" s="1"/>
  <c r="L9" i="39"/>
  <c r="J9" i="39"/>
  <c r="I9" i="39"/>
  <c r="F9" i="39"/>
  <c r="E9" i="39"/>
  <c r="D9" i="39"/>
  <c r="Y36" i="45" l="1"/>
  <c r="Y37" i="45" s="1"/>
  <c r="Y38" i="45" s="1"/>
  <c r="P35" i="45"/>
  <c r="AH38" i="45"/>
  <c r="AZ39" i="39" s="1"/>
  <c r="X19" i="45"/>
  <c r="G21" i="45"/>
  <c r="AB32" i="45"/>
  <c r="F22" i="45"/>
  <c r="T11" i="45"/>
  <c r="G24" i="45"/>
  <c r="AB15" i="45"/>
  <c r="X17" i="45"/>
  <c r="G18" i="45"/>
  <c r="AB23" i="45"/>
  <c r="L13" i="45"/>
  <c r="L38" i="45"/>
  <c r="AB21" i="45"/>
  <c r="M9" i="45"/>
  <c r="M10" i="45" s="1"/>
  <c r="M11" i="45" s="1"/>
  <c r="M12" i="45" s="1"/>
  <c r="M13" i="45" s="1"/>
  <c r="M14" i="45" s="1"/>
  <c r="M15" i="45" s="1"/>
  <c r="M16" i="45" s="1"/>
  <c r="M17" i="45" s="1"/>
  <c r="M18" i="45" s="1"/>
  <c r="M19" i="45" s="1"/>
  <c r="M20" i="45" s="1"/>
  <c r="M21" i="45" s="1"/>
  <c r="M22" i="45" s="1"/>
  <c r="M23" i="45" s="1"/>
  <c r="M24" i="45" s="1"/>
  <c r="M25" i="45" s="1"/>
  <c r="M26" i="45" s="1"/>
  <c r="M27" i="45" s="1"/>
  <c r="M28" i="45" s="1"/>
  <c r="M29" i="45" s="1"/>
  <c r="M30" i="45" s="1"/>
  <c r="M31" i="45" s="1"/>
  <c r="M32" i="45" s="1"/>
  <c r="M33" i="45" s="1"/>
  <c r="M34" i="45" s="1"/>
  <c r="M35" i="45" s="1"/>
  <c r="M36" i="45" s="1"/>
  <c r="M37" i="45" s="1"/>
  <c r="M38" i="45" s="1"/>
  <c r="H37" i="39"/>
  <c r="J37" i="39"/>
  <c r="AA140" i="46"/>
  <c r="V23" i="39"/>
  <c r="J23" i="39"/>
  <c r="H23" i="39"/>
  <c r="X67" i="46"/>
  <c r="M9" i="39"/>
  <c r="J11" i="39"/>
  <c r="AC6" i="46"/>
  <c r="K42" i="46"/>
  <c r="V42" i="46"/>
  <c r="X62" i="46"/>
  <c r="AC62" i="46"/>
  <c r="L20" i="39"/>
  <c r="K47" i="46"/>
  <c r="V47" i="46"/>
  <c r="AB62" i="46"/>
  <c r="G9" i="39"/>
  <c r="H9" i="39"/>
  <c r="V11" i="39"/>
  <c r="X15" i="46"/>
  <c r="AC57" i="46"/>
  <c r="AB57" i="46" s="1"/>
  <c r="AD27" i="46"/>
  <c r="K31" i="46"/>
  <c r="V31" i="46"/>
  <c r="L21" i="39"/>
  <c r="AD74" i="46"/>
  <c r="L22" i="39"/>
  <c r="X73" i="46"/>
  <c r="J34" i="39"/>
  <c r="J35" i="39"/>
  <c r="H39" i="39"/>
  <c r="BB39" i="39"/>
  <c r="K11" i="46"/>
  <c r="C20" i="46"/>
  <c r="N12" i="39" s="1"/>
  <c r="G12" i="39" s="1"/>
  <c r="T26" i="46"/>
  <c r="AC26" i="46"/>
  <c r="T31" i="46"/>
  <c r="N32" i="46"/>
  <c r="K48" i="46"/>
  <c r="N50" i="46"/>
  <c r="N52" i="46"/>
  <c r="P67" i="46"/>
  <c r="P73" i="46"/>
  <c r="U82" i="46"/>
  <c r="C82" i="46"/>
  <c r="N24" i="39" s="1"/>
  <c r="G24" i="39" s="1"/>
  <c r="T82" i="46"/>
  <c r="N82" i="46"/>
  <c r="AD83" i="46"/>
  <c r="N96" i="46"/>
  <c r="U96" i="46"/>
  <c r="AA96" i="46" s="1"/>
  <c r="C96" i="46"/>
  <c r="N27" i="39" s="1"/>
  <c r="G27" i="39" s="1"/>
  <c r="T96" i="46"/>
  <c r="K110" i="46"/>
  <c r="V110" i="46"/>
  <c r="X140" i="46"/>
  <c r="V13" i="39"/>
  <c r="J19" i="39"/>
  <c r="V32" i="39"/>
  <c r="V6" i="46"/>
  <c r="AM158" i="46"/>
  <c r="P10" i="46"/>
  <c r="AC10" i="46"/>
  <c r="V15" i="46"/>
  <c r="AB15" i="46" s="1"/>
  <c r="U26" i="46"/>
  <c r="AA26" i="46" s="1"/>
  <c r="AB26" i="46" s="1"/>
  <c r="C31" i="46"/>
  <c r="N14" i="39" s="1"/>
  <c r="G14" i="39" s="1"/>
  <c r="U31" i="46"/>
  <c r="N49" i="46"/>
  <c r="P57" i="46"/>
  <c r="P62" i="46"/>
  <c r="T67" i="46"/>
  <c r="AC67" i="46" s="1"/>
  <c r="T73" i="46"/>
  <c r="AC73" i="46" s="1"/>
  <c r="AA110" i="46"/>
  <c r="AD128" i="46"/>
  <c r="AD137" i="46"/>
  <c r="AD141" i="46"/>
  <c r="AD153" i="46"/>
  <c r="BE160" i="46"/>
  <c r="J39" i="39"/>
  <c r="X163" i="46"/>
  <c r="W160" i="46"/>
  <c r="AR158" i="46"/>
  <c r="K20" i="46"/>
  <c r="C26" i="46"/>
  <c r="N13" i="39" s="1"/>
  <c r="G13" i="39" s="1"/>
  <c r="V26" i="46"/>
  <c r="P32" i="46"/>
  <c r="T42" i="46"/>
  <c r="T47" i="46"/>
  <c r="U67" i="46"/>
  <c r="AA67" i="46" s="1"/>
  <c r="U73" i="46"/>
  <c r="AA73" i="46" s="1"/>
  <c r="V91" i="46"/>
  <c r="K91" i="46"/>
  <c r="H13" i="39"/>
  <c r="H32" i="39"/>
  <c r="X6" i="46"/>
  <c r="BA6" i="46"/>
  <c r="P11" i="46"/>
  <c r="BD160" i="46"/>
  <c r="BF160" i="46"/>
  <c r="Q159" i="46"/>
  <c r="N38" i="46"/>
  <c r="C42" i="46"/>
  <c r="N16" i="39" s="1"/>
  <c r="G16" i="39" s="1"/>
  <c r="U42" i="46"/>
  <c r="AA42" i="46" s="1"/>
  <c r="C47" i="46"/>
  <c r="U47" i="46"/>
  <c r="AA47" i="46" s="1"/>
  <c r="V67" i="46"/>
  <c r="U77" i="46"/>
  <c r="AA77" i="46" s="1"/>
  <c r="AD86" i="46"/>
  <c r="T91" i="46"/>
  <c r="C91" i="46"/>
  <c r="N26" i="39" s="1"/>
  <c r="G26" i="39" s="1"/>
  <c r="P91" i="46"/>
  <c r="N92" i="46"/>
  <c r="U92" i="46"/>
  <c r="C92" i="46"/>
  <c r="T92" i="46"/>
  <c r="AD122" i="46"/>
  <c r="AA148" i="46"/>
  <c r="AD150" i="46"/>
  <c r="X152" i="46"/>
  <c r="S159" i="46"/>
  <c r="I2" i="53"/>
  <c r="Z160" i="46"/>
  <c r="R159" i="46"/>
  <c r="X119" i="46"/>
  <c r="Y160" i="46"/>
  <c r="V19" i="39"/>
  <c r="AA6" i="46"/>
  <c r="U11" i="46"/>
  <c r="AA10" i="46" s="1"/>
  <c r="P20" i="46"/>
  <c r="P38" i="46"/>
  <c r="P158" i="46" s="1"/>
  <c r="O158" i="46" s="1"/>
  <c r="C49" i="46"/>
  <c r="AD70" i="46"/>
  <c r="C77" i="46"/>
  <c r="N23" i="39" s="1"/>
  <c r="G23" i="39" s="1"/>
  <c r="X77" i="46"/>
  <c r="V81" i="46"/>
  <c r="U81" i="46"/>
  <c r="AA81" i="46" s="1"/>
  <c r="AD81" i="46"/>
  <c r="AD96" i="46"/>
  <c r="C11" i="46"/>
  <c r="N10" i="39" s="1"/>
  <c r="G10" i="39" s="1"/>
  <c r="T20" i="46"/>
  <c r="T158" i="46" s="1"/>
  <c r="U32" i="46"/>
  <c r="AD68" i="46"/>
  <c r="V73" i="46"/>
  <c r="AD82" i="46"/>
  <c r="N87" i="46"/>
  <c r="U87" i="46"/>
  <c r="AA86" i="46" s="1"/>
  <c r="C87" i="46"/>
  <c r="T87" i="46"/>
  <c r="AD88" i="46"/>
  <c r="AC101" i="46"/>
  <c r="BB160" i="46"/>
  <c r="C38" i="46"/>
  <c r="N15" i="39" s="1"/>
  <c r="G15" i="39" s="1"/>
  <c r="AC77" i="46"/>
  <c r="AB132" i="46"/>
  <c r="BC160" i="46"/>
  <c r="N90" i="46"/>
  <c r="U91" i="46"/>
  <c r="AA90" i="46" s="1"/>
  <c r="P110" i="46"/>
  <c r="AC119" i="46"/>
  <c r="K125" i="46"/>
  <c r="AC136" i="46"/>
  <c r="AB136" i="46" s="1"/>
  <c r="C149" i="46"/>
  <c r="V149" i="46"/>
  <c r="V128" i="46"/>
  <c r="AB128" i="46" s="1"/>
  <c r="X132" i="46"/>
  <c r="V141" i="46"/>
  <c r="S160" i="46"/>
  <c r="N86" i="46"/>
  <c r="T97" i="46"/>
  <c r="AC97" i="46" s="1"/>
  <c r="T101" i="46"/>
  <c r="N102" i="46"/>
  <c r="N106" i="46"/>
  <c r="C110" i="46"/>
  <c r="N111" i="46"/>
  <c r="N112" i="46"/>
  <c r="N113" i="46"/>
  <c r="N115" i="46"/>
  <c r="P120" i="46"/>
  <c r="P140" i="46"/>
  <c r="P148" i="46"/>
  <c r="K149" i="46"/>
  <c r="X148" i="46" s="1"/>
  <c r="T152" i="46"/>
  <c r="AC152" i="46" s="1"/>
  <c r="AB152" i="46" s="1"/>
  <c r="C101" i="46"/>
  <c r="T120" i="46"/>
  <c r="AC120" i="46" s="1"/>
  <c r="P125" i="46"/>
  <c r="T140" i="46"/>
  <c r="AC140" i="46" s="1"/>
  <c r="AB140" i="46" s="1"/>
  <c r="T148" i="46"/>
  <c r="AC148" i="46" s="1"/>
  <c r="T86" i="46"/>
  <c r="T102" i="46"/>
  <c r="T106" i="46"/>
  <c r="T111" i="46"/>
  <c r="T112" i="46"/>
  <c r="T113" i="46"/>
  <c r="T115" i="46"/>
  <c r="C120" i="46"/>
  <c r="N32" i="39" s="1"/>
  <c r="G32" i="39" s="1"/>
  <c r="U125" i="46"/>
  <c r="AA124" i="46" s="1"/>
  <c r="C140" i="46"/>
  <c r="N37" i="39" s="1"/>
  <c r="G37" i="39" s="1"/>
  <c r="C148" i="46"/>
  <c r="N38" i="39" s="1"/>
  <c r="G38" i="39" s="1"/>
  <c r="P149" i="46"/>
  <c r="C86" i="46"/>
  <c r="N25" i="39" s="1"/>
  <c r="G25" i="39" s="1"/>
  <c r="C102" i="46"/>
  <c r="C106" i="46"/>
  <c r="N29" i="39" s="1"/>
  <c r="G29" i="39" s="1"/>
  <c r="C111" i="46"/>
  <c r="C112" i="46"/>
  <c r="C113" i="46"/>
  <c r="C115" i="46"/>
  <c r="N31" i="39" s="1"/>
  <c r="G31" i="39" s="1"/>
  <c r="T149" i="46"/>
  <c r="AA6" i="54"/>
  <c r="V31" i="54"/>
  <c r="K31" i="54"/>
  <c r="AD35" i="54"/>
  <c r="AD13" i="54"/>
  <c r="AD24" i="54"/>
  <c r="X38" i="54"/>
  <c r="AD17" i="54"/>
  <c r="AA31" i="54"/>
  <c r="AD33" i="54"/>
  <c r="BH10" i="39"/>
  <c r="BJ10" i="39" s="1"/>
  <c r="AD15" i="54"/>
  <c r="BH9" i="39"/>
  <c r="AC38" i="54"/>
  <c r="AB38" i="54" s="1"/>
  <c r="BH15" i="39"/>
  <c r="BJ15" i="39" s="1"/>
  <c r="K73" i="54"/>
  <c r="V73" i="54"/>
  <c r="V6" i="54"/>
  <c r="AC10" i="54"/>
  <c r="W158" i="54"/>
  <c r="AR158" i="54"/>
  <c r="T10" i="54"/>
  <c r="P12" i="54"/>
  <c r="K26" i="54"/>
  <c r="X26" i="54" s="1"/>
  <c r="C32" i="54"/>
  <c r="U42" i="54"/>
  <c r="AA42" i="54" s="1"/>
  <c r="C42" i="54"/>
  <c r="AD50" i="54"/>
  <c r="P57" i="54"/>
  <c r="AD57" i="54"/>
  <c r="K62" i="54"/>
  <c r="AD68" i="54"/>
  <c r="C73" i="54"/>
  <c r="P73" i="54"/>
  <c r="X77" i="54"/>
  <c r="AD83" i="54"/>
  <c r="V86" i="54"/>
  <c r="U86" i="54"/>
  <c r="C86" i="54"/>
  <c r="T86" i="54"/>
  <c r="P86" i="54"/>
  <c r="AC92" i="54"/>
  <c r="AC96" i="54"/>
  <c r="AD110" i="54"/>
  <c r="AD111" i="54"/>
  <c r="AD112" i="54"/>
  <c r="AD113" i="54"/>
  <c r="X10" i="54"/>
  <c r="U47" i="54"/>
  <c r="C47" i="54"/>
  <c r="C6" i="54"/>
  <c r="AM158" i="54"/>
  <c r="S160" i="54" s="1"/>
  <c r="AD39" i="54"/>
  <c r="X6" i="54"/>
  <c r="BA158" i="54"/>
  <c r="T12" i="54"/>
  <c r="AC12" i="54" s="1"/>
  <c r="K15" i="54"/>
  <c r="C20" i="54"/>
  <c r="T20" i="54"/>
  <c r="T32" i="54"/>
  <c r="N42" i="54"/>
  <c r="U49" i="54"/>
  <c r="N50" i="54"/>
  <c r="T50" i="54"/>
  <c r="AC82" i="54"/>
  <c r="AD115" i="54"/>
  <c r="AC148" i="54"/>
  <c r="X152" i="54"/>
  <c r="Z158" i="54"/>
  <c r="U12" i="54"/>
  <c r="U158" i="54" s="1"/>
  <c r="U20" i="54"/>
  <c r="AA20" i="54" s="1"/>
  <c r="K32" i="54"/>
  <c r="AC32" i="54" s="1"/>
  <c r="C49" i="54"/>
  <c r="U57" i="54"/>
  <c r="AA57" i="54" s="1"/>
  <c r="AB57" i="54" s="1"/>
  <c r="AD64" i="54"/>
  <c r="K67" i="54"/>
  <c r="X101" i="54"/>
  <c r="AD106" i="54"/>
  <c r="K110" i="54"/>
  <c r="V110" i="54"/>
  <c r="Y160" i="54"/>
  <c r="C12" i="54"/>
  <c r="K20" i="54"/>
  <c r="X20" i="54" s="1"/>
  <c r="AD44" i="54"/>
  <c r="AD53" i="54"/>
  <c r="X73" i="54"/>
  <c r="X81" i="54"/>
  <c r="AD86" i="54"/>
  <c r="X124" i="54"/>
  <c r="X148" i="54"/>
  <c r="AD42" i="54"/>
  <c r="P67" i="54"/>
  <c r="C67" i="54"/>
  <c r="V82" i="54"/>
  <c r="U82" i="54"/>
  <c r="AA81" i="54" s="1"/>
  <c r="AB81" i="54" s="1"/>
  <c r="C82" i="54"/>
  <c r="T82" i="54"/>
  <c r="P82" i="54"/>
  <c r="X128" i="54"/>
  <c r="V141" i="54"/>
  <c r="K141" i="54"/>
  <c r="Q158" i="54"/>
  <c r="BB160" i="54" s="1"/>
  <c r="N47" i="54"/>
  <c r="N52" i="54"/>
  <c r="T52" i="54"/>
  <c r="AC86" i="54"/>
  <c r="X96" i="54"/>
  <c r="AA110" i="54"/>
  <c r="AD117" i="54"/>
  <c r="T6" i="54"/>
  <c r="AD6" i="54"/>
  <c r="R160" i="54"/>
  <c r="U67" i="54"/>
  <c r="AA67" i="54" s="1"/>
  <c r="U77" i="54"/>
  <c r="AA77" i="54" s="1"/>
  <c r="T77" i="54"/>
  <c r="AC77" i="54" s="1"/>
  <c r="P77" i="54"/>
  <c r="P158" i="54" s="1"/>
  <c r="AD81" i="54"/>
  <c r="AD82" i="54"/>
  <c r="AD103" i="54"/>
  <c r="AD108" i="54"/>
  <c r="AD133" i="54"/>
  <c r="AD143" i="54"/>
  <c r="T81" i="54"/>
  <c r="AC81" i="54" s="1"/>
  <c r="C87" i="54"/>
  <c r="U87" i="54"/>
  <c r="U91" i="54"/>
  <c r="K120" i="54"/>
  <c r="T128" i="54"/>
  <c r="AC128" i="54" s="1"/>
  <c r="AB128" i="54" s="1"/>
  <c r="C132" i="54"/>
  <c r="P136" i="54"/>
  <c r="K140" i="54"/>
  <c r="U148" i="54"/>
  <c r="AA148" i="54" s="1"/>
  <c r="C152" i="54"/>
  <c r="V152" i="54"/>
  <c r="P153" i="54"/>
  <c r="P154" i="54"/>
  <c r="K91" i="54"/>
  <c r="X90" i="54" s="1"/>
  <c r="K111" i="54"/>
  <c r="AC111" i="54" s="1"/>
  <c r="K112" i="54"/>
  <c r="AC112" i="54" s="1"/>
  <c r="K113" i="54"/>
  <c r="AC113" i="54" s="1"/>
  <c r="K115" i="54"/>
  <c r="AC119" i="54"/>
  <c r="C141" i="54"/>
  <c r="C148" i="54"/>
  <c r="V148" i="54"/>
  <c r="T153" i="54"/>
  <c r="AC153" i="54" s="1"/>
  <c r="T154" i="54"/>
  <c r="AC154" i="54" s="1"/>
  <c r="P97" i="54"/>
  <c r="P101" i="54"/>
  <c r="T110" i="54"/>
  <c r="P124" i="54"/>
  <c r="C128" i="54"/>
  <c r="V128" i="54"/>
  <c r="P129" i="54"/>
  <c r="K132" i="54"/>
  <c r="T141" i="54"/>
  <c r="T149" i="54"/>
  <c r="AC149" i="54" s="1"/>
  <c r="U153" i="54"/>
  <c r="AA152" i="54" s="1"/>
  <c r="AB152" i="54" s="1"/>
  <c r="U154" i="54"/>
  <c r="T97" i="54"/>
  <c r="AC97" i="54" s="1"/>
  <c r="T101" i="54"/>
  <c r="AC101" i="54" s="1"/>
  <c r="T129" i="54"/>
  <c r="AC129" i="54" s="1"/>
  <c r="U141" i="54"/>
  <c r="AA140" i="54" s="1"/>
  <c r="N87" i="54"/>
  <c r="C90" i="54"/>
  <c r="U90" i="54"/>
  <c r="AA90" i="54" s="1"/>
  <c r="C97" i="54"/>
  <c r="U97" i="54"/>
  <c r="AA96" i="54" s="1"/>
  <c r="AB96" i="54" s="1"/>
  <c r="C101" i="54"/>
  <c r="U101" i="54"/>
  <c r="AA101" i="54" s="1"/>
  <c r="V97" i="54"/>
  <c r="V101" i="54"/>
  <c r="P132" i="54"/>
  <c r="P152" i="54"/>
  <c r="T102" i="54"/>
  <c r="AC102" i="54" s="1"/>
  <c r="T106" i="54"/>
  <c r="AC106" i="54" s="1"/>
  <c r="AB106" i="54" s="1"/>
  <c r="U125" i="54"/>
  <c r="AA124" i="54" s="1"/>
  <c r="AB124" i="54" s="1"/>
  <c r="T132" i="54"/>
  <c r="P148" i="54"/>
  <c r="T152" i="54"/>
  <c r="AC152" i="54" s="1"/>
  <c r="C91" i="54"/>
  <c r="C102" i="54"/>
  <c r="C106" i="54"/>
  <c r="C111" i="54"/>
  <c r="C112" i="54"/>
  <c r="C113" i="54"/>
  <c r="C115" i="54"/>
  <c r="X18" i="45"/>
  <c r="AH36" i="45"/>
  <c r="X38" i="45"/>
  <c r="T24" i="45"/>
  <c r="S8" i="45"/>
  <c r="AH9" i="45"/>
  <c r="O15" i="45"/>
  <c r="AB38" i="45"/>
  <c r="U15" i="45"/>
  <c r="U16" i="45" s="1"/>
  <c r="U17" i="45" s="1"/>
  <c r="U18" i="45" s="1"/>
  <c r="U19" i="45" s="1"/>
  <c r="U20" i="45" s="1"/>
  <c r="U21" i="45" s="1"/>
  <c r="U22" i="45" s="1"/>
  <c r="U23" i="45" s="1"/>
  <c r="U24" i="45" s="1"/>
  <c r="U25" i="45" s="1"/>
  <c r="U26" i="45" s="1"/>
  <c r="U27" i="45" s="1"/>
  <c r="U28" i="45" s="1"/>
  <c r="U29" i="45" s="1"/>
  <c r="U30" i="45" s="1"/>
  <c r="U31" i="45" s="1"/>
  <c r="U32" i="45" s="1"/>
  <c r="U33" i="45" s="1"/>
  <c r="U34" i="45" s="1"/>
  <c r="U35" i="45" s="1"/>
  <c r="U36" i="45" s="1"/>
  <c r="U37" i="45" s="1"/>
  <c r="U38" i="45" s="1"/>
  <c r="AA11" i="45"/>
  <c r="K17" i="45"/>
  <c r="AH20" i="45"/>
  <c r="AZ21" i="39" s="1"/>
  <c r="BD21" i="39" s="1"/>
  <c r="L21" i="45"/>
  <c r="AH24" i="45"/>
  <c r="AZ25" i="39" s="1"/>
  <c r="AH26" i="45"/>
  <c r="AJ26" i="45" s="1"/>
  <c r="X36" i="45"/>
  <c r="I9" i="45"/>
  <c r="I10" i="45" s="1"/>
  <c r="I11" i="45" s="1"/>
  <c r="I12" i="45" s="1"/>
  <c r="I13" i="45" s="1"/>
  <c r="I14" i="45" s="1"/>
  <c r="I15" i="45" s="1"/>
  <c r="I16" i="45" s="1"/>
  <c r="I17" i="45" s="1"/>
  <c r="I18" i="45" s="1"/>
  <c r="I19" i="45" s="1"/>
  <c r="I20" i="45" s="1"/>
  <c r="I21" i="45" s="1"/>
  <c r="I22" i="45" s="1"/>
  <c r="I23" i="45" s="1"/>
  <c r="I24" i="45" s="1"/>
  <c r="I25" i="45" s="1"/>
  <c r="I26" i="45" s="1"/>
  <c r="I27" i="45" s="1"/>
  <c r="I28" i="45" s="1"/>
  <c r="I29" i="45" s="1"/>
  <c r="I30" i="45" s="1"/>
  <c r="I31" i="45" s="1"/>
  <c r="I32" i="45" s="1"/>
  <c r="I33" i="45" s="1"/>
  <c r="I34" i="45" s="1"/>
  <c r="I35" i="45" s="1"/>
  <c r="I36" i="45" s="1"/>
  <c r="I37" i="45" s="1"/>
  <c r="I38" i="45" s="1"/>
  <c r="W22" i="45"/>
  <c r="T38" i="45"/>
  <c r="W13" i="45"/>
  <c r="AH14" i="45"/>
  <c r="AZ15" i="39" s="1"/>
  <c r="BD15" i="39" s="1"/>
  <c r="X27" i="45"/>
  <c r="AA20" i="45"/>
  <c r="W21" i="45"/>
  <c r="O22" i="45"/>
  <c r="L23" i="45"/>
  <c r="P29" i="45"/>
  <c r="AH16" i="45"/>
  <c r="AZ17" i="39" s="1"/>
  <c r="BD17" i="39" s="1"/>
  <c r="L18" i="45"/>
  <c r="AH18" i="45"/>
  <c r="AZ19" i="39" s="1"/>
  <c r="O19" i="45"/>
  <c r="O20" i="45"/>
  <c r="P28" i="45"/>
  <c r="X32" i="45"/>
  <c r="AC38" i="45"/>
  <c r="I46" i="43" s="1"/>
  <c r="S23" i="45"/>
  <c r="L27" i="45"/>
  <c r="X29" i="45"/>
  <c r="AH30" i="45"/>
  <c r="AZ31" i="39" s="1"/>
  <c r="BD31" i="39" s="1"/>
  <c r="P31" i="45"/>
  <c r="P36" i="45"/>
  <c r="X37" i="45"/>
  <c r="S13" i="45"/>
  <c r="G15" i="45"/>
  <c r="O21" i="45"/>
  <c r="L24" i="45"/>
  <c r="AG40" i="45"/>
  <c r="AG42" i="45" s="1"/>
  <c r="AH10" i="45"/>
  <c r="AZ11" i="39" s="1"/>
  <c r="BD11" i="39" s="1"/>
  <c r="O11" i="45"/>
  <c r="S19" i="45"/>
  <c r="K22" i="45"/>
  <c r="G23" i="45"/>
  <c r="W23" i="45"/>
  <c r="AC20" i="45"/>
  <c r="X20" i="45"/>
  <c r="AB22" i="45"/>
  <c r="L29" i="45"/>
  <c r="P30" i="45"/>
  <c r="X11" i="45"/>
  <c r="G13" i="45"/>
  <c r="AB13" i="45"/>
  <c r="L15" i="45"/>
  <c r="W15" i="45"/>
  <c r="G17" i="45"/>
  <c r="AB17" i="45"/>
  <c r="S18" i="45"/>
  <c r="T20" i="45"/>
  <c r="P27" i="45"/>
  <c r="AB35" i="45"/>
  <c r="AC37" i="45"/>
  <c r="S17" i="45"/>
  <c r="K19" i="45"/>
  <c r="K20" i="45"/>
  <c r="AA24" i="45"/>
  <c r="F25" i="45"/>
  <c r="AH25" i="45"/>
  <c r="AZ26" i="39" s="1"/>
  <c r="BD26" i="39" s="1"/>
  <c r="K28" i="45"/>
  <c r="X28" i="45"/>
  <c r="K30" i="45"/>
  <c r="X30" i="45"/>
  <c r="K32" i="45"/>
  <c r="L33" i="45"/>
  <c r="AH17" i="45"/>
  <c r="AZ18" i="39" s="1"/>
  <c r="BD18" i="39" s="1"/>
  <c r="O23" i="45"/>
  <c r="AC24" i="45"/>
  <c r="O24" i="45"/>
  <c r="T27" i="45"/>
  <c r="T29" i="45"/>
  <c r="T31" i="45"/>
  <c r="L36" i="45"/>
  <c r="AB36" i="45"/>
  <c r="F38" i="45"/>
  <c r="G11" i="45"/>
  <c r="F12" i="45"/>
  <c r="AH12" i="45"/>
  <c r="AZ13" i="39" s="1"/>
  <c r="BD13" i="39" s="1"/>
  <c r="F16" i="45"/>
  <c r="AC22" i="45"/>
  <c r="AE22" i="45" s="1"/>
  <c r="AA28" i="45"/>
  <c r="AA30" i="45"/>
  <c r="L37" i="45"/>
  <c r="AB37" i="45"/>
  <c r="W31" i="45"/>
  <c r="AH11" i="45"/>
  <c r="S15" i="45"/>
  <c r="O18" i="45"/>
  <c r="AA19" i="45"/>
  <c r="F20" i="45"/>
  <c r="L31" i="45"/>
  <c r="P37" i="45"/>
  <c r="BD25" i="39"/>
  <c r="K11" i="45"/>
  <c r="O13" i="45"/>
  <c r="AH15" i="45"/>
  <c r="AZ16" i="39" s="1"/>
  <c r="BD16" i="39" s="1"/>
  <c r="O17" i="45"/>
  <c r="AA18" i="45"/>
  <c r="G19" i="45"/>
  <c r="G20" i="45"/>
  <c r="S21" i="45"/>
  <c r="S22" i="45"/>
  <c r="F28" i="45"/>
  <c r="S28" i="45"/>
  <c r="AH28" i="45"/>
  <c r="AZ29" i="39" s="1"/>
  <c r="F30" i="45"/>
  <c r="S30" i="45"/>
  <c r="F32" i="45"/>
  <c r="AC36" i="45"/>
  <c r="T36" i="45"/>
  <c r="Q9" i="45"/>
  <c r="Q10" i="45" s="1"/>
  <c r="Q11" i="45" s="1"/>
  <c r="Q12" i="45" s="1"/>
  <c r="Q13" i="45" s="1"/>
  <c r="Q14" i="45" s="1"/>
  <c r="Q15" i="45" s="1"/>
  <c r="Q16" i="45" s="1"/>
  <c r="Q17" i="45" s="1"/>
  <c r="Q18" i="45" s="1"/>
  <c r="Q19" i="45" s="1"/>
  <c r="Q20" i="45" s="1"/>
  <c r="Q21" i="45" s="1"/>
  <c r="Q22" i="45" s="1"/>
  <c r="Q23" i="45" s="1"/>
  <c r="Q24" i="45" s="1"/>
  <c r="Q25" i="45" s="1"/>
  <c r="Q26" i="45" s="1"/>
  <c r="Q27" i="45" s="1"/>
  <c r="Q28" i="45" s="1"/>
  <c r="Q29" i="45" s="1"/>
  <c r="Q30" i="45" s="1"/>
  <c r="Q31" i="45" s="1"/>
  <c r="Q32" i="45" s="1"/>
  <c r="Q33" i="45" s="1"/>
  <c r="Q34" i="45" s="1"/>
  <c r="Q35" i="45" s="1"/>
  <c r="Q36" i="45" s="1"/>
  <c r="Q37" i="45" s="1"/>
  <c r="Q38" i="45" s="1"/>
  <c r="AC9" i="45"/>
  <c r="I46" i="32" s="1"/>
  <c r="AH22" i="45"/>
  <c r="AZ23" i="39" s="1"/>
  <c r="BD23" i="39" s="1"/>
  <c r="W24" i="45"/>
  <c r="AB27" i="45"/>
  <c r="AB29" i="45"/>
  <c r="AB31" i="45"/>
  <c r="AH33" i="45"/>
  <c r="AZ34" i="39" s="1"/>
  <c r="BD34" i="39" s="1"/>
  <c r="F36" i="45"/>
  <c r="T37" i="45"/>
  <c r="P38" i="45"/>
  <c r="AJ9" i="45"/>
  <c r="AI9" i="45"/>
  <c r="AZ10" i="39"/>
  <c r="E40" i="45"/>
  <c r="G8" i="45"/>
  <c r="D8" i="45"/>
  <c r="D9" i="45" s="1"/>
  <c r="D10" i="45" s="1"/>
  <c r="D11" i="45" s="1"/>
  <c r="D12" i="45" s="1"/>
  <c r="D13" i="45" s="1"/>
  <c r="D14" i="45" s="1"/>
  <c r="D15" i="45" s="1"/>
  <c r="D16" i="45" s="1"/>
  <c r="D17" i="45" s="1"/>
  <c r="D18" i="45" s="1"/>
  <c r="D19" i="45" s="1"/>
  <c r="D20" i="45" s="1"/>
  <c r="D21" i="45" s="1"/>
  <c r="D22" i="45" s="1"/>
  <c r="D23" i="45" s="1"/>
  <c r="D24" i="45" s="1"/>
  <c r="D25" i="45" s="1"/>
  <c r="D26" i="45" s="1"/>
  <c r="D27" i="45" s="1"/>
  <c r="D28" i="45" s="1"/>
  <c r="D29" i="45" s="1"/>
  <c r="D30" i="45" s="1"/>
  <c r="D31" i="45" s="1"/>
  <c r="D32" i="45" s="1"/>
  <c r="D33" i="45" s="1"/>
  <c r="D34" i="45" s="1"/>
  <c r="D35" i="45" s="1"/>
  <c r="D36" i="45" s="1"/>
  <c r="D37" i="45" s="1"/>
  <c r="D38" i="45" s="1"/>
  <c r="F9" i="45"/>
  <c r="I46" i="22"/>
  <c r="AE20" i="45"/>
  <c r="AD20" i="45"/>
  <c r="AJ24" i="45"/>
  <c r="AI24" i="45"/>
  <c r="R40" i="45"/>
  <c r="T8" i="45"/>
  <c r="X9" i="45"/>
  <c r="W9" i="45"/>
  <c r="P10" i="45"/>
  <c r="O10" i="45"/>
  <c r="X12" i="45"/>
  <c r="W12" i="45"/>
  <c r="T10" i="45"/>
  <c r="S10" i="45"/>
  <c r="AJ10" i="45"/>
  <c r="AI10" i="45"/>
  <c r="AJ14" i="45"/>
  <c r="AI14" i="45"/>
  <c r="AJ30" i="45"/>
  <c r="AI30" i="45"/>
  <c r="AH8" i="45"/>
  <c r="L9" i="45"/>
  <c r="K9" i="45"/>
  <c r="AB9" i="45"/>
  <c r="AA9" i="45"/>
  <c r="L14" i="45"/>
  <c r="K14" i="45"/>
  <c r="BB21" i="39"/>
  <c r="J40" i="45"/>
  <c r="L8" i="45"/>
  <c r="V40" i="45"/>
  <c r="X8" i="45"/>
  <c r="W8" i="45"/>
  <c r="X10" i="45"/>
  <c r="W10" i="45"/>
  <c r="L48" i="27"/>
  <c r="L47" i="27"/>
  <c r="AJ20" i="45"/>
  <c r="AI20" i="45"/>
  <c r="I46" i="4"/>
  <c r="AE37" i="45"/>
  <c r="AD37" i="45"/>
  <c r="BB13" i="39"/>
  <c r="K8" i="45"/>
  <c r="P9" i="45"/>
  <c r="O9" i="45"/>
  <c r="F10" i="45"/>
  <c r="AB10" i="45"/>
  <c r="AA10" i="45"/>
  <c r="AI12" i="45"/>
  <c r="AH13" i="45"/>
  <c r="T14" i="45"/>
  <c r="S14" i="45"/>
  <c r="Z40" i="45"/>
  <c r="AB8" i="45"/>
  <c r="AA8" i="45"/>
  <c r="AC10" i="45"/>
  <c r="I46" i="17"/>
  <c r="AE24" i="45"/>
  <c r="AD24" i="45"/>
  <c r="BD39" i="39"/>
  <c r="N40" i="45"/>
  <c r="P8" i="45"/>
  <c r="O8" i="45"/>
  <c r="AC8" i="45"/>
  <c r="T9" i="45"/>
  <c r="S9" i="45"/>
  <c r="L10" i="45"/>
  <c r="K10" i="45"/>
  <c r="P12" i="45"/>
  <c r="O12" i="45"/>
  <c r="AB14" i="45"/>
  <c r="AA14" i="45"/>
  <c r="AJ16" i="45"/>
  <c r="AI16" i="45"/>
  <c r="I46" i="19"/>
  <c r="AD22" i="45"/>
  <c r="AC12" i="45"/>
  <c r="AC16" i="45"/>
  <c r="AC25" i="45"/>
  <c r="L47" i="13"/>
  <c r="L48" i="13"/>
  <c r="L47" i="11"/>
  <c r="L48" i="11"/>
  <c r="L47" i="8"/>
  <c r="L48" i="8"/>
  <c r="AC34" i="45"/>
  <c r="AC35" i="45"/>
  <c r="AE36" i="45"/>
  <c r="I46" i="37"/>
  <c r="AD36" i="45"/>
  <c r="L47" i="37"/>
  <c r="L48" i="37"/>
  <c r="L48" i="24"/>
  <c r="L47" i="24"/>
  <c r="L47" i="21"/>
  <c r="L48" i="21"/>
  <c r="L47" i="20"/>
  <c r="L48" i="20"/>
  <c r="L48" i="18"/>
  <c r="L47" i="18"/>
  <c r="AC27" i="45"/>
  <c r="AC29" i="45"/>
  <c r="AC31" i="45"/>
  <c r="L47" i="7"/>
  <c r="L48" i="7"/>
  <c r="L46" i="6"/>
  <c r="AH35" i="45"/>
  <c r="AC11" i="45"/>
  <c r="AC15" i="45"/>
  <c r="O16" i="45"/>
  <c r="W16" i="45"/>
  <c r="AC18" i="45"/>
  <c r="O25" i="45"/>
  <c r="W25" i="45"/>
  <c r="K26" i="45"/>
  <c r="S26" i="45"/>
  <c r="AA26" i="45"/>
  <c r="F27" i="45"/>
  <c r="F29" i="45"/>
  <c r="F31" i="45"/>
  <c r="S32" i="45"/>
  <c r="AC32" i="45"/>
  <c r="X33" i="45"/>
  <c r="T34" i="45"/>
  <c r="F35" i="45"/>
  <c r="T35" i="45"/>
  <c r="AJ36" i="45"/>
  <c r="L47" i="43"/>
  <c r="L48" i="43"/>
  <c r="L47" i="32"/>
  <c r="L48" i="32"/>
  <c r="L47" i="29"/>
  <c r="L48" i="29"/>
  <c r="L47" i="25"/>
  <c r="L48" i="25"/>
  <c r="AH19" i="45"/>
  <c r="AH21" i="45"/>
  <c r="AH23" i="45"/>
  <c r="L47" i="16"/>
  <c r="L48" i="16"/>
  <c r="AH34" i="45"/>
  <c r="AE38" i="45"/>
  <c r="AD38" i="45"/>
  <c r="AJ38" i="45"/>
  <c r="AI38" i="45"/>
  <c r="AC14" i="45"/>
  <c r="AC26" i="45"/>
  <c r="L47" i="14"/>
  <c r="L48" i="14"/>
  <c r="L47" i="12"/>
  <c r="L48" i="12"/>
  <c r="L47" i="10"/>
  <c r="L48" i="10"/>
  <c r="L47" i="9"/>
  <c r="L48" i="9"/>
  <c r="P33" i="45"/>
  <c r="X34" i="45"/>
  <c r="L47" i="30"/>
  <c r="L48" i="30"/>
  <c r="F14" i="45"/>
  <c r="L48" i="26"/>
  <c r="L47" i="26"/>
  <c r="L47" i="23"/>
  <c r="L48" i="23"/>
  <c r="L47" i="22"/>
  <c r="L48" i="22"/>
  <c r="L47" i="19"/>
  <c r="L48" i="19"/>
  <c r="L47" i="17"/>
  <c r="L48" i="17"/>
  <c r="F26" i="45"/>
  <c r="AC28" i="45"/>
  <c r="AC30" i="45"/>
  <c r="F33" i="45"/>
  <c r="AB33" i="45"/>
  <c r="L34" i="45"/>
  <c r="L35" i="45"/>
  <c r="X35" i="45"/>
  <c r="L46" i="4"/>
  <c r="AH37" i="45"/>
  <c r="K12" i="45"/>
  <c r="S12" i="45"/>
  <c r="AA12" i="45"/>
  <c r="AC13" i="45"/>
  <c r="O14" i="45"/>
  <c r="W14" i="45"/>
  <c r="K16" i="45"/>
  <c r="S16" i="45"/>
  <c r="AA16" i="45"/>
  <c r="AC17" i="45"/>
  <c r="AC19" i="45"/>
  <c r="AC21" i="45"/>
  <c r="AC23" i="45"/>
  <c r="K25" i="45"/>
  <c r="S25" i="45"/>
  <c r="AA25" i="45"/>
  <c r="O26" i="45"/>
  <c r="W26" i="45"/>
  <c r="AH27" i="45"/>
  <c r="AH29" i="45"/>
  <c r="AH31" i="45"/>
  <c r="AH32" i="45"/>
  <c r="AC33" i="45"/>
  <c r="G37" i="45"/>
  <c r="F37" i="45"/>
  <c r="H40" i="45"/>
  <c r="AF40" i="45"/>
  <c r="L46" i="33"/>
  <c r="L48" i="31"/>
  <c r="L47" i="31"/>
  <c r="L47" i="28"/>
  <c r="L48" i="28"/>
  <c r="L48" i="15"/>
  <c r="L47" i="15"/>
  <c r="P32" i="45"/>
  <c r="T33" i="45"/>
  <c r="P34" i="45"/>
  <c r="AB34" i="45"/>
  <c r="G34" i="45"/>
  <c r="G36" i="45"/>
  <c r="G38" i="45"/>
  <c r="AJ17" i="45" l="1"/>
  <c r="AI17" i="45"/>
  <c r="AI22" i="45"/>
  <c r="AJ12" i="45"/>
  <c r="AJ22" i="45"/>
  <c r="AI25" i="45"/>
  <c r="AI28" i="45"/>
  <c r="AJ25" i="45"/>
  <c r="AJ28" i="45"/>
  <c r="AD9" i="45"/>
  <c r="AE9" i="45"/>
  <c r="AI15" i="45"/>
  <c r="AJ15" i="45"/>
  <c r="X140" i="54"/>
  <c r="O158" i="54"/>
  <c r="AB119" i="46"/>
  <c r="V115" i="46"/>
  <c r="K115" i="46"/>
  <c r="K49" i="46"/>
  <c r="V49" i="46"/>
  <c r="K96" i="46"/>
  <c r="V96" i="46"/>
  <c r="V113" i="46"/>
  <c r="K113" i="46"/>
  <c r="AC113" i="46" s="1"/>
  <c r="V86" i="46"/>
  <c r="K86" i="46"/>
  <c r="AC125" i="46"/>
  <c r="AB124" i="46" s="1"/>
  <c r="L33" i="39"/>
  <c r="AA31" i="46"/>
  <c r="C158" i="46"/>
  <c r="K52" i="46"/>
  <c r="V52" i="46"/>
  <c r="AC11" i="46"/>
  <c r="AB10" i="46" s="1"/>
  <c r="L10" i="39"/>
  <c r="H22" i="39"/>
  <c r="V22" i="39"/>
  <c r="J22" i="39"/>
  <c r="N28" i="39"/>
  <c r="G28" i="39" s="1"/>
  <c r="V112" i="46"/>
  <c r="K112" i="46"/>
  <c r="AC112" i="46" s="1"/>
  <c r="K38" i="46"/>
  <c r="V38" i="46"/>
  <c r="AC91" i="46"/>
  <c r="K82" i="46"/>
  <c r="V82" i="46"/>
  <c r="K50" i="46"/>
  <c r="AB47" i="46" s="1"/>
  <c r="V50" i="46"/>
  <c r="U158" i="46"/>
  <c r="X161" i="46" s="1"/>
  <c r="AC47" i="46"/>
  <c r="X42" i="46"/>
  <c r="AC42" i="46"/>
  <c r="AB42" i="46" s="1"/>
  <c r="L16" i="39"/>
  <c r="V111" i="46"/>
  <c r="K111" i="46"/>
  <c r="L30" i="39" s="1"/>
  <c r="AC20" i="46"/>
  <c r="AB20" i="46" s="1"/>
  <c r="X20" i="46"/>
  <c r="L12" i="39"/>
  <c r="J21" i="39"/>
  <c r="V21" i="39"/>
  <c r="H21" i="39"/>
  <c r="X10" i="46"/>
  <c r="AC149" i="46"/>
  <c r="AB148" i="46" s="1"/>
  <c r="L38" i="39"/>
  <c r="N30" i="39"/>
  <c r="G30" i="39" s="1"/>
  <c r="AB77" i="46"/>
  <c r="AB73" i="46"/>
  <c r="AC110" i="46"/>
  <c r="V32" i="46"/>
  <c r="V158" i="46" s="1"/>
  <c r="K32" i="46"/>
  <c r="AC32" i="46" s="1"/>
  <c r="H20" i="39"/>
  <c r="J20" i="39"/>
  <c r="V20" i="39"/>
  <c r="V106" i="46"/>
  <c r="K106" i="46"/>
  <c r="K90" i="46"/>
  <c r="V90" i="46"/>
  <c r="E12" i="52"/>
  <c r="AB67" i="46"/>
  <c r="V102" i="46"/>
  <c r="K102" i="46"/>
  <c r="K87" i="46"/>
  <c r="V87" i="46"/>
  <c r="X124" i="46"/>
  <c r="AC31" i="46"/>
  <c r="L14" i="39"/>
  <c r="X31" i="46"/>
  <c r="AA158" i="46"/>
  <c r="AB6" i="46"/>
  <c r="K92" i="46"/>
  <c r="AC92" i="46" s="1"/>
  <c r="V92" i="46"/>
  <c r="N17" i="39"/>
  <c r="G17" i="39" s="1"/>
  <c r="BA158" i="46"/>
  <c r="AD6" i="46"/>
  <c r="AD158" i="46" s="1"/>
  <c r="K9" i="39"/>
  <c r="M10" i="39"/>
  <c r="W9" i="39"/>
  <c r="O10" i="39"/>
  <c r="O11" i="39" s="1"/>
  <c r="O12" i="39" s="1"/>
  <c r="O13" i="39" s="1"/>
  <c r="O14" i="39" s="1"/>
  <c r="O15" i="39" s="1"/>
  <c r="O16" i="39" s="1"/>
  <c r="O17" i="39" s="1"/>
  <c r="O18" i="39" s="1"/>
  <c r="O19" i="39" s="1"/>
  <c r="O20" i="39" s="1"/>
  <c r="O21" i="39" s="1"/>
  <c r="O22" i="39" s="1"/>
  <c r="O23" i="39" s="1"/>
  <c r="O24" i="39" s="1"/>
  <c r="O25" i="39" s="1"/>
  <c r="O26" i="39" s="1"/>
  <c r="O27" i="39" s="1"/>
  <c r="O28" i="39" s="1"/>
  <c r="O29" i="39" s="1"/>
  <c r="O30" i="39" s="1"/>
  <c r="O31" i="39" s="1"/>
  <c r="O32" i="39" s="1"/>
  <c r="O33" i="39" s="1"/>
  <c r="O34" i="39" s="1"/>
  <c r="O35" i="39" s="1"/>
  <c r="O36" i="39" s="1"/>
  <c r="O37" i="39" s="1"/>
  <c r="O38" i="39" s="1"/>
  <c r="O39" i="39" s="1"/>
  <c r="AC141" i="54"/>
  <c r="V50" i="54"/>
  <c r="K50" i="54"/>
  <c r="S159" i="54"/>
  <c r="AC73" i="54"/>
  <c r="BH22" i="39"/>
  <c r="BJ22" i="39" s="1"/>
  <c r="X15" i="54"/>
  <c r="AC120" i="54"/>
  <c r="BH32" i="39"/>
  <c r="BJ32" i="39" s="1"/>
  <c r="AD158" i="54"/>
  <c r="AC110" i="54"/>
  <c r="BH30" i="39"/>
  <c r="BJ30" i="39" s="1"/>
  <c r="X163" i="54"/>
  <c r="X161" i="54"/>
  <c r="W160" i="54"/>
  <c r="AB26" i="54"/>
  <c r="T158" i="54"/>
  <c r="X119" i="54"/>
  <c r="V42" i="54"/>
  <c r="K42" i="54"/>
  <c r="AC115" i="54"/>
  <c r="BH31" i="39"/>
  <c r="BJ31" i="39" s="1"/>
  <c r="T2" i="53"/>
  <c r="Z160" i="54"/>
  <c r="X31" i="54"/>
  <c r="AB73" i="54"/>
  <c r="AC31" i="54"/>
  <c r="BH14" i="39"/>
  <c r="BJ14" i="39" s="1"/>
  <c r="V87" i="54"/>
  <c r="K87" i="54"/>
  <c r="AB148" i="54"/>
  <c r="X110" i="54"/>
  <c r="K52" i="54"/>
  <c r="V52" i="54"/>
  <c r="AB119" i="54"/>
  <c r="AC20" i="54"/>
  <c r="AB20" i="54" s="1"/>
  <c r="BH12" i="39"/>
  <c r="BJ12" i="39" s="1"/>
  <c r="BH21" i="39"/>
  <c r="BJ21" i="39" s="1"/>
  <c r="AC67" i="54"/>
  <c r="BD160" i="54"/>
  <c r="X115" i="54"/>
  <c r="BJ9" i="39"/>
  <c r="BI9" i="39"/>
  <c r="AC132" i="54"/>
  <c r="AB132" i="54" s="1"/>
  <c r="BH35" i="39"/>
  <c r="BJ35" i="39" s="1"/>
  <c r="AC140" i="54"/>
  <c r="BH37" i="39"/>
  <c r="BJ37" i="39" s="1"/>
  <c r="AB77" i="54"/>
  <c r="K47" i="54"/>
  <c r="V47" i="54"/>
  <c r="V158" i="54" s="1"/>
  <c r="AB115" i="54"/>
  <c r="C158" i="54"/>
  <c r="BH13" i="39"/>
  <c r="BJ13" i="39" s="1"/>
  <c r="AC26" i="54"/>
  <c r="AC6" i="54"/>
  <c r="AA10" i="54"/>
  <c r="AB10" i="54" s="1"/>
  <c r="AB101" i="54"/>
  <c r="AB67" i="54"/>
  <c r="Q159" i="54"/>
  <c r="BC160" i="54"/>
  <c r="BE160" i="54"/>
  <c r="BH11" i="39"/>
  <c r="BJ11" i="39" s="1"/>
  <c r="AC15" i="54"/>
  <c r="AB15" i="54" s="1"/>
  <c r="AA86" i="54"/>
  <c r="BH20" i="39"/>
  <c r="BJ20" i="39" s="1"/>
  <c r="AC62" i="54"/>
  <c r="AB62" i="54" s="1"/>
  <c r="X62" i="54"/>
  <c r="AB31" i="54"/>
  <c r="AB6" i="54"/>
  <c r="AC91" i="54"/>
  <c r="AB90" i="54" s="1"/>
  <c r="BH26" i="39"/>
  <c r="BJ26" i="39" s="1"/>
  <c r="R159" i="54"/>
  <c r="AB110" i="54"/>
  <c r="BF160" i="54"/>
  <c r="X132" i="54"/>
  <c r="AA47" i="54"/>
  <c r="X67" i="54"/>
  <c r="AI18" i="45"/>
  <c r="BB34" i="39"/>
  <c r="AZ27" i="39"/>
  <c r="AI26" i="45"/>
  <c r="AJ18" i="45"/>
  <c r="AJ33" i="45"/>
  <c r="AI33" i="45"/>
  <c r="AI36" i="45"/>
  <c r="AZ37" i="39"/>
  <c r="BD19" i="39"/>
  <c r="BB19" i="39"/>
  <c r="BB11" i="39"/>
  <c r="BD29" i="39"/>
  <c r="AI11" i="45"/>
  <c r="AJ11" i="45"/>
  <c r="AZ12" i="39"/>
  <c r="BB23" i="39"/>
  <c r="AI32" i="45"/>
  <c r="AJ32" i="45"/>
  <c r="AZ33" i="39"/>
  <c r="AI34" i="45"/>
  <c r="AJ34" i="45"/>
  <c r="AZ35" i="39"/>
  <c r="I46" i="9"/>
  <c r="AE32" i="45"/>
  <c r="AD32" i="45"/>
  <c r="AI35" i="45"/>
  <c r="AJ35" i="45"/>
  <c r="AZ36" i="39"/>
  <c r="I47" i="37"/>
  <c r="I48" i="37"/>
  <c r="AT37" i="39"/>
  <c r="P40" i="45"/>
  <c r="AO12" i="45" s="1"/>
  <c r="O40" i="45"/>
  <c r="AN12" i="45" s="1"/>
  <c r="I47" i="22"/>
  <c r="I48" i="22"/>
  <c r="AT21" i="39"/>
  <c r="AI31" i="45"/>
  <c r="AJ31" i="45"/>
  <c r="AZ32" i="39"/>
  <c r="I46" i="18"/>
  <c r="AD23" i="45"/>
  <c r="AE23" i="45"/>
  <c r="I46" i="15"/>
  <c r="AE26" i="45"/>
  <c r="AD26" i="45"/>
  <c r="L48" i="6"/>
  <c r="L47" i="6"/>
  <c r="I47" i="4"/>
  <c r="I48" i="4"/>
  <c r="AT38" i="39"/>
  <c r="L47" i="33"/>
  <c r="L48" i="33"/>
  <c r="M46" i="33"/>
  <c r="AI29" i="45"/>
  <c r="AJ29" i="45"/>
  <c r="AZ30" i="39"/>
  <c r="I46" i="20"/>
  <c r="AD21" i="45"/>
  <c r="AE21" i="45"/>
  <c r="I46" i="27"/>
  <c r="AD13" i="45"/>
  <c r="AE13" i="45"/>
  <c r="I46" i="28"/>
  <c r="AE14" i="45"/>
  <c r="AD14" i="45"/>
  <c r="I46" i="6"/>
  <c r="AE35" i="45"/>
  <c r="AD35" i="45"/>
  <c r="I47" i="19"/>
  <c r="I48" i="19"/>
  <c r="AT23" i="39"/>
  <c r="AB40" i="45"/>
  <c r="AO15" i="45" s="1"/>
  <c r="AA40" i="45"/>
  <c r="AN15" i="45" s="1"/>
  <c r="I47" i="32"/>
  <c r="I48" i="32"/>
  <c r="AT10" i="39"/>
  <c r="AF42" i="45"/>
  <c r="AJ40" i="45"/>
  <c r="AI40" i="45"/>
  <c r="AI27" i="45"/>
  <c r="AJ27" i="45"/>
  <c r="AZ28" i="39"/>
  <c r="I46" i="21"/>
  <c r="AD19" i="45"/>
  <c r="AE19" i="45"/>
  <c r="I46" i="23"/>
  <c r="AE18" i="45"/>
  <c r="AD18" i="45"/>
  <c r="I46" i="7"/>
  <c r="AE34" i="45"/>
  <c r="AD34" i="45"/>
  <c r="AJ13" i="45"/>
  <c r="AI13" i="45"/>
  <c r="AZ14" i="39"/>
  <c r="I46" i="24"/>
  <c r="AD17" i="45"/>
  <c r="AE17" i="45"/>
  <c r="AJ23" i="45"/>
  <c r="AI23" i="45"/>
  <c r="AZ24" i="39"/>
  <c r="I47" i="17"/>
  <c r="I48" i="17"/>
  <c r="AT25" i="39"/>
  <c r="AC40" i="45"/>
  <c r="G40" i="45"/>
  <c r="AO10" i="45" s="1"/>
  <c r="F40" i="45"/>
  <c r="AN10" i="45" s="1"/>
  <c r="BD10" i="39"/>
  <c r="BB10" i="39"/>
  <c r="I46" i="11"/>
  <c r="AE30" i="45"/>
  <c r="AD30" i="45"/>
  <c r="AJ21" i="45"/>
  <c r="AI21" i="45"/>
  <c r="AZ22" i="39"/>
  <c r="I46" i="10"/>
  <c r="AE31" i="45"/>
  <c r="AD31" i="45"/>
  <c r="I46" i="16"/>
  <c r="AE25" i="45"/>
  <c r="AD25" i="45"/>
  <c r="I46" i="33"/>
  <c r="AE8" i="45"/>
  <c r="AD8" i="45"/>
  <c r="W40" i="45"/>
  <c r="AN14" i="45" s="1"/>
  <c r="X40" i="45"/>
  <c r="AO14" i="45" s="1"/>
  <c r="T40" i="45"/>
  <c r="AO13" i="45" s="1"/>
  <c r="S40" i="45"/>
  <c r="AN13" i="45" s="1"/>
  <c r="AJ37" i="45"/>
  <c r="AI37" i="45"/>
  <c r="AZ38" i="39"/>
  <c r="I46" i="13"/>
  <c r="AE28" i="45"/>
  <c r="AD28" i="45"/>
  <c r="AJ19" i="45"/>
  <c r="AI19" i="45"/>
  <c r="AZ20" i="39"/>
  <c r="I46" i="26"/>
  <c r="AE15" i="45"/>
  <c r="AD15" i="45"/>
  <c r="I46" i="12"/>
  <c r="AE29" i="45"/>
  <c r="AD29" i="45"/>
  <c r="I46" i="25"/>
  <c r="AE16" i="45"/>
  <c r="AD16" i="45"/>
  <c r="AH40" i="45"/>
  <c r="AJ8" i="45"/>
  <c r="AI8" i="45"/>
  <c r="AZ9" i="39"/>
  <c r="I46" i="8"/>
  <c r="AE33" i="45"/>
  <c r="AD33" i="45"/>
  <c r="L48" i="4"/>
  <c r="L47" i="4"/>
  <c r="I47" i="43"/>
  <c r="I48" i="43"/>
  <c r="AT39" i="39"/>
  <c r="I46" i="30"/>
  <c r="AD11" i="45"/>
  <c r="AE11" i="45"/>
  <c r="I46" i="14"/>
  <c r="AE27" i="45"/>
  <c r="AD27" i="45"/>
  <c r="I46" i="29"/>
  <c r="AE12" i="45"/>
  <c r="AD12" i="45"/>
  <c r="I46" i="31"/>
  <c r="AE10" i="45"/>
  <c r="AD10" i="45"/>
  <c r="L40" i="45"/>
  <c r="AO11" i="45" s="1"/>
  <c r="K40" i="45"/>
  <c r="AN11" i="45" s="1"/>
  <c r="AB140" i="54" l="1"/>
  <c r="V30" i="39"/>
  <c r="J30" i="39"/>
  <c r="H30" i="39"/>
  <c r="I10" i="53"/>
  <c r="J16" i="39"/>
  <c r="H16" i="39"/>
  <c r="V16" i="39"/>
  <c r="M11" i="39"/>
  <c r="K10" i="39"/>
  <c r="W10" i="39"/>
  <c r="AB31" i="46"/>
  <c r="AC115" i="46"/>
  <c r="AB115" i="46" s="1"/>
  <c r="X115" i="46"/>
  <c r="L31" i="39"/>
  <c r="AC82" i="46"/>
  <c r="AB81" i="46" s="1"/>
  <c r="L24" i="39"/>
  <c r="X81" i="46"/>
  <c r="I3" i="53"/>
  <c r="J38" i="39"/>
  <c r="H38" i="39"/>
  <c r="V38" i="39"/>
  <c r="J12" i="39"/>
  <c r="H12" i="39"/>
  <c r="V12" i="39"/>
  <c r="AC102" i="46"/>
  <c r="L28" i="39"/>
  <c r="AB101" i="46"/>
  <c r="X101" i="46"/>
  <c r="X90" i="46"/>
  <c r="AC90" i="46"/>
  <c r="AB90" i="46" s="1"/>
  <c r="L26" i="39"/>
  <c r="X47" i="46"/>
  <c r="V10" i="39"/>
  <c r="J10" i="39"/>
  <c r="H10" i="39"/>
  <c r="V33" i="39"/>
  <c r="J33" i="39"/>
  <c r="H33" i="39"/>
  <c r="AC96" i="46"/>
  <c r="AB96" i="46" s="1"/>
  <c r="L27" i="39"/>
  <c r="X96" i="46"/>
  <c r="I9" i="53"/>
  <c r="V14" i="39"/>
  <c r="J14" i="39"/>
  <c r="H14" i="39"/>
  <c r="AC106" i="46"/>
  <c r="X106" i="46"/>
  <c r="L29" i="39"/>
  <c r="AB106" i="46"/>
  <c r="BB16" i="39"/>
  <c r="L17" i="39"/>
  <c r="AC38" i="46"/>
  <c r="AC158" i="46" s="1"/>
  <c r="L15" i="39"/>
  <c r="L41" i="39" s="1"/>
  <c r="X38" i="46"/>
  <c r="AB38" i="46"/>
  <c r="R160" i="46"/>
  <c r="K158" i="46"/>
  <c r="AC111" i="46"/>
  <c r="AB110" i="46" s="1"/>
  <c r="X110" i="46"/>
  <c r="X86" i="46"/>
  <c r="L25" i="39"/>
  <c r="AC86" i="46"/>
  <c r="AB86" i="46" s="1"/>
  <c r="N41" i="39"/>
  <c r="G41" i="39" s="1"/>
  <c r="L18" i="39"/>
  <c r="AC52" i="46"/>
  <c r="AB52" i="46" s="1"/>
  <c r="X52" i="46"/>
  <c r="T10" i="53"/>
  <c r="BI10" i="39"/>
  <c r="BK9" i="39"/>
  <c r="N12" i="52"/>
  <c r="T9" i="53"/>
  <c r="AC47" i="54"/>
  <c r="AB47" i="54" s="1"/>
  <c r="BH17" i="39"/>
  <c r="BJ17" i="39" s="1"/>
  <c r="X47" i="54"/>
  <c r="AA158" i="54"/>
  <c r="AC52" i="54"/>
  <c r="AC158" i="54" s="1"/>
  <c r="BH18" i="39"/>
  <c r="BJ18" i="39" s="1"/>
  <c r="AB52" i="54"/>
  <c r="X52" i="54"/>
  <c r="AC42" i="54"/>
  <c r="X42" i="54"/>
  <c r="BH16" i="39"/>
  <c r="K158" i="54"/>
  <c r="AB42" i="54"/>
  <c r="AC87" i="54"/>
  <c r="AB86" i="54" s="1"/>
  <c r="BH25" i="39"/>
  <c r="BJ25" i="39" s="1"/>
  <c r="X86" i="54"/>
  <c r="BB37" i="39"/>
  <c r="BD37" i="39"/>
  <c r="BB27" i="39"/>
  <c r="BD27" i="39"/>
  <c r="BD12" i="39"/>
  <c r="BB12" i="39"/>
  <c r="J46" i="33"/>
  <c r="I47" i="33"/>
  <c r="I48" i="33"/>
  <c r="AT9" i="39"/>
  <c r="I47" i="31"/>
  <c r="I48" i="31"/>
  <c r="AT11" i="39"/>
  <c r="I47" i="26"/>
  <c r="I48" i="26"/>
  <c r="AT16" i="39"/>
  <c r="BD22" i="39"/>
  <c r="BB22" i="39"/>
  <c r="AX25" i="39"/>
  <c r="AV25" i="39"/>
  <c r="M48" i="33"/>
  <c r="M47" i="33"/>
  <c r="M46" i="32"/>
  <c r="AV21" i="39"/>
  <c r="AX21" i="39"/>
  <c r="BD35" i="39"/>
  <c r="BB35" i="39"/>
  <c r="I47" i="27"/>
  <c r="I48" i="27"/>
  <c r="AT14" i="39"/>
  <c r="AV38" i="39"/>
  <c r="AX38" i="39"/>
  <c r="AX39" i="39"/>
  <c r="AV39" i="39"/>
  <c r="I47" i="25"/>
  <c r="I48" i="25"/>
  <c r="AT17" i="39"/>
  <c r="BD28" i="39"/>
  <c r="BB28" i="39"/>
  <c r="I47" i="15"/>
  <c r="I48" i="15"/>
  <c r="AT27" i="39"/>
  <c r="BD36" i="39"/>
  <c r="BB36" i="39"/>
  <c r="I48" i="29"/>
  <c r="I47" i="29"/>
  <c r="AT13" i="39"/>
  <c r="I47" i="8"/>
  <c r="I48" i="8"/>
  <c r="AT34" i="39"/>
  <c r="I47" i="7"/>
  <c r="I48" i="7"/>
  <c r="AT35" i="39"/>
  <c r="I47" i="6"/>
  <c r="I48" i="6"/>
  <c r="AT36" i="39"/>
  <c r="BB33" i="39"/>
  <c r="BD33" i="39"/>
  <c r="I47" i="24"/>
  <c r="I48" i="24"/>
  <c r="AT18" i="39"/>
  <c r="BB9" i="39"/>
  <c r="BA9" i="39"/>
  <c r="BD9" i="39"/>
  <c r="AZ41" i="39"/>
  <c r="I47" i="16"/>
  <c r="I48" i="16"/>
  <c r="AT26" i="39"/>
  <c r="BB24" i="39"/>
  <c r="BD24" i="39"/>
  <c r="I48" i="20"/>
  <c r="I47" i="20"/>
  <c r="AT22" i="39"/>
  <c r="I47" i="12"/>
  <c r="I48" i="12"/>
  <c r="AT30" i="39"/>
  <c r="I47" i="11"/>
  <c r="I48" i="11"/>
  <c r="AT31" i="39"/>
  <c r="AN16" i="45"/>
  <c r="AN24" i="45" s="1"/>
  <c r="AX23" i="39"/>
  <c r="AV23" i="39"/>
  <c r="BB30" i="39"/>
  <c r="BD30" i="39"/>
  <c r="I47" i="18"/>
  <c r="I48" i="18"/>
  <c r="AT24" i="39"/>
  <c r="I48" i="30"/>
  <c r="I47" i="30"/>
  <c r="AT12" i="39"/>
  <c r="BB20" i="39"/>
  <c r="BD20" i="39"/>
  <c r="I47" i="14"/>
  <c r="I48" i="14"/>
  <c r="AT28" i="39"/>
  <c r="I47" i="13"/>
  <c r="I48" i="13"/>
  <c r="I75" i="47"/>
  <c r="K13" i="47" s="1"/>
  <c r="K14" i="47" s="1"/>
  <c r="AT29" i="39"/>
  <c r="AO16" i="45"/>
  <c r="AO24" i="45" s="1"/>
  <c r="BD14" i="39"/>
  <c r="BB14" i="39"/>
  <c r="I47" i="23"/>
  <c r="I48" i="23"/>
  <c r="AT19" i="39"/>
  <c r="I47" i="28"/>
  <c r="I48" i="28"/>
  <c r="AT15" i="39"/>
  <c r="BD32" i="39"/>
  <c r="BB32" i="39"/>
  <c r="AX37" i="39"/>
  <c r="AV37" i="39"/>
  <c r="I47" i="21"/>
  <c r="I48" i="21"/>
  <c r="AT20" i="39"/>
  <c r="BD38" i="39"/>
  <c r="BB38" i="39"/>
  <c r="I47" i="10"/>
  <c r="I48" i="10"/>
  <c r="AT32" i="39"/>
  <c r="AE40" i="45"/>
  <c r="AD40" i="45"/>
  <c r="AC42" i="45"/>
  <c r="AV10" i="39"/>
  <c r="AX10" i="39"/>
  <c r="I47" i="9"/>
  <c r="I48" i="9"/>
  <c r="AT33" i="39"/>
  <c r="V41" i="39" l="1"/>
  <c r="H41" i="39"/>
  <c r="J41" i="39"/>
  <c r="I5" i="53"/>
  <c r="AC159" i="46"/>
  <c r="X168" i="46" s="1"/>
  <c r="AB158" i="46"/>
  <c r="J17" i="39"/>
  <c r="H17" i="39"/>
  <c r="V17" i="39"/>
  <c r="BB17" i="39"/>
  <c r="I8" i="53"/>
  <c r="AH38" i="50"/>
  <c r="AH4" i="50"/>
  <c r="AH3" i="50"/>
  <c r="AI3" i="50" s="1"/>
  <c r="Y159" i="46"/>
  <c r="X166" i="46" s="1"/>
  <c r="Z159" i="46"/>
  <c r="X167" i="46" s="1"/>
  <c r="X158" i="46"/>
  <c r="F43" i="52" s="1"/>
  <c r="G43" i="52" s="1"/>
  <c r="H43" i="52" s="1"/>
  <c r="J26" i="39"/>
  <c r="H26" i="39"/>
  <c r="V26" i="39"/>
  <c r="BB26" i="39"/>
  <c r="I11" i="53"/>
  <c r="F18" i="52" s="1"/>
  <c r="V18" i="39"/>
  <c r="J18" i="39"/>
  <c r="H18" i="39"/>
  <c r="BB18" i="39"/>
  <c r="V24" i="39"/>
  <c r="J24" i="39"/>
  <c r="H24" i="39"/>
  <c r="V159" i="46"/>
  <c r="V29" i="39"/>
  <c r="J29" i="39"/>
  <c r="H29" i="39"/>
  <c r="BB29" i="39"/>
  <c r="E35" i="52"/>
  <c r="E33" i="52"/>
  <c r="F27" i="52"/>
  <c r="E20" i="52"/>
  <c r="E31" i="52"/>
  <c r="E29" i="52"/>
  <c r="E27" i="52"/>
  <c r="E18" i="52"/>
  <c r="E7" i="52"/>
  <c r="E4" i="52"/>
  <c r="E40" i="52"/>
  <c r="F38" i="52"/>
  <c r="E16" i="52"/>
  <c r="E10" i="52"/>
  <c r="E38" i="52"/>
  <c r="E36" i="52"/>
  <c r="E25" i="52"/>
  <c r="E23" i="52"/>
  <c r="E21" i="52"/>
  <c r="E5" i="52"/>
  <c r="E41" i="52"/>
  <c r="E34" i="52"/>
  <c r="E8" i="52"/>
  <c r="E32" i="52"/>
  <c r="E30" i="52"/>
  <c r="E28" i="52"/>
  <c r="E26" i="52"/>
  <c r="E19" i="52"/>
  <c r="E17" i="52"/>
  <c r="E11" i="52"/>
  <c r="E39" i="52"/>
  <c r="F9" i="52"/>
  <c r="G9" i="52" s="1"/>
  <c r="E6" i="52"/>
  <c r="E37" i="52"/>
  <c r="E24" i="52"/>
  <c r="E22" i="52"/>
  <c r="E9" i="52"/>
  <c r="H25" i="39"/>
  <c r="V25" i="39"/>
  <c r="J25" i="39"/>
  <c r="BB25" i="39"/>
  <c r="W11" i="39"/>
  <c r="K11" i="39"/>
  <c r="M12" i="39"/>
  <c r="H15" i="39"/>
  <c r="V15" i="39"/>
  <c r="J15" i="39"/>
  <c r="BB15" i="39"/>
  <c r="H28" i="39"/>
  <c r="V28" i="39"/>
  <c r="J28" i="39"/>
  <c r="E13" i="52"/>
  <c r="F13" i="52" s="1"/>
  <c r="G13" i="52" s="1"/>
  <c r="J3" i="53"/>
  <c r="H31" i="39"/>
  <c r="J31" i="39"/>
  <c r="V31" i="39"/>
  <c r="BB31" i="39"/>
  <c r="J27" i="39"/>
  <c r="H27" i="39"/>
  <c r="V27" i="39"/>
  <c r="AA159" i="46"/>
  <c r="X169" i="46" s="1"/>
  <c r="AC159" i="54"/>
  <c r="X168" i="54" s="1"/>
  <c r="T5" i="53"/>
  <c r="AB158" i="54"/>
  <c r="N35" i="52"/>
  <c r="N36" i="52"/>
  <c r="N30" i="52"/>
  <c r="N26" i="52"/>
  <c r="N25" i="52"/>
  <c r="N24" i="52"/>
  <c r="N18" i="52"/>
  <c r="N20" i="52"/>
  <c r="N19" i="52"/>
  <c r="N11" i="52"/>
  <c r="N10" i="52"/>
  <c r="N9" i="52"/>
  <c r="N8" i="52"/>
  <c r="N7" i="52"/>
  <c r="N6" i="52"/>
  <c r="N5" i="52"/>
  <c r="N37" i="52"/>
  <c r="N31" i="52"/>
  <c r="N27" i="52"/>
  <c r="N21" i="52"/>
  <c r="N4" i="52"/>
  <c r="N38" i="52"/>
  <c r="N32" i="52"/>
  <c r="N41" i="52"/>
  <c r="N40" i="52"/>
  <c r="N39" i="52"/>
  <c r="N33" i="52"/>
  <c r="N28" i="52"/>
  <c r="N22" i="52"/>
  <c r="N16" i="52"/>
  <c r="N34" i="52"/>
  <c r="N29" i="52"/>
  <c r="N23" i="52"/>
  <c r="N17" i="52"/>
  <c r="T8" i="53"/>
  <c r="U2" i="53" s="1"/>
  <c r="O12" i="52" s="1"/>
  <c r="P12" i="52" s="1"/>
  <c r="Y159" i="54"/>
  <c r="X166" i="54" s="1"/>
  <c r="X158" i="54"/>
  <c r="O43" i="52" s="1"/>
  <c r="P43" i="52" s="1"/>
  <c r="Q43" i="52" s="1"/>
  <c r="Z159" i="54"/>
  <c r="X167" i="54" s="1"/>
  <c r="BJ16" i="39"/>
  <c r="BH41" i="39"/>
  <c r="BJ41" i="39" s="1"/>
  <c r="BK10" i="39"/>
  <c r="BI11" i="39"/>
  <c r="AA159" i="54"/>
  <c r="X169" i="54" s="1"/>
  <c r="T3" i="53"/>
  <c r="V159" i="54"/>
  <c r="AX33" i="39"/>
  <c r="AV33" i="39"/>
  <c r="AX30" i="39"/>
  <c r="AV30" i="39"/>
  <c r="BB41" i="39"/>
  <c r="BD41" i="39"/>
  <c r="AX35" i="39"/>
  <c r="AV35" i="39"/>
  <c r="AV13" i="39"/>
  <c r="AX13" i="39"/>
  <c r="AX14" i="39"/>
  <c r="AV14" i="39"/>
  <c r="AX32" i="39"/>
  <c r="AV32" i="39"/>
  <c r="BE9" i="39"/>
  <c r="BC9" i="39"/>
  <c r="BA10" i="39"/>
  <c r="M47" i="32"/>
  <c r="M48" i="32"/>
  <c r="M46" i="31"/>
  <c r="AX20" i="39"/>
  <c r="AV20" i="39"/>
  <c r="AX24" i="39"/>
  <c r="AV24" i="39"/>
  <c r="AX15" i="39"/>
  <c r="AV15" i="39"/>
  <c r="AX16" i="39"/>
  <c r="AV16" i="39"/>
  <c r="AV28" i="39"/>
  <c r="AX28" i="39"/>
  <c r="AV31" i="39"/>
  <c r="AX31" i="39"/>
  <c r="AX26" i="39"/>
  <c r="AV26" i="39"/>
  <c r="AX36" i="39"/>
  <c r="AV36" i="39"/>
  <c r="AV34" i="39"/>
  <c r="AX34" i="39"/>
  <c r="AT41" i="39"/>
  <c r="AX9" i="39"/>
  <c r="AV9" i="39"/>
  <c r="AU9" i="39"/>
  <c r="AX12" i="39"/>
  <c r="AV12" i="39"/>
  <c r="AX22" i="39"/>
  <c r="AV22" i="39"/>
  <c r="AX18" i="39"/>
  <c r="AV18" i="39"/>
  <c r="AO26" i="45"/>
  <c r="AV17" i="39"/>
  <c r="AX17" i="39"/>
  <c r="AX19" i="39"/>
  <c r="AV19" i="39"/>
  <c r="AX29" i="39"/>
  <c r="AV29" i="39"/>
  <c r="AX27" i="39"/>
  <c r="AV27" i="39"/>
  <c r="AX11" i="39"/>
  <c r="AV11" i="39"/>
  <c r="J47" i="33"/>
  <c r="J48" i="33"/>
  <c r="J46" i="32"/>
  <c r="F36" i="52" l="1"/>
  <c r="F11" i="52"/>
  <c r="G11" i="52" s="1"/>
  <c r="F29" i="52"/>
  <c r="F17" i="52"/>
  <c r="F41" i="52"/>
  <c r="F25" i="52"/>
  <c r="AH159" i="46"/>
  <c r="X173" i="46" s="1"/>
  <c r="AL159" i="46"/>
  <c r="X177" i="46" s="1"/>
  <c r="AV159" i="46"/>
  <c r="X186" i="46" s="1"/>
  <c r="AW159" i="46"/>
  <c r="X185" i="46" s="1"/>
  <c r="AN159" i="46"/>
  <c r="X178" i="46" s="1"/>
  <c r="AF159" i="46"/>
  <c r="X171" i="46" s="1"/>
  <c r="AM159" i="46"/>
  <c r="AZ159" i="46"/>
  <c r="AY159" i="46"/>
  <c r="AS159" i="46"/>
  <c r="X182" i="46" s="1"/>
  <c r="AT159" i="46"/>
  <c r="X183" i="46" s="1"/>
  <c r="AG159" i="46"/>
  <c r="X172" i="46" s="1"/>
  <c r="BA159" i="46"/>
  <c r="AK159" i="46"/>
  <c r="X176" i="46" s="1"/>
  <c r="AJ159" i="46"/>
  <c r="X175" i="46" s="1"/>
  <c r="AQ159" i="46"/>
  <c r="X181" i="46" s="1"/>
  <c r="AR159" i="46"/>
  <c r="AX159" i="46"/>
  <c r="AO159" i="46"/>
  <c r="X179" i="46" s="1"/>
  <c r="AI159" i="46"/>
  <c r="X174" i="46" s="1"/>
  <c r="AP159" i="46"/>
  <c r="X180" i="46" s="1"/>
  <c r="AU159" i="46"/>
  <c r="X184" i="46" s="1"/>
  <c r="M13" i="39"/>
  <c r="W12" i="39"/>
  <c r="K12" i="39"/>
  <c r="F20" i="52"/>
  <c r="F22" i="52"/>
  <c r="F19" i="52"/>
  <c r="G19" i="52" s="1"/>
  <c r="F8" i="52"/>
  <c r="G8" i="52" s="1"/>
  <c r="F5" i="52"/>
  <c r="G5" i="52" s="1"/>
  <c r="F31" i="52"/>
  <c r="F24" i="52"/>
  <c r="F26" i="52"/>
  <c r="F40" i="52"/>
  <c r="G40" i="52" s="1"/>
  <c r="H40" i="52" s="1"/>
  <c r="J5" i="53"/>
  <c r="E15" i="52"/>
  <c r="F15" i="52" s="1"/>
  <c r="G15" i="52" s="1"/>
  <c r="F37" i="52"/>
  <c r="F28" i="52"/>
  <c r="F4" i="52"/>
  <c r="J2" i="53"/>
  <c r="F12" i="52"/>
  <c r="G12" i="52" s="1"/>
  <c r="H12" i="52" s="1"/>
  <c r="I4" i="53"/>
  <c r="AB159" i="46"/>
  <c r="X170" i="46" s="1"/>
  <c r="F33" i="52"/>
  <c r="F30" i="52"/>
  <c r="F21" i="52"/>
  <c r="F10" i="52"/>
  <c r="G10" i="52" s="1"/>
  <c r="F7" i="52"/>
  <c r="G7" i="52" s="1"/>
  <c r="F35" i="52"/>
  <c r="G35" i="52" s="1"/>
  <c r="F6" i="52"/>
  <c r="G6" i="52" s="1"/>
  <c r="F39" i="52"/>
  <c r="G38" i="52" s="1"/>
  <c r="F32" i="52"/>
  <c r="F34" i="52"/>
  <c r="F23" i="52"/>
  <c r="F16" i="52"/>
  <c r="G16" i="52" s="1"/>
  <c r="BK11" i="39"/>
  <c r="BI12" i="39"/>
  <c r="AS159" i="54"/>
  <c r="X182" i="54" s="1"/>
  <c r="AP159" i="54"/>
  <c r="X180" i="54" s="1"/>
  <c r="AJ159" i="54"/>
  <c r="X175" i="54" s="1"/>
  <c r="AK159" i="54"/>
  <c r="X176" i="54" s="1"/>
  <c r="AH159" i="54"/>
  <c r="X173" i="54" s="1"/>
  <c r="AI159" i="54"/>
  <c r="X174" i="54" s="1"/>
  <c r="AR159" i="54"/>
  <c r="AV159" i="54"/>
  <c r="X186" i="54" s="1"/>
  <c r="AO159" i="54"/>
  <c r="X179" i="54" s="1"/>
  <c r="AW159" i="54"/>
  <c r="X185" i="54" s="1"/>
  <c r="AX159" i="54"/>
  <c r="AL159" i="54"/>
  <c r="X177" i="54" s="1"/>
  <c r="BA159" i="54"/>
  <c r="AN159" i="54"/>
  <c r="X178" i="54" s="1"/>
  <c r="AY159" i="54"/>
  <c r="AM159" i="54"/>
  <c r="AF159" i="54"/>
  <c r="X171" i="54" s="1"/>
  <c r="AU159" i="54"/>
  <c r="X184" i="54" s="1"/>
  <c r="AT159" i="54"/>
  <c r="X183" i="54" s="1"/>
  <c r="AG159" i="54"/>
  <c r="X172" i="54" s="1"/>
  <c r="AZ159" i="54"/>
  <c r="AQ159" i="54"/>
  <c r="X181" i="54" s="1"/>
  <c r="AB159" i="54"/>
  <c r="X170" i="54" s="1"/>
  <c r="T4" i="53"/>
  <c r="T11" i="53"/>
  <c r="U5" i="53"/>
  <c r="O15" i="52" s="1"/>
  <c r="P15" i="52" s="1"/>
  <c r="N15" i="52"/>
  <c r="N13" i="52"/>
  <c r="U3" i="53"/>
  <c r="O13" i="52" s="1"/>
  <c r="P13" i="52" s="1"/>
  <c r="Q12" i="52" s="1"/>
  <c r="AX41" i="39"/>
  <c r="AV41" i="39"/>
  <c r="J47" i="32"/>
  <c r="J48" i="32"/>
  <c r="J46" i="31"/>
  <c r="BE10" i="39"/>
  <c r="BC10" i="39"/>
  <c r="BA11" i="39"/>
  <c r="M47" i="31"/>
  <c r="M48" i="31"/>
  <c r="M46" i="30"/>
  <c r="AW9" i="39"/>
  <c r="AY9" i="39"/>
  <c r="AU10" i="39"/>
  <c r="X187" i="54" l="1"/>
  <c r="G20" i="52"/>
  <c r="X187" i="46"/>
  <c r="G32" i="52"/>
  <c r="X189" i="46"/>
  <c r="X191" i="46" s="1"/>
  <c r="X189" i="54"/>
  <c r="X191" i="54" s="1"/>
  <c r="E14" i="52"/>
  <c r="J4" i="53"/>
  <c r="G4" i="52"/>
  <c r="M14" i="39"/>
  <c r="W13" i="39"/>
  <c r="K13" i="39"/>
  <c r="G25" i="52"/>
  <c r="H25" i="52" s="1"/>
  <c r="BI13" i="39"/>
  <c r="BK12" i="39"/>
  <c r="O24" i="52"/>
  <c r="O19" i="52"/>
  <c r="P19" i="52" s="1"/>
  <c r="O5" i="52"/>
  <c r="P5" i="52" s="1"/>
  <c r="O39" i="52"/>
  <c r="O17" i="52"/>
  <c r="O18" i="52"/>
  <c r="O37" i="52"/>
  <c r="O32" i="52"/>
  <c r="O11" i="52"/>
  <c r="P11" i="52" s="1"/>
  <c r="O31" i="52"/>
  <c r="O33" i="52"/>
  <c r="O35" i="52"/>
  <c r="O36" i="52"/>
  <c r="O10" i="52"/>
  <c r="P10" i="52" s="1"/>
  <c r="O27" i="52"/>
  <c r="O9" i="52"/>
  <c r="P9" i="52" s="1"/>
  <c r="O21" i="52"/>
  <c r="O28" i="52"/>
  <c r="O16" i="52"/>
  <c r="O30" i="52"/>
  <c r="O8" i="52"/>
  <c r="P8" i="52" s="1"/>
  <c r="O22" i="52"/>
  <c r="O34" i="52"/>
  <c r="O26" i="52"/>
  <c r="O7" i="52"/>
  <c r="P7" i="52" s="1"/>
  <c r="O4" i="52"/>
  <c r="O41" i="52"/>
  <c r="O29" i="52"/>
  <c r="O25" i="52"/>
  <c r="O20" i="52"/>
  <c r="O6" i="52"/>
  <c r="P6" i="52" s="1"/>
  <c r="O38" i="52"/>
  <c r="O40" i="52"/>
  <c r="O23" i="52"/>
  <c r="U4" i="53"/>
  <c r="O14" i="52" s="1"/>
  <c r="P14" i="52" s="1"/>
  <c r="N14" i="52"/>
  <c r="N42" i="52" s="1"/>
  <c r="BE11" i="39"/>
  <c r="BC11" i="39"/>
  <c r="BA12" i="39"/>
  <c r="AW10" i="39"/>
  <c r="AY10" i="39"/>
  <c r="AU11" i="39"/>
  <c r="J47" i="31"/>
  <c r="J48" i="31"/>
  <c r="J46" i="30"/>
  <c r="M47" i="30"/>
  <c r="M48" i="30"/>
  <c r="M46" i="29"/>
  <c r="P25" i="52" l="1"/>
  <c r="P35" i="52"/>
  <c r="P16" i="52"/>
  <c r="W14" i="39"/>
  <c r="M15" i="39"/>
  <c r="K14" i="39"/>
  <c r="H4" i="52"/>
  <c r="F14" i="52"/>
  <c r="E42" i="52"/>
  <c r="P38" i="52"/>
  <c r="P32" i="52"/>
  <c r="Q25" i="52" s="1"/>
  <c r="P40" i="52"/>
  <c r="Q40" i="52" s="1"/>
  <c r="BI14" i="39"/>
  <c r="BK13" i="39"/>
  <c r="P4" i="52"/>
  <c r="O42" i="52"/>
  <c r="O44" i="52" s="1"/>
  <c r="P20" i="52"/>
  <c r="BE12" i="39"/>
  <c r="BC12" i="39"/>
  <c r="BA13" i="39"/>
  <c r="AY11" i="39"/>
  <c r="AW11" i="39"/>
  <c r="AU12" i="39"/>
  <c r="M47" i="29"/>
  <c r="M48" i="29"/>
  <c r="M46" i="27"/>
  <c r="J47" i="30"/>
  <c r="J48" i="30"/>
  <c r="J46" i="29"/>
  <c r="Q14" i="52" l="1"/>
  <c r="W15" i="39"/>
  <c r="M16" i="39"/>
  <c r="K15" i="39"/>
  <c r="G14" i="52"/>
  <c r="F42" i="52"/>
  <c r="F44" i="52" s="1"/>
  <c r="BI15" i="39"/>
  <c r="BK14" i="39"/>
  <c r="Q4" i="52"/>
  <c r="Q42" i="52" s="1"/>
  <c r="Q44" i="52" s="1"/>
  <c r="P42" i="52"/>
  <c r="P44" i="52" s="1"/>
  <c r="J47" i="29"/>
  <c r="J48" i="29"/>
  <c r="J46" i="27"/>
  <c r="AY12" i="39"/>
  <c r="AW12" i="39"/>
  <c r="AU13" i="39"/>
  <c r="BC13" i="39"/>
  <c r="BE13" i="39"/>
  <c r="BA14" i="39"/>
  <c r="M47" i="27"/>
  <c r="M48" i="27"/>
  <c r="M46" i="28"/>
  <c r="M17" i="39" l="1"/>
  <c r="K16" i="39"/>
  <c r="W16" i="39"/>
  <c r="H14" i="52"/>
  <c r="H42" i="52" s="1"/>
  <c r="H44" i="52" s="1"/>
  <c r="G42" i="52"/>
  <c r="G44" i="52" s="1"/>
  <c r="BI16" i="39"/>
  <c r="BK15" i="39"/>
  <c r="M47" i="28"/>
  <c r="M48" i="28"/>
  <c r="M46" i="26"/>
  <c r="AY13" i="39"/>
  <c r="AW13" i="39"/>
  <c r="AU14" i="39"/>
  <c r="J47" i="27"/>
  <c r="J48" i="27"/>
  <c r="J46" i="28"/>
  <c r="BE14" i="39"/>
  <c r="BC14" i="39"/>
  <c r="BA15" i="39"/>
  <c r="M18" i="39" l="1"/>
  <c r="K17" i="39"/>
  <c r="W17" i="39"/>
  <c r="BI17" i="39"/>
  <c r="BK16" i="39"/>
  <c r="M47" i="26"/>
  <c r="M48" i="26"/>
  <c r="M46" i="25"/>
  <c r="BE15" i="39"/>
  <c r="BC15" i="39"/>
  <c r="BA16" i="39"/>
  <c r="AW14" i="39"/>
  <c r="AY14" i="39"/>
  <c r="AU15" i="39"/>
  <c r="J47" i="28"/>
  <c r="J48" i="28"/>
  <c r="J46" i="26"/>
  <c r="W18" i="39" l="1"/>
  <c r="M19" i="39"/>
  <c r="K18" i="39"/>
  <c r="BI18" i="39"/>
  <c r="BK17" i="39"/>
  <c r="M47" i="25"/>
  <c r="M48" i="25"/>
  <c r="M46" i="24"/>
  <c r="BE16" i="39"/>
  <c r="BC16" i="39"/>
  <c r="BA17" i="39"/>
  <c r="J47" i="26"/>
  <c r="J48" i="26"/>
  <c r="J46" i="25"/>
  <c r="AY15" i="39"/>
  <c r="AW15" i="39"/>
  <c r="AU16" i="39"/>
  <c r="W19" i="39" l="1"/>
  <c r="M20" i="39"/>
  <c r="K19" i="39"/>
  <c r="BK18" i="39"/>
  <c r="BI19" i="39"/>
  <c r="BC17" i="39"/>
  <c r="BA18" i="39"/>
  <c r="BE17" i="39"/>
  <c r="M47" i="24"/>
  <c r="M48" i="24"/>
  <c r="M46" i="23"/>
  <c r="AY16" i="39"/>
  <c r="AW16" i="39"/>
  <c r="AU17" i="39"/>
  <c r="J48" i="25"/>
  <c r="J47" i="25"/>
  <c r="J46" i="24"/>
  <c r="W20" i="39" l="1"/>
  <c r="M21" i="39"/>
  <c r="K20" i="39"/>
  <c r="BI20" i="39"/>
  <c r="BK19" i="39"/>
  <c r="M47" i="23"/>
  <c r="M48" i="23"/>
  <c r="M46" i="21"/>
  <c r="J47" i="24"/>
  <c r="J48" i="24"/>
  <c r="J46" i="23"/>
  <c r="BE18" i="39"/>
  <c r="BC18" i="39"/>
  <c r="BA19" i="39"/>
  <c r="AY17" i="39"/>
  <c r="AW17" i="39"/>
  <c r="AU18" i="39"/>
  <c r="M22" i="39" l="1"/>
  <c r="K21" i="39"/>
  <c r="W21" i="39"/>
  <c r="BI21" i="39"/>
  <c r="BK20" i="39"/>
  <c r="M47" i="21"/>
  <c r="M48" i="21"/>
  <c r="M46" i="22"/>
  <c r="AW18" i="39"/>
  <c r="AY18" i="39"/>
  <c r="AU19" i="39"/>
  <c r="J48" i="23"/>
  <c r="J47" i="23"/>
  <c r="J46" i="21"/>
  <c r="BE19" i="39"/>
  <c r="BC19" i="39"/>
  <c r="BA20" i="39"/>
  <c r="M23" i="39" l="1"/>
  <c r="K22" i="39"/>
  <c r="W22" i="39"/>
  <c r="BI22" i="39"/>
  <c r="BK21" i="39"/>
  <c r="M47" i="22"/>
  <c r="M48" i="22"/>
  <c r="M46" i="20"/>
  <c r="AY19" i="39"/>
  <c r="AW19" i="39"/>
  <c r="AU20" i="39"/>
  <c r="BC20" i="39"/>
  <c r="BE20" i="39"/>
  <c r="BA21" i="39"/>
  <c r="J47" i="21"/>
  <c r="J48" i="21"/>
  <c r="J46" i="22"/>
  <c r="W23" i="39" l="1"/>
  <c r="M24" i="39"/>
  <c r="K23" i="39"/>
  <c r="BI23" i="39"/>
  <c r="BK22" i="39"/>
  <c r="M47" i="20"/>
  <c r="M48" i="20"/>
  <c r="M46" i="19"/>
  <c r="AY20" i="39"/>
  <c r="AW20" i="39"/>
  <c r="AU21" i="39"/>
  <c r="J48" i="22"/>
  <c r="J47" i="22"/>
  <c r="J46" i="20"/>
  <c r="BE21" i="39"/>
  <c r="BC21" i="39"/>
  <c r="BA22" i="39"/>
  <c r="W24" i="39" l="1"/>
  <c r="K24" i="39"/>
  <c r="M25" i="39"/>
  <c r="BK23" i="39"/>
  <c r="BI24" i="39"/>
  <c r="M47" i="19"/>
  <c r="M48" i="19"/>
  <c r="M46" i="18"/>
  <c r="AW21" i="39"/>
  <c r="AY21" i="39"/>
  <c r="AU22" i="39"/>
  <c r="BE22" i="39"/>
  <c r="BC22" i="39"/>
  <c r="BA23" i="39"/>
  <c r="J47" i="20"/>
  <c r="J48" i="20"/>
  <c r="J46" i="19"/>
  <c r="W25" i="39" l="1"/>
  <c r="M26" i="39"/>
  <c r="K25" i="39"/>
  <c r="BI25" i="39"/>
  <c r="BK24" i="39"/>
  <c r="M47" i="18"/>
  <c r="M48" i="18"/>
  <c r="M46" i="17"/>
  <c r="AY22" i="39"/>
  <c r="AW22" i="39"/>
  <c r="AU23" i="39"/>
  <c r="J47" i="19"/>
  <c r="J48" i="19"/>
  <c r="J46" i="18"/>
  <c r="BE23" i="39"/>
  <c r="BC23" i="39"/>
  <c r="BA24" i="39"/>
  <c r="M27" i="39" l="1"/>
  <c r="K26" i="39"/>
  <c r="W26" i="39"/>
  <c r="BK25" i="39"/>
  <c r="BI26" i="39"/>
  <c r="M48" i="17"/>
  <c r="M47" i="17"/>
  <c r="M46" i="16"/>
  <c r="AY23" i="39"/>
  <c r="AW23" i="39"/>
  <c r="AU24" i="39"/>
  <c r="BC24" i="39"/>
  <c r="BA25" i="39"/>
  <c r="BE24" i="39"/>
  <c r="J47" i="18"/>
  <c r="J48" i="18"/>
  <c r="J46" i="17"/>
  <c r="M28" i="39" l="1"/>
  <c r="K27" i="39"/>
  <c r="W27" i="39"/>
  <c r="BI27" i="39"/>
  <c r="BK26" i="39"/>
  <c r="BE25" i="39"/>
  <c r="BC25" i="39"/>
  <c r="BA26" i="39"/>
  <c r="M48" i="16"/>
  <c r="M47" i="16"/>
  <c r="M46" i="15"/>
  <c r="AY24" i="39"/>
  <c r="AW24" i="39"/>
  <c r="AU25" i="39"/>
  <c r="J47" i="17"/>
  <c r="J48" i="17"/>
  <c r="J46" i="16"/>
  <c r="M29" i="39" l="1"/>
  <c r="K28" i="39"/>
  <c r="W28" i="39"/>
  <c r="BK27" i="39"/>
  <c r="BI28" i="39"/>
  <c r="BE26" i="39"/>
  <c r="BC26" i="39"/>
  <c r="BA27" i="39"/>
  <c r="M47" i="15"/>
  <c r="M48" i="15"/>
  <c r="M46" i="14"/>
  <c r="J47" i="16"/>
  <c r="J48" i="16"/>
  <c r="J46" i="15"/>
  <c r="AW25" i="39"/>
  <c r="AY25" i="39"/>
  <c r="AU26" i="39"/>
  <c r="M30" i="39" l="1"/>
  <c r="W29" i="39"/>
  <c r="K29" i="39"/>
  <c r="BK28" i="39"/>
  <c r="BI29" i="39"/>
  <c r="M47" i="14"/>
  <c r="M48" i="14"/>
  <c r="M46" i="13"/>
  <c r="BE27" i="39"/>
  <c r="BC27" i="39"/>
  <c r="BA28" i="39"/>
  <c r="AY26" i="39"/>
  <c r="AW26" i="39"/>
  <c r="AU27" i="39"/>
  <c r="J47" i="15"/>
  <c r="J48" i="15"/>
  <c r="J46" i="14"/>
  <c r="W30" i="39" l="1"/>
  <c r="M31" i="39"/>
  <c r="K30" i="39"/>
  <c r="BI30" i="39"/>
  <c r="BK29" i="39"/>
  <c r="M47" i="13"/>
  <c r="M48" i="13"/>
  <c r="M46" i="12"/>
  <c r="BC28" i="39"/>
  <c r="BE28" i="39"/>
  <c r="BA29" i="39"/>
  <c r="J48" i="14"/>
  <c r="J47" i="14"/>
  <c r="J46" i="13"/>
  <c r="AY27" i="39"/>
  <c r="AW27" i="39"/>
  <c r="AU28" i="39"/>
  <c r="W31" i="39" l="1"/>
  <c r="K31" i="39"/>
  <c r="M32" i="39"/>
  <c r="BI31" i="39"/>
  <c r="BK30" i="39"/>
  <c r="M48" i="12"/>
  <c r="M47" i="12"/>
  <c r="M46" i="11"/>
  <c r="BE29" i="39"/>
  <c r="BC29" i="39"/>
  <c r="BA30" i="39"/>
  <c r="AY28" i="39"/>
  <c r="AW28" i="39"/>
  <c r="AU29" i="39"/>
  <c r="J47" i="13"/>
  <c r="J48" i="13"/>
  <c r="J46" i="12"/>
  <c r="K32" i="39" l="1"/>
  <c r="M33" i="39"/>
  <c r="W32" i="39"/>
  <c r="BI32" i="39"/>
  <c r="BK31" i="39"/>
  <c r="BA31" i="39"/>
  <c r="BE30" i="39"/>
  <c r="BC30" i="39"/>
  <c r="M47" i="11"/>
  <c r="M48" i="11"/>
  <c r="M46" i="10"/>
  <c r="J47" i="12"/>
  <c r="J48" i="12"/>
  <c r="J46" i="11"/>
  <c r="AY29" i="39"/>
  <c r="AW29" i="39"/>
  <c r="AU30" i="39"/>
  <c r="W33" i="39" l="1"/>
  <c r="M34" i="39"/>
  <c r="K33" i="39"/>
  <c r="BK32" i="39"/>
  <c r="BI33" i="39"/>
  <c r="AY30" i="39"/>
  <c r="AW30" i="39"/>
  <c r="AU31" i="39"/>
  <c r="M47" i="10"/>
  <c r="M48" i="10"/>
  <c r="M46" i="9"/>
  <c r="J47" i="11"/>
  <c r="J48" i="11"/>
  <c r="J46" i="10"/>
  <c r="BC31" i="39"/>
  <c r="BE31" i="39"/>
  <c r="BA32" i="39"/>
  <c r="W34" i="39" l="1"/>
  <c r="M35" i="39"/>
  <c r="K34" i="39"/>
  <c r="BI34" i="39"/>
  <c r="BK33" i="39"/>
  <c r="M47" i="9"/>
  <c r="M48" i="9"/>
  <c r="M46" i="8"/>
  <c r="AY31" i="39"/>
  <c r="AW31" i="39"/>
  <c r="AU32" i="39"/>
  <c r="BE32" i="39"/>
  <c r="BC32" i="39"/>
  <c r="BA33" i="39"/>
  <c r="J48" i="10"/>
  <c r="J47" i="10"/>
  <c r="J46" i="9"/>
  <c r="W35" i="39" l="1"/>
  <c r="M36" i="39"/>
  <c r="K35" i="39"/>
  <c r="BK34" i="39"/>
  <c r="BI35" i="39"/>
  <c r="M48" i="8"/>
  <c r="M47" i="8"/>
  <c r="M46" i="7"/>
  <c r="AY32" i="39"/>
  <c r="AW32" i="39"/>
  <c r="AU33" i="39"/>
  <c r="J47" i="9"/>
  <c r="J48" i="9"/>
  <c r="J46" i="8"/>
  <c r="BE33" i="39"/>
  <c r="BC33" i="39"/>
  <c r="BA34" i="39"/>
  <c r="K36" i="39" l="1"/>
  <c r="W36" i="39"/>
  <c r="M37" i="39"/>
  <c r="BI36" i="39"/>
  <c r="BK35" i="39"/>
  <c r="M47" i="7"/>
  <c r="M48" i="7"/>
  <c r="M46" i="6"/>
  <c r="AY33" i="39"/>
  <c r="AW33" i="39"/>
  <c r="AU34" i="39"/>
  <c r="BE34" i="39"/>
  <c r="BC34" i="39"/>
  <c r="BA35" i="39"/>
  <c r="J47" i="8"/>
  <c r="J48" i="8"/>
  <c r="J46" i="7"/>
  <c r="M38" i="39" l="1"/>
  <c r="K37" i="39"/>
  <c r="W37" i="39"/>
  <c r="BI37" i="39"/>
  <c r="BK36" i="39"/>
  <c r="AW34" i="39"/>
  <c r="AY34" i="39"/>
  <c r="AU35" i="39"/>
  <c r="M47" i="6"/>
  <c r="M48" i="6"/>
  <c r="M46" i="37"/>
  <c r="J47" i="7"/>
  <c r="J48" i="7"/>
  <c r="J46" i="6"/>
  <c r="BE35" i="39"/>
  <c r="BC35" i="39"/>
  <c r="BA36" i="39"/>
  <c r="M39" i="39" l="1"/>
  <c r="K38" i="39"/>
  <c r="W38" i="39"/>
  <c r="BK37" i="39"/>
  <c r="BI38" i="39"/>
  <c r="M47" i="37"/>
  <c r="M48" i="37"/>
  <c r="M46" i="4"/>
  <c r="AY35" i="39"/>
  <c r="AW35" i="39"/>
  <c r="AU36" i="39"/>
  <c r="BA37" i="39"/>
  <c r="BE36" i="39"/>
  <c r="BC36" i="39"/>
  <c r="J47" i="6"/>
  <c r="J48" i="6"/>
  <c r="J46" i="37"/>
  <c r="W39" i="39" l="1"/>
  <c r="K39" i="39"/>
  <c r="BK38" i="39"/>
  <c r="BI39" i="39"/>
  <c r="BK39" i="39" s="1"/>
  <c r="J48" i="37"/>
  <c r="J47" i="37"/>
  <c r="J46" i="4"/>
  <c r="M47" i="4"/>
  <c r="M48" i="4"/>
  <c r="M46" i="43"/>
  <c r="BC37" i="39"/>
  <c r="BE37" i="39"/>
  <c r="BA38" i="39"/>
  <c r="AY36" i="39"/>
  <c r="AW36" i="39"/>
  <c r="AU37" i="39"/>
  <c r="J47" i="4" l="1"/>
  <c r="J48" i="4"/>
  <c r="J46" i="43"/>
  <c r="M47" i="43"/>
  <c r="M48" i="43"/>
  <c r="AY37" i="39"/>
  <c r="AW37" i="39"/>
  <c r="AU38" i="39"/>
  <c r="BE38" i="39"/>
  <c r="BA39" i="39"/>
  <c r="BC38" i="39"/>
  <c r="AW38" i="39" l="1"/>
  <c r="AY38" i="39"/>
  <c r="AU39" i="39"/>
  <c r="J47" i="43"/>
  <c r="J48" i="43"/>
  <c r="BC39" i="39"/>
  <c r="BE39" i="39"/>
  <c r="AY39" i="39" l="1"/>
  <c r="AW39" i="39"/>
</calcChain>
</file>

<file path=xl/comments1.xml><?xml version="1.0" encoding="utf-8"?>
<comments xmlns="http://schemas.openxmlformats.org/spreadsheetml/2006/main">
  <authors>
    <author>win10</author>
  </authors>
  <commentList>
    <comment ref="X22" authorId="0">
      <text>
        <r>
          <rPr>
            <b/>
            <sz val="9"/>
            <color indexed="81"/>
            <rFont val="Tahoma"/>
            <family val="2"/>
          </rPr>
          <t>win10:</t>
        </r>
        <r>
          <rPr>
            <sz val="9"/>
            <color indexed="81"/>
            <rFont val="Tahoma"/>
            <family val="2"/>
          </rPr>
          <t xml:space="preserve">
refiner aus nbkp bypass mdt&lt;std tissue putus2 soping
info pak agus iku loss proses</t>
        </r>
      </text>
    </comment>
  </commentList>
</comments>
</file>

<file path=xl/sharedStrings.xml><?xml version="1.0" encoding="utf-8"?>
<sst xmlns="http://schemas.openxmlformats.org/spreadsheetml/2006/main" count="6163" uniqueCount="715">
  <si>
    <t xml:space="preserve"> </t>
  </si>
  <si>
    <t xml:space="preserve">  </t>
  </si>
  <si>
    <t>Efficiency</t>
  </si>
  <si>
    <t>Total</t>
  </si>
  <si>
    <t>PRODUCTION DAILY REPORT</t>
  </si>
  <si>
    <t>GRADE</t>
  </si>
  <si>
    <t>GSM</t>
  </si>
  <si>
    <t>LOSS</t>
  </si>
  <si>
    <t>Towel</t>
  </si>
  <si>
    <t>Date</t>
  </si>
  <si>
    <t>Grade</t>
  </si>
  <si>
    <t>Reject</t>
  </si>
  <si>
    <t>%</t>
  </si>
  <si>
    <t>Process</t>
  </si>
  <si>
    <t>Cleaning</t>
  </si>
  <si>
    <t>Start Up</t>
  </si>
  <si>
    <t>Mekanik</t>
  </si>
  <si>
    <t>Instrument</t>
  </si>
  <si>
    <t>PLN</t>
  </si>
  <si>
    <t>Boiler</t>
  </si>
  <si>
    <t>Steam</t>
  </si>
  <si>
    <t>Others</t>
  </si>
  <si>
    <t>MACHINE POWER CONSUMPTION (PER PANEL)</t>
  </si>
  <si>
    <t>PM          (TON)</t>
  </si>
  <si>
    <t>FINSHED GOODS (TON)</t>
  </si>
  <si>
    <t>KWH</t>
  </si>
  <si>
    <t>Consumption</t>
  </si>
  <si>
    <t>/TON PM</t>
  </si>
  <si>
    <t>/TON FG</t>
  </si>
  <si>
    <t>TOTAL</t>
  </si>
  <si>
    <t>PM</t>
  </si>
  <si>
    <t>DATE</t>
  </si>
  <si>
    <t>PM PROD  Timbangan                       (TON)</t>
  </si>
  <si>
    <t>NET GROSS  (Timbangan)   (%)</t>
  </si>
  <si>
    <t>NET GROSS             ( Scanner)          (%)</t>
  </si>
  <si>
    <t>FRESH WATER</t>
  </si>
  <si>
    <t>GAS HOOD</t>
  </si>
  <si>
    <t>STEAM (TON)</t>
  </si>
  <si>
    <t>POWER (kWh)</t>
  </si>
  <si>
    <t>/TON PM.</t>
  </si>
  <si>
    <t>/TON FG.</t>
  </si>
  <si>
    <t>CONSUMPTION</t>
  </si>
  <si>
    <t>TODAY</t>
  </si>
  <si>
    <t>TODATE</t>
  </si>
  <si>
    <t>REW PROD (TON)</t>
  </si>
  <si>
    <t>Kg/ton</t>
  </si>
  <si>
    <t>REEL PROD (TON)</t>
  </si>
  <si>
    <t>TOTAL NBKP</t>
  </si>
  <si>
    <t>SUB TOTAL PULP+BROKE</t>
  </si>
  <si>
    <t>PULP TO PAPER RATIO</t>
  </si>
  <si>
    <t>SHIFT</t>
  </si>
  <si>
    <t>ACCEPTED</t>
  </si>
  <si>
    <t>REJECT</t>
  </si>
  <si>
    <t>RMG</t>
  </si>
  <si>
    <t>D.Time</t>
  </si>
  <si>
    <t>POST DT.</t>
  </si>
  <si>
    <t>Reason for Down time</t>
  </si>
  <si>
    <t>Speed Yankee/Reel</t>
  </si>
  <si>
    <t>Today prod</t>
  </si>
  <si>
    <t>Todate prod</t>
  </si>
  <si>
    <t>Grand Total</t>
  </si>
  <si>
    <t>Down Time Min</t>
  </si>
  <si>
    <t>Today (mnt)</t>
  </si>
  <si>
    <t>Todate (mnt)</t>
  </si>
  <si>
    <t>Todate (hrs)</t>
  </si>
  <si>
    <t>REEL PRODUCTION ( Scanner )</t>
  </si>
  <si>
    <t>MT</t>
  </si>
  <si>
    <t>REEL PRODUCTION ( Timbangan )</t>
  </si>
  <si>
    <t>AVG - REEL PRODUCTION ACCEPTED ( Scanner )</t>
  </si>
  <si>
    <t>Mechanical</t>
  </si>
  <si>
    <t>FINISHED PRODUCTION</t>
  </si>
  <si>
    <t>Electrical</t>
  </si>
  <si>
    <t>AVG FINISHED PRODUCTION</t>
  </si>
  <si>
    <t>AVG SPEED YANKEE/REEL</t>
  </si>
  <si>
    <t>Meter/Min</t>
  </si>
  <si>
    <t>Water</t>
  </si>
  <si>
    <t xml:space="preserve">Steam consumption </t>
  </si>
  <si>
    <t xml:space="preserve">Steam per ton paper Reel </t>
  </si>
  <si>
    <t>Steam per ton paper Accepted PHP</t>
  </si>
  <si>
    <t>Gas</t>
  </si>
  <si>
    <t>Power consumption</t>
  </si>
  <si>
    <t>KW</t>
  </si>
  <si>
    <t>Power Plant</t>
  </si>
  <si>
    <t xml:space="preserve">Power per tonpaper Reel </t>
  </si>
  <si>
    <t xml:space="preserve">Power per tonpaper Accepted PHP </t>
  </si>
  <si>
    <t>Gas ConsumptionHood PM3</t>
  </si>
  <si>
    <t>M3</t>
  </si>
  <si>
    <t xml:space="preserve">Gas ConsumptionHood per ton paper </t>
  </si>
  <si>
    <t>Planned shut</t>
  </si>
  <si>
    <t>Gas Hood per ton paper Accepted PHP</t>
  </si>
  <si>
    <t>Remarks :</t>
  </si>
  <si>
    <t>Reject =</t>
  </si>
  <si>
    <t>RMG =</t>
  </si>
  <si>
    <t>Colour</t>
  </si>
  <si>
    <t>gsm</t>
  </si>
  <si>
    <t>Ply</t>
  </si>
  <si>
    <t>Standard</t>
  </si>
  <si>
    <t>Real Running</t>
  </si>
  <si>
    <t>Trim Rewinder (cm)</t>
  </si>
  <si>
    <t>Available Time (mnt)</t>
  </si>
  <si>
    <t>Down Time (mnt)</t>
  </si>
  <si>
    <t>Loss Time (mnt)</t>
  </si>
  <si>
    <t>Teori (ton) with Available Time</t>
  </si>
  <si>
    <t>Real Eff dr Target Eff</t>
  </si>
  <si>
    <t>Reject Rewinder (ton)</t>
  </si>
  <si>
    <t>Unschedule Shut Down (mnt)</t>
  </si>
  <si>
    <t>Schedule Shut Down</t>
  </si>
  <si>
    <t>Total Down Time</t>
  </si>
  <si>
    <t>Freq. Sheets Break (X)</t>
  </si>
  <si>
    <t>Freq. Change Blade (X)</t>
  </si>
  <si>
    <t>Trim Rewinder x Running Time</t>
  </si>
  <si>
    <t>Down Time Produksi</t>
  </si>
  <si>
    <t>Electrical &amp; Instrument</t>
  </si>
  <si>
    <t>Total Unschedule Shut Down</t>
  </si>
  <si>
    <t xml:space="preserve"> Yankee Speed (mpm)</t>
  </si>
  <si>
    <t>Max % Creeping</t>
  </si>
  <si>
    <t>Target Eff</t>
  </si>
  <si>
    <t xml:space="preserve">Kapasitas PM-Teori (ton) </t>
  </si>
  <si>
    <t>Yankee Speed (mpm)</t>
  </si>
  <si>
    <t>Popereel Speed (mpm)</t>
  </si>
  <si>
    <t>% Creeping</t>
  </si>
  <si>
    <t>Eff Prod dihitung dari real speed &amp; dipotong down time &amp; loss time =</t>
  </si>
  <si>
    <t>Tgl</t>
  </si>
  <si>
    <t>Kombinasi Pot.</t>
  </si>
  <si>
    <t>Lebar Trim</t>
  </si>
  <si>
    <t>Jml Turunan</t>
  </si>
  <si>
    <t>Lebar x Turunan</t>
  </si>
  <si>
    <t>Rata-rata</t>
  </si>
  <si>
    <t>Downtime/ Losstime</t>
  </si>
  <si>
    <t>Reason of Downtime / Losstime</t>
  </si>
  <si>
    <t>Loss Time</t>
  </si>
  <si>
    <t>Total Losstime</t>
  </si>
  <si>
    <t>EXT FACTOR</t>
  </si>
  <si>
    <t>Proses</t>
  </si>
  <si>
    <t>Electric &amp; Instrument</t>
  </si>
  <si>
    <t>DOWN TIME</t>
  </si>
  <si>
    <t>Pemakaian</t>
  </si>
  <si>
    <t>Qty</t>
  </si>
  <si>
    <t>Note:</t>
  </si>
  <si>
    <t xml:space="preserve">- Pemakaian </t>
  </si>
  <si>
    <t>- Budget</t>
  </si>
  <si>
    <t xml:space="preserve">- Selisih </t>
  </si>
  <si>
    <t>= Hasil pengurangan dari pemakaian dengan target ( + = under budget, (-) = over budget)</t>
  </si>
  <si>
    <t>Today RMG</t>
  </si>
  <si>
    <t>PHP</t>
  </si>
  <si>
    <t>Accepted (ton)</t>
  </si>
  <si>
    <t>= Target pemakaian chemical per off rewinder sesuai dengan Budget Chemical 2012</t>
  </si>
  <si>
    <t>= Pemakaian daily tiap chemical PM 11</t>
  </si>
  <si>
    <t>Reject Rewinder</t>
  </si>
  <si>
    <t>Loss speed</t>
  </si>
  <si>
    <t>Reject masuk broke plant</t>
  </si>
  <si>
    <t>Down time proses</t>
  </si>
  <si>
    <t>Down time electric</t>
  </si>
  <si>
    <t>Real Speed &amp; Real Creepe Ratio setelah dipotong DT &amp; LT (ton)</t>
  </si>
  <si>
    <t>Real Speed &amp; Real Creepe Ratio with Available Time (ton)</t>
  </si>
  <si>
    <t>Loss tonase akibat  DT + LT dari hitungan Teori with available time (ton)</t>
  </si>
  <si>
    <t>Estimasi Reject to Broke Plant (ton)</t>
  </si>
  <si>
    <t>Loss time mekanik</t>
  </si>
  <si>
    <t>Loss time boiler</t>
  </si>
  <si>
    <t>Loss time electric</t>
  </si>
  <si>
    <t>Down time boiler</t>
  </si>
  <si>
    <t>Down time mekanik</t>
  </si>
  <si>
    <t>PLN &amp; efek PLN</t>
  </si>
  <si>
    <t>Scd. Shut down</t>
  </si>
  <si>
    <t>(-) = estimasi over BW</t>
  </si>
  <si>
    <t>Loss Opportunity in Speed (ton)</t>
  </si>
  <si>
    <t xml:space="preserve">Estimasi Faktor BW </t>
  </si>
  <si>
    <t>Estimasi Faktor BW (ton)</t>
  </si>
  <si>
    <t>Per long shift =</t>
  </si>
  <si>
    <t>MIN TARGET</t>
  </si>
  <si>
    <t>Gas ConsumptionHood PM 11</t>
  </si>
  <si>
    <t>Off Reel</t>
  </si>
  <si>
    <t>Off Rewinder</t>
  </si>
  <si>
    <t>Kwh/ ton</t>
  </si>
  <si>
    <t>LEBIH TINGGI DARI OFF REEL</t>
  </si>
  <si>
    <t>TISSUE MACHINE 12</t>
  </si>
  <si>
    <t xml:space="preserve">PM12 Efficiency Report </t>
  </si>
  <si>
    <t>DDR 1 LF</t>
  </si>
  <si>
    <t>DDR TICKLING</t>
  </si>
  <si>
    <t>DEFLAKER</t>
  </si>
  <si>
    <t>INCOMING 3200 MCC</t>
  </si>
  <si>
    <t>INCOMING 1250A HOOD</t>
  </si>
  <si>
    <t>INCOMING PANEL ABB DRIVE</t>
  </si>
  <si>
    <t>Total PM12</t>
  </si>
  <si>
    <t>Total DEINKING</t>
  </si>
  <si>
    <t>DI N40</t>
  </si>
  <si>
    <t>DEINKING</t>
  </si>
  <si>
    <t>POWER (kWh) DEINKING</t>
  </si>
  <si>
    <t>STEAM (TON) DEINKING</t>
  </si>
  <si>
    <t>Speed yankee (mpm)</t>
  </si>
  <si>
    <t>Speed reel (mpm)</t>
  </si>
  <si>
    <t>Creep ( % )</t>
  </si>
  <si>
    <t>Real Eff PM vs Target (%)</t>
  </si>
  <si>
    <t>Real Eff FG vs Real Eff PM (%)</t>
  </si>
  <si>
    <t>Eff FG vs Target (%)</t>
  </si>
  <si>
    <t xml:space="preserve">Kapasitas Target (ton) </t>
  </si>
  <si>
    <t>PAPER MACHINE 12 DAILY REPORT 1</t>
  </si>
  <si>
    <t>Real Eff PM ( % )</t>
  </si>
  <si>
    <t xml:space="preserve">Kapasitas Teori Real (ton) </t>
  </si>
  <si>
    <t>Speed real (ton) with Available Time</t>
  </si>
  <si>
    <t>Marketing</t>
  </si>
  <si>
    <t>Change Grade</t>
  </si>
  <si>
    <t>Loss time sheet break</t>
  </si>
  <si>
    <t>Loss time change blade</t>
  </si>
  <si>
    <t>Baklog</t>
  </si>
  <si>
    <t xml:space="preserve">Sisa Spool seset </t>
  </si>
  <si>
    <t>Ngelokor</t>
  </si>
  <si>
    <t>Keriput</t>
  </si>
  <si>
    <t>Start up</t>
  </si>
  <si>
    <t>Potongan jelek</t>
  </si>
  <si>
    <t>Hole</t>
  </si>
  <si>
    <t>Dirt</t>
  </si>
  <si>
    <t>Jumbo gandeng</t>
  </si>
  <si>
    <t>Formasi jelek</t>
  </si>
  <si>
    <t>MDT &lt; std</t>
  </si>
  <si>
    <t>Lembab</t>
  </si>
  <si>
    <t>Diameter &lt; std</t>
  </si>
  <si>
    <t>Gelembung</t>
  </si>
  <si>
    <t>Bw &lt; std</t>
  </si>
  <si>
    <t>Lebar kertas kurang</t>
  </si>
  <si>
    <t>Cap garis doctor</t>
  </si>
  <si>
    <t>White spot</t>
  </si>
  <si>
    <t>Thickness &lt; std</t>
  </si>
  <si>
    <t>Bulky &lt; std</t>
  </si>
  <si>
    <t>Bw &gt; std</t>
  </si>
  <si>
    <t>Kertas melipat</t>
  </si>
  <si>
    <t>- Cleaning</t>
  </si>
  <si>
    <t>Loss time change grade</t>
  </si>
  <si>
    <t>M.DDR1LF</t>
  </si>
  <si>
    <t>DIP 1</t>
  </si>
  <si>
    <t>DIP 2</t>
  </si>
  <si>
    <t>TOTAL DIP</t>
  </si>
  <si>
    <t>NGR 900</t>
  </si>
  <si>
    <t>NGR 200</t>
  </si>
  <si>
    <t>Category</t>
  </si>
  <si>
    <t>Problem Category</t>
  </si>
  <si>
    <t>Detailed Problem</t>
  </si>
  <si>
    <t>LT/DT in Mins</t>
  </si>
  <si>
    <t>LT/DT in Ton</t>
  </si>
  <si>
    <t>Percentage LT/DT</t>
  </si>
  <si>
    <t>Total Percentage</t>
  </si>
  <si>
    <t>Actual Percentage</t>
  </si>
  <si>
    <t>X-Factor</t>
  </si>
  <si>
    <t>Down Time Marketing</t>
  </si>
  <si>
    <t>Estimasi RBP &amp; Backlog</t>
  </si>
  <si>
    <t>Reject Broke Plant</t>
  </si>
  <si>
    <t>Basic Weight Estimation</t>
  </si>
  <si>
    <t>Loss Speed</t>
  </si>
  <si>
    <t>Down Time Process</t>
  </si>
  <si>
    <t>Loss Time Change Grade</t>
  </si>
  <si>
    <t>Loss Time Process</t>
  </si>
  <si>
    <t>Change Blade</t>
  </si>
  <si>
    <t>Sheet Breaks</t>
  </si>
  <si>
    <t>Maintenance</t>
  </si>
  <si>
    <t>Down Time EID</t>
  </si>
  <si>
    <t>Down Time Mekanik</t>
  </si>
  <si>
    <t>Loss Time EID</t>
  </si>
  <si>
    <t>Loss Time Mekanik</t>
  </si>
  <si>
    <t>Scheduled Shut Down</t>
  </si>
  <si>
    <t>Tonase</t>
  </si>
  <si>
    <t>Prosentase</t>
  </si>
  <si>
    <t>PM 12 Summary</t>
  </si>
  <si>
    <t>PM 12</t>
  </si>
  <si>
    <t>Downtime / Losstime</t>
  </si>
  <si>
    <t>Klasifikasi Detail</t>
  </si>
  <si>
    <t>Klasifikasi Awal</t>
  </si>
  <si>
    <t>Jenis Reject</t>
  </si>
  <si>
    <t>Reject in Ton</t>
  </si>
  <si>
    <t>Reject Percentage</t>
  </si>
  <si>
    <t>Estimasi Basic Weight</t>
  </si>
  <si>
    <t>Theory with Available Time (ton)</t>
  </si>
  <si>
    <t>Total LT/DT (mins)</t>
  </si>
  <si>
    <t>Total LT/DT (ton)</t>
  </si>
  <si>
    <t>LT/DT Percentage</t>
  </si>
  <si>
    <t>Total Prosentase</t>
  </si>
  <si>
    <t>Sisa spool popereel</t>
  </si>
  <si>
    <t>Sisa Spool rewinder</t>
  </si>
  <si>
    <t>Kertas sobek pinggir</t>
  </si>
  <si>
    <t>Joint</t>
  </si>
  <si>
    <t>Seset Change Grade</t>
  </si>
  <si>
    <t>soping</t>
  </si>
  <si>
    <t>crushing</t>
  </si>
  <si>
    <t>UNKNOWN</t>
  </si>
  <si>
    <t>PULP AND BROKE DAILY REPORT PM 12</t>
  </si>
  <si>
    <t>NBKP CRESSBROOK</t>
  </si>
  <si>
    <t>Yield BB Recycle</t>
  </si>
  <si>
    <t>Produksi</t>
  </si>
  <si>
    <t>Loss time</t>
  </si>
  <si>
    <t>Down Time</t>
  </si>
  <si>
    <t>SINERGY</t>
  </si>
  <si>
    <t>Backlog</t>
  </si>
  <si>
    <t>sheet break</t>
  </si>
  <si>
    <t>change blade</t>
  </si>
  <si>
    <t>change spool</t>
  </si>
  <si>
    <t>awal bulan produksi MG mengikuti real speed karea usia felt sudah 7minggu</t>
  </si>
  <si>
    <t>NB : info pak hartono untuk napkin + towel speed 1600mpm, gsm tinggi 92ton(&gt;17)</t>
  </si>
  <si>
    <t>Loss time change spool</t>
  </si>
  <si>
    <t>Loss Time Marketing</t>
  </si>
  <si>
    <t>Rewinder</t>
  </si>
  <si>
    <t>Hood</t>
  </si>
  <si>
    <t>Yankee</t>
  </si>
  <si>
    <t>Report</t>
  </si>
  <si>
    <t>Kehilangan Effisiensi PM 12 terdiri dari:</t>
  </si>
  <si>
    <t>DEKAINK</t>
  </si>
  <si>
    <t>MANAGEMENT</t>
  </si>
  <si>
    <t>Down Time Sinergy</t>
  </si>
  <si>
    <t>Loss Time Sinergy</t>
  </si>
  <si>
    <t>Paper Mill's Chemicals</t>
  </si>
  <si>
    <t>Deinking's Chemicals</t>
  </si>
  <si>
    <t>Paper mill's Chemicals</t>
  </si>
  <si>
    <t>AMIBOND DS 947</t>
  </si>
  <si>
    <t>AMIBOND WS 418</t>
  </si>
  <si>
    <t>WSR RESIN P-5500</t>
  </si>
  <si>
    <t>AMICIDE BX 9127</t>
  </si>
  <si>
    <t>AMICIDE BX 9160</t>
  </si>
  <si>
    <t>AMICIDE BX 9193</t>
  </si>
  <si>
    <t>AMICIDE BX 9226</t>
  </si>
  <si>
    <t>AMICIDE BX 9347</t>
  </si>
  <si>
    <t>AMICLEAN AP 1797</t>
  </si>
  <si>
    <t>AMICLEAN AP 1817</t>
  </si>
  <si>
    <t>AMICLEAN AP 2048</t>
  </si>
  <si>
    <t>AMICOAT TC 6101</t>
  </si>
  <si>
    <t>AMICOAT TC 6218</t>
  </si>
  <si>
    <t>AMICOAT TC 6407</t>
  </si>
  <si>
    <t>AMICOAT TM 6123</t>
  </si>
  <si>
    <t>AMICOAT TR 6112</t>
  </si>
  <si>
    <t>AMICOAT TR 6113</t>
  </si>
  <si>
    <t>AMICOAT TR 6159</t>
  </si>
  <si>
    <t>AMICOAT TR 6248</t>
  </si>
  <si>
    <t>AMIFLOC 737</t>
  </si>
  <si>
    <t>AMIPAC AP 8511</t>
  </si>
  <si>
    <t>AMISOFT 6538</t>
  </si>
  <si>
    <t>AMISPERSE AP 8826</t>
  </si>
  <si>
    <t>ANEDIR BLUE 2R LIQ</t>
  </si>
  <si>
    <t>CAUSTIC SODA CAIR 48%</t>
  </si>
  <si>
    <t>DEKATOGEN SDC-60</t>
  </si>
  <si>
    <t>FENNOPOL K 9952</t>
  </si>
  <si>
    <t>HIDROGEN PEROXIDE</t>
  </si>
  <si>
    <t>INDOSIZE CR 835</t>
  </si>
  <si>
    <t>KAPORIT 60%</t>
  </si>
  <si>
    <t>KAPORIT 65%</t>
  </si>
  <si>
    <t>NGR MULTIPAC 120</t>
  </si>
  <si>
    <t>PAC - 280SP</t>
  </si>
  <si>
    <t>PAPYRASE LIL</t>
  </si>
  <si>
    <t>PERGASOL VIOLET BN LIQ</t>
  </si>
  <si>
    <t>PEWARNA MAKANAN PINK</t>
  </si>
  <si>
    <t>SODIUM TIO SULPHATE</t>
  </si>
  <si>
    <t>SOLSA SPRAY 550</t>
  </si>
  <si>
    <t>SUCOLITE SP 210</t>
  </si>
  <si>
    <t>TCCA POWDER</t>
  </si>
  <si>
    <t>XYLENE</t>
  </si>
  <si>
    <t>PAPYRASE IL</t>
  </si>
  <si>
    <t>DI 370/DKF 250</t>
  </si>
  <si>
    <t>ELTEXIN</t>
  </si>
  <si>
    <t>ELTEBRIGHT BL 1000</t>
  </si>
  <si>
    <t>SOLMIX  L40</t>
  </si>
  <si>
    <t>CHEMBRIGHT C LIQUID</t>
  </si>
  <si>
    <t>K-Bright Liquid</t>
  </si>
  <si>
    <t>ANEDIR YELLOW BKL</t>
  </si>
  <si>
    <t>ANEDIR RED BKL</t>
  </si>
  <si>
    <t>ANEDIR BLACK L LIQ</t>
  </si>
  <si>
    <t>ANEDIR BROWN CC-04 LIQ</t>
  </si>
  <si>
    <t>DEKAWET NA30</t>
  </si>
  <si>
    <t>Burstrong Fixing Agent</t>
  </si>
  <si>
    <t>CHROMACLEAR</t>
  </si>
  <si>
    <t>Price</t>
  </si>
  <si>
    <t>CHEMICAL DAILY REPORT PM 12</t>
  </si>
  <si>
    <t>Running</t>
  </si>
  <si>
    <t>Down Time PLN</t>
  </si>
  <si>
    <t xml:space="preserve">Kapasitas Running (ton) </t>
  </si>
  <si>
    <t>Eff FG vs Target  Running(%)</t>
  </si>
  <si>
    <t>PM 12 Running Time</t>
  </si>
  <si>
    <t>EPOSTRONG</t>
  </si>
  <si>
    <t>TOTAL LBKP</t>
  </si>
  <si>
    <t>Steam, &amp; gangguan sinergy (X)</t>
  </si>
  <si>
    <t>Freq, Trip PLN (X)</t>
  </si>
  <si>
    <t>Cleaning Holes (X)</t>
  </si>
  <si>
    <t>Per hari</t>
  </si>
  <si>
    <t>Seset Warna blm ACC</t>
  </si>
  <si>
    <t>LBKP CAKRAWALA</t>
  </si>
  <si>
    <t>DFR 810S</t>
  </si>
  <si>
    <t>sliting</t>
  </si>
  <si>
    <t>NBKP Crofton/Catalyst</t>
  </si>
  <si>
    <t>0</t>
  </si>
  <si>
    <t>RC BR</t>
  </si>
  <si>
    <t>THEOZOL BROWN</t>
  </si>
  <si>
    <t>Oji Fibre (Brown)</t>
  </si>
  <si>
    <t>NBKP SODRA</t>
  </si>
  <si>
    <t>LBKP SUZANNO</t>
  </si>
  <si>
    <t>SS</t>
  </si>
  <si>
    <t>PHP PM</t>
  </si>
  <si>
    <t xml:space="preserve">PM12 Efficiency Running Report </t>
  </si>
  <si>
    <t>- Sheet Breaks (1x)</t>
  </si>
  <si>
    <t>- Change Blade (1x)</t>
  </si>
  <si>
    <t>- Change Blade (3x)</t>
  </si>
  <si>
    <t>- Sheet Breaks (0x)</t>
  </si>
  <si>
    <t>Marking</t>
  </si>
  <si>
    <t>Adjust Formasi</t>
  </si>
  <si>
    <t>NBKP ASPA</t>
  </si>
  <si>
    <t>TWS Brown</t>
  </si>
  <si>
    <t>TWS Recycle</t>
  </si>
  <si>
    <t>TWS + Core</t>
  </si>
  <si>
    <t>TWS White</t>
  </si>
  <si>
    <t xml:space="preserve">NCC Import </t>
  </si>
  <si>
    <t>NCC Lokal</t>
  </si>
  <si>
    <t>CVT Brown</t>
  </si>
  <si>
    <t>CVT Recycle/White</t>
  </si>
  <si>
    <t>RR PPIC</t>
  </si>
  <si>
    <t>BB Recycle</t>
  </si>
  <si>
    <t>Broke</t>
  </si>
  <si>
    <t>BTCMP</t>
  </si>
  <si>
    <t>Warna</t>
  </si>
  <si>
    <t>Andik P</t>
  </si>
  <si>
    <t>Gani Satoto</t>
  </si>
  <si>
    <t>Aris Sukoco</t>
  </si>
  <si>
    <t>Aditya Indra</t>
  </si>
  <si>
    <t>DESEMBER</t>
  </si>
  <si>
    <t>.12.25</t>
  </si>
  <si>
    <t>- Awal Shift PM Produksi TW 38 speed 380/-12%</t>
  </si>
  <si>
    <t>- 00.10 speed up 390 mpm</t>
  </si>
  <si>
    <t>- 04.40 speed up 400 mpm</t>
  </si>
  <si>
    <t>380/334</t>
  </si>
  <si>
    <t>391/344</t>
  </si>
  <si>
    <t>383/337</t>
  </si>
  <si>
    <t>- Change Blade (0x)</t>
  </si>
  <si>
    <t>TW 38</t>
  </si>
  <si>
    <t>SWL B MIX</t>
  </si>
  <si>
    <t>TW 38 RC BR</t>
  </si>
  <si>
    <t>165*2</t>
  </si>
  <si>
    <t>149+169</t>
  </si>
  <si>
    <t>- 12.55 change grade TW 36 speed 380/-12%</t>
  </si>
  <si>
    <t>- 15.35 pm stop .listrik Flicker &amp;  Lanjut  cleaning felt dengan soda , cleaning area pm</t>
  </si>
  <si>
    <t>- 17.20 pm on reel</t>
  </si>
  <si>
    <t xml:space="preserve">- Awal Shift PM Produksi N20 speed 700/-14% </t>
  </si>
  <si>
    <t>- Loss speed krn felt sudah mampet</t>
  </si>
  <si>
    <t>- 13.45 change grade N20 speed 700/-14%</t>
  </si>
  <si>
    <t>430/376</t>
  </si>
  <si>
    <t>700/602</t>
  </si>
  <si>
    <t>602/520</t>
  </si>
  <si>
    <t>Napkin</t>
  </si>
  <si>
    <t>- Change Blade (5x)</t>
  </si>
  <si>
    <t>- 15.35 pm stop listrik Flicker</t>
  </si>
  <si>
    <t>PM stop listrik Flicker</t>
  </si>
  <si>
    <t>38/36/20</t>
  </si>
  <si>
    <t>Towel/Napkin</t>
  </si>
  <si>
    <t>Potongan Lari</t>
  </si>
  <si>
    <t>TW 36 RC BR</t>
  </si>
  <si>
    <t>N 20 RC BR</t>
  </si>
  <si>
    <t>TW 36</t>
  </si>
  <si>
    <t>N 20</t>
  </si>
  <si>
    <t>132*2+66</t>
  </si>
  <si>
    <t>- 02.35 pm persiapan stop buburan dip minim</t>
  </si>
  <si>
    <t>- 02.40 pm stop buburan dip habis</t>
  </si>
  <si>
    <t>- cleaning area PM 
- potong felt
- cleaning hood blowing zone
- boilout headbox
- drain silo &amp; couch pit</t>
  </si>
  <si>
    <t>- Change Blade (2x)</t>
  </si>
  <si>
    <t>Core muncul</t>
  </si>
  <si>
    <t>Consistency tdk stabil</t>
  </si>
  <si>
    <t>- 02:35 PM stop boilout</t>
  </si>
  <si>
    <t>PM stop boilout</t>
  </si>
  <si>
    <t>20</t>
  </si>
  <si>
    <t>- Awal Shift 1 (pm stop ganti grade)
- drain &amp; cleaning all chest (selesai)
- cleaning area felt 
- cleaning area wire</t>
  </si>
  <si>
    <t>- drain &amp; cleaning ww &amp; cw
- drain &amp; cleaning utm
- cleaing atas hood</t>
  </si>
  <si>
    <t>- cleaning pulper (selesai)
- drain &amp; cleaning krofta (selesai)
- sampai akhir shift pm masih stop</t>
  </si>
  <si>
    <t xml:space="preserve">- Lanjut cleaning UTM, dropleg, reject tank. </t>
  </si>
  <si>
    <t xml:space="preserve">- Boil out sirkulasi dari pulper, flushing berulang. </t>
  </si>
  <si>
    <t>- pasang felt, blm selesai tinggal SPR dilanjutkan shift 3</t>
  </si>
  <si>
    <t>- Pm stop, CUCI</t>
  </si>
  <si>
    <t>Pm stop, CUCI
- Lanjut pasang felt
- Ganti filter Fw &amp; Bv
- Tutup blowing zone hood
- Flushing ulang</t>
  </si>
  <si>
    <t>- Cleaning ulang frame felt wire
- 03.45 mulai blank run</t>
  </si>
  <si>
    <t>- 04.10 stop cek housing bearing SPR sebelah DS 🔜 mekanik pasang sim
- Bantu mekanik pasang sim SPR</t>
  </si>
  <si>
    <t>- 05.50 coba jalan lagi</t>
  </si>
  <si>
    <t>- 06.35 drive wire trip 🔜 cek EID</t>
  </si>
  <si>
    <t>- PM stop boilout</t>
  </si>
  <si>
    <t>STOP</t>
  </si>
  <si>
    <t>- 10.40 : pm persiapan jalan, setting lip headbox &amp; setting formasi.</t>
  </si>
  <si>
    <t>- speed 700- 800 (speed naik bertahap felt baru)</t>
  </si>
  <si>
    <t>- 15.37 Tambor turun, formasi +- 40 cm dari OS terawang dan hole
- 15.40 setting headbox
- 16.00 Tambor turun kecil, formasi sudah ok</t>
  </si>
  <si>
    <t>- 00.16 speed up 830 MPM/-14%</t>
  </si>
  <si>
    <t>- 11.45 pm onreell produksi TW 17 RC HW speed 700/-14%</t>
  </si>
  <si>
    <t>- Awal shift PM Prod TW17 speed 800 /14 %</t>
  </si>
  <si>
    <t>- Awal shift PM Prod TW17 speed 820 /14 %</t>
  </si>
  <si>
    <t>800/688</t>
  </si>
  <si>
    <t>828/712</t>
  </si>
  <si>
    <t>794/683</t>
  </si>
  <si>
    <t xml:space="preserve">- 04.10 stop cek housing bearing SPR sebelah DS 🔜 mekanik </t>
  </si>
  <si>
    <t>- awal shift pm stop :
- drive wire trip cek EID
- cleaning area bawah krofta dan belakang HB
- bantu pasang pisau DDR</t>
  </si>
  <si>
    <t>Andik Prasetyo</t>
  </si>
  <si>
    <t>TW 17 RC HW</t>
  </si>
  <si>
    <t>RC HW</t>
  </si>
  <si>
    <t>- Change Blade (4x)</t>
  </si>
  <si>
    <t>- Drive wire trip cek EID</t>
  </si>
  <si>
    <t xml:space="preserve">PM Stop cek housing bearing SPR sebelah DS, cek mekanik </t>
  </si>
  <si>
    <t>Drive wire trip, cek EID</t>
  </si>
  <si>
    <t>17</t>
  </si>
  <si>
    <t>SWL</t>
  </si>
  <si>
    <t>Protolan Pulp</t>
  </si>
  <si>
    <t>TW 17</t>
  </si>
  <si>
    <t>159*2</t>
  </si>
  <si>
    <t>- 16.35 cek formasi sudah ok</t>
  </si>
  <si>
    <t>- 16.10 bagian center formasi nerawang dan ada hole, adjust lips headbox</t>
  </si>
  <si>
    <t>- 16.20 cek formasi masih kurang bagus, adjust headbox</t>
  </si>
  <si>
    <t>- Awal shift PM Prod N 15,5 speed 830/-14%</t>
  </si>
  <si>
    <t>N 15,5 RC HW</t>
  </si>
  <si>
    <t>- 08:50 Med perbaikan oil modif blindril.</t>
  </si>
  <si>
    <t>- 11:06 on reel N15,5 speed 830/-14%</t>
  </si>
  <si>
    <t>- Awal shift PM Prod TW17 speed 820/-14%</t>
  </si>
  <si>
    <t>- 08:30 change grade N 15,5 speed 830/-14%
- 08:50 Med perbaikan oil modif blindril.</t>
  </si>
  <si>
    <t>827/711</t>
  </si>
  <si>
    <t>830/713</t>
  </si>
  <si>
    <t>829/713</t>
  </si>
  <si>
    <t>Med perbaikan oil modif blindril.</t>
  </si>
  <si>
    <t>- 10:00 kertas hole, cuci felt menggunakan xylene dan solar</t>
  </si>
  <si>
    <t>Kertas hole, cuci felt menggunakan xylene dan solar</t>
  </si>
  <si>
    <t>17/15,5</t>
  </si>
  <si>
    <t>15,5</t>
  </si>
  <si>
    <t>SODIUM HYPOCHLORID</t>
  </si>
  <si>
    <t>INDOFLOC</t>
  </si>
  <si>
    <t>CHEMZYME</t>
  </si>
  <si>
    <t>N 15,5</t>
  </si>
  <si>
    <t>46*7</t>
  </si>
  <si>
    <t>78*2+86*2</t>
  </si>
  <si>
    <t>72*4+36</t>
  </si>
  <si>
    <t>- 17.05 on reel</t>
  </si>
  <si>
    <t>- 15.55 PM stop, kertas hole bagian DS, cleaning felt</t>
  </si>
  <si>
    <t>86*3+72*1</t>
  </si>
  <si>
    <t>- 13.25 change grade N 17 speed 830/-14%</t>
  </si>
  <si>
    <t>- 16.20 change grade N15.5 speed 830/-14%</t>
  </si>
  <si>
    <t>- 19.50 change grade N16.5 speed 830/-14%</t>
  </si>
  <si>
    <t>- Awal shift PM Prod N 17 speed 830/-14%</t>
  </si>
  <si>
    <t>- 03.25 change grade N20 speed 830/-14%</t>
  </si>
  <si>
    <t>- Awal shift PM Prod N 16,5 speed 830/-14%</t>
  </si>
  <si>
    <t>- Change Grade</t>
  </si>
  <si>
    <t>15,5/17/16,5/20</t>
  </si>
  <si>
    <t>N 17 RC HW</t>
  </si>
  <si>
    <t>N 16,5</t>
  </si>
  <si>
    <t>N 16,5 RC HW</t>
  </si>
  <si>
    <t>N 20 RC HW</t>
  </si>
  <si>
    <t>N 17</t>
  </si>
  <si>
    <t>164+165</t>
  </si>
  <si>
    <t>154*2+22</t>
  </si>
  <si>
    <t>114*2+38,5+63,5</t>
  </si>
  <si>
    <t>- Awal shift PM Prod N20 speed 830/-14%</t>
  </si>
  <si>
    <t>- 03.55 : pm onreel</t>
  </si>
  <si>
    <t>- 02.35 : pm 12 stop, kertas hole,  cuci felt dengan solar &amp; xylene</t>
  </si>
  <si>
    <t>Aris Sukooco</t>
  </si>
  <si>
    <t>- 02.35 pm 12 stop, kertas hole,  cuci felt dengan solar &amp; xylene</t>
  </si>
  <si>
    <t>- Awal shift PM Prod N20 speed 830/14%</t>
  </si>
  <si>
    <t>- Awal shift PM Prod N20 speed 830/14 %</t>
  </si>
  <si>
    <t>* Awal shitt pm stop, DIP perbaikan plug screw
* cleaning area pm
* Cleaning filter coating &amp; release
* 18.13 pm persiapan jalan
* 18.45 pm on reel</t>
  </si>
  <si>
    <t>- Awal shift PM Prod N 20  830 /14 %</t>
  </si>
  <si>
    <t>* 12.35 pm stop .dip troble
Lanjut 
* cleaning  area pm 
* Drain  silo &amp; couch pit &amp; cleaning 
* Cleaning felt dgn xylene</t>
  </si>
  <si>
    <t>* Pm stop . dip2 troble, proses mempersiapkan dip 1 jalan ( 145 menit )</t>
  </si>
  <si>
    <t>N20</t>
  </si>
  <si>
    <t>830/713,8</t>
  </si>
  <si>
    <t>- 12.35 pm stop .dip trouble</t>
  </si>
  <si>
    <t>CVT Broke</t>
  </si>
  <si>
    <t>Gani S</t>
  </si>
  <si>
    <t>- 17.30 change grade N20 HS</t>
  </si>
  <si>
    <t>PM stop, dip trouble</t>
  </si>
  <si>
    <t>29+96*3</t>
  </si>
  <si>
    <t>- 08.30 load unload thickling error sampai tikling trip sementara kWh di manual dulu sambil perbaikan, EID</t>
  </si>
  <si>
    <t>DT</t>
  </si>
  <si>
    <t>- Awal shift PM Prod N20 speed 830/-10%</t>
  </si>
  <si>
    <t>- 17.00 - 17.30 pm tidak lancar kertas putus2 dari DS, ganti nozzle trim wire</t>
  </si>
  <si>
    <t>830/747</t>
  </si>
  <si>
    <t>LT</t>
  </si>
  <si>
    <t>PM tidak lancar kertas putus2 dari DS, ganti nozzle trim wire</t>
  </si>
  <si>
    <t>Load unload thickling error sampai tikling trip sementara kWh di manual dulu sambil perbaikan, EID</t>
  </si>
  <si>
    <t>96*2+21*6</t>
  </si>
  <si>
    <t>60+48+30+96*2</t>
  </si>
  <si>
    <t>21*6+96*2</t>
  </si>
  <si>
    <t>48+30*7+60</t>
  </si>
  <si>
    <t>30+48+60+96*2</t>
  </si>
  <si>
    <t>- 18.00 change N18 speed 830/-14%</t>
  </si>
  <si>
    <t>- Awal shift PM Prod  N18 speed 830/-14%</t>
  </si>
  <si>
    <t>830/726</t>
  </si>
  <si>
    <t>N 18 RC HW</t>
  </si>
  <si>
    <t>20/18</t>
  </si>
  <si>
    <t>N 18</t>
  </si>
  <si>
    <t>40*8</t>
  </si>
  <si>
    <t>- Awal shift PM Prod TW 17 speed 830/-14%</t>
  </si>
  <si>
    <t>- 15.40 change grade TW 17 speed 830/-14%</t>
  </si>
  <si>
    <t>Napkin/Towel</t>
  </si>
  <si>
    <t>18/17</t>
  </si>
  <si>
    <t>- 08.30 Change grade N 15.5 speed 830/-14%</t>
  </si>
  <si>
    <t>- 08.35 - 09.40  PM Stop (Hole) cleaning felt menggunakn xyline + solar</t>
  </si>
  <si>
    <t>- 03.01 change grade TW 17.5 speed 830/-14%</t>
  </si>
  <si>
    <t>- 15.30 : change grade TW 17 speed 830/-14%</t>
  </si>
  <si>
    <t>17/15,5/17,5</t>
  </si>
  <si>
    <t>TW 17,5 RC HW</t>
  </si>
  <si>
    <t>TW 17,5</t>
  </si>
  <si>
    <t>161,5*2</t>
  </si>
  <si>
    <t>- Awal shift PM Prod TW 17.5 speed 830/-14%</t>
  </si>
  <si>
    <t>- 13.00 speed up 810 mpm</t>
  </si>
  <si>
    <t>- 07.15 change grade TW 22 speed 800 mpm</t>
  </si>
  <si>
    <t>- Awal shift PM Prod TW 22 speed 810/-14%</t>
  </si>
  <si>
    <t>803/690</t>
  </si>
  <si>
    <t>810/696</t>
  </si>
  <si>
    <t>807/694</t>
  </si>
  <si>
    <t>TW 22 RC HW</t>
  </si>
  <si>
    <t>17,5/22</t>
  </si>
  <si>
    <t>- 18.20 change grade TW 31.5 speed 550/12%</t>
  </si>
  <si>
    <t>- Awal shift PM Prod TW 31.5 speed 550/12%</t>
  </si>
  <si>
    <t>658/572</t>
  </si>
  <si>
    <t>550/484</t>
  </si>
  <si>
    <t>672/584</t>
  </si>
  <si>
    <t>TW 31,5 RC HW</t>
  </si>
  <si>
    <t>22/31,5</t>
  </si>
  <si>
    <t>31,5</t>
  </si>
  <si>
    <t>TW 22</t>
  </si>
  <si>
    <t>TW 31,5</t>
  </si>
  <si>
    <t>120,5+97*2</t>
  </si>
  <si>
    <t>- Awal shift PM Prod TW 31.5 speed 550/-12%</t>
  </si>
  <si>
    <t>- 10.30 change grade Tw32 speed 550/-12%</t>
  </si>
  <si>
    <t>- 13.40 change grade Tw33.5 speed 550/-12%</t>
  </si>
  <si>
    <t>- Awal shift PM Prod TW 33.5 speed 550/-12%</t>
  </si>
  <si>
    <t>- 17.00 change grade TW 34 gsm speed 550/-12%</t>
  </si>
  <si>
    <t>- Awal shift PM Prod TW 34 speed 550/-12%</t>
  </si>
  <si>
    <t>31,5/32/33,5/34</t>
  </si>
  <si>
    <t>TW 34 RC HW</t>
  </si>
  <si>
    <t>TW 33,5</t>
  </si>
  <si>
    <t>TW 32 RC HW</t>
  </si>
  <si>
    <t>TW 33,5 RC HW</t>
  </si>
  <si>
    <t>TW 32</t>
  </si>
  <si>
    <t>117*2+94</t>
  </si>
  <si>
    <t>TW 34</t>
  </si>
  <si>
    <t>169,5+149</t>
  </si>
  <si>
    <t>244+44+42</t>
  </si>
  <si>
    <t>- Awal shift PM Prod Tw34 speed 550/12%</t>
  </si>
  <si>
    <t>- Awal shift PM Prod TW 34 speed 550/12%</t>
  </si>
  <si>
    <t>34</t>
  </si>
  <si>
    <t>Aditya ISA</t>
  </si>
  <si>
    <t>44*4+66+88</t>
  </si>
  <si>
    <t>88*3+66</t>
  </si>
  <si>
    <t>- Awal shift PM Prod TW 35.5 speed 530/12%
TW 36 speed 530/12%</t>
  </si>
  <si>
    <t>- 02.30 change grade TW36</t>
  </si>
  <si>
    <t>- Awal shift PM Prod TW 35.5 speed 530/12 %</t>
  </si>
  <si>
    <t>- Awal shift PM Prod Tw 35.5 speed 530/12%</t>
  </si>
  <si>
    <t>- Awal shift rewind jalan TW 35.5 pot. 157x2
- 14.45 cleaning area</t>
  </si>
  <si>
    <t>- Awal shift PM Prod TW 35.5 speed 530/12%</t>
  </si>
  <si>
    <t>- Awal shift PM Prod TW 34 speed 550/12 %
TW 35.5 speed 530/12 %</t>
  </si>
  <si>
    <t>17.00 change grade TW 35.5</t>
  </si>
  <si>
    <t>TW 35,5</t>
  </si>
  <si>
    <t>530/466,4</t>
  </si>
  <si>
    <t>535/470,8</t>
  </si>
  <si>
    <t>538,33/473,73</t>
  </si>
  <si>
    <t>34/35,5</t>
  </si>
  <si>
    <t>35,5/36</t>
  </si>
  <si>
    <t>66*5</t>
  </si>
  <si>
    <t>157*2</t>
  </si>
  <si>
    <t>Aris S</t>
  </si>
  <si>
    <t>TW 35,5 RC HW</t>
  </si>
  <si>
    <t>TW 36 RC HW</t>
  </si>
  <si>
    <t>- Awal shift PM Prod TW 36 speed 530/-12%</t>
  </si>
  <si>
    <t>- 20.40 Change grade ke TW 38 speed 530/-12%</t>
  </si>
  <si>
    <t>- Awal shift PM Prod TW 38 speed 530/-12%</t>
  </si>
  <si>
    <t>530/466</t>
  </si>
  <si>
    <t>36/38</t>
  </si>
  <si>
    <t>TW 38 RC HW</t>
  </si>
  <si>
    <t>- 08.45 pm turun speed 480 mpm</t>
  </si>
  <si>
    <t>- Awal shift PM Prod TW 38 speed 480/-12%</t>
  </si>
  <si>
    <t>490/432</t>
  </si>
  <si>
    <t>480/422</t>
  </si>
  <si>
    <t>38</t>
  </si>
  <si>
    <t>- 08.40 PM stop, MED ganti gearbox wire &amp; cleaning felt</t>
  </si>
  <si>
    <t>- 10.45 on reel</t>
  </si>
  <si>
    <t>770/664</t>
  </si>
  <si>
    <t>- Awal shift PM Prod N 16 LB speed 830/-14%</t>
  </si>
  <si>
    <t>- 08.00 change grade N16 LB speed 830/-14%</t>
  </si>
  <si>
    <t>483/425</t>
  </si>
  <si>
    <t>814/700</t>
  </si>
  <si>
    <t>- 08.00 change grade N16 LB speed 830/-14%
- Reject warna 2,2 Ton</t>
  </si>
  <si>
    <t>yankee</t>
  </si>
  <si>
    <t>reel</t>
  </si>
  <si>
    <t>creeping</t>
  </si>
  <si>
    <t>time</t>
  </si>
  <si>
    <t>trim</t>
  </si>
  <si>
    <t>Teori</t>
  </si>
  <si>
    <t>Accept</t>
  </si>
  <si>
    <t>Eff</t>
  </si>
  <si>
    <t>- Change Blade (6x)</t>
  </si>
  <si>
    <t>- Reject warna 2,2 Ton</t>
  </si>
  <si>
    <t>Change grade</t>
  </si>
  <si>
    <t>Reject warna 2,2 Ton</t>
  </si>
  <si>
    <t>PM stop, MED ganti gearbox wire</t>
  </si>
  <si>
    <t>- PM Stop cleaning felt</t>
  </si>
  <si>
    <t>PM Stop cleaning felt</t>
  </si>
  <si>
    <t>- 08.40 PM stop, MED ganti gearbox wire</t>
  </si>
  <si>
    <t>RR PPIC Brown</t>
  </si>
  <si>
    <t>RC HW/RC BR</t>
  </si>
  <si>
    <t>N 16 RC BR</t>
  </si>
  <si>
    <t>N 16</t>
  </si>
  <si>
    <t>30*2+90*3</t>
  </si>
  <si>
    <t>- Awal shift PM Prod N16 &amp; N16.5 speed 830 /14 %</t>
  </si>
  <si>
    <t>19.00 change grade N16.5</t>
  </si>
  <si>
    <t>- Awal shift PM Prod N16 speed 830/14 %</t>
  </si>
  <si>
    <t>- Awal shift PM Prod N16.5 speed 830/14 %</t>
  </si>
  <si>
    <t>475+425+394</t>
  </si>
  <si>
    <t>- Sheet Breaks (2x)</t>
  </si>
  <si>
    <t>16/16,5</t>
  </si>
  <si>
    <t>38/16</t>
  </si>
  <si>
    <t>- Sheet Breaks (3x)</t>
  </si>
  <si>
    <t>30*11</t>
  </si>
  <si>
    <t>162+135+23</t>
  </si>
  <si>
    <t>162*2</t>
  </si>
  <si>
    <t>162+23*7</t>
  </si>
  <si>
    <t>N 16,5 RC BR</t>
  </si>
  <si>
    <t>- Awal shift PM Prod N 16.5 LB speed 830/-14%</t>
  </si>
  <si>
    <t>- 12.48 change grade N 17 speed 830/-14%</t>
  </si>
  <si>
    <t>- Awal shift PM Prod N 17 LB speed 830/-14%</t>
  </si>
  <si>
    <t>- 02.40 change grade N19 speed 830/-14%</t>
  </si>
  <si>
    <t>16.5/17/19</t>
  </si>
  <si>
    <t>N 17 RC BR</t>
  </si>
  <si>
    <t>N 19 RC BR</t>
  </si>
  <si>
    <t>N 16.5 RC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</si>
</sst>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0.0%"/>
    <numFmt numFmtId="167" formatCode="_(* #,##0_);_(* \(#,##0\);_(* &quot;-&quot;??_);_(@_)"/>
    <numFmt numFmtId="168" formatCode="#,##0.0"/>
    <numFmt numFmtId="169" formatCode="[$-409]d\-mmm;@"/>
    <numFmt numFmtId="170" formatCode="0.0000"/>
    <numFmt numFmtId="171" formatCode="#,##0.000"/>
    <numFmt numFmtId="172" formatCode="_(* #,##0.0_);_(* \(#,##0.0\);_(* &quot;-&quot;??_);_(@_)"/>
    <numFmt numFmtId="173" formatCode="[$-409]d\-mmm\-yy;@"/>
    <numFmt numFmtId="174" formatCode="_(* #,##0.000_);_(* \(#,##0.000\);_(* &quot;-&quot;??_);_(@_)"/>
    <numFmt numFmtId="175" formatCode="#,##0.000_);\(#,##0.000\)"/>
    <numFmt numFmtId="176" formatCode="0.0"/>
    <numFmt numFmtId="177" formatCode="0.000"/>
    <numFmt numFmtId="178" formatCode="0_);[Red]\(0\)"/>
    <numFmt numFmtId="179" formatCode="_(* #,##0.00_);_(* \(#,##0.00\);_(* &quot;-&quot;_);_(@_)"/>
    <numFmt numFmtId="180" formatCode="[$-409]mmm\-yy;@"/>
    <numFmt numFmtId="181" formatCode="_(* #,##0.000_);_(* \(#,##0.000\);_(* &quot;-&quot;_);_(@_)"/>
    <numFmt numFmtId="182" formatCode="_(* #,##0.0_);_(* \(#,##0.0\);_(* &quot;-&quot;_);_(@_)"/>
    <numFmt numFmtId="183" formatCode="_-* #,##0.000_-;\-* #,##0.000_-;_-* &quot;-&quot;???_-;_-@_-"/>
  </numFmts>
  <fonts count="6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60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8"/>
      <color indexed="56"/>
      <name val="Cambria"/>
      <family val="1"/>
    </font>
    <font>
      <sz val="11"/>
      <color indexed="10"/>
      <name val="Calibri"/>
      <family val="2"/>
    </font>
    <font>
      <sz val="11"/>
      <color indexed="52"/>
      <name val="Calibri"/>
      <family val="2"/>
    </font>
    <font>
      <sz val="11"/>
      <color indexed="20"/>
      <name val="Calibri"/>
      <family val="2"/>
    </font>
    <font>
      <sz val="11"/>
      <color indexed="9"/>
      <name val="Calibri"/>
      <family val="2"/>
    </font>
    <font>
      <i/>
      <sz val="11"/>
      <color indexed="23"/>
      <name val="Calibri"/>
      <family val="2"/>
    </font>
    <font>
      <b/>
      <sz val="11"/>
      <color indexed="52"/>
      <name val="Calibri"/>
      <family val="2"/>
    </font>
    <font>
      <b/>
      <sz val="11"/>
      <color indexed="6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9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b/>
      <sz val="12"/>
      <name val="Copperplate Gothic Bold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b/>
      <u/>
      <sz val="16"/>
      <color indexed="8"/>
      <name val="Arial"/>
      <family val="2"/>
    </font>
    <font>
      <b/>
      <sz val="16"/>
      <color indexed="8"/>
      <name val="Arial"/>
      <family val="2"/>
    </font>
    <font>
      <sz val="16"/>
      <color indexed="8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Lucida Console"/>
      <family val="3"/>
    </font>
    <font>
      <sz val="8"/>
      <name val="Arial"/>
      <family val="2"/>
    </font>
    <font>
      <sz val="8"/>
      <name val="Bodoni"/>
    </font>
    <font>
      <b/>
      <sz val="8"/>
      <name val="Arial"/>
      <family val="2"/>
    </font>
    <font>
      <sz val="10"/>
      <name val="Times New Roman"/>
      <family val="1"/>
    </font>
    <font>
      <b/>
      <sz val="16"/>
      <name val="Lucida Console"/>
      <family val="3"/>
    </font>
    <font>
      <b/>
      <sz val="9"/>
      <name val="Arial"/>
      <family val="2"/>
    </font>
    <font>
      <b/>
      <sz val="8"/>
      <name val="Bodoni"/>
    </font>
    <font>
      <b/>
      <sz val="10"/>
      <name val="Bodoni"/>
    </font>
    <font>
      <sz val="9"/>
      <name val="Arial"/>
      <family val="2"/>
    </font>
    <font>
      <b/>
      <sz val="11"/>
      <name val="Arial"/>
      <family val="2"/>
    </font>
    <font>
      <b/>
      <sz val="12"/>
      <color indexed="8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u val="singleAccounting"/>
      <sz val="9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u/>
      <sz val="9"/>
      <color indexed="8"/>
      <name val="Arial"/>
      <family val="2"/>
    </font>
    <font>
      <b/>
      <sz val="12"/>
      <name val="Copperplate Gothic Bold"/>
      <family val="2"/>
    </font>
    <font>
      <sz val="10"/>
      <color indexed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u val="singleAccounting"/>
      <sz val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8"/>
      <color rgb="FFFF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name val="Calibri"/>
      <family val="2"/>
      <scheme val="minor"/>
    </font>
    <font>
      <sz val="11"/>
      <color rgb="FF000000"/>
      <name val="Calibri"/>
      <family val="1"/>
    </font>
  </fonts>
  <fills count="40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66FFFF"/>
        <bgColor indexed="64"/>
      </patternFill>
    </fill>
  </fills>
  <borders count="8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12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9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9" borderId="0" applyNumberFormat="0" applyBorder="0" applyAlignment="0" applyProtection="0"/>
    <xf numFmtId="0" fontId="9" fillId="3" borderId="0" applyNumberFormat="0" applyBorder="0" applyAlignment="0" applyProtection="0"/>
    <xf numFmtId="0" fontId="12" fillId="20" borderId="1" applyNumberFormat="0" applyAlignment="0" applyProtection="0"/>
    <xf numFmtId="0" fontId="17" fillId="21" borderId="2" applyNumberFormat="0" applyAlignment="0" applyProtection="0"/>
    <xf numFmtId="165" fontId="45" fillId="0" borderId="0" applyFont="0" applyFill="0" applyBorder="0" applyAlignment="0" applyProtection="0"/>
    <xf numFmtId="164" fontId="45" fillId="0" borderId="0" applyFont="0" applyFill="0" applyBorder="0" applyAlignment="0" applyProtection="0"/>
    <xf numFmtId="165" fontId="5" fillId="0" borderId="0" applyFont="0" applyFill="0" applyBorder="0" applyAlignment="0" applyProtection="0">
      <alignment vertical="center"/>
    </xf>
    <xf numFmtId="165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/>
    <xf numFmtId="0" fontId="14" fillId="4" borderId="0" applyNumberFormat="0" applyBorder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7" borderId="1" applyNumberFormat="0" applyAlignment="0" applyProtection="0"/>
    <xf numFmtId="0" fontId="8" fillId="0" borderId="6" applyNumberFormat="0" applyFill="0" applyAlignment="0" applyProtection="0"/>
    <xf numFmtId="0" fontId="3" fillId="22" borderId="0" applyNumberFormat="0" applyBorder="0" applyAlignment="0" applyProtection="0"/>
    <xf numFmtId="0" fontId="48" fillId="0" borderId="0"/>
    <xf numFmtId="0" fontId="48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23" borderId="7" applyNumberFormat="0" applyFont="0" applyAlignment="0" applyProtection="0"/>
    <xf numFmtId="0" fontId="13" fillId="20" borderId="8" applyNumberFormat="0" applyAlignment="0" applyProtection="0"/>
    <xf numFmtId="9" fontId="45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  <xf numFmtId="0" fontId="4" fillId="0" borderId="9" applyNumberFormat="0" applyFill="0" applyAlignment="0" applyProtection="0"/>
    <xf numFmtId="0" fontId="7" fillId="0" borderId="0" applyNumberFormat="0" applyFill="0" applyBorder="0" applyAlignment="0" applyProtection="0"/>
    <xf numFmtId="0" fontId="45" fillId="0" borderId="0"/>
    <xf numFmtId="164" fontId="45" fillId="0" borderId="0" applyFont="0" applyFill="0" applyBorder="0" applyAlignment="0" applyProtection="0"/>
    <xf numFmtId="0" fontId="1" fillId="0" borderId="0"/>
    <xf numFmtId="43" fontId="65" fillId="0" borderId="0"/>
  </cellStyleXfs>
  <cellXfs count="810">
    <xf numFmtId="0" fontId="0" fillId="0" borderId="0" xfId="0"/>
    <xf numFmtId="0" fontId="0" fillId="0" borderId="0" xfId="0" applyAlignment="1">
      <alignment horizontal="center"/>
    </xf>
    <xf numFmtId="0" fontId="28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2" fontId="0" fillId="0" borderId="0" xfId="0" applyNumberFormat="1"/>
    <xf numFmtId="4" fontId="0" fillId="0" borderId="0" xfId="0" applyNumberFormat="1"/>
    <xf numFmtId="0" fontId="0" fillId="0" borderId="11" xfId="0" applyBorder="1"/>
    <xf numFmtId="2" fontId="0" fillId="0" borderId="11" xfId="0" applyNumberFormat="1" applyBorder="1"/>
    <xf numFmtId="10" fontId="0" fillId="0" borderId="11" xfId="0" applyNumberFormat="1" applyBorder="1"/>
    <xf numFmtId="165" fontId="0" fillId="0" borderId="11" xfId="0" applyNumberFormat="1" applyBorder="1"/>
    <xf numFmtId="0" fontId="28" fillId="0" borderId="16" xfId="0" applyFont="1" applyBorder="1" applyAlignment="1">
      <alignment horizontal="center" vertical="center" wrapText="1"/>
    </xf>
    <xf numFmtId="165" fontId="0" fillId="0" borderId="11" xfId="28" applyFont="1" applyBorder="1"/>
    <xf numFmtId="0" fontId="28" fillId="0" borderId="18" xfId="0" applyFont="1" applyBorder="1"/>
    <xf numFmtId="165" fontId="28" fillId="0" borderId="18" xfId="28" applyFont="1" applyBorder="1"/>
    <xf numFmtId="4" fontId="0" fillId="0" borderId="11" xfId="0" applyNumberFormat="1" applyBorder="1"/>
    <xf numFmtId="165" fontId="0" fillId="0" borderId="0" xfId="0" applyNumberFormat="1"/>
    <xf numFmtId="171" fontId="0" fillId="0" borderId="11" xfId="0" applyNumberFormat="1" applyBorder="1"/>
    <xf numFmtId="2" fontId="0" fillId="0" borderId="11" xfId="28" applyNumberFormat="1" applyFont="1" applyBorder="1"/>
    <xf numFmtId="16" fontId="0" fillId="0" borderId="11" xfId="0" applyNumberFormat="1" applyBorder="1"/>
    <xf numFmtId="2" fontId="28" fillId="0" borderId="11" xfId="0" applyNumberFormat="1" applyFont="1" applyBorder="1"/>
    <xf numFmtId="165" fontId="28" fillId="0" borderId="0" xfId="0" applyNumberFormat="1" applyFont="1"/>
    <xf numFmtId="165" fontId="28" fillId="0" borderId="18" xfId="28" applyFont="1" applyFill="1" applyBorder="1"/>
    <xf numFmtId="165" fontId="28" fillId="0" borderId="11" xfId="0" applyNumberFormat="1" applyFont="1" applyBorder="1"/>
    <xf numFmtId="0" fontId="28" fillId="0" borderId="0" xfId="0" applyFont="1"/>
    <xf numFmtId="0" fontId="27" fillId="24" borderId="11" xfId="0" quotePrefix="1" applyFont="1" applyFill="1" applyBorder="1"/>
    <xf numFmtId="0" fontId="41" fillId="0" borderId="0" xfId="0" applyFont="1"/>
    <xf numFmtId="0" fontId="42" fillId="0" borderId="0" xfId="0" applyFont="1" applyAlignment="1">
      <alignment horizontal="center" vertical="center" wrapText="1"/>
    </xf>
    <xf numFmtId="164" fontId="42" fillId="0" borderId="0" xfId="29" applyFont="1" applyFill="1" applyBorder="1" applyAlignment="1">
      <alignment horizontal="center" vertical="center" wrapText="1"/>
    </xf>
    <xf numFmtId="178" fontId="42" fillId="0" borderId="0" xfId="0" applyNumberFormat="1" applyFont="1" applyAlignment="1">
      <alignment horizontal="center" vertical="center" wrapText="1"/>
    </xf>
    <xf numFmtId="179" fontId="42" fillId="0" borderId="0" xfId="29" applyNumberFormat="1" applyFont="1" applyFill="1" applyBorder="1" applyAlignment="1">
      <alignment horizontal="center" vertical="center" wrapText="1"/>
    </xf>
    <xf numFmtId="166" fontId="42" fillId="0" borderId="0" xfId="50" applyNumberFormat="1" applyFont="1" applyFill="1" applyBorder="1" applyAlignment="1">
      <alignment horizontal="center" vertical="center" wrapText="1"/>
    </xf>
    <xf numFmtId="0" fontId="43" fillId="0" borderId="0" xfId="0" applyFont="1"/>
    <xf numFmtId="179" fontId="42" fillId="0" borderId="11" xfId="29" applyNumberFormat="1" applyFont="1" applyFill="1" applyBorder="1" applyAlignment="1">
      <alignment horizontal="center"/>
    </xf>
    <xf numFmtId="0" fontId="42" fillId="0" borderId="0" xfId="0" applyFont="1"/>
    <xf numFmtId="0" fontId="43" fillId="25" borderId="14" xfId="0" applyFont="1" applyFill="1" applyBorder="1" applyAlignment="1">
      <alignment horizontal="center" vertical="center" wrapText="1"/>
    </xf>
    <xf numFmtId="178" fontId="43" fillId="0" borderId="14" xfId="0" applyNumberFormat="1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 wrapText="1"/>
    </xf>
    <xf numFmtId="0" fontId="42" fillId="0" borderId="11" xfId="0" applyFont="1" applyBorder="1"/>
    <xf numFmtId="164" fontId="42" fillId="0" borderId="11" xfId="29" applyFont="1" applyFill="1" applyBorder="1" applyAlignment="1">
      <alignment vertical="center"/>
    </xf>
    <xf numFmtId="178" fontId="42" fillId="0" borderId="11" xfId="0" applyNumberFormat="1" applyFont="1" applyBorder="1"/>
    <xf numFmtId="164" fontId="42" fillId="0" borderId="11" xfId="29" applyFont="1" applyFill="1" applyBorder="1" applyAlignment="1">
      <alignment horizontal="center"/>
    </xf>
    <xf numFmtId="179" fontId="42" fillId="0" borderId="11" xfId="29" applyNumberFormat="1" applyFont="1" applyFill="1" applyBorder="1" applyAlignment="1">
      <alignment vertical="center"/>
    </xf>
    <xf numFmtId="166" fontId="42" fillId="0" borderId="11" xfId="50" applyNumberFormat="1" applyFont="1" applyFill="1" applyBorder="1" applyAlignment="1">
      <alignment vertical="center"/>
    </xf>
    <xf numFmtId="0" fontId="42" fillId="0" borderId="11" xfId="0" applyFont="1" applyBorder="1" applyAlignment="1">
      <alignment wrapText="1"/>
    </xf>
    <xf numFmtId="173" fontId="39" fillId="0" borderId="11" xfId="44" applyNumberFormat="1" applyFont="1" applyBorder="1" applyAlignment="1">
      <alignment horizontal="center"/>
    </xf>
    <xf numFmtId="0" fontId="39" fillId="0" borderId="11" xfId="44" applyFont="1" applyBorder="1" applyAlignment="1">
      <alignment horizontal="center"/>
    </xf>
    <xf numFmtId="0" fontId="39" fillId="0" borderId="11" xfId="31" applyNumberFormat="1" applyFont="1" applyFill="1" applyBorder="1" applyAlignment="1">
      <alignment horizontal="center"/>
    </xf>
    <xf numFmtId="0" fontId="42" fillId="0" borderId="11" xfId="0" applyFont="1" applyBorder="1" applyAlignment="1">
      <alignment horizontal="center" vertical="center" wrapText="1"/>
    </xf>
    <xf numFmtId="9" fontId="42" fillId="0" borderId="11" xfId="0" applyNumberFormat="1" applyFont="1" applyBorder="1" applyAlignment="1">
      <alignment horizontal="center" vertical="center" wrapText="1"/>
    </xf>
    <xf numFmtId="9" fontId="42" fillId="0" borderId="11" xfId="29" applyNumberFormat="1" applyFont="1" applyFill="1" applyBorder="1" applyAlignment="1">
      <alignment vertical="center"/>
    </xf>
    <xf numFmtId="9" fontId="42" fillId="0" borderId="11" xfId="50" applyFont="1" applyFill="1" applyBorder="1" applyAlignment="1">
      <alignment vertical="center"/>
    </xf>
    <xf numFmtId="164" fontId="39" fillId="0" borderId="11" xfId="29" applyFont="1" applyFill="1" applyBorder="1" applyAlignment="1">
      <alignment horizontal="center"/>
    </xf>
    <xf numFmtId="179" fontId="39" fillId="0" borderId="11" xfId="29" applyNumberFormat="1" applyFont="1" applyFill="1" applyBorder="1" applyAlignment="1">
      <alignment horizontal="center"/>
    </xf>
    <xf numFmtId="179" fontId="42" fillId="0" borderId="11" xfId="29" applyNumberFormat="1" applyFont="1" applyBorder="1" applyAlignment="1">
      <alignment vertical="center"/>
    </xf>
    <xf numFmtId="2" fontId="42" fillId="0" borderId="11" xfId="0" applyNumberFormat="1" applyFont="1" applyBorder="1"/>
    <xf numFmtId="2" fontId="39" fillId="0" borderId="11" xfId="46" applyNumberFormat="1" applyFont="1" applyBorder="1"/>
    <xf numFmtId="179" fontId="43" fillId="0" borderId="11" xfId="29" applyNumberFormat="1" applyFont="1" applyFill="1" applyBorder="1" applyAlignment="1">
      <alignment vertical="center"/>
    </xf>
    <xf numFmtId="179" fontId="42" fillId="0" borderId="0" xfId="29" applyNumberFormat="1" applyFont="1" applyFill="1" applyBorder="1" applyAlignment="1">
      <alignment vertical="center"/>
    </xf>
    <xf numFmtId="0" fontId="42" fillId="0" borderId="0" xfId="0" applyFont="1" applyAlignment="1">
      <alignment horizontal="center"/>
    </xf>
    <xf numFmtId="178" fontId="42" fillId="0" borderId="0" xfId="0" applyNumberFormat="1" applyFont="1"/>
    <xf numFmtId="173" fontId="39" fillId="0" borderId="11" xfId="43" applyNumberFormat="1" applyFont="1" applyBorder="1" applyAlignment="1">
      <alignment horizontal="center"/>
    </xf>
    <xf numFmtId="0" fontId="39" fillId="0" borderId="11" xfId="43" applyFont="1" applyBorder="1" applyAlignment="1">
      <alignment horizontal="center"/>
    </xf>
    <xf numFmtId="0" fontId="39" fillId="0" borderId="11" xfId="30" applyNumberFormat="1" applyFont="1" applyFill="1" applyBorder="1" applyAlignment="1">
      <alignment horizontal="center"/>
    </xf>
    <xf numFmtId="164" fontId="43" fillId="0" borderId="11" xfId="29" applyFont="1" applyFill="1" applyBorder="1" applyAlignment="1">
      <alignment vertical="center"/>
    </xf>
    <xf numFmtId="9" fontId="43" fillId="25" borderId="11" xfId="29" applyNumberFormat="1" applyFont="1" applyFill="1" applyBorder="1" applyAlignment="1">
      <alignment vertical="center"/>
    </xf>
    <xf numFmtId="179" fontId="43" fillId="25" borderId="11" xfId="29" applyNumberFormat="1" applyFont="1" applyFill="1" applyBorder="1" applyAlignment="1">
      <alignment vertical="center"/>
    </xf>
    <xf numFmtId="178" fontId="43" fillId="0" borderId="11" xfId="0" applyNumberFormat="1" applyFont="1" applyBorder="1"/>
    <xf numFmtId="0" fontId="43" fillId="0" borderId="11" xfId="0" applyFont="1" applyBorder="1"/>
    <xf numFmtId="164" fontId="43" fillId="25" borderId="11" xfId="29" applyFont="1" applyFill="1" applyBorder="1" applyAlignment="1">
      <alignment horizontal="center"/>
    </xf>
    <xf numFmtId="0" fontId="42" fillId="0" borderId="11" xfId="47" applyFont="1" applyBorder="1"/>
    <xf numFmtId="10" fontId="43" fillId="25" borderId="11" xfId="50" applyNumberFormat="1" applyFont="1" applyFill="1" applyBorder="1" applyAlignment="1">
      <alignment vertical="center"/>
    </xf>
    <xf numFmtId="166" fontId="43" fillId="25" borderId="11" xfId="50" applyNumberFormat="1" applyFont="1" applyFill="1" applyBorder="1" applyAlignment="1">
      <alignment vertical="center"/>
    </xf>
    <xf numFmtId="165" fontId="43" fillId="0" borderId="11" xfId="0" applyNumberFormat="1" applyFont="1" applyBorder="1" applyAlignment="1">
      <alignment horizontal="right"/>
    </xf>
    <xf numFmtId="173" fontId="39" fillId="0" borderId="0" xfId="43" applyNumberFormat="1" applyFont="1" applyAlignment="1">
      <alignment horizontal="center"/>
    </xf>
    <xf numFmtId="0" fontId="39" fillId="0" borderId="0" xfId="43" applyFont="1" applyAlignment="1">
      <alignment horizontal="center"/>
    </xf>
    <xf numFmtId="0" fontId="39" fillId="0" borderId="0" xfId="30" applyNumberFormat="1" applyFont="1" applyFill="1" applyBorder="1" applyAlignment="1">
      <alignment horizontal="center"/>
    </xf>
    <xf numFmtId="164" fontId="42" fillId="0" borderId="0" xfId="29" applyFont="1" applyFill="1" applyBorder="1" applyAlignment="1">
      <alignment vertical="center"/>
    </xf>
    <xf numFmtId="164" fontId="42" fillId="0" borderId="0" xfId="29" applyFont="1" applyFill="1" applyBorder="1" applyAlignment="1">
      <alignment horizontal="center"/>
    </xf>
    <xf numFmtId="179" fontId="42" fillId="0" borderId="0" xfId="29" applyNumberFormat="1" applyFont="1" applyFill="1" applyBorder="1" applyAlignment="1">
      <alignment horizontal="center"/>
    </xf>
    <xf numFmtId="165" fontId="43" fillId="0" borderId="0" xfId="0" applyNumberFormat="1" applyFont="1" applyAlignment="1">
      <alignment horizontal="right"/>
    </xf>
    <xf numFmtId="179" fontId="43" fillId="0" borderId="0" xfId="29" applyNumberFormat="1" applyFont="1" applyFill="1" applyBorder="1" applyAlignment="1">
      <alignment horizontal="right"/>
    </xf>
    <xf numFmtId="166" fontId="43" fillId="0" borderId="0" xfId="50" applyNumberFormat="1" applyFont="1" applyFill="1" applyBorder="1" applyAlignment="1">
      <alignment vertical="center"/>
    </xf>
    <xf numFmtId="0" fontId="42" fillId="0" borderId="0" xfId="0" applyFont="1" applyAlignment="1">
      <alignment wrapText="1"/>
    </xf>
    <xf numFmtId="0" fontId="43" fillId="0" borderId="0" xfId="50" applyNumberFormat="1" applyFont="1" applyFill="1" applyBorder="1" applyAlignment="1">
      <alignment vertical="center"/>
    </xf>
    <xf numFmtId="165" fontId="42" fillId="0" borderId="0" xfId="29" applyNumberFormat="1" applyFont="1" applyFill="1" applyBorder="1" applyAlignment="1">
      <alignment horizontal="center" vertical="center" wrapText="1"/>
    </xf>
    <xf numFmtId="165" fontId="43" fillId="0" borderId="14" xfId="0" applyNumberFormat="1" applyFont="1" applyBorder="1" applyAlignment="1">
      <alignment horizontal="center" vertical="center" wrapText="1"/>
    </xf>
    <xf numFmtId="165" fontId="42" fillId="0" borderId="11" xfId="29" applyNumberFormat="1" applyFont="1" applyFill="1" applyBorder="1" applyAlignment="1">
      <alignment vertical="center"/>
    </xf>
    <xf numFmtId="165" fontId="42" fillId="0" borderId="0" xfId="0" applyNumberFormat="1" applyFont="1"/>
    <xf numFmtId="165" fontId="43" fillId="25" borderId="11" xfId="29" applyNumberFormat="1" applyFont="1" applyFill="1" applyBorder="1" applyAlignment="1">
      <alignment vertical="center"/>
    </xf>
    <xf numFmtId="165" fontId="43" fillId="0" borderId="11" xfId="29" applyNumberFormat="1" applyFont="1" applyFill="1" applyBorder="1" applyAlignment="1">
      <alignment vertical="center"/>
    </xf>
    <xf numFmtId="165" fontId="42" fillId="0" borderId="0" xfId="29" applyNumberFormat="1" applyFont="1" applyFill="1" applyBorder="1" applyAlignment="1">
      <alignment vertical="center"/>
    </xf>
    <xf numFmtId="165" fontId="0" fillId="0" borderId="11" xfId="28" applyFont="1" applyFill="1" applyBorder="1"/>
    <xf numFmtId="2" fontId="0" fillId="0" borderId="11" xfId="28" applyNumberFormat="1" applyFont="1" applyFill="1" applyBorder="1"/>
    <xf numFmtId="10" fontId="42" fillId="0" borderId="0" xfId="0" applyNumberFormat="1" applyFont="1"/>
    <xf numFmtId="15" fontId="43" fillId="0" borderId="0" xfId="0" applyNumberFormat="1" applyFont="1"/>
    <xf numFmtId="173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167" fontId="0" fillId="0" borderId="0" xfId="28" applyNumberFormat="1" applyFont="1"/>
    <xf numFmtId="1" fontId="0" fillId="0" borderId="0" xfId="0" applyNumberFormat="1" applyAlignment="1">
      <alignment horizontal="center" vertical="center"/>
    </xf>
    <xf numFmtId="4" fontId="0" fillId="0" borderId="11" xfId="0" applyNumberFormat="1" applyBorder="1" applyAlignment="1" applyProtection="1">
      <alignment vertical="justify" wrapText="1"/>
      <protection locked="0"/>
    </xf>
    <xf numFmtId="165" fontId="0" fillId="0" borderId="11" xfId="28" applyFont="1" applyBorder="1" applyProtection="1">
      <protection locked="0"/>
    </xf>
    <xf numFmtId="165" fontId="0" fillId="0" borderId="11" xfId="28" applyFont="1" applyFill="1" applyBorder="1" applyProtection="1">
      <protection locked="0"/>
    </xf>
    <xf numFmtId="167" fontId="0" fillId="0" borderId="11" xfId="28" applyNumberFormat="1" applyFont="1" applyBorder="1" applyAlignment="1" applyProtection="1">
      <alignment vertical="center"/>
      <protection locked="0"/>
    </xf>
    <xf numFmtId="165" fontId="27" fillId="24" borderId="32" xfId="28" applyFont="1" applyFill="1" applyBorder="1" applyAlignment="1" applyProtection="1">
      <alignment horizontal="center" vertical="center"/>
    </xf>
    <xf numFmtId="165" fontId="27" fillId="24" borderId="33" xfId="28" applyFont="1" applyFill="1" applyBorder="1" applyAlignment="1" applyProtection="1">
      <alignment horizontal="center" vertical="center"/>
    </xf>
    <xf numFmtId="165" fontId="27" fillId="24" borderId="34" xfId="28" applyFont="1" applyFill="1" applyBorder="1" applyAlignment="1" applyProtection="1">
      <alignment horizontal="center" vertical="center"/>
    </xf>
    <xf numFmtId="165" fontId="27" fillId="24" borderId="35" xfId="28" applyFont="1" applyFill="1" applyBorder="1" applyAlignment="1" applyProtection="1">
      <alignment horizontal="center" vertical="center"/>
    </xf>
    <xf numFmtId="166" fontId="27" fillId="24" borderId="36" xfId="50" applyNumberFormat="1" applyFont="1" applyFill="1" applyBorder="1" applyAlignment="1" applyProtection="1">
      <alignment horizontal="center" vertical="center"/>
    </xf>
    <xf numFmtId="166" fontId="27" fillId="24" borderId="29" xfId="50" applyNumberFormat="1" applyFont="1" applyFill="1" applyBorder="1" applyAlignment="1" applyProtection="1">
      <alignment horizontal="center" vertical="center"/>
    </xf>
    <xf numFmtId="166" fontId="27" fillId="24" borderId="37" xfId="50" applyNumberFormat="1" applyFont="1" applyFill="1" applyBorder="1" applyAlignment="1" applyProtection="1">
      <alignment horizontal="center" vertical="center"/>
    </xf>
    <xf numFmtId="165" fontId="27" fillId="24" borderId="38" xfId="28" applyFont="1" applyFill="1" applyBorder="1" applyAlignment="1" applyProtection="1">
      <alignment horizontal="center" vertical="center"/>
    </xf>
    <xf numFmtId="165" fontId="27" fillId="24" borderId="38" xfId="28" applyFont="1" applyFill="1" applyBorder="1" applyAlignment="1" applyProtection="1">
      <alignment horizontal="center"/>
    </xf>
    <xf numFmtId="165" fontId="27" fillId="24" borderId="39" xfId="28" applyFont="1" applyFill="1" applyBorder="1" applyAlignment="1" applyProtection="1">
      <alignment horizontal="center"/>
    </xf>
    <xf numFmtId="166" fontId="27" fillId="24" borderId="40" xfId="50" applyNumberFormat="1" applyFont="1" applyFill="1" applyBorder="1" applyAlignment="1" applyProtection="1">
      <alignment horizontal="center" vertical="center"/>
    </xf>
    <xf numFmtId="165" fontId="23" fillId="24" borderId="0" xfId="28" applyFont="1" applyFill="1" applyProtection="1"/>
    <xf numFmtId="165" fontId="27" fillId="24" borderId="15" xfId="28" applyFont="1" applyFill="1" applyBorder="1" applyAlignment="1" applyProtection="1">
      <alignment horizontal="center" vertical="center"/>
    </xf>
    <xf numFmtId="165" fontId="27" fillId="24" borderId="41" xfId="28" applyFont="1" applyFill="1" applyBorder="1" applyAlignment="1" applyProtection="1">
      <alignment horizontal="center" vertical="center"/>
    </xf>
    <xf numFmtId="166" fontId="27" fillId="24" borderId="35" xfId="50" applyNumberFormat="1" applyFont="1" applyFill="1" applyBorder="1" applyAlignment="1" applyProtection="1">
      <alignment horizontal="center" vertical="center"/>
    </xf>
    <xf numFmtId="166" fontId="27" fillId="24" borderId="15" xfId="50" applyNumberFormat="1" applyFont="1" applyFill="1" applyBorder="1" applyAlignment="1" applyProtection="1">
      <alignment horizontal="center" vertical="center"/>
    </xf>
    <xf numFmtId="166" fontId="27" fillId="24" borderId="34" xfId="50" applyNumberFormat="1" applyFont="1" applyFill="1" applyBorder="1" applyAlignment="1" applyProtection="1">
      <alignment horizontal="center" vertical="center"/>
    </xf>
    <xf numFmtId="165" fontId="27" fillId="24" borderId="35" xfId="28" applyFont="1" applyFill="1" applyBorder="1" applyAlignment="1" applyProtection="1">
      <alignment horizontal="center"/>
    </xf>
    <xf numFmtId="165" fontId="27" fillId="24" borderId="42" xfId="28" applyFont="1" applyFill="1" applyBorder="1" applyAlignment="1" applyProtection="1">
      <alignment horizontal="center"/>
    </xf>
    <xf numFmtId="165" fontId="27" fillId="24" borderId="11" xfId="28" applyFont="1" applyFill="1" applyBorder="1" applyAlignment="1" applyProtection="1">
      <alignment horizontal="center"/>
    </xf>
    <xf numFmtId="165" fontId="27" fillId="24" borderId="43" xfId="28" applyFont="1" applyFill="1" applyBorder="1" applyAlignment="1" applyProtection="1">
      <alignment horizontal="center"/>
    </xf>
    <xf numFmtId="165" fontId="27" fillId="24" borderId="37" xfId="28" applyFont="1" applyFill="1" applyBorder="1" applyAlignment="1" applyProtection="1">
      <alignment horizontal="center"/>
    </xf>
    <xf numFmtId="0" fontId="27" fillId="24" borderId="44" xfId="0" applyFont="1" applyFill="1" applyBorder="1" applyAlignment="1">
      <alignment horizontal="left"/>
    </xf>
    <xf numFmtId="0" fontId="27" fillId="24" borderId="45" xfId="0" applyFont="1" applyFill="1" applyBorder="1" applyAlignment="1">
      <alignment horizontal="left"/>
    </xf>
    <xf numFmtId="0" fontId="27" fillId="24" borderId="46" xfId="0" applyFont="1" applyFill="1" applyBorder="1" applyAlignment="1">
      <alignment horizontal="left"/>
    </xf>
    <xf numFmtId="165" fontId="27" fillId="24" borderId="26" xfId="0" applyNumberFormat="1" applyFont="1" applyFill="1" applyBorder="1" applyAlignment="1">
      <alignment horizontal="left"/>
    </xf>
    <xf numFmtId="165" fontId="27" fillId="24" borderId="21" xfId="28" applyFont="1" applyFill="1" applyBorder="1" applyAlignment="1" applyProtection="1">
      <alignment horizontal="right" vertical="center"/>
    </xf>
    <xf numFmtId="0" fontId="27" fillId="24" borderId="47" xfId="0" applyFont="1" applyFill="1" applyBorder="1" applyAlignment="1">
      <alignment horizontal="center"/>
    </xf>
    <xf numFmtId="165" fontId="27" fillId="24" borderId="17" xfId="28" applyFont="1" applyFill="1" applyBorder="1" applyAlignment="1" applyProtection="1">
      <alignment horizontal="right" vertical="center"/>
    </xf>
    <xf numFmtId="0" fontId="27" fillId="24" borderId="48" xfId="0" applyFont="1" applyFill="1" applyBorder="1" applyAlignment="1">
      <alignment horizontal="center"/>
    </xf>
    <xf numFmtId="165" fontId="27" fillId="0" borderId="11" xfId="28" applyFont="1" applyFill="1" applyBorder="1" applyAlignment="1" applyProtection="1">
      <alignment horizontal="right"/>
    </xf>
    <xf numFmtId="0" fontId="27" fillId="24" borderId="49" xfId="0" applyFont="1" applyFill="1" applyBorder="1" applyAlignment="1">
      <alignment horizontal="center"/>
    </xf>
    <xf numFmtId="165" fontId="27" fillId="24" borderId="11" xfId="28" applyFont="1" applyFill="1" applyBorder="1" applyAlignment="1" applyProtection="1">
      <alignment horizontal="right" vertical="center"/>
    </xf>
    <xf numFmtId="165" fontId="23" fillId="20" borderId="11" xfId="28" applyFont="1" applyFill="1" applyBorder="1" applyAlignment="1" applyProtection="1">
      <alignment horizontal="right"/>
    </xf>
    <xf numFmtId="165" fontId="27" fillId="24" borderId="11" xfId="28" applyFont="1" applyFill="1" applyBorder="1" applyAlignment="1" applyProtection="1">
      <alignment horizontal="right"/>
    </xf>
    <xf numFmtId="175" fontId="27" fillId="24" borderId="11" xfId="28" applyNumberFormat="1" applyFont="1" applyFill="1" applyBorder="1" applyAlignment="1" applyProtection="1">
      <alignment horizontal="right"/>
    </xf>
    <xf numFmtId="39" fontId="27" fillId="24" borderId="11" xfId="28" applyNumberFormat="1" applyFont="1" applyFill="1" applyBorder="1" applyAlignment="1" applyProtection="1">
      <alignment horizontal="right"/>
    </xf>
    <xf numFmtId="165" fontId="27" fillId="24" borderId="14" xfId="28" applyFont="1" applyFill="1" applyBorder="1" applyAlignment="1" applyProtection="1">
      <alignment horizontal="right"/>
    </xf>
    <xf numFmtId="0" fontId="27" fillId="24" borderId="50" xfId="0" applyFont="1" applyFill="1" applyBorder="1" applyAlignment="1">
      <alignment horizontal="center"/>
    </xf>
    <xf numFmtId="165" fontId="27" fillId="24" borderId="23" xfId="0" applyNumberFormat="1" applyFont="1" applyFill="1" applyBorder="1" applyAlignment="1">
      <alignment horizontal="right"/>
    </xf>
    <xf numFmtId="0" fontId="27" fillId="24" borderId="24" xfId="0" applyFont="1" applyFill="1" applyBorder="1" applyAlignment="1">
      <alignment horizontal="center"/>
    </xf>
    <xf numFmtId="165" fontId="27" fillId="24" borderId="11" xfId="28" applyFont="1" applyFill="1" applyBorder="1" applyProtection="1"/>
    <xf numFmtId="165" fontId="27" fillId="24" borderId="14" xfId="28" applyFont="1" applyFill="1" applyBorder="1" applyProtection="1"/>
    <xf numFmtId="165" fontId="23" fillId="20" borderId="11" xfId="28" applyFont="1" applyFill="1" applyBorder="1" applyProtection="1"/>
    <xf numFmtId="165" fontId="27" fillId="24" borderId="49" xfId="28" applyFont="1" applyFill="1" applyBorder="1" applyAlignment="1" applyProtection="1">
      <alignment horizontal="center"/>
    </xf>
    <xf numFmtId="165" fontId="27" fillId="24" borderId="21" xfId="28" applyFont="1" applyFill="1" applyBorder="1" applyAlignment="1" applyProtection="1">
      <alignment horizontal="center"/>
    </xf>
    <xf numFmtId="165" fontId="27" fillId="24" borderId="47" xfId="28" applyFont="1" applyFill="1" applyBorder="1" applyAlignment="1" applyProtection="1">
      <alignment horizontal="center"/>
    </xf>
    <xf numFmtId="166" fontId="27" fillId="24" borderId="23" xfId="50" applyNumberFormat="1" applyFont="1" applyFill="1" applyBorder="1" applyProtection="1"/>
    <xf numFmtId="166" fontId="27" fillId="24" borderId="24" xfId="50" applyNumberFormat="1" applyFont="1" applyFill="1" applyBorder="1" applyProtection="1"/>
    <xf numFmtId="0" fontId="20" fillId="0" borderId="0" xfId="0" applyFont="1"/>
    <xf numFmtId="0" fontId="23" fillId="24" borderId="0" xfId="0" applyFont="1" applyFill="1"/>
    <xf numFmtId="0" fontId="21" fillId="0" borderId="0" xfId="0" applyFont="1"/>
    <xf numFmtId="0" fontId="22" fillId="0" borderId="0" xfId="0" applyFont="1"/>
    <xf numFmtId="0" fontId="24" fillId="24" borderId="0" xfId="0" applyFont="1" applyFill="1"/>
    <xf numFmtId="165" fontId="25" fillId="24" borderId="0" xfId="28" applyFont="1" applyFill="1" applyAlignment="1" applyProtection="1">
      <alignment horizontal="right"/>
    </xf>
    <xf numFmtId="0" fontId="26" fillId="24" borderId="0" xfId="0" applyFont="1" applyFill="1"/>
    <xf numFmtId="165" fontId="23" fillId="24" borderId="0" xfId="0" applyNumberFormat="1" applyFont="1" applyFill="1"/>
    <xf numFmtId="0" fontId="27" fillId="24" borderId="32" xfId="0" applyFont="1" applyFill="1" applyBorder="1" applyAlignment="1">
      <alignment horizontal="center" vertical="center"/>
    </xf>
    <xf numFmtId="0" fontId="27" fillId="24" borderId="15" xfId="0" applyFont="1" applyFill="1" applyBorder="1" applyAlignment="1">
      <alignment horizontal="center" vertical="center"/>
    </xf>
    <xf numFmtId="0" fontId="27" fillId="24" borderId="41" xfId="0" applyFont="1" applyFill="1" applyBorder="1" applyAlignment="1">
      <alignment horizontal="center" vertical="center"/>
    </xf>
    <xf numFmtId="0" fontId="27" fillId="24" borderId="51" xfId="0" applyFont="1" applyFill="1" applyBorder="1" applyAlignment="1">
      <alignment horizontal="center"/>
    </xf>
    <xf numFmtId="0" fontId="27" fillId="24" borderId="41" xfId="0" applyFont="1" applyFill="1" applyBorder="1" applyAlignment="1">
      <alignment horizontal="center" wrapText="1"/>
    </xf>
    <xf numFmtId="0" fontId="27" fillId="24" borderId="32" xfId="0" applyFont="1" applyFill="1" applyBorder="1" applyAlignment="1">
      <alignment horizontal="center"/>
    </xf>
    <xf numFmtId="0" fontId="27" fillId="24" borderId="15" xfId="0" applyFont="1" applyFill="1" applyBorder="1" applyAlignment="1">
      <alignment horizontal="center"/>
    </xf>
    <xf numFmtId="0" fontId="27" fillId="24" borderId="34" xfId="0" applyFont="1" applyFill="1" applyBorder="1" applyAlignment="1">
      <alignment horizontal="center"/>
    </xf>
    <xf numFmtId="165" fontId="27" fillId="24" borderId="11" xfId="0" applyNumberFormat="1" applyFont="1" applyFill="1" applyBorder="1" applyAlignment="1">
      <alignment horizontal="center"/>
    </xf>
    <xf numFmtId="0" fontId="27" fillId="24" borderId="52" xfId="0" applyFont="1" applyFill="1" applyBorder="1" applyAlignment="1">
      <alignment horizontal="left" vertical="center"/>
    </xf>
    <xf numFmtId="0" fontId="27" fillId="24" borderId="53" xfId="0" quotePrefix="1" applyFont="1" applyFill="1" applyBorder="1"/>
    <xf numFmtId="0" fontId="27" fillId="24" borderId="34" xfId="0" applyFont="1" applyFill="1" applyBorder="1" applyAlignment="1">
      <alignment vertical="center" wrapText="1"/>
    </xf>
    <xf numFmtId="0" fontId="27" fillId="24" borderId="40" xfId="0" applyFont="1" applyFill="1" applyBorder="1" applyAlignment="1">
      <alignment vertical="center" wrapText="1"/>
    </xf>
    <xf numFmtId="0" fontId="27" fillId="24" borderId="54" xfId="0" applyFont="1" applyFill="1" applyBorder="1" applyAlignment="1">
      <alignment horizontal="left" vertical="center"/>
    </xf>
    <xf numFmtId="0" fontId="27" fillId="24" borderId="53" xfId="0" applyFont="1" applyFill="1" applyBorder="1" applyAlignment="1">
      <alignment horizontal="center"/>
    </xf>
    <xf numFmtId="0" fontId="27" fillId="24" borderId="53" xfId="0" applyFont="1" applyFill="1" applyBorder="1"/>
    <xf numFmtId="0" fontId="27" fillId="24" borderId="55" xfId="0" applyFont="1" applyFill="1" applyBorder="1" applyAlignment="1">
      <alignment horizontal="center" vertical="center"/>
    </xf>
    <xf numFmtId="0" fontId="27" fillId="24" borderId="45" xfId="0" applyFont="1" applyFill="1" applyBorder="1" applyAlignment="1">
      <alignment horizontal="left" vertical="center"/>
    </xf>
    <xf numFmtId="0" fontId="27" fillId="24" borderId="28" xfId="0" applyFont="1" applyFill="1" applyBorder="1" applyAlignment="1">
      <alignment horizontal="center"/>
    </xf>
    <xf numFmtId="0" fontId="27" fillId="24" borderId="0" xfId="0" applyFont="1" applyFill="1"/>
    <xf numFmtId="0" fontId="27" fillId="24" borderId="0" xfId="0" applyFont="1" applyFill="1" applyAlignment="1">
      <alignment horizontal="center" vertical="center" wrapText="1"/>
    </xf>
    <xf numFmtId="0" fontId="27" fillId="24" borderId="0" xfId="0" applyFont="1" applyFill="1" applyAlignment="1">
      <alignment horizontal="center"/>
    </xf>
    <xf numFmtId="0" fontId="27" fillId="24" borderId="36" xfId="0" applyFont="1" applyFill="1" applyBorder="1" applyAlignment="1">
      <alignment horizontal="center"/>
    </xf>
    <xf numFmtId="0" fontId="27" fillId="24" borderId="40" xfId="0" applyFont="1" applyFill="1" applyBorder="1" applyAlignment="1">
      <alignment horizontal="center"/>
    </xf>
    <xf numFmtId="0" fontId="23" fillId="24" borderId="32" xfId="0" applyFont="1" applyFill="1" applyBorder="1"/>
    <xf numFmtId="0" fontId="23" fillId="24" borderId="41" xfId="0" applyFont="1" applyFill="1" applyBorder="1"/>
    <xf numFmtId="0" fontId="27" fillId="24" borderId="15" xfId="0" applyFont="1" applyFill="1" applyBorder="1"/>
    <xf numFmtId="0" fontId="27" fillId="24" borderId="41" xfId="0" applyFont="1" applyFill="1" applyBorder="1" applyAlignment="1">
      <alignment horizontal="center"/>
    </xf>
    <xf numFmtId="165" fontId="23" fillId="24" borderId="0" xfId="28" applyFont="1" applyFill="1" applyBorder="1" applyProtection="1"/>
    <xf numFmtId="0" fontId="23" fillId="24" borderId="56" xfId="0" applyFont="1" applyFill="1" applyBorder="1" applyAlignment="1">
      <alignment horizontal="center"/>
    </xf>
    <xf numFmtId="0" fontId="23" fillId="24" borderId="10" xfId="0" applyFont="1" applyFill="1" applyBorder="1" applyAlignment="1">
      <alignment horizontal="center"/>
    </xf>
    <xf numFmtId="0" fontId="27" fillId="24" borderId="10" xfId="0" applyFont="1" applyFill="1" applyBorder="1" applyAlignment="1">
      <alignment horizontal="center"/>
    </xf>
    <xf numFmtId="165" fontId="27" fillId="24" borderId="0" xfId="28" applyFont="1" applyFill="1" applyBorder="1" applyProtection="1"/>
    <xf numFmtId="0" fontId="27" fillId="24" borderId="12" xfId="0" applyFont="1" applyFill="1" applyBorder="1" applyAlignment="1">
      <alignment horizontal="center"/>
    </xf>
    <xf numFmtId="0" fontId="27" fillId="24" borderId="57" xfId="0" applyFont="1" applyFill="1" applyBorder="1" applyAlignment="1">
      <alignment horizontal="center"/>
    </xf>
    <xf numFmtId="165" fontId="27" fillId="24" borderId="23" xfId="0" applyNumberFormat="1" applyFont="1" applyFill="1" applyBorder="1"/>
    <xf numFmtId="2" fontId="23" fillId="24" borderId="0" xfId="0" applyNumberFormat="1" applyFont="1" applyFill="1"/>
    <xf numFmtId="0" fontId="27" fillId="24" borderId="58" xfId="0" applyFont="1" applyFill="1" applyBorder="1"/>
    <xf numFmtId="0" fontId="27" fillId="24" borderId="59" xfId="0" applyFont="1" applyFill="1" applyBorder="1" applyAlignment="1">
      <alignment horizontal="left"/>
    </xf>
    <xf numFmtId="0" fontId="23" fillId="24" borderId="59" xfId="0" applyFont="1" applyFill="1" applyBorder="1"/>
    <xf numFmtId="165" fontId="23" fillId="24" borderId="59" xfId="28" applyFont="1" applyFill="1" applyBorder="1" applyProtection="1"/>
    <xf numFmtId="0" fontId="23" fillId="24" borderId="31" xfId="0" applyFont="1" applyFill="1" applyBorder="1"/>
    <xf numFmtId="0" fontId="23" fillId="24" borderId="11" xfId="0" applyFont="1" applyFill="1" applyBorder="1"/>
    <xf numFmtId="165" fontId="23" fillId="24" borderId="11" xfId="0" applyNumberFormat="1" applyFont="1" applyFill="1" applyBorder="1"/>
    <xf numFmtId="166" fontId="23" fillId="24" borderId="11" xfId="50" applyNumberFormat="1" applyFont="1" applyFill="1" applyBorder="1" applyProtection="1"/>
    <xf numFmtId="0" fontId="27" fillId="24" borderId="28" xfId="0" applyFont="1" applyFill="1" applyBorder="1"/>
    <xf numFmtId="0" fontId="27" fillId="24" borderId="0" xfId="0" applyFont="1" applyFill="1" applyAlignment="1">
      <alignment horizontal="left"/>
    </xf>
    <xf numFmtId="0" fontId="23" fillId="24" borderId="60" xfId="0" applyFont="1" applyFill="1" applyBorder="1"/>
    <xf numFmtId="0" fontId="23" fillId="24" borderId="28" xfId="0" applyFont="1" applyFill="1" applyBorder="1"/>
    <xf numFmtId="0" fontId="23" fillId="24" borderId="30" xfId="0" applyFont="1" applyFill="1" applyBorder="1"/>
    <xf numFmtId="0" fontId="27" fillId="24" borderId="61" xfId="0" applyFont="1" applyFill="1" applyBorder="1"/>
    <xf numFmtId="165" fontId="27" fillId="24" borderId="61" xfId="28" applyFont="1" applyFill="1" applyBorder="1" applyProtection="1"/>
    <xf numFmtId="0" fontId="23" fillId="24" borderId="16" xfId="0" applyFont="1" applyFill="1" applyBorder="1"/>
    <xf numFmtId="0" fontId="27" fillId="24" borderId="15" xfId="0" applyFont="1" applyFill="1" applyBorder="1" applyAlignment="1">
      <alignment horizontal="center" wrapText="1"/>
    </xf>
    <xf numFmtId="2" fontId="42" fillId="0" borderId="11" xfId="50" applyNumberFormat="1" applyFont="1" applyFill="1" applyBorder="1" applyAlignment="1">
      <alignment vertical="center"/>
    </xf>
    <xf numFmtId="165" fontId="27" fillId="24" borderId="17" xfId="0" applyNumberFormat="1" applyFont="1" applyFill="1" applyBorder="1" applyAlignment="1">
      <alignment horizontal="left"/>
    </xf>
    <xf numFmtId="0" fontId="27" fillId="24" borderId="14" xfId="0" applyFont="1" applyFill="1" applyBorder="1" applyAlignment="1">
      <alignment horizontal="left"/>
    </xf>
    <xf numFmtId="165" fontId="27" fillId="24" borderId="10" xfId="0" applyNumberFormat="1" applyFont="1" applyFill="1" applyBorder="1" applyAlignment="1">
      <alignment horizontal="left"/>
    </xf>
    <xf numFmtId="0" fontId="27" fillId="24" borderId="62" xfId="0" applyFont="1" applyFill="1" applyBorder="1" applyAlignment="1" applyProtection="1">
      <alignment horizontal="left" vertical="center"/>
      <protection locked="0"/>
    </xf>
    <xf numFmtId="165" fontId="27" fillId="24" borderId="60" xfId="28" applyFont="1" applyFill="1" applyBorder="1" applyAlignment="1" applyProtection="1">
      <alignment horizontal="center" vertical="center"/>
      <protection locked="0"/>
    </xf>
    <xf numFmtId="165" fontId="27" fillId="24" borderId="62" xfId="28" applyFont="1" applyFill="1" applyBorder="1" applyAlignment="1" applyProtection="1">
      <alignment horizontal="center" vertical="center"/>
      <protection locked="0"/>
    </xf>
    <xf numFmtId="165" fontId="27" fillId="24" borderId="42" xfId="28" applyFont="1" applyFill="1" applyBorder="1" applyAlignment="1" applyProtection="1">
      <alignment horizontal="center" vertical="center"/>
      <protection locked="0"/>
    </xf>
    <xf numFmtId="165" fontId="27" fillId="24" borderId="43" xfId="28" applyFont="1" applyFill="1" applyBorder="1" applyAlignment="1" applyProtection="1">
      <protection locked="0"/>
    </xf>
    <xf numFmtId="165" fontId="27" fillId="24" borderId="43" xfId="28" applyFont="1" applyFill="1" applyBorder="1" applyAlignment="1" applyProtection="1">
      <alignment horizontal="center"/>
      <protection locked="0"/>
    </xf>
    <xf numFmtId="165" fontId="27" fillId="24" borderId="55" xfId="50" applyNumberFormat="1" applyFont="1" applyFill="1" applyBorder="1" applyAlignment="1" applyProtection="1">
      <alignment horizontal="center" vertical="center"/>
      <protection locked="0"/>
    </xf>
    <xf numFmtId="165" fontId="27" fillId="24" borderId="54" xfId="50" applyNumberFormat="1" applyFont="1" applyFill="1" applyBorder="1" applyAlignment="1" applyProtection="1">
      <alignment horizontal="center" vertical="center"/>
      <protection locked="0"/>
    </xf>
    <xf numFmtId="165" fontId="27" fillId="24" borderId="64" xfId="50" applyNumberFormat="1" applyFont="1" applyFill="1" applyBorder="1" applyAlignment="1" applyProtection="1">
      <alignment horizontal="center" vertical="center"/>
      <protection locked="0"/>
    </xf>
    <xf numFmtId="165" fontId="27" fillId="24" borderId="43" xfId="28" applyFont="1" applyFill="1" applyBorder="1" applyAlignment="1" applyProtection="1">
      <alignment horizontal="center" vertical="center"/>
      <protection locked="0"/>
    </xf>
    <xf numFmtId="165" fontId="27" fillId="24" borderId="0" xfId="28" applyFont="1" applyFill="1" applyBorder="1" applyAlignment="1" applyProtection="1">
      <alignment horizontal="center" vertical="center"/>
      <protection locked="0"/>
    </xf>
    <xf numFmtId="165" fontId="23" fillId="24" borderId="43" xfId="28" applyFont="1" applyFill="1" applyBorder="1" applyProtection="1">
      <protection locked="0"/>
    </xf>
    <xf numFmtId="165" fontId="27" fillId="24" borderId="10" xfId="28" applyFont="1" applyFill="1" applyBorder="1" applyAlignment="1" applyProtection="1">
      <alignment horizontal="center"/>
      <protection locked="0"/>
    </xf>
    <xf numFmtId="165" fontId="27" fillId="24" borderId="11" xfId="0" applyNumberFormat="1" applyFont="1" applyFill="1" applyBorder="1" applyAlignment="1" applyProtection="1">
      <alignment horizontal="center"/>
      <protection locked="0"/>
    </xf>
    <xf numFmtId="0" fontId="27" fillId="24" borderId="11" xfId="0" quotePrefix="1" applyFont="1" applyFill="1" applyBorder="1" applyAlignment="1" applyProtection="1">
      <alignment wrapText="1"/>
      <protection locked="0"/>
    </xf>
    <xf numFmtId="165" fontId="27" fillId="24" borderId="27" xfId="28" applyFont="1" applyFill="1" applyBorder="1" applyAlignment="1" applyProtection="1">
      <alignment horizontal="center"/>
      <protection locked="0"/>
    </xf>
    <xf numFmtId="0" fontId="27" fillId="24" borderId="14" xfId="0" applyFont="1" applyFill="1" applyBorder="1" applyAlignment="1" applyProtection="1">
      <alignment horizontal="center"/>
      <protection locked="0"/>
    </xf>
    <xf numFmtId="0" fontId="27" fillId="24" borderId="13" xfId="0" quotePrefix="1" applyFont="1" applyFill="1" applyBorder="1" applyAlignment="1" applyProtection="1">
      <alignment wrapText="1"/>
      <protection locked="0"/>
    </xf>
    <xf numFmtId="0" fontId="46" fillId="24" borderId="14" xfId="0" quotePrefix="1" applyFont="1" applyFill="1" applyBorder="1" applyAlignment="1" applyProtection="1">
      <alignment wrapText="1"/>
      <protection locked="0"/>
    </xf>
    <xf numFmtId="2" fontId="27" fillId="24" borderId="0" xfId="0" applyNumberFormat="1" applyFont="1" applyFill="1" applyAlignment="1" applyProtection="1">
      <alignment horizontal="right"/>
      <protection locked="0"/>
    </xf>
    <xf numFmtId="165" fontId="27" fillId="24" borderId="12" xfId="28" applyFont="1" applyFill="1" applyBorder="1" applyAlignment="1" applyProtection="1">
      <alignment horizontal="center"/>
      <protection locked="0"/>
    </xf>
    <xf numFmtId="0" fontId="27" fillId="24" borderId="11" xfId="0" applyFont="1" applyFill="1" applyBorder="1" applyAlignment="1" applyProtection="1">
      <alignment horizontal="center"/>
      <protection locked="0"/>
    </xf>
    <xf numFmtId="165" fontId="27" fillId="24" borderId="21" xfId="0" applyNumberFormat="1" applyFont="1" applyFill="1" applyBorder="1" applyAlignment="1" applyProtection="1">
      <alignment horizontal="left"/>
      <protection locked="0"/>
    </xf>
    <xf numFmtId="165" fontId="27" fillId="24" borderId="11" xfId="0" applyNumberFormat="1" applyFont="1" applyFill="1" applyBorder="1" applyAlignment="1" applyProtection="1">
      <alignment horizontal="left"/>
      <protection locked="0"/>
    </xf>
    <xf numFmtId="165" fontId="27" fillId="24" borderId="11" xfId="0" applyNumberFormat="1" applyFont="1" applyFill="1" applyBorder="1" applyAlignment="1" applyProtection="1">
      <alignment horizontal="right"/>
      <protection locked="0"/>
    </xf>
    <xf numFmtId="165" fontId="27" fillId="24" borderId="23" xfId="0" applyNumberFormat="1" applyFont="1" applyFill="1" applyBorder="1" applyAlignment="1" applyProtection="1">
      <alignment horizontal="left"/>
      <protection locked="0"/>
    </xf>
    <xf numFmtId="165" fontId="27" fillId="24" borderId="63" xfId="0" applyNumberFormat="1" applyFont="1" applyFill="1" applyBorder="1" applyAlignment="1" applyProtection="1">
      <alignment horizontal="left"/>
      <protection locked="0"/>
    </xf>
    <xf numFmtId="165" fontId="27" fillId="24" borderId="14" xfId="0" applyNumberFormat="1" applyFont="1" applyFill="1" applyBorder="1" applyAlignment="1" applyProtection="1">
      <alignment horizontal="left"/>
      <protection locked="0"/>
    </xf>
    <xf numFmtId="165" fontId="27" fillId="24" borderId="54" xfId="28" applyFont="1" applyFill="1" applyBorder="1" applyAlignment="1" applyProtection="1">
      <alignment horizontal="center"/>
      <protection locked="0"/>
    </xf>
    <xf numFmtId="165" fontId="27" fillId="24" borderId="11" xfId="28" applyFont="1" applyFill="1" applyBorder="1" applyAlignment="1" applyProtection="1">
      <alignment horizontal="center"/>
      <protection locked="0"/>
    </xf>
    <xf numFmtId="49" fontId="27" fillId="0" borderId="11" xfId="28" applyNumberFormat="1" applyFont="1" applyFill="1" applyBorder="1" applyAlignment="1" applyProtection="1">
      <alignment horizontal="center"/>
      <protection locked="0"/>
    </xf>
    <xf numFmtId="179" fontId="42" fillId="0" borderId="17" xfId="29" applyNumberFormat="1" applyFont="1" applyBorder="1" applyAlignment="1">
      <alignment vertical="center"/>
    </xf>
    <xf numFmtId="179" fontId="42" fillId="0" borderId="17" xfId="29" applyNumberFormat="1" applyFont="1" applyFill="1" applyBorder="1" applyAlignment="1">
      <alignment vertical="center"/>
    </xf>
    <xf numFmtId="0" fontId="27" fillId="24" borderId="10" xfId="0" applyFont="1" applyFill="1" applyBorder="1" applyAlignment="1" applyProtection="1">
      <alignment horizontal="left"/>
      <protection locked="0"/>
    </xf>
    <xf numFmtId="0" fontId="27" fillId="24" borderId="25" xfId="0" applyFont="1" applyFill="1" applyBorder="1" applyAlignment="1" applyProtection="1">
      <alignment horizontal="left"/>
      <protection locked="0"/>
    </xf>
    <xf numFmtId="0" fontId="27" fillId="24" borderId="57" xfId="0" applyFont="1" applyFill="1" applyBorder="1" applyAlignment="1" applyProtection="1">
      <alignment horizontal="left"/>
      <protection locked="0"/>
    </xf>
    <xf numFmtId="165" fontId="34" fillId="0" borderId="0" xfId="28" applyFont="1" applyBorder="1" applyAlignment="1" applyProtection="1">
      <alignment horizontal="center"/>
    </xf>
    <xf numFmtId="0" fontId="29" fillId="0" borderId="0" xfId="0" applyFont="1"/>
    <xf numFmtId="0" fontId="0" fillId="0" borderId="65" xfId="0" applyBorder="1"/>
    <xf numFmtId="165" fontId="0" fillId="0" borderId="65" xfId="0" applyNumberFormat="1" applyBorder="1"/>
    <xf numFmtId="0" fontId="51" fillId="0" borderId="0" xfId="41" applyFont="1"/>
    <xf numFmtId="0" fontId="52" fillId="0" borderId="0" xfId="41" applyFont="1"/>
    <xf numFmtId="0" fontId="52" fillId="0" borderId="0" xfId="41" applyFont="1" applyAlignment="1">
      <alignment horizontal="center"/>
    </xf>
    <xf numFmtId="2" fontId="52" fillId="0" borderId="0" xfId="41" applyNumberFormat="1" applyFont="1" applyAlignment="1">
      <alignment horizontal="center"/>
    </xf>
    <xf numFmtId="0" fontId="48" fillId="0" borderId="0" xfId="41"/>
    <xf numFmtId="0" fontId="48" fillId="0" borderId="0" xfId="41" applyAlignment="1">
      <alignment horizontal="center"/>
    </xf>
    <xf numFmtId="2" fontId="48" fillId="0" borderId="0" xfId="41" applyNumberFormat="1" applyAlignment="1">
      <alignment horizontal="center"/>
    </xf>
    <xf numFmtId="2" fontId="48" fillId="0" borderId="0" xfId="41" applyNumberFormat="1"/>
    <xf numFmtId="0" fontId="53" fillId="0" borderId="0" xfId="41" applyFont="1"/>
    <xf numFmtId="16" fontId="48" fillId="0" borderId="10" xfId="41" applyNumberFormat="1" applyBorder="1"/>
    <xf numFmtId="0" fontId="48" fillId="0" borderId="11" xfId="41" applyBorder="1"/>
    <xf numFmtId="2" fontId="48" fillId="0" borderId="11" xfId="41" applyNumberFormat="1" applyBorder="1" applyAlignment="1">
      <alignment horizontal="center"/>
    </xf>
    <xf numFmtId="165" fontId="48" fillId="11" borderId="11" xfId="28" applyFont="1" applyFill="1" applyBorder="1" applyAlignment="1" applyProtection="1">
      <alignment horizontal="center"/>
    </xf>
    <xf numFmtId="0" fontId="54" fillId="0" borderId="0" xfId="41" applyFont="1"/>
    <xf numFmtId="0" fontId="48" fillId="0" borderId="10" xfId="41" applyBorder="1"/>
    <xf numFmtId="0" fontId="48" fillId="0" borderId="11" xfId="41" applyBorder="1" applyAlignment="1">
      <alignment horizontal="left"/>
    </xf>
    <xf numFmtId="0" fontId="48" fillId="0" borderId="11" xfId="41" applyBorder="1" applyAlignment="1">
      <alignment horizontal="right"/>
    </xf>
    <xf numFmtId="165" fontId="54" fillId="0" borderId="23" xfId="28" applyFont="1" applyBorder="1" applyProtection="1"/>
    <xf numFmtId="0" fontId="48" fillId="0" borderId="0" xfId="42" applyAlignment="1">
      <alignment horizontal="center"/>
    </xf>
    <xf numFmtId="39" fontId="48" fillId="0" borderId="0" xfId="42" quotePrefix="1" applyNumberFormat="1" applyAlignment="1">
      <alignment horizontal="left"/>
    </xf>
    <xf numFmtId="0" fontId="48" fillId="0" borderId="0" xfId="41" quotePrefix="1"/>
    <xf numFmtId="39" fontId="48" fillId="0" borderId="0" xfId="42" applyNumberFormat="1"/>
    <xf numFmtId="39" fontId="48" fillId="0" borderId="0" xfId="42" quotePrefix="1" applyNumberFormat="1"/>
    <xf numFmtId="169" fontId="30" fillId="0" borderId="0" xfId="0" applyNumberFormat="1" applyFont="1"/>
    <xf numFmtId="0" fontId="31" fillId="0" borderId="0" xfId="0" applyFont="1" applyAlignment="1">
      <alignment horizontal="center"/>
    </xf>
    <xf numFmtId="0" fontId="31" fillId="0" borderId="0" xfId="0" applyFont="1"/>
    <xf numFmtId="171" fontId="31" fillId="0" borderId="0" xfId="0" applyNumberFormat="1" applyFont="1"/>
    <xf numFmtId="4" fontId="31" fillId="0" borderId="0" xfId="0" applyNumberFormat="1" applyFont="1"/>
    <xf numFmtId="168" fontId="31" fillId="0" borderId="0" xfId="0" applyNumberFormat="1" applyFont="1"/>
    <xf numFmtId="4" fontId="31" fillId="0" borderId="0" xfId="0" applyNumberFormat="1" applyFont="1" applyAlignment="1">
      <alignment horizontal="center" vertical="center" wrapText="1"/>
    </xf>
    <xf numFmtId="4" fontId="31" fillId="0" borderId="0" xfId="0" applyNumberFormat="1" applyFont="1" applyAlignment="1">
      <alignment horizontal="right"/>
    </xf>
    <xf numFmtId="2" fontId="31" fillId="0" borderId="0" xfId="0" applyNumberFormat="1" applyFont="1"/>
    <xf numFmtId="170" fontId="31" fillId="0" borderId="0" xfId="0" applyNumberFormat="1" applyFont="1" applyAlignment="1">
      <alignment horizontal="right"/>
    </xf>
    <xf numFmtId="171" fontId="31" fillId="0" borderId="11" xfId="0" applyNumberFormat="1" applyFont="1" applyBorder="1" applyAlignment="1">
      <alignment horizontal="center"/>
    </xf>
    <xf numFmtId="4" fontId="32" fillId="0" borderId="11" xfId="0" applyNumberFormat="1" applyFont="1" applyBorder="1" applyAlignment="1">
      <alignment horizontal="center"/>
    </xf>
    <xf numFmtId="0" fontId="32" fillId="0" borderId="11" xfId="0" applyFont="1" applyBorder="1" applyAlignment="1">
      <alignment horizontal="center"/>
    </xf>
    <xf numFmtId="168" fontId="31" fillId="0" borderId="11" xfId="0" applyNumberFormat="1" applyFont="1" applyBorder="1" applyAlignment="1">
      <alignment horizontal="center"/>
    </xf>
    <xf numFmtId="4" fontId="31" fillId="0" borderId="11" xfId="0" applyNumberFormat="1" applyFont="1" applyBorder="1" applyAlignment="1">
      <alignment horizontal="center" vertical="center" wrapText="1"/>
    </xf>
    <xf numFmtId="2" fontId="31" fillId="0" borderId="11" xfId="0" applyNumberFormat="1" applyFont="1" applyBorder="1" applyAlignment="1">
      <alignment horizontal="center"/>
    </xf>
    <xf numFmtId="4" fontId="31" fillId="0" borderId="11" xfId="0" applyNumberFormat="1" applyFont="1" applyBorder="1" applyAlignment="1">
      <alignment horizontal="center"/>
    </xf>
    <xf numFmtId="170" fontId="31" fillId="0" borderId="11" xfId="0" applyNumberFormat="1" applyFont="1" applyBorder="1" applyAlignment="1">
      <alignment horizontal="center"/>
    </xf>
    <xf numFmtId="2" fontId="32" fillId="0" borderId="11" xfId="0" applyNumberFormat="1" applyFont="1" applyBorder="1" applyAlignment="1">
      <alignment horizontal="center"/>
    </xf>
    <xf numFmtId="4" fontId="0" fillId="0" borderId="11" xfId="0" applyNumberFormat="1" applyBorder="1" applyAlignment="1">
      <alignment vertical="justify"/>
    </xf>
    <xf numFmtId="171" fontId="0" fillId="0" borderId="11" xfId="0" applyNumberFormat="1" applyBorder="1" applyAlignment="1">
      <alignment vertical="justify"/>
    </xf>
    <xf numFmtId="168" fontId="0" fillId="0" borderId="11" xfId="0" applyNumberFormat="1" applyBorder="1"/>
    <xf numFmtId="10" fontId="0" fillId="0" borderId="11" xfId="0" applyNumberFormat="1" applyBorder="1" applyAlignment="1">
      <alignment horizontal="center" vertical="center" wrapText="1"/>
    </xf>
    <xf numFmtId="10" fontId="0" fillId="0" borderId="11" xfId="0" applyNumberFormat="1" applyBorder="1" applyAlignment="1">
      <alignment vertical="justify" wrapText="1"/>
    </xf>
    <xf numFmtId="4" fontId="0" fillId="0" borderId="11" xfId="0" applyNumberFormat="1" applyBorder="1" applyAlignment="1">
      <alignment vertical="justify" wrapText="1"/>
    </xf>
    <xf numFmtId="2" fontId="0" fillId="0" borderId="11" xfId="0" applyNumberFormat="1" applyBorder="1" applyAlignment="1">
      <alignment vertical="justify"/>
    </xf>
    <xf numFmtId="168" fontId="0" fillId="0" borderId="11" xfId="0" applyNumberFormat="1" applyBorder="1" applyAlignment="1">
      <alignment vertical="justify" wrapText="1"/>
    </xf>
    <xf numFmtId="2" fontId="0" fillId="0" borderId="11" xfId="0" applyNumberFormat="1" applyBorder="1" applyAlignment="1">
      <alignment vertical="justify" wrapText="1"/>
    </xf>
    <xf numFmtId="0" fontId="0" fillId="0" borderId="62" xfId="0" applyBorder="1" applyAlignment="1">
      <alignment horizontal="center"/>
    </xf>
    <xf numFmtId="4" fontId="0" fillId="0" borderId="62" xfId="0" applyNumberFormat="1" applyBorder="1"/>
    <xf numFmtId="171" fontId="0" fillId="0" borderId="62" xfId="0" applyNumberFormat="1" applyBorder="1" applyAlignment="1">
      <alignment vertical="justify"/>
    </xf>
    <xf numFmtId="171" fontId="0" fillId="0" borderId="62" xfId="0" applyNumberFormat="1" applyBorder="1"/>
    <xf numFmtId="168" fontId="0" fillId="0" borderId="62" xfId="0" applyNumberFormat="1" applyBorder="1"/>
    <xf numFmtId="10" fontId="0" fillId="0" borderId="62" xfId="0" applyNumberFormat="1" applyBorder="1"/>
    <xf numFmtId="10" fontId="0" fillId="0" borderId="62" xfId="0" applyNumberFormat="1" applyBorder="1" applyAlignment="1">
      <alignment horizontal="center" vertical="center" wrapText="1"/>
    </xf>
    <xf numFmtId="10" fontId="0" fillId="0" borderId="62" xfId="0" applyNumberFormat="1" applyBorder="1" applyAlignment="1">
      <alignment vertical="justify" wrapText="1"/>
    </xf>
    <xf numFmtId="4" fontId="0" fillId="0" borderId="62" xfId="0" applyNumberFormat="1" applyBorder="1" applyAlignment="1">
      <alignment vertical="justify" wrapText="1"/>
    </xf>
    <xf numFmtId="2" fontId="0" fillId="0" borderId="62" xfId="0" applyNumberFormat="1" applyBorder="1"/>
    <xf numFmtId="4" fontId="0" fillId="0" borderId="62" xfId="0" applyNumberFormat="1" applyBorder="1" applyAlignment="1">
      <alignment vertical="justify"/>
    </xf>
    <xf numFmtId="2" fontId="0" fillId="0" borderId="62" xfId="0" applyNumberFormat="1" applyBorder="1" applyAlignment="1">
      <alignment vertical="justify"/>
    </xf>
    <xf numFmtId="2" fontId="0" fillId="0" borderId="62" xfId="0" applyNumberFormat="1" applyBorder="1" applyAlignment="1">
      <alignment vertical="justify" wrapText="1"/>
    </xf>
    <xf numFmtId="16" fontId="28" fillId="0" borderId="66" xfId="0" applyNumberFormat="1" applyFont="1" applyBorder="1"/>
    <xf numFmtId="0" fontId="28" fillId="0" borderId="66" xfId="0" applyFont="1" applyBorder="1" applyAlignment="1">
      <alignment horizontal="center"/>
    </xf>
    <xf numFmtId="171" fontId="28" fillId="0" borderId="66" xfId="0" applyNumberFormat="1" applyFont="1" applyBorder="1"/>
    <xf numFmtId="10" fontId="28" fillId="0" borderId="66" xfId="0" applyNumberFormat="1" applyFont="1" applyBorder="1"/>
    <xf numFmtId="168" fontId="28" fillId="0" borderId="66" xfId="0" applyNumberFormat="1" applyFont="1" applyBorder="1"/>
    <xf numFmtId="10" fontId="28" fillId="0" borderId="66" xfId="0" applyNumberFormat="1" applyFont="1" applyBorder="1" applyAlignment="1">
      <alignment horizontal="center" vertical="center" wrapText="1"/>
    </xf>
    <xf numFmtId="10" fontId="28" fillId="0" borderId="66" xfId="0" applyNumberFormat="1" applyFont="1" applyBorder="1" applyAlignment="1">
      <alignment vertical="justify" wrapText="1"/>
    </xf>
    <xf numFmtId="2" fontId="28" fillId="0" borderId="66" xfId="0" applyNumberFormat="1" applyFont="1" applyBorder="1"/>
    <xf numFmtId="4" fontId="28" fillId="0" borderId="66" xfId="0" applyNumberFormat="1" applyFont="1" applyBorder="1"/>
    <xf numFmtId="4" fontId="28" fillId="0" borderId="66" xfId="0" applyNumberFormat="1" applyFont="1" applyBorder="1" applyAlignment="1">
      <alignment vertical="justify"/>
    </xf>
    <xf numFmtId="2" fontId="28" fillId="0" borderId="66" xfId="0" applyNumberFormat="1" applyFont="1" applyBorder="1" applyAlignment="1">
      <alignment vertical="justify"/>
    </xf>
    <xf numFmtId="2" fontId="28" fillId="0" borderId="66" xfId="0" applyNumberFormat="1" applyFont="1" applyBorder="1" applyAlignment="1">
      <alignment vertical="justify" wrapText="1"/>
    </xf>
    <xf numFmtId="4" fontId="28" fillId="0" borderId="66" xfId="0" applyNumberFormat="1" applyFont="1" applyBorder="1" applyAlignment="1">
      <alignment vertical="justify" wrapText="1"/>
    </xf>
    <xf numFmtId="165" fontId="31" fillId="0" borderId="0" xfId="28" applyFont="1" applyBorder="1" applyProtection="1"/>
    <xf numFmtId="171" fontId="33" fillId="0" borderId="0" xfId="0" applyNumberFormat="1" applyFont="1" applyAlignment="1">
      <alignment horizontal="center"/>
    </xf>
    <xf numFmtId="168" fontId="33" fillId="0" borderId="0" xfId="0" applyNumberFormat="1" applyFont="1" applyAlignment="1">
      <alignment horizontal="center"/>
    </xf>
    <xf numFmtId="4" fontId="33" fillId="0" borderId="0" xfId="0" applyNumberFormat="1" applyFont="1" applyAlignment="1">
      <alignment horizontal="center" vertical="center" wrapText="1"/>
    </xf>
    <xf numFmtId="4" fontId="33" fillId="0" borderId="0" xfId="0" applyNumberFormat="1" applyFont="1" applyAlignment="1">
      <alignment horizontal="center"/>
    </xf>
    <xf numFmtId="172" fontId="36" fillId="0" borderId="0" xfId="28" applyNumberFormat="1" applyFont="1" applyBorder="1" applyAlignment="1" applyProtection="1">
      <alignment horizontal="right"/>
    </xf>
    <xf numFmtId="0" fontId="31" fillId="0" borderId="11" xfId="0" applyFont="1" applyBorder="1" applyAlignment="1">
      <alignment horizontal="center"/>
    </xf>
    <xf numFmtId="169" fontId="35" fillId="0" borderId="0" xfId="0" applyNumberFormat="1" applyFont="1" applyAlignment="1">
      <alignment vertical="justify" wrapText="1"/>
    </xf>
    <xf numFmtId="167" fontId="0" fillId="0" borderId="11" xfId="28" applyNumberFormat="1" applyFont="1" applyBorder="1" applyAlignment="1" applyProtection="1">
      <alignment vertical="center"/>
    </xf>
    <xf numFmtId="174" fontId="31" fillId="0" borderId="17" xfId="28" applyNumberFormat="1" applyFont="1" applyBorder="1" applyProtection="1"/>
    <xf numFmtId="167" fontId="31" fillId="0" borderId="17" xfId="28" applyNumberFormat="1" applyFont="1" applyBorder="1" applyProtection="1"/>
    <xf numFmtId="172" fontId="31" fillId="0" borderId="17" xfId="28" applyNumberFormat="1" applyFont="1" applyBorder="1" applyProtection="1"/>
    <xf numFmtId="174" fontId="0" fillId="0" borderId="17" xfId="28" applyNumberFormat="1" applyFont="1" applyBorder="1" applyAlignment="1" applyProtection="1">
      <alignment vertical="center"/>
    </xf>
    <xf numFmtId="167" fontId="0" fillId="0" borderId="11" xfId="28" applyNumberFormat="1" applyFont="1" applyBorder="1" applyProtection="1"/>
    <xf numFmtId="167" fontId="0" fillId="0" borderId="17" xfId="28" applyNumberFormat="1" applyFont="1" applyBorder="1" applyAlignment="1" applyProtection="1">
      <alignment vertical="center"/>
    </xf>
    <xf numFmtId="172" fontId="0" fillId="0" borderId="17" xfId="28" applyNumberFormat="1" applyFont="1" applyBorder="1" applyAlignment="1" applyProtection="1">
      <alignment vertical="center"/>
    </xf>
    <xf numFmtId="165" fontId="0" fillId="0" borderId="17" xfId="28" applyFont="1" applyBorder="1" applyAlignment="1" applyProtection="1">
      <alignment vertical="center"/>
    </xf>
    <xf numFmtId="15" fontId="0" fillId="0" borderId="11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165" fontId="0" fillId="0" borderId="11" xfId="28" applyFont="1" applyBorder="1" applyProtection="1"/>
    <xf numFmtId="165" fontId="0" fillId="0" borderId="11" xfId="28" applyFont="1" applyBorder="1" applyAlignment="1" applyProtection="1">
      <alignment vertical="center"/>
    </xf>
    <xf numFmtId="167" fontId="28" fillId="0" borderId="11" xfId="28" applyNumberFormat="1" applyFont="1" applyBorder="1" applyProtection="1"/>
    <xf numFmtId="176" fontId="0" fillId="0" borderId="11" xfId="0" applyNumberFormat="1" applyBorder="1"/>
    <xf numFmtId="172" fontId="0" fillId="0" borderId="11" xfId="0" applyNumberFormat="1" applyBorder="1"/>
    <xf numFmtId="2" fontId="0" fillId="0" borderId="17" xfId="0" applyNumberFormat="1" applyBorder="1" applyAlignment="1">
      <alignment horizontal="center"/>
    </xf>
    <xf numFmtId="165" fontId="0" fillId="0" borderId="17" xfId="28" applyFont="1" applyBorder="1" applyProtection="1"/>
    <xf numFmtId="15" fontId="28" fillId="0" borderId="11" xfId="0" applyNumberFormat="1" applyFont="1" applyBorder="1" applyAlignment="1">
      <alignment horizontal="center"/>
    </xf>
    <xf numFmtId="2" fontId="28" fillId="0" borderId="17" xfId="0" applyNumberFormat="1" applyFont="1" applyBorder="1" applyAlignment="1">
      <alignment horizontal="center"/>
    </xf>
    <xf numFmtId="165" fontId="28" fillId="0" borderId="11" xfId="28" applyFont="1" applyBorder="1" applyProtection="1"/>
    <xf numFmtId="174" fontId="28" fillId="0" borderId="17" xfId="28" applyNumberFormat="1" applyFont="1" applyBorder="1" applyProtection="1"/>
    <xf numFmtId="0" fontId="28" fillId="0" borderId="11" xfId="0" applyFont="1" applyBorder="1"/>
    <xf numFmtId="172" fontId="28" fillId="0" borderId="11" xfId="28" applyNumberFormat="1" applyFont="1" applyBorder="1" applyProtection="1"/>
    <xf numFmtId="38" fontId="28" fillId="0" borderId="11" xfId="28" applyNumberFormat="1" applyFont="1" applyBorder="1" applyProtection="1"/>
    <xf numFmtId="165" fontId="28" fillId="0" borderId="17" xfId="28" applyFont="1" applyBorder="1" applyProtection="1"/>
    <xf numFmtId="178" fontId="0" fillId="0" borderId="0" xfId="0" applyNumberFormat="1"/>
    <xf numFmtId="174" fontId="31" fillId="0" borderId="0" xfId="28" applyNumberFormat="1" applyFont="1" applyBorder="1" applyProtection="1"/>
    <xf numFmtId="174" fontId="0" fillId="0" borderId="0" xfId="0" applyNumberFormat="1"/>
    <xf numFmtId="165" fontId="23" fillId="24" borderId="0" xfId="28" applyFont="1" applyFill="1" applyBorder="1" applyProtection="1">
      <protection locked="0"/>
    </xf>
    <xf numFmtId="0" fontId="23" fillId="24" borderId="0" xfId="0" applyFont="1" applyFill="1" applyProtection="1">
      <protection locked="0"/>
    </xf>
    <xf numFmtId="165" fontId="23" fillId="24" borderId="0" xfId="0" applyNumberFormat="1" applyFont="1" applyFill="1" applyProtection="1">
      <protection locked="0"/>
    </xf>
    <xf numFmtId="0" fontId="27" fillId="24" borderId="0" xfId="0" applyFont="1" applyFill="1" applyProtection="1">
      <protection locked="0"/>
    </xf>
    <xf numFmtId="180" fontId="0" fillId="0" borderId="0" xfId="0" applyNumberFormat="1" applyAlignment="1">
      <alignment horizontal="right" vertical="center"/>
    </xf>
    <xf numFmtId="165" fontId="46" fillId="24" borderId="10" xfId="0" applyNumberFormat="1" applyFont="1" applyFill="1" applyBorder="1" applyAlignment="1">
      <alignment horizontal="left"/>
    </xf>
    <xf numFmtId="173" fontId="47" fillId="0" borderId="11" xfId="44" applyNumberFormat="1" applyFont="1" applyBorder="1" applyAlignment="1">
      <alignment horizontal="center"/>
    </xf>
    <xf numFmtId="16" fontId="23" fillId="24" borderId="0" xfId="28" applyNumberFormat="1" applyFont="1" applyFill="1" applyBorder="1" applyProtection="1">
      <protection locked="0"/>
    </xf>
    <xf numFmtId="173" fontId="48" fillId="0" borderId="67" xfId="0" applyNumberFormat="1" applyFont="1" applyBorder="1"/>
    <xf numFmtId="0" fontId="0" fillId="0" borderId="45" xfId="0" applyBorder="1"/>
    <xf numFmtId="0" fontId="48" fillId="0" borderId="45" xfId="0" applyFont="1" applyBorder="1"/>
    <xf numFmtId="164" fontId="42" fillId="0" borderId="0" xfId="29" applyFont="1" applyFill="1"/>
    <xf numFmtId="164" fontId="43" fillId="25" borderId="11" xfId="29" applyFont="1" applyFill="1" applyBorder="1" applyAlignment="1">
      <alignment vertical="center"/>
    </xf>
    <xf numFmtId="179" fontId="43" fillId="0" borderId="0" xfId="29" applyNumberFormat="1" applyFont="1" applyFill="1" applyBorder="1" applyAlignment="1">
      <alignment vertical="center"/>
    </xf>
    <xf numFmtId="179" fontId="27" fillId="24" borderId="21" xfId="29" applyNumberFormat="1" applyFont="1" applyFill="1" applyBorder="1" applyAlignment="1" applyProtection="1">
      <alignment horizontal="right" vertical="center"/>
    </xf>
    <xf numFmtId="179" fontId="27" fillId="24" borderId="17" xfId="29" applyNumberFormat="1" applyFont="1" applyFill="1" applyBorder="1" applyAlignment="1" applyProtection="1">
      <alignment horizontal="right" vertical="center"/>
    </xf>
    <xf numFmtId="179" fontId="27" fillId="0" borderId="11" xfId="29" applyNumberFormat="1" applyFont="1" applyFill="1" applyBorder="1" applyAlignment="1" applyProtection="1">
      <alignment horizontal="right"/>
    </xf>
    <xf numFmtId="179" fontId="27" fillId="24" borderId="11" xfId="29" applyNumberFormat="1" applyFont="1" applyFill="1" applyBorder="1" applyAlignment="1" applyProtection="1">
      <alignment horizontal="right" vertical="center"/>
    </xf>
    <xf numFmtId="179" fontId="23" fillId="20" borderId="11" xfId="29" applyNumberFormat="1" applyFont="1" applyFill="1" applyBorder="1" applyAlignment="1" applyProtection="1">
      <alignment horizontal="right"/>
    </xf>
    <xf numFmtId="179" fontId="27" fillId="24" borderId="11" xfId="29" applyNumberFormat="1" applyFont="1" applyFill="1" applyBorder="1" applyAlignment="1" applyProtection="1">
      <alignment horizontal="right"/>
    </xf>
    <xf numFmtId="179" fontId="27" fillId="24" borderId="14" xfId="29" applyNumberFormat="1" applyFont="1" applyFill="1" applyBorder="1" applyAlignment="1" applyProtection="1">
      <alignment horizontal="right"/>
    </xf>
    <xf numFmtId="179" fontId="27" fillId="24" borderId="23" xfId="29" applyNumberFormat="1" applyFont="1" applyFill="1" applyBorder="1" applyAlignment="1" applyProtection="1">
      <alignment horizontal="right"/>
    </xf>
    <xf numFmtId="10" fontId="42" fillId="0" borderId="0" xfId="50" applyNumberFormat="1" applyFont="1" applyFill="1" applyBorder="1"/>
    <xf numFmtId="10" fontId="43" fillId="0" borderId="11" xfId="50" applyNumberFormat="1" applyFont="1" applyFill="1" applyBorder="1"/>
    <xf numFmtId="10" fontId="42" fillId="0" borderId="0" xfId="50" applyNumberFormat="1" applyFont="1" applyFill="1" applyBorder="1" applyAlignment="1">
      <alignment vertical="center"/>
    </xf>
    <xf numFmtId="10" fontId="43" fillId="27" borderId="0" xfId="50" applyNumberFormat="1" applyFont="1" applyFill="1" applyBorder="1"/>
    <xf numFmtId="10" fontId="43" fillId="0" borderId="11" xfId="50" applyNumberFormat="1" applyFont="1" applyFill="1" applyBorder="1" applyAlignment="1">
      <alignment vertical="center"/>
    </xf>
    <xf numFmtId="0" fontId="42" fillId="28" borderId="0" xfId="0" applyFont="1" applyFill="1"/>
    <xf numFmtId="0" fontId="50" fillId="28" borderId="0" xfId="0" applyFont="1" applyFill="1"/>
    <xf numFmtId="179" fontId="42" fillId="28" borderId="0" xfId="29" applyNumberFormat="1" applyFont="1" applyFill="1" applyBorder="1" applyAlignment="1">
      <alignment vertical="center"/>
    </xf>
    <xf numFmtId="0" fontId="42" fillId="28" borderId="0" xfId="0" applyFont="1" applyFill="1" applyAlignment="1">
      <alignment horizontal="right"/>
    </xf>
    <xf numFmtId="166" fontId="42" fillId="28" borderId="0" xfId="0" applyNumberFormat="1" applyFont="1" applyFill="1" applyAlignment="1">
      <alignment horizontal="right"/>
    </xf>
    <xf numFmtId="166" fontId="42" fillId="28" borderId="0" xfId="0" applyNumberFormat="1" applyFont="1" applyFill="1"/>
    <xf numFmtId="10" fontId="42" fillId="28" borderId="0" xfId="0" applyNumberFormat="1" applyFont="1" applyFill="1"/>
    <xf numFmtId="165" fontId="43" fillId="28" borderId="0" xfId="0" applyNumberFormat="1" applyFont="1" applyFill="1" applyAlignment="1">
      <alignment horizontal="right"/>
    </xf>
    <xf numFmtId="166" fontId="43" fillId="28" borderId="0" xfId="50" applyNumberFormat="1" applyFont="1" applyFill="1" applyBorder="1" applyAlignment="1">
      <alignment vertical="center"/>
    </xf>
    <xf numFmtId="179" fontId="43" fillId="25" borderId="13" xfId="29" applyNumberFormat="1" applyFont="1" applyFill="1" applyBorder="1" applyAlignment="1">
      <alignment vertical="center"/>
    </xf>
    <xf numFmtId="179" fontId="43" fillId="25" borderId="19" xfId="29" applyNumberFormat="1" applyFont="1" applyFill="1" applyBorder="1" applyAlignment="1">
      <alignment vertical="center"/>
    </xf>
    <xf numFmtId="166" fontId="43" fillId="25" borderId="19" xfId="50" applyNumberFormat="1" applyFont="1" applyFill="1" applyBorder="1" applyAlignment="1">
      <alignment vertical="center"/>
    </xf>
    <xf numFmtId="165" fontId="43" fillId="0" borderId="17" xfId="0" applyNumberFormat="1" applyFont="1" applyBorder="1" applyAlignment="1">
      <alignment horizontal="right"/>
    </xf>
    <xf numFmtId="0" fontId="42" fillId="0" borderId="17" xfId="0" applyFont="1" applyBorder="1"/>
    <xf numFmtId="179" fontId="43" fillId="4" borderId="11" xfId="29" applyNumberFormat="1" applyFont="1" applyFill="1" applyBorder="1" applyAlignment="1">
      <alignment horizontal="center"/>
    </xf>
    <xf numFmtId="0" fontId="45" fillId="0" borderId="0" xfId="0" applyFont="1"/>
    <xf numFmtId="0" fontId="45" fillId="0" borderId="45" xfId="0" applyFont="1" applyBorder="1"/>
    <xf numFmtId="0" fontId="0" fillId="0" borderId="55" xfId="0" applyBorder="1" applyAlignment="1">
      <alignment horizontal="center" vertical="center"/>
    </xf>
    <xf numFmtId="167" fontId="0" fillId="0" borderId="55" xfId="28" applyNumberFormat="1" applyFont="1" applyBorder="1" applyAlignment="1">
      <alignment horizontal="center" vertical="center" wrapText="1"/>
    </xf>
    <xf numFmtId="0" fontId="0" fillId="0" borderId="68" xfId="0" applyBorder="1"/>
    <xf numFmtId="0" fontId="0" fillId="0" borderId="26" xfId="0" applyBorder="1"/>
    <xf numFmtId="0" fontId="45" fillId="0" borderId="26" xfId="0" applyFont="1" applyBorder="1"/>
    <xf numFmtId="167" fontId="33" fillId="30" borderId="11" xfId="28" applyNumberFormat="1" applyFont="1" applyFill="1" applyBorder="1" applyAlignment="1" applyProtection="1">
      <alignment horizontal="center"/>
    </xf>
    <xf numFmtId="168" fontId="37" fillId="30" borderId="13" xfId="0" applyNumberFormat="1" applyFont="1" applyFill="1" applyBorder="1" applyAlignment="1">
      <alignment horizontal="center" vertical="center" wrapText="1"/>
    </xf>
    <xf numFmtId="167" fontId="33" fillId="31" borderId="11" xfId="28" applyNumberFormat="1" applyFont="1" applyFill="1" applyBorder="1" applyAlignment="1" applyProtection="1">
      <alignment horizontal="center"/>
    </xf>
    <xf numFmtId="168" fontId="37" fillId="31" borderId="13" xfId="0" applyNumberFormat="1" applyFont="1" applyFill="1" applyBorder="1" applyAlignment="1">
      <alignment horizontal="center" vertical="center" wrapText="1"/>
    </xf>
    <xf numFmtId="167" fontId="33" fillId="32" borderId="13" xfId="28" applyNumberFormat="1" applyFont="1" applyFill="1" applyBorder="1" applyAlignment="1" applyProtection="1">
      <alignment horizontal="center"/>
    </xf>
    <xf numFmtId="168" fontId="37" fillId="32" borderId="13" xfId="0" applyNumberFormat="1" applyFont="1" applyFill="1" applyBorder="1" applyAlignment="1">
      <alignment horizontal="center" vertical="center" wrapText="1"/>
    </xf>
    <xf numFmtId="167" fontId="33" fillId="33" borderId="11" xfId="28" applyNumberFormat="1" applyFont="1" applyFill="1" applyBorder="1" applyAlignment="1" applyProtection="1">
      <alignment horizontal="center"/>
    </xf>
    <xf numFmtId="168" fontId="37" fillId="33" borderId="13" xfId="0" applyNumberFormat="1" applyFont="1" applyFill="1" applyBorder="1" applyAlignment="1">
      <alignment horizontal="center" vertical="center" wrapText="1"/>
    </xf>
    <xf numFmtId="167" fontId="33" fillId="34" borderId="11" xfId="28" applyNumberFormat="1" applyFont="1" applyFill="1" applyBorder="1" applyAlignment="1" applyProtection="1">
      <alignment horizontal="center"/>
    </xf>
    <xf numFmtId="168" fontId="37" fillId="34" borderId="13" xfId="0" applyNumberFormat="1" applyFont="1" applyFill="1" applyBorder="1" applyAlignment="1">
      <alignment horizontal="center" vertical="center" wrapText="1"/>
    </xf>
    <xf numFmtId="167" fontId="33" fillId="27" borderId="11" xfId="28" applyNumberFormat="1" applyFont="1" applyFill="1" applyBorder="1" applyAlignment="1" applyProtection="1">
      <alignment horizontal="center"/>
    </xf>
    <xf numFmtId="167" fontId="33" fillId="27" borderId="17" xfId="28" applyNumberFormat="1" applyFont="1" applyFill="1" applyBorder="1" applyAlignment="1" applyProtection="1">
      <alignment horizontal="center"/>
    </xf>
    <xf numFmtId="0" fontId="28" fillId="27" borderId="11" xfId="0" applyFont="1" applyFill="1" applyBorder="1"/>
    <xf numFmtId="173" fontId="45" fillId="0" borderId="55" xfId="0" applyNumberFormat="1" applyFont="1" applyBorder="1" applyAlignment="1">
      <alignment horizontal="center" vertical="center"/>
    </xf>
    <xf numFmtId="179" fontId="55" fillId="0" borderId="0" xfId="29" applyNumberFormat="1" applyFont="1" applyProtection="1"/>
    <xf numFmtId="9" fontId="0" fillId="0" borderId="0" xfId="50" applyFont="1" applyProtection="1"/>
    <xf numFmtId="0" fontId="27" fillId="24" borderId="56" xfId="0" applyFont="1" applyFill="1" applyBorder="1"/>
    <xf numFmtId="0" fontId="27" fillId="24" borderId="47" xfId="0" applyFont="1" applyFill="1" applyBorder="1"/>
    <xf numFmtId="0" fontId="27" fillId="24" borderId="10" xfId="0" applyFont="1" applyFill="1" applyBorder="1"/>
    <xf numFmtId="0" fontId="27" fillId="24" borderId="49" xfId="0" applyFont="1" applyFill="1" applyBorder="1"/>
    <xf numFmtId="4" fontId="27" fillId="24" borderId="10" xfId="0" applyNumberFormat="1" applyFont="1" applyFill="1" applyBorder="1"/>
    <xf numFmtId="4" fontId="27" fillId="24" borderId="49" xfId="0" applyNumberFormat="1" applyFont="1" applyFill="1" applyBorder="1"/>
    <xf numFmtId="165" fontId="27" fillId="24" borderId="10" xfId="0" applyNumberFormat="1" applyFont="1" applyFill="1" applyBorder="1"/>
    <xf numFmtId="165" fontId="27" fillId="24" borderId="49" xfId="0" applyNumberFormat="1" applyFont="1" applyFill="1" applyBorder="1"/>
    <xf numFmtId="39" fontId="27" fillId="24" borderId="49" xfId="0" applyNumberFormat="1" applyFont="1" applyFill="1" applyBorder="1"/>
    <xf numFmtId="0" fontId="23" fillId="24" borderId="57" xfId="0" applyFont="1" applyFill="1" applyBorder="1"/>
    <xf numFmtId="0" fontId="23" fillId="24" borderId="24" xfId="0" applyFont="1" applyFill="1" applyBorder="1"/>
    <xf numFmtId="0" fontId="45" fillId="0" borderId="11" xfId="0" applyFont="1" applyBorder="1" applyAlignment="1" applyProtection="1">
      <alignment horizontal="center"/>
      <protection locked="0"/>
    </xf>
    <xf numFmtId="0" fontId="45" fillId="0" borderId="11" xfId="0" quotePrefix="1" applyFont="1" applyBorder="1" applyAlignment="1" applyProtection="1">
      <alignment horizontal="center"/>
      <protection locked="0"/>
    </xf>
    <xf numFmtId="0" fontId="45" fillId="0" borderId="55" xfId="0" applyFont="1" applyBorder="1"/>
    <xf numFmtId="165" fontId="0" fillId="0" borderId="70" xfId="0" applyNumberFormat="1" applyBorder="1" applyAlignment="1">
      <alignment vertical="center"/>
    </xf>
    <xf numFmtId="177" fontId="0" fillId="0" borderId="11" xfId="0" applyNumberFormat="1" applyBorder="1"/>
    <xf numFmtId="167" fontId="45" fillId="0" borderId="11" xfId="0" quotePrefix="1" applyNumberFormat="1" applyFont="1" applyBorder="1" applyAlignment="1" applyProtection="1">
      <alignment horizontal="center"/>
      <protection locked="0"/>
    </xf>
    <xf numFmtId="167" fontId="0" fillId="0" borderId="62" xfId="0" applyNumberFormat="1" applyBorder="1" applyAlignment="1">
      <alignment horizontal="center"/>
    </xf>
    <xf numFmtId="167" fontId="28" fillId="0" borderId="66" xfId="0" applyNumberFormat="1" applyFont="1" applyBorder="1" applyAlignment="1">
      <alignment horizontal="center"/>
    </xf>
    <xf numFmtId="9" fontId="0" fillId="0" borderId="11" xfId="50" applyFont="1" applyBorder="1" applyAlignment="1" applyProtection="1">
      <alignment horizontal="center" vertical="center"/>
      <protection locked="0"/>
    </xf>
    <xf numFmtId="0" fontId="0" fillId="0" borderId="11" xfId="0" quotePrefix="1" applyBorder="1" applyAlignment="1" applyProtection="1">
      <alignment horizontal="center"/>
      <protection locked="0"/>
    </xf>
    <xf numFmtId="10" fontId="45" fillId="0" borderId="11" xfId="50" applyNumberFormat="1" applyFont="1" applyFill="1" applyBorder="1" applyAlignment="1" applyProtection="1">
      <alignment horizontal="center" vertical="center"/>
      <protection locked="0"/>
    </xf>
    <xf numFmtId="2" fontId="39" fillId="0" borderId="11" xfId="44" applyNumberFormat="1" applyFont="1" applyBorder="1" applyAlignment="1">
      <alignment horizontal="center"/>
    </xf>
    <xf numFmtId="10" fontId="56" fillId="27" borderId="11" xfId="50" applyNumberFormat="1" applyFont="1" applyFill="1" applyBorder="1" applyAlignment="1" applyProtection="1">
      <alignment horizontal="center" vertical="center"/>
      <protection locked="0"/>
    </xf>
    <xf numFmtId="165" fontId="43" fillId="33" borderId="11" xfId="29" applyNumberFormat="1" applyFont="1" applyFill="1" applyBorder="1" applyAlignment="1">
      <alignment vertical="center"/>
    </xf>
    <xf numFmtId="169" fontId="35" fillId="0" borderId="0" xfId="0" applyNumberFormat="1" applyFont="1" applyAlignment="1">
      <alignment vertical="center"/>
    </xf>
    <xf numFmtId="2" fontId="28" fillId="0" borderId="11" xfId="28" applyNumberFormat="1" applyFont="1" applyBorder="1" applyProtection="1"/>
    <xf numFmtId="165" fontId="27" fillId="24" borderId="45" xfId="0" applyNumberFormat="1" applyFont="1" applyFill="1" applyBorder="1" applyAlignment="1">
      <alignment horizontal="left"/>
    </xf>
    <xf numFmtId="181" fontId="43" fillId="25" borderId="11" xfId="29" applyNumberFormat="1" applyFont="1" applyFill="1" applyBorder="1" applyAlignment="1">
      <alignment vertical="center"/>
    </xf>
    <xf numFmtId="1" fontId="48" fillId="0" borderId="39" xfId="0" applyNumberFormat="1" applyFont="1" applyBorder="1" applyAlignment="1">
      <alignment horizontal="center" vertical="center"/>
    </xf>
    <xf numFmtId="0" fontId="38" fillId="27" borderId="11" xfId="0" applyFont="1" applyFill="1" applyBorder="1" applyAlignment="1">
      <alignment horizontal="center" vertical="center" wrapText="1"/>
    </xf>
    <xf numFmtId="10" fontId="56" fillId="27" borderId="62" xfId="50" applyNumberFormat="1" applyFont="1" applyFill="1" applyBorder="1" applyAlignment="1" applyProtection="1">
      <alignment horizontal="center" vertical="center"/>
      <protection locked="0"/>
    </xf>
    <xf numFmtId="0" fontId="38" fillId="27" borderId="11" xfId="0" applyFont="1" applyFill="1" applyBorder="1" applyAlignment="1">
      <alignment vertical="center" wrapText="1"/>
    </xf>
    <xf numFmtId="179" fontId="43" fillId="0" borderId="17" xfId="29" applyNumberFormat="1" applyFont="1" applyFill="1" applyBorder="1" applyAlignment="1">
      <alignment vertical="center" wrapText="1"/>
    </xf>
    <xf numFmtId="0" fontId="39" fillId="0" borderId="11" xfId="55" applyFont="1" applyBorder="1" applyAlignment="1">
      <alignment horizontal="left"/>
    </xf>
    <xf numFmtId="0" fontId="45" fillId="0" borderId="11" xfId="0" applyFont="1" applyBorder="1"/>
    <xf numFmtId="0" fontId="31" fillId="0" borderId="11" xfId="55" applyFont="1" applyBorder="1" applyAlignment="1">
      <alignment horizontal="left"/>
    </xf>
    <xf numFmtId="0" fontId="57" fillId="0" borderId="0" xfId="0" applyFont="1"/>
    <xf numFmtId="4" fontId="58" fillId="29" borderId="75" xfId="0" applyNumberFormat="1" applyFont="1" applyFill="1" applyBorder="1" applyAlignment="1">
      <alignment horizontal="center" vertical="center" wrapText="1"/>
    </xf>
    <xf numFmtId="3" fontId="0" fillId="36" borderId="65" xfId="0" applyNumberFormat="1" applyFill="1" applyBorder="1"/>
    <xf numFmtId="0" fontId="0" fillId="0" borderId="0" xfId="0" applyAlignment="1">
      <alignment horizontal="right"/>
    </xf>
    <xf numFmtId="2" fontId="57" fillId="27" borderId="11" xfId="0" applyNumberFormat="1" applyFont="1" applyFill="1" applyBorder="1" applyAlignment="1">
      <alignment horizontal="center" vertical="center" wrapText="1"/>
    </xf>
    <xf numFmtId="0" fontId="57" fillId="27" borderId="11" xfId="0" applyFont="1" applyFill="1" applyBorder="1" applyAlignment="1">
      <alignment horizontal="center" vertical="center" wrapText="1"/>
    </xf>
    <xf numFmtId="9" fontId="57" fillId="27" borderId="11" xfId="50" applyFont="1" applyFill="1" applyBorder="1" applyAlignment="1">
      <alignment horizontal="center" vertical="center" wrapText="1"/>
    </xf>
    <xf numFmtId="2" fontId="57" fillId="35" borderId="11" xfId="0" applyNumberFormat="1" applyFont="1" applyFill="1" applyBorder="1" applyAlignment="1">
      <alignment horizontal="center"/>
    </xf>
    <xf numFmtId="10" fontId="0" fillId="0" borderId="11" xfId="50" applyNumberFormat="1" applyFont="1" applyBorder="1"/>
    <xf numFmtId="10" fontId="57" fillId="35" borderId="11" xfId="50" applyNumberFormat="1" applyFont="1" applyFill="1" applyBorder="1" applyAlignment="1">
      <alignment horizontal="center"/>
    </xf>
    <xf numFmtId="10" fontId="28" fillId="0" borderId="11" xfId="0" applyNumberFormat="1" applyFont="1" applyBorder="1"/>
    <xf numFmtId="0" fontId="57" fillId="27" borderId="11" xfId="0" applyFont="1" applyFill="1" applyBorder="1" applyAlignment="1">
      <alignment horizontal="center" vertical="center"/>
    </xf>
    <xf numFmtId="14" fontId="57" fillId="0" borderId="0" xfId="0" applyNumberFormat="1" applyFont="1" applyAlignment="1">
      <alignment horizontal="center" vertical="center"/>
    </xf>
    <xf numFmtId="2" fontId="57" fillId="0" borderId="0" xfId="0" applyNumberFormat="1" applyFont="1" applyAlignment="1">
      <alignment horizontal="center" vertical="center" wrapText="1"/>
    </xf>
    <xf numFmtId="0" fontId="57" fillId="0" borderId="0" xfId="0" applyFont="1" applyAlignment="1">
      <alignment horizontal="center" vertical="center"/>
    </xf>
    <xf numFmtId="10" fontId="0" fillId="0" borderId="11" xfId="50" applyNumberFormat="1" applyFont="1" applyBorder="1" applyAlignment="1">
      <alignment horizontal="center"/>
    </xf>
    <xf numFmtId="0" fontId="0" fillId="27" borderId="11" xfId="0" applyFill="1" applyBorder="1"/>
    <xf numFmtId="10" fontId="0" fillId="0" borderId="11" xfId="0" applyNumberFormat="1" applyBorder="1" applyAlignment="1">
      <alignment horizontal="right"/>
    </xf>
    <xf numFmtId="10" fontId="0" fillId="0" borderId="11" xfId="0" applyNumberFormat="1" applyBorder="1" applyAlignment="1">
      <alignment horizontal="center"/>
    </xf>
    <xf numFmtId="0" fontId="28" fillId="35" borderId="11" xfId="0" applyFont="1" applyFill="1" applyBorder="1"/>
    <xf numFmtId="0" fontId="39" fillId="37" borderId="11" xfId="55" applyFont="1" applyFill="1" applyBorder="1" applyAlignment="1">
      <alignment horizontal="left"/>
    </xf>
    <xf numFmtId="0" fontId="0" fillId="38" borderId="11" xfId="0" applyFill="1" applyBorder="1"/>
    <xf numFmtId="0" fontId="45" fillId="38" borderId="11" xfId="0" applyFont="1" applyFill="1" applyBorder="1"/>
    <xf numFmtId="10" fontId="0" fillId="37" borderId="17" xfId="50" applyNumberFormat="1" applyFont="1" applyFill="1" applyBorder="1"/>
    <xf numFmtId="10" fontId="0" fillId="0" borderId="17" xfId="50" applyNumberFormat="1" applyFont="1" applyBorder="1"/>
    <xf numFmtId="0" fontId="39" fillId="0" borderId="19" xfId="55" applyFont="1" applyBorder="1" applyAlignment="1">
      <alignment horizontal="left"/>
    </xf>
    <xf numFmtId="0" fontId="61" fillId="0" borderId="11" xfId="55" applyFont="1" applyBorder="1" applyAlignment="1">
      <alignment horizontal="left"/>
    </xf>
    <xf numFmtId="10" fontId="60" fillId="27" borderId="11" xfId="50" applyNumberFormat="1" applyFont="1" applyFill="1" applyBorder="1"/>
    <xf numFmtId="0" fontId="0" fillId="0" borderId="0" xfId="0" quotePrefix="1"/>
    <xf numFmtId="0" fontId="64" fillId="36" borderId="0" xfId="0" applyFont="1" applyFill="1"/>
    <xf numFmtId="43" fontId="0" fillId="0" borderId="11" xfId="0" applyNumberFormat="1" applyBorder="1"/>
    <xf numFmtId="9" fontId="0" fillId="0" borderId="11" xfId="0" applyNumberFormat="1" applyBorder="1"/>
    <xf numFmtId="2" fontId="45" fillId="0" borderId="11" xfId="0" applyNumberFormat="1" applyFont="1" applyBorder="1"/>
    <xf numFmtId="166" fontId="0" fillId="0" borderId="0" xfId="0" applyNumberFormat="1"/>
    <xf numFmtId="0" fontId="22" fillId="0" borderId="0" xfId="41" applyFont="1"/>
    <xf numFmtId="0" fontId="43" fillId="0" borderId="14" xfId="0" applyFont="1" applyBorder="1" applyAlignment="1">
      <alignment horizontal="center" vertical="center" wrapText="1"/>
    </xf>
    <xf numFmtId="164" fontId="43" fillId="0" borderId="14" xfId="29" applyFont="1" applyFill="1" applyBorder="1" applyAlignment="1">
      <alignment horizontal="center" vertical="center" wrapText="1"/>
    </xf>
    <xf numFmtId="178" fontId="42" fillId="0" borderId="11" xfId="0" applyNumberFormat="1" applyFont="1" applyBorder="1" applyAlignment="1">
      <alignment horizontal="center" vertical="center" wrapText="1"/>
    </xf>
    <xf numFmtId="2" fontId="39" fillId="0" borderId="11" xfId="45" applyNumberFormat="1" applyFont="1" applyBorder="1" applyAlignment="1">
      <alignment horizontal="center"/>
    </xf>
    <xf numFmtId="10" fontId="42" fillId="0" borderId="11" xfId="50" applyNumberFormat="1" applyFont="1" applyFill="1" applyBorder="1" applyAlignment="1">
      <alignment vertical="center"/>
    </xf>
    <xf numFmtId="179" fontId="42" fillId="0" borderId="19" xfId="29" applyNumberFormat="1" applyFont="1" applyFill="1" applyBorder="1" applyAlignment="1">
      <alignment vertical="center"/>
    </xf>
    <xf numFmtId="2" fontId="36" fillId="0" borderId="11" xfId="46" applyNumberFormat="1" applyFont="1" applyBorder="1"/>
    <xf numFmtId="2" fontId="42" fillId="0" borderId="0" xfId="0" applyNumberFormat="1" applyFont="1"/>
    <xf numFmtId="10" fontId="43" fillId="29" borderId="11" xfId="50" applyNumberFormat="1" applyFont="1" applyFill="1" applyBorder="1" applyAlignment="1">
      <alignment vertical="center"/>
    </xf>
    <xf numFmtId="10" fontId="43" fillId="4" borderId="11" xfId="50" applyNumberFormat="1" applyFont="1" applyFill="1" applyBorder="1" applyAlignment="1">
      <alignment vertical="center"/>
    </xf>
    <xf numFmtId="10" fontId="43" fillId="25" borderId="11" xfId="50" applyNumberFormat="1" applyFont="1" applyFill="1" applyBorder="1"/>
    <xf numFmtId="182" fontId="43" fillId="0" borderId="11" xfId="29" applyNumberFormat="1" applyFont="1" applyFill="1" applyBorder="1" applyAlignment="1">
      <alignment vertical="center"/>
    </xf>
    <xf numFmtId="166" fontId="43" fillId="0" borderId="0" xfId="51" applyNumberFormat="1" applyFont="1" applyFill="1" applyBorder="1" applyAlignment="1">
      <alignment vertical="center"/>
    </xf>
    <xf numFmtId="10" fontId="42" fillId="28" borderId="0" xfId="0" applyNumberFormat="1" applyFont="1" applyFill="1" applyAlignment="1">
      <alignment horizontal="right"/>
    </xf>
    <xf numFmtId="167" fontId="33" fillId="30" borderId="13" xfId="28" applyNumberFormat="1" applyFont="1" applyFill="1" applyBorder="1" applyAlignment="1" applyProtection="1">
      <alignment horizontal="center"/>
    </xf>
    <xf numFmtId="167" fontId="33" fillId="31" borderId="13" xfId="28" applyNumberFormat="1" applyFont="1" applyFill="1" applyBorder="1" applyAlignment="1" applyProtection="1">
      <alignment horizontal="center"/>
    </xf>
    <xf numFmtId="167" fontId="33" fillId="33" borderId="13" xfId="28" applyNumberFormat="1" applyFont="1" applyFill="1" applyBorder="1" applyAlignment="1" applyProtection="1">
      <alignment horizontal="center"/>
    </xf>
    <xf numFmtId="167" fontId="33" fillId="34" borderId="13" xfId="28" applyNumberFormat="1" applyFont="1" applyFill="1" applyBorder="1" applyAlignment="1" applyProtection="1">
      <alignment horizontal="center"/>
    </xf>
    <xf numFmtId="167" fontId="33" fillId="32" borderId="11" xfId="28" applyNumberFormat="1" applyFont="1" applyFill="1" applyBorder="1" applyAlignment="1" applyProtection="1">
      <alignment horizontal="center"/>
    </xf>
    <xf numFmtId="0" fontId="45" fillId="0" borderId="11" xfId="0" applyFont="1" applyBorder="1" applyAlignment="1">
      <alignment horizontal="center" vertical="center"/>
    </xf>
    <xf numFmtId="10" fontId="0" fillId="0" borderId="0" xfId="0" applyNumberFormat="1"/>
    <xf numFmtId="0" fontId="0" fillId="0" borderId="11" xfId="0" applyBorder="1" applyAlignment="1">
      <alignment horizontal="center" vertical="center"/>
    </xf>
    <xf numFmtId="177" fontId="0" fillId="0" borderId="11" xfId="0" applyNumberFormat="1" applyBorder="1" applyAlignment="1">
      <alignment horizontal="center" vertical="center"/>
    </xf>
    <xf numFmtId="179" fontId="43" fillId="39" borderId="11" xfId="56" applyNumberFormat="1" applyFont="1" applyFill="1" applyBorder="1" applyAlignment="1">
      <alignment horizontal="center" vertical="center" wrapText="1"/>
    </xf>
    <xf numFmtId="179" fontId="43" fillId="26" borderId="14" xfId="56" applyNumberFormat="1" applyFont="1" applyFill="1" applyBorder="1" applyAlignment="1">
      <alignment horizontal="center" vertical="center" wrapText="1"/>
    </xf>
    <xf numFmtId="179" fontId="43" fillId="26" borderId="11" xfId="56" applyNumberFormat="1" applyFont="1" applyFill="1" applyBorder="1" applyAlignment="1">
      <alignment horizontal="center" vertical="center" wrapText="1"/>
    </xf>
    <xf numFmtId="179" fontId="43" fillId="39" borderId="14" xfId="56" applyNumberFormat="1" applyFont="1" applyFill="1" applyBorder="1" applyAlignment="1">
      <alignment horizontal="center" vertical="center" wrapText="1"/>
    </xf>
    <xf numFmtId="179" fontId="43" fillId="0" borderId="17" xfId="29" applyNumberFormat="1" applyFont="1" applyFill="1" applyBorder="1" applyAlignment="1">
      <alignment horizontal="center" vertical="center" wrapText="1"/>
    </xf>
    <xf numFmtId="179" fontId="43" fillId="4" borderId="14" xfId="29" applyNumberFormat="1" applyFont="1" applyFill="1" applyBorder="1" applyAlignment="1">
      <alignment horizontal="center" vertical="center" wrapText="1"/>
    </xf>
    <xf numFmtId="10" fontId="43" fillId="28" borderId="0" xfId="0" applyNumberFormat="1" applyFont="1" applyFill="1"/>
    <xf numFmtId="2" fontId="0" fillId="0" borderId="0" xfId="28" applyNumberFormat="1" applyFont="1" applyAlignment="1"/>
    <xf numFmtId="2" fontId="28" fillId="0" borderId="20" xfId="28" applyNumberFormat="1" applyFont="1" applyFill="1" applyBorder="1" applyAlignment="1" applyProtection="1">
      <alignment horizontal="center" vertical="center"/>
    </xf>
    <xf numFmtId="2" fontId="28" fillId="0" borderId="11" xfId="28" applyNumberFormat="1" applyFont="1" applyFill="1" applyBorder="1" applyAlignment="1" applyProtection="1">
      <alignment horizontal="center" vertical="center"/>
    </xf>
    <xf numFmtId="2" fontId="28" fillId="0" borderId="14" xfId="28" applyNumberFormat="1" applyFont="1" applyBorder="1" applyAlignment="1">
      <alignment horizontal="center" vertical="center"/>
    </xf>
    <xf numFmtId="2" fontId="28" fillId="0" borderId="14" xfId="28" applyNumberFormat="1" applyFont="1" applyFill="1" applyBorder="1" applyAlignment="1" applyProtection="1">
      <alignment horizontal="center" vertical="center"/>
    </xf>
    <xf numFmtId="2" fontId="0" fillId="0" borderId="11" xfId="28" applyNumberFormat="1" applyFont="1" applyBorder="1" applyAlignment="1">
      <alignment vertical="top"/>
    </xf>
    <xf numFmtId="0" fontId="0" fillId="0" borderId="11" xfId="28" applyNumberFormat="1" applyFont="1" applyBorder="1" applyAlignment="1" applyProtection="1">
      <alignment horizontal="center" vertical="center"/>
      <protection hidden="1"/>
    </xf>
    <xf numFmtId="2" fontId="0" fillId="0" borderId="11" xfId="28" applyNumberFormat="1" applyFont="1" applyBorder="1" applyAlignment="1" applyProtection="1">
      <alignment horizontal="center" vertical="center"/>
      <protection hidden="1"/>
    </xf>
    <xf numFmtId="2" fontId="0" fillId="0" borderId="84" xfId="28" applyNumberFormat="1" applyFont="1" applyBorder="1" applyAlignment="1"/>
    <xf numFmtId="2" fontId="0" fillId="0" borderId="84" xfId="28" applyNumberFormat="1" applyFont="1" applyBorder="1" applyAlignment="1" applyProtection="1">
      <alignment horizontal="center" vertical="center"/>
      <protection hidden="1"/>
    </xf>
    <xf numFmtId="0" fontId="28" fillId="0" borderId="0" xfId="41" applyFont="1"/>
    <xf numFmtId="0" fontId="45" fillId="0" borderId="11" xfId="0" applyFont="1" applyBorder="1" applyAlignment="1">
      <alignment wrapText="1"/>
    </xf>
    <xf numFmtId="4" fontId="0" fillId="0" borderId="11" xfId="0" applyNumberFormat="1" applyBorder="1" applyAlignment="1">
      <alignment vertical="center" wrapText="1"/>
    </xf>
    <xf numFmtId="4" fontId="0" fillId="0" borderId="11" xfId="0" applyNumberFormat="1" applyBorder="1" applyAlignment="1">
      <alignment vertical="center"/>
    </xf>
    <xf numFmtId="10" fontId="45" fillId="27" borderId="11" xfId="50" applyNumberFormat="1" applyFont="1" applyFill="1" applyBorder="1" applyAlignment="1" applyProtection="1">
      <alignment horizontal="center" vertical="center"/>
      <protection locked="0"/>
    </xf>
    <xf numFmtId="4" fontId="0" fillId="0" borderId="62" xfId="0" applyNumberFormat="1" applyBorder="1" applyAlignment="1">
      <alignment vertical="center" wrapText="1"/>
    </xf>
    <xf numFmtId="4" fontId="0" fillId="0" borderId="62" xfId="0" applyNumberFormat="1" applyBorder="1" applyAlignment="1">
      <alignment vertical="center"/>
    </xf>
    <xf numFmtId="10" fontId="45" fillId="27" borderId="62" xfId="50" applyNumberFormat="1" applyFont="1" applyFill="1" applyBorder="1" applyAlignment="1" applyProtection="1">
      <alignment horizontal="center" vertical="center"/>
      <protection locked="0"/>
    </xf>
    <xf numFmtId="4" fontId="28" fillId="0" borderId="66" xfId="0" applyNumberFormat="1" applyFont="1" applyBorder="1" applyAlignment="1">
      <alignment vertical="center"/>
    </xf>
    <xf numFmtId="171" fontId="28" fillId="0" borderId="66" xfId="0" applyNumberFormat="1" applyFont="1" applyBorder="1" applyAlignment="1">
      <alignment vertical="center"/>
    </xf>
    <xf numFmtId="174" fontId="27" fillId="24" borderId="11" xfId="28" applyNumberFormat="1" applyFont="1" applyFill="1" applyBorder="1" applyAlignment="1" applyProtection="1">
      <alignment horizontal="center"/>
      <protection locked="0"/>
    </xf>
    <xf numFmtId="174" fontId="23" fillId="24" borderId="0" xfId="0" applyNumberFormat="1" applyFont="1" applyFill="1"/>
    <xf numFmtId="173" fontId="48" fillId="0" borderId="85" xfId="0" applyNumberFormat="1" applyFont="1" applyBorder="1"/>
    <xf numFmtId="0" fontId="45" fillId="0" borderId="69" xfId="0" applyFont="1" applyBorder="1"/>
    <xf numFmtId="171" fontId="0" fillId="0" borderId="11" xfId="0" applyNumberFormat="1" applyBorder="1" applyAlignment="1" applyProtection="1">
      <alignment vertical="justify" wrapText="1"/>
      <protection locked="0"/>
    </xf>
    <xf numFmtId="165" fontId="28" fillId="0" borderId="11" xfId="28" applyFont="1" applyBorder="1"/>
    <xf numFmtId="1" fontId="43" fillId="0" borderId="0" xfId="50" applyNumberFormat="1" applyFont="1" applyFill="1" applyBorder="1" applyAlignment="1">
      <alignment vertical="center"/>
    </xf>
    <xf numFmtId="174" fontId="23" fillId="24" borderId="0" xfId="28" applyNumberFormat="1" applyFont="1" applyFill="1" applyBorder="1" applyAlignment="1" applyProtection="1">
      <alignment horizontal="center"/>
      <protection locked="0"/>
    </xf>
    <xf numFmtId="177" fontId="23" fillId="24" borderId="0" xfId="0" applyNumberFormat="1" applyFont="1" applyFill="1"/>
    <xf numFmtId="181" fontId="42" fillId="0" borderId="0" xfId="29" applyNumberFormat="1" applyFont="1" applyFill="1" applyBorder="1" applyAlignment="1">
      <alignment vertical="center"/>
    </xf>
    <xf numFmtId="10" fontId="0" fillId="0" borderId="11" xfId="0" applyNumberFormat="1" applyBorder="1" applyAlignment="1">
      <alignment horizontal="center" vertical="center"/>
    </xf>
    <xf numFmtId="0" fontId="57" fillId="0" borderId="11" xfId="0" applyFont="1" applyBorder="1" applyAlignment="1">
      <alignment horizontal="left" vertical="center"/>
    </xf>
    <xf numFmtId="0" fontId="0" fillId="0" borderId="0" xfId="0" applyAlignment="1">
      <alignment vertical="top" wrapText="1"/>
    </xf>
    <xf numFmtId="0" fontId="0" fillId="0" borderId="11" xfId="0" applyBorder="1" applyAlignment="1">
      <alignment vertical="top" wrapText="1"/>
    </xf>
    <xf numFmtId="10" fontId="2" fillId="0" borderId="11" xfId="50" applyNumberFormat="1" applyFont="1" applyFill="1" applyBorder="1" applyAlignment="1">
      <alignment horizontal="center" vertical="center"/>
    </xf>
    <xf numFmtId="10" fontId="0" fillId="0" borderId="11" xfId="50" applyNumberFormat="1" applyFont="1" applyFill="1" applyBorder="1" applyAlignment="1">
      <alignment horizontal="center" vertical="center"/>
    </xf>
    <xf numFmtId="0" fontId="45" fillId="0" borderId="11" xfId="0" applyFont="1" applyBorder="1" applyAlignment="1">
      <alignment vertical="top" wrapText="1"/>
    </xf>
    <xf numFmtId="0" fontId="57" fillId="0" borderId="60" xfId="0" applyFont="1" applyBorder="1" applyAlignment="1">
      <alignment vertical="center"/>
    </xf>
    <xf numFmtId="10" fontId="57" fillId="0" borderId="11" xfId="50" applyNumberFormat="1" applyFont="1" applyBorder="1" applyAlignment="1">
      <alignment horizontal="center"/>
    </xf>
    <xf numFmtId="0" fontId="27" fillId="24" borderId="86" xfId="0" applyFont="1" applyFill="1" applyBorder="1" applyAlignment="1" applyProtection="1">
      <alignment horizontal="center"/>
      <protection locked="0"/>
    </xf>
    <xf numFmtId="183" fontId="23" fillId="24" borderId="0" xfId="0" applyNumberFormat="1" applyFont="1" applyFill="1"/>
    <xf numFmtId="0" fontId="0" fillId="0" borderId="11" xfId="0" applyBorder="1" applyAlignment="1">
      <alignment vertical="top"/>
    </xf>
    <xf numFmtId="0" fontId="28" fillId="24" borderId="13" xfId="0" quotePrefix="1" applyFont="1" applyFill="1" applyBorder="1" applyAlignment="1" applyProtection="1">
      <alignment wrapText="1"/>
      <protection locked="0"/>
    </xf>
    <xf numFmtId="1" fontId="45" fillId="27" borderId="39" xfId="0" applyNumberFormat="1" applyFont="1" applyFill="1" applyBorder="1" applyAlignment="1">
      <alignment horizontal="center" vertical="center"/>
    </xf>
    <xf numFmtId="2" fontId="0" fillId="0" borderId="70" xfId="0" applyNumberFormat="1" applyBorder="1" applyAlignment="1">
      <alignment vertical="center"/>
    </xf>
    <xf numFmtId="0" fontId="27" fillId="24" borderId="14" xfId="0" quotePrefix="1" applyFont="1" applyFill="1" applyBorder="1" applyAlignment="1" applyProtection="1">
      <alignment wrapText="1"/>
      <protection locked="0"/>
    </xf>
    <xf numFmtId="2" fontId="28" fillId="0" borderId="18" xfId="28" applyNumberFormat="1" applyFont="1" applyBorder="1"/>
    <xf numFmtId="0" fontId="0" fillId="0" borderId="85" xfId="0" applyBorder="1"/>
    <xf numFmtId="0" fontId="48" fillId="0" borderId="69" xfId="0" applyFont="1" applyBorder="1"/>
    <xf numFmtId="0" fontId="48" fillId="0" borderId="26" xfId="0" applyFont="1" applyBorder="1"/>
    <xf numFmtId="2" fontId="0" fillId="0" borderId="26" xfId="0" applyNumberFormat="1" applyBorder="1" applyAlignment="1">
      <alignment vertical="center"/>
    </xf>
    <xf numFmtId="2" fontId="0" fillId="0" borderId="67" xfId="0" applyNumberFormat="1" applyBorder="1" applyAlignment="1">
      <alignment vertical="center"/>
    </xf>
    <xf numFmtId="2" fontId="0" fillId="0" borderId="85" xfId="0" applyNumberFormat="1" applyBorder="1" applyAlignment="1">
      <alignment vertical="center"/>
    </xf>
    <xf numFmtId="2" fontId="0" fillId="0" borderId="68" xfId="0" applyNumberFormat="1" applyBorder="1" applyAlignment="1">
      <alignment vertical="center"/>
    </xf>
    <xf numFmtId="0" fontId="39" fillId="27" borderId="11" xfId="44" applyFont="1" applyFill="1" applyBorder="1" applyAlignment="1">
      <alignment horizontal="center"/>
    </xf>
    <xf numFmtId="0" fontId="45" fillId="27" borderId="11" xfId="0" quotePrefix="1" applyFont="1" applyFill="1" applyBorder="1" applyAlignment="1" applyProtection="1">
      <alignment horizontal="center"/>
      <protection locked="0"/>
    </xf>
    <xf numFmtId="2" fontId="0" fillId="0" borderId="40" xfId="0" applyNumberFormat="1" applyBorder="1" applyAlignment="1">
      <alignment vertical="center"/>
    </xf>
    <xf numFmtId="165" fontId="0" fillId="0" borderId="64" xfId="0" applyNumberFormat="1" applyBorder="1" applyAlignment="1">
      <alignment vertical="center"/>
    </xf>
    <xf numFmtId="0" fontId="48" fillId="0" borderId="36" xfId="0" applyFont="1" applyBorder="1"/>
    <xf numFmtId="181" fontId="42" fillId="0" borderId="0" xfId="29" applyNumberFormat="1" applyFont="1" applyFill="1" applyBorder="1" applyAlignment="1">
      <alignment horizontal="center" vertical="center" wrapText="1"/>
    </xf>
    <xf numFmtId="181" fontId="42" fillId="0" borderId="11" xfId="29" applyNumberFormat="1" applyFont="1" applyFill="1" applyBorder="1" applyAlignment="1">
      <alignment vertical="center"/>
    </xf>
    <xf numFmtId="181" fontId="42" fillId="0" borderId="0" xfId="0" applyNumberFormat="1" applyFont="1"/>
    <xf numFmtId="181" fontId="43" fillId="25" borderId="11" xfId="50" applyNumberFormat="1" applyFont="1" applyFill="1" applyBorder="1" applyAlignment="1">
      <alignment vertical="center"/>
    </xf>
    <xf numFmtId="181" fontId="42" fillId="28" borderId="0" xfId="29" applyNumberFormat="1" applyFont="1" applyFill="1" applyBorder="1" applyAlignment="1">
      <alignment vertical="center"/>
    </xf>
    <xf numFmtId="181" fontId="42" fillId="28" borderId="0" xfId="0" applyNumberFormat="1" applyFont="1" applyFill="1"/>
    <xf numFmtId="0" fontId="23" fillId="24" borderId="15" xfId="0" applyFont="1" applyFill="1" applyBorder="1"/>
    <xf numFmtId="0" fontId="23" fillId="24" borderId="15" xfId="0" applyFont="1" applyFill="1" applyBorder="1" applyAlignment="1">
      <alignment horizontal="center" wrapText="1"/>
    </xf>
    <xf numFmtId="0" fontId="23" fillId="24" borderId="56" xfId="0" applyFont="1" applyFill="1" applyBorder="1"/>
    <xf numFmtId="9" fontId="23" fillId="0" borderId="21" xfId="50" applyFont="1" applyFill="1" applyBorder="1" applyAlignment="1">
      <alignment vertical="center"/>
    </xf>
    <xf numFmtId="0" fontId="23" fillId="24" borderId="21" xfId="0" applyFont="1" applyFill="1" applyBorder="1"/>
    <xf numFmtId="2" fontId="23" fillId="24" borderId="21" xfId="0" applyNumberFormat="1" applyFont="1" applyFill="1" applyBorder="1"/>
    <xf numFmtId="165" fontId="23" fillId="0" borderId="11" xfId="29" applyNumberFormat="1" applyFont="1" applyFill="1" applyBorder="1" applyAlignment="1">
      <alignment vertical="center"/>
    </xf>
    <xf numFmtId="165" fontId="23" fillId="24" borderId="21" xfId="0" applyNumberFormat="1" applyFont="1" applyFill="1" applyBorder="1"/>
    <xf numFmtId="10" fontId="42" fillId="0" borderId="13" xfId="50" applyNumberFormat="1" applyFont="1" applyFill="1" applyBorder="1" applyAlignment="1">
      <alignment vertical="center"/>
    </xf>
    <xf numFmtId="0" fontId="28" fillId="0" borderId="17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171" fontId="38" fillId="0" borderId="11" xfId="0" applyNumberFormat="1" applyFont="1" applyBorder="1" applyAlignment="1">
      <alignment horizontal="center" vertical="center" wrapText="1"/>
    </xf>
    <xf numFmtId="0" fontId="38" fillId="0" borderId="71" xfId="0" applyFont="1" applyBorder="1" applyAlignment="1">
      <alignment horizontal="center" vertical="center" wrapText="1"/>
    </xf>
    <xf numFmtId="0" fontId="38" fillId="0" borderId="72" xfId="0" applyFont="1" applyBorder="1" applyAlignment="1">
      <alignment horizontal="center" vertical="center" wrapText="1"/>
    </xf>
    <xf numFmtId="0" fontId="38" fillId="0" borderId="73" xfId="0" applyFont="1" applyBorder="1" applyAlignment="1">
      <alignment horizontal="center" vertical="center" wrapText="1"/>
    </xf>
    <xf numFmtId="0" fontId="38" fillId="0" borderId="11" xfId="0" applyFont="1" applyBorder="1" applyAlignment="1">
      <alignment horizontal="center" vertical="center" wrapText="1"/>
    </xf>
    <xf numFmtId="0" fontId="38" fillId="27" borderId="58" xfId="0" applyFont="1" applyFill="1" applyBorder="1" applyAlignment="1">
      <alignment horizontal="center" vertical="center" wrapText="1"/>
    </xf>
    <xf numFmtId="0" fontId="38" fillId="27" borderId="31" xfId="0" applyFont="1" applyFill="1" applyBorder="1" applyAlignment="1">
      <alignment horizontal="center" vertical="center" wrapText="1"/>
    </xf>
    <xf numFmtId="0" fontId="38" fillId="27" borderId="28" xfId="0" applyFont="1" applyFill="1" applyBorder="1" applyAlignment="1">
      <alignment horizontal="center" vertical="center" wrapText="1"/>
    </xf>
    <xf numFmtId="0" fontId="38" fillId="27" borderId="60" xfId="0" applyFont="1" applyFill="1" applyBorder="1" applyAlignment="1">
      <alignment horizontal="center" vertical="center" wrapText="1"/>
    </xf>
    <xf numFmtId="0" fontId="45" fillId="0" borderId="13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68" fontId="38" fillId="0" borderId="11" xfId="0" applyNumberFormat="1" applyFont="1" applyBorder="1" applyAlignment="1">
      <alignment horizontal="center" vertical="center" wrapText="1"/>
    </xf>
    <xf numFmtId="2" fontId="38" fillId="0" borderId="11" xfId="0" applyNumberFormat="1" applyFont="1" applyBorder="1" applyAlignment="1">
      <alignment horizontal="center" vertical="center" wrapText="1"/>
    </xf>
    <xf numFmtId="4" fontId="38" fillId="0" borderId="11" xfId="0" applyNumberFormat="1" applyFont="1" applyBorder="1" applyAlignment="1">
      <alignment horizontal="center" vertical="center" wrapText="1"/>
    </xf>
    <xf numFmtId="167" fontId="33" fillId="27" borderId="58" xfId="28" applyNumberFormat="1" applyFont="1" applyFill="1" applyBorder="1" applyAlignment="1" applyProtection="1">
      <alignment horizontal="center"/>
    </xf>
    <xf numFmtId="167" fontId="33" fillId="27" borderId="59" xfId="28" applyNumberFormat="1" applyFont="1" applyFill="1" applyBorder="1" applyAlignment="1" applyProtection="1">
      <alignment horizontal="center"/>
    </xf>
    <xf numFmtId="167" fontId="33" fillId="27" borderId="31" xfId="28" applyNumberFormat="1" applyFont="1" applyFill="1" applyBorder="1" applyAlignment="1" applyProtection="1">
      <alignment horizontal="center"/>
    </xf>
    <xf numFmtId="167" fontId="33" fillId="27" borderId="30" xfId="28" applyNumberFormat="1" applyFont="1" applyFill="1" applyBorder="1" applyAlignment="1" applyProtection="1">
      <alignment horizontal="center"/>
    </xf>
    <xf numFmtId="167" fontId="33" fillId="27" borderId="61" xfId="28" applyNumberFormat="1" applyFont="1" applyFill="1" applyBorder="1" applyAlignment="1" applyProtection="1">
      <alignment horizontal="center"/>
    </xf>
    <xf numFmtId="167" fontId="33" fillId="27" borderId="16" xfId="28" applyNumberFormat="1" applyFont="1" applyFill="1" applyBorder="1" applyAlignment="1" applyProtection="1">
      <alignment horizontal="center"/>
    </xf>
    <xf numFmtId="167" fontId="33" fillId="33" borderId="13" xfId="28" applyNumberFormat="1" applyFont="1" applyFill="1" applyBorder="1" applyAlignment="1" applyProtection="1">
      <alignment horizontal="center"/>
    </xf>
    <xf numFmtId="167" fontId="33" fillId="33" borderId="20" xfId="28" applyNumberFormat="1" applyFont="1" applyFill="1" applyBorder="1" applyAlignment="1" applyProtection="1">
      <alignment horizontal="center"/>
    </xf>
    <xf numFmtId="167" fontId="33" fillId="33" borderId="19" xfId="28" applyNumberFormat="1" applyFont="1" applyFill="1" applyBorder="1" applyAlignment="1" applyProtection="1">
      <alignment horizontal="center"/>
    </xf>
    <xf numFmtId="167" fontId="33" fillId="34" borderId="13" xfId="28" applyNumberFormat="1" applyFont="1" applyFill="1" applyBorder="1" applyAlignment="1" applyProtection="1">
      <alignment horizontal="center"/>
    </xf>
    <xf numFmtId="167" fontId="33" fillId="34" borderId="20" xfId="28" applyNumberFormat="1" applyFont="1" applyFill="1" applyBorder="1" applyAlignment="1" applyProtection="1">
      <alignment horizontal="center"/>
    </xf>
    <xf numFmtId="167" fontId="33" fillId="34" borderId="19" xfId="28" applyNumberFormat="1" applyFont="1" applyFill="1" applyBorder="1" applyAlignment="1" applyProtection="1">
      <alignment horizontal="center"/>
    </xf>
    <xf numFmtId="167" fontId="33" fillId="32" borderId="11" xfId="28" applyNumberFormat="1" applyFont="1" applyFill="1" applyBorder="1" applyAlignment="1" applyProtection="1">
      <alignment horizontal="center"/>
    </xf>
    <xf numFmtId="167" fontId="33" fillId="27" borderId="13" xfId="28" applyNumberFormat="1" applyFont="1" applyFill="1" applyBorder="1" applyAlignment="1" applyProtection="1">
      <alignment horizontal="center"/>
    </xf>
    <xf numFmtId="167" fontId="33" fillId="27" borderId="20" xfId="28" applyNumberFormat="1" applyFont="1" applyFill="1" applyBorder="1" applyAlignment="1" applyProtection="1">
      <alignment horizontal="center"/>
    </xf>
    <xf numFmtId="167" fontId="33" fillId="27" borderId="19" xfId="28" applyNumberFormat="1" applyFont="1" applyFill="1" applyBorder="1" applyAlignment="1" applyProtection="1">
      <alignment horizontal="center"/>
    </xf>
    <xf numFmtId="167" fontId="33" fillId="0" borderId="13" xfId="28" applyNumberFormat="1" applyFont="1" applyFill="1" applyBorder="1" applyAlignment="1" applyProtection="1">
      <alignment horizontal="center"/>
    </xf>
    <xf numFmtId="167" fontId="33" fillId="0" borderId="20" xfId="28" applyNumberFormat="1" applyFont="1" applyFill="1" applyBorder="1" applyAlignment="1" applyProtection="1">
      <alignment horizontal="center"/>
    </xf>
    <xf numFmtId="169" fontId="35" fillId="0" borderId="0" xfId="0" applyNumberFormat="1" applyFont="1" applyAlignment="1">
      <alignment horizontal="center" vertical="justify" wrapText="1"/>
    </xf>
    <xf numFmtId="0" fontId="40" fillId="4" borderId="14" xfId="0" applyFont="1" applyFill="1" applyBorder="1" applyAlignment="1">
      <alignment horizontal="center" vertical="center"/>
    </xf>
    <xf numFmtId="0" fontId="40" fillId="4" borderId="62" xfId="0" applyFont="1" applyFill="1" applyBorder="1" applyAlignment="1">
      <alignment horizontal="center" vertical="center"/>
    </xf>
    <xf numFmtId="0" fontId="40" fillId="4" borderId="17" xfId="0" applyFont="1" applyFill="1" applyBorder="1" applyAlignment="1">
      <alignment horizontal="center" vertical="center"/>
    </xf>
    <xf numFmtId="0" fontId="33" fillId="4" borderId="14" xfId="0" applyFont="1" applyFill="1" applyBorder="1" applyAlignment="1">
      <alignment horizontal="center" vertical="center" wrapText="1"/>
    </xf>
    <xf numFmtId="0" fontId="33" fillId="4" borderId="62" xfId="0" applyFont="1" applyFill="1" applyBorder="1" applyAlignment="1">
      <alignment horizontal="center" vertical="center" wrapText="1"/>
    </xf>
    <xf numFmtId="0" fontId="33" fillId="4" borderId="17" xfId="0" applyFont="1" applyFill="1" applyBorder="1" applyAlignment="1">
      <alignment horizontal="center" vertical="center" wrapText="1"/>
    </xf>
    <xf numFmtId="167" fontId="33" fillId="30" borderId="13" xfId="28" applyNumberFormat="1" applyFont="1" applyFill="1" applyBorder="1" applyAlignment="1" applyProtection="1">
      <alignment horizontal="center"/>
    </xf>
    <xf numFmtId="167" fontId="33" fillId="30" borderId="20" xfId="28" applyNumberFormat="1" applyFont="1" applyFill="1" applyBorder="1" applyAlignment="1" applyProtection="1">
      <alignment horizontal="center"/>
    </xf>
    <xf numFmtId="167" fontId="33" fillId="30" borderId="19" xfId="28" applyNumberFormat="1" applyFont="1" applyFill="1" applyBorder="1" applyAlignment="1" applyProtection="1">
      <alignment horizontal="center"/>
    </xf>
    <xf numFmtId="167" fontId="33" fillId="31" borderId="13" xfId="28" applyNumberFormat="1" applyFont="1" applyFill="1" applyBorder="1" applyAlignment="1" applyProtection="1">
      <alignment horizontal="center"/>
    </xf>
    <xf numFmtId="167" fontId="33" fillId="31" borderId="20" xfId="28" applyNumberFormat="1" applyFont="1" applyFill="1" applyBorder="1" applyAlignment="1" applyProtection="1">
      <alignment horizontal="center"/>
    </xf>
    <xf numFmtId="167" fontId="33" fillId="31" borderId="19" xfId="28" applyNumberFormat="1" applyFont="1" applyFill="1" applyBorder="1" applyAlignment="1" applyProtection="1">
      <alignment horizontal="center"/>
    </xf>
    <xf numFmtId="179" fontId="43" fillId="0" borderId="13" xfId="29" applyNumberFormat="1" applyFont="1" applyFill="1" applyBorder="1" applyAlignment="1">
      <alignment horizontal="right"/>
    </xf>
    <xf numFmtId="179" fontId="43" fillId="0" borderId="19" xfId="29" applyNumberFormat="1" applyFont="1" applyFill="1" applyBorder="1" applyAlignment="1">
      <alignment horizontal="right"/>
    </xf>
    <xf numFmtId="0" fontId="43" fillId="0" borderId="14" xfId="0" applyFont="1" applyBorder="1" applyAlignment="1">
      <alignment horizontal="center" vertical="center" wrapText="1"/>
    </xf>
    <xf numFmtId="0" fontId="43" fillId="0" borderId="62" xfId="0" applyFont="1" applyBorder="1" applyAlignment="1">
      <alignment horizontal="center" vertical="center" wrapText="1"/>
    </xf>
    <xf numFmtId="179" fontId="43" fillId="0" borderId="14" xfId="29" applyNumberFormat="1" applyFont="1" applyFill="1" applyBorder="1" applyAlignment="1">
      <alignment horizontal="center" vertical="center" wrapText="1"/>
    </xf>
    <xf numFmtId="179" fontId="43" fillId="0" borderId="62" xfId="29" applyNumberFormat="1" applyFont="1" applyFill="1" applyBorder="1" applyAlignment="1">
      <alignment horizontal="center" vertical="center" wrapText="1"/>
    </xf>
    <xf numFmtId="179" fontId="43" fillId="0" borderId="17" xfId="29" applyNumberFormat="1" applyFont="1" applyFill="1" applyBorder="1" applyAlignment="1">
      <alignment horizontal="center" vertical="center" wrapText="1"/>
    </xf>
    <xf numFmtId="164" fontId="43" fillId="0" borderId="58" xfId="29" applyFont="1" applyFill="1" applyBorder="1" applyAlignment="1">
      <alignment horizontal="center" vertical="center"/>
    </xf>
    <xf numFmtId="164" fontId="43" fillId="0" borderId="59" xfId="29" applyFont="1" applyFill="1" applyBorder="1" applyAlignment="1">
      <alignment horizontal="center" vertical="center"/>
    </xf>
    <xf numFmtId="164" fontId="43" fillId="0" borderId="31" xfId="29" applyFont="1" applyFill="1" applyBorder="1" applyAlignment="1">
      <alignment horizontal="center" vertical="center"/>
    </xf>
    <xf numFmtId="164" fontId="43" fillId="0" borderId="30" xfId="29" applyFont="1" applyFill="1" applyBorder="1" applyAlignment="1">
      <alignment horizontal="center" vertical="center"/>
    </xf>
    <xf numFmtId="164" fontId="43" fillId="0" borderId="61" xfId="29" applyFont="1" applyFill="1" applyBorder="1" applyAlignment="1">
      <alignment horizontal="center" vertical="center"/>
    </xf>
    <xf numFmtId="164" fontId="43" fillId="0" borderId="16" xfId="29" applyFont="1" applyFill="1" applyBorder="1" applyAlignment="1">
      <alignment horizontal="center" vertical="center"/>
    </xf>
    <xf numFmtId="178" fontId="43" fillId="0" borderId="58" xfId="0" applyNumberFormat="1" applyFont="1" applyBorder="1" applyAlignment="1">
      <alignment horizontal="center" vertical="center"/>
    </xf>
    <xf numFmtId="178" fontId="43" fillId="0" borderId="59" xfId="0" applyNumberFormat="1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178" fontId="43" fillId="0" borderId="30" xfId="0" applyNumberFormat="1" applyFont="1" applyBorder="1" applyAlignment="1">
      <alignment horizontal="center" vertical="center"/>
    </xf>
    <xf numFmtId="178" fontId="43" fillId="0" borderId="61" xfId="0" applyNumberFormat="1" applyFont="1" applyBorder="1" applyAlignment="1">
      <alignment horizontal="center" vertical="center"/>
    </xf>
    <xf numFmtId="0" fontId="43" fillId="0" borderId="16" xfId="0" applyFont="1" applyBorder="1" applyAlignment="1">
      <alignment horizontal="center" vertical="center"/>
    </xf>
    <xf numFmtId="164" fontId="43" fillId="0" borderId="14" xfId="29" applyFont="1" applyFill="1" applyBorder="1" applyAlignment="1">
      <alignment horizontal="center" vertical="center" wrapText="1"/>
    </xf>
    <xf numFmtId="164" fontId="43" fillId="0" borderId="62" xfId="29" applyFont="1" applyFill="1" applyBorder="1" applyAlignment="1">
      <alignment horizontal="center" vertical="center" wrapText="1"/>
    </xf>
    <xf numFmtId="179" fontId="43" fillId="25" borderId="14" xfId="29" applyNumberFormat="1" applyFont="1" applyFill="1" applyBorder="1" applyAlignment="1">
      <alignment horizontal="center" vertical="center" wrapText="1"/>
    </xf>
    <xf numFmtId="179" fontId="43" fillId="25" borderId="62" xfId="29" applyNumberFormat="1" applyFont="1" applyFill="1" applyBorder="1" applyAlignment="1">
      <alignment horizontal="center" vertical="center" wrapText="1"/>
    </xf>
    <xf numFmtId="0" fontId="50" fillId="22" borderId="11" xfId="0" applyFont="1" applyFill="1" applyBorder="1" applyAlignment="1">
      <alignment horizontal="center"/>
    </xf>
    <xf numFmtId="0" fontId="43" fillId="0" borderId="17" xfId="0" applyFont="1" applyBorder="1" applyAlignment="1">
      <alignment horizontal="center" vertical="center" wrapText="1"/>
    </xf>
    <xf numFmtId="179" fontId="43" fillId="26" borderId="13" xfId="56" applyNumberFormat="1" applyFont="1" applyFill="1" applyBorder="1" applyAlignment="1">
      <alignment horizontal="center" vertical="center" wrapText="1"/>
    </xf>
    <xf numFmtId="179" fontId="43" fillId="26" borderId="19" xfId="56" applyNumberFormat="1" applyFont="1" applyFill="1" applyBorder="1" applyAlignment="1">
      <alignment horizontal="center" vertical="center" wrapText="1"/>
    </xf>
    <xf numFmtId="179" fontId="43" fillId="26" borderId="14" xfId="29" applyNumberFormat="1" applyFont="1" applyFill="1" applyBorder="1" applyAlignment="1">
      <alignment horizontal="center" vertical="center" wrapText="1"/>
    </xf>
    <xf numFmtId="179" fontId="43" fillId="26" borderId="62" xfId="29" applyNumberFormat="1" applyFont="1" applyFill="1" applyBorder="1" applyAlignment="1">
      <alignment horizontal="center" vertical="center" wrapText="1"/>
    </xf>
    <xf numFmtId="179" fontId="43" fillId="26" borderId="17" xfId="29" applyNumberFormat="1" applyFont="1" applyFill="1" applyBorder="1" applyAlignment="1">
      <alignment horizontal="center" vertical="center" wrapText="1"/>
    </xf>
    <xf numFmtId="166" fontId="43" fillId="25" borderId="14" xfId="50" applyNumberFormat="1" applyFont="1" applyFill="1" applyBorder="1" applyAlignment="1">
      <alignment horizontal="center" vertical="center" wrapText="1"/>
    </xf>
    <xf numFmtId="166" fontId="43" fillId="25" borderId="62" xfId="50" applyNumberFormat="1" applyFont="1" applyFill="1" applyBorder="1" applyAlignment="1">
      <alignment horizontal="center" vertical="center" wrapText="1"/>
    </xf>
    <xf numFmtId="181" fontId="43" fillId="25" borderId="14" xfId="29" applyNumberFormat="1" applyFont="1" applyFill="1" applyBorder="1" applyAlignment="1">
      <alignment horizontal="center" vertical="center" wrapText="1"/>
    </xf>
    <xf numFmtId="181" fontId="43" fillId="25" borderId="62" xfId="29" applyNumberFormat="1" applyFont="1" applyFill="1" applyBorder="1" applyAlignment="1">
      <alignment horizontal="center" vertical="center" wrapText="1"/>
    </xf>
    <xf numFmtId="166" fontId="43" fillId="25" borderId="17" xfId="50" applyNumberFormat="1" applyFont="1" applyFill="1" applyBorder="1" applyAlignment="1">
      <alignment horizontal="center" vertical="center" wrapText="1"/>
    </xf>
    <xf numFmtId="179" fontId="43" fillId="0" borderId="13" xfId="29" applyNumberFormat="1" applyFont="1" applyFill="1" applyBorder="1" applyAlignment="1">
      <alignment horizontal="center" vertical="center" wrapText="1"/>
    </xf>
    <xf numFmtId="179" fontId="43" fillId="0" borderId="20" xfId="29" applyNumberFormat="1" applyFont="1" applyFill="1" applyBorder="1" applyAlignment="1">
      <alignment horizontal="center" vertical="center" wrapText="1"/>
    </xf>
    <xf numFmtId="179" fontId="43" fillId="0" borderId="19" xfId="29" applyNumberFormat="1" applyFont="1" applyFill="1" applyBorder="1" applyAlignment="1">
      <alignment horizontal="center" vertical="center" wrapText="1"/>
    </xf>
    <xf numFmtId="179" fontId="43" fillId="39" borderId="86" xfId="56" applyNumberFormat="1" applyFont="1" applyFill="1" applyBorder="1" applyAlignment="1">
      <alignment horizontal="center" vertical="center" wrapText="1"/>
    </xf>
    <xf numFmtId="179" fontId="43" fillId="39" borderId="62" xfId="56" applyNumberFormat="1" applyFont="1" applyFill="1" applyBorder="1" applyAlignment="1">
      <alignment horizontal="center" vertical="center" wrapText="1"/>
    </xf>
    <xf numFmtId="179" fontId="43" fillId="39" borderId="17" xfId="56" applyNumberFormat="1" applyFont="1" applyFill="1" applyBorder="1" applyAlignment="1">
      <alignment horizontal="center" vertical="center" wrapText="1"/>
    </xf>
    <xf numFmtId="179" fontId="43" fillId="26" borderId="86" xfId="56" applyNumberFormat="1" applyFont="1" applyFill="1" applyBorder="1" applyAlignment="1">
      <alignment horizontal="center" vertical="center" wrapText="1"/>
    </xf>
    <xf numFmtId="179" fontId="43" fillId="26" borderId="62" xfId="56" applyNumberFormat="1" applyFont="1" applyFill="1" applyBorder="1" applyAlignment="1">
      <alignment horizontal="center" vertical="center" wrapText="1"/>
    </xf>
    <xf numFmtId="179" fontId="43" fillId="26" borderId="17" xfId="56" applyNumberFormat="1" applyFont="1" applyFill="1" applyBorder="1" applyAlignment="1">
      <alignment horizontal="center" vertical="center" wrapText="1"/>
    </xf>
    <xf numFmtId="0" fontId="43" fillId="0" borderId="11" xfId="0" applyFont="1" applyBorder="1" applyAlignment="1">
      <alignment horizontal="center" vertical="center" wrapText="1"/>
    </xf>
    <xf numFmtId="0" fontId="43" fillId="0" borderId="86" xfId="0" applyFont="1" applyBorder="1" applyAlignment="1">
      <alignment horizontal="center" vertical="center" wrapText="1"/>
    </xf>
    <xf numFmtId="179" fontId="43" fillId="22" borderId="14" xfId="29" applyNumberFormat="1" applyFont="1" applyFill="1" applyBorder="1" applyAlignment="1">
      <alignment horizontal="center" vertical="center" wrapText="1"/>
    </xf>
    <xf numFmtId="179" fontId="43" fillId="22" borderId="62" xfId="29" applyNumberFormat="1" applyFont="1" applyFill="1" applyBorder="1" applyAlignment="1">
      <alignment horizontal="center" vertical="center" wrapText="1"/>
    </xf>
    <xf numFmtId="179" fontId="43" fillId="22" borderId="17" xfId="29" applyNumberFormat="1" applyFont="1" applyFill="1" applyBorder="1" applyAlignment="1">
      <alignment horizontal="center" vertical="center" wrapText="1"/>
    </xf>
    <xf numFmtId="179" fontId="43" fillId="25" borderId="11" xfId="29" applyNumberFormat="1" applyFont="1" applyFill="1" applyBorder="1" applyAlignment="1">
      <alignment horizontal="center" vertical="center" wrapText="1"/>
    </xf>
    <xf numFmtId="179" fontId="43" fillId="0" borderId="11" xfId="29" applyNumberFormat="1" applyFont="1" applyFill="1" applyBorder="1" applyAlignment="1">
      <alignment horizontal="center" vertical="center" wrapText="1"/>
    </xf>
    <xf numFmtId="179" fontId="43" fillId="4" borderId="58" xfId="29" applyNumberFormat="1" applyFont="1" applyFill="1" applyBorder="1" applyAlignment="1">
      <alignment horizontal="center" vertical="center" wrapText="1"/>
    </xf>
    <xf numFmtId="179" fontId="43" fillId="4" borderId="31" xfId="29" applyNumberFormat="1" applyFont="1" applyFill="1" applyBorder="1" applyAlignment="1">
      <alignment horizontal="center" vertical="center" wrapText="1"/>
    </xf>
    <xf numFmtId="179" fontId="43" fillId="4" borderId="30" xfId="29" applyNumberFormat="1" applyFont="1" applyFill="1" applyBorder="1" applyAlignment="1">
      <alignment horizontal="center" vertical="center" wrapText="1"/>
    </xf>
    <xf numFmtId="179" fontId="43" fillId="4" borderId="16" xfId="29" applyNumberFormat="1" applyFont="1" applyFill="1" applyBorder="1" applyAlignment="1">
      <alignment horizontal="center" vertical="center" wrapText="1"/>
    </xf>
    <xf numFmtId="179" fontId="44" fillId="25" borderId="11" xfId="29" applyNumberFormat="1" applyFont="1" applyFill="1" applyBorder="1" applyAlignment="1">
      <alignment horizontal="center"/>
    </xf>
    <xf numFmtId="179" fontId="43" fillId="4" borderId="11" xfId="29" applyNumberFormat="1" applyFont="1" applyFill="1" applyBorder="1" applyAlignment="1">
      <alignment horizontal="center" vertical="center" wrapText="1"/>
    </xf>
    <xf numFmtId="179" fontId="43" fillId="4" borderId="14" xfId="29" applyNumberFormat="1" applyFont="1" applyFill="1" applyBorder="1" applyAlignment="1">
      <alignment horizontal="center" vertical="center" wrapText="1"/>
    </xf>
    <xf numFmtId="179" fontId="43" fillId="39" borderId="58" xfId="56" applyNumberFormat="1" applyFont="1" applyFill="1" applyBorder="1" applyAlignment="1">
      <alignment horizontal="center" vertical="center" wrapText="1"/>
    </xf>
    <xf numFmtId="179" fontId="43" fillId="39" borderId="31" xfId="56" applyNumberFormat="1" applyFont="1" applyFill="1" applyBorder="1" applyAlignment="1">
      <alignment horizontal="center" vertical="center" wrapText="1"/>
    </xf>
    <xf numFmtId="2" fontId="28" fillId="0" borderId="13" xfId="28" applyNumberFormat="1" applyFont="1" applyBorder="1" applyAlignment="1">
      <alignment horizontal="center" vertical="center"/>
    </xf>
    <xf numFmtId="2" fontId="28" fillId="0" borderId="19" xfId="28" applyNumberFormat="1" applyFont="1" applyBorder="1" applyAlignment="1">
      <alignment horizontal="center" vertical="center"/>
    </xf>
    <xf numFmtId="2" fontId="28" fillId="0" borderId="11" xfId="28" applyNumberFormat="1" applyFont="1" applyBorder="1" applyAlignment="1">
      <alignment horizontal="center" vertical="center"/>
    </xf>
    <xf numFmtId="2" fontId="28" fillId="0" borderId="30" xfId="28" applyNumberFormat="1" applyFont="1" applyBorder="1" applyAlignment="1">
      <alignment horizontal="center" vertical="center"/>
    </xf>
    <xf numFmtId="2" fontId="28" fillId="0" borderId="61" xfId="28" applyNumberFormat="1" applyFont="1" applyBorder="1" applyAlignment="1">
      <alignment horizontal="center" vertical="center"/>
    </xf>
    <xf numFmtId="2" fontId="28" fillId="0" borderId="16" xfId="28" applyNumberFormat="1" applyFont="1" applyBorder="1" applyAlignment="1">
      <alignment horizontal="center" vertical="center"/>
    </xf>
    <xf numFmtId="2" fontId="28" fillId="27" borderId="30" xfId="28" applyNumberFormat="1" applyFont="1" applyFill="1" applyBorder="1" applyAlignment="1">
      <alignment horizontal="center" vertical="center"/>
    </xf>
    <xf numFmtId="2" fontId="28" fillId="27" borderId="61" xfId="28" applyNumberFormat="1" applyFont="1" applyFill="1" applyBorder="1" applyAlignment="1">
      <alignment horizontal="center" vertical="center"/>
    </xf>
    <xf numFmtId="2" fontId="28" fillId="0" borderId="30" xfId="28" quotePrefix="1" applyNumberFormat="1" applyFont="1" applyBorder="1" applyAlignment="1">
      <alignment horizontal="center" vertical="center"/>
    </xf>
    <xf numFmtId="2" fontId="0" fillId="0" borderId="13" xfId="28" applyNumberFormat="1" applyFont="1" applyBorder="1" applyAlignment="1">
      <alignment horizontal="center"/>
    </xf>
    <xf numFmtId="2" fontId="0" fillId="0" borderId="20" xfId="28" applyNumberFormat="1" applyFont="1" applyBorder="1" applyAlignment="1">
      <alignment horizontal="center"/>
    </xf>
    <xf numFmtId="2" fontId="0" fillId="0" borderId="19" xfId="28" applyNumberFormat="1" applyFont="1" applyBorder="1" applyAlignment="1">
      <alignment horizontal="center"/>
    </xf>
    <xf numFmtId="2" fontId="0" fillId="0" borderId="11" xfId="28" applyNumberFormat="1" applyFont="1" applyBorder="1" applyAlignment="1">
      <alignment horizontal="center" vertical="center"/>
    </xf>
    <xf numFmtId="2" fontId="28" fillId="0" borderId="20" xfId="28" applyNumberFormat="1" applyFont="1" applyBorder="1" applyAlignment="1">
      <alignment horizontal="center" vertical="center"/>
    </xf>
    <xf numFmtId="0" fontId="54" fillId="0" borderId="78" xfId="41" applyFont="1" applyBorder="1" applyAlignment="1">
      <alignment horizontal="center"/>
    </xf>
    <xf numFmtId="0" fontId="54" fillId="0" borderId="79" xfId="41" applyFont="1" applyBorder="1" applyAlignment="1">
      <alignment horizontal="center"/>
    </xf>
    <xf numFmtId="0" fontId="54" fillId="0" borderId="22" xfId="41" applyFont="1" applyBorder="1" applyAlignment="1">
      <alignment horizontal="center"/>
    </xf>
    <xf numFmtId="0" fontId="54" fillId="0" borderId="44" xfId="41" applyFont="1" applyBorder="1" applyAlignment="1">
      <alignment horizontal="center" vertical="center"/>
    </xf>
    <xf numFmtId="0" fontId="54" fillId="0" borderId="77" xfId="41" applyFont="1" applyBorder="1" applyAlignment="1">
      <alignment horizontal="center" vertical="center"/>
    </xf>
    <xf numFmtId="0" fontId="54" fillId="0" borderId="46" xfId="41" applyFont="1" applyBorder="1" applyAlignment="1">
      <alignment horizontal="center" vertical="center"/>
    </xf>
    <xf numFmtId="0" fontId="54" fillId="0" borderId="54" xfId="41" applyFont="1" applyBorder="1" applyAlignment="1">
      <alignment horizontal="center" vertical="center"/>
    </xf>
    <xf numFmtId="0" fontId="54" fillId="0" borderId="62" xfId="41" applyFont="1" applyBorder="1" applyAlignment="1">
      <alignment horizontal="center" vertical="center"/>
    </xf>
    <xf numFmtId="0" fontId="54" fillId="0" borderId="29" xfId="41" applyFont="1" applyBorder="1" applyAlignment="1">
      <alignment horizontal="center" vertical="center"/>
    </xf>
    <xf numFmtId="0" fontId="54" fillId="11" borderId="54" xfId="41" applyFont="1" applyFill="1" applyBorder="1" applyAlignment="1">
      <alignment horizontal="center" vertical="center" wrapText="1"/>
    </xf>
    <xf numFmtId="0" fontId="54" fillId="11" borderId="62" xfId="41" applyFont="1" applyFill="1" applyBorder="1" applyAlignment="1">
      <alignment horizontal="center" vertical="center" wrapText="1"/>
    </xf>
    <xf numFmtId="0" fontId="54" fillId="11" borderId="29" xfId="41" applyFont="1" applyFill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62" xfId="0" applyFont="1" applyBorder="1" applyAlignment="1">
      <alignment horizontal="center" vertical="center" wrapText="1"/>
    </xf>
    <xf numFmtId="0" fontId="28" fillId="0" borderId="29" xfId="0" applyFont="1" applyBorder="1" applyAlignment="1">
      <alignment horizontal="center" vertical="center" wrapText="1"/>
    </xf>
    <xf numFmtId="0" fontId="28" fillId="0" borderId="80" xfId="0" applyFont="1" applyBorder="1" applyAlignment="1">
      <alignment horizontal="center" vertical="center" wrapText="1"/>
    </xf>
    <xf numFmtId="0" fontId="28" fillId="0" borderId="82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28" fillId="0" borderId="13" xfId="0" quotePrefix="1" applyFont="1" applyBorder="1" applyAlignment="1">
      <alignment horizontal="center" vertical="center" wrapText="1"/>
    </xf>
    <xf numFmtId="0" fontId="28" fillId="0" borderId="20" xfId="0" quotePrefix="1" applyFont="1" applyBorder="1" applyAlignment="1">
      <alignment horizontal="center" vertical="center" wrapText="1"/>
    </xf>
    <xf numFmtId="0" fontId="28" fillId="0" borderId="19" xfId="0" quotePrefix="1" applyFont="1" applyBorder="1" applyAlignment="1">
      <alignment horizontal="center" vertical="center" wrapText="1"/>
    </xf>
    <xf numFmtId="0" fontId="28" fillId="0" borderId="80" xfId="0" quotePrefix="1" applyFont="1" applyBorder="1" applyAlignment="1">
      <alignment horizontal="center" vertical="center" wrapText="1"/>
    </xf>
    <xf numFmtId="0" fontId="28" fillId="0" borderId="81" xfId="0" quotePrefix="1" applyFont="1" applyBorder="1" applyAlignment="1">
      <alignment horizontal="center" vertical="center" wrapText="1"/>
    </xf>
    <xf numFmtId="0" fontId="28" fillId="0" borderId="82" xfId="0" quotePrefix="1" applyFont="1" applyBorder="1" applyAlignment="1">
      <alignment horizontal="center" vertical="center" wrapText="1"/>
    </xf>
    <xf numFmtId="0" fontId="28" fillId="0" borderId="81" xfId="0" applyFont="1" applyBorder="1" applyAlignment="1">
      <alignment horizontal="center" vertical="center" wrapText="1"/>
    </xf>
    <xf numFmtId="0" fontId="28" fillId="0" borderId="83" xfId="0" applyFont="1" applyBorder="1" applyAlignment="1">
      <alignment horizontal="center" vertical="center"/>
    </xf>
    <xf numFmtId="0" fontId="28" fillId="0" borderId="17" xfId="0" applyFont="1" applyBorder="1" applyAlignment="1">
      <alignment horizontal="center" vertical="center"/>
    </xf>
    <xf numFmtId="0" fontId="28" fillId="0" borderId="83" xfId="0" applyFont="1" applyBorder="1" applyAlignment="1">
      <alignment horizontal="center" vertical="center" wrapText="1"/>
    </xf>
    <xf numFmtId="0" fontId="28" fillId="0" borderId="17" xfId="0" applyFont="1" applyBorder="1" applyAlignment="1">
      <alignment horizontal="center" vertical="center" wrapText="1"/>
    </xf>
    <xf numFmtId="10" fontId="60" fillId="27" borderId="11" xfId="0" applyNumberFormat="1" applyFont="1" applyFill="1" applyBorder="1" applyAlignment="1">
      <alignment horizontal="center" vertical="center"/>
    </xf>
    <xf numFmtId="0" fontId="60" fillId="27" borderId="11" xfId="0" applyFont="1" applyFill="1" applyBorder="1" applyAlignment="1">
      <alignment horizontal="center" vertical="center"/>
    </xf>
    <xf numFmtId="0" fontId="57" fillId="27" borderId="11" xfId="0" applyFont="1" applyFill="1" applyBorder="1" applyAlignment="1">
      <alignment horizontal="center" vertical="top" wrapText="1"/>
    </xf>
    <xf numFmtId="0" fontId="57" fillId="27" borderId="11" xfId="0" applyFont="1" applyFill="1" applyBorder="1" applyAlignment="1">
      <alignment horizontal="center" vertical="center"/>
    </xf>
    <xf numFmtId="0" fontId="57" fillId="27" borderId="86" xfId="0" applyFont="1" applyFill="1" applyBorder="1" applyAlignment="1">
      <alignment horizontal="center" vertical="center" wrapText="1"/>
    </xf>
    <xf numFmtId="0" fontId="57" fillId="27" borderId="17" xfId="0" applyFont="1" applyFill="1" applyBorder="1" applyAlignment="1">
      <alignment horizontal="center" vertical="center" wrapText="1"/>
    </xf>
    <xf numFmtId="0" fontId="57" fillId="0" borderId="11" xfId="0" applyFont="1" applyBorder="1" applyAlignment="1">
      <alignment horizontal="center" vertical="center"/>
    </xf>
    <xf numFmtId="10" fontId="57" fillId="0" borderId="11" xfId="0" applyNumberFormat="1" applyFont="1" applyBorder="1" applyAlignment="1">
      <alignment horizontal="center" vertical="center"/>
    </xf>
    <xf numFmtId="0" fontId="57" fillId="0" borderId="86" xfId="0" applyFont="1" applyBorder="1" applyAlignment="1">
      <alignment horizontal="left" vertical="center"/>
    </xf>
    <xf numFmtId="0" fontId="57" fillId="0" borderId="17" xfId="0" applyFont="1" applyBorder="1" applyAlignment="1">
      <alignment horizontal="left" vertical="center"/>
    </xf>
    <xf numFmtId="10" fontId="59" fillId="0" borderId="11" xfId="0" applyNumberFormat="1" applyFont="1" applyBorder="1" applyAlignment="1">
      <alignment horizontal="center" vertical="center"/>
    </xf>
    <xf numFmtId="0" fontId="59" fillId="0" borderId="11" xfId="0" applyFont="1" applyBorder="1" applyAlignment="1">
      <alignment horizontal="center" vertical="center"/>
    </xf>
    <xf numFmtId="0" fontId="57" fillId="0" borderId="86" xfId="0" applyFont="1" applyBorder="1" applyAlignment="1">
      <alignment horizontal="center" vertical="center"/>
    </xf>
    <xf numFmtId="0" fontId="57" fillId="0" borderId="62" xfId="0" applyFont="1" applyBorder="1" applyAlignment="1">
      <alignment horizontal="center" vertical="center"/>
    </xf>
    <xf numFmtId="10" fontId="58" fillId="0" borderId="11" xfId="0" applyNumberFormat="1" applyFont="1" applyBorder="1" applyAlignment="1">
      <alignment horizontal="center" vertical="center"/>
    </xf>
    <xf numFmtId="0" fontId="57" fillId="0" borderId="11" xfId="0" applyFont="1" applyBorder="1" applyAlignment="1">
      <alignment horizontal="left" vertical="center"/>
    </xf>
    <xf numFmtId="10" fontId="2" fillId="0" borderId="11" xfId="50" applyNumberFormat="1" applyFont="1" applyFill="1" applyBorder="1" applyAlignment="1">
      <alignment horizontal="center" vertical="center"/>
    </xf>
    <xf numFmtId="0" fontId="57" fillId="0" borderId="62" xfId="0" applyFont="1" applyBorder="1" applyAlignment="1">
      <alignment horizontal="left" vertical="center"/>
    </xf>
    <xf numFmtId="10" fontId="2" fillId="0" borderId="86" xfId="50" applyNumberFormat="1" applyFont="1" applyFill="1" applyBorder="1" applyAlignment="1">
      <alignment horizontal="center" vertical="center"/>
    </xf>
    <xf numFmtId="10" fontId="2" fillId="0" borderId="62" xfId="50" applyNumberFormat="1" applyFont="1" applyFill="1" applyBorder="1" applyAlignment="1">
      <alignment horizontal="center" vertical="center"/>
    </xf>
    <xf numFmtId="10" fontId="2" fillId="0" borderId="17" xfId="50" applyNumberFormat="1" applyFont="1" applyFill="1" applyBorder="1" applyAlignment="1">
      <alignment horizontal="center" vertical="center"/>
    </xf>
    <xf numFmtId="0" fontId="57" fillId="27" borderId="11" xfId="0" applyFont="1" applyFill="1" applyBorder="1" applyAlignment="1">
      <alignment horizontal="center"/>
    </xf>
    <xf numFmtId="10" fontId="57" fillId="0" borderId="86" xfId="50" applyNumberFormat="1" applyFont="1" applyFill="1" applyBorder="1" applyAlignment="1">
      <alignment horizontal="center" vertical="center"/>
    </xf>
    <xf numFmtId="10" fontId="57" fillId="0" borderId="17" xfId="50" applyNumberFormat="1" applyFont="1" applyFill="1" applyBorder="1" applyAlignment="1">
      <alignment horizontal="center" vertical="center"/>
    </xf>
    <xf numFmtId="0" fontId="27" fillId="24" borderId="26" xfId="0" applyFont="1" applyFill="1" applyBorder="1" applyAlignment="1">
      <alignment horizontal="center"/>
    </xf>
    <xf numFmtId="0" fontId="27" fillId="24" borderId="44" xfId="0" applyFont="1" applyFill="1" applyBorder="1" applyAlignment="1" applyProtection="1">
      <alignment horizontal="center" vertical="center" textRotation="180" wrapText="1"/>
      <protection locked="0"/>
    </xf>
    <xf numFmtId="0" fontId="45" fillId="0" borderId="77" xfId="0" applyFont="1" applyBorder="1" applyAlignment="1" applyProtection="1">
      <alignment horizontal="center" vertical="center" textRotation="180" wrapText="1"/>
      <protection locked="0"/>
    </xf>
    <xf numFmtId="0" fontId="45" fillId="0" borderId="46" xfId="0" applyFont="1" applyBorder="1" applyAlignment="1" applyProtection="1">
      <alignment horizontal="center" vertical="center" textRotation="180" wrapText="1"/>
      <protection locked="0"/>
    </xf>
    <xf numFmtId="0" fontId="27" fillId="24" borderId="42" xfId="0" applyFont="1" applyFill="1" applyBorder="1" applyAlignment="1" applyProtection="1">
      <alignment horizontal="center" vertical="center" wrapText="1"/>
      <protection locked="0"/>
    </xf>
    <xf numFmtId="0" fontId="0" fillId="0" borderId="43" xfId="0" applyBorder="1" applyAlignment="1" applyProtection="1">
      <alignment horizontal="center" vertical="center" wrapText="1"/>
      <protection locked="0"/>
    </xf>
    <xf numFmtId="0" fontId="0" fillId="0" borderId="37" xfId="0" applyBorder="1" applyAlignment="1" applyProtection="1">
      <alignment horizontal="center" vertical="center" wrapText="1"/>
      <protection locked="0"/>
    </xf>
    <xf numFmtId="0" fontId="0" fillId="0" borderId="77" xfId="0" applyBorder="1" applyAlignment="1" applyProtection="1">
      <alignment horizontal="center" vertical="center" textRotation="180" wrapText="1"/>
      <protection locked="0"/>
    </xf>
    <xf numFmtId="0" fontId="0" fillId="0" borderId="46" xfId="0" applyBorder="1" applyAlignment="1" applyProtection="1">
      <alignment horizontal="center" vertical="center" textRotation="180" wrapText="1"/>
      <protection locked="0"/>
    </xf>
    <xf numFmtId="0" fontId="27" fillId="24" borderId="69" xfId="0" applyFont="1" applyFill="1" applyBorder="1" applyAlignment="1">
      <alignment horizontal="center"/>
    </xf>
    <xf numFmtId="0" fontId="27" fillId="24" borderId="70" xfId="0" applyFont="1" applyFill="1" applyBorder="1" applyAlignment="1">
      <alignment horizontal="center"/>
    </xf>
    <xf numFmtId="0" fontId="27" fillId="24" borderId="27" xfId="0" applyFont="1" applyFill="1" applyBorder="1" applyAlignment="1">
      <alignment horizontal="center"/>
    </xf>
    <xf numFmtId="0" fontId="27" fillId="24" borderId="19" xfId="0" applyFont="1" applyFill="1" applyBorder="1" applyAlignment="1">
      <alignment horizontal="center"/>
    </xf>
    <xf numFmtId="0" fontId="27" fillId="24" borderId="35" xfId="0" applyFont="1" applyFill="1" applyBorder="1" applyAlignment="1">
      <alignment horizontal="center"/>
    </xf>
    <xf numFmtId="0" fontId="27" fillId="24" borderId="33" xfId="0" applyFont="1" applyFill="1" applyBorder="1" applyAlignment="1">
      <alignment horizontal="center"/>
    </xf>
    <xf numFmtId="0" fontId="27" fillId="24" borderId="76" xfId="0" applyFont="1" applyFill="1" applyBorder="1" applyAlignment="1">
      <alignment horizontal="center"/>
    </xf>
    <xf numFmtId="0" fontId="27" fillId="24" borderId="74" xfId="0" applyFont="1" applyFill="1" applyBorder="1" applyAlignment="1">
      <alignment horizontal="center"/>
    </xf>
    <xf numFmtId="0" fontId="27" fillId="24" borderId="78" xfId="0" applyFont="1" applyFill="1" applyBorder="1" applyAlignment="1">
      <alignment horizontal="center"/>
    </xf>
    <xf numFmtId="0" fontId="27" fillId="24" borderId="22" xfId="0" applyFont="1" applyFill="1" applyBorder="1" applyAlignment="1">
      <alignment horizontal="center"/>
    </xf>
    <xf numFmtId="0" fontId="23" fillId="24" borderId="78" xfId="0" applyFont="1" applyFill="1" applyBorder="1" applyAlignment="1">
      <alignment horizontal="center"/>
    </xf>
    <xf numFmtId="0" fontId="23" fillId="24" borderId="22" xfId="0" applyFont="1" applyFill="1" applyBorder="1" applyAlignment="1">
      <alignment horizontal="center"/>
    </xf>
    <xf numFmtId="0" fontId="46" fillId="24" borderId="27" xfId="0" applyFont="1" applyFill="1" applyBorder="1" applyAlignment="1">
      <alignment horizontal="center"/>
    </xf>
  </cellXfs>
  <cellStyles count="5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Comma [0]" xfId="29" builtinId="6"/>
    <cellStyle name="Comma [0] 2" xfId="56"/>
    <cellStyle name="Comma 2 4 5 2" xfId="58"/>
    <cellStyle name="Comma_April_2" xfId="30"/>
    <cellStyle name="Comma_Juni" xfId="31"/>
    <cellStyle name="Explanatory Text" xfId="32" builtinId="53" customBuiltin="1"/>
    <cellStyle name="Good" xfId="33" builtinId="26" customBuiltin="1"/>
    <cellStyle name="Heading 1" xfId="34" builtinId="16" customBuiltin="1"/>
    <cellStyle name="Heading 2" xfId="35" builtinId="17" customBuiltin="1"/>
    <cellStyle name="Heading 3" xfId="36" builtinId="18" customBuiltin="1"/>
    <cellStyle name="Heading 4" xfId="37" builtinId="19" customBuiltin="1"/>
    <cellStyle name="Input" xfId="38" builtinId="20" customBuiltin="1"/>
    <cellStyle name="Linked Cell" xfId="39" builtinId="24" customBuiltin="1"/>
    <cellStyle name="Neutral" xfId="40" builtinId="28" customBuiltin="1"/>
    <cellStyle name="Normal" xfId="0" builtinId="0"/>
    <cellStyle name="Normal 2" xfId="41"/>
    <cellStyle name="Normal 3" xfId="42"/>
    <cellStyle name="Normal 4" xfId="57"/>
    <cellStyle name="Normal_April_3" xfId="43"/>
    <cellStyle name="Normal_DES 11_1" xfId="55"/>
    <cellStyle name="Normal_Juni" xfId="44"/>
    <cellStyle name="Normal_Juni_4" xfId="45"/>
    <cellStyle name="Normal_Mar_18" xfId="46"/>
    <cellStyle name="Normal_Mar_6" xfId="47"/>
    <cellStyle name="Note" xfId="48" builtinId="10" customBuiltin="1"/>
    <cellStyle name="Output" xfId="49" builtinId="21" customBuiltin="1"/>
    <cellStyle name="Percent" xfId="50" builtinId="5"/>
    <cellStyle name="Percent_Okt_6" xfId="51"/>
    <cellStyle name="Title" xfId="52" builtinId="15" customBuiltin="1"/>
    <cellStyle name="Total" xfId="53" builtinId="25" customBuiltin="1"/>
    <cellStyle name="Warning Text" xfId="54" builtinId="11" customBuiltin="1"/>
  </cellStyles>
  <dxfs count="40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2"/>
          <c:order val="1"/>
          <c:tx>
            <c:strRef>
              <c:f>Report1!$R$6</c:f>
              <c:strCache>
                <c:ptCount val="1"/>
                <c:pt idx="0">
                  <c:v>FINSHED GOODS (TON)</c:v>
                </c:pt>
              </c:strCache>
            </c:strRef>
          </c:tx>
          <c:marker>
            <c:symbol val="triangle"/>
            <c:size val="5"/>
          </c:marker>
          <c:cat>
            <c:numLit>
              <c:formatCode>General</c:formatCode>
              <c:ptCount val="31"/>
              <c:pt idx="0">
                <c:v>42736</c:v>
              </c:pt>
              <c:pt idx="1">
                <c:v>42737</c:v>
              </c:pt>
              <c:pt idx="2">
                <c:v>42738</c:v>
              </c:pt>
              <c:pt idx="3">
                <c:v>42739</c:v>
              </c:pt>
              <c:pt idx="4">
                <c:v>42740</c:v>
              </c:pt>
              <c:pt idx="5">
                <c:v>42741</c:v>
              </c:pt>
              <c:pt idx="6">
                <c:v>42742</c:v>
              </c:pt>
              <c:pt idx="7">
                <c:v>42743</c:v>
              </c:pt>
              <c:pt idx="8">
                <c:v>42744</c:v>
              </c:pt>
              <c:pt idx="9">
                <c:v>42745</c:v>
              </c:pt>
              <c:pt idx="10">
                <c:v>42746</c:v>
              </c:pt>
              <c:pt idx="11">
                <c:v>42747</c:v>
              </c:pt>
              <c:pt idx="12">
                <c:v>42748</c:v>
              </c:pt>
              <c:pt idx="13">
                <c:v>42749</c:v>
              </c:pt>
              <c:pt idx="14">
                <c:v>42750</c:v>
              </c:pt>
              <c:pt idx="15">
                <c:v>42751</c:v>
              </c:pt>
              <c:pt idx="16">
                <c:v>42752</c:v>
              </c:pt>
              <c:pt idx="17">
                <c:v>42753</c:v>
              </c:pt>
              <c:pt idx="18">
                <c:v>42754</c:v>
              </c:pt>
              <c:pt idx="19">
                <c:v>42755</c:v>
              </c:pt>
              <c:pt idx="20">
                <c:v>42756</c:v>
              </c:pt>
              <c:pt idx="21">
                <c:v>42757</c:v>
              </c:pt>
              <c:pt idx="22">
                <c:v>42758</c:v>
              </c:pt>
              <c:pt idx="23">
                <c:v>42759</c:v>
              </c:pt>
              <c:pt idx="24">
                <c:v>42760</c:v>
              </c:pt>
              <c:pt idx="25">
                <c:v>42761</c:v>
              </c:pt>
              <c:pt idx="26">
                <c:v>42762</c:v>
              </c:pt>
              <c:pt idx="27">
                <c:v>42763</c:v>
              </c:pt>
              <c:pt idx="28">
                <c:v>42764</c:v>
              </c:pt>
              <c:pt idx="29">
                <c:v>42765</c:v>
              </c:pt>
              <c:pt idx="30">
                <c:v>42766</c:v>
              </c:pt>
            </c:numLit>
          </c:cat>
          <c:val>
            <c:numRef>
              <c:f>Report1!$R$9:$R$39</c:f>
              <c:numCache>
                <c:formatCode>#,##0.000</c:formatCode>
                <c:ptCount val="31"/>
                <c:pt idx="0">
                  <c:v>60.009</c:v>
                </c:pt>
                <c:pt idx="1">
                  <c:v>44.423000000000002</c:v>
                </c:pt>
                <c:pt idx="2">
                  <c:v>49.814999999999998</c:v>
                </c:pt>
                <c:pt idx="3">
                  <c:v>0</c:v>
                </c:pt>
                <c:pt idx="4">
                  <c:v>33.343000000000004</c:v>
                </c:pt>
                <c:pt idx="5">
                  <c:v>38.427999999999997</c:v>
                </c:pt>
                <c:pt idx="6">
                  <c:v>48.44</c:v>
                </c:pt>
                <c:pt idx="7">
                  <c:v>45.993000000000002</c:v>
                </c:pt>
                <c:pt idx="8">
                  <c:v>51.213000000000001</c:v>
                </c:pt>
                <c:pt idx="9">
                  <c:v>56.856000000000002</c:v>
                </c:pt>
                <c:pt idx="10">
                  <c:v>47.02</c:v>
                </c:pt>
                <c:pt idx="11">
                  <c:v>59.353000000000002</c:v>
                </c:pt>
                <c:pt idx="12">
                  <c:v>57.131999999999998</c:v>
                </c:pt>
                <c:pt idx="13">
                  <c:v>66.549000000000007</c:v>
                </c:pt>
                <c:pt idx="14">
                  <c:v>67.039000000000001</c:v>
                </c:pt>
                <c:pt idx="15">
                  <c:v>62.822000000000003</c:v>
                </c:pt>
                <c:pt idx="16">
                  <c:v>55.435000000000002</c:v>
                </c:pt>
                <c:pt idx="17">
                  <c:v>45.792999999999999</c:v>
                </c:pt>
                <c:pt idx="18">
                  <c:v>67.891999999999996</c:v>
                </c:pt>
                <c:pt idx="19">
                  <c:v>67.406999999999996</c:v>
                </c:pt>
                <c:pt idx="20">
                  <c:v>67.566999999999993</c:v>
                </c:pt>
                <c:pt idx="21">
                  <c:v>72.754999999999995</c:v>
                </c:pt>
                <c:pt idx="22">
                  <c:v>75.751999999999995</c:v>
                </c:pt>
                <c:pt idx="23">
                  <c:v>75.150999999999996</c:v>
                </c:pt>
                <c:pt idx="24">
                  <c:v>72.998000000000005</c:v>
                </c:pt>
                <c:pt idx="25">
                  <c:v>78.66</c:v>
                </c:pt>
                <c:pt idx="26">
                  <c:v>75.625</c:v>
                </c:pt>
                <c:pt idx="27">
                  <c:v>70.376999999999995</c:v>
                </c:pt>
                <c:pt idx="28">
                  <c:v>50.091000000000001</c:v>
                </c:pt>
                <c:pt idx="29">
                  <c:v>52.561</c:v>
                </c:pt>
                <c:pt idx="30">
                  <c:v>57.401000000000003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896-48BC-A61D-8D2318089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9890944"/>
        <c:axId val="339892480"/>
      </c:lineChart>
      <c:lineChart>
        <c:grouping val="standard"/>
        <c:varyColors val="0"/>
        <c:ser>
          <c:idx val="0"/>
          <c:order val="0"/>
          <c:tx>
            <c:strRef>
              <c:f>Report1!$J$6</c:f>
              <c:strCache>
                <c:ptCount val="1"/>
                <c:pt idx="0">
                  <c:v>Eff FG vs Target (%)</c:v>
                </c:pt>
              </c:strCache>
            </c:strRef>
          </c:tx>
          <c:marker>
            <c:symbol val="diamond"/>
            <c:size val="5"/>
          </c:marker>
          <c:dPt>
            <c:idx val="21"/>
            <c:marker>
              <c:symbol val="auto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E896-48BC-A61D-8D23180890A5}"/>
              </c:ext>
            </c:extLst>
          </c:dPt>
          <c:cat>
            <c:numLit>
              <c:formatCode>General</c:formatCode>
              <c:ptCount val="1"/>
              <c:pt idx="0">
                <c:v>42736</c:v>
              </c:pt>
            </c:numLit>
          </c:cat>
          <c:val>
            <c:numRef>
              <c:f>Report1!$J$9:$J$39</c:f>
              <c:numCache>
                <c:formatCode>0.00%</c:formatCode>
                <c:ptCount val="31"/>
                <c:pt idx="0">
                  <c:v>0.90824861007949564</c:v>
                </c:pt>
                <c:pt idx="1">
                  <c:v>0.65938127879840291</c:v>
                </c:pt>
                <c:pt idx="2">
                  <c:v>0.73430614636134384</c:v>
                </c:pt>
                <c:pt idx="3">
                  <c:v>0</c:v>
                </c:pt>
                <c:pt idx="4">
                  <c:v>0.60005297785912048</c:v>
                </c:pt>
                <c:pt idx="5">
                  <c:v>0.73952524011373999</c:v>
                </c:pt>
                <c:pt idx="6">
                  <c:v>0.93770624821828241</c:v>
                </c:pt>
                <c:pt idx="7">
                  <c:v>0.88884951274430912</c:v>
                </c:pt>
                <c:pt idx="8">
                  <c:v>0.90604789250483486</c:v>
                </c:pt>
                <c:pt idx="9">
                  <c:v>0.83809515723217043</c:v>
                </c:pt>
                <c:pt idx="10">
                  <c:v>0.69310599220938263</c:v>
                </c:pt>
                <c:pt idx="11">
                  <c:v>0.88654408163706211</c:v>
                </c:pt>
                <c:pt idx="12">
                  <c:v>0.83773580124916069</c:v>
                </c:pt>
                <c:pt idx="13">
                  <c:v>0.97024599524167254</c:v>
                </c:pt>
                <c:pt idx="14">
                  <c:v>0.96773971894017297</c:v>
                </c:pt>
                <c:pt idx="15">
                  <c:v>0.98089677729809377</c:v>
                </c:pt>
                <c:pt idx="16">
                  <c:v>0.9745832458766398</c:v>
                </c:pt>
                <c:pt idx="17">
                  <c:v>0.83650676823668035</c:v>
                </c:pt>
                <c:pt idx="18">
                  <c:v>0.97205498475353191</c:v>
                </c:pt>
                <c:pt idx="19">
                  <c:v>0.96876695342168484</c:v>
                </c:pt>
                <c:pt idx="20">
                  <c:v>0.94964560424087108</c:v>
                </c:pt>
                <c:pt idx="21">
                  <c:v>0.96153220552770924</c:v>
                </c:pt>
                <c:pt idx="22">
                  <c:v>0.96970947490796799</c:v>
                </c:pt>
                <c:pt idx="23">
                  <c:v>0.98974383239487862</c:v>
                </c:pt>
                <c:pt idx="24">
                  <c:v>0.9541471716249299</c:v>
                </c:pt>
                <c:pt idx="25">
                  <c:v>0.9786274103675231</c:v>
                </c:pt>
                <c:pt idx="26">
                  <c:v>0.93182345350540607</c:v>
                </c:pt>
                <c:pt idx="27">
                  <c:v>0.95027087455278569</c:v>
                </c:pt>
                <c:pt idx="28">
                  <c:v>0.92274352011113803</c:v>
                </c:pt>
                <c:pt idx="29">
                  <c:v>0.97153986567971995</c:v>
                </c:pt>
                <c:pt idx="30">
                  <c:v>1.0004635914833877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E896-48BC-A61D-8D23180890A5}"/>
            </c:ext>
          </c:extLst>
        </c:ser>
        <c:ser>
          <c:idx val="1"/>
          <c:order val="2"/>
          <c:tx>
            <c:v>EFF TARGET TODATE</c:v>
          </c:tx>
          <c:marker>
            <c:symbol val="square"/>
            <c:size val="5"/>
          </c:marker>
          <c:cat>
            <c:numLit>
              <c:formatCode>General</c:formatCode>
              <c:ptCount val="1"/>
              <c:pt idx="0">
                <c:v>42736</c:v>
              </c:pt>
            </c:numLit>
          </c:cat>
          <c:val>
            <c:numRef>
              <c:f>Report1!$K$9:$K$39</c:f>
              <c:numCache>
                <c:formatCode>0.00%</c:formatCode>
                <c:ptCount val="31"/>
                <c:pt idx="0">
                  <c:v>0.90824861007949564</c:v>
                </c:pt>
                <c:pt idx="1">
                  <c:v>0.78260306081212916</c:v>
                </c:pt>
                <c:pt idx="2">
                  <c:v>0.76632514833747079</c:v>
                </c:pt>
                <c:pt idx="3">
                  <c:v>0.57315120911546868</c:v>
                </c:pt>
                <c:pt idx="4">
                  <c:v>0.57775515337177208</c:v>
                </c:pt>
                <c:pt idx="5">
                  <c:v>0.60007309443387991</c:v>
                </c:pt>
                <c:pt idx="6">
                  <c:v>0.64079475345687797</c:v>
                </c:pt>
                <c:pt idx="7">
                  <c:v>0.667532310503268</c:v>
                </c:pt>
                <c:pt idx="8">
                  <c:v>0.69265777118224325</c:v>
                </c:pt>
                <c:pt idx="9">
                  <c:v>0.70898163338493203</c:v>
                </c:pt>
                <c:pt idx="10">
                  <c:v>0.7073795699628922</c:v>
                </c:pt>
                <c:pt idx="11">
                  <c:v>0.72360625201752005</c:v>
                </c:pt>
                <c:pt idx="12">
                  <c:v>0.73324632455994976</c:v>
                </c:pt>
                <c:pt idx="13">
                  <c:v>0.75180329436010729</c:v>
                </c:pt>
                <c:pt idx="14">
                  <c:v>0.76762818527660659</c:v>
                </c:pt>
                <c:pt idx="15">
                  <c:v>0.78116105943058656</c:v>
                </c:pt>
                <c:pt idx="16">
                  <c:v>0.79148001649358601</c:v>
                </c:pt>
                <c:pt idx="17">
                  <c:v>0.79367898803254511</c:v>
                </c:pt>
                <c:pt idx="18">
                  <c:v>0.80414142587918669</c:v>
                </c:pt>
                <c:pt idx="19">
                  <c:v>0.81322984627694539</c:v>
                </c:pt>
                <c:pt idx="20">
                  <c:v>0.82051927389665946</c:v>
                </c:pt>
                <c:pt idx="21">
                  <c:v>0.82810172921338687</c:v>
                </c:pt>
                <c:pt idx="22">
                  <c:v>0.83554951687588874</c:v>
                </c:pt>
                <c:pt idx="23">
                  <c:v>0.84304872492235639</c:v>
                </c:pt>
                <c:pt idx="24">
                  <c:v>0.84823865558831446</c:v>
                </c:pt>
                <c:pt idx="25">
                  <c:v>0.85433860930445271</c:v>
                </c:pt>
                <c:pt idx="26">
                  <c:v>0.85783365939917677</c:v>
                </c:pt>
                <c:pt idx="27">
                  <c:v>0.86148806789491394</c:v>
                </c:pt>
                <c:pt idx="28">
                  <c:v>0.86321312845085363</c:v>
                </c:pt>
                <c:pt idx="29">
                  <c:v>0.86617044943061416</c:v>
                </c:pt>
                <c:pt idx="30">
                  <c:v>0.86994909984288449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E896-48BC-A61D-8D2318089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9899904"/>
        <c:axId val="339898368"/>
      </c:lineChart>
      <c:catAx>
        <c:axId val="339890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39892480"/>
        <c:crosses val="autoZero"/>
        <c:auto val="1"/>
        <c:lblAlgn val="ctr"/>
        <c:lblOffset val="100"/>
        <c:noMultiLvlLbl val="0"/>
      </c:catAx>
      <c:valAx>
        <c:axId val="339892480"/>
        <c:scaling>
          <c:orientation val="minMax"/>
        </c:scaling>
        <c:delete val="0"/>
        <c:axPos val="l"/>
        <c:majorGridlines/>
        <c:numFmt formatCode="#,##0.000" sourceLinked="1"/>
        <c:majorTickMark val="out"/>
        <c:minorTickMark val="none"/>
        <c:tickLblPos val="nextTo"/>
        <c:crossAx val="339890944"/>
        <c:crosses val="autoZero"/>
        <c:crossBetween val="between"/>
      </c:valAx>
      <c:valAx>
        <c:axId val="339898368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339899904"/>
        <c:crosses val="max"/>
        <c:crossBetween val="between"/>
      </c:valAx>
      <c:catAx>
        <c:axId val="3398999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339898368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0"/>
        <c:txPr>
          <a:bodyPr/>
          <a:lstStyle/>
          <a:p>
            <a:pPr rtl="0">
              <a:defRPr sz="900"/>
            </a:pPr>
            <a:endParaRPr lang="en-US"/>
          </a:p>
        </c:txPr>
      </c:dTable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16</xdr:col>
      <xdr:colOff>504824</xdr:colOff>
      <xdr:row>26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istrik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"/>
      <sheetName val="DailyJan"/>
      <sheetName val="Feb"/>
      <sheetName val="DailyFeb"/>
      <sheetName val="Mar"/>
      <sheetName val="DailyMar"/>
      <sheetName val="Apr"/>
      <sheetName val="DailyApr"/>
      <sheetName val="Mei"/>
      <sheetName val="DailyMei"/>
      <sheetName val="Jun"/>
      <sheetName val="DailyJun"/>
      <sheetName val="Jul"/>
      <sheetName val="DailyJul"/>
      <sheetName val="Aug"/>
      <sheetName val="DailyAug"/>
      <sheetName val="Sep"/>
      <sheetName val="DailySep"/>
      <sheetName val="Oct"/>
      <sheetName val="DailyOct"/>
      <sheetName val="Nov"/>
      <sheetName val="DailyNov"/>
      <sheetName val="Des"/>
      <sheetName val="DailyD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7">
          <cell r="D7">
            <v>0</v>
          </cell>
          <cell r="O7">
            <v>685.60000000002219</v>
          </cell>
          <cell r="P7">
            <v>0.10000000009313226</v>
          </cell>
          <cell r="Q7">
            <v>4734</v>
          </cell>
          <cell r="R7">
            <v>0</v>
          </cell>
          <cell r="S7">
            <v>15717.730000000198</v>
          </cell>
          <cell r="T7">
            <v>6168.3300000005456</v>
          </cell>
          <cell r="U7">
            <v>5837.33</v>
          </cell>
          <cell r="BH7">
            <v>29647</v>
          </cell>
          <cell r="BL7">
            <v>0</v>
          </cell>
        </row>
        <row r="8">
          <cell r="O8">
            <v>846.09999999997854</v>
          </cell>
          <cell r="P8">
            <v>0</v>
          </cell>
          <cell r="Q8">
            <v>4000</v>
          </cell>
          <cell r="R8">
            <v>0</v>
          </cell>
          <cell r="S8">
            <v>14721.849999998713</v>
          </cell>
          <cell r="T8">
            <v>5845.949999999847</v>
          </cell>
          <cell r="U8">
            <v>5373.95</v>
          </cell>
          <cell r="BH8">
            <v>18058</v>
          </cell>
          <cell r="BL8">
            <v>0</v>
          </cell>
        </row>
        <row r="9">
          <cell r="O9">
            <v>190.20000000000437</v>
          </cell>
          <cell r="P9">
            <v>4.1999999999534339</v>
          </cell>
          <cell r="Q9">
            <v>135</v>
          </cell>
          <cell r="R9">
            <v>0</v>
          </cell>
          <cell r="S9">
            <v>5534.2200000007233</v>
          </cell>
          <cell r="T9">
            <v>1774.42</v>
          </cell>
          <cell r="U9">
            <v>1983.42</v>
          </cell>
          <cell r="BH9">
            <v>509</v>
          </cell>
          <cell r="BL9">
            <v>0</v>
          </cell>
        </row>
        <row r="10">
          <cell r="O10">
            <v>506.20000000003529</v>
          </cell>
          <cell r="P10">
            <v>203.90000000002328</v>
          </cell>
          <cell r="Q10">
            <v>3638</v>
          </cell>
          <cell r="R10">
            <v>0</v>
          </cell>
          <cell r="S10">
            <v>11199.55999999931</v>
          </cell>
          <cell r="T10">
            <v>3910.7600000001821</v>
          </cell>
          <cell r="U10">
            <v>4108.76</v>
          </cell>
          <cell r="BH10">
            <v>1070</v>
          </cell>
          <cell r="BL10">
            <v>0</v>
          </cell>
        </row>
        <row r="11">
          <cell r="O11">
            <v>785.79999999999472</v>
          </cell>
          <cell r="P11">
            <v>1598.5</v>
          </cell>
          <cell r="Q11">
            <v>3569</v>
          </cell>
          <cell r="R11">
            <v>0</v>
          </cell>
          <cell r="S11">
            <v>14296.110000001096</v>
          </cell>
          <cell r="T11">
            <v>6148.910000000189</v>
          </cell>
          <cell r="U11">
            <v>5338.91</v>
          </cell>
          <cell r="BH11">
            <v>1280</v>
          </cell>
          <cell r="BL11">
            <v>20101.50000000004</v>
          </cell>
        </row>
        <row r="12">
          <cell r="O12">
            <v>926.09999999996262</v>
          </cell>
          <cell r="P12">
            <v>2027</v>
          </cell>
          <cell r="Q12">
            <v>3724</v>
          </cell>
          <cell r="R12">
            <v>0</v>
          </cell>
          <cell r="S12">
            <v>15590.889999998948</v>
          </cell>
          <cell r="T12">
            <v>7589.990000000138</v>
          </cell>
          <cell r="U12">
            <v>6612.99</v>
          </cell>
          <cell r="BH12">
            <v>1205</v>
          </cell>
          <cell r="BL12">
            <v>18360</v>
          </cell>
        </row>
        <row r="13">
          <cell r="O13">
            <v>913.80000000003747</v>
          </cell>
          <cell r="P13">
            <v>1961.2999999999302</v>
          </cell>
          <cell r="Q13">
            <v>3788</v>
          </cell>
          <cell r="R13">
            <v>0</v>
          </cell>
          <cell r="S13">
            <v>15677.990000000982</v>
          </cell>
          <cell r="T13">
            <v>7141.790000000291</v>
          </cell>
          <cell r="U13">
            <v>6209.79</v>
          </cell>
          <cell r="BH13">
            <v>1216</v>
          </cell>
          <cell r="BL13">
            <v>22082.999999999956</v>
          </cell>
        </row>
        <row r="14">
          <cell r="O14">
            <v>854.29999999996653</v>
          </cell>
          <cell r="P14">
            <v>1001.1000000000931</v>
          </cell>
          <cell r="Q14">
            <v>3944</v>
          </cell>
          <cell r="R14">
            <v>0</v>
          </cell>
          <cell r="S14">
            <v>15410.890000000398</v>
          </cell>
          <cell r="T14">
            <v>7029.1899999995776</v>
          </cell>
          <cell r="U14">
            <v>6104.19</v>
          </cell>
          <cell r="BH14">
            <v>1274</v>
          </cell>
          <cell r="BL14">
            <v>20129.600000000064</v>
          </cell>
        </row>
        <row r="15">
          <cell r="O15">
            <v>883.80000000000791</v>
          </cell>
          <cell r="P15">
            <v>9.9999999976716936E-2</v>
          </cell>
          <cell r="Q15">
            <v>3837</v>
          </cell>
          <cell r="R15">
            <v>0</v>
          </cell>
          <cell r="S15">
            <v>15665.359999999264</v>
          </cell>
          <cell r="T15">
            <v>7500.1600000002036</v>
          </cell>
          <cell r="U15">
            <v>6710.16</v>
          </cell>
          <cell r="BH15">
            <v>1300</v>
          </cell>
          <cell r="BL15">
            <v>27655.39999999998</v>
          </cell>
        </row>
        <row r="16">
          <cell r="O16">
            <v>748.10000000002219</v>
          </cell>
          <cell r="P16">
            <v>9.9999999976716936E-2</v>
          </cell>
          <cell r="Q16">
            <v>2963</v>
          </cell>
          <cell r="R16">
            <v>0</v>
          </cell>
          <cell r="S16">
            <v>13358.200000000632</v>
          </cell>
          <cell r="T16">
            <v>576.29999999999995</v>
          </cell>
          <cell r="U16">
            <v>4893.3</v>
          </cell>
          <cell r="BH16">
            <v>17663</v>
          </cell>
          <cell r="BL16">
            <v>16184.080000000049</v>
          </cell>
        </row>
        <row r="17">
          <cell r="O17">
            <v>921.19999999999891</v>
          </cell>
          <cell r="P17">
            <v>1648.5999999999767</v>
          </cell>
          <cell r="Q17">
            <v>4463</v>
          </cell>
          <cell r="R17">
            <v>0</v>
          </cell>
          <cell r="S17">
            <v>15411.419999999929</v>
          </cell>
          <cell r="T17">
            <v>7122.6200000000008</v>
          </cell>
          <cell r="U17">
            <v>5495.62</v>
          </cell>
          <cell r="BH17">
            <v>5382</v>
          </cell>
          <cell r="BL17">
            <v>24083.27999999993</v>
          </cell>
        </row>
        <row r="18">
          <cell r="O18">
            <v>904.2999999999779</v>
          </cell>
          <cell r="P18">
            <v>2605.5</v>
          </cell>
          <cell r="Q18">
            <v>4444</v>
          </cell>
          <cell r="R18">
            <v>0</v>
          </cell>
          <cell r="S18">
            <v>17994.939999999515</v>
          </cell>
          <cell r="T18">
            <v>8980.0400000000009</v>
          </cell>
          <cell r="U18">
            <v>7293.24</v>
          </cell>
          <cell r="BH18">
            <v>3557</v>
          </cell>
          <cell r="BL18">
            <v>24936.800000000028</v>
          </cell>
        </row>
        <row r="19">
          <cell r="O19">
            <v>945.69999999998799</v>
          </cell>
          <cell r="P19">
            <v>2653.4000000000233</v>
          </cell>
          <cell r="Q19">
            <v>4706</v>
          </cell>
          <cell r="R19">
            <v>0</v>
          </cell>
          <cell r="S19">
            <v>16969.710000000596</v>
          </cell>
          <cell r="T19">
            <v>8632.7099999999973</v>
          </cell>
          <cell r="U19">
            <v>6875.41</v>
          </cell>
          <cell r="BH19">
            <v>1442</v>
          </cell>
          <cell r="BL19">
            <v>22989.199999999979</v>
          </cell>
        </row>
        <row r="20">
          <cell r="O20">
            <v>950.89999999999009</v>
          </cell>
          <cell r="P20">
            <v>2978.5999999999767</v>
          </cell>
          <cell r="Q20">
            <v>5066</v>
          </cell>
          <cell r="R20">
            <v>0</v>
          </cell>
          <cell r="S20">
            <v>15692.510000000155</v>
          </cell>
          <cell r="T20">
            <v>7605.6099999999988</v>
          </cell>
          <cell r="U20">
            <v>5612.41</v>
          </cell>
          <cell r="BH20">
            <v>6473</v>
          </cell>
          <cell r="BL20">
            <v>28915.900000000212</v>
          </cell>
        </row>
        <row r="21">
          <cell r="O21">
            <v>990.70000000000391</v>
          </cell>
          <cell r="P21">
            <v>1567.7000000000698</v>
          </cell>
          <cell r="Q21">
            <v>5439</v>
          </cell>
          <cell r="R21">
            <v>0</v>
          </cell>
          <cell r="S21">
            <v>17139.84999999854</v>
          </cell>
          <cell r="T21">
            <v>8943.9500000000025</v>
          </cell>
          <cell r="U21">
            <v>7183.55</v>
          </cell>
          <cell r="BH21">
            <v>5259</v>
          </cell>
          <cell r="BL21">
            <v>25270.599999999813</v>
          </cell>
        </row>
        <row r="22">
          <cell r="O22">
            <v>792.40000000004329</v>
          </cell>
          <cell r="P22">
            <v>0</v>
          </cell>
          <cell r="Q22">
            <v>4681</v>
          </cell>
          <cell r="R22">
            <v>0</v>
          </cell>
          <cell r="S22">
            <v>15834.369999999884</v>
          </cell>
          <cell r="T22">
            <v>8118.1699999999973</v>
          </cell>
          <cell r="U22">
            <v>6495.77</v>
          </cell>
          <cell r="BH22">
            <v>5747</v>
          </cell>
          <cell r="BL22">
            <v>25085.000000000047</v>
          </cell>
        </row>
        <row r="23">
          <cell r="O23">
            <v>673.20000000000846</v>
          </cell>
          <cell r="P23">
            <v>1030</v>
          </cell>
          <cell r="Q23">
            <v>4428</v>
          </cell>
          <cell r="R23">
            <v>0</v>
          </cell>
          <cell r="S23">
            <v>16889.360000001521</v>
          </cell>
          <cell r="T23">
            <v>7041.2600000000039</v>
          </cell>
          <cell r="U23">
            <v>6328.5599999999995</v>
          </cell>
          <cell r="BH23">
            <v>5559</v>
          </cell>
          <cell r="BL23">
            <v>24513.500000000004</v>
          </cell>
        </row>
        <row r="24">
          <cell r="O24">
            <v>883.49999999996953</v>
          </cell>
          <cell r="P24">
            <v>2502.7999999999302</v>
          </cell>
          <cell r="Q24">
            <v>4047</v>
          </cell>
          <cell r="R24">
            <v>0</v>
          </cell>
          <cell r="S24">
            <v>16432.399999998648</v>
          </cell>
          <cell r="T24">
            <v>9146.4999999999927</v>
          </cell>
          <cell r="U24">
            <v>6218.9</v>
          </cell>
          <cell r="BH24">
            <v>5378</v>
          </cell>
          <cell r="BL24">
            <v>23550.79999999993</v>
          </cell>
        </row>
        <row r="25">
          <cell r="O25">
            <v>834.99999999997954</v>
          </cell>
          <cell r="P25">
            <v>2991.2000000000698</v>
          </cell>
          <cell r="Q25">
            <v>4340</v>
          </cell>
          <cell r="R25">
            <v>0</v>
          </cell>
          <cell r="S25">
            <v>16877.73000000024</v>
          </cell>
          <cell r="T25">
            <v>7580.4300000000039</v>
          </cell>
          <cell r="U25">
            <v>6321.73</v>
          </cell>
          <cell r="BH25">
            <v>4991</v>
          </cell>
          <cell r="BL25">
            <v>30277.499999999978</v>
          </cell>
        </row>
        <row r="26">
          <cell r="O26">
            <v>703.50000000001955</v>
          </cell>
          <cell r="P26">
            <v>3287.5999999999767</v>
          </cell>
          <cell r="Q26">
            <v>4365</v>
          </cell>
          <cell r="R26">
            <v>0</v>
          </cell>
          <cell r="S26">
            <v>15333.35999999969</v>
          </cell>
          <cell r="T26">
            <v>5343.9599999999982</v>
          </cell>
          <cell r="U26">
            <v>5322.86</v>
          </cell>
          <cell r="BH26">
            <v>5325</v>
          </cell>
          <cell r="BL26">
            <v>25131.400000000049</v>
          </cell>
        </row>
        <row r="27">
          <cell r="O27">
            <v>768.100000000004</v>
          </cell>
          <cell r="P27">
            <v>1420.0999999999767</v>
          </cell>
          <cell r="Q27">
            <v>4533</v>
          </cell>
          <cell r="R27">
            <v>0</v>
          </cell>
          <cell r="S27">
            <v>16358.490000000622</v>
          </cell>
          <cell r="T27">
            <v>5956.4900000000098</v>
          </cell>
          <cell r="U27">
            <v>6208.59</v>
          </cell>
          <cell r="BH27">
            <v>7027.8</v>
          </cell>
          <cell r="BL27">
            <v>28112.280000000148</v>
          </cell>
        </row>
        <row r="28">
          <cell r="O28">
            <v>788.20000000001755</v>
          </cell>
          <cell r="P28">
            <v>0</v>
          </cell>
          <cell r="Q28">
            <v>4104</v>
          </cell>
          <cell r="R28">
            <v>0</v>
          </cell>
          <cell r="S28">
            <v>15385.189999999648</v>
          </cell>
          <cell r="T28">
            <v>5523.8899999999894</v>
          </cell>
          <cell r="U28">
            <v>5600.39</v>
          </cell>
          <cell r="BH28">
            <v>3757</v>
          </cell>
          <cell r="BL28">
            <v>32279.876999999622</v>
          </cell>
        </row>
        <row r="29">
          <cell r="O29">
            <v>789.89999999998872</v>
          </cell>
          <cell r="P29">
            <v>0</v>
          </cell>
          <cell r="Q29">
            <v>3993</v>
          </cell>
          <cell r="R29">
            <v>0</v>
          </cell>
          <cell r="S29">
            <v>15911.30000000023</v>
          </cell>
          <cell r="T29">
            <v>6334.4000000000069</v>
          </cell>
          <cell r="U29">
            <v>6438.2</v>
          </cell>
          <cell r="BH29">
            <v>3863</v>
          </cell>
          <cell r="BL29">
            <v>32645.568000000323</v>
          </cell>
        </row>
        <row r="30">
          <cell r="O30">
            <v>749.19999999997344</v>
          </cell>
          <cell r="P30">
            <v>0</v>
          </cell>
          <cell r="Q30">
            <v>3959</v>
          </cell>
          <cell r="R30">
            <v>0</v>
          </cell>
          <cell r="S30">
            <v>15320.489999999954</v>
          </cell>
          <cell r="T30">
            <v>5548.79</v>
          </cell>
          <cell r="U30">
            <v>5898.69</v>
          </cell>
          <cell r="BH30">
            <v>1814</v>
          </cell>
          <cell r="BL30">
            <v>34432.134000000377</v>
          </cell>
        </row>
        <row r="31">
          <cell r="O31">
            <v>774.10000000003265</v>
          </cell>
          <cell r="P31">
            <v>0</v>
          </cell>
          <cell r="Q31">
            <v>4051</v>
          </cell>
          <cell r="R31">
            <v>0</v>
          </cell>
          <cell r="S31">
            <v>14853.830000000768</v>
          </cell>
          <cell r="T31">
            <v>5000.3299999999899</v>
          </cell>
          <cell r="U31">
            <v>5423.93</v>
          </cell>
          <cell r="BH31">
            <v>5280</v>
          </cell>
          <cell r="BL31">
            <v>35138.339999999997</v>
          </cell>
        </row>
        <row r="32">
          <cell r="O32">
            <v>771.70000000000982</v>
          </cell>
          <cell r="P32">
            <v>0</v>
          </cell>
          <cell r="Q32">
            <v>4216</v>
          </cell>
          <cell r="R32">
            <v>0</v>
          </cell>
          <cell r="S32">
            <v>16329.979999998826</v>
          </cell>
          <cell r="T32">
            <v>6254.6800000000076</v>
          </cell>
          <cell r="U32">
            <v>6615.68</v>
          </cell>
          <cell r="BH32">
            <v>4878</v>
          </cell>
          <cell r="BL32">
            <v>32710.399999999561</v>
          </cell>
        </row>
        <row r="33">
          <cell r="O33">
            <v>776.19999999996026</v>
          </cell>
          <cell r="P33">
            <v>0</v>
          </cell>
          <cell r="Q33">
            <v>4069</v>
          </cell>
          <cell r="R33">
            <v>0</v>
          </cell>
          <cell r="S33">
            <v>15671.330000000402</v>
          </cell>
          <cell r="T33">
            <v>5414.4300000000039</v>
          </cell>
          <cell r="U33">
            <v>5990.53</v>
          </cell>
          <cell r="BH33">
            <v>7848</v>
          </cell>
          <cell r="BL33">
            <v>32408.699999999892</v>
          </cell>
        </row>
        <row r="34">
          <cell r="O34">
            <v>729.00000000004184</v>
          </cell>
          <cell r="P34">
            <v>0</v>
          </cell>
          <cell r="Q34">
            <v>3922</v>
          </cell>
          <cell r="R34">
            <v>0</v>
          </cell>
          <cell r="S34">
            <v>15915.829999999378</v>
          </cell>
          <cell r="T34">
            <v>7812.4299999999939</v>
          </cell>
          <cell r="U34">
            <v>5470.83</v>
          </cell>
          <cell r="BH34">
            <v>22782</v>
          </cell>
          <cell r="BL34">
            <v>19288.800000000025</v>
          </cell>
        </row>
        <row r="35">
          <cell r="O35">
            <v>747.99999999999045</v>
          </cell>
          <cell r="P35">
            <v>1272</v>
          </cell>
          <cell r="Q35">
            <v>3878</v>
          </cell>
          <cell r="R35">
            <v>0</v>
          </cell>
          <cell r="S35">
            <v>15697.500000001319</v>
          </cell>
          <cell r="T35">
            <v>7473.8999999999933</v>
          </cell>
          <cell r="U35">
            <v>5037.5</v>
          </cell>
          <cell r="BH35">
            <v>24277</v>
          </cell>
          <cell r="BL35">
            <v>3430.5000000000064</v>
          </cell>
        </row>
        <row r="36">
          <cell r="O36">
            <v>733.69999999999891</v>
          </cell>
          <cell r="P36">
            <v>1686.8000000000466</v>
          </cell>
          <cell r="Q36">
            <v>3980</v>
          </cell>
          <cell r="R36">
            <v>0</v>
          </cell>
          <cell r="S36">
            <v>15910.799999999201</v>
          </cell>
          <cell r="T36">
            <v>7857.100000000004</v>
          </cell>
          <cell r="U36">
            <v>4991.5</v>
          </cell>
          <cell r="BH36">
            <v>24466</v>
          </cell>
          <cell r="BL36">
            <v>0</v>
          </cell>
        </row>
        <row r="37">
          <cell r="O37">
            <v>736.29999999997153</v>
          </cell>
          <cell r="P37">
            <v>1502.5999999999767</v>
          </cell>
          <cell r="Q37">
            <v>3843</v>
          </cell>
          <cell r="R37">
            <v>0</v>
          </cell>
          <cell r="S37">
            <v>15673.060000000974</v>
          </cell>
          <cell r="T37">
            <v>8012.360000000016</v>
          </cell>
          <cell r="U37">
            <v>5052.3599999999997</v>
          </cell>
          <cell r="BH37">
            <v>29179</v>
          </cell>
          <cell r="BL37">
            <v>0</v>
          </cell>
        </row>
        <row r="38">
          <cell r="V38">
            <v>1040322.1500000014</v>
          </cell>
          <cell r="BH38">
            <v>257506.8</v>
          </cell>
          <cell r="BL38">
            <v>629714.15899999999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K65536"/>
  <sheetViews>
    <sheetView zoomScaleNormal="100" workbookViewId="0">
      <pane xSplit="3" ySplit="8" topLeftCell="AO9" activePane="bottomRight" state="frozen"/>
      <selection pane="topRight" activeCell="E1" sqref="E1"/>
      <selection pane="bottomLeft" activeCell="A9" sqref="A9"/>
      <selection pane="bottomRight" activeCell="AZ9" sqref="AZ9"/>
    </sheetView>
  </sheetViews>
  <sheetFormatPr defaultRowHeight="12.75"/>
  <cols>
    <col min="1" max="1" width="7.42578125" style="283" bestFit="1" customWidth="1"/>
    <col min="2" max="2" width="12" style="282" bestFit="1" customWidth="1"/>
    <col min="3" max="3" width="12.28515625" style="282" bestFit="1" customWidth="1"/>
    <col min="4" max="5" width="8.42578125" style="282" customWidth="1"/>
    <col min="6" max="6" width="6.28515625" style="282" customWidth="1"/>
    <col min="7" max="7" width="8.28515625" style="282" customWidth="1"/>
    <col min="8" max="8" width="10.42578125" style="282" customWidth="1"/>
    <col min="9" max="9" width="12.28515625" style="282" customWidth="1"/>
    <col min="10" max="11" width="10.5703125" style="282" customWidth="1"/>
    <col min="12" max="12" width="10" style="284" bestFit="1" customWidth="1"/>
    <col min="13" max="15" width="9.42578125" style="285" customWidth="1"/>
    <col min="16" max="16" width="10.28515625" style="284" bestFit="1" customWidth="1"/>
    <col min="17" max="17" width="8.140625" style="285" customWidth="1"/>
    <col min="18" max="18" width="10.28515625" style="284" bestFit="1" customWidth="1"/>
    <col min="19" max="19" width="8.28515625" style="286" bestFit="1" customWidth="1"/>
    <col min="20" max="20" width="9" style="286" hidden="1" customWidth="1"/>
    <col min="21" max="21" width="7.28515625" style="286" hidden="1" customWidth="1"/>
    <col min="22" max="22" width="8.28515625" style="287" hidden="1" customWidth="1"/>
    <col min="23" max="23" width="7.28515625" style="288" hidden="1" customWidth="1"/>
    <col min="24" max="24" width="6.85546875" style="286" hidden="1" customWidth="1"/>
    <col min="25" max="25" width="6.28515625" style="286" hidden="1" customWidth="1"/>
    <col min="26" max="26" width="10" style="289" hidden="1" customWidth="1"/>
    <col min="27" max="27" width="7.140625" style="286" hidden="1" customWidth="1"/>
    <col min="28" max="28" width="11.140625" style="285" hidden="1" customWidth="1"/>
    <col min="29" max="29" width="10.140625" style="285" hidden="1" customWidth="1"/>
    <col min="30" max="30" width="7.5703125" style="285" hidden="1" customWidth="1"/>
    <col min="31" max="31" width="7.140625" style="285" hidden="1" customWidth="1"/>
    <col min="32" max="32" width="6.5703125" style="290" hidden="1" customWidth="1"/>
    <col min="33" max="33" width="6.85546875" style="288" hidden="1" customWidth="1"/>
    <col min="34" max="34" width="9.28515625" style="286" bestFit="1" customWidth="1"/>
    <col min="35" max="35" width="7.85546875" style="286" customWidth="1"/>
    <col min="36" max="36" width="8.7109375" style="289" bestFit="1" customWidth="1"/>
    <col min="37" max="37" width="6.85546875" style="289" bestFit="1" customWidth="1"/>
    <col min="38" max="38" width="8.140625" style="286" bestFit="1" customWidth="1"/>
    <col min="39" max="39" width="7.5703125" style="289" bestFit="1" customWidth="1"/>
    <col min="40" max="45" width="7.5703125" style="289" customWidth="1"/>
    <col min="46" max="47" width="10.7109375" style="286" bestFit="1" customWidth="1"/>
    <col min="48" max="51" width="7.5703125" style="289" customWidth="1"/>
    <col min="58" max="59" width="9.140625" style="96"/>
    <col min="60" max="60" width="8.7109375" style="284" customWidth="1"/>
    <col min="61" max="61" width="8.7109375" style="285" customWidth="1"/>
    <col min="62" max="63" width="8.7109375" style="282" customWidth="1"/>
  </cols>
  <sheetData>
    <row r="1" spans="1:63" ht="12.75" customHeight="1">
      <c r="A1" s="281"/>
    </row>
    <row r="2" spans="1:63">
      <c r="A2" s="281"/>
    </row>
    <row r="3" spans="1:63" ht="12.75" customHeight="1">
      <c r="A3" s="462" t="s">
        <v>196</v>
      </c>
      <c r="B3" s="462"/>
      <c r="C3" s="462"/>
      <c r="D3" s="462"/>
      <c r="E3" s="462"/>
      <c r="F3" s="462"/>
      <c r="G3" s="462"/>
      <c r="H3" s="462"/>
      <c r="I3" s="462"/>
      <c r="J3" s="462"/>
      <c r="K3" s="462"/>
      <c r="L3" s="462"/>
      <c r="M3" s="462"/>
      <c r="N3" s="462"/>
      <c r="O3" s="462"/>
      <c r="P3" s="462"/>
      <c r="Q3" s="462"/>
      <c r="R3" s="462"/>
      <c r="S3" s="462"/>
      <c r="T3" s="462"/>
      <c r="U3" s="462"/>
      <c r="V3" s="462"/>
      <c r="W3" s="462"/>
      <c r="X3" s="462"/>
      <c r="Y3" s="462"/>
      <c r="Z3" s="462"/>
      <c r="AA3" s="462"/>
      <c r="AB3" s="462"/>
      <c r="AC3" s="462"/>
      <c r="AD3" s="462"/>
      <c r="AE3" s="462"/>
      <c r="AF3" s="462"/>
      <c r="AG3" s="462"/>
      <c r="AH3" s="462"/>
      <c r="AI3" s="462"/>
      <c r="AJ3" s="462"/>
      <c r="AK3" s="462"/>
      <c r="AL3" s="462"/>
      <c r="AM3" s="462"/>
      <c r="AN3" s="462"/>
      <c r="AO3" s="462"/>
      <c r="AP3" s="462"/>
      <c r="AQ3" s="462"/>
      <c r="AR3" s="462"/>
      <c r="AS3" s="462"/>
      <c r="AT3" s="462"/>
      <c r="AU3" s="462"/>
      <c r="AV3" s="462"/>
      <c r="AW3" s="462"/>
      <c r="AX3" s="462"/>
      <c r="AY3" s="462"/>
      <c r="AZ3" s="462"/>
      <c r="BA3" s="462"/>
      <c r="BB3" s="462"/>
      <c r="BC3" s="462"/>
      <c r="BH3"/>
      <c r="BI3"/>
      <c r="BJ3"/>
      <c r="BK3"/>
    </row>
    <row r="4" spans="1:63" ht="12.75" customHeight="1">
      <c r="A4" s="462"/>
      <c r="B4" s="462"/>
      <c r="C4" s="462"/>
      <c r="D4" s="462"/>
      <c r="E4" s="462"/>
      <c r="F4" s="462"/>
      <c r="G4" s="462"/>
      <c r="H4" s="462"/>
      <c r="I4" s="462"/>
      <c r="J4" s="462"/>
      <c r="K4" s="462"/>
      <c r="L4" s="462"/>
      <c r="M4" s="462"/>
      <c r="N4" s="462"/>
      <c r="O4" s="462"/>
      <c r="P4" s="462"/>
      <c r="Q4" s="462"/>
      <c r="R4" s="462"/>
      <c r="S4" s="462"/>
      <c r="T4" s="462"/>
      <c r="U4" s="462"/>
      <c r="V4" s="462"/>
      <c r="W4" s="462"/>
      <c r="X4" s="462"/>
      <c r="Y4" s="462"/>
      <c r="Z4" s="462"/>
      <c r="AA4" s="462"/>
      <c r="AB4" s="462"/>
      <c r="AC4" s="462"/>
      <c r="AD4" s="462"/>
      <c r="AE4" s="462"/>
      <c r="AF4" s="462"/>
      <c r="AG4" s="462"/>
      <c r="AH4" s="462"/>
      <c r="AI4" s="462"/>
      <c r="AJ4" s="462"/>
      <c r="AK4" s="462"/>
      <c r="AL4" s="462"/>
      <c r="AM4" s="462"/>
      <c r="AN4" s="462"/>
      <c r="AO4" s="462"/>
      <c r="AP4" s="462"/>
      <c r="AQ4" s="462"/>
      <c r="AR4" s="462"/>
      <c r="AS4" s="462"/>
      <c r="AT4" s="462"/>
      <c r="AU4" s="462"/>
      <c r="AV4" s="462"/>
      <c r="AW4" s="462"/>
      <c r="AX4" s="462"/>
      <c r="AY4" s="462"/>
      <c r="AZ4" s="462"/>
      <c r="BA4" s="462"/>
      <c r="BB4" s="462"/>
      <c r="BC4" s="462"/>
      <c r="BH4"/>
      <c r="BI4"/>
      <c r="BJ4"/>
      <c r="BK4"/>
    </row>
    <row r="5" spans="1:63">
      <c r="BJ5" s="285"/>
      <c r="BK5" s="285"/>
    </row>
    <row r="6" spans="1:63" ht="22.7" customHeight="1">
      <c r="A6" s="616" t="s">
        <v>31</v>
      </c>
      <c r="B6" s="619" t="s">
        <v>5</v>
      </c>
      <c r="C6" s="619" t="s">
        <v>6</v>
      </c>
      <c r="D6" s="619" t="s">
        <v>189</v>
      </c>
      <c r="E6" s="619" t="s">
        <v>190</v>
      </c>
      <c r="F6" s="619" t="s">
        <v>191</v>
      </c>
      <c r="G6" s="619" t="s">
        <v>197</v>
      </c>
      <c r="H6" s="619" t="s">
        <v>192</v>
      </c>
      <c r="I6" s="619" t="s">
        <v>193</v>
      </c>
      <c r="J6" s="620" t="s">
        <v>194</v>
      </c>
      <c r="K6" s="621"/>
      <c r="L6" s="615" t="s">
        <v>195</v>
      </c>
      <c r="M6" s="615"/>
      <c r="N6" s="615" t="s">
        <v>198</v>
      </c>
      <c r="O6" s="615"/>
      <c r="P6" s="628" t="s">
        <v>32</v>
      </c>
      <c r="Q6" s="628"/>
      <c r="R6" s="626" t="s">
        <v>24</v>
      </c>
      <c r="S6" s="626"/>
      <c r="T6" s="626" t="s">
        <v>33</v>
      </c>
      <c r="U6" s="626"/>
      <c r="V6" s="626" t="s">
        <v>34</v>
      </c>
      <c r="W6" s="626"/>
      <c r="X6" s="626" t="s">
        <v>35</v>
      </c>
      <c r="Y6" s="626"/>
      <c r="Z6" s="626"/>
      <c r="AA6" s="626"/>
      <c r="AB6" s="626" t="s">
        <v>36</v>
      </c>
      <c r="AC6" s="626"/>
      <c r="AD6" s="626"/>
      <c r="AE6" s="626"/>
      <c r="AF6" s="626"/>
      <c r="AG6" s="626"/>
      <c r="AH6" s="626" t="s">
        <v>37</v>
      </c>
      <c r="AI6" s="626"/>
      <c r="AJ6" s="626"/>
      <c r="AK6" s="626"/>
      <c r="AL6" s="626"/>
      <c r="AM6" s="626"/>
      <c r="AN6" s="626" t="s">
        <v>188</v>
      </c>
      <c r="AO6" s="626"/>
      <c r="AP6" s="626"/>
      <c r="AQ6" s="626"/>
      <c r="AR6" s="626"/>
      <c r="AS6" s="626"/>
      <c r="AT6" s="626" t="s">
        <v>38</v>
      </c>
      <c r="AU6" s="626"/>
      <c r="AV6" s="626"/>
      <c r="AW6" s="626"/>
      <c r="AX6" s="626"/>
      <c r="AY6" s="626"/>
      <c r="AZ6" s="626" t="s">
        <v>187</v>
      </c>
      <c r="BA6" s="626"/>
      <c r="BB6" s="626"/>
      <c r="BC6" s="626"/>
      <c r="BD6" s="626"/>
      <c r="BE6" s="626"/>
      <c r="BF6" s="624" t="s">
        <v>301</v>
      </c>
      <c r="BG6" s="625"/>
      <c r="BH6" s="615" t="s">
        <v>369</v>
      </c>
      <c r="BI6" s="615"/>
      <c r="BJ6" s="620" t="s">
        <v>370</v>
      </c>
      <c r="BK6" s="621"/>
    </row>
    <row r="7" spans="1:63" ht="22.7" customHeight="1">
      <c r="A7" s="617"/>
      <c r="B7" s="619"/>
      <c r="C7" s="619"/>
      <c r="D7" s="619"/>
      <c r="E7" s="619"/>
      <c r="F7" s="619"/>
      <c r="G7" s="619"/>
      <c r="H7" s="619"/>
      <c r="I7" s="619"/>
      <c r="J7" s="622"/>
      <c r="K7" s="623"/>
      <c r="L7" s="615"/>
      <c r="M7" s="615"/>
      <c r="N7" s="615"/>
      <c r="O7" s="615"/>
      <c r="P7" s="628"/>
      <c r="Q7" s="628"/>
      <c r="R7" s="626"/>
      <c r="S7" s="626"/>
      <c r="T7" s="626"/>
      <c r="U7" s="626"/>
      <c r="V7" s="626"/>
      <c r="W7" s="626"/>
      <c r="X7" s="626" t="s">
        <v>41</v>
      </c>
      <c r="Y7" s="626"/>
      <c r="Z7" s="626" t="s">
        <v>40</v>
      </c>
      <c r="AA7" s="626"/>
      <c r="AB7" s="626" t="s">
        <v>41</v>
      </c>
      <c r="AC7" s="626"/>
      <c r="AD7" s="626" t="s">
        <v>39</v>
      </c>
      <c r="AE7" s="626"/>
      <c r="AF7" s="626" t="s">
        <v>40</v>
      </c>
      <c r="AG7" s="626"/>
      <c r="AH7" s="626" t="s">
        <v>41</v>
      </c>
      <c r="AI7" s="626"/>
      <c r="AJ7" s="627" t="s">
        <v>39</v>
      </c>
      <c r="AK7" s="627"/>
      <c r="AL7" s="626" t="s">
        <v>40</v>
      </c>
      <c r="AM7" s="626"/>
      <c r="AN7" s="626" t="s">
        <v>41</v>
      </c>
      <c r="AO7" s="626"/>
      <c r="AP7" s="627" t="s">
        <v>39</v>
      </c>
      <c r="AQ7" s="627"/>
      <c r="AR7" s="626" t="s">
        <v>40</v>
      </c>
      <c r="AS7" s="626"/>
      <c r="AT7" s="626" t="s">
        <v>41</v>
      </c>
      <c r="AU7" s="626"/>
      <c r="AV7" s="626" t="s">
        <v>27</v>
      </c>
      <c r="AW7" s="626"/>
      <c r="AX7" s="626" t="s">
        <v>28</v>
      </c>
      <c r="AY7" s="626"/>
      <c r="AZ7" s="626" t="s">
        <v>41</v>
      </c>
      <c r="BA7" s="626"/>
      <c r="BB7" s="626" t="s">
        <v>27</v>
      </c>
      <c r="BC7" s="626"/>
      <c r="BD7" s="626" t="s">
        <v>28</v>
      </c>
      <c r="BE7" s="626"/>
      <c r="BF7" s="528" t="s">
        <v>299</v>
      </c>
      <c r="BG7" s="528" t="s">
        <v>300</v>
      </c>
      <c r="BH7" s="615"/>
      <c r="BI7" s="615"/>
      <c r="BJ7" s="622"/>
      <c r="BK7" s="623"/>
    </row>
    <row r="8" spans="1:63" s="1" customFormat="1">
      <c r="A8" s="618"/>
      <c r="B8" s="619"/>
      <c r="C8" s="619"/>
      <c r="D8" s="619"/>
      <c r="E8" s="619"/>
      <c r="F8" s="619"/>
      <c r="G8" s="619"/>
      <c r="H8" s="619"/>
      <c r="I8" s="619"/>
      <c r="J8" s="469" t="s">
        <v>42</v>
      </c>
      <c r="K8" s="467" t="s">
        <v>43</v>
      </c>
      <c r="L8" s="291" t="s">
        <v>42</v>
      </c>
      <c r="M8" s="292" t="s">
        <v>43</v>
      </c>
      <c r="N8" s="291" t="s">
        <v>42</v>
      </c>
      <c r="O8" s="292" t="s">
        <v>43</v>
      </c>
      <c r="P8" s="291" t="s">
        <v>42</v>
      </c>
      <c r="Q8" s="292" t="s">
        <v>43</v>
      </c>
      <c r="R8" s="291" t="s">
        <v>42</v>
      </c>
      <c r="S8" s="293" t="s">
        <v>43</v>
      </c>
      <c r="T8" s="294" t="s">
        <v>42</v>
      </c>
      <c r="U8" s="293" t="s">
        <v>43</v>
      </c>
      <c r="V8" s="295" t="s">
        <v>42</v>
      </c>
      <c r="W8" s="292" t="s">
        <v>43</v>
      </c>
      <c r="X8" s="294" t="s">
        <v>42</v>
      </c>
      <c r="Y8" s="293" t="s">
        <v>43</v>
      </c>
      <c r="Z8" s="296" t="s">
        <v>42</v>
      </c>
      <c r="AA8" s="293" t="s">
        <v>43</v>
      </c>
      <c r="AB8" s="297" t="s">
        <v>42</v>
      </c>
      <c r="AC8" s="292" t="s">
        <v>43</v>
      </c>
      <c r="AD8" s="298" t="s">
        <v>42</v>
      </c>
      <c r="AE8" s="292" t="s">
        <v>43</v>
      </c>
      <c r="AF8" s="298" t="s">
        <v>42</v>
      </c>
      <c r="AG8" s="292" t="s">
        <v>43</v>
      </c>
      <c r="AH8" s="294" t="s">
        <v>42</v>
      </c>
      <c r="AI8" s="293" t="s">
        <v>43</v>
      </c>
      <c r="AJ8" s="296" t="s">
        <v>42</v>
      </c>
      <c r="AK8" s="299" t="s">
        <v>43</v>
      </c>
      <c r="AL8" s="294" t="s">
        <v>42</v>
      </c>
      <c r="AM8" s="299" t="s">
        <v>43</v>
      </c>
      <c r="AN8" s="294" t="s">
        <v>42</v>
      </c>
      <c r="AO8" s="293" t="s">
        <v>43</v>
      </c>
      <c r="AP8" s="296" t="s">
        <v>42</v>
      </c>
      <c r="AQ8" s="299" t="s">
        <v>43</v>
      </c>
      <c r="AR8" s="294" t="s">
        <v>42</v>
      </c>
      <c r="AS8" s="299" t="s">
        <v>43</v>
      </c>
      <c r="AT8" s="294" t="s">
        <v>42</v>
      </c>
      <c r="AU8" s="293" t="s">
        <v>43</v>
      </c>
      <c r="AV8" s="296" t="s">
        <v>42</v>
      </c>
      <c r="AW8" s="299" t="s">
        <v>43</v>
      </c>
      <c r="AX8" s="296" t="s">
        <v>42</v>
      </c>
      <c r="AY8" s="299" t="s">
        <v>43</v>
      </c>
      <c r="AZ8" s="294" t="s">
        <v>42</v>
      </c>
      <c r="BA8" s="293" t="s">
        <v>43</v>
      </c>
      <c r="BB8" s="296" t="s">
        <v>42</v>
      </c>
      <c r="BC8" s="299" t="s">
        <v>43</v>
      </c>
      <c r="BD8" s="296" t="s">
        <v>42</v>
      </c>
      <c r="BE8" s="299" t="s">
        <v>43</v>
      </c>
      <c r="BF8" s="530"/>
      <c r="BG8" s="530"/>
      <c r="BH8" s="291" t="s">
        <v>42</v>
      </c>
      <c r="BI8" s="292" t="s">
        <v>43</v>
      </c>
      <c r="BJ8" s="469" t="s">
        <v>42</v>
      </c>
      <c r="BK8" s="467" t="s">
        <v>43</v>
      </c>
    </row>
    <row r="9" spans="1:63">
      <c r="A9" s="18">
        <v>45992</v>
      </c>
      <c r="B9" s="448" t="s">
        <v>8</v>
      </c>
      <c r="C9" s="449">
        <v>38</v>
      </c>
      <c r="D9" s="453">
        <f>+'1'!F42</f>
        <v>383.81944444444446</v>
      </c>
      <c r="E9" s="453">
        <f>+'1'!G42</f>
        <v>337.76111111111112</v>
      </c>
      <c r="F9" s="50">
        <f t="shared" ref="F9:F39" si="0">1-(E9/D9)</f>
        <v>0.12</v>
      </c>
      <c r="G9" s="458">
        <f>+P9/N9</f>
        <v>1.0251410197131203</v>
      </c>
      <c r="H9" s="456">
        <f>+P9/L9</f>
        <v>0.91504431782209583</v>
      </c>
      <c r="I9" s="456">
        <f>+R9/P9</f>
        <v>0.99257335671044367</v>
      </c>
      <c r="J9" s="460">
        <f>+R9/L9</f>
        <v>0.90824861007949564</v>
      </c>
      <c r="K9" s="460">
        <f>+S9/M9</f>
        <v>0.90824861007949564</v>
      </c>
      <c r="L9" s="305">
        <f>+Efficiency1!K6</f>
        <v>66.071116799999984</v>
      </c>
      <c r="M9" s="300">
        <f>L9</f>
        <v>66.071116799999984</v>
      </c>
      <c r="N9" s="305">
        <f>+Efficiency1!C6</f>
        <v>58.975300799999999</v>
      </c>
      <c r="O9" s="300">
        <f>N9</f>
        <v>58.975300799999999</v>
      </c>
      <c r="P9" s="301">
        <f>'1'!I38</f>
        <v>60.457999999999998</v>
      </c>
      <c r="Q9" s="300">
        <f>P9</f>
        <v>60.457999999999998</v>
      </c>
      <c r="R9" s="16">
        <f>'1'!I40</f>
        <v>60.009</v>
      </c>
      <c r="S9" s="302">
        <f>R9</f>
        <v>60.009</v>
      </c>
      <c r="T9" s="8">
        <f t="shared" ref="T9:T38" si="1">R9/P9</f>
        <v>0.99257335671044367</v>
      </c>
      <c r="U9" s="8">
        <f t="shared" ref="U9:U38" si="2">S9/Q9</f>
        <v>0.99257335671044367</v>
      </c>
      <c r="V9" s="303">
        <f t="shared" ref="V9:V38" si="3">R9/L9</f>
        <v>0.90824861007949564</v>
      </c>
      <c r="W9" s="304">
        <f t="shared" ref="W9:W38" si="4">S9/M9</f>
        <v>0.90824861007949564</v>
      </c>
      <c r="X9" s="302"/>
      <c r="Y9" s="302"/>
      <c r="Z9" s="7"/>
      <c r="AA9" s="302"/>
      <c r="AB9" s="99">
        <v>0</v>
      </c>
      <c r="AC9" s="300">
        <f>AB9</f>
        <v>0</v>
      </c>
      <c r="AD9" s="300">
        <f t="shared" ref="AD9:AD39" si="5">AB9/P9</f>
        <v>0</v>
      </c>
      <c r="AE9" s="300">
        <f t="shared" ref="AE9:AE39" si="6">AC9/Q9</f>
        <v>0</v>
      </c>
      <c r="AF9" s="306">
        <f t="shared" ref="AF9:AF39" si="7">IF(AND(R9&gt;0,AB9&gt;0),(AB9/(R9*1000))*1000,0)</f>
        <v>0</v>
      </c>
      <c r="AG9" s="300">
        <f t="shared" ref="AG9:AG39" si="8">IF(AND(S9&gt;0,AC9&gt;0),AC9/S9,0)</f>
        <v>0</v>
      </c>
      <c r="AH9" s="563">
        <f t="shared" ref="AH9:AH39" si="9">+BF9+BG9</f>
        <v>100.193</v>
      </c>
      <c r="AI9" s="307">
        <f>AH9</f>
        <v>100.193</v>
      </c>
      <c r="AJ9" s="308">
        <f t="shared" ref="AJ9:AJ39" si="10">AH9/(P9)</f>
        <v>1.6572331205134143</v>
      </c>
      <c r="AK9" s="308">
        <f t="shared" ref="AK9:AK39" si="11">AI9/(Q9)</f>
        <v>1.6572331205134143</v>
      </c>
      <c r="AL9" s="305">
        <f t="shared" ref="AL9:AL39" si="12">IF(AND(R9&gt;0,AH9&gt;0),AH9/(R9),0)</f>
        <v>1.6696328884000733</v>
      </c>
      <c r="AM9" s="308">
        <f t="shared" ref="AM9:AM39" si="13">IF(AND(S9&gt;0,AI9&gt;0),AI9/(S9),0)</f>
        <v>1.6696328884000733</v>
      </c>
      <c r="AN9" s="99">
        <v>19.2</v>
      </c>
      <c r="AO9" s="307">
        <f>AN9</f>
        <v>19.2</v>
      </c>
      <c r="AP9" s="308">
        <f>AN9/(P9)</f>
        <v>0.31757583777167619</v>
      </c>
      <c r="AQ9" s="308">
        <f>AO9/(Q9)</f>
        <v>0.31757583777167619</v>
      </c>
      <c r="AR9" s="305">
        <f>IF(AND(R9&gt;0,AN9&gt;0),AN9/(R9),0)</f>
        <v>0.31995200719892014</v>
      </c>
      <c r="AS9" s="308">
        <f>IF(AND(S9&gt;0,AO9&gt;0),AO9/(S9),0)</f>
        <v>0.31995200719892014</v>
      </c>
      <c r="AT9" s="307">
        <f>'1'!I46</f>
        <v>33143.090000000862</v>
      </c>
      <c r="AU9" s="307">
        <f>AT9</f>
        <v>33143.090000000862</v>
      </c>
      <c r="AV9" s="308">
        <f t="shared" ref="AV9:AV39" si="14">IF(AND(L9&gt;0,AT9&gt;0),(AT9/(P9*1000)*1000),0)</f>
        <v>548.20023818189259</v>
      </c>
      <c r="AW9" s="308">
        <f t="shared" ref="AW9:AW39" si="15">IF(AND(M9&gt;0,AU9&gt;0),(AU9/(Q9*1000)*1000),0)</f>
        <v>548.20023818189259</v>
      </c>
      <c r="AX9" s="308">
        <f t="shared" ref="AX9:AX39" si="16">IF(AND(R9&gt;0,AT9&gt;0),(AT9/(R9*1000)*1000),0)</f>
        <v>552.30198803514236</v>
      </c>
      <c r="AY9" s="308">
        <f t="shared" ref="AY9:AY39" si="17">IF(AND(S9&gt;0,AU9&gt;0),(AU9/(S9*1000)*1000),0)</f>
        <v>552.30198803514236</v>
      </c>
      <c r="AZ9" s="307">
        <f>+Listrik!AH8</f>
        <v>29647</v>
      </c>
      <c r="BA9" s="307">
        <f>AZ9</f>
        <v>29647</v>
      </c>
      <c r="BB9" s="308">
        <f t="shared" ref="BB9:BB39" si="18">IF(AND(L9&gt;0,AZ9&gt;0),(AZ9/(P9*1000)*1000),0)</f>
        <v>490.37348241754609</v>
      </c>
      <c r="BC9" s="308">
        <f>IF(AND(M9&gt;0,BA9&gt;0),(BA9/(Q9*1000)*1000),0)</f>
        <v>490.37348241754609</v>
      </c>
      <c r="BD9" s="308">
        <f t="shared" ref="BD9:BD39" si="19">IF(AND(R9&gt;0,AZ9&gt;0),(AZ9/(R9*1000)*1000),0)</f>
        <v>494.04256028262427</v>
      </c>
      <c r="BE9" s="308">
        <f t="shared" ref="BE9:BE39" si="20">IF(AND(S9&gt;0,BA9&gt;0),(BA9/(S9*1000)*1000),0)</f>
        <v>494.04256028262427</v>
      </c>
      <c r="BF9" s="530">
        <v>2.7639999999999998</v>
      </c>
      <c r="BG9" s="531">
        <v>97.429000000000002</v>
      </c>
      <c r="BH9" s="551">
        <f>+Efficiency2!K6</f>
        <v>66.071116799999984</v>
      </c>
      <c r="BI9" s="552">
        <f>BH9</f>
        <v>66.071116799999984</v>
      </c>
      <c r="BJ9" s="553">
        <f>+R9/BH9</f>
        <v>0.90824861007949564</v>
      </c>
      <c r="BK9" s="553">
        <f>+S9/BI9</f>
        <v>0.90824861007949564</v>
      </c>
    </row>
    <row r="10" spans="1:63">
      <c r="A10" s="18">
        <f t="shared" ref="A10:A38" si="21">A9+1</f>
        <v>45993</v>
      </c>
      <c r="B10" s="448" t="s">
        <v>444</v>
      </c>
      <c r="C10" s="449" t="s">
        <v>443</v>
      </c>
      <c r="D10" s="453">
        <f>+'2'!F42</f>
        <v>602.92134831460669</v>
      </c>
      <c r="E10" s="453">
        <f>+'2'!G42</f>
        <v>520.81797752808984</v>
      </c>
      <c r="F10" s="50">
        <f t="shared" si="0"/>
        <v>0.13617592247484156</v>
      </c>
      <c r="G10" s="458">
        <f t="shared" ref="G10:G41" si="22">+P10/N10</f>
        <v>0.89735140531752289</v>
      </c>
      <c r="H10" s="456">
        <f t="shared" ref="H10:H39" si="23">+P10/L10</f>
        <v>0.76500577916824364</v>
      </c>
      <c r="I10" s="456">
        <f t="shared" ref="I10:I41" si="24">+R10/P10</f>
        <v>0.86192980073342518</v>
      </c>
      <c r="J10" s="460">
        <f t="shared" ref="J10:J41" si="25">+R10/L10</f>
        <v>0.65938127879840291</v>
      </c>
      <c r="K10" s="460">
        <f t="shared" ref="K10:K40" si="26">+S10/M10</f>
        <v>0.78260306081212916</v>
      </c>
      <c r="L10" s="305">
        <f>+SUM(Efficiency1!K10:K12)</f>
        <v>67.370732879999991</v>
      </c>
      <c r="M10" s="14">
        <f t="shared" ref="M10:O38" si="27">M9+L10</f>
        <v>133.44184967999996</v>
      </c>
      <c r="N10" s="305">
        <f>+SUM(Efficiency1!C10:C12)</f>
        <v>57.434578799999997</v>
      </c>
      <c r="O10" s="14">
        <f t="shared" si="27"/>
        <v>116.4098796</v>
      </c>
      <c r="P10" s="301">
        <f>'2'!I38</f>
        <v>51.539000000000001</v>
      </c>
      <c r="Q10" s="14">
        <f t="shared" ref="Q10:Q38" si="28">Q9+P10</f>
        <v>111.997</v>
      </c>
      <c r="R10" s="16">
        <f>'2'!I40</f>
        <v>44.423000000000002</v>
      </c>
      <c r="S10" s="302">
        <f t="shared" ref="S10:S38" si="29">S9+R10</f>
        <v>104.432</v>
      </c>
      <c r="T10" s="8">
        <f t="shared" si="1"/>
        <v>0.86192980073342518</v>
      </c>
      <c r="U10" s="8">
        <f t="shared" si="2"/>
        <v>0.93245354786288925</v>
      </c>
      <c r="V10" s="303">
        <f t="shared" si="3"/>
        <v>0.65938127879840291</v>
      </c>
      <c r="W10" s="304">
        <f t="shared" si="4"/>
        <v>0.78260306081212916</v>
      </c>
      <c r="X10" s="302"/>
      <c r="Y10" s="302"/>
      <c r="Z10" s="7"/>
      <c r="AA10" s="302"/>
      <c r="AB10" s="99">
        <v>0</v>
      </c>
      <c r="AC10" s="14">
        <f t="shared" ref="AC10:AC38" si="30">AB10+AC9</f>
        <v>0</v>
      </c>
      <c r="AD10" s="300">
        <f t="shared" si="5"/>
        <v>0</v>
      </c>
      <c r="AE10" s="300">
        <f t="shared" si="6"/>
        <v>0</v>
      </c>
      <c r="AF10" s="306">
        <f t="shared" si="7"/>
        <v>0</v>
      </c>
      <c r="AG10" s="300">
        <f t="shared" si="8"/>
        <v>0</v>
      </c>
      <c r="AH10" s="563">
        <f t="shared" si="9"/>
        <v>122.515</v>
      </c>
      <c r="AI10" s="302">
        <f t="shared" ref="AI10:AI38" si="31">AH10+AI9</f>
        <v>222.708</v>
      </c>
      <c r="AJ10" s="308">
        <f t="shared" si="10"/>
        <v>2.3771318807116941</v>
      </c>
      <c r="AK10" s="308">
        <f t="shared" si="11"/>
        <v>1.9885175495772207</v>
      </c>
      <c r="AL10" s="305">
        <f t="shared" si="12"/>
        <v>2.7579181955293426</v>
      </c>
      <c r="AM10" s="308">
        <f t="shared" si="13"/>
        <v>2.1325647311168989</v>
      </c>
      <c r="AN10" s="99">
        <v>16.8</v>
      </c>
      <c r="AO10" s="302">
        <f t="shared" ref="AO10:AO38" si="32">AN10+AO9</f>
        <v>36</v>
      </c>
      <c r="AP10" s="308">
        <f t="shared" ref="AP10:AP39" si="33">AN10/(P10)</f>
        <v>0.32596674363103667</v>
      </c>
      <c r="AQ10" s="308">
        <f t="shared" ref="AQ10:AQ39" si="34">AO10/(Q10)</f>
        <v>0.32143718135307198</v>
      </c>
      <c r="AR10" s="305">
        <f t="shared" ref="AR10:AR39" si="35">IF(AND(R10&gt;0,AN10&gt;0),AN10/(R10),0)</f>
        <v>0.37818247304324337</v>
      </c>
      <c r="AS10" s="308">
        <f t="shared" ref="AS10:AS39" si="36">IF(AND(S10&gt;0,AO10&gt;0),AO10/(S10),0)</f>
        <v>0.34472192431438636</v>
      </c>
      <c r="AT10" s="307">
        <f>'2'!I46</f>
        <v>30787.84999999854</v>
      </c>
      <c r="AU10" s="302">
        <f t="shared" ref="AU10:AU38" si="37">AT10+AU9</f>
        <v>63930.939999999406</v>
      </c>
      <c r="AV10" s="308">
        <f t="shared" si="14"/>
        <v>597.36995285121054</v>
      </c>
      <c r="AW10" s="308">
        <f t="shared" si="15"/>
        <v>570.82725430144922</v>
      </c>
      <c r="AX10" s="308">
        <f t="shared" si="16"/>
        <v>693.06102694546837</v>
      </c>
      <c r="AY10" s="308">
        <f t="shared" si="17"/>
        <v>612.17768500076033</v>
      </c>
      <c r="AZ10" s="307">
        <f>+Listrik!AH9</f>
        <v>18058</v>
      </c>
      <c r="BA10" s="302">
        <f t="shared" ref="BA10:BA38" si="38">AZ10+BA9</f>
        <v>47705</v>
      </c>
      <c r="BB10" s="308">
        <f t="shared" si="18"/>
        <v>350.37544383864645</v>
      </c>
      <c r="BC10" s="308">
        <f t="shared" ref="BC10:BC39" si="39">IF(AND(M10&gt;0,BA10&gt;0),(BA10/(Q10*1000)*1000),0)</f>
        <v>425.94890934578603</v>
      </c>
      <c r="BD10" s="308">
        <f t="shared" si="19"/>
        <v>406.50113679850529</v>
      </c>
      <c r="BE10" s="308">
        <f t="shared" si="20"/>
        <v>456.80442776160561</v>
      </c>
      <c r="BF10" s="530">
        <f>2.112</f>
        <v>2.1120000000000001</v>
      </c>
      <c r="BG10" s="531">
        <v>120.40300000000001</v>
      </c>
      <c r="BH10" s="551">
        <f>+SUM(Efficiency2!K10:K12)</f>
        <v>67.370732879999991</v>
      </c>
      <c r="BI10" s="552">
        <f t="shared" ref="BI10:BI38" si="40">BI9+BH10</f>
        <v>133.44184967999996</v>
      </c>
      <c r="BJ10" s="553">
        <f t="shared" ref="BJ10:BJ41" si="41">+R10/BH10</f>
        <v>0.65938127879840291</v>
      </c>
      <c r="BK10" s="553">
        <f t="shared" ref="BK10:BK39" si="42">+S10/BI10</f>
        <v>0.78260306081212916</v>
      </c>
    </row>
    <row r="11" spans="1:63">
      <c r="A11" s="18">
        <f t="shared" si="21"/>
        <v>45994</v>
      </c>
      <c r="B11" s="448" t="s">
        <v>439</v>
      </c>
      <c r="C11" s="449" t="s">
        <v>459</v>
      </c>
      <c r="D11" s="453">
        <f>+'3'!F42</f>
        <v>700</v>
      </c>
      <c r="E11" s="453">
        <f>+'3'!G42</f>
        <v>602</v>
      </c>
      <c r="F11" s="50">
        <f t="shared" si="0"/>
        <v>0.14000000000000001</v>
      </c>
      <c r="G11" s="458">
        <f t="shared" si="22"/>
        <v>0.82248984865263941</v>
      </c>
      <c r="H11" s="456">
        <f t="shared" si="23"/>
        <v>0.69366613741788874</v>
      </c>
      <c r="I11" s="456">
        <f t="shared" si="24"/>
        <v>1.0585872752773171</v>
      </c>
      <c r="J11" s="460">
        <f t="shared" si="25"/>
        <v>0.73430614636134384</v>
      </c>
      <c r="K11" s="460">
        <f t="shared" si="26"/>
        <v>0.76632514833747079</v>
      </c>
      <c r="L11" s="305">
        <f>+Efficiency1!K15</f>
        <v>67.839551999999998</v>
      </c>
      <c r="M11" s="14">
        <f t="shared" si="27"/>
        <v>201.28140167999996</v>
      </c>
      <c r="N11" s="305">
        <f>+Efficiency1!C15</f>
        <v>57.214080000000003</v>
      </c>
      <c r="O11" s="14">
        <f t="shared" si="27"/>
        <v>173.62395960000001</v>
      </c>
      <c r="P11" s="301">
        <f>'3'!I38</f>
        <v>47.058000000000007</v>
      </c>
      <c r="Q11" s="14">
        <f t="shared" si="28"/>
        <v>159.05500000000001</v>
      </c>
      <c r="R11" s="16">
        <f>'3'!I40</f>
        <v>49.814999999999998</v>
      </c>
      <c r="S11" s="302">
        <f t="shared" si="29"/>
        <v>154.24700000000001</v>
      </c>
      <c r="T11" s="8">
        <f t="shared" si="1"/>
        <v>1.0585872752773171</v>
      </c>
      <c r="U11" s="8">
        <f t="shared" si="2"/>
        <v>0.96977146270158121</v>
      </c>
      <c r="V11" s="303">
        <f t="shared" si="3"/>
        <v>0.73430614636134384</v>
      </c>
      <c r="W11" s="304">
        <f t="shared" si="4"/>
        <v>0.76632514833747079</v>
      </c>
      <c r="X11" s="302"/>
      <c r="Y11" s="302"/>
      <c r="Z11" s="7"/>
      <c r="AA11" s="302"/>
      <c r="AB11" s="99">
        <v>0</v>
      </c>
      <c r="AC11" s="14">
        <f t="shared" si="30"/>
        <v>0</v>
      </c>
      <c r="AD11" s="300">
        <f t="shared" si="5"/>
        <v>0</v>
      </c>
      <c r="AE11" s="300">
        <f t="shared" si="6"/>
        <v>0</v>
      </c>
      <c r="AF11" s="306">
        <f t="shared" si="7"/>
        <v>0</v>
      </c>
      <c r="AG11" s="300">
        <f t="shared" si="8"/>
        <v>0</v>
      </c>
      <c r="AH11" s="563">
        <f t="shared" si="9"/>
        <v>108.375</v>
      </c>
      <c r="AI11" s="302">
        <f t="shared" si="31"/>
        <v>331.08299999999997</v>
      </c>
      <c r="AJ11" s="308">
        <f t="shared" si="10"/>
        <v>2.303009052658421</v>
      </c>
      <c r="AK11" s="308">
        <f t="shared" si="11"/>
        <v>2.0815629813586494</v>
      </c>
      <c r="AL11" s="305">
        <f t="shared" si="12"/>
        <v>2.1755495332731107</v>
      </c>
      <c r="AM11" s="308">
        <f t="shared" si="13"/>
        <v>2.1464469325173257</v>
      </c>
      <c r="AN11" s="99">
        <v>9.8000000000000007</v>
      </c>
      <c r="AO11" s="302">
        <f t="shared" si="32"/>
        <v>45.8</v>
      </c>
      <c r="AP11" s="308">
        <f t="shared" si="33"/>
        <v>0.20825364443877767</v>
      </c>
      <c r="AQ11" s="308">
        <f t="shared" si="34"/>
        <v>0.28795070887428875</v>
      </c>
      <c r="AR11" s="305">
        <f t="shared" si="35"/>
        <v>0.19672789320485801</v>
      </c>
      <c r="AS11" s="308">
        <f t="shared" si="36"/>
        <v>0.29692635837325843</v>
      </c>
      <c r="AT11" s="307">
        <f>'3'!I46</f>
        <v>9621.4600000006812</v>
      </c>
      <c r="AU11" s="302">
        <f t="shared" si="37"/>
        <v>73552.400000000081</v>
      </c>
      <c r="AV11" s="308">
        <f t="shared" si="14"/>
        <v>204.45960304306772</v>
      </c>
      <c r="AW11" s="308">
        <f t="shared" si="15"/>
        <v>462.4337493319926</v>
      </c>
      <c r="AX11" s="308">
        <f t="shared" si="16"/>
        <v>193.14383217907621</v>
      </c>
      <c r="AY11" s="308">
        <f t="shared" si="17"/>
        <v>476.84817208762621</v>
      </c>
      <c r="AZ11" s="307">
        <f>+Listrik!AH10</f>
        <v>509</v>
      </c>
      <c r="BA11" s="302">
        <f t="shared" si="38"/>
        <v>48214</v>
      </c>
      <c r="BB11" s="308">
        <f t="shared" si="18"/>
        <v>10.816439287687533</v>
      </c>
      <c r="BC11" s="308">
        <f t="shared" si="39"/>
        <v>303.12784885731355</v>
      </c>
      <c r="BD11" s="308">
        <f t="shared" si="19"/>
        <v>10.217805881762521</v>
      </c>
      <c r="BE11" s="308">
        <f t="shared" si="20"/>
        <v>312.57658171633807</v>
      </c>
      <c r="BF11" s="530">
        <f>1.131</f>
        <v>1.131</v>
      </c>
      <c r="BG11" s="531">
        <v>107.244</v>
      </c>
      <c r="BH11" s="551">
        <f>+Efficiency2!K15</f>
        <v>55.590744000000001</v>
      </c>
      <c r="BI11" s="552">
        <f t="shared" si="40"/>
        <v>189.03259367999996</v>
      </c>
      <c r="BJ11" s="553">
        <f t="shared" si="41"/>
        <v>0.89610241589858908</v>
      </c>
      <c r="BK11" s="553">
        <f t="shared" si="42"/>
        <v>0.81598097448270723</v>
      </c>
    </row>
    <row r="12" spans="1:63">
      <c r="A12" s="18">
        <f t="shared" si="21"/>
        <v>45995</v>
      </c>
      <c r="B12" s="448" t="s">
        <v>439</v>
      </c>
      <c r="C12" s="594" t="s">
        <v>473</v>
      </c>
      <c r="D12" s="453">
        <f>+'4'!F42</f>
        <v>0</v>
      </c>
      <c r="E12" s="453">
        <f>+'4'!G42</f>
        <v>0</v>
      </c>
      <c r="F12" s="50" t="e">
        <f t="shared" si="0"/>
        <v>#DIV/0!</v>
      </c>
      <c r="G12" s="458">
        <f t="shared" si="22"/>
        <v>0</v>
      </c>
      <c r="H12" s="456">
        <f t="shared" si="23"/>
        <v>0</v>
      </c>
      <c r="I12" s="456" t="e">
        <f t="shared" si="24"/>
        <v>#DIV/0!</v>
      </c>
      <c r="J12" s="460">
        <f t="shared" si="25"/>
        <v>0</v>
      </c>
      <c r="K12" s="460">
        <f t="shared" si="26"/>
        <v>0.57315120911546868</v>
      </c>
      <c r="L12" s="305">
        <f>+Efficiency1!K20</f>
        <v>67.839551999999998</v>
      </c>
      <c r="M12" s="14">
        <f t="shared" si="27"/>
        <v>269.12095367999996</v>
      </c>
      <c r="N12" s="305">
        <f>+Efficiency1!C20</f>
        <v>57.214080000000003</v>
      </c>
      <c r="O12" s="14">
        <f t="shared" si="27"/>
        <v>230.8380396</v>
      </c>
      <c r="P12" s="301">
        <f>'4'!I38</f>
        <v>0</v>
      </c>
      <c r="Q12" s="14">
        <f t="shared" si="28"/>
        <v>159.05500000000001</v>
      </c>
      <c r="R12" s="16">
        <f>'4'!I40</f>
        <v>0</v>
      </c>
      <c r="S12" s="302">
        <f t="shared" si="29"/>
        <v>154.24700000000001</v>
      </c>
      <c r="T12" s="8" t="e">
        <f t="shared" si="1"/>
        <v>#DIV/0!</v>
      </c>
      <c r="U12" s="8">
        <f t="shared" si="2"/>
        <v>0.96977146270158121</v>
      </c>
      <c r="V12" s="303">
        <f t="shared" si="3"/>
        <v>0</v>
      </c>
      <c r="W12" s="304">
        <f t="shared" si="4"/>
        <v>0.57315120911546868</v>
      </c>
      <c r="X12" s="302"/>
      <c r="Y12" s="302"/>
      <c r="Z12" s="7"/>
      <c r="AA12" s="302"/>
      <c r="AB12" s="99">
        <v>0</v>
      </c>
      <c r="AC12" s="14">
        <f t="shared" si="30"/>
        <v>0</v>
      </c>
      <c r="AD12" s="300" t="e">
        <f t="shared" si="5"/>
        <v>#DIV/0!</v>
      </c>
      <c r="AE12" s="300">
        <f t="shared" si="6"/>
        <v>0</v>
      </c>
      <c r="AF12" s="306">
        <f t="shared" si="7"/>
        <v>0</v>
      </c>
      <c r="AG12" s="300">
        <f t="shared" si="8"/>
        <v>0</v>
      </c>
      <c r="AH12" s="563">
        <f t="shared" si="9"/>
        <v>6.1840000000000002</v>
      </c>
      <c r="AI12" s="302">
        <f t="shared" si="31"/>
        <v>337.267</v>
      </c>
      <c r="AJ12" s="308" t="e">
        <f t="shared" si="10"/>
        <v>#DIV/0!</v>
      </c>
      <c r="AK12" s="308">
        <f t="shared" si="11"/>
        <v>2.1204426141900599</v>
      </c>
      <c r="AL12" s="305">
        <f t="shared" si="12"/>
        <v>0</v>
      </c>
      <c r="AM12" s="308">
        <f t="shared" si="13"/>
        <v>2.1865384740059772</v>
      </c>
      <c r="AN12" s="99">
        <v>0</v>
      </c>
      <c r="AO12" s="302">
        <f t="shared" si="32"/>
        <v>45.8</v>
      </c>
      <c r="AP12" s="308" t="e">
        <f t="shared" si="33"/>
        <v>#DIV/0!</v>
      </c>
      <c r="AQ12" s="308">
        <f t="shared" si="34"/>
        <v>0.28795070887428875</v>
      </c>
      <c r="AR12" s="305">
        <f t="shared" si="35"/>
        <v>0</v>
      </c>
      <c r="AS12" s="308">
        <f t="shared" si="36"/>
        <v>0.29692635837325843</v>
      </c>
      <c r="AT12" s="307">
        <f>'4'!I46</f>
        <v>23567.179999999549</v>
      </c>
      <c r="AU12" s="302">
        <f t="shared" si="37"/>
        <v>97119.579999999638</v>
      </c>
      <c r="AV12" s="308" t="e">
        <f t="shared" si="14"/>
        <v>#DIV/0!</v>
      </c>
      <c r="AW12" s="308">
        <f t="shared" si="15"/>
        <v>610.60375341862652</v>
      </c>
      <c r="AX12" s="308">
        <f t="shared" si="16"/>
        <v>0</v>
      </c>
      <c r="AY12" s="308">
        <f t="shared" si="17"/>
        <v>629.63675144411002</v>
      </c>
      <c r="AZ12" s="307">
        <f>+Listrik!AH11</f>
        <v>1070</v>
      </c>
      <c r="BA12" s="302">
        <f t="shared" si="38"/>
        <v>49284</v>
      </c>
      <c r="BB12" s="308" t="e">
        <f t="shared" si="18"/>
        <v>#DIV/0!</v>
      </c>
      <c r="BC12" s="308">
        <f t="shared" si="39"/>
        <v>309.85508157555563</v>
      </c>
      <c r="BD12" s="308">
        <f t="shared" si="19"/>
        <v>0</v>
      </c>
      <c r="BE12" s="308">
        <f t="shared" si="20"/>
        <v>319.51350755606268</v>
      </c>
      <c r="BF12" s="530">
        <v>0.501</v>
      </c>
      <c r="BG12" s="531">
        <v>5.6829999999999998</v>
      </c>
      <c r="BH12" s="551">
        <f>+Efficiency2!K20</f>
        <v>12.248808</v>
      </c>
      <c r="BI12" s="552">
        <f t="shared" si="40"/>
        <v>201.28140167999996</v>
      </c>
      <c r="BJ12" s="553">
        <f t="shared" si="41"/>
        <v>0</v>
      </c>
      <c r="BK12" s="553">
        <f t="shared" si="42"/>
        <v>0.76632514833747079</v>
      </c>
    </row>
    <row r="13" spans="1:63">
      <c r="A13" s="18">
        <f t="shared" si="21"/>
        <v>45996</v>
      </c>
      <c r="B13" s="448" t="s">
        <v>8</v>
      </c>
      <c r="C13" s="449" t="s">
        <v>493</v>
      </c>
      <c r="D13" s="453">
        <f>+'5'!F42</f>
        <v>794.83982683982686</v>
      </c>
      <c r="E13" s="453">
        <f>+'5'!G42</f>
        <v>683.56225108225101</v>
      </c>
      <c r="F13" s="50">
        <f t="shared" si="0"/>
        <v>0.14000000000000012</v>
      </c>
      <c r="G13" s="458">
        <f t="shared" si="22"/>
        <v>0.74109904423056727</v>
      </c>
      <c r="H13" s="456">
        <f t="shared" si="23"/>
        <v>0.709704862635404</v>
      </c>
      <c r="I13" s="456">
        <f t="shared" si="24"/>
        <v>0.84549650065929616</v>
      </c>
      <c r="J13" s="460">
        <f t="shared" si="25"/>
        <v>0.60005297785912048</v>
      </c>
      <c r="K13" s="460">
        <f t="shared" si="26"/>
        <v>0.57775515337177208</v>
      </c>
      <c r="L13" s="305">
        <f>+Efficiency1!K26</f>
        <v>55.566760319999979</v>
      </c>
      <c r="M13" s="14">
        <f t="shared" si="27"/>
        <v>324.68771399999991</v>
      </c>
      <c r="N13" s="305">
        <f>+Efficiency1!C26</f>
        <v>53.212860422649335</v>
      </c>
      <c r="O13" s="14">
        <f t="shared" si="27"/>
        <v>284.05090002264933</v>
      </c>
      <c r="P13" s="301">
        <f>'5'!I38</f>
        <v>39.436</v>
      </c>
      <c r="Q13" s="14">
        <f t="shared" si="28"/>
        <v>198.49100000000001</v>
      </c>
      <c r="R13" s="16">
        <f>'5'!I40</f>
        <v>33.343000000000004</v>
      </c>
      <c r="S13" s="302">
        <f t="shared" si="29"/>
        <v>187.59000000000003</v>
      </c>
      <c r="T13" s="8">
        <f t="shared" si="1"/>
        <v>0.84549650065929616</v>
      </c>
      <c r="U13" s="8">
        <f t="shared" si="2"/>
        <v>0.94508063337884352</v>
      </c>
      <c r="V13" s="303">
        <f t="shared" si="3"/>
        <v>0.60005297785912048</v>
      </c>
      <c r="W13" s="304">
        <f t="shared" si="4"/>
        <v>0.57775515337177208</v>
      </c>
      <c r="X13" s="302"/>
      <c r="Y13" s="302"/>
      <c r="Z13" s="7"/>
      <c r="AA13" s="302"/>
      <c r="AB13" s="99">
        <v>0</v>
      </c>
      <c r="AC13" s="14">
        <f t="shared" si="30"/>
        <v>0</v>
      </c>
      <c r="AD13" s="300">
        <f t="shared" si="5"/>
        <v>0</v>
      </c>
      <c r="AE13" s="300">
        <f t="shared" si="6"/>
        <v>0</v>
      </c>
      <c r="AF13" s="306">
        <f t="shared" si="7"/>
        <v>0</v>
      </c>
      <c r="AG13" s="300">
        <f t="shared" si="8"/>
        <v>0</v>
      </c>
      <c r="AH13" s="563">
        <f t="shared" si="9"/>
        <v>109.386</v>
      </c>
      <c r="AI13" s="302">
        <f t="shared" si="31"/>
        <v>446.65300000000002</v>
      </c>
      <c r="AJ13" s="308">
        <f t="shared" si="10"/>
        <v>2.7737600162288265</v>
      </c>
      <c r="AK13" s="308">
        <f t="shared" si="11"/>
        <v>2.2502430840693028</v>
      </c>
      <c r="AL13" s="305">
        <f t="shared" si="12"/>
        <v>3.2806286177008661</v>
      </c>
      <c r="AM13" s="308">
        <f t="shared" si="13"/>
        <v>2.3810064502372192</v>
      </c>
      <c r="AN13" s="99">
        <v>7.5</v>
      </c>
      <c r="AO13" s="302">
        <f t="shared" si="32"/>
        <v>53.3</v>
      </c>
      <c r="AP13" s="308">
        <f t="shared" si="33"/>
        <v>0.1901815599959428</v>
      </c>
      <c r="AQ13" s="308">
        <f t="shared" si="34"/>
        <v>0.26852602888795962</v>
      </c>
      <c r="AR13" s="305">
        <f t="shared" si="35"/>
        <v>0.22493476891701406</v>
      </c>
      <c r="AS13" s="308">
        <f t="shared" si="36"/>
        <v>0.28413028413028407</v>
      </c>
      <c r="AT13" s="307">
        <f>'5'!I46</f>
        <v>31737.23000000128</v>
      </c>
      <c r="AU13" s="302">
        <f t="shared" si="37"/>
        <v>128856.81000000091</v>
      </c>
      <c r="AV13" s="308">
        <f t="shared" si="14"/>
        <v>804.77812151337059</v>
      </c>
      <c r="AW13" s="308">
        <f t="shared" si="15"/>
        <v>649.18212916455104</v>
      </c>
      <c r="AX13" s="308">
        <f t="shared" si="16"/>
        <v>951.84086614885518</v>
      </c>
      <c r="AY13" s="308">
        <f t="shared" si="17"/>
        <v>686.90660482968656</v>
      </c>
      <c r="AZ13" s="307">
        <f>+Listrik!AH12</f>
        <v>21381.50000000004</v>
      </c>
      <c r="BA13" s="302">
        <f t="shared" si="38"/>
        <v>70665.500000000044</v>
      </c>
      <c r="BB13" s="308">
        <f t="shared" si="18"/>
        <v>542.18227000710112</v>
      </c>
      <c r="BC13" s="308">
        <f t="shared" si="39"/>
        <v>356.01362278390479</v>
      </c>
      <c r="BD13" s="308">
        <f t="shared" si="19"/>
        <v>641.25903487988603</v>
      </c>
      <c r="BE13" s="308">
        <f t="shared" si="20"/>
        <v>376.70184977877301</v>
      </c>
      <c r="BF13" s="530">
        <f>0.024</f>
        <v>2.4E-2</v>
      </c>
      <c r="BG13" s="531">
        <v>109.36199999999999</v>
      </c>
      <c r="BH13" s="551">
        <f>+Efficiency2!K26</f>
        <v>55.566760319999979</v>
      </c>
      <c r="BI13" s="552">
        <f t="shared" si="40"/>
        <v>256.84816199999995</v>
      </c>
      <c r="BJ13" s="553">
        <f t="shared" si="41"/>
        <v>0.60005297785912048</v>
      </c>
      <c r="BK13" s="553">
        <f t="shared" si="42"/>
        <v>0.73035367876216328</v>
      </c>
    </row>
    <row r="14" spans="1:63">
      <c r="A14" s="18">
        <f t="shared" si="21"/>
        <v>45997</v>
      </c>
      <c r="B14" s="448" t="s">
        <v>444</v>
      </c>
      <c r="C14" s="449" t="s">
        <v>513</v>
      </c>
      <c r="D14" s="453">
        <f>+'6'!F42</f>
        <v>829.30981595092021</v>
      </c>
      <c r="E14" s="453">
        <f>+'6'!G42</f>
        <v>713.20644171779134</v>
      </c>
      <c r="F14" s="50">
        <f t="shared" si="0"/>
        <v>0.14000000000000001</v>
      </c>
      <c r="G14" s="458">
        <f t="shared" si="22"/>
        <v>0.81473424246148518</v>
      </c>
      <c r="H14" s="456">
        <f t="shared" si="23"/>
        <v>0.81407819057175579</v>
      </c>
      <c r="I14" s="456">
        <f t="shared" si="24"/>
        <v>0.90842040565457893</v>
      </c>
      <c r="J14" s="460">
        <f t="shared" si="25"/>
        <v>0.73952524011373999</v>
      </c>
      <c r="K14" s="460">
        <f t="shared" si="26"/>
        <v>0.60007309443387991</v>
      </c>
      <c r="L14" s="305">
        <f>+SUM(Efficiency1!K31:K32)</f>
        <v>51.963067540588227</v>
      </c>
      <c r="M14" s="14">
        <f t="shared" si="27"/>
        <v>376.65078154058813</v>
      </c>
      <c r="N14" s="305">
        <f>+SUM(Efficiency1!C31:C32)</f>
        <v>51.921225100588231</v>
      </c>
      <c r="O14" s="14">
        <f t="shared" si="27"/>
        <v>335.97212512323756</v>
      </c>
      <c r="P14" s="301">
        <f>'6'!I38</f>
        <v>42.302</v>
      </c>
      <c r="Q14" s="14">
        <f t="shared" si="28"/>
        <v>240.79300000000001</v>
      </c>
      <c r="R14" s="16">
        <f>'6'!I40</f>
        <v>38.427999999999997</v>
      </c>
      <c r="S14" s="302">
        <f t="shared" si="29"/>
        <v>226.01800000000003</v>
      </c>
      <c r="T14" s="8">
        <f t="shared" si="1"/>
        <v>0.90842040565457893</v>
      </c>
      <c r="U14" s="8">
        <f t="shared" si="2"/>
        <v>0.938640242864203</v>
      </c>
      <c r="V14" s="303">
        <f t="shared" si="3"/>
        <v>0.73952524011373999</v>
      </c>
      <c r="W14" s="304">
        <f t="shared" si="4"/>
        <v>0.60007309443387991</v>
      </c>
      <c r="X14" s="302"/>
      <c r="Y14" s="302"/>
      <c r="Z14" s="7"/>
      <c r="AA14" s="302"/>
      <c r="AB14" s="99">
        <v>0</v>
      </c>
      <c r="AC14" s="14">
        <f t="shared" si="30"/>
        <v>0</v>
      </c>
      <c r="AD14" s="300">
        <f t="shared" si="5"/>
        <v>0</v>
      </c>
      <c r="AE14" s="300">
        <f t="shared" si="6"/>
        <v>0</v>
      </c>
      <c r="AF14" s="306">
        <f t="shared" si="7"/>
        <v>0</v>
      </c>
      <c r="AG14" s="300">
        <f t="shared" si="8"/>
        <v>0</v>
      </c>
      <c r="AH14" s="563">
        <f t="shared" si="9"/>
        <v>124.375</v>
      </c>
      <c r="AI14" s="302">
        <f t="shared" si="31"/>
        <v>571.02800000000002</v>
      </c>
      <c r="AJ14" s="308">
        <f t="shared" si="10"/>
        <v>2.9401683135549148</v>
      </c>
      <c r="AK14" s="308">
        <f t="shared" si="11"/>
        <v>2.3714476749739402</v>
      </c>
      <c r="AL14" s="305">
        <f t="shared" si="12"/>
        <v>3.2365722910377852</v>
      </c>
      <c r="AM14" s="308">
        <f t="shared" si="13"/>
        <v>2.5264713429903809</v>
      </c>
      <c r="AN14" s="99">
        <v>8.9</v>
      </c>
      <c r="AO14" s="302">
        <f t="shared" si="32"/>
        <v>62.199999999999996</v>
      </c>
      <c r="AP14" s="308">
        <f t="shared" si="33"/>
        <v>0.21039194364332656</v>
      </c>
      <c r="AQ14" s="308">
        <f t="shared" si="34"/>
        <v>0.25831315694393109</v>
      </c>
      <c r="AR14" s="305">
        <f t="shared" si="35"/>
        <v>0.23160195690642243</v>
      </c>
      <c r="AS14" s="308">
        <f t="shared" si="36"/>
        <v>0.27519932040810902</v>
      </c>
      <c r="AT14" s="307">
        <f>'6'!I46</f>
        <v>36470.969999999048</v>
      </c>
      <c r="AU14" s="302">
        <f t="shared" si="37"/>
        <v>165327.77999999997</v>
      </c>
      <c r="AV14" s="308">
        <f t="shared" si="14"/>
        <v>862.15710841092732</v>
      </c>
      <c r="AW14" s="308">
        <f t="shared" si="15"/>
        <v>686.59711868700492</v>
      </c>
      <c r="AX14" s="308">
        <f t="shared" si="16"/>
        <v>949.07281149159598</v>
      </c>
      <c r="AY14" s="308">
        <f t="shared" si="17"/>
        <v>731.48059004150093</v>
      </c>
      <c r="AZ14" s="307">
        <f>+Listrik!AH13</f>
        <v>19565</v>
      </c>
      <c r="BA14" s="302">
        <f t="shared" si="38"/>
        <v>90230.500000000044</v>
      </c>
      <c r="BB14" s="308">
        <f t="shared" si="18"/>
        <v>462.50768285187462</v>
      </c>
      <c r="BC14" s="308">
        <f t="shared" si="39"/>
        <v>374.72227182683901</v>
      </c>
      <c r="BD14" s="308">
        <f t="shared" si="19"/>
        <v>509.13396481732065</v>
      </c>
      <c r="BE14" s="308">
        <f t="shared" si="20"/>
        <v>399.21820385986973</v>
      </c>
      <c r="BF14" s="530">
        <f>0.208</f>
        <v>0.20799999999999999</v>
      </c>
      <c r="BG14" s="531">
        <v>124.167</v>
      </c>
      <c r="BH14" s="551">
        <f>+SUM(Efficiency2!K31:K32)</f>
        <v>51.963067540588227</v>
      </c>
      <c r="BI14" s="552">
        <f t="shared" si="40"/>
        <v>308.81122954058816</v>
      </c>
      <c r="BJ14" s="553">
        <f t="shared" si="41"/>
        <v>0.73952524011373999</v>
      </c>
      <c r="BK14" s="553">
        <f t="shared" si="42"/>
        <v>0.73189695962883916</v>
      </c>
    </row>
    <row r="15" spans="1:63">
      <c r="A15" s="18">
        <f t="shared" si="21"/>
        <v>45998</v>
      </c>
      <c r="B15" s="448" t="s">
        <v>439</v>
      </c>
      <c r="C15" s="449" t="s">
        <v>514</v>
      </c>
      <c r="D15" s="453">
        <f>+'7'!F42</f>
        <v>830</v>
      </c>
      <c r="E15" s="453">
        <f>+'7'!G42</f>
        <v>713.8</v>
      </c>
      <c r="F15" s="50">
        <f t="shared" si="0"/>
        <v>0.14000000000000001</v>
      </c>
      <c r="G15" s="458">
        <f t="shared" si="22"/>
        <v>0.95447036074836156</v>
      </c>
      <c r="H15" s="456">
        <f t="shared" si="23"/>
        <v>0.95447036074836156</v>
      </c>
      <c r="I15" s="456">
        <f t="shared" si="24"/>
        <v>0.98243621465947351</v>
      </c>
      <c r="J15" s="460">
        <f t="shared" si="25"/>
        <v>0.93770624821828241</v>
      </c>
      <c r="K15" s="460">
        <f t="shared" si="26"/>
        <v>0.64079475345687797</v>
      </c>
      <c r="L15" s="305">
        <f>+Efficiency1!K38</f>
        <v>51.657968678399989</v>
      </c>
      <c r="M15" s="14">
        <f t="shared" si="27"/>
        <v>428.30875021898811</v>
      </c>
      <c r="N15" s="305">
        <f>+Efficiency1!C38</f>
        <v>51.657968678399989</v>
      </c>
      <c r="O15" s="14">
        <f t="shared" si="27"/>
        <v>387.63009380163754</v>
      </c>
      <c r="P15" s="301">
        <f>'7'!I38</f>
        <v>49.305999999999997</v>
      </c>
      <c r="Q15" s="14">
        <f t="shared" si="28"/>
        <v>290.09899999999999</v>
      </c>
      <c r="R15" s="16">
        <f>'7'!I40</f>
        <v>48.44</v>
      </c>
      <c r="S15" s="302">
        <f t="shared" si="29"/>
        <v>274.45800000000003</v>
      </c>
      <c r="T15" s="8">
        <f t="shared" si="1"/>
        <v>0.98243621465947351</v>
      </c>
      <c r="U15" s="8">
        <f t="shared" si="2"/>
        <v>0.9460839230745367</v>
      </c>
      <c r="V15" s="303">
        <f t="shared" si="3"/>
        <v>0.93770624821828241</v>
      </c>
      <c r="W15" s="304">
        <f t="shared" si="4"/>
        <v>0.64079475345687797</v>
      </c>
      <c r="X15" s="302"/>
      <c r="Y15" s="302"/>
      <c r="Z15" s="7"/>
      <c r="AA15" s="302"/>
      <c r="AB15" s="99">
        <v>0</v>
      </c>
      <c r="AC15" s="14">
        <f t="shared" si="30"/>
        <v>0</v>
      </c>
      <c r="AD15" s="300">
        <f t="shared" si="5"/>
        <v>0</v>
      </c>
      <c r="AE15" s="300">
        <f t="shared" si="6"/>
        <v>0</v>
      </c>
      <c r="AF15" s="306">
        <f t="shared" si="7"/>
        <v>0</v>
      </c>
      <c r="AG15" s="300">
        <f t="shared" si="8"/>
        <v>0</v>
      </c>
      <c r="AH15" s="563">
        <f t="shared" si="9"/>
        <v>124.12700000000001</v>
      </c>
      <c r="AI15" s="302">
        <f t="shared" si="31"/>
        <v>695.15499999999997</v>
      </c>
      <c r="AJ15" s="308">
        <f t="shared" si="10"/>
        <v>2.5174826593112405</v>
      </c>
      <c r="AK15" s="308">
        <f t="shared" si="11"/>
        <v>2.3962681705210978</v>
      </c>
      <c r="AL15" s="305">
        <f t="shared" si="12"/>
        <v>2.5624896779521058</v>
      </c>
      <c r="AM15" s="308">
        <f t="shared" si="13"/>
        <v>2.5328283380335055</v>
      </c>
      <c r="AN15" s="99">
        <v>8.8000000000000007</v>
      </c>
      <c r="AO15" s="302">
        <f t="shared" si="32"/>
        <v>71</v>
      </c>
      <c r="AP15" s="308">
        <f t="shared" si="33"/>
        <v>0.17847726443029249</v>
      </c>
      <c r="AQ15" s="308">
        <f t="shared" si="34"/>
        <v>0.24474403565679304</v>
      </c>
      <c r="AR15" s="305">
        <f t="shared" si="35"/>
        <v>0.18166804293971928</v>
      </c>
      <c r="AS15" s="308">
        <f t="shared" si="36"/>
        <v>0.2586916759577057</v>
      </c>
      <c r="AT15" s="307">
        <f>'7'!I46</f>
        <v>35692.670000001242</v>
      </c>
      <c r="AU15" s="302">
        <f t="shared" si="37"/>
        <v>201020.4500000012</v>
      </c>
      <c r="AV15" s="308">
        <f t="shared" si="14"/>
        <v>723.90114793333964</v>
      </c>
      <c r="AW15" s="308">
        <f t="shared" si="15"/>
        <v>692.93741102175875</v>
      </c>
      <c r="AX15" s="308">
        <f t="shared" si="16"/>
        <v>736.84289843107445</v>
      </c>
      <c r="AY15" s="308">
        <f t="shared" si="17"/>
        <v>732.42700158130276</v>
      </c>
      <c r="AZ15" s="307">
        <f>+Listrik!AH14</f>
        <v>23298.999999999956</v>
      </c>
      <c r="BA15" s="302">
        <f t="shared" si="38"/>
        <v>113529.5</v>
      </c>
      <c r="BB15" s="308">
        <f t="shared" si="18"/>
        <v>472.53883908652</v>
      </c>
      <c r="BC15" s="308">
        <f t="shared" si="39"/>
        <v>391.34743656475894</v>
      </c>
      <c r="BD15" s="308">
        <f t="shared" si="19"/>
        <v>480.98678777869441</v>
      </c>
      <c r="BE15" s="308">
        <f t="shared" si="20"/>
        <v>413.64981162873738</v>
      </c>
      <c r="BF15" s="530">
        <f>0.004</f>
        <v>4.0000000000000001E-3</v>
      </c>
      <c r="BG15" s="531">
        <v>124.123</v>
      </c>
      <c r="BH15" s="551">
        <f>+Efficiency2!K38</f>
        <v>51.657968678399989</v>
      </c>
      <c r="BI15" s="552">
        <f t="shared" si="40"/>
        <v>360.46919821898814</v>
      </c>
      <c r="BJ15" s="553">
        <f t="shared" si="41"/>
        <v>0.93770624821828241</v>
      </c>
      <c r="BK15" s="553">
        <f t="shared" si="42"/>
        <v>0.76139099084206474</v>
      </c>
    </row>
    <row r="16" spans="1:63">
      <c r="A16" s="18">
        <f t="shared" si="21"/>
        <v>45999</v>
      </c>
      <c r="B16" s="448" t="s">
        <v>439</v>
      </c>
      <c r="C16" s="449" t="s">
        <v>514</v>
      </c>
      <c r="D16" s="453">
        <f>+'8'!F42</f>
        <v>830</v>
      </c>
      <c r="E16" s="453">
        <f>+'8'!G42</f>
        <v>713.8</v>
      </c>
      <c r="F16" s="50">
        <f t="shared" si="0"/>
        <v>0.14000000000000001</v>
      </c>
      <c r="G16" s="458">
        <f t="shared" si="22"/>
        <v>0.91606017771384762</v>
      </c>
      <c r="H16" s="456">
        <f t="shared" si="23"/>
        <v>0.91606017771384762</v>
      </c>
      <c r="I16" s="456">
        <f t="shared" si="24"/>
        <v>0.97029598531676564</v>
      </c>
      <c r="J16" s="460">
        <f t="shared" si="25"/>
        <v>0.88884951274430912</v>
      </c>
      <c r="K16" s="460">
        <f t="shared" si="26"/>
        <v>0.667532310503268</v>
      </c>
      <c r="L16" s="305">
        <f>+Efficiency1!K42</f>
        <v>51.7444171826087</v>
      </c>
      <c r="M16" s="14">
        <f t="shared" si="27"/>
        <v>480.0531674015968</v>
      </c>
      <c r="N16" s="305">
        <f>+Efficiency1!C42</f>
        <v>51.7444171826087</v>
      </c>
      <c r="O16" s="14">
        <f t="shared" si="27"/>
        <v>439.37451098424623</v>
      </c>
      <c r="P16" s="301">
        <f>'8'!I38</f>
        <v>47.400999999999996</v>
      </c>
      <c r="Q16" s="14">
        <f t="shared" si="28"/>
        <v>337.5</v>
      </c>
      <c r="R16" s="16">
        <f>'8'!I40</f>
        <v>45.993000000000002</v>
      </c>
      <c r="S16" s="302">
        <f t="shared" si="29"/>
        <v>320.45100000000002</v>
      </c>
      <c r="T16" s="8">
        <f t="shared" si="1"/>
        <v>0.97029598531676564</v>
      </c>
      <c r="U16" s="8">
        <f t="shared" si="2"/>
        <v>0.94948444444444446</v>
      </c>
      <c r="V16" s="303">
        <f t="shared" si="3"/>
        <v>0.88884951274430912</v>
      </c>
      <c r="W16" s="304">
        <f t="shared" si="4"/>
        <v>0.667532310503268</v>
      </c>
      <c r="X16" s="302"/>
      <c r="Y16" s="302"/>
      <c r="Z16" s="7"/>
      <c r="AA16" s="302"/>
      <c r="AB16" s="99">
        <v>0</v>
      </c>
      <c r="AC16" s="14">
        <f t="shared" si="30"/>
        <v>0</v>
      </c>
      <c r="AD16" s="300">
        <f t="shared" si="5"/>
        <v>0</v>
      </c>
      <c r="AE16" s="300">
        <f t="shared" si="6"/>
        <v>0</v>
      </c>
      <c r="AF16" s="306">
        <f t="shared" si="7"/>
        <v>0</v>
      </c>
      <c r="AG16" s="300">
        <f t="shared" si="8"/>
        <v>0</v>
      </c>
      <c r="AH16" s="563">
        <f t="shared" si="9"/>
        <v>118.254</v>
      </c>
      <c r="AI16" s="302">
        <f t="shared" si="31"/>
        <v>813.40899999999999</v>
      </c>
      <c r="AJ16" s="308">
        <f t="shared" si="10"/>
        <v>2.4947574945676254</v>
      </c>
      <c r="AK16" s="308">
        <f t="shared" si="11"/>
        <v>2.4101007407407407</v>
      </c>
      <c r="AL16" s="305">
        <f t="shared" si="12"/>
        <v>2.5711303894070836</v>
      </c>
      <c r="AM16" s="308">
        <f t="shared" si="13"/>
        <v>2.5383256722556644</v>
      </c>
      <c r="AN16" s="99">
        <v>7.9</v>
      </c>
      <c r="AO16" s="302">
        <f t="shared" si="32"/>
        <v>78.900000000000006</v>
      </c>
      <c r="AP16" s="308">
        <f t="shared" si="33"/>
        <v>0.16666315056644376</v>
      </c>
      <c r="AQ16" s="308">
        <f t="shared" si="34"/>
        <v>0.23377777777777781</v>
      </c>
      <c r="AR16" s="305">
        <f t="shared" si="35"/>
        <v>0.17176526862783467</v>
      </c>
      <c r="AS16" s="308">
        <f t="shared" si="36"/>
        <v>0.24621549004371962</v>
      </c>
      <c r="AT16" s="307">
        <f>'8'!I46</f>
        <v>34343.670000000035</v>
      </c>
      <c r="AU16" s="302">
        <f t="shared" si="37"/>
        <v>235364.12000000125</v>
      </c>
      <c r="AV16" s="308">
        <f t="shared" si="14"/>
        <v>724.53471445750176</v>
      </c>
      <c r="AW16" s="308">
        <f t="shared" si="15"/>
        <v>697.37517037037412</v>
      </c>
      <c r="AX16" s="308">
        <f t="shared" si="16"/>
        <v>746.71515230578643</v>
      </c>
      <c r="AY16" s="308">
        <f t="shared" si="17"/>
        <v>734.47772046272678</v>
      </c>
      <c r="AZ16" s="307">
        <f>+Listrik!AH15</f>
        <v>21403.600000000064</v>
      </c>
      <c r="BA16" s="302">
        <f t="shared" si="38"/>
        <v>134933.10000000006</v>
      </c>
      <c r="BB16" s="308">
        <f t="shared" si="18"/>
        <v>451.54321638784131</v>
      </c>
      <c r="BC16" s="308">
        <f t="shared" si="39"/>
        <v>399.801777777778</v>
      </c>
      <c r="BD16" s="308">
        <f t="shared" si="19"/>
        <v>465.36646881047255</v>
      </c>
      <c r="BE16" s="308">
        <f t="shared" si="20"/>
        <v>421.07248846157466</v>
      </c>
      <c r="BF16" s="530">
        <f>4.051</f>
        <v>4.0510000000000002</v>
      </c>
      <c r="BG16" s="531">
        <v>114.203</v>
      </c>
      <c r="BH16" s="305">
        <f>+Efficiency2!K42</f>
        <v>51.7444171826087</v>
      </c>
      <c r="BI16" s="552">
        <f t="shared" si="40"/>
        <v>412.21361540159683</v>
      </c>
      <c r="BJ16" s="553">
        <f t="shared" si="41"/>
        <v>0.88884951274430912</v>
      </c>
      <c r="BK16" s="553">
        <f t="shared" si="42"/>
        <v>0.77739062473179688</v>
      </c>
    </row>
    <row r="17" spans="1:63">
      <c r="A17" s="18">
        <f t="shared" si="21"/>
        <v>46000</v>
      </c>
      <c r="B17" s="448" t="s">
        <v>439</v>
      </c>
      <c r="C17" s="449" t="s">
        <v>532</v>
      </c>
      <c r="D17" s="453">
        <f>+'9'!F42</f>
        <v>830</v>
      </c>
      <c r="E17" s="453">
        <f>+'9'!G42</f>
        <v>713.8</v>
      </c>
      <c r="F17" s="50">
        <f t="shared" si="0"/>
        <v>0.14000000000000001</v>
      </c>
      <c r="G17" s="458">
        <f t="shared" si="22"/>
        <v>0.95940622815778587</v>
      </c>
      <c r="H17" s="456">
        <f t="shared" si="23"/>
        <v>0.95940622815778587</v>
      </c>
      <c r="I17" s="456">
        <f t="shared" si="24"/>
        <v>0.9443840011801804</v>
      </c>
      <c r="J17" s="460">
        <f t="shared" si="25"/>
        <v>0.90604789250483486</v>
      </c>
      <c r="K17" s="460">
        <f t="shared" si="26"/>
        <v>0.69265777118224325</v>
      </c>
      <c r="L17" s="305">
        <f>+SUM(Efficiency1!K47:K50)</f>
        <v>56.523502149999999</v>
      </c>
      <c r="M17" s="14">
        <f t="shared" si="27"/>
        <v>536.57666955159675</v>
      </c>
      <c r="N17" s="305">
        <f>+SUM(Efficiency1!C47:C50)</f>
        <v>56.523502149999999</v>
      </c>
      <c r="O17" s="14">
        <f t="shared" si="27"/>
        <v>495.89801313424624</v>
      </c>
      <c r="P17" s="301">
        <f>'9'!I38</f>
        <v>54.228999999999999</v>
      </c>
      <c r="Q17" s="14">
        <f t="shared" si="28"/>
        <v>391.72899999999998</v>
      </c>
      <c r="R17" s="16">
        <f>'9'!I40</f>
        <v>51.213000000000001</v>
      </c>
      <c r="S17" s="302">
        <f t="shared" si="29"/>
        <v>371.66400000000004</v>
      </c>
      <c r="T17" s="8">
        <f t="shared" si="1"/>
        <v>0.9443840011801804</v>
      </c>
      <c r="U17" s="8">
        <f t="shared" si="2"/>
        <v>0.94877836463473486</v>
      </c>
      <c r="V17" s="303">
        <f t="shared" si="3"/>
        <v>0.90604789250483486</v>
      </c>
      <c r="W17" s="304">
        <f t="shared" si="4"/>
        <v>0.69265777118224325</v>
      </c>
      <c r="X17" s="302"/>
      <c r="Y17" s="302"/>
      <c r="Z17" s="7"/>
      <c r="AA17" s="302"/>
      <c r="AB17" s="99">
        <v>0</v>
      </c>
      <c r="AC17" s="14">
        <f t="shared" si="30"/>
        <v>0</v>
      </c>
      <c r="AD17" s="300">
        <f t="shared" si="5"/>
        <v>0</v>
      </c>
      <c r="AE17" s="300">
        <f t="shared" si="6"/>
        <v>0</v>
      </c>
      <c r="AF17" s="306">
        <f t="shared" si="7"/>
        <v>0</v>
      </c>
      <c r="AG17" s="300">
        <f t="shared" si="8"/>
        <v>0</v>
      </c>
      <c r="AH17" s="563">
        <f t="shared" si="9"/>
        <v>135.58099999999999</v>
      </c>
      <c r="AI17" s="302">
        <f t="shared" si="31"/>
        <v>948.99</v>
      </c>
      <c r="AJ17" s="308">
        <f t="shared" si="10"/>
        <v>2.5001567427022442</v>
      </c>
      <c r="AK17" s="308">
        <f t="shared" si="11"/>
        <v>2.4225676424262694</v>
      </c>
      <c r="AL17" s="305">
        <f t="shared" si="12"/>
        <v>2.6473942163122643</v>
      </c>
      <c r="AM17" s="308">
        <f t="shared" si="13"/>
        <v>2.5533546429032672</v>
      </c>
      <c r="AN17" s="99">
        <v>9.4</v>
      </c>
      <c r="AO17" s="302">
        <f t="shared" si="32"/>
        <v>88.300000000000011</v>
      </c>
      <c r="AP17" s="308">
        <f t="shared" si="33"/>
        <v>0.1733389883641594</v>
      </c>
      <c r="AQ17" s="308">
        <f t="shared" si="34"/>
        <v>0.22541093460019557</v>
      </c>
      <c r="AR17" s="305">
        <f t="shared" si="35"/>
        <v>0.18354714623240193</v>
      </c>
      <c r="AS17" s="308">
        <f t="shared" si="36"/>
        <v>0.23758017994747946</v>
      </c>
      <c r="AT17" s="307">
        <f>'9'!I46</f>
        <v>34596.579999999449</v>
      </c>
      <c r="AU17" s="302">
        <f t="shared" si="37"/>
        <v>269960.70000000071</v>
      </c>
      <c r="AV17" s="308">
        <f t="shared" si="14"/>
        <v>637.97193383612921</v>
      </c>
      <c r="AW17" s="308">
        <f t="shared" si="15"/>
        <v>689.15168394476973</v>
      </c>
      <c r="AX17" s="308">
        <f t="shared" si="16"/>
        <v>675.54292855328629</v>
      </c>
      <c r="AY17" s="308">
        <f t="shared" si="17"/>
        <v>726.35687072194423</v>
      </c>
      <c r="AZ17" s="307">
        <f>+Listrik!AH16</f>
        <v>28955.39999999998</v>
      </c>
      <c r="BA17" s="302">
        <f t="shared" si="38"/>
        <v>163888.50000000006</v>
      </c>
      <c r="BB17" s="308">
        <f t="shared" si="18"/>
        <v>533.94678124250822</v>
      </c>
      <c r="BC17" s="308">
        <f t="shared" si="39"/>
        <v>418.37213992326343</v>
      </c>
      <c r="BD17" s="308">
        <f t="shared" si="19"/>
        <v>565.39159978911573</v>
      </c>
      <c r="BE17" s="308">
        <f t="shared" si="20"/>
        <v>440.95876921090024</v>
      </c>
      <c r="BF17" s="530">
        <f>17.335</f>
        <v>17.335000000000001</v>
      </c>
      <c r="BG17" s="531">
        <v>118.246</v>
      </c>
      <c r="BH17" s="305">
        <f>+SUM(Efficiency2!K47:K50)</f>
        <v>56.523502149999999</v>
      </c>
      <c r="BI17" s="552">
        <f t="shared" si="40"/>
        <v>468.73711755159684</v>
      </c>
      <c r="BJ17" s="553">
        <f t="shared" si="41"/>
        <v>0.90604789250483486</v>
      </c>
      <c r="BK17" s="553">
        <f t="shared" si="42"/>
        <v>0.79290499105628998</v>
      </c>
    </row>
    <row r="18" spans="1:63">
      <c r="A18" s="18">
        <f t="shared" si="21"/>
        <v>46001</v>
      </c>
      <c r="B18" s="448" t="s">
        <v>439</v>
      </c>
      <c r="C18" s="449" t="s">
        <v>459</v>
      </c>
      <c r="D18" s="453">
        <f>+'10'!F42</f>
        <v>830</v>
      </c>
      <c r="E18" s="453">
        <f>+'10'!G42</f>
        <v>713.8</v>
      </c>
      <c r="F18" s="50">
        <f t="shared" si="0"/>
        <v>0.14000000000000001</v>
      </c>
      <c r="G18" s="458">
        <f t="shared" si="22"/>
        <v>0.86294791569378282</v>
      </c>
      <c r="H18" s="456">
        <f t="shared" si="23"/>
        <v>0.86294791569378282</v>
      </c>
      <c r="I18" s="456">
        <f t="shared" si="24"/>
        <v>0.97120016398483155</v>
      </c>
      <c r="J18" s="460">
        <f t="shared" si="25"/>
        <v>0.83809515723217043</v>
      </c>
      <c r="K18" s="460">
        <f t="shared" si="26"/>
        <v>0.70898163338493203</v>
      </c>
      <c r="L18" s="305">
        <f>+Efficiency1!K52</f>
        <v>67.839551999999998</v>
      </c>
      <c r="M18" s="14">
        <f t="shared" si="27"/>
        <v>604.41622155159678</v>
      </c>
      <c r="N18" s="305">
        <f>+Efficiency1!C52</f>
        <v>67.839551999999998</v>
      </c>
      <c r="O18" s="14">
        <f t="shared" si="27"/>
        <v>563.73756513424621</v>
      </c>
      <c r="P18" s="301">
        <f>'10'!I38</f>
        <v>58.541999999999994</v>
      </c>
      <c r="Q18" s="14">
        <f t="shared" si="28"/>
        <v>450.27099999999996</v>
      </c>
      <c r="R18" s="16">
        <f>'10'!I40</f>
        <v>56.856000000000002</v>
      </c>
      <c r="S18" s="302">
        <f t="shared" si="29"/>
        <v>428.52000000000004</v>
      </c>
      <c r="T18" s="8">
        <f t="shared" si="1"/>
        <v>0.97120016398483155</v>
      </c>
      <c r="U18" s="8">
        <f t="shared" si="2"/>
        <v>0.95169353567074066</v>
      </c>
      <c r="V18" s="303">
        <f t="shared" si="3"/>
        <v>0.83809515723217043</v>
      </c>
      <c r="W18" s="304">
        <f t="shared" si="4"/>
        <v>0.70898163338493203</v>
      </c>
      <c r="X18" s="302"/>
      <c r="Y18" s="302"/>
      <c r="Z18" s="7"/>
      <c r="AA18" s="302"/>
      <c r="AB18" s="99">
        <v>0</v>
      </c>
      <c r="AC18" s="14">
        <f t="shared" si="30"/>
        <v>0</v>
      </c>
      <c r="AD18" s="300">
        <f t="shared" si="5"/>
        <v>0</v>
      </c>
      <c r="AE18" s="300">
        <f t="shared" si="6"/>
        <v>0</v>
      </c>
      <c r="AF18" s="306">
        <f t="shared" si="7"/>
        <v>0</v>
      </c>
      <c r="AG18" s="300">
        <f t="shared" si="8"/>
        <v>0</v>
      </c>
      <c r="AH18" s="563">
        <f t="shared" si="9"/>
        <v>127.56700000000001</v>
      </c>
      <c r="AI18" s="302">
        <f t="shared" si="31"/>
        <v>1076.557</v>
      </c>
      <c r="AJ18" s="308">
        <f t="shared" si="10"/>
        <v>2.1790680195415262</v>
      </c>
      <c r="AK18" s="308">
        <f t="shared" si="11"/>
        <v>2.3909090303395071</v>
      </c>
      <c r="AL18" s="305">
        <f t="shared" si="12"/>
        <v>2.2436858027297033</v>
      </c>
      <c r="AM18" s="308">
        <f t="shared" si="13"/>
        <v>2.5122678054699894</v>
      </c>
      <c r="AN18" s="99">
        <v>11.2</v>
      </c>
      <c r="AO18" s="302">
        <f t="shared" si="32"/>
        <v>99.500000000000014</v>
      </c>
      <c r="AP18" s="308">
        <f t="shared" si="33"/>
        <v>0.19131563663694443</v>
      </c>
      <c r="AQ18" s="308">
        <f t="shared" si="34"/>
        <v>0.22097803322887777</v>
      </c>
      <c r="AR18" s="305">
        <f t="shared" si="35"/>
        <v>0.19698888419867736</v>
      </c>
      <c r="AS18" s="308">
        <f t="shared" si="36"/>
        <v>0.23219453001026791</v>
      </c>
      <c r="AT18" s="307">
        <f>'10'!I46</f>
        <v>22539.000000000629</v>
      </c>
      <c r="AU18" s="302">
        <f t="shared" si="37"/>
        <v>292499.70000000135</v>
      </c>
      <c r="AV18" s="308">
        <f t="shared" si="14"/>
        <v>385.0056369785903</v>
      </c>
      <c r="AW18" s="308">
        <f t="shared" si="15"/>
        <v>649.60812488479473</v>
      </c>
      <c r="AX18" s="308">
        <f t="shared" si="16"/>
        <v>396.42254115661723</v>
      </c>
      <c r="AY18" s="308">
        <f t="shared" si="17"/>
        <v>682.58120974517249</v>
      </c>
      <c r="AZ18" s="307">
        <f>+Listrik!AH17</f>
        <v>33847.080000000045</v>
      </c>
      <c r="BA18" s="302">
        <f t="shared" si="38"/>
        <v>197735.5800000001</v>
      </c>
      <c r="BB18" s="308">
        <f t="shared" si="18"/>
        <v>578.16746950907122</v>
      </c>
      <c r="BC18" s="308">
        <f t="shared" si="39"/>
        <v>439.14793535448683</v>
      </c>
      <c r="BD18" s="308">
        <f t="shared" si="19"/>
        <v>595.31236808780147</v>
      </c>
      <c r="BE18" s="308">
        <f t="shared" si="20"/>
        <v>461.43839260711303</v>
      </c>
      <c r="BF18" s="530">
        <f>9.15</f>
        <v>9.15</v>
      </c>
      <c r="BG18" s="531">
        <v>118.417</v>
      </c>
      <c r="BH18" s="305">
        <f>+Efficiency2!K52</f>
        <v>67.839551999999998</v>
      </c>
      <c r="BI18" s="552">
        <f t="shared" si="40"/>
        <v>536.57666955159686</v>
      </c>
      <c r="BJ18" s="553">
        <f t="shared" si="41"/>
        <v>0.83809515723217043</v>
      </c>
      <c r="BK18" s="553">
        <f t="shared" si="42"/>
        <v>0.79861839754997743</v>
      </c>
    </row>
    <row r="19" spans="1:63">
      <c r="A19" s="18">
        <f t="shared" si="21"/>
        <v>46002</v>
      </c>
      <c r="B19" s="448" t="s">
        <v>439</v>
      </c>
      <c r="C19" s="449" t="s">
        <v>459</v>
      </c>
      <c r="D19" s="453">
        <f>+'11'!F42</f>
        <v>830</v>
      </c>
      <c r="E19" s="453">
        <f>+'11'!G42</f>
        <v>713.8</v>
      </c>
      <c r="F19" s="50">
        <f t="shared" si="0"/>
        <v>0.14000000000000001</v>
      </c>
      <c r="G19" s="458">
        <f t="shared" si="22"/>
        <v>0.73063572117929088</v>
      </c>
      <c r="H19" s="456">
        <f t="shared" si="23"/>
        <v>0.73063572117929088</v>
      </c>
      <c r="I19" s="456">
        <f t="shared" si="24"/>
        <v>0.94863414437315907</v>
      </c>
      <c r="J19" s="460">
        <f t="shared" si="25"/>
        <v>0.69310599220938263</v>
      </c>
      <c r="K19" s="460">
        <f t="shared" si="26"/>
        <v>0.7073795699628922</v>
      </c>
      <c r="L19" s="305">
        <f>+Efficiency1!K57</f>
        <v>67.839551999999998</v>
      </c>
      <c r="M19" s="14">
        <f t="shared" si="27"/>
        <v>672.2557735515968</v>
      </c>
      <c r="N19" s="305">
        <f>+Efficiency1!C57</f>
        <v>67.839551999999998</v>
      </c>
      <c r="O19" s="14">
        <f t="shared" si="27"/>
        <v>631.57711713424624</v>
      </c>
      <c r="P19" s="301">
        <f>'11'!I38</f>
        <v>49.566000000000003</v>
      </c>
      <c r="Q19" s="14">
        <f t="shared" si="28"/>
        <v>499.83699999999999</v>
      </c>
      <c r="R19" s="16">
        <f>'11'!I40</f>
        <v>47.02</v>
      </c>
      <c r="S19" s="302">
        <f t="shared" si="29"/>
        <v>475.54</v>
      </c>
      <c r="T19" s="8">
        <f t="shared" si="1"/>
        <v>0.94863414437315907</v>
      </c>
      <c r="U19" s="8">
        <f t="shared" si="2"/>
        <v>0.95139015318994002</v>
      </c>
      <c r="V19" s="303">
        <f t="shared" si="3"/>
        <v>0.69310599220938263</v>
      </c>
      <c r="W19" s="304">
        <f t="shared" si="4"/>
        <v>0.7073795699628922</v>
      </c>
      <c r="X19" s="302"/>
      <c r="Y19" s="302"/>
      <c r="Z19" s="7"/>
      <c r="AA19" s="302"/>
      <c r="AB19" s="99">
        <v>0</v>
      </c>
      <c r="AC19" s="14">
        <f t="shared" si="30"/>
        <v>0</v>
      </c>
      <c r="AD19" s="300">
        <f t="shared" si="5"/>
        <v>0</v>
      </c>
      <c r="AE19" s="300">
        <f t="shared" si="6"/>
        <v>0</v>
      </c>
      <c r="AF19" s="306">
        <f t="shared" si="7"/>
        <v>0</v>
      </c>
      <c r="AG19" s="300">
        <f t="shared" si="8"/>
        <v>0</v>
      </c>
      <c r="AH19" s="563">
        <f t="shared" si="9"/>
        <v>97.397999999999996</v>
      </c>
      <c r="AI19" s="302">
        <f t="shared" si="31"/>
        <v>1173.9549999999999</v>
      </c>
      <c r="AJ19" s="308">
        <f t="shared" si="10"/>
        <v>1.9650163418472337</v>
      </c>
      <c r="AK19" s="308">
        <f t="shared" si="11"/>
        <v>2.3486756682678553</v>
      </c>
      <c r="AL19" s="305">
        <f t="shared" si="12"/>
        <v>2.0714164185452995</v>
      </c>
      <c r="AM19" s="308">
        <f t="shared" si="13"/>
        <v>2.4686777137569917</v>
      </c>
      <c r="AN19" s="99">
        <v>10.7</v>
      </c>
      <c r="AO19" s="302">
        <f t="shared" si="32"/>
        <v>110.20000000000002</v>
      </c>
      <c r="AP19" s="308">
        <f t="shared" si="33"/>
        <v>0.21587378444901745</v>
      </c>
      <c r="AQ19" s="308">
        <f t="shared" si="34"/>
        <v>0.22047187383086891</v>
      </c>
      <c r="AR19" s="305">
        <f t="shared" si="35"/>
        <v>0.22756273925988937</v>
      </c>
      <c r="AS19" s="308">
        <f t="shared" si="36"/>
        <v>0.23173655213020988</v>
      </c>
      <c r="AT19" s="307">
        <f>'11'!I46</f>
        <v>35062.459999999912</v>
      </c>
      <c r="AU19" s="302">
        <f t="shared" si="37"/>
        <v>327562.16000000125</v>
      </c>
      <c r="AV19" s="308">
        <f t="shared" si="14"/>
        <v>707.389339466568</v>
      </c>
      <c r="AW19" s="308">
        <f t="shared" si="15"/>
        <v>655.33796017501959</v>
      </c>
      <c r="AX19" s="308">
        <f t="shared" si="16"/>
        <v>745.69247128881148</v>
      </c>
      <c r="AY19" s="308">
        <f t="shared" si="17"/>
        <v>688.82146612272629</v>
      </c>
      <c r="AZ19" s="307">
        <f>+Listrik!AH18</f>
        <v>29465.27999999993</v>
      </c>
      <c r="BA19" s="302">
        <f t="shared" si="38"/>
        <v>227200.86000000004</v>
      </c>
      <c r="BB19" s="308">
        <f t="shared" si="18"/>
        <v>594.46556107008701</v>
      </c>
      <c r="BC19" s="308">
        <f t="shared" si="39"/>
        <v>454.54990326846564</v>
      </c>
      <c r="BD19" s="308">
        <f t="shared" si="19"/>
        <v>626.65418970650637</v>
      </c>
      <c r="BE19" s="308">
        <f t="shared" si="20"/>
        <v>477.77444589309005</v>
      </c>
      <c r="BF19" s="530">
        <v>0.316</v>
      </c>
      <c r="BG19" s="531">
        <v>97.081999999999994</v>
      </c>
      <c r="BH19" s="551">
        <f>+Efficiency2!K57</f>
        <v>67.839551999999998</v>
      </c>
      <c r="BI19" s="552">
        <f t="shared" si="40"/>
        <v>604.41622155159689</v>
      </c>
      <c r="BJ19" s="553">
        <f t="shared" si="41"/>
        <v>0.69310599220938263</v>
      </c>
      <c r="BK19" s="553">
        <f t="shared" si="42"/>
        <v>0.78677570694453114</v>
      </c>
    </row>
    <row r="20" spans="1:63">
      <c r="A20" s="18">
        <f t="shared" si="21"/>
        <v>46003</v>
      </c>
      <c r="B20" s="448" t="s">
        <v>439</v>
      </c>
      <c r="C20" s="449" t="s">
        <v>459</v>
      </c>
      <c r="D20" s="453">
        <f>+'12'!F42</f>
        <v>830</v>
      </c>
      <c r="E20" s="453">
        <f>+'12'!G42</f>
        <v>713.8</v>
      </c>
      <c r="F20" s="50">
        <f t="shared" si="0"/>
        <v>0.14000000000000001</v>
      </c>
      <c r="G20" s="458">
        <f t="shared" si="22"/>
        <v>0.94862143582781289</v>
      </c>
      <c r="H20" s="456">
        <f t="shared" si="23"/>
        <v>0.94862143582781289</v>
      </c>
      <c r="I20" s="456">
        <f t="shared" si="24"/>
        <v>0.93456045599836246</v>
      </c>
      <c r="J20" s="460">
        <f t="shared" si="25"/>
        <v>0.88654408163706211</v>
      </c>
      <c r="K20" s="460">
        <f t="shared" si="26"/>
        <v>0.72360625201752005</v>
      </c>
      <c r="L20" s="305">
        <f>+Efficiency1!K62</f>
        <v>66.948729600000007</v>
      </c>
      <c r="M20" s="14">
        <f t="shared" si="27"/>
        <v>739.20450315159678</v>
      </c>
      <c r="N20" s="305">
        <f>+Efficiency1!C62</f>
        <v>66.948729600000007</v>
      </c>
      <c r="O20" s="14">
        <f t="shared" si="27"/>
        <v>698.52584673424622</v>
      </c>
      <c r="P20" s="301">
        <f>'12'!I38</f>
        <v>63.509</v>
      </c>
      <c r="Q20" s="14">
        <f t="shared" si="28"/>
        <v>563.346</v>
      </c>
      <c r="R20" s="16">
        <f>'12'!I40</f>
        <v>59.353000000000002</v>
      </c>
      <c r="S20" s="302">
        <f t="shared" si="29"/>
        <v>534.89300000000003</v>
      </c>
      <c r="T20" s="8">
        <f t="shared" si="1"/>
        <v>0.93456045599836246</v>
      </c>
      <c r="U20" s="8">
        <f t="shared" si="2"/>
        <v>0.9494928516400224</v>
      </c>
      <c r="V20" s="303">
        <f t="shared" si="3"/>
        <v>0.88654408163706211</v>
      </c>
      <c r="W20" s="304">
        <f t="shared" si="4"/>
        <v>0.72360625201752005</v>
      </c>
      <c r="X20" s="302"/>
      <c r="Y20" s="302"/>
      <c r="Z20" s="7"/>
      <c r="AA20" s="302"/>
      <c r="AB20" s="99">
        <v>0</v>
      </c>
      <c r="AC20" s="14">
        <f t="shared" si="30"/>
        <v>0</v>
      </c>
      <c r="AD20" s="300">
        <f t="shared" si="5"/>
        <v>0</v>
      </c>
      <c r="AE20" s="300">
        <f t="shared" si="6"/>
        <v>0</v>
      </c>
      <c r="AF20" s="306">
        <f t="shared" si="7"/>
        <v>0</v>
      </c>
      <c r="AG20" s="300">
        <f t="shared" si="8"/>
        <v>0</v>
      </c>
      <c r="AH20" s="563">
        <f t="shared" si="9"/>
        <v>128.03299999999999</v>
      </c>
      <c r="AI20" s="302">
        <f t="shared" si="31"/>
        <v>1301.9879999999998</v>
      </c>
      <c r="AJ20" s="308">
        <f t="shared" si="10"/>
        <v>2.0159819868050195</v>
      </c>
      <c r="AK20" s="308">
        <f t="shared" si="11"/>
        <v>2.3111693346540134</v>
      </c>
      <c r="AL20" s="305">
        <f t="shared" si="12"/>
        <v>2.1571445419776589</v>
      </c>
      <c r="AM20" s="308">
        <f t="shared" si="13"/>
        <v>2.434109251756893</v>
      </c>
      <c r="AN20" s="99">
        <v>12.8</v>
      </c>
      <c r="AO20" s="302">
        <f t="shared" si="32"/>
        <v>123.00000000000001</v>
      </c>
      <c r="AP20" s="308">
        <f t="shared" si="33"/>
        <v>0.2015462375411359</v>
      </c>
      <c r="AQ20" s="308">
        <f t="shared" si="34"/>
        <v>0.21833828588469611</v>
      </c>
      <c r="AR20" s="305">
        <f t="shared" si="35"/>
        <v>0.21565885464930165</v>
      </c>
      <c r="AS20" s="308">
        <f t="shared" si="36"/>
        <v>0.2299525325625873</v>
      </c>
      <c r="AT20" s="307">
        <f>'12'!I46</f>
        <v>42222.019999999495</v>
      </c>
      <c r="AU20" s="302">
        <f t="shared" si="37"/>
        <v>369784.18000000075</v>
      </c>
      <c r="AV20" s="308">
        <f t="shared" si="14"/>
        <v>664.81947440519446</v>
      </c>
      <c r="AW20" s="308">
        <f t="shared" si="15"/>
        <v>656.40686185754532</v>
      </c>
      <c r="AX20" s="308">
        <f t="shared" si="16"/>
        <v>711.37128704529675</v>
      </c>
      <c r="AY20" s="308">
        <f t="shared" si="17"/>
        <v>691.32364790715292</v>
      </c>
      <c r="AZ20" s="307">
        <f>+Listrik!AH19</f>
        <v>28493.800000000028</v>
      </c>
      <c r="BA20" s="302">
        <f t="shared" si="38"/>
        <v>255694.66000000006</v>
      </c>
      <c r="BB20" s="308">
        <f t="shared" si="18"/>
        <v>448.65767056637685</v>
      </c>
      <c r="BC20" s="308">
        <f t="shared" si="39"/>
        <v>453.88564044122097</v>
      </c>
      <c r="BD20" s="308">
        <f t="shared" si="19"/>
        <v>480.07345879736539</v>
      </c>
      <c r="BE20" s="308">
        <f t="shared" si="20"/>
        <v>478.02954983520078</v>
      </c>
      <c r="BF20" s="530">
        <f>0.088</f>
        <v>8.7999999999999995E-2</v>
      </c>
      <c r="BG20" s="531">
        <v>127.94499999999999</v>
      </c>
      <c r="BH20" s="551">
        <f>+Efficiency2!K62</f>
        <v>66.948729600000007</v>
      </c>
      <c r="BI20" s="552">
        <f t="shared" si="40"/>
        <v>671.36495115159687</v>
      </c>
      <c r="BJ20" s="553">
        <f t="shared" si="41"/>
        <v>0.88654408163706211</v>
      </c>
      <c r="BK20" s="553">
        <f t="shared" si="42"/>
        <v>0.79672464146734856</v>
      </c>
    </row>
    <row r="21" spans="1:63">
      <c r="A21" s="18">
        <f t="shared" si="21"/>
        <v>46004</v>
      </c>
      <c r="B21" s="448" t="s">
        <v>439</v>
      </c>
      <c r="C21" s="449" t="s">
        <v>459</v>
      </c>
      <c r="D21" s="453">
        <f>+'13'!F42</f>
        <v>830</v>
      </c>
      <c r="E21" s="453">
        <f>+'13'!G42</f>
        <v>747</v>
      </c>
      <c r="F21" s="50">
        <f t="shared" si="0"/>
        <v>9.9999999999999978E-2</v>
      </c>
      <c r="G21" s="458">
        <f t="shared" si="22"/>
        <v>0.88130005710422021</v>
      </c>
      <c r="H21" s="456">
        <f t="shared" si="23"/>
        <v>0.88130005710422021</v>
      </c>
      <c r="I21" s="456">
        <f t="shared" si="24"/>
        <v>0.95056819127165026</v>
      </c>
      <c r="J21" s="460">
        <f t="shared" si="25"/>
        <v>0.83773580124916069</v>
      </c>
      <c r="K21" s="460">
        <f t="shared" si="26"/>
        <v>0.73324632455994976</v>
      </c>
      <c r="L21" s="305">
        <f>+Efficiency1!K67</f>
        <v>68.198111999999995</v>
      </c>
      <c r="M21" s="14">
        <f t="shared" si="27"/>
        <v>807.40261515159682</v>
      </c>
      <c r="N21" s="305">
        <f>+Efficiency1!C67</f>
        <v>68.198111999999995</v>
      </c>
      <c r="O21" s="14">
        <f t="shared" si="27"/>
        <v>766.72395873424625</v>
      </c>
      <c r="P21" s="301">
        <f>'13'!I38</f>
        <v>60.103000000000002</v>
      </c>
      <c r="Q21" s="14">
        <f t="shared" si="28"/>
        <v>623.44899999999996</v>
      </c>
      <c r="R21" s="16">
        <f>'13'!I40</f>
        <v>57.131999999999998</v>
      </c>
      <c r="S21" s="302">
        <f t="shared" si="29"/>
        <v>592.02499999999998</v>
      </c>
      <c r="T21" s="8">
        <f t="shared" si="1"/>
        <v>0.95056819127165026</v>
      </c>
      <c r="U21" s="8">
        <f t="shared" si="2"/>
        <v>0.94959651872085771</v>
      </c>
      <c r="V21" s="303">
        <f t="shared" si="3"/>
        <v>0.83773580124916069</v>
      </c>
      <c r="W21" s="304">
        <f t="shared" si="4"/>
        <v>0.73324632455994976</v>
      </c>
      <c r="X21" s="302"/>
      <c r="Y21" s="302"/>
      <c r="Z21" s="7"/>
      <c r="AA21" s="302"/>
      <c r="AB21" s="99">
        <v>0</v>
      </c>
      <c r="AC21" s="14">
        <f t="shared" si="30"/>
        <v>0</v>
      </c>
      <c r="AD21" s="300">
        <f t="shared" si="5"/>
        <v>0</v>
      </c>
      <c r="AE21" s="300">
        <f t="shared" si="6"/>
        <v>0</v>
      </c>
      <c r="AF21" s="306">
        <f t="shared" si="7"/>
        <v>0</v>
      </c>
      <c r="AG21" s="300">
        <f t="shared" si="8"/>
        <v>0</v>
      </c>
      <c r="AH21" s="563">
        <f t="shared" si="9"/>
        <v>133.35299999999998</v>
      </c>
      <c r="AI21" s="302">
        <f t="shared" si="31"/>
        <v>1435.3409999999999</v>
      </c>
      <c r="AJ21" s="308">
        <f t="shared" si="10"/>
        <v>2.2187411610069376</v>
      </c>
      <c r="AK21" s="308">
        <f t="shared" si="11"/>
        <v>2.3022588856506307</v>
      </c>
      <c r="AL21" s="305">
        <f t="shared" si="12"/>
        <v>2.3341209829867671</v>
      </c>
      <c r="AM21" s="308">
        <f t="shared" si="13"/>
        <v>2.4244601157045733</v>
      </c>
      <c r="AN21" s="99">
        <v>10.3</v>
      </c>
      <c r="AO21" s="302">
        <f t="shared" si="32"/>
        <v>133.30000000000001</v>
      </c>
      <c r="AP21" s="308">
        <f t="shared" si="33"/>
        <v>0.17137247724739199</v>
      </c>
      <c r="AQ21" s="308">
        <f t="shared" si="34"/>
        <v>0.21381059236601554</v>
      </c>
      <c r="AR21" s="305">
        <f t="shared" si="35"/>
        <v>0.18028425400826159</v>
      </c>
      <c r="AS21" s="308">
        <f t="shared" si="36"/>
        <v>0.22515941049786753</v>
      </c>
      <c r="AT21" s="307">
        <f>'13'!I46</f>
        <v>40782.930000000604</v>
      </c>
      <c r="AU21" s="302">
        <f t="shared" si="37"/>
        <v>410567.11000000138</v>
      </c>
      <c r="AV21" s="308">
        <f t="shared" si="14"/>
        <v>678.55065470942554</v>
      </c>
      <c r="AW21" s="308">
        <f t="shared" si="15"/>
        <v>658.54161286649173</v>
      </c>
      <c r="AX21" s="308">
        <f t="shared" si="16"/>
        <v>713.83690401177284</v>
      </c>
      <c r="AY21" s="308">
        <f t="shared" si="17"/>
        <v>693.49623748997328</v>
      </c>
      <c r="AZ21" s="307">
        <f>+Listrik!AH20</f>
        <v>24431.199999999979</v>
      </c>
      <c r="BA21" s="302">
        <f t="shared" si="38"/>
        <v>280125.86000000004</v>
      </c>
      <c r="BB21" s="308">
        <f t="shared" si="18"/>
        <v>406.48886078897857</v>
      </c>
      <c r="BC21" s="308">
        <f t="shared" si="39"/>
        <v>449.31639957719085</v>
      </c>
      <c r="BD21" s="308">
        <f t="shared" si="19"/>
        <v>427.62724917734334</v>
      </c>
      <c r="BE21" s="308">
        <f t="shared" si="20"/>
        <v>473.1655926692286</v>
      </c>
      <c r="BF21" s="530">
        <f>0.009</f>
        <v>8.9999999999999993E-3</v>
      </c>
      <c r="BG21" s="531">
        <v>133.34399999999999</v>
      </c>
      <c r="BH21" s="551">
        <f>+Efficiency2!K67</f>
        <v>68.198111999999995</v>
      </c>
      <c r="BI21" s="552">
        <f t="shared" si="40"/>
        <v>739.56306315159691</v>
      </c>
      <c r="BJ21" s="553">
        <f t="shared" si="41"/>
        <v>0.83773580124916069</v>
      </c>
      <c r="BK21" s="553">
        <f t="shared" si="42"/>
        <v>0.80050644697847173</v>
      </c>
    </row>
    <row r="22" spans="1:63">
      <c r="A22" s="18">
        <f t="shared" si="21"/>
        <v>46005</v>
      </c>
      <c r="B22" s="448" t="s">
        <v>439</v>
      </c>
      <c r="C22" s="449" t="s">
        <v>459</v>
      </c>
      <c r="D22" s="453">
        <f>+'14'!F42</f>
        <v>830</v>
      </c>
      <c r="E22" s="453">
        <f>+'14'!G42</f>
        <v>747</v>
      </c>
      <c r="F22" s="50">
        <f t="shared" si="0"/>
        <v>9.9999999999999978E-2</v>
      </c>
      <c r="G22" s="458">
        <f t="shared" si="22"/>
        <v>0.97883327515868623</v>
      </c>
      <c r="H22" s="456">
        <f t="shared" si="23"/>
        <v>0.97883327515868623</v>
      </c>
      <c r="I22" s="456">
        <f t="shared" si="24"/>
        <v>0.99122702493371861</v>
      </c>
      <c r="J22" s="460">
        <f t="shared" si="25"/>
        <v>0.97024599524167254</v>
      </c>
      <c r="K22" s="460">
        <f t="shared" si="26"/>
        <v>0.75180329436010729</v>
      </c>
      <c r="L22" s="305">
        <f>+Efficiency1!K73</f>
        <v>68.589821886792464</v>
      </c>
      <c r="M22" s="14">
        <f t="shared" si="27"/>
        <v>875.99243703838931</v>
      </c>
      <c r="N22" s="305">
        <f>+Efficiency1!C73</f>
        <v>68.589821886792464</v>
      </c>
      <c r="O22" s="14">
        <f t="shared" si="27"/>
        <v>835.31378062103875</v>
      </c>
      <c r="P22" s="301">
        <f>'14'!I38</f>
        <v>67.138000000000005</v>
      </c>
      <c r="Q22" s="14">
        <f t="shared" si="28"/>
        <v>690.58699999999999</v>
      </c>
      <c r="R22" s="16">
        <f>'14'!I40</f>
        <v>66.549000000000007</v>
      </c>
      <c r="S22" s="302">
        <f t="shared" si="29"/>
        <v>658.57399999999996</v>
      </c>
      <c r="T22" s="8">
        <f t="shared" si="1"/>
        <v>0.99122702493371861</v>
      </c>
      <c r="U22" s="8">
        <f t="shared" si="2"/>
        <v>0.95364378420097684</v>
      </c>
      <c r="V22" s="303">
        <f t="shared" si="3"/>
        <v>0.97024599524167254</v>
      </c>
      <c r="W22" s="304">
        <f t="shared" si="4"/>
        <v>0.75180329436010729</v>
      </c>
      <c r="X22" s="302"/>
      <c r="Y22" s="302"/>
      <c r="Z22" s="7"/>
      <c r="AA22" s="302"/>
      <c r="AB22" s="99">
        <v>0</v>
      </c>
      <c r="AC22" s="14">
        <f t="shared" si="30"/>
        <v>0</v>
      </c>
      <c r="AD22" s="300">
        <f t="shared" si="5"/>
        <v>0</v>
      </c>
      <c r="AE22" s="300">
        <f t="shared" si="6"/>
        <v>0</v>
      </c>
      <c r="AF22" s="306">
        <f t="shared" si="7"/>
        <v>0</v>
      </c>
      <c r="AG22" s="300">
        <f t="shared" si="8"/>
        <v>0</v>
      </c>
      <c r="AH22" s="563">
        <f t="shared" si="9"/>
        <v>132.52100000000002</v>
      </c>
      <c r="AI22" s="302">
        <f t="shared" si="31"/>
        <v>1567.8619999999999</v>
      </c>
      <c r="AJ22" s="308">
        <f t="shared" si="10"/>
        <v>1.9738598111352736</v>
      </c>
      <c r="AK22" s="308">
        <f t="shared" si="11"/>
        <v>2.2703323404581899</v>
      </c>
      <c r="AL22" s="305">
        <f t="shared" si="12"/>
        <v>1.9913296969150551</v>
      </c>
      <c r="AM22" s="308">
        <f t="shared" si="13"/>
        <v>2.3806922228937069</v>
      </c>
      <c r="AN22" s="99">
        <v>11.3</v>
      </c>
      <c r="AO22" s="302">
        <f t="shared" si="32"/>
        <v>144.60000000000002</v>
      </c>
      <c r="AP22" s="308">
        <f t="shared" si="33"/>
        <v>0.16831004796091631</v>
      </c>
      <c r="AQ22" s="308">
        <f t="shared" si="34"/>
        <v>0.20938708663788924</v>
      </c>
      <c r="AR22" s="305">
        <f t="shared" si="35"/>
        <v>0.16979969646425941</v>
      </c>
      <c r="AS22" s="308">
        <f t="shared" si="36"/>
        <v>0.21956530321573586</v>
      </c>
      <c r="AT22" s="307">
        <f>'14'!I46</f>
        <v>37906.030000000115</v>
      </c>
      <c r="AU22" s="302">
        <f t="shared" si="37"/>
        <v>448473.14000000153</v>
      </c>
      <c r="AV22" s="308">
        <f t="shared" si="14"/>
        <v>564.5987369299072</v>
      </c>
      <c r="AW22" s="308">
        <f t="shared" si="15"/>
        <v>649.40860456394569</v>
      </c>
      <c r="AX22" s="308">
        <f t="shared" si="16"/>
        <v>569.59578656328586</v>
      </c>
      <c r="AY22" s="308">
        <f t="shared" si="17"/>
        <v>680.97607861835036</v>
      </c>
      <c r="AZ22" s="307">
        <f>+Listrik!AH21</f>
        <v>35388.900000000212</v>
      </c>
      <c r="BA22" s="302">
        <f t="shared" si="38"/>
        <v>315514.76000000024</v>
      </c>
      <c r="BB22" s="308">
        <f t="shared" si="18"/>
        <v>527.10685453841654</v>
      </c>
      <c r="BC22" s="308">
        <f t="shared" si="39"/>
        <v>456.87908981779299</v>
      </c>
      <c r="BD22" s="308">
        <f t="shared" si="19"/>
        <v>531.77207771717406</v>
      </c>
      <c r="BE22" s="308">
        <f t="shared" si="20"/>
        <v>479.08778664204823</v>
      </c>
      <c r="BF22" s="530">
        <f>0.002</f>
        <v>2E-3</v>
      </c>
      <c r="BG22" s="531">
        <v>132.51900000000001</v>
      </c>
      <c r="BH22" s="551">
        <f>+Efficiency2!K73</f>
        <v>68.589821886792464</v>
      </c>
      <c r="BI22" s="552">
        <f t="shared" si="40"/>
        <v>808.1528850383894</v>
      </c>
      <c r="BJ22" s="553">
        <f t="shared" si="41"/>
        <v>0.97024599524167254</v>
      </c>
      <c r="BK22" s="553">
        <f t="shared" si="42"/>
        <v>0.8149126386756832</v>
      </c>
    </row>
    <row r="23" spans="1:63">
      <c r="A23" s="18">
        <f t="shared" si="21"/>
        <v>46006</v>
      </c>
      <c r="B23" s="448" t="s">
        <v>439</v>
      </c>
      <c r="C23" s="449" t="s">
        <v>459</v>
      </c>
      <c r="D23" s="453">
        <f>+'15'!F42</f>
        <v>830</v>
      </c>
      <c r="E23" s="453">
        <f>+'15'!G42</f>
        <v>747</v>
      </c>
      <c r="F23" s="50">
        <f t="shared" si="0"/>
        <v>9.9999999999999978E-2</v>
      </c>
      <c r="G23" s="458">
        <f t="shared" si="22"/>
        <v>0.9443109451840026</v>
      </c>
      <c r="H23" s="456">
        <f t="shared" si="23"/>
        <v>0.9443109451840026</v>
      </c>
      <c r="I23" s="456">
        <f t="shared" si="24"/>
        <v>1.024810443928091</v>
      </c>
      <c r="J23" s="460">
        <f t="shared" si="25"/>
        <v>0.96773971894017297</v>
      </c>
      <c r="K23" s="460">
        <f t="shared" si="26"/>
        <v>0.76762818527660659</v>
      </c>
      <c r="L23" s="305">
        <f>+Efficiency1!K77</f>
        <v>69.273792</v>
      </c>
      <c r="M23" s="14">
        <f t="shared" si="27"/>
        <v>945.26622903838927</v>
      </c>
      <c r="N23" s="305">
        <f>+Efficiency1!C77</f>
        <v>69.273792</v>
      </c>
      <c r="O23" s="14">
        <f t="shared" si="27"/>
        <v>904.5875726210387</v>
      </c>
      <c r="P23" s="301">
        <f>'15'!I38</f>
        <v>65.415999999999997</v>
      </c>
      <c r="Q23" s="14">
        <f t="shared" si="28"/>
        <v>756.00299999999993</v>
      </c>
      <c r="R23" s="16">
        <f>'15'!I40</f>
        <v>67.039000000000001</v>
      </c>
      <c r="S23" s="302">
        <f t="shared" si="29"/>
        <v>725.61299999999994</v>
      </c>
      <c r="T23" s="8">
        <f t="shared" si="1"/>
        <v>1.024810443928091</v>
      </c>
      <c r="U23" s="8">
        <f t="shared" si="2"/>
        <v>0.95980174681846497</v>
      </c>
      <c r="V23" s="303">
        <f t="shared" si="3"/>
        <v>0.96773971894017297</v>
      </c>
      <c r="W23" s="304">
        <f t="shared" si="4"/>
        <v>0.76762818527660659</v>
      </c>
      <c r="X23" s="302"/>
      <c r="Y23" s="302"/>
      <c r="Z23" s="7"/>
      <c r="AA23" s="302"/>
      <c r="AB23" s="99">
        <v>0</v>
      </c>
      <c r="AC23" s="14">
        <f t="shared" si="30"/>
        <v>0</v>
      </c>
      <c r="AD23" s="300">
        <f t="shared" si="5"/>
        <v>0</v>
      </c>
      <c r="AE23" s="300">
        <f t="shared" si="6"/>
        <v>0</v>
      </c>
      <c r="AF23" s="306">
        <f t="shared" si="7"/>
        <v>0</v>
      </c>
      <c r="AG23" s="300">
        <f t="shared" si="8"/>
        <v>0</v>
      </c>
      <c r="AH23" s="563">
        <f t="shared" si="9"/>
        <v>133.916</v>
      </c>
      <c r="AI23" s="302">
        <f t="shared" si="31"/>
        <v>1701.7779999999998</v>
      </c>
      <c r="AJ23" s="308">
        <f t="shared" si="10"/>
        <v>2.0471444294973709</v>
      </c>
      <c r="AK23" s="308">
        <f t="shared" si="11"/>
        <v>2.2510201679093864</v>
      </c>
      <c r="AL23" s="305">
        <f t="shared" si="12"/>
        <v>1.9975834961738688</v>
      </c>
      <c r="AM23" s="308">
        <f t="shared" si="13"/>
        <v>2.3452970109410938</v>
      </c>
      <c r="AN23" s="99">
        <v>13.7</v>
      </c>
      <c r="AO23" s="302">
        <f t="shared" si="32"/>
        <v>158.30000000000001</v>
      </c>
      <c r="AP23" s="308">
        <f t="shared" si="33"/>
        <v>0.20942888589947414</v>
      </c>
      <c r="AQ23" s="308">
        <f t="shared" si="34"/>
        <v>0.20939070347604444</v>
      </c>
      <c r="AR23" s="305">
        <f t="shared" si="35"/>
        <v>0.20435865690120675</v>
      </c>
      <c r="AS23" s="308">
        <f t="shared" si="36"/>
        <v>0.21816036923263507</v>
      </c>
      <c r="AT23" s="307">
        <f>'15'!I46</f>
        <v>41264.749999998618</v>
      </c>
      <c r="AU23" s="302">
        <f t="shared" si="37"/>
        <v>489737.89000000013</v>
      </c>
      <c r="AV23" s="308">
        <f t="shared" si="14"/>
        <v>630.80515470219234</v>
      </c>
      <c r="AW23" s="308">
        <f t="shared" si="15"/>
        <v>647.79887116850091</v>
      </c>
      <c r="AX23" s="308">
        <f t="shared" si="16"/>
        <v>615.53349542801379</v>
      </c>
      <c r="AY23" s="308">
        <f t="shared" si="17"/>
        <v>674.92987308661804</v>
      </c>
      <c r="AZ23" s="307">
        <f>+Listrik!AH22</f>
        <v>30529.599999999813</v>
      </c>
      <c r="BA23" s="302">
        <f t="shared" si="38"/>
        <v>346044.36000000004</v>
      </c>
      <c r="BB23" s="308">
        <f t="shared" si="18"/>
        <v>466.6992784639815</v>
      </c>
      <c r="BC23" s="308">
        <f t="shared" si="39"/>
        <v>457.72881853643452</v>
      </c>
      <c r="BD23" s="308">
        <f t="shared" si="19"/>
        <v>455.40058771759448</v>
      </c>
      <c r="BE23" s="308">
        <f t="shared" si="20"/>
        <v>476.89933890379587</v>
      </c>
      <c r="BF23" s="530">
        <f>0.293</f>
        <v>0.29299999999999998</v>
      </c>
      <c r="BG23" s="531">
        <v>133.62299999999999</v>
      </c>
      <c r="BH23" s="551">
        <f>+Efficiency2!K77</f>
        <v>69.273792</v>
      </c>
      <c r="BI23" s="552">
        <f t="shared" si="40"/>
        <v>877.42667703838936</v>
      </c>
      <c r="BJ23" s="553">
        <f t="shared" si="41"/>
        <v>0.96773971894017297</v>
      </c>
      <c r="BK23" s="553">
        <f t="shared" si="42"/>
        <v>0.82697850314876253</v>
      </c>
    </row>
    <row r="24" spans="1:63">
      <c r="A24" s="18">
        <f t="shared" si="21"/>
        <v>46007</v>
      </c>
      <c r="B24" s="448" t="s">
        <v>439</v>
      </c>
      <c r="C24" s="449" t="s">
        <v>577</v>
      </c>
      <c r="D24" s="453">
        <f>+'16'!F42</f>
        <v>830</v>
      </c>
      <c r="E24" s="453">
        <f>+'16'!G42</f>
        <v>747</v>
      </c>
      <c r="F24" s="50">
        <f t="shared" si="0"/>
        <v>9.9999999999999978E-2</v>
      </c>
      <c r="G24" s="458">
        <f t="shared" si="22"/>
        <v>0.97260579342707265</v>
      </c>
      <c r="H24" s="456">
        <f t="shared" si="23"/>
        <v>0.97260579342707265</v>
      </c>
      <c r="I24" s="456">
        <f t="shared" si="24"/>
        <v>1.0085245059478898</v>
      </c>
      <c r="J24" s="460">
        <f t="shared" si="25"/>
        <v>0.98089677729809377</v>
      </c>
      <c r="K24" s="460">
        <f t="shared" si="26"/>
        <v>0.78116105943058656</v>
      </c>
      <c r="L24" s="305">
        <f>+SUM(Efficiency1!K81:K82)</f>
        <v>64.045474971428561</v>
      </c>
      <c r="M24" s="14">
        <f t="shared" si="27"/>
        <v>1009.3117040098178</v>
      </c>
      <c r="N24" s="305">
        <f>+SUM(Efficiency1!C81:C82)</f>
        <v>64.045474971428561</v>
      </c>
      <c r="O24" s="14">
        <f t="shared" si="27"/>
        <v>968.63304759246728</v>
      </c>
      <c r="P24" s="301">
        <f>'16'!I38</f>
        <v>62.290999999999997</v>
      </c>
      <c r="Q24" s="14">
        <f t="shared" si="28"/>
        <v>818.29399999999987</v>
      </c>
      <c r="R24" s="16">
        <f>'16'!I40</f>
        <v>62.822000000000003</v>
      </c>
      <c r="S24" s="302">
        <f t="shared" si="29"/>
        <v>788.43499999999995</v>
      </c>
      <c r="T24" s="8">
        <f t="shared" si="1"/>
        <v>1.0085245059478898</v>
      </c>
      <c r="U24" s="8">
        <f t="shared" si="2"/>
        <v>0.96351066975927979</v>
      </c>
      <c r="V24" s="303">
        <f t="shared" si="3"/>
        <v>0.98089677729809377</v>
      </c>
      <c r="W24" s="304">
        <f t="shared" si="4"/>
        <v>0.78116105943058656</v>
      </c>
      <c r="X24" s="302"/>
      <c r="Y24" s="302"/>
      <c r="Z24" s="7"/>
      <c r="AA24" s="302"/>
      <c r="AB24" s="99">
        <v>0</v>
      </c>
      <c r="AC24" s="14">
        <f t="shared" si="30"/>
        <v>0</v>
      </c>
      <c r="AD24" s="300">
        <f t="shared" si="5"/>
        <v>0</v>
      </c>
      <c r="AE24" s="300">
        <f t="shared" si="6"/>
        <v>0</v>
      </c>
      <c r="AF24" s="306">
        <f t="shared" si="7"/>
        <v>0</v>
      </c>
      <c r="AG24" s="300">
        <f t="shared" si="8"/>
        <v>0</v>
      </c>
      <c r="AH24" s="563">
        <f t="shared" si="9"/>
        <v>124.45299999999999</v>
      </c>
      <c r="AI24" s="302">
        <f t="shared" si="31"/>
        <v>1826.2309999999998</v>
      </c>
      <c r="AJ24" s="308">
        <f t="shared" si="10"/>
        <v>1.9979290748262188</v>
      </c>
      <c r="AK24" s="308">
        <f t="shared" si="11"/>
        <v>2.2317541128249752</v>
      </c>
      <c r="AL24" s="305">
        <f t="shared" si="12"/>
        <v>1.9810416732991625</v>
      </c>
      <c r="AM24" s="308">
        <f t="shared" si="13"/>
        <v>2.3162733770063477</v>
      </c>
      <c r="AN24" s="99">
        <v>11.8</v>
      </c>
      <c r="AO24" s="302">
        <f t="shared" si="32"/>
        <v>170.10000000000002</v>
      </c>
      <c r="AP24" s="308">
        <f t="shared" si="33"/>
        <v>0.18943346550866097</v>
      </c>
      <c r="AQ24" s="308">
        <f t="shared" si="34"/>
        <v>0.20787149850787132</v>
      </c>
      <c r="AR24" s="305">
        <f t="shared" si="35"/>
        <v>0.18783228805195631</v>
      </c>
      <c r="AS24" s="308">
        <f t="shared" si="36"/>
        <v>0.21574384698802063</v>
      </c>
      <c r="AT24" s="307">
        <f>'16'!I46</f>
        <v>35921.709999999926</v>
      </c>
      <c r="AU24" s="302">
        <f t="shared" si="37"/>
        <v>525659.60000000009</v>
      </c>
      <c r="AV24" s="308">
        <f t="shared" si="14"/>
        <v>576.67576375399221</v>
      </c>
      <c r="AW24" s="308">
        <f t="shared" si="15"/>
        <v>642.38476635536881</v>
      </c>
      <c r="AX24" s="308">
        <f t="shared" si="16"/>
        <v>571.80143898634117</v>
      </c>
      <c r="AY24" s="308">
        <f t="shared" si="17"/>
        <v>666.71266496286967</v>
      </c>
      <c r="AZ24" s="307">
        <f>+Listrik!AH23</f>
        <v>30832.000000000047</v>
      </c>
      <c r="BA24" s="302">
        <f t="shared" si="38"/>
        <v>376876.3600000001</v>
      </c>
      <c r="BB24" s="308">
        <f t="shared" si="18"/>
        <v>494.96717021720707</v>
      </c>
      <c r="BC24" s="308">
        <f t="shared" si="39"/>
        <v>460.5635138471016</v>
      </c>
      <c r="BD24" s="308">
        <f t="shared" si="19"/>
        <v>490.78348349304457</v>
      </c>
      <c r="BE24" s="308">
        <f t="shared" si="20"/>
        <v>478.00561872570358</v>
      </c>
      <c r="BF24" s="530">
        <v>0.26400000000000001</v>
      </c>
      <c r="BG24" s="531">
        <v>124.18899999999999</v>
      </c>
      <c r="BH24" s="551">
        <f>+SUM(Efficiency2!K81:K82)</f>
        <v>64.045474971428561</v>
      </c>
      <c r="BI24" s="552">
        <f t="shared" si="40"/>
        <v>941.47215200981793</v>
      </c>
      <c r="BJ24" s="553">
        <f t="shared" si="41"/>
        <v>0.98089677729809377</v>
      </c>
      <c r="BK24" s="553">
        <f t="shared" si="42"/>
        <v>0.8374490932279619</v>
      </c>
    </row>
    <row r="25" spans="1:63">
      <c r="A25" s="18">
        <f t="shared" si="21"/>
        <v>46008</v>
      </c>
      <c r="B25" s="448" t="s">
        <v>582</v>
      </c>
      <c r="C25" s="449" t="s">
        <v>583</v>
      </c>
      <c r="D25" s="453">
        <f>+'17'!F42</f>
        <v>830</v>
      </c>
      <c r="E25" s="453">
        <f>+'17'!G42</f>
        <v>713.8</v>
      </c>
      <c r="F25" s="50">
        <f t="shared" si="0"/>
        <v>0.14000000000000001</v>
      </c>
      <c r="G25" s="458">
        <f t="shared" si="22"/>
        <v>0.98465695742867954</v>
      </c>
      <c r="H25" s="456">
        <f t="shared" si="23"/>
        <v>0.98465695742867954</v>
      </c>
      <c r="I25" s="456">
        <f t="shared" si="24"/>
        <v>0.9897693186687615</v>
      </c>
      <c r="J25" s="460">
        <f t="shared" si="25"/>
        <v>0.9745832458766398</v>
      </c>
      <c r="K25" s="460">
        <f t="shared" si="26"/>
        <v>0.79148001649358601</v>
      </c>
      <c r="L25" s="305">
        <f>+SUM(Efficiency1!K86:K87)</f>
        <v>56.88072335999999</v>
      </c>
      <c r="M25" s="14">
        <f t="shared" si="27"/>
        <v>1066.1924273698178</v>
      </c>
      <c r="N25" s="305">
        <f>+SUM(Efficiency1!C86:C87)</f>
        <v>56.88072335999999</v>
      </c>
      <c r="O25" s="14">
        <f t="shared" si="27"/>
        <v>1025.5137709524672</v>
      </c>
      <c r="P25" s="301">
        <f>'17'!I38</f>
        <v>56.00800000000001</v>
      </c>
      <c r="Q25" s="14">
        <f t="shared" si="28"/>
        <v>874.30199999999991</v>
      </c>
      <c r="R25" s="16">
        <f>'17'!I40</f>
        <v>55.435000000000002</v>
      </c>
      <c r="S25" s="302">
        <f t="shared" si="29"/>
        <v>843.86999999999989</v>
      </c>
      <c r="T25" s="8">
        <f t="shared" si="1"/>
        <v>0.9897693186687615</v>
      </c>
      <c r="U25" s="8">
        <f t="shared" si="2"/>
        <v>0.96519280523205941</v>
      </c>
      <c r="V25" s="303">
        <f t="shared" si="3"/>
        <v>0.9745832458766398</v>
      </c>
      <c r="W25" s="304">
        <f t="shared" si="4"/>
        <v>0.79148001649358601</v>
      </c>
      <c r="X25" s="302"/>
      <c r="Y25" s="302"/>
      <c r="Z25" s="7"/>
      <c r="AA25" s="302"/>
      <c r="AB25" s="99">
        <v>0</v>
      </c>
      <c r="AC25" s="14">
        <f t="shared" si="30"/>
        <v>0</v>
      </c>
      <c r="AD25" s="300">
        <f t="shared" si="5"/>
        <v>0</v>
      </c>
      <c r="AE25" s="300">
        <f t="shared" si="6"/>
        <v>0</v>
      </c>
      <c r="AF25" s="306">
        <f t="shared" si="7"/>
        <v>0</v>
      </c>
      <c r="AG25" s="300">
        <f t="shared" si="8"/>
        <v>0</v>
      </c>
      <c r="AH25" s="563">
        <f t="shared" si="9"/>
        <v>116.29600000000001</v>
      </c>
      <c r="AI25" s="302">
        <f t="shared" si="31"/>
        <v>1942.5269999999998</v>
      </c>
      <c r="AJ25" s="308">
        <f t="shared" si="10"/>
        <v>2.076417654620768</v>
      </c>
      <c r="AK25" s="308">
        <f t="shared" si="11"/>
        <v>2.2218032213125443</v>
      </c>
      <c r="AL25" s="305">
        <f t="shared" si="12"/>
        <v>2.0978804004690179</v>
      </c>
      <c r="AM25" s="308">
        <f t="shared" si="13"/>
        <v>2.3019268370720609</v>
      </c>
      <c r="AN25" s="99">
        <v>11</v>
      </c>
      <c r="AO25" s="302">
        <f t="shared" si="32"/>
        <v>181.10000000000002</v>
      </c>
      <c r="AP25" s="308">
        <f t="shared" si="33"/>
        <v>0.19640051421225535</v>
      </c>
      <c r="AQ25" s="308">
        <f t="shared" si="34"/>
        <v>0.2071366644477538</v>
      </c>
      <c r="AR25" s="305">
        <f t="shared" si="35"/>
        <v>0.19843059438982591</v>
      </c>
      <c r="AS25" s="308">
        <f t="shared" si="36"/>
        <v>0.21460651522153892</v>
      </c>
      <c r="AT25" s="307">
        <f>'17'!I46</f>
        <v>36390.380000001533</v>
      </c>
      <c r="AU25" s="302">
        <f t="shared" si="37"/>
        <v>562049.98000000161</v>
      </c>
      <c r="AV25" s="308">
        <f t="shared" si="14"/>
        <v>649.73539494360682</v>
      </c>
      <c r="AW25" s="308">
        <f t="shared" si="15"/>
        <v>642.85564942091139</v>
      </c>
      <c r="AX25" s="308">
        <f t="shared" si="16"/>
        <v>656.45133940653977</v>
      </c>
      <c r="AY25" s="308">
        <f t="shared" si="17"/>
        <v>666.03858414210913</v>
      </c>
      <c r="AZ25" s="307">
        <f>+Listrik!AH24</f>
        <v>30072.500000000004</v>
      </c>
      <c r="BA25" s="302">
        <f t="shared" si="38"/>
        <v>406948.8600000001</v>
      </c>
      <c r="BB25" s="308">
        <f t="shared" si="18"/>
        <v>536.93222396800456</v>
      </c>
      <c r="BC25" s="308">
        <f t="shared" si="39"/>
        <v>465.45571209948065</v>
      </c>
      <c r="BD25" s="308">
        <f t="shared" si="19"/>
        <v>542.48218634436728</v>
      </c>
      <c r="BE25" s="308">
        <f t="shared" si="20"/>
        <v>482.24117458850316</v>
      </c>
      <c r="BF25" s="530">
        <f>0.369</f>
        <v>0.36899999999999999</v>
      </c>
      <c r="BG25" s="531">
        <v>115.92700000000001</v>
      </c>
      <c r="BH25" s="551">
        <f>+SUM(Efficiency2!K86:K87)</f>
        <v>56.88072335999999</v>
      </c>
      <c r="BI25" s="552">
        <f t="shared" si="40"/>
        <v>998.35287536981787</v>
      </c>
      <c r="BJ25" s="553">
        <f t="shared" si="41"/>
        <v>0.9745832458766398</v>
      </c>
      <c r="BK25" s="553">
        <f t="shared" si="42"/>
        <v>0.84526225227468477</v>
      </c>
    </row>
    <row r="26" spans="1:63">
      <c r="A26" s="18">
        <f t="shared" si="21"/>
        <v>46009</v>
      </c>
      <c r="B26" s="448" t="s">
        <v>444</v>
      </c>
      <c r="C26" s="449" t="s">
        <v>588</v>
      </c>
      <c r="D26" s="453">
        <f>+'18'!F42</f>
        <v>830</v>
      </c>
      <c r="E26" s="453">
        <f>+'18'!G42</f>
        <v>713.8</v>
      </c>
      <c r="F26" s="50">
        <f t="shared" si="0"/>
        <v>0.14000000000000001</v>
      </c>
      <c r="G26" s="458">
        <f t="shared" si="22"/>
        <v>0.9102329123330104</v>
      </c>
      <c r="H26" s="456">
        <f t="shared" si="23"/>
        <v>0.9102329123330104</v>
      </c>
      <c r="I26" s="456">
        <f t="shared" si="24"/>
        <v>0.91900299022657483</v>
      </c>
      <c r="J26" s="460">
        <f t="shared" si="25"/>
        <v>0.83650676823668035</v>
      </c>
      <c r="K26" s="460">
        <f t="shared" si="26"/>
        <v>0.79367898803254511</v>
      </c>
      <c r="L26" s="305">
        <f>+SUM(Efficiency1!K90:K92)</f>
        <v>54.743131482999999</v>
      </c>
      <c r="M26" s="14">
        <f t="shared" si="27"/>
        <v>1120.9355588528178</v>
      </c>
      <c r="N26" s="305">
        <f>+SUM(Efficiency1!C90:C92)</f>
        <v>54.743131482999999</v>
      </c>
      <c r="O26" s="14">
        <f t="shared" si="27"/>
        <v>1080.2569024354673</v>
      </c>
      <c r="P26" s="301">
        <f>'18'!I38</f>
        <v>49.829000000000001</v>
      </c>
      <c r="Q26" s="14">
        <f t="shared" si="28"/>
        <v>924.13099999999986</v>
      </c>
      <c r="R26" s="16">
        <f>'18'!I40</f>
        <v>45.792999999999999</v>
      </c>
      <c r="S26" s="302">
        <f t="shared" si="29"/>
        <v>889.6629999999999</v>
      </c>
      <c r="T26" s="8">
        <f t="shared" si="1"/>
        <v>0.91900299022657483</v>
      </c>
      <c r="U26" s="8">
        <f t="shared" si="2"/>
        <v>0.96270225758036476</v>
      </c>
      <c r="V26" s="303">
        <f t="shared" si="3"/>
        <v>0.83650676823668035</v>
      </c>
      <c r="W26" s="304">
        <f t="shared" si="4"/>
        <v>0.79367898803254511</v>
      </c>
      <c r="X26" s="302"/>
      <c r="Y26" s="302"/>
      <c r="Z26" s="7"/>
      <c r="AA26" s="302"/>
      <c r="AB26" s="99">
        <v>0</v>
      </c>
      <c r="AC26" s="14">
        <f t="shared" si="30"/>
        <v>0</v>
      </c>
      <c r="AD26" s="300">
        <f t="shared" si="5"/>
        <v>0</v>
      </c>
      <c r="AE26" s="300">
        <f t="shared" si="6"/>
        <v>0</v>
      </c>
      <c r="AF26" s="306">
        <f t="shared" si="7"/>
        <v>0</v>
      </c>
      <c r="AG26" s="300">
        <f t="shared" si="8"/>
        <v>0</v>
      </c>
      <c r="AH26" s="563">
        <f t="shared" si="9"/>
        <v>111.286</v>
      </c>
      <c r="AI26" s="302">
        <f t="shared" si="31"/>
        <v>2053.8129999999996</v>
      </c>
      <c r="AJ26" s="308">
        <f t="shared" si="10"/>
        <v>2.2333580846495011</v>
      </c>
      <c r="AK26" s="308">
        <f t="shared" si="11"/>
        <v>2.2224262577491718</v>
      </c>
      <c r="AL26" s="305">
        <f t="shared" si="12"/>
        <v>2.4301967549625489</v>
      </c>
      <c r="AM26" s="308">
        <f t="shared" si="13"/>
        <v>2.308529184646321</v>
      </c>
      <c r="AN26" s="99">
        <v>11</v>
      </c>
      <c r="AO26" s="302">
        <f t="shared" si="32"/>
        <v>192.10000000000002</v>
      </c>
      <c r="AP26" s="308">
        <f t="shared" si="33"/>
        <v>0.22075498203857191</v>
      </c>
      <c r="AQ26" s="308">
        <f t="shared" si="34"/>
        <v>0.2078709620172898</v>
      </c>
      <c r="AR26" s="305">
        <f t="shared" si="35"/>
        <v>0.24021138601969733</v>
      </c>
      <c r="AS26" s="308">
        <f t="shared" si="36"/>
        <v>0.21592445678869421</v>
      </c>
      <c r="AT26" s="307">
        <f>'18'!I46</f>
        <v>39231.099999998543</v>
      </c>
      <c r="AU26" s="302">
        <f t="shared" si="37"/>
        <v>601281.08000000019</v>
      </c>
      <c r="AV26" s="308">
        <f t="shared" si="14"/>
        <v>787.31461598664521</v>
      </c>
      <c r="AW26" s="308">
        <f t="shared" si="15"/>
        <v>650.64485446327444</v>
      </c>
      <c r="AX26" s="308">
        <f t="shared" si="16"/>
        <v>856.70517327972709</v>
      </c>
      <c r="AY26" s="308">
        <f t="shared" si="17"/>
        <v>675.85263183924724</v>
      </c>
      <c r="AZ26" s="307">
        <f>+Listrik!AH25</f>
        <v>28928.79999999993</v>
      </c>
      <c r="BA26" s="302">
        <f t="shared" si="38"/>
        <v>435877.66000000003</v>
      </c>
      <c r="BB26" s="308">
        <f t="shared" si="18"/>
        <v>580.56152039976587</v>
      </c>
      <c r="BC26" s="308">
        <f t="shared" si="39"/>
        <v>471.66219940679417</v>
      </c>
      <c r="BD26" s="308">
        <f t="shared" si="19"/>
        <v>631.72974035332766</v>
      </c>
      <c r="BE26" s="308">
        <f t="shared" si="20"/>
        <v>489.93569475183307</v>
      </c>
      <c r="BF26" s="530">
        <f>0.73</f>
        <v>0.73</v>
      </c>
      <c r="BG26" s="531">
        <v>110.556</v>
      </c>
      <c r="BH26" s="551">
        <f>+SUM(Efficiency2!K90:K92)</f>
        <v>54.467615389999992</v>
      </c>
      <c r="BI26" s="552">
        <f t="shared" si="40"/>
        <v>1052.8204907598179</v>
      </c>
      <c r="BJ26" s="553">
        <f t="shared" si="41"/>
        <v>0.84073810964757945</v>
      </c>
      <c r="BK26" s="553">
        <f t="shared" si="42"/>
        <v>0.8450281959823297</v>
      </c>
    </row>
    <row r="27" spans="1:63">
      <c r="A27" s="18">
        <f t="shared" si="21"/>
        <v>46010</v>
      </c>
      <c r="B27" s="448" t="s">
        <v>8</v>
      </c>
      <c r="C27" s="449" t="s">
        <v>600</v>
      </c>
      <c r="D27" s="453">
        <f>+'19'!F42</f>
        <v>807.8125</v>
      </c>
      <c r="E27" s="453">
        <f>+'19'!G42</f>
        <v>694.71875</v>
      </c>
      <c r="F27" s="50">
        <f t="shared" si="0"/>
        <v>0.14000000000000001</v>
      </c>
      <c r="G27" s="458">
        <f t="shared" si="22"/>
        <v>0.96823216791312083</v>
      </c>
      <c r="H27" s="456">
        <f t="shared" si="23"/>
        <v>0.96823216791312083</v>
      </c>
      <c r="I27" s="456">
        <f t="shared" si="24"/>
        <v>1.0039482439926062</v>
      </c>
      <c r="J27" s="460">
        <f t="shared" si="25"/>
        <v>0.97205498475353191</v>
      </c>
      <c r="K27" s="460">
        <f t="shared" si="26"/>
        <v>0.80414142587918669</v>
      </c>
      <c r="L27" s="305">
        <f>+SUM(Efficiency1!K96:K97)</f>
        <v>69.843785655000019</v>
      </c>
      <c r="M27" s="14">
        <f t="shared" si="27"/>
        <v>1190.7793445078178</v>
      </c>
      <c r="N27" s="305">
        <f>+SUM(Efficiency1!C96:C97)</f>
        <v>69.843785655000019</v>
      </c>
      <c r="O27" s="14">
        <f t="shared" si="27"/>
        <v>1150.1006880904672</v>
      </c>
      <c r="P27" s="301">
        <f>'19'!I38</f>
        <v>67.625</v>
      </c>
      <c r="Q27" s="14">
        <f t="shared" si="28"/>
        <v>991.75599999999986</v>
      </c>
      <c r="R27" s="16">
        <f>'19'!I40</f>
        <v>67.891999999999996</v>
      </c>
      <c r="S27" s="302">
        <f t="shared" si="29"/>
        <v>957.55499999999984</v>
      </c>
      <c r="T27" s="8">
        <f t="shared" si="1"/>
        <v>1.0039482439926062</v>
      </c>
      <c r="U27" s="8">
        <f t="shared" si="2"/>
        <v>0.96551470321329036</v>
      </c>
      <c r="V27" s="303">
        <f t="shared" si="3"/>
        <v>0.97205498475353191</v>
      </c>
      <c r="W27" s="304">
        <f t="shared" si="4"/>
        <v>0.80414142587918669</v>
      </c>
      <c r="X27" s="302"/>
      <c r="Y27" s="302"/>
      <c r="Z27" s="7"/>
      <c r="AA27" s="302"/>
      <c r="AB27" s="99">
        <v>0</v>
      </c>
      <c r="AC27" s="14">
        <f t="shared" si="30"/>
        <v>0</v>
      </c>
      <c r="AD27" s="300">
        <f t="shared" si="5"/>
        <v>0</v>
      </c>
      <c r="AE27" s="300">
        <f t="shared" si="6"/>
        <v>0</v>
      </c>
      <c r="AF27" s="306">
        <f t="shared" si="7"/>
        <v>0</v>
      </c>
      <c r="AG27" s="300">
        <f t="shared" si="8"/>
        <v>0</v>
      </c>
      <c r="AH27" s="563">
        <f t="shared" si="9"/>
        <v>132.33000000000001</v>
      </c>
      <c r="AI27" s="302">
        <f t="shared" si="31"/>
        <v>2186.1429999999996</v>
      </c>
      <c r="AJ27" s="308">
        <f t="shared" si="10"/>
        <v>1.9568207024029576</v>
      </c>
      <c r="AK27" s="308">
        <f t="shared" si="11"/>
        <v>2.2043153759594092</v>
      </c>
      <c r="AL27" s="305">
        <f t="shared" si="12"/>
        <v>1.9491250810110179</v>
      </c>
      <c r="AM27" s="308">
        <f t="shared" si="13"/>
        <v>2.2830469268083817</v>
      </c>
      <c r="AN27" s="99">
        <v>11.9</v>
      </c>
      <c r="AO27" s="302">
        <f t="shared" si="32"/>
        <v>204.00000000000003</v>
      </c>
      <c r="AP27" s="308">
        <f t="shared" si="33"/>
        <v>0.17597042513863217</v>
      </c>
      <c r="AQ27" s="308">
        <f t="shared" si="34"/>
        <v>0.20569575581090516</v>
      </c>
      <c r="AR27" s="305">
        <f t="shared" si="35"/>
        <v>0.17527838331467627</v>
      </c>
      <c r="AS27" s="308">
        <f t="shared" si="36"/>
        <v>0.21304259285367427</v>
      </c>
      <c r="AT27" s="307">
        <f>'19'!I46</f>
        <v>38946.090000000295</v>
      </c>
      <c r="AU27" s="302">
        <f t="shared" si="37"/>
        <v>640227.17000000051</v>
      </c>
      <c r="AV27" s="308">
        <f t="shared" si="14"/>
        <v>575.9126062846625</v>
      </c>
      <c r="AW27" s="308">
        <f t="shared" si="15"/>
        <v>645.54907658738705</v>
      </c>
      <c r="AX27" s="308">
        <f t="shared" si="16"/>
        <v>573.64770517881777</v>
      </c>
      <c r="AY27" s="308">
        <f t="shared" si="17"/>
        <v>668.60615839299112</v>
      </c>
      <c r="AZ27" s="307">
        <f>+Listrik!AH26</f>
        <v>35268.499999999978</v>
      </c>
      <c r="BA27" s="302">
        <f t="shared" si="38"/>
        <v>471146.16000000003</v>
      </c>
      <c r="BB27" s="308">
        <f t="shared" si="18"/>
        <v>521.53049907578531</v>
      </c>
      <c r="BC27" s="308">
        <f t="shared" si="39"/>
        <v>475.06257587551789</v>
      </c>
      <c r="BD27" s="308">
        <f t="shared" si="19"/>
        <v>519.47946738938276</v>
      </c>
      <c r="BE27" s="308">
        <f t="shared" si="20"/>
        <v>492.03038989927484</v>
      </c>
      <c r="BF27" s="530">
        <f>0.905</f>
        <v>0.90500000000000003</v>
      </c>
      <c r="BG27" s="531">
        <v>131.42500000000001</v>
      </c>
      <c r="BH27" s="551">
        <f>+SUM(Efficiency2!K96:K97)</f>
        <v>71.766076575</v>
      </c>
      <c r="BI27" s="552">
        <f t="shared" si="40"/>
        <v>1124.5865673348178</v>
      </c>
      <c r="BJ27" s="553">
        <f t="shared" si="41"/>
        <v>0.94601799680450205</v>
      </c>
      <c r="BK27" s="553">
        <f t="shared" si="42"/>
        <v>0.85147291263609015</v>
      </c>
    </row>
    <row r="28" spans="1:63">
      <c r="A28" s="18">
        <f t="shared" si="21"/>
        <v>46011</v>
      </c>
      <c r="B28" s="448" t="s">
        <v>8</v>
      </c>
      <c r="C28" s="457" t="s">
        <v>607</v>
      </c>
      <c r="D28" s="453">
        <f>+'20'!F42</f>
        <v>672.77777777777783</v>
      </c>
      <c r="E28" s="453">
        <f>+'20'!G42</f>
        <v>584.39444444444439</v>
      </c>
      <c r="F28" s="50">
        <f t="shared" si="0"/>
        <v>0.13137076796036351</v>
      </c>
      <c r="G28" s="458">
        <f t="shared" si="22"/>
        <v>0.98792470185895565</v>
      </c>
      <c r="H28" s="456">
        <f t="shared" si="23"/>
        <v>0.98792470185895565</v>
      </c>
      <c r="I28" s="456">
        <f t="shared" si="24"/>
        <v>0.98060808844922875</v>
      </c>
      <c r="J28" s="460">
        <f t="shared" si="25"/>
        <v>0.96876695342168484</v>
      </c>
      <c r="K28" s="460">
        <f t="shared" si="26"/>
        <v>0.81322984627694539</v>
      </c>
      <c r="L28" s="305">
        <f>+SUM(Efficiency1!K101:K102)</f>
        <v>69.580201680000002</v>
      </c>
      <c r="M28" s="14">
        <f t="shared" si="27"/>
        <v>1260.3595461878178</v>
      </c>
      <c r="N28" s="305">
        <f>+SUM(Efficiency1!C101:C102)</f>
        <v>69.580201680000002</v>
      </c>
      <c r="O28" s="14">
        <f t="shared" si="27"/>
        <v>1219.6808897704673</v>
      </c>
      <c r="P28" s="301">
        <f>'20'!I38</f>
        <v>68.740000000000009</v>
      </c>
      <c r="Q28" s="14">
        <f t="shared" si="28"/>
        <v>1060.4959999999999</v>
      </c>
      <c r="R28" s="16">
        <f>'20'!I40</f>
        <v>67.406999999999996</v>
      </c>
      <c r="S28" s="302">
        <f t="shared" si="29"/>
        <v>1024.9619999999998</v>
      </c>
      <c r="T28" s="8">
        <f t="shared" si="1"/>
        <v>0.98060808844922875</v>
      </c>
      <c r="U28" s="8">
        <f t="shared" si="2"/>
        <v>0.96649303722031943</v>
      </c>
      <c r="V28" s="303">
        <f t="shared" si="3"/>
        <v>0.96876695342168484</v>
      </c>
      <c r="W28" s="304">
        <f t="shared" si="4"/>
        <v>0.81322984627694539</v>
      </c>
      <c r="X28" s="302"/>
      <c r="Y28" s="302"/>
      <c r="Z28" s="7"/>
      <c r="AA28" s="302"/>
      <c r="AB28" s="99">
        <v>0</v>
      </c>
      <c r="AC28" s="14">
        <f t="shared" si="30"/>
        <v>0</v>
      </c>
      <c r="AD28" s="300">
        <f t="shared" si="5"/>
        <v>0</v>
      </c>
      <c r="AE28" s="300">
        <f t="shared" si="6"/>
        <v>0</v>
      </c>
      <c r="AF28" s="306">
        <f t="shared" si="7"/>
        <v>0</v>
      </c>
      <c r="AG28" s="300">
        <f t="shared" si="8"/>
        <v>0</v>
      </c>
      <c r="AH28" s="563">
        <f t="shared" si="9"/>
        <v>127.60899999999999</v>
      </c>
      <c r="AI28" s="302">
        <f t="shared" si="31"/>
        <v>2313.7519999999995</v>
      </c>
      <c r="AJ28" s="308">
        <f t="shared" si="10"/>
        <v>1.8564009310445153</v>
      </c>
      <c r="AK28" s="308">
        <f t="shared" si="11"/>
        <v>2.1817640047675804</v>
      </c>
      <c r="AL28" s="305">
        <f t="shared" si="12"/>
        <v>1.8931119913362113</v>
      </c>
      <c r="AM28" s="308">
        <f t="shared" si="13"/>
        <v>2.2574027134664507</v>
      </c>
      <c r="AN28" s="99">
        <v>12.5</v>
      </c>
      <c r="AO28" s="302">
        <f t="shared" si="32"/>
        <v>216.50000000000003</v>
      </c>
      <c r="AP28" s="308">
        <f t="shared" si="33"/>
        <v>0.18184463194646491</v>
      </c>
      <c r="AQ28" s="308">
        <f t="shared" si="34"/>
        <v>0.20414975634042945</v>
      </c>
      <c r="AR28" s="305">
        <f t="shared" si="35"/>
        <v>0.18544068123488661</v>
      </c>
      <c r="AS28" s="308">
        <f t="shared" si="36"/>
        <v>0.21122734306247459</v>
      </c>
      <c r="AT28" s="307">
        <f>'20'!I46</f>
        <v>34356.279999999686</v>
      </c>
      <c r="AU28" s="302">
        <f t="shared" si="37"/>
        <v>674583.45000000019</v>
      </c>
      <c r="AV28" s="308">
        <f t="shared" si="14"/>
        <v>499.80040733197092</v>
      </c>
      <c r="AW28" s="308">
        <f t="shared" si="15"/>
        <v>636.10183348169187</v>
      </c>
      <c r="AX28" s="308">
        <f t="shared" si="16"/>
        <v>509.68415743171613</v>
      </c>
      <c r="AY28" s="308">
        <f t="shared" si="17"/>
        <v>658.1545949996198</v>
      </c>
      <c r="AZ28" s="307">
        <f>+Listrik!AH27</f>
        <v>30456.400000000049</v>
      </c>
      <c r="BA28" s="302">
        <f t="shared" si="38"/>
        <v>501602.56000000006</v>
      </c>
      <c r="BB28" s="308">
        <f t="shared" si="18"/>
        <v>443.06662787314582</v>
      </c>
      <c r="BC28" s="308">
        <f t="shared" si="39"/>
        <v>472.9886392782247</v>
      </c>
      <c r="BD28" s="308">
        <f t="shared" si="19"/>
        <v>451.82844511697675</v>
      </c>
      <c r="BE28" s="308">
        <f t="shared" si="20"/>
        <v>489.38649432857039</v>
      </c>
      <c r="BF28" s="530">
        <v>0.67800000000000005</v>
      </c>
      <c r="BG28" s="531">
        <v>126.931</v>
      </c>
      <c r="BH28" s="551">
        <f>+SUM(Efficiency2!K101:K102)</f>
        <v>69.580201680000002</v>
      </c>
      <c r="BI28" s="552">
        <f t="shared" si="40"/>
        <v>1194.1667690148179</v>
      </c>
      <c r="BJ28" s="553">
        <f t="shared" si="41"/>
        <v>0.96876695342168484</v>
      </c>
      <c r="BK28" s="553">
        <f t="shared" si="42"/>
        <v>0.85830725372268457</v>
      </c>
    </row>
    <row r="29" spans="1:63" ht="12.2" customHeight="1">
      <c r="A29" s="18">
        <f t="shared" si="21"/>
        <v>46012</v>
      </c>
      <c r="B29" s="448" t="s">
        <v>8</v>
      </c>
      <c r="C29" s="457" t="s">
        <v>608</v>
      </c>
      <c r="D29" s="453">
        <f>+'21'!F42</f>
        <v>550</v>
      </c>
      <c r="E29" s="453">
        <f>+'21'!G42</f>
        <v>484</v>
      </c>
      <c r="F29" s="50">
        <f t="shared" si="0"/>
        <v>0.12</v>
      </c>
      <c r="G29" s="458">
        <f t="shared" si="22"/>
        <v>0.95823313164613066</v>
      </c>
      <c r="H29" s="456">
        <f t="shared" si="23"/>
        <v>0.95823313164613066</v>
      </c>
      <c r="I29" s="456">
        <f t="shared" si="24"/>
        <v>0.99103816480389562</v>
      </c>
      <c r="J29" s="460">
        <f t="shared" si="25"/>
        <v>0.94964560424087108</v>
      </c>
      <c r="K29" s="460">
        <f t="shared" si="26"/>
        <v>0.82051927389665946</v>
      </c>
      <c r="L29" s="305">
        <f>+Efficiency1!K106</f>
        <v>71.149700159999995</v>
      </c>
      <c r="M29" s="14">
        <f t="shared" si="27"/>
        <v>1331.5092463478179</v>
      </c>
      <c r="N29" s="305">
        <f>+Efficiency1!C106</f>
        <v>71.149700159999995</v>
      </c>
      <c r="O29" s="14">
        <f t="shared" si="27"/>
        <v>1290.8305899304673</v>
      </c>
      <c r="P29" s="301">
        <f>'21'!I38</f>
        <v>68.177999999999997</v>
      </c>
      <c r="Q29" s="14">
        <f t="shared" si="28"/>
        <v>1128.674</v>
      </c>
      <c r="R29" s="16">
        <f>'21'!I40</f>
        <v>67.566999999999993</v>
      </c>
      <c r="S29" s="302">
        <f t="shared" si="29"/>
        <v>1092.5289999999998</v>
      </c>
      <c r="T29" s="8">
        <f t="shared" si="1"/>
        <v>0.99103816480389562</v>
      </c>
      <c r="U29" s="8">
        <f t="shared" si="2"/>
        <v>0.96797569537350892</v>
      </c>
      <c r="V29" s="303">
        <f t="shared" si="3"/>
        <v>0.94964560424087108</v>
      </c>
      <c r="W29" s="304">
        <f t="shared" si="4"/>
        <v>0.82051927389665946</v>
      </c>
      <c r="X29" s="302"/>
      <c r="Y29" s="302"/>
      <c r="Z29" s="7"/>
      <c r="AA29" s="302"/>
      <c r="AB29" s="99">
        <v>0</v>
      </c>
      <c r="AC29" s="14">
        <f t="shared" si="30"/>
        <v>0</v>
      </c>
      <c r="AD29" s="300">
        <f t="shared" si="5"/>
        <v>0</v>
      </c>
      <c r="AE29" s="300">
        <f t="shared" si="6"/>
        <v>0</v>
      </c>
      <c r="AF29" s="306">
        <f t="shared" si="7"/>
        <v>0</v>
      </c>
      <c r="AG29" s="300">
        <f t="shared" si="8"/>
        <v>0</v>
      </c>
      <c r="AH29" s="563">
        <f t="shared" si="9"/>
        <v>124.23899999999999</v>
      </c>
      <c r="AI29" s="302">
        <f t="shared" si="31"/>
        <v>2437.9909999999995</v>
      </c>
      <c r="AJ29" s="308">
        <f t="shared" si="10"/>
        <v>1.8222740473466514</v>
      </c>
      <c r="AK29" s="308">
        <f t="shared" si="11"/>
        <v>2.1600488715076271</v>
      </c>
      <c r="AL29" s="305">
        <f t="shared" si="12"/>
        <v>1.8387526455222225</v>
      </c>
      <c r="AM29" s="308">
        <f t="shared" si="13"/>
        <v>2.2315114747526152</v>
      </c>
      <c r="AN29" s="99">
        <v>12</v>
      </c>
      <c r="AO29" s="302">
        <f t="shared" si="32"/>
        <v>228.50000000000003</v>
      </c>
      <c r="AP29" s="308">
        <f t="shared" si="33"/>
        <v>0.17600985655196691</v>
      </c>
      <c r="AQ29" s="308">
        <f t="shared" si="34"/>
        <v>0.20244995454843473</v>
      </c>
      <c r="AR29" s="305">
        <f t="shared" si="35"/>
        <v>0.17760149185253157</v>
      </c>
      <c r="AS29" s="308">
        <f t="shared" si="36"/>
        <v>0.20914776632931489</v>
      </c>
      <c r="AT29" s="307">
        <f>'21'!I46</f>
        <v>35244.770000000615</v>
      </c>
      <c r="AU29" s="302">
        <f t="shared" si="37"/>
        <v>709828.22000000079</v>
      </c>
      <c r="AV29" s="308">
        <f t="shared" si="14"/>
        <v>516.95224265893125</v>
      </c>
      <c r="AW29" s="308">
        <f t="shared" si="15"/>
        <v>628.90455525687742</v>
      </c>
      <c r="AX29" s="308">
        <f t="shared" si="16"/>
        <v>521.62697766662143</v>
      </c>
      <c r="AY29" s="308">
        <f t="shared" si="17"/>
        <v>649.71110149021308</v>
      </c>
      <c r="AZ29" s="307">
        <f>+Listrik!AH28</f>
        <v>35140.080000000147</v>
      </c>
      <c r="BA29" s="302">
        <f t="shared" si="38"/>
        <v>536742.64000000025</v>
      </c>
      <c r="BB29" s="308">
        <f t="shared" si="18"/>
        <v>515.41670333538889</v>
      </c>
      <c r="BC29" s="308">
        <f t="shared" si="39"/>
        <v>475.55152329193396</v>
      </c>
      <c r="BD29" s="308">
        <f t="shared" si="19"/>
        <v>520.07755265144442</v>
      </c>
      <c r="BE29" s="308">
        <f t="shared" si="20"/>
        <v>491.28457002056729</v>
      </c>
      <c r="BF29" s="530">
        <v>1.133</v>
      </c>
      <c r="BG29" s="531">
        <v>123.10599999999999</v>
      </c>
      <c r="BH29" s="551">
        <f>+Efficiency2!K106</f>
        <v>71.149700159999995</v>
      </c>
      <c r="BI29" s="552">
        <f t="shared" si="40"/>
        <v>1265.3164691748179</v>
      </c>
      <c r="BJ29" s="553">
        <f t="shared" si="41"/>
        <v>0.94964560424087108</v>
      </c>
      <c r="BK29" s="553">
        <f t="shared" si="42"/>
        <v>0.863443278117211</v>
      </c>
    </row>
    <row r="30" spans="1:63" ht="12.75" customHeight="1">
      <c r="A30" s="18">
        <f t="shared" si="21"/>
        <v>46013</v>
      </c>
      <c r="B30" s="448" t="s">
        <v>8</v>
      </c>
      <c r="C30" s="457" t="s">
        <v>618</v>
      </c>
      <c r="D30" s="453">
        <f>+'22'!F42</f>
        <v>550</v>
      </c>
      <c r="E30" s="453">
        <f>+'22'!G42</f>
        <v>484</v>
      </c>
      <c r="F30" s="50">
        <f t="shared" si="0"/>
        <v>0.12</v>
      </c>
      <c r="G30" s="458">
        <f t="shared" si="22"/>
        <v>0.97358522417166882</v>
      </c>
      <c r="H30" s="456">
        <f t="shared" si="23"/>
        <v>0.97358522417166882</v>
      </c>
      <c r="I30" s="456">
        <f t="shared" si="24"/>
        <v>0.9876199655205179</v>
      </c>
      <c r="J30" s="460">
        <f t="shared" si="25"/>
        <v>0.96153220552770924</v>
      </c>
      <c r="K30" s="460">
        <f t="shared" si="26"/>
        <v>0.82810172921338687</v>
      </c>
      <c r="L30" s="305">
        <f>+SUM(Efficiency1!K110:K113)</f>
        <v>75.665692299999989</v>
      </c>
      <c r="M30" s="14">
        <f t="shared" si="27"/>
        <v>1407.174938647818</v>
      </c>
      <c r="N30" s="305">
        <f>+SUM(Efficiency1!C110:C113)</f>
        <v>75.665692299999989</v>
      </c>
      <c r="O30" s="14">
        <f t="shared" si="27"/>
        <v>1366.4962822304674</v>
      </c>
      <c r="P30" s="301">
        <f>'22'!I38</f>
        <v>73.667000000000002</v>
      </c>
      <c r="Q30" s="14">
        <f t="shared" si="28"/>
        <v>1202.3409999999999</v>
      </c>
      <c r="R30" s="16">
        <f>'22'!I40</f>
        <v>72.754999999999995</v>
      </c>
      <c r="S30" s="302">
        <f t="shared" si="29"/>
        <v>1165.2839999999997</v>
      </c>
      <c r="T30" s="8">
        <f t="shared" si="1"/>
        <v>0.9876199655205179</v>
      </c>
      <c r="U30" s="8">
        <f t="shared" si="2"/>
        <v>0.96917929272976611</v>
      </c>
      <c r="V30" s="303">
        <f t="shared" si="3"/>
        <v>0.96153220552770924</v>
      </c>
      <c r="W30" s="304">
        <f t="shared" si="4"/>
        <v>0.82810172921338687</v>
      </c>
      <c r="X30" s="302"/>
      <c r="Y30" s="302"/>
      <c r="Z30" s="7"/>
      <c r="AA30" s="302"/>
      <c r="AB30" s="99">
        <v>0</v>
      </c>
      <c r="AC30" s="14">
        <f t="shared" si="30"/>
        <v>0</v>
      </c>
      <c r="AD30" s="300">
        <f t="shared" si="5"/>
        <v>0</v>
      </c>
      <c r="AE30" s="300">
        <f t="shared" si="6"/>
        <v>0</v>
      </c>
      <c r="AF30" s="306">
        <f t="shared" si="7"/>
        <v>0</v>
      </c>
      <c r="AG30" s="300">
        <f t="shared" si="8"/>
        <v>0</v>
      </c>
      <c r="AH30" s="563">
        <f t="shared" si="9"/>
        <v>126.074</v>
      </c>
      <c r="AI30" s="302">
        <f t="shared" si="31"/>
        <v>2564.0649999999996</v>
      </c>
      <c r="AJ30" s="308">
        <f t="shared" si="10"/>
        <v>1.711404020796286</v>
      </c>
      <c r="AK30" s="308">
        <f t="shared" si="11"/>
        <v>2.1325605631014826</v>
      </c>
      <c r="AL30" s="305">
        <f t="shared" si="12"/>
        <v>1.7328568483265756</v>
      </c>
      <c r="AM30" s="308">
        <f t="shared" si="13"/>
        <v>2.2003777619876361</v>
      </c>
      <c r="AN30" s="99">
        <v>13.1</v>
      </c>
      <c r="AO30" s="302">
        <f t="shared" si="32"/>
        <v>241.60000000000002</v>
      </c>
      <c r="AP30" s="308">
        <f t="shared" si="33"/>
        <v>0.17782724965045407</v>
      </c>
      <c r="AQ30" s="308">
        <f t="shared" si="34"/>
        <v>0.20094133028816288</v>
      </c>
      <c r="AR30" s="305">
        <f t="shared" si="35"/>
        <v>0.18005635351522234</v>
      </c>
      <c r="AS30" s="308">
        <f t="shared" si="36"/>
        <v>0.20733143165099674</v>
      </c>
      <c r="AT30" s="307">
        <f>'22'!I46</f>
        <v>31401.669999999653</v>
      </c>
      <c r="AU30" s="302">
        <f t="shared" si="37"/>
        <v>741229.89000000048</v>
      </c>
      <c r="AV30" s="308">
        <f t="shared" si="14"/>
        <v>426.26508477336733</v>
      </c>
      <c r="AW30" s="308">
        <f t="shared" si="15"/>
        <v>616.48890788886058</v>
      </c>
      <c r="AX30" s="308">
        <f t="shared" si="16"/>
        <v>431.60841179299916</v>
      </c>
      <c r="AY30" s="308">
        <f t="shared" si="17"/>
        <v>636.09376769954861</v>
      </c>
      <c r="AZ30" s="307">
        <f>+Listrik!AH29</f>
        <v>36036.876999999622</v>
      </c>
      <c r="BA30" s="302">
        <f t="shared" si="38"/>
        <v>572779.51699999988</v>
      </c>
      <c r="BB30" s="308">
        <f t="shared" si="18"/>
        <v>489.18616205356022</v>
      </c>
      <c r="BC30" s="308">
        <f t="shared" si="39"/>
        <v>476.38691269781191</v>
      </c>
      <c r="BD30" s="308">
        <f t="shared" si="19"/>
        <v>495.31821867912339</v>
      </c>
      <c r="BE30" s="308">
        <f t="shared" si="20"/>
        <v>491.53641258268385</v>
      </c>
      <c r="BF30" s="530">
        <f>1.923</f>
        <v>1.923</v>
      </c>
      <c r="BG30" s="531">
        <v>124.151</v>
      </c>
      <c r="BH30" s="551">
        <f>+SUM(Efficiency2!K110:K113)</f>
        <v>75.665692299999989</v>
      </c>
      <c r="BI30" s="552">
        <f t="shared" si="40"/>
        <v>1340.982161474818</v>
      </c>
      <c r="BJ30" s="553">
        <f t="shared" si="41"/>
        <v>0.96153220552770924</v>
      </c>
      <c r="BK30" s="553">
        <f t="shared" si="42"/>
        <v>0.86897800245039447</v>
      </c>
    </row>
    <row r="31" spans="1:63">
      <c r="A31" s="18">
        <f t="shared" si="21"/>
        <v>46014</v>
      </c>
      <c r="B31" s="448" t="s">
        <v>8</v>
      </c>
      <c r="C31" s="449" t="s">
        <v>630</v>
      </c>
      <c r="D31" s="453">
        <f>+'23'!F42</f>
        <v>550</v>
      </c>
      <c r="E31" s="453">
        <f>+'23'!G42</f>
        <v>484</v>
      </c>
      <c r="F31" s="50">
        <f t="shared" si="0"/>
        <v>0.12</v>
      </c>
      <c r="G31" s="458">
        <f t="shared" si="22"/>
        <v>0.97882386325592552</v>
      </c>
      <c r="H31" s="456">
        <f t="shared" si="23"/>
        <v>0.97882386325592552</v>
      </c>
      <c r="I31" s="456">
        <f t="shared" si="24"/>
        <v>0.99068842854153583</v>
      </c>
      <c r="J31" s="460">
        <f t="shared" si="25"/>
        <v>0.96970947490796799</v>
      </c>
      <c r="K31" s="460">
        <f t="shared" si="26"/>
        <v>0.83554951687588874</v>
      </c>
      <c r="L31" s="305">
        <f>+Efficiency1!K115</f>
        <v>78.11824258723405</v>
      </c>
      <c r="M31" s="14">
        <f t="shared" si="27"/>
        <v>1485.2931812350521</v>
      </c>
      <c r="N31" s="305">
        <f>+Efficiency1!C115</f>
        <v>78.11824258723405</v>
      </c>
      <c r="O31" s="14">
        <f t="shared" si="27"/>
        <v>1444.6145248177015</v>
      </c>
      <c r="P31" s="301">
        <f>'23'!I38</f>
        <v>76.463999999999999</v>
      </c>
      <c r="Q31" s="14">
        <f t="shared" si="28"/>
        <v>1278.8049999999998</v>
      </c>
      <c r="R31" s="16">
        <f>'23'!I40</f>
        <v>75.751999999999995</v>
      </c>
      <c r="S31" s="302">
        <f t="shared" si="29"/>
        <v>1241.0359999999996</v>
      </c>
      <c r="T31" s="8">
        <f t="shared" si="1"/>
        <v>0.99068842854153583</v>
      </c>
      <c r="U31" s="8">
        <f t="shared" si="2"/>
        <v>0.97046539542776245</v>
      </c>
      <c r="V31" s="303">
        <f t="shared" si="3"/>
        <v>0.96970947490796799</v>
      </c>
      <c r="W31" s="304">
        <f t="shared" si="4"/>
        <v>0.83554951687588874</v>
      </c>
      <c r="X31" s="302"/>
      <c r="Y31" s="302"/>
      <c r="Z31" s="7"/>
      <c r="AA31" s="302"/>
      <c r="AB31" s="99">
        <v>0</v>
      </c>
      <c r="AC31" s="14">
        <f t="shared" si="30"/>
        <v>0</v>
      </c>
      <c r="AD31" s="300">
        <f t="shared" si="5"/>
        <v>0</v>
      </c>
      <c r="AE31" s="300">
        <f t="shared" si="6"/>
        <v>0</v>
      </c>
      <c r="AF31" s="306">
        <f t="shared" si="7"/>
        <v>0</v>
      </c>
      <c r="AG31" s="300">
        <f t="shared" si="8"/>
        <v>0</v>
      </c>
      <c r="AH31" s="563">
        <f t="shared" si="9"/>
        <v>116.667</v>
      </c>
      <c r="AI31" s="302">
        <f t="shared" si="31"/>
        <v>2680.7319999999995</v>
      </c>
      <c r="AJ31" s="308">
        <f t="shared" si="10"/>
        <v>1.525776836158192</v>
      </c>
      <c r="AK31" s="308">
        <f t="shared" si="11"/>
        <v>2.0962789479240382</v>
      </c>
      <c r="AL31" s="305">
        <f t="shared" si="12"/>
        <v>1.5401177526665963</v>
      </c>
      <c r="AM31" s="308">
        <f t="shared" si="13"/>
        <v>2.1600759365562325</v>
      </c>
      <c r="AN31" s="99">
        <v>13.565690202317196</v>
      </c>
      <c r="AO31" s="302">
        <f t="shared" si="32"/>
        <v>255.16569020231722</v>
      </c>
      <c r="AP31" s="308">
        <f t="shared" si="33"/>
        <v>0.17741277205374026</v>
      </c>
      <c r="AQ31" s="308">
        <f t="shared" si="34"/>
        <v>0.19953447961363716</v>
      </c>
      <c r="AR31" s="305">
        <f t="shared" si="35"/>
        <v>0.17908029098000314</v>
      </c>
      <c r="AS31" s="308">
        <f t="shared" si="36"/>
        <v>0.20560700108805652</v>
      </c>
      <c r="AT31" s="307">
        <f>'23'!I46</f>
        <v>33466.800000000221</v>
      </c>
      <c r="AU31" s="302">
        <f t="shared" si="37"/>
        <v>774696.69000000064</v>
      </c>
      <c r="AV31" s="308">
        <f t="shared" si="14"/>
        <v>437.68047708725965</v>
      </c>
      <c r="AW31" s="308">
        <f t="shared" si="15"/>
        <v>605.79735768940589</v>
      </c>
      <c r="AX31" s="308">
        <f t="shared" si="16"/>
        <v>441.79427605872087</v>
      </c>
      <c r="AY31" s="308">
        <f t="shared" si="17"/>
        <v>624.23385784135269</v>
      </c>
      <c r="AZ31" s="307">
        <f>+Listrik!AH30</f>
        <v>36508.568000000319</v>
      </c>
      <c r="BA31" s="302">
        <f t="shared" si="38"/>
        <v>609288.0850000002</v>
      </c>
      <c r="BB31" s="308">
        <f t="shared" si="18"/>
        <v>477.46087047499896</v>
      </c>
      <c r="BC31" s="308">
        <f t="shared" si="39"/>
        <v>476.45112820171983</v>
      </c>
      <c r="BD31" s="308">
        <f t="shared" si="19"/>
        <v>481.9485690146837</v>
      </c>
      <c r="BE31" s="308">
        <f t="shared" si="20"/>
        <v>490.95117708108421</v>
      </c>
      <c r="BF31" s="530">
        <v>0.29199999999999998</v>
      </c>
      <c r="BG31" s="531">
        <v>116.375</v>
      </c>
      <c r="BH31" s="551">
        <f>+Efficiency2!K115</f>
        <v>78.11824258723405</v>
      </c>
      <c r="BI31" s="552">
        <f t="shared" si="40"/>
        <v>1419.1004040620521</v>
      </c>
      <c r="BJ31" s="553">
        <f t="shared" si="41"/>
        <v>0.96970947490796799</v>
      </c>
      <c r="BK31" s="553">
        <f t="shared" si="42"/>
        <v>0.87452304040478135</v>
      </c>
    </row>
    <row r="32" spans="1:63">
      <c r="A32" s="18">
        <f t="shared" si="21"/>
        <v>46015</v>
      </c>
      <c r="B32" s="448" t="s">
        <v>8</v>
      </c>
      <c r="C32" s="449" t="s">
        <v>646</v>
      </c>
      <c r="D32" s="453">
        <f>+'24'!F42</f>
        <v>538.33333333333337</v>
      </c>
      <c r="E32" s="453">
        <f>+'24'!G42</f>
        <v>473.73333333333335</v>
      </c>
      <c r="F32" s="50">
        <f t="shared" si="0"/>
        <v>0.12</v>
      </c>
      <c r="G32" s="458">
        <f t="shared" si="22"/>
        <v>0.97837806311227715</v>
      </c>
      <c r="H32" s="456">
        <f t="shared" si="23"/>
        <v>0.97837806311227715</v>
      </c>
      <c r="I32" s="456">
        <f t="shared" si="24"/>
        <v>1.0116169502476846</v>
      </c>
      <c r="J32" s="460">
        <f t="shared" si="25"/>
        <v>0.98974383239487862</v>
      </c>
      <c r="K32" s="460">
        <f t="shared" si="26"/>
        <v>0.84304872492235639</v>
      </c>
      <c r="L32" s="305">
        <f>+SUM(Efficiency1!K119:K120)</f>
        <v>75.929748224000008</v>
      </c>
      <c r="M32" s="14">
        <f t="shared" si="27"/>
        <v>1561.222929459052</v>
      </c>
      <c r="N32" s="305">
        <f>+SUM(Efficiency1!C119:C120)</f>
        <v>75.929748224000008</v>
      </c>
      <c r="O32" s="14">
        <f t="shared" si="27"/>
        <v>1520.5442730417014</v>
      </c>
      <c r="P32" s="301">
        <f>'24'!I38</f>
        <v>74.287999999999997</v>
      </c>
      <c r="Q32" s="14">
        <f t="shared" si="28"/>
        <v>1353.0929999999998</v>
      </c>
      <c r="R32" s="16">
        <f>'24'!I40</f>
        <v>75.150999999999996</v>
      </c>
      <c r="S32" s="302">
        <f t="shared" si="29"/>
        <v>1316.1869999999997</v>
      </c>
      <c r="T32" s="8">
        <f t="shared" si="1"/>
        <v>1.0116169502476846</v>
      </c>
      <c r="U32" s="8">
        <f t="shared" si="2"/>
        <v>0.97272471293547436</v>
      </c>
      <c r="V32" s="303">
        <f t="shared" si="3"/>
        <v>0.98974383239487862</v>
      </c>
      <c r="W32" s="304">
        <f t="shared" si="4"/>
        <v>0.84304872492235639</v>
      </c>
      <c r="X32" s="302"/>
      <c r="Y32" s="302"/>
      <c r="Z32" s="7"/>
      <c r="AA32" s="302"/>
      <c r="AB32" s="99">
        <v>0</v>
      </c>
      <c r="AC32" s="14">
        <f t="shared" si="30"/>
        <v>0</v>
      </c>
      <c r="AD32" s="300">
        <f t="shared" si="5"/>
        <v>0</v>
      </c>
      <c r="AE32" s="300">
        <f t="shared" si="6"/>
        <v>0</v>
      </c>
      <c r="AF32" s="306">
        <f t="shared" si="7"/>
        <v>0</v>
      </c>
      <c r="AG32" s="300">
        <f t="shared" si="8"/>
        <v>0</v>
      </c>
      <c r="AH32" s="563">
        <f t="shared" si="9"/>
        <v>114.794</v>
      </c>
      <c r="AI32" s="302">
        <f t="shared" si="31"/>
        <v>2795.5259999999994</v>
      </c>
      <c r="AJ32" s="308">
        <f t="shared" si="10"/>
        <v>1.5452562998061599</v>
      </c>
      <c r="AK32" s="308">
        <f t="shared" si="11"/>
        <v>2.0660265037214733</v>
      </c>
      <c r="AL32" s="305">
        <f t="shared" si="12"/>
        <v>1.5275112772950461</v>
      </c>
      <c r="AM32" s="308">
        <f t="shared" si="13"/>
        <v>2.1239580697879559</v>
      </c>
      <c r="AN32" s="99">
        <v>5.9877987960001002</v>
      </c>
      <c r="AO32" s="302">
        <f t="shared" si="32"/>
        <v>261.1534889983173</v>
      </c>
      <c r="AP32" s="308">
        <f t="shared" si="33"/>
        <v>8.0602503715271653E-2</v>
      </c>
      <c r="AQ32" s="308">
        <f t="shared" si="34"/>
        <v>0.19300483336941165</v>
      </c>
      <c r="AR32" s="305">
        <f t="shared" si="35"/>
        <v>7.9676901119081586E-2</v>
      </c>
      <c r="AS32" s="308">
        <f t="shared" si="36"/>
        <v>0.19841670598350947</v>
      </c>
      <c r="AT32" s="307">
        <f>+'24'!I46</f>
        <v>31476.169999999929</v>
      </c>
      <c r="AU32" s="302">
        <f t="shared" si="37"/>
        <v>806172.86000000057</v>
      </c>
      <c r="AV32" s="308">
        <f t="shared" si="14"/>
        <v>423.70463601119866</v>
      </c>
      <c r="AW32" s="308">
        <f t="shared" si="15"/>
        <v>595.80003739580411</v>
      </c>
      <c r="AX32" s="308">
        <f t="shared" si="16"/>
        <v>418.83900413833385</v>
      </c>
      <c r="AY32" s="308">
        <f t="shared" si="17"/>
        <v>612.50632318963847</v>
      </c>
      <c r="AZ32" s="307">
        <f>+Listrik!AH31</f>
        <v>36246.134000000377</v>
      </c>
      <c r="BA32" s="302">
        <f t="shared" si="38"/>
        <v>645534.21900000062</v>
      </c>
      <c r="BB32" s="308">
        <f t="shared" si="18"/>
        <v>487.91371419341448</v>
      </c>
      <c r="BC32" s="308">
        <f t="shared" si="39"/>
        <v>477.08045123284268</v>
      </c>
      <c r="BD32" s="308">
        <f t="shared" si="19"/>
        <v>482.31073438810364</v>
      </c>
      <c r="BE32" s="308">
        <f t="shared" si="20"/>
        <v>490.45782932060621</v>
      </c>
      <c r="BF32" s="530">
        <v>0.43099999999999999</v>
      </c>
      <c r="BG32" s="531">
        <v>114.363</v>
      </c>
      <c r="BH32" s="551">
        <f>+SUM(Efficiency2!K119:K120)</f>
        <v>75.929748224000008</v>
      </c>
      <c r="BI32" s="552">
        <f t="shared" si="40"/>
        <v>1495.030152286052</v>
      </c>
      <c r="BJ32" s="553">
        <f t="shared" si="41"/>
        <v>0.98974383239487862</v>
      </c>
      <c r="BK32" s="553">
        <f t="shared" si="42"/>
        <v>0.88037488607665659</v>
      </c>
    </row>
    <row r="33" spans="1:63">
      <c r="A33" s="18">
        <f t="shared" si="21"/>
        <v>46016</v>
      </c>
      <c r="B33" s="448" t="s">
        <v>8</v>
      </c>
      <c r="C33" s="449" t="s">
        <v>647</v>
      </c>
      <c r="D33" s="453">
        <f>+'25'!F42</f>
        <v>530</v>
      </c>
      <c r="E33" s="453">
        <f>+'25'!G42</f>
        <v>466.4</v>
      </c>
      <c r="F33" s="50">
        <f t="shared" si="0"/>
        <v>0.12</v>
      </c>
      <c r="G33" s="458">
        <f t="shared" si="22"/>
        <v>0.9609570934915096</v>
      </c>
      <c r="H33" s="456">
        <f t="shared" si="23"/>
        <v>0.9609570934915096</v>
      </c>
      <c r="I33" s="456">
        <f t="shared" si="24"/>
        <v>0.99291339653694966</v>
      </c>
      <c r="J33" s="460">
        <f t="shared" si="25"/>
        <v>0.9541471716249299</v>
      </c>
      <c r="K33" s="460">
        <f t="shared" si="26"/>
        <v>0.84823865558831446</v>
      </c>
      <c r="L33" s="305">
        <f>+SUM(Efficiency1!K124:K125)</f>
        <v>76.506017279999995</v>
      </c>
      <c r="M33" s="14">
        <f t="shared" si="27"/>
        <v>1637.7289467390519</v>
      </c>
      <c r="N33" s="305">
        <f>+SUM(Efficiency1!C124:C125)</f>
        <v>76.506017279999995</v>
      </c>
      <c r="O33" s="14">
        <f t="shared" si="27"/>
        <v>1597.0502903217014</v>
      </c>
      <c r="P33" s="301">
        <f>'25'!I38</f>
        <v>73.519000000000005</v>
      </c>
      <c r="Q33" s="14">
        <f t="shared" si="28"/>
        <v>1426.6119999999999</v>
      </c>
      <c r="R33" s="16">
        <f>'25'!I40</f>
        <v>72.998000000000005</v>
      </c>
      <c r="S33" s="302">
        <f t="shared" si="29"/>
        <v>1389.1849999999997</v>
      </c>
      <c r="T33" s="8">
        <f t="shared" si="1"/>
        <v>0.99291339653694966</v>
      </c>
      <c r="U33" s="8">
        <f t="shared" si="2"/>
        <v>0.97376511623342565</v>
      </c>
      <c r="V33" s="303">
        <f t="shared" si="3"/>
        <v>0.9541471716249299</v>
      </c>
      <c r="W33" s="304">
        <f t="shared" si="4"/>
        <v>0.84823865558831446</v>
      </c>
      <c r="X33" s="302"/>
      <c r="Y33" s="302"/>
      <c r="Z33" s="7"/>
      <c r="AA33" s="302"/>
      <c r="AB33" s="99">
        <v>0</v>
      </c>
      <c r="AC33" s="14">
        <f t="shared" si="30"/>
        <v>0</v>
      </c>
      <c r="AD33" s="300">
        <f t="shared" si="5"/>
        <v>0</v>
      </c>
      <c r="AE33" s="300">
        <f t="shared" si="6"/>
        <v>0</v>
      </c>
      <c r="AF33" s="306">
        <f t="shared" si="7"/>
        <v>0</v>
      </c>
      <c r="AG33" s="300">
        <f t="shared" si="8"/>
        <v>0</v>
      </c>
      <c r="AH33" s="563">
        <f t="shared" si="9"/>
        <v>115.069</v>
      </c>
      <c r="AI33" s="302">
        <f t="shared" si="31"/>
        <v>2910.5949999999993</v>
      </c>
      <c r="AJ33" s="308">
        <f t="shared" si="10"/>
        <v>1.5651600266597749</v>
      </c>
      <c r="AK33" s="308">
        <f t="shared" si="11"/>
        <v>2.0402148587001929</v>
      </c>
      <c r="AL33" s="305">
        <f t="shared" si="12"/>
        <v>1.5763308583796816</v>
      </c>
      <c r="AM33" s="308">
        <f t="shared" si="13"/>
        <v>2.0951817072600121</v>
      </c>
      <c r="AN33" s="99">
        <v>6.4382628156268762</v>
      </c>
      <c r="AO33" s="302">
        <f t="shared" si="32"/>
        <v>267.5917518139442</v>
      </c>
      <c r="AP33" s="308">
        <f t="shared" si="33"/>
        <v>8.7572774597408504E-2</v>
      </c>
      <c r="AQ33" s="308">
        <f t="shared" si="34"/>
        <v>0.18757149933825332</v>
      </c>
      <c r="AR33" s="305">
        <f t="shared" si="35"/>
        <v>8.8197797413995943E-2</v>
      </c>
      <c r="AS33" s="308">
        <f t="shared" si="36"/>
        <v>0.19262499365739211</v>
      </c>
      <c r="AT33" s="307">
        <f>+'25'!I46</f>
        <v>30103.190000000792</v>
      </c>
      <c r="AU33" s="302">
        <f t="shared" si="37"/>
        <v>836276.05000000133</v>
      </c>
      <c r="AV33" s="308">
        <f t="shared" si="14"/>
        <v>409.46136372911479</v>
      </c>
      <c r="AW33" s="308">
        <f t="shared" si="15"/>
        <v>586.1972631661597</v>
      </c>
      <c r="AX33" s="308">
        <f t="shared" si="16"/>
        <v>412.38376393874887</v>
      </c>
      <c r="AY33" s="308">
        <f t="shared" si="17"/>
        <v>601.99041164423852</v>
      </c>
      <c r="AZ33" s="307">
        <f>+Listrik!AH32</f>
        <v>40418.339999999997</v>
      </c>
      <c r="BA33" s="302">
        <f t="shared" si="38"/>
        <v>685952.55900000059</v>
      </c>
      <c r="BB33" s="308">
        <f t="shared" si="18"/>
        <v>549.76727104557995</v>
      </c>
      <c r="BC33" s="308">
        <f t="shared" si="39"/>
        <v>480.82629264298959</v>
      </c>
      <c r="BD33" s="308">
        <f t="shared" si="19"/>
        <v>553.69106002904186</v>
      </c>
      <c r="BE33" s="308">
        <f t="shared" si="20"/>
        <v>493.78056846280424</v>
      </c>
      <c r="BF33" s="530">
        <v>0.17299999999999999</v>
      </c>
      <c r="BG33" s="531">
        <v>114.896</v>
      </c>
      <c r="BH33" s="551">
        <f>+SUM(Efficiency2!K124:K125)</f>
        <v>76.506017279999995</v>
      </c>
      <c r="BI33" s="552">
        <f t="shared" si="40"/>
        <v>1571.536169566052</v>
      </c>
      <c r="BJ33" s="553">
        <f t="shared" si="41"/>
        <v>0.9541471716249299</v>
      </c>
      <c r="BK33" s="553">
        <f t="shared" si="42"/>
        <v>0.88396629164672369</v>
      </c>
    </row>
    <row r="34" spans="1:63">
      <c r="A34" s="18">
        <f t="shared" si="21"/>
        <v>46017</v>
      </c>
      <c r="B34" s="448" t="s">
        <v>8</v>
      </c>
      <c r="C34" s="449" t="s">
        <v>657</v>
      </c>
      <c r="D34" s="453">
        <f>+'26'!F42</f>
        <v>530</v>
      </c>
      <c r="E34" s="453">
        <f>+'26'!G42</f>
        <v>466.4</v>
      </c>
      <c r="F34" s="50">
        <f t="shared" si="0"/>
        <v>0.12</v>
      </c>
      <c r="G34" s="458">
        <f t="shared" si="22"/>
        <v>0.98930198852790119</v>
      </c>
      <c r="H34" s="456">
        <f t="shared" si="23"/>
        <v>0.98930198852790119</v>
      </c>
      <c r="I34" s="456">
        <f t="shared" si="24"/>
        <v>0.98920999019090017</v>
      </c>
      <c r="J34" s="460">
        <f t="shared" si="25"/>
        <v>0.9786274103675231</v>
      </c>
      <c r="K34" s="460">
        <f t="shared" si="26"/>
        <v>0.85433860930445271</v>
      </c>
      <c r="L34" s="305">
        <f>+SUM(Efficiency1!K128:K129)</f>
        <v>80.377883519999983</v>
      </c>
      <c r="M34" s="14">
        <f t="shared" si="27"/>
        <v>1718.106830259052</v>
      </c>
      <c r="N34" s="305">
        <f>+SUM(Efficiency1!C128:C129)</f>
        <v>80.377883519999983</v>
      </c>
      <c r="O34" s="14">
        <f t="shared" si="27"/>
        <v>1677.4281738417014</v>
      </c>
      <c r="P34" s="301">
        <f>'26'!I38</f>
        <v>79.518000000000001</v>
      </c>
      <c r="Q34" s="14">
        <f t="shared" si="28"/>
        <v>1506.1299999999999</v>
      </c>
      <c r="R34" s="16">
        <f>'26'!I40</f>
        <v>78.66</v>
      </c>
      <c r="S34" s="302">
        <f t="shared" si="29"/>
        <v>1467.8449999999998</v>
      </c>
      <c r="T34" s="8">
        <f t="shared" si="1"/>
        <v>0.98920999019090017</v>
      </c>
      <c r="U34" s="8">
        <f t="shared" si="2"/>
        <v>0.97458054749590006</v>
      </c>
      <c r="V34" s="303">
        <f t="shared" si="3"/>
        <v>0.9786274103675231</v>
      </c>
      <c r="W34" s="304">
        <f t="shared" si="4"/>
        <v>0.85433860930445271</v>
      </c>
      <c r="X34" s="302"/>
      <c r="Y34" s="302"/>
      <c r="Z34" s="7"/>
      <c r="AA34" s="302"/>
      <c r="AB34" s="99">
        <v>0</v>
      </c>
      <c r="AC34" s="14">
        <f t="shared" si="30"/>
        <v>0</v>
      </c>
      <c r="AD34" s="300">
        <f t="shared" si="5"/>
        <v>0</v>
      </c>
      <c r="AE34" s="300">
        <f t="shared" si="6"/>
        <v>0</v>
      </c>
      <c r="AF34" s="306">
        <f t="shared" si="7"/>
        <v>0</v>
      </c>
      <c r="AG34" s="300">
        <f t="shared" si="8"/>
        <v>0</v>
      </c>
      <c r="AH34" s="563">
        <f t="shared" si="9"/>
        <v>118.446</v>
      </c>
      <c r="AI34" s="302">
        <f t="shared" si="31"/>
        <v>3029.0409999999993</v>
      </c>
      <c r="AJ34" s="308">
        <f t="shared" si="10"/>
        <v>1.4895495359541235</v>
      </c>
      <c r="AK34" s="308">
        <f t="shared" si="11"/>
        <v>2.0111418005085877</v>
      </c>
      <c r="AL34" s="305">
        <f t="shared" si="12"/>
        <v>1.5057971014492755</v>
      </c>
      <c r="AM34" s="308">
        <f t="shared" si="13"/>
        <v>2.0635973144303383</v>
      </c>
      <c r="AN34" s="99">
        <v>6.9</v>
      </c>
      <c r="AO34" s="302">
        <f t="shared" si="32"/>
        <v>274.49175181394418</v>
      </c>
      <c r="AP34" s="308">
        <f t="shared" si="33"/>
        <v>8.677280615709651E-2</v>
      </c>
      <c r="AQ34" s="308">
        <f t="shared" si="34"/>
        <v>0.18224970740503424</v>
      </c>
      <c r="AR34" s="305">
        <f t="shared" si="35"/>
        <v>8.7719298245614044E-2</v>
      </c>
      <c r="AS34" s="308">
        <f t="shared" si="36"/>
        <v>0.18700322705322717</v>
      </c>
      <c r="AT34" s="307">
        <f>'26'!I46</f>
        <v>34188.039999998844</v>
      </c>
      <c r="AU34" s="302">
        <f t="shared" si="37"/>
        <v>870464.0900000002</v>
      </c>
      <c r="AV34" s="308">
        <f t="shared" si="14"/>
        <v>429.94089388564657</v>
      </c>
      <c r="AW34" s="308">
        <f t="shared" si="15"/>
        <v>577.94751449078115</v>
      </c>
      <c r="AX34" s="308">
        <f t="shared" si="16"/>
        <v>434.63056191201179</v>
      </c>
      <c r="AY34" s="308">
        <f t="shared" si="17"/>
        <v>593.02180407331866</v>
      </c>
      <c r="AZ34" s="307">
        <f>+Listrik!AH33</f>
        <v>37588.399999999558</v>
      </c>
      <c r="BA34" s="302">
        <f t="shared" si="38"/>
        <v>723540.95900000015</v>
      </c>
      <c r="BB34" s="308">
        <f t="shared" si="18"/>
        <v>472.70303579063307</v>
      </c>
      <c r="BC34" s="308">
        <f t="shared" si="39"/>
        <v>480.39741522976118</v>
      </c>
      <c r="BD34" s="308">
        <f t="shared" si="19"/>
        <v>477.85914060513039</v>
      </c>
      <c r="BE34" s="308">
        <f t="shared" si="20"/>
        <v>492.92735881513397</v>
      </c>
      <c r="BF34" s="530">
        <f>0.642</f>
        <v>0.64200000000000002</v>
      </c>
      <c r="BG34" s="531">
        <v>117.804</v>
      </c>
      <c r="BH34" s="551">
        <f>+SUM(Efficiency2!K128:K129)</f>
        <v>80.377883519999983</v>
      </c>
      <c r="BI34" s="552">
        <f t="shared" si="40"/>
        <v>1651.914053086052</v>
      </c>
      <c r="BJ34" s="553">
        <f t="shared" si="41"/>
        <v>0.9786274103675231</v>
      </c>
      <c r="BK34" s="553">
        <f t="shared" si="42"/>
        <v>0.88857225789551197</v>
      </c>
    </row>
    <row r="35" spans="1:63">
      <c r="A35" s="18">
        <f t="shared" si="21"/>
        <v>46018</v>
      </c>
      <c r="B35" s="448" t="s">
        <v>8</v>
      </c>
      <c r="C35" s="449" t="s">
        <v>663</v>
      </c>
      <c r="D35" s="453">
        <f>+'27'!F42</f>
        <v>530</v>
      </c>
      <c r="E35" s="453">
        <f>+'27'!G42</f>
        <v>466.4</v>
      </c>
      <c r="F35" s="50">
        <f t="shared" si="0"/>
        <v>0.12</v>
      </c>
      <c r="G35" s="458">
        <f t="shared" si="22"/>
        <v>0.96483310682032819</v>
      </c>
      <c r="H35" s="456">
        <f t="shared" si="23"/>
        <v>0.96483310682032819</v>
      </c>
      <c r="I35" s="456">
        <f t="shared" si="24"/>
        <v>0.96578718839395172</v>
      </c>
      <c r="J35" s="460">
        <f t="shared" si="25"/>
        <v>0.93182345350540607</v>
      </c>
      <c r="K35" s="460">
        <f t="shared" si="26"/>
        <v>0.85783365939917677</v>
      </c>
      <c r="L35" s="305">
        <f>+Efficiency1!K132</f>
        <v>81.158077440000014</v>
      </c>
      <c r="M35" s="14">
        <f t="shared" si="27"/>
        <v>1799.2649076990519</v>
      </c>
      <c r="N35" s="305">
        <f>+Efficiency1!C132</f>
        <v>81.158077440000014</v>
      </c>
      <c r="O35" s="14">
        <f t="shared" si="27"/>
        <v>1758.5862512817014</v>
      </c>
      <c r="P35" s="301">
        <f>'27'!I38</f>
        <v>78.304000000000002</v>
      </c>
      <c r="Q35" s="14">
        <f t="shared" si="28"/>
        <v>1584.434</v>
      </c>
      <c r="R35" s="16">
        <f>'27'!I40</f>
        <v>75.625</v>
      </c>
      <c r="S35" s="302">
        <f t="shared" si="29"/>
        <v>1543.4699999999998</v>
      </c>
      <c r="T35" s="8">
        <f t="shared" si="1"/>
        <v>0.96578718839395172</v>
      </c>
      <c r="U35" s="8">
        <f t="shared" si="2"/>
        <v>0.97414597263123603</v>
      </c>
      <c r="V35" s="303">
        <f t="shared" si="3"/>
        <v>0.93182345350540607</v>
      </c>
      <c r="W35" s="304">
        <f t="shared" si="4"/>
        <v>0.85783365939917677</v>
      </c>
      <c r="X35" s="302"/>
      <c r="Y35" s="302"/>
      <c r="Z35" s="7"/>
      <c r="AA35" s="302"/>
      <c r="AB35" s="99">
        <v>0</v>
      </c>
      <c r="AC35" s="14">
        <f t="shared" si="30"/>
        <v>0</v>
      </c>
      <c r="AD35" s="300">
        <f t="shared" si="5"/>
        <v>0</v>
      </c>
      <c r="AE35" s="300">
        <f t="shared" si="6"/>
        <v>0</v>
      </c>
      <c r="AF35" s="306">
        <f t="shared" si="7"/>
        <v>0</v>
      </c>
      <c r="AG35" s="300">
        <f t="shared" si="8"/>
        <v>0</v>
      </c>
      <c r="AH35" s="563">
        <f t="shared" si="9"/>
        <v>121.95500000000001</v>
      </c>
      <c r="AI35" s="302">
        <f t="shared" si="31"/>
        <v>3150.9959999999992</v>
      </c>
      <c r="AJ35" s="308">
        <f t="shared" si="10"/>
        <v>1.5574555578259095</v>
      </c>
      <c r="AK35" s="308">
        <f t="shared" si="11"/>
        <v>1.9887202622513775</v>
      </c>
      <c r="AL35" s="305">
        <f t="shared" si="12"/>
        <v>1.612628099173554</v>
      </c>
      <c r="AM35" s="308">
        <f t="shared" si="13"/>
        <v>2.041501292542129</v>
      </c>
      <c r="AN35" s="99">
        <v>6.4</v>
      </c>
      <c r="AO35" s="302">
        <f t="shared" si="32"/>
        <v>280.89175181394415</v>
      </c>
      <c r="AP35" s="308">
        <f t="shared" si="33"/>
        <v>8.1732733959950968E-2</v>
      </c>
      <c r="AQ35" s="308">
        <f t="shared" si="34"/>
        <v>0.17728207789907574</v>
      </c>
      <c r="AR35" s="305">
        <f t="shared" si="35"/>
        <v>8.4628099173553725E-2</v>
      </c>
      <c r="AS35" s="308">
        <f t="shared" si="36"/>
        <v>0.18198717941647338</v>
      </c>
      <c r="AT35" s="307">
        <f>'27'!I46</f>
        <v>31921.490000000365</v>
      </c>
      <c r="AU35" s="302">
        <f t="shared" si="37"/>
        <v>902385.58000000054</v>
      </c>
      <c r="AV35" s="308">
        <f t="shared" si="14"/>
        <v>407.66103902738513</v>
      </c>
      <c r="AW35" s="308">
        <f t="shared" si="15"/>
        <v>569.53182019572955</v>
      </c>
      <c r="AX35" s="308">
        <f t="shared" si="16"/>
        <v>422.10234710744282</v>
      </c>
      <c r="AY35" s="308">
        <f t="shared" si="17"/>
        <v>584.64730768981622</v>
      </c>
      <c r="AZ35" s="307">
        <f>+Listrik!AH34</f>
        <v>40256.699999999895</v>
      </c>
      <c r="BA35" s="302">
        <f t="shared" si="38"/>
        <v>763797.65899999999</v>
      </c>
      <c r="BB35" s="308">
        <f t="shared" si="18"/>
        <v>514.10783612586704</v>
      </c>
      <c r="BC35" s="308">
        <f t="shared" si="39"/>
        <v>482.06341128756384</v>
      </c>
      <c r="BD35" s="308">
        <f t="shared" si="19"/>
        <v>532.31999999999857</v>
      </c>
      <c r="BE35" s="308">
        <f t="shared" si="20"/>
        <v>494.85746985688098</v>
      </c>
      <c r="BF35" s="530">
        <f>0.909</f>
        <v>0.90900000000000003</v>
      </c>
      <c r="BG35" s="531">
        <v>121.04600000000001</v>
      </c>
      <c r="BH35" s="551">
        <f>+Efficiency2!K132</f>
        <v>81.158077440000014</v>
      </c>
      <c r="BI35" s="552">
        <f t="shared" si="40"/>
        <v>1733.072130526052</v>
      </c>
      <c r="BJ35" s="553">
        <f t="shared" si="41"/>
        <v>0.93182345350540607</v>
      </c>
      <c r="BK35" s="553">
        <f t="shared" si="42"/>
        <v>0.89059766919885741</v>
      </c>
    </row>
    <row r="36" spans="1:63">
      <c r="A36" s="18">
        <f t="shared" si="21"/>
        <v>46019</v>
      </c>
      <c r="B36" s="448" t="s">
        <v>8</v>
      </c>
      <c r="C36" s="449" t="s">
        <v>663</v>
      </c>
      <c r="D36" s="453">
        <f>+'28'!F42</f>
        <v>483.64583333333331</v>
      </c>
      <c r="E36" s="453">
        <f>+'28'!G42</f>
        <v>425.60833333333335</v>
      </c>
      <c r="F36" s="50">
        <f t="shared" si="0"/>
        <v>0.11999999999999988</v>
      </c>
      <c r="G36" s="458">
        <f t="shared" si="22"/>
        <v>0.95533434099718251</v>
      </c>
      <c r="H36" s="456">
        <f t="shared" si="23"/>
        <v>0.95533434099718251</v>
      </c>
      <c r="I36" s="456">
        <f t="shared" si="24"/>
        <v>0.99469979647218432</v>
      </c>
      <c r="J36" s="460">
        <f t="shared" si="25"/>
        <v>0.95027087455278569</v>
      </c>
      <c r="K36" s="460">
        <f t="shared" si="26"/>
        <v>0.86148806789491394</v>
      </c>
      <c r="L36" s="305">
        <f>+Efficiency1!K136</f>
        <v>74.059935839999994</v>
      </c>
      <c r="M36" s="14">
        <f t="shared" si="27"/>
        <v>1873.3248435390519</v>
      </c>
      <c r="N36" s="305">
        <f>+Efficiency1!C136</f>
        <v>74.059935839999994</v>
      </c>
      <c r="O36" s="14">
        <f t="shared" si="27"/>
        <v>1832.6461871217014</v>
      </c>
      <c r="P36" s="301">
        <f>'28'!I38</f>
        <v>70.75200000000001</v>
      </c>
      <c r="Q36" s="14">
        <f t="shared" si="28"/>
        <v>1655.1859999999999</v>
      </c>
      <c r="R36" s="16">
        <f>'28'!I40</f>
        <v>70.376999999999995</v>
      </c>
      <c r="S36" s="302">
        <f t="shared" si="29"/>
        <v>1613.8469999999998</v>
      </c>
      <c r="T36" s="8">
        <f t="shared" si="1"/>
        <v>0.99469979647218432</v>
      </c>
      <c r="U36" s="8">
        <f t="shared" si="2"/>
        <v>0.97502455917341002</v>
      </c>
      <c r="V36" s="303">
        <f t="shared" si="3"/>
        <v>0.95027087455278569</v>
      </c>
      <c r="W36" s="304">
        <f t="shared" si="4"/>
        <v>0.86148806789491394</v>
      </c>
      <c r="X36" s="302"/>
      <c r="Y36" s="302"/>
      <c r="Z36" s="7"/>
      <c r="AA36" s="302"/>
      <c r="AB36" s="99">
        <v>0</v>
      </c>
      <c r="AC36" s="14">
        <f t="shared" si="30"/>
        <v>0</v>
      </c>
      <c r="AD36" s="300">
        <f t="shared" si="5"/>
        <v>0</v>
      </c>
      <c r="AE36" s="300">
        <f t="shared" si="6"/>
        <v>0</v>
      </c>
      <c r="AF36" s="306">
        <f t="shared" si="7"/>
        <v>0</v>
      </c>
      <c r="AG36" s="300">
        <f t="shared" si="8"/>
        <v>0</v>
      </c>
      <c r="AH36" s="563">
        <f t="shared" si="9"/>
        <v>108.955</v>
      </c>
      <c r="AI36" s="302">
        <f t="shared" si="31"/>
        <v>3259.9509999999991</v>
      </c>
      <c r="AJ36" s="308">
        <f t="shared" si="10"/>
        <v>1.5399564676616913</v>
      </c>
      <c r="AK36" s="308">
        <f t="shared" si="11"/>
        <v>1.9695375625458402</v>
      </c>
      <c r="AL36" s="305">
        <f t="shared" si="12"/>
        <v>1.5481620415760833</v>
      </c>
      <c r="AM36" s="308">
        <f t="shared" si="13"/>
        <v>2.019987644429738</v>
      </c>
      <c r="AN36" s="99">
        <v>7</v>
      </c>
      <c r="AO36" s="302">
        <f t="shared" si="32"/>
        <v>287.89175181394415</v>
      </c>
      <c r="AP36" s="308">
        <f t="shared" si="33"/>
        <v>9.8937132519222051E-2</v>
      </c>
      <c r="AQ36" s="308">
        <f t="shared" si="34"/>
        <v>0.17393317235280153</v>
      </c>
      <c r="AR36" s="305">
        <f t="shared" si="35"/>
        <v>9.9464313625190051E-2</v>
      </c>
      <c r="AS36" s="308">
        <f t="shared" si="36"/>
        <v>0.17838850387548769</v>
      </c>
      <c r="AT36" s="307">
        <f>'28'!I46</f>
        <v>33850.089999999414</v>
      </c>
      <c r="AU36" s="302">
        <f t="shared" si="37"/>
        <v>936235.66999999993</v>
      </c>
      <c r="AV36" s="308">
        <f t="shared" si="14"/>
        <v>478.43297715964786</v>
      </c>
      <c r="AW36" s="308">
        <f t="shared" si="15"/>
        <v>565.63774101520914</v>
      </c>
      <c r="AX36" s="308">
        <f t="shared" si="16"/>
        <v>480.98228114297876</v>
      </c>
      <c r="AY36" s="308">
        <f t="shared" si="17"/>
        <v>580.12666008611723</v>
      </c>
      <c r="AZ36" s="307">
        <f>+Listrik!AH35</f>
        <v>42070.800000000025</v>
      </c>
      <c r="BA36" s="302">
        <f t="shared" si="38"/>
        <v>805868.45900000003</v>
      </c>
      <c r="BB36" s="308">
        <f t="shared" si="18"/>
        <v>594.62347354138421</v>
      </c>
      <c r="BC36" s="308">
        <f t="shared" si="39"/>
        <v>486.87486421465627</v>
      </c>
      <c r="BD36" s="308">
        <f t="shared" si="19"/>
        <v>597.79189223752121</v>
      </c>
      <c r="BE36" s="308">
        <f t="shared" si="20"/>
        <v>499.34625711111408</v>
      </c>
      <c r="BF36" s="530">
        <f>0.848</f>
        <v>0.84799999999999998</v>
      </c>
      <c r="BG36" s="531">
        <v>108.107</v>
      </c>
      <c r="BH36" s="551">
        <f>+Efficiency2!K136</f>
        <v>74.059935839999994</v>
      </c>
      <c r="BI36" s="552">
        <f t="shared" si="40"/>
        <v>1807.132066366052</v>
      </c>
      <c r="BJ36" s="553">
        <f t="shared" si="41"/>
        <v>0.95027087455278569</v>
      </c>
      <c r="BK36" s="553">
        <f t="shared" si="42"/>
        <v>0.89304319813508282</v>
      </c>
    </row>
    <row r="37" spans="1:63">
      <c r="A37" s="18">
        <f t="shared" si="21"/>
        <v>46020</v>
      </c>
      <c r="B37" s="448" t="s">
        <v>444</v>
      </c>
      <c r="C37" s="449" t="s">
        <v>700</v>
      </c>
      <c r="D37" s="453">
        <f>+'29'!F42</f>
        <v>814.03041825095056</v>
      </c>
      <c r="E37" s="453">
        <f>+'29'!G42</f>
        <v>700.50418250950565</v>
      </c>
      <c r="F37" s="50">
        <f t="shared" si="0"/>
        <v>0.13946190854313611</v>
      </c>
      <c r="G37" s="458">
        <f t="shared" si="22"/>
        <v>0.95311597167771966</v>
      </c>
      <c r="H37" s="456">
        <f t="shared" si="23"/>
        <v>0.95306505160587607</v>
      </c>
      <c r="I37" s="456">
        <f t="shared" si="24"/>
        <v>0.96818524460250899</v>
      </c>
      <c r="J37" s="460">
        <f t="shared" si="25"/>
        <v>0.92274352011113803</v>
      </c>
      <c r="K37" s="460">
        <f t="shared" si="26"/>
        <v>0.86321312845085363</v>
      </c>
      <c r="L37" s="305">
        <f>+SUM(Efficiency1!K140:K141)</f>
        <v>54.284856959999992</v>
      </c>
      <c r="M37" s="14">
        <f t="shared" si="27"/>
        <v>1927.609700499052</v>
      </c>
      <c r="N37" s="305">
        <f>+SUM(Efficiency1!C140:C141)</f>
        <v>54.281956799999989</v>
      </c>
      <c r="O37" s="14">
        <f t="shared" si="27"/>
        <v>1886.9281439217013</v>
      </c>
      <c r="P37" s="301">
        <f>'29'!I38</f>
        <v>51.736999999999995</v>
      </c>
      <c r="Q37" s="14">
        <f t="shared" si="28"/>
        <v>1706.923</v>
      </c>
      <c r="R37" s="16">
        <f>'29'!I40</f>
        <v>50.091000000000001</v>
      </c>
      <c r="S37" s="302">
        <f t="shared" si="29"/>
        <v>1663.9379999999996</v>
      </c>
      <c r="T37" s="8">
        <f t="shared" si="1"/>
        <v>0.96818524460250899</v>
      </c>
      <c r="U37" s="8">
        <f t="shared" si="2"/>
        <v>0.97481725889217008</v>
      </c>
      <c r="V37" s="303">
        <f t="shared" si="3"/>
        <v>0.92274352011113803</v>
      </c>
      <c r="W37" s="304">
        <f t="shared" si="4"/>
        <v>0.86321312845085363</v>
      </c>
      <c r="X37" s="302"/>
      <c r="Y37" s="302"/>
      <c r="Z37" s="7"/>
      <c r="AA37" s="302"/>
      <c r="AB37" s="99">
        <v>0</v>
      </c>
      <c r="AC37" s="14">
        <f t="shared" si="30"/>
        <v>0</v>
      </c>
      <c r="AD37" s="300">
        <f t="shared" si="5"/>
        <v>0</v>
      </c>
      <c r="AE37" s="300">
        <f t="shared" si="6"/>
        <v>0</v>
      </c>
      <c r="AF37" s="306">
        <f t="shared" si="7"/>
        <v>0</v>
      </c>
      <c r="AG37" s="300">
        <f t="shared" si="8"/>
        <v>0</v>
      </c>
      <c r="AH37" s="563">
        <f t="shared" si="9"/>
        <v>99.126999999999995</v>
      </c>
      <c r="AI37" s="302">
        <f t="shared" si="31"/>
        <v>3359.0779999999991</v>
      </c>
      <c r="AJ37" s="308">
        <f t="shared" si="10"/>
        <v>1.9159788932485455</v>
      </c>
      <c r="AK37" s="308">
        <f t="shared" si="11"/>
        <v>1.9679141941376377</v>
      </c>
      <c r="AL37" s="305">
        <f t="shared" si="12"/>
        <v>1.9789383322353316</v>
      </c>
      <c r="AM37" s="308">
        <f t="shared" si="13"/>
        <v>2.0187519006116812</v>
      </c>
      <c r="AN37" s="99">
        <v>11.1</v>
      </c>
      <c r="AO37" s="302">
        <f t="shared" si="32"/>
        <v>298.99175181394418</v>
      </c>
      <c r="AP37" s="308">
        <f t="shared" si="33"/>
        <v>0.21454664939984924</v>
      </c>
      <c r="AQ37" s="308">
        <f t="shared" si="34"/>
        <v>0.17516417074111965</v>
      </c>
      <c r="AR37" s="305">
        <f t="shared" si="35"/>
        <v>0.22159669401688925</v>
      </c>
      <c r="AS37" s="308">
        <f t="shared" si="36"/>
        <v>0.17968923830932657</v>
      </c>
      <c r="AT37" s="307">
        <f>'29'!I46</f>
        <v>34106.900000001304</v>
      </c>
      <c r="AU37" s="302">
        <f t="shared" si="37"/>
        <v>970342.57000000123</v>
      </c>
      <c r="AV37" s="308">
        <f t="shared" si="14"/>
        <v>659.23613661405386</v>
      </c>
      <c r="AW37" s="308">
        <f t="shared" si="15"/>
        <v>568.47471737155172</v>
      </c>
      <c r="AX37" s="308">
        <f t="shared" si="16"/>
        <v>680.89876424909266</v>
      </c>
      <c r="AY37" s="308">
        <f t="shared" si="17"/>
        <v>583.1602920301126</v>
      </c>
      <c r="AZ37" s="307">
        <f>+Listrik!AH36</f>
        <v>27707.500000000007</v>
      </c>
      <c r="BA37" s="302">
        <f t="shared" si="38"/>
        <v>833575.95900000003</v>
      </c>
      <c r="BB37" s="308">
        <f t="shared" si="18"/>
        <v>535.54516110327256</v>
      </c>
      <c r="BC37" s="308">
        <f t="shared" si="39"/>
        <v>488.35006558585246</v>
      </c>
      <c r="BD37" s="308">
        <f t="shared" si="19"/>
        <v>553.14327923179826</v>
      </c>
      <c r="BE37" s="308">
        <f t="shared" si="20"/>
        <v>500.96575653660193</v>
      </c>
      <c r="BF37" s="530">
        <f>2.508</f>
        <v>2.508</v>
      </c>
      <c r="BG37" s="531">
        <v>96.619</v>
      </c>
      <c r="BH37" s="551">
        <f>+SUM(Efficiency2!K140:K141)</f>
        <v>52.057800959999987</v>
      </c>
      <c r="BI37" s="552">
        <f t="shared" si="40"/>
        <v>1859.1898673260519</v>
      </c>
      <c r="BJ37" s="553">
        <f t="shared" si="41"/>
        <v>0.96221890045814207</v>
      </c>
      <c r="BK37" s="553">
        <f t="shared" si="42"/>
        <v>0.89498013583364144</v>
      </c>
    </row>
    <row r="38" spans="1:63">
      <c r="A38" s="18">
        <f t="shared" si="21"/>
        <v>46021</v>
      </c>
      <c r="B38" s="448" t="s">
        <v>439</v>
      </c>
      <c r="C38" s="449" t="s">
        <v>699</v>
      </c>
      <c r="D38" s="453">
        <f>+'30'!F42</f>
        <v>830</v>
      </c>
      <c r="E38" s="453">
        <f>+'30'!G42</f>
        <v>713.8</v>
      </c>
      <c r="F38" s="50">
        <f t="shared" si="0"/>
        <v>0.14000000000000001</v>
      </c>
      <c r="G38" s="458">
        <f t="shared" si="22"/>
        <v>0.94063454318934703</v>
      </c>
      <c r="H38" s="456">
        <f t="shared" si="23"/>
        <v>0.94063454318934703</v>
      </c>
      <c r="I38" s="456">
        <f t="shared" si="24"/>
        <v>1.0328558234589007</v>
      </c>
      <c r="J38" s="460">
        <f t="shared" si="25"/>
        <v>0.97153986567971995</v>
      </c>
      <c r="K38" s="460">
        <f t="shared" si="26"/>
        <v>0.86617044943061416</v>
      </c>
      <c r="L38" s="305">
        <f>+SUM(Efficiency1!K148:K149)</f>
        <v>54.100713575172406</v>
      </c>
      <c r="M38" s="14">
        <f t="shared" si="27"/>
        <v>1981.7104140742244</v>
      </c>
      <c r="N38" s="305">
        <f>+SUM(Efficiency1!C148:C149)</f>
        <v>54.100713575172406</v>
      </c>
      <c r="O38" s="14">
        <f t="shared" si="27"/>
        <v>1941.0288574968738</v>
      </c>
      <c r="P38" s="301">
        <f>'30'!I38</f>
        <v>50.889000000000003</v>
      </c>
      <c r="Q38" s="14">
        <f t="shared" si="28"/>
        <v>1757.8119999999999</v>
      </c>
      <c r="R38" s="16">
        <f>'30'!I40</f>
        <v>52.561</v>
      </c>
      <c r="S38" s="302">
        <f t="shared" si="29"/>
        <v>1716.4989999999996</v>
      </c>
      <c r="T38" s="8">
        <f t="shared" si="1"/>
        <v>1.0328558234589007</v>
      </c>
      <c r="U38" s="8">
        <f t="shared" si="2"/>
        <v>0.97649748664817382</v>
      </c>
      <c r="V38" s="303">
        <f t="shared" si="3"/>
        <v>0.97153986567971995</v>
      </c>
      <c r="W38" s="304">
        <f t="shared" si="4"/>
        <v>0.86617044943061416</v>
      </c>
      <c r="X38" s="302"/>
      <c r="Y38" s="302"/>
      <c r="Z38" s="7"/>
      <c r="AA38" s="302"/>
      <c r="AB38" s="99">
        <v>0</v>
      </c>
      <c r="AC38" s="14">
        <f t="shared" si="30"/>
        <v>0</v>
      </c>
      <c r="AD38" s="300">
        <f t="shared" si="5"/>
        <v>0</v>
      </c>
      <c r="AE38" s="300">
        <f t="shared" si="6"/>
        <v>0</v>
      </c>
      <c r="AF38" s="306">
        <f t="shared" si="7"/>
        <v>0</v>
      </c>
      <c r="AG38" s="300">
        <f t="shared" si="8"/>
        <v>0</v>
      </c>
      <c r="AH38" s="563">
        <f t="shared" si="9"/>
        <v>105.28700000000001</v>
      </c>
      <c r="AI38" s="302">
        <f t="shared" si="31"/>
        <v>3464.3649999999989</v>
      </c>
      <c r="AJ38" s="308">
        <f t="shared" si="10"/>
        <v>2.0689539979170353</v>
      </c>
      <c r="AK38" s="308">
        <f t="shared" si="11"/>
        <v>1.9708393161498494</v>
      </c>
      <c r="AL38" s="305">
        <f t="shared" si="12"/>
        <v>2.0031392096801812</v>
      </c>
      <c r="AM38" s="308">
        <f t="shared" si="13"/>
        <v>2.0182738236375317</v>
      </c>
      <c r="AN38" s="99">
        <v>13</v>
      </c>
      <c r="AO38" s="302">
        <f t="shared" si="32"/>
        <v>311.99175181394418</v>
      </c>
      <c r="AP38" s="308">
        <f t="shared" si="33"/>
        <v>0.25545795751537659</v>
      </c>
      <c r="AQ38" s="308">
        <f t="shared" si="34"/>
        <v>0.17748869151760496</v>
      </c>
      <c r="AR38" s="305">
        <f t="shared" si="35"/>
        <v>0.24733167177184603</v>
      </c>
      <c r="AS38" s="308">
        <f t="shared" si="36"/>
        <v>0.18176052057935616</v>
      </c>
      <c r="AT38" s="307">
        <f>'30'!I46</f>
        <v>35159.899999999252</v>
      </c>
      <c r="AU38" s="302">
        <f t="shared" si="37"/>
        <v>1005502.4700000004</v>
      </c>
      <c r="AV38" s="308">
        <f t="shared" si="14"/>
        <v>690.91355695728453</v>
      </c>
      <c r="AW38" s="308">
        <f t="shared" si="15"/>
        <v>572.01934564105864</v>
      </c>
      <c r="AX38" s="308">
        <f t="shared" si="16"/>
        <v>668.93514202544191</v>
      </c>
      <c r="AY38" s="308">
        <f t="shared" si="17"/>
        <v>585.78680791541422</v>
      </c>
      <c r="AZ38" s="307">
        <f>+Listrik!AH37</f>
        <v>24466</v>
      </c>
      <c r="BA38" s="302">
        <f t="shared" si="38"/>
        <v>858041.95900000003</v>
      </c>
      <c r="BB38" s="308">
        <f t="shared" si="18"/>
        <v>480.77187604393879</v>
      </c>
      <c r="BC38" s="308">
        <f t="shared" si="39"/>
        <v>488.13067552161436</v>
      </c>
      <c r="BD38" s="308">
        <f t="shared" si="19"/>
        <v>465.47820627461431</v>
      </c>
      <c r="BE38" s="308">
        <f t="shared" si="20"/>
        <v>499.87909052088014</v>
      </c>
      <c r="BF38" s="530">
        <v>0.12</v>
      </c>
      <c r="BG38" s="531">
        <v>105.167</v>
      </c>
      <c r="BH38" s="551">
        <f>+SUM(Efficiency2!K148:K149)</f>
        <v>54.100713575172406</v>
      </c>
      <c r="BI38" s="552">
        <f t="shared" si="40"/>
        <v>1913.2905809012243</v>
      </c>
      <c r="BJ38" s="553">
        <f t="shared" si="41"/>
        <v>0.97153986567971995</v>
      </c>
      <c r="BK38" s="553">
        <f t="shared" si="42"/>
        <v>0.89714495912663239</v>
      </c>
    </row>
    <row r="39" spans="1:63">
      <c r="A39" s="18">
        <f>A38+1</f>
        <v>46022</v>
      </c>
      <c r="B39" s="448" t="s">
        <v>439</v>
      </c>
      <c r="C39" s="449" t="s">
        <v>711</v>
      </c>
      <c r="D39" s="453">
        <f>+'31'!F42</f>
        <v>830</v>
      </c>
      <c r="E39" s="453">
        <f>+'31'!G42</f>
        <v>713.8</v>
      </c>
      <c r="F39" s="50">
        <f t="shared" si="0"/>
        <v>0.14000000000000001</v>
      </c>
      <c r="G39" s="458">
        <f t="shared" si="22"/>
        <v>0.9831910802177295</v>
      </c>
      <c r="H39" s="456">
        <f t="shared" si="23"/>
        <v>0.9831910802177295</v>
      </c>
      <c r="I39" s="456">
        <f t="shared" si="24"/>
        <v>1.0175678071263961</v>
      </c>
      <c r="J39" s="460">
        <f t="shared" si="25"/>
        <v>1.0004635914833877</v>
      </c>
      <c r="K39" s="460">
        <f t="shared" si="26"/>
        <v>0.86994909984288449</v>
      </c>
      <c r="L39" s="305">
        <f>+SUM(Efficiency1!K152:K154)</f>
        <v>57.374401716000001</v>
      </c>
      <c r="M39" s="14">
        <f>M38+L39</f>
        <v>2039.0848157902244</v>
      </c>
      <c r="N39" s="305">
        <f>+SUM(Efficiency1!C152:C154)</f>
        <v>57.374401716000001</v>
      </c>
      <c r="O39" s="14">
        <f>O38+N39</f>
        <v>1998.4032592128738</v>
      </c>
      <c r="P39" s="301">
        <f>'31'!I38</f>
        <v>56.41</v>
      </c>
      <c r="Q39" s="14">
        <f>Q38+P39</f>
        <v>1814.222</v>
      </c>
      <c r="R39" s="16">
        <f>'31'!I40</f>
        <v>57.401000000000003</v>
      </c>
      <c r="S39" s="302">
        <f>S38+R39</f>
        <v>1773.8999999999996</v>
      </c>
      <c r="T39" s="8">
        <f>R39/P39</f>
        <v>1.0175678071263961</v>
      </c>
      <c r="U39" s="8">
        <f>S39/Q39</f>
        <v>0.97777449507281888</v>
      </c>
      <c r="V39" s="303">
        <f>R39/L39</f>
        <v>1.0004635914833877</v>
      </c>
      <c r="W39" s="304">
        <f>S39/M39</f>
        <v>0.86994909984288449</v>
      </c>
      <c r="X39" s="302"/>
      <c r="Y39" s="302"/>
      <c r="Z39" s="7"/>
      <c r="AA39" s="302"/>
      <c r="AB39" s="99">
        <v>0</v>
      </c>
      <c r="AC39" s="14">
        <f>AB39+AC38</f>
        <v>0</v>
      </c>
      <c r="AD39" s="300">
        <f t="shared" si="5"/>
        <v>0</v>
      </c>
      <c r="AE39" s="300">
        <f t="shared" si="6"/>
        <v>0</v>
      </c>
      <c r="AF39" s="306">
        <f t="shared" si="7"/>
        <v>0</v>
      </c>
      <c r="AG39" s="300">
        <f t="shared" si="8"/>
        <v>0</v>
      </c>
      <c r="AH39" s="563">
        <f t="shared" si="9"/>
        <v>107.744</v>
      </c>
      <c r="AI39" s="302">
        <f>AH39+AI38</f>
        <v>3572.108999999999</v>
      </c>
      <c r="AJ39" s="308">
        <f t="shared" si="10"/>
        <v>1.9100159546179756</v>
      </c>
      <c r="AK39" s="308">
        <f t="shared" si="11"/>
        <v>1.9689481221151541</v>
      </c>
      <c r="AL39" s="305">
        <f t="shared" si="12"/>
        <v>1.8770404696782286</v>
      </c>
      <c r="AM39" s="308">
        <f t="shared" si="13"/>
        <v>2.0137037037037038</v>
      </c>
      <c r="AN39" s="99">
        <v>13.3</v>
      </c>
      <c r="AO39" s="302">
        <f>AN39+AO38</f>
        <v>325.29175181394419</v>
      </c>
      <c r="AP39" s="308">
        <f t="shared" si="33"/>
        <v>0.23577379897181353</v>
      </c>
      <c r="AQ39" s="308">
        <f t="shared" si="34"/>
        <v>0.17930096306512885</v>
      </c>
      <c r="AR39" s="305">
        <f t="shared" si="35"/>
        <v>0.23170328043065452</v>
      </c>
      <c r="AS39" s="308">
        <f t="shared" si="36"/>
        <v>0.18337660060541419</v>
      </c>
      <c r="AT39" s="307">
        <f>'31'!I46</f>
        <v>34819.680000000939</v>
      </c>
      <c r="AU39" s="302">
        <f>AT39+AU38</f>
        <v>1040322.1500000014</v>
      </c>
      <c r="AV39" s="308">
        <f t="shared" si="14"/>
        <v>617.26076936715015</v>
      </c>
      <c r="AW39" s="308">
        <f t="shared" si="15"/>
        <v>573.42604708795363</v>
      </c>
      <c r="AX39" s="308">
        <f t="shared" si="16"/>
        <v>606.60406613126838</v>
      </c>
      <c r="AY39" s="308">
        <f t="shared" si="17"/>
        <v>586.46042617960529</v>
      </c>
      <c r="AZ39" s="307">
        <f>+Listrik!AH38</f>
        <v>29179</v>
      </c>
      <c r="BA39" s="302">
        <f>AZ39+BA38</f>
        <v>887220.95900000003</v>
      </c>
      <c r="BB39" s="308">
        <f t="shared" si="18"/>
        <v>517.26644212019141</v>
      </c>
      <c r="BC39" s="308">
        <f t="shared" si="39"/>
        <v>489.03660026170996</v>
      </c>
      <c r="BD39" s="308">
        <f t="shared" si="19"/>
        <v>508.33609170571935</v>
      </c>
      <c r="BE39" s="308">
        <f t="shared" si="20"/>
        <v>500.15274761824247</v>
      </c>
      <c r="BF39" s="530">
        <f>0.079</f>
        <v>7.9000000000000001E-2</v>
      </c>
      <c r="BG39" s="531">
        <v>107.66500000000001</v>
      </c>
      <c r="BH39" s="551">
        <f>+SUM(Efficiency2!K152:K154)</f>
        <v>57.374401716000001</v>
      </c>
      <c r="BI39" s="552">
        <f>BI38+BH39</f>
        <v>1970.6649826172243</v>
      </c>
      <c r="BJ39" s="553">
        <f t="shared" si="41"/>
        <v>1.0004635914833877</v>
      </c>
      <c r="BK39" s="553">
        <f t="shared" si="42"/>
        <v>0.90015300198012216</v>
      </c>
    </row>
    <row r="40" spans="1:63" ht="13.5" thickBot="1">
      <c r="A40" s="18"/>
      <c r="B40" s="309"/>
      <c r="C40" s="309"/>
      <c r="D40" s="454"/>
      <c r="E40" s="454"/>
      <c r="F40" s="309"/>
      <c r="G40" s="458"/>
      <c r="H40" s="456"/>
      <c r="I40" s="456"/>
      <c r="J40" s="460" t="e">
        <f t="shared" si="25"/>
        <v>#DIV/0!</v>
      </c>
      <c r="K40" s="460" t="e">
        <f t="shared" si="26"/>
        <v>#DIV/0!</v>
      </c>
      <c r="L40" s="317"/>
      <c r="M40" s="310"/>
      <c r="N40" s="310"/>
      <c r="O40" s="310"/>
      <c r="P40" s="311"/>
      <c r="Q40" s="310"/>
      <c r="R40" s="312"/>
      <c r="S40" s="313"/>
      <c r="T40" s="314"/>
      <c r="U40" s="314"/>
      <c r="V40" s="315"/>
      <c r="W40" s="316"/>
      <c r="X40" s="313"/>
      <c r="Y40" s="313"/>
      <c r="Z40" s="318"/>
      <c r="AA40" s="313"/>
      <c r="AB40" s="313"/>
      <c r="AC40" s="310"/>
      <c r="AD40" s="319"/>
      <c r="AE40" s="319"/>
      <c r="AF40" s="320"/>
      <c r="AG40" s="319"/>
      <c r="AH40" s="313"/>
      <c r="AI40" s="313"/>
      <c r="AJ40" s="308"/>
      <c r="AK40" s="321"/>
      <c r="AL40" s="317"/>
      <c r="AM40" s="321"/>
      <c r="AN40" s="313"/>
      <c r="AO40" s="313"/>
      <c r="AP40" s="321"/>
      <c r="AQ40" s="321"/>
      <c r="AR40" s="317"/>
      <c r="AS40" s="321"/>
      <c r="AT40" s="313"/>
      <c r="AU40" s="313"/>
      <c r="AV40" s="321"/>
      <c r="AW40" s="321"/>
      <c r="AX40" s="321"/>
      <c r="AY40" s="321"/>
      <c r="AZ40" s="313"/>
      <c r="BA40" s="313"/>
      <c r="BB40" s="321"/>
      <c r="BC40" s="321"/>
      <c r="BD40" s="321"/>
      <c r="BE40" s="321"/>
      <c r="BF40" s="530"/>
      <c r="BG40" s="531"/>
      <c r="BH40" s="554"/>
      <c r="BI40" s="555"/>
      <c r="BJ40" s="553"/>
      <c r="BK40" s="556"/>
    </row>
    <row r="41" spans="1:63" ht="14.25" thickTop="1" thickBot="1">
      <c r="A41" s="322"/>
      <c r="B41" s="323"/>
      <c r="C41" s="323"/>
      <c r="D41" s="455"/>
      <c r="E41" s="455"/>
      <c r="F41" s="323"/>
      <c r="G41" s="458">
        <f t="shared" si="22"/>
        <v>0.90783578921632735</v>
      </c>
      <c r="H41" s="456">
        <f>+P41/L41</f>
        <v>0.88972365737367265</v>
      </c>
      <c r="I41" s="456">
        <f t="shared" si="24"/>
        <v>0.97777449507281888</v>
      </c>
      <c r="J41" s="460">
        <f t="shared" si="25"/>
        <v>0.86994909984288449</v>
      </c>
      <c r="K41" s="468"/>
      <c r="L41" s="330">
        <f>SUM(L9:L39)</f>
        <v>2039.0848157902244</v>
      </c>
      <c r="M41" s="324"/>
      <c r="N41" s="330">
        <f>SUM(N9:N39)</f>
        <v>1998.4032592128738</v>
      </c>
      <c r="O41" s="324"/>
      <c r="P41" s="324">
        <f>SUM(P9:P39)</f>
        <v>1814.222</v>
      </c>
      <c r="Q41" s="324"/>
      <c r="R41" s="324">
        <f>SUM(R9:R39)</f>
        <v>1773.8999999999996</v>
      </c>
      <c r="S41" s="324"/>
      <c r="T41" s="325">
        <f>R41/P41</f>
        <v>0.97777449507281888</v>
      </c>
      <c r="U41" s="326"/>
      <c r="V41" s="327">
        <f>(R41/L41)</f>
        <v>0.86994909984288449</v>
      </c>
      <c r="W41" s="328"/>
      <c r="X41" s="326"/>
      <c r="Y41" s="326">
        <f>Y38+X41</f>
        <v>0</v>
      </c>
      <c r="Z41" s="329">
        <f>IF(AND(R41&gt;0,X41&gt;0),X41/R41*1000,0)</f>
        <v>0</v>
      </c>
      <c r="AA41" s="326">
        <f>IF(AND(S41&gt;0,Y41&gt;0),Y41/S41*1000,0)</f>
        <v>0</v>
      </c>
      <c r="AB41" s="330">
        <f>SUM(AB9:AB39)</f>
        <v>0</v>
      </c>
      <c r="AC41" s="330"/>
      <c r="AD41" s="331">
        <f>AB41/P41</f>
        <v>0</v>
      </c>
      <c r="AE41" s="331"/>
      <c r="AF41" s="332">
        <f>AB41/R41</f>
        <v>0</v>
      </c>
      <c r="AG41" s="331"/>
      <c r="AH41" s="326">
        <f>SUM(AH9:AH40)</f>
        <v>3572.108999999999</v>
      </c>
      <c r="AI41" s="326"/>
      <c r="AJ41" s="333">
        <f>AH41/P41</f>
        <v>1.9689481221151541</v>
      </c>
      <c r="AK41" s="333"/>
      <c r="AL41" s="334">
        <f>AH41/R41</f>
        <v>2.0137037037037038</v>
      </c>
      <c r="AM41" s="333"/>
      <c r="AN41" s="326">
        <f>SUM(AN9:AN40)</f>
        <v>325.29175181394419</v>
      </c>
      <c r="AO41" s="326"/>
      <c r="AP41" s="333">
        <f>AN41/P41</f>
        <v>0.17930096306512885</v>
      </c>
      <c r="AQ41" s="333"/>
      <c r="AR41" s="334">
        <f>AN41/R41</f>
        <v>0.18337660060541419</v>
      </c>
      <c r="AS41" s="333"/>
      <c r="AT41" s="326">
        <f>SUM(AT9:AT39)</f>
        <v>1040322.1500000014</v>
      </c>
      <c r="AU41" s="326"/>
      <c r="AV41" s="333">
        <f>AT41/P41</f>
        <v>573.42604708795363</v>
      </c>
      <c r="AW41" s="333"/>
      <c r="AX41" s="333">
        <f>AT41/R41</f>
        <v>586.46042617960518</v>
      </c>
      <c r="AY41" s="333"/>
      <c r="AZ41" s="326">
        <f>SUM(AZ9:AZ39)</f>
        <v>887220.95900000003</v>
      </c>
      <c r="BA41" s="326"/>
      <c r="BB41" s="333">
        <f>AZ41/V41</f>
        <v>1019853.8732441184</v>
      </c>
      <c r="BC41" s="333"/>
      <c r="BD41" s="333">
        <f>AZ41/R41</f>
        <v>500.15274761824242</v>
      </c>
      <c r="BE41" s="333"/>
      <c r="BF41" s="530"/>
      <c r="BG41" s="530"/>
      <c r="BH41" s="557">
        <f>SUM(BH9:BH39)</f>
        <v>1970.6649826172243</v>
      </c>
      <c r="BI41" s="558"/>
      <c r="BJ41" s="553">
        <f t="shared" si="41"/>
        <v>0.90015300198012216</v>
      </c>
      <c r="BK41" s="556"/>
    </row>
    <row r="42" spans="1:63" ht="13.5" thickTop="1">
      <c r="S42" s="285"/>
      <c r="T42" s="285"/>
      <c r="U42" s="285"/>
      <c r="X42" s="285"/>
      <c r="Z42" s="285"/>
      <c r="AA42" s="285"/>
      <c r="AH42" s="285"/>
      <c r="AI42" s="285"/>
      <c r="AL42" s="285"/>
      <c r="AT42" s="285"/>
      <c r="AU42" s="285"/>
    </row>
    <row r="43" spans="1:63">
      <c r="S43" s="285"/>
      <c r="T43" s="285"/>
      <c r="U43" s="285"/>
      <c r="X43" s="285"/>
      <c r="Z43" s="285"/>
      <c r="AA43" s="285"/>
      <c r="AH43" s="285"/>
      <c r="AI43" s="285"/>
      <c r="AL43" s="285"/>
      <c r="AT43" s="285"/>
      <c r="AU43" s="285"/>
    </row>
    <row r="44" spans="1:63">
      <c r="S44" s="285"/>
      <c r="T44" s="285"/>
      <c r="U44" s="285"/>
      <c r="X44" s="285"/>
      <c r="Z44" s="285"/>
      <c r="AA44" s="285"/>
      <c r="AG44" s="335"/>
      <c r="AH44" s="285"/>
      <c r="AI44" s="285"/>
      <c r="AL44" s="285"/>
      <c r="AT44" s="285"/>
      <c r="AU44" s="285"/>
    </row>
    <row r="45" spans="1:63">
      <c r="R45" s="336"/>
      <c r="S45" s="337"/>
      <c r="T45" s="337"/>
      <c r="U45" s="337"/>
      <c r="V45" s="338"/>
      <c r="W45" s="339"/>
      <c r="AG45" s="335"/>
    </row>
    <row r="46" spans="1:63">
      <c r="R46" s="340"/>
      <c r="AG46" s="335"/>
    </row>
    <row r="47" spans="1:63">
      <c r="R47" s="340"/>
      <c r="AG47" s="335"/>
    </row>
    <row r="48" spans="1:63">
      <c r="R48" s="340"/>
      <c r="AG48" s="335"/>
    </row>
    <row r="49" spans="18:63">
      <c r="R49" s="340"/>
      <c r="AG49" s="335"/>
      <c r="BJ49"/>
      <c r="BK49"/>
    </row>
    <row r="50" spans="18:63">
      <c r="R50" s="340"/>
      <c r="AG50" s="335"/>
      <c r="BJ50"/>
      <c r="BK50"/>
    </row>
    <row r="51" spans="18:63">
      <c r="R51" s="340"/>
      <c r="AG51" s="335"/>
      <c r="BJ51"/>
      <c r="BK51"/>
    </row>
    <row r="52" spans="18:63">
      <c r="R52" s="340"/>
      <c r="AG52" s="335"/>
      <c r="BJ52"/>
      <c r="BK52"/>
    </row>
    <row r="53" spans="18:63">
      <c r="R53" s="340"/>
      <c r="AG53" s="335"/>
      <c r="BJ53"/>
      <c r="BK53"/>
    </row>
    <row r="54" spans="18:63">
      <c r="R54" s="340"/>
      <c r="BJ54"/>
      <c r="BK54"/>
    </row>
    <row r="55" spans="18:63">
      <c r="R55" s="340"/>
      <c r="BJ55"/>
      <c r="BK55"/>
    </row>
    <row r="56" spans="18:63">
      <c r="R56" s="340"/>
      <c r="BJ56"/>
      <c r="BK56"/>
    </row>
    <row r="57" spans="18:63">
      <c r="R57" s="340"/>
      <c r="BJ57"/>
      <c r="BK57"/>
    </row>
    <row r="58" spans="18:63">
      <c r="R58" s="340"/>
      <c r="BJ58"/>
      <c r="BK58"/>
    </row>
    <row r="59" spans="18:63">
      <c r="R59" s="340"/>
      <c r="BJ59"/>
      <c r="BK59"/>
    </row>
    <row r="60" spans="18:63">
      <c r="BJ60"/>
      <c r="BK60"/>
    </row>
    <row r="65536" spans="3:61">
      <c r="C65536" s="341"/>
      <c r="BH65536"/>
      <c r="BI65536"/>
    </row>
  </sheetData>
  <mergeCells count="42">
    <mergeCell ref="AV7:AW7"/>
    <mergeCell ref="AN6:AS6"/>
    <mergeCell ref="AP7:AQ7"/>
    <mergeCell ref="P6:Q7"/>
    <mergeCell ref="R6:S7"/>
    <mergeCell ref="X7:Y7"/>
    <mergeCell ref="AB7:AC7"/>
    <mergeCell ref="T6:U7"/>
    <mergeCell ref="V6:W7"/>
    <mergeCell ref="X6:AA6"/>
    <mergeCell ref="Z7:AA7"/>
    <mergeCell ref="AH7:AI7"/>
    <mergeCell ref="AJ7:AK7"/>
    <mergeCell ref="AL7:AM7"/>
    <mergeCell ref="AN7:AO7"/>
    <mergeCell ref="BH6:BI7"/>
    <mergeCell ref="BJ6:BK7"/>
    <mergeCell ref="N6:O7"/>
    <mergeCell ref="BF6:BG6"/>
    <mergeCell ref="AH6:AM6"/>
    <mergeCell ref="BB7:BC7"/>
    <mergeCell ref="BD7:BE7"/>
    <mergeCell ref="AB6:AG6"/>
    <mergeCell ref="AR7:AS7"/>
    <mergeCell ref="AZ6:BE6"/>
    <mergeCell ref="AZ7:BA7"/>
    <mergeCell ref="AD7:AE7"/>
    <mergeCell ref="AT6:AY6"/>
    <mergeCell ref="AF7:AG7"/>
    <mergeCell ref="AX7:AY7"/>
    <mergeCell ref="AT7:AU7"/>
    <mergeCell ref="L6:M7"/>
    <mergeCell ref="A6:A8"/>
    <mergeCell ref="B6:B8"/>
    <mergeCell ref="C6:C8"/>
    <mergeCell ref="D6:D8"/>
    <mergeCell ref="J6:K7"/>
    <mergeCell ref="E6:E8"/>
    <mergeCell ref="F6:F8"/>
    <mergeCell ref="G6:G8"/>
    <mergeCell ref="H6:H8"/>
    <mergeCell ref="I6:I8"/>
  </mergeCells>
  <phoneticPr fontId="31" type="noConversion"/>
  <pageMargins left="7.3611111111111113E-2" right="7.3611111111111113E-2" top="0.97847222222222219" bottom="0.70972222222222225" header="0" footer="0"/>
  <pageSetup paperSize="9" scale="78" firstPageNumber="4294963191" fitToWidth="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"/>
    </sheetView>
  </sheetViews>
  <sheetFormatPr defaultRowHeight="12.7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2:AO45"/>
  <sheetViews>
    <sheetView zoomScaleNormal="100" workbookViewId="0">
      <pane xSplit="3" ySplit="6" topLeftCell="Y33" activePane="bottomRight" state="frozen"/>
      <selection pane="topRight" activeCell="D1" sqref="D1"/>
      <selection pane="bottomLeft" activeCell="A7" sqref="A7"/>
      <selection pane="bottomRight" activeCell="AL43" sqref="AL43"/>
    </sheetView>
  </sheetViews>
  <sheetFormatPr defaultColWidth="9.140625" defaultRowHeight="12.75"/>
  <cols>
    <col min="1" max="3" width="10.85546875" customWidth="1"/>
    <col min="4" max="4" width="12.85546875" bestFit="1" customWidth="1"/>
    <col min="5" max="5" width="13.28515625" bestFit="1" customWidth="1"/>
    <col min="6" max="6" width="14.5703125" bestFit="1" customWidth="1"/>
    <col min="7" max="7" width="15.5703125" bestFit="1" customWidth="1"/>
    <col min="8" max="8" width="15.5703125" customWidth="1"/>
    <col min="9" max="9" width="18.85546875" bestFit="1" customWidth="1"/>
    <col min="10" max="10" width="12.85546875" bestFit="1" customWidth="1"/>
    <col min="11" max="11" width="11.5703125" bestFit="1" customWidth="1"/>
    <col min="12" max="12" width="12" bestFit="1" customWidth="1"/>
    <col min="13" max="13" width="12.28515625" bestFit="1" customWidth="1"/>
    <col min="14" max="14" width="13" bestFit="1" customWidth="1"/>
    <col min="15" max="16" width="11" bestFit="1" customWidth="1"/>
    <col min="17" max="17" width="13.5703125" bestFit="1" customWidth="1"/>
    <col min="18" max="18" width="12.42578125" bestFit="1" customWidth="1"/>
    <col min="19" max="20" width="13.140625" bestFit="1" customWidth="1"/>
    <col min="21" max="21" width="13" bestFit="1" customWidth="1"/>
    <col min="22" max="22" width="13.7109375" bestFit="1" customWidth="1"/>
    <col min="23" max="28" width="13.5703125" customWidth="1"/>
    <col min="29" max="29" width="13.85546875" bestFit="1" customWidth="1"/>
    <col min="30" max="31" width="10.85546875" bestFit="1" customWidth="1"/>
    <col min="32" max="32" width="17.42578125" bestFit="1" customWidth="1"/>
    <col min="33" max="33" width="11.42578125" bestFit="1" customWidth="1"/>
    <col min="34" max="36" width="10.85546875" customWidth="1"/>
    <col min="39" max="39" width="39" bestFit="1" customWidth="1"/>
  </cols>
  <sheetData>
    <row r="2" spans="1:41" ht="24.75" customHeight="1">
      <c r="A2" s="647" t="s">
        <v>22</v>
      </c>
      <c r="B2" s="647"/>
      <c r="C2" s="647"/>
      <c r="D2" s="647"/>
      <c r="E2" s="647"/>
      <c r="F2" s="647"/>
      <c r="G2" s="647"/>
      <c r="H2" s="647"/>
      <c r="I2" s="647"/>
      <c r="J2" s="647"/>
      <c r="K2" s="647"/>
      <c r="L2" s="647"/>
      <c r="M2" s="647"/>
      <c r="N2" s="647"/>
      <c r="O2" s="647"/>
      <c r="P2" s="647"/>
      <c r="Q2" s="647"/>
      <c r="R2" s="647"/>
      <c r="S2" s="647"/>
      <c r="T2" s="647"/>
      <c r="U2" s="647"/>
      <c r="V2" s="647"/>
      <c r="W2" s="647"/>
      <c r="X2" s="647"/>
      <c r="Y2" s="647"/>
      <c r="Z2" s="647"/>
      <c r="AA2" s="647"/>
      <c r="AB2" s="647"/>
      <c r="AC2" s="647"/>
      <c r="AD2" s="342"/>
      <c r="AE2" s="342"/>
      <c r="AF2" s="342"/>
      <c r="AG2" s="342"/>
      <c r="AH2" s="342"/>
      <c r="AI2" s="342"/>
      <c r="AJ2" s="342"/>
      <c r="AK2" s="342"/>
      <c r="AL2" s="342"/>
      <c r="AM2" s="342"/>
    </row>
    <row r="3" spans="1:41" ht="12.75" customHeight="1">
      <c r="A3" s="342"/>
      <c r="B3" s="342"/>
      <c r="C3" s="342"/>
      <c r="D3" s="343"/>
      <c r="E3" s="344"/>
      <c r="F3" s="345"/>
      <c r="G3" s="346"/>
      <c r="H3" s="346"/>
      <c r="I3" s="347"/>
      <c r="J3" s="348"/>
      <c r="K3" s="348"/>
      <c r="L3" s="348"/>
      <c r="M3" s="349"/>
      <c r="N3" s="348"/>
      <c r="O3" s="348"/>
      <c r="P3" s="348"/>
      <c r="Q3" s="350"/>
      <c r="R3" s="348"/>
      <c r="S3" s="348"/>
      <c r="T3" s="348"/>
      <c r="U3" s="351"/>
      <c r="V3" s="348"/>
      <c r="W3" s="348"/>
      <c r="X3" s="348"/>
      <c r="Y3" s="348"/>
      <c r="Z3" s="348"/>
      <c r="AA3" s="348"/>
      <c r="AB3" s="348"/>
      <c r="AC3" s="348"/>
      <c r="AD3" s="6"/>
      <c r="AE3" s="6"/>
      <c r="AK3" s="342"/>
      <c r="AL3" s="342"/>
      <c r="AM3" s="342"/>
    </row>
    <row r="4" spans="1:41" ht="13.5" thickBot="1">
      <c r="A4" s="648" t="s">
        <v>9</v>
      </c>
      <c r="B4" s="651" t="s">
        <v>23</v>
      </c>
      <c r="C4" s="651" t="s">
        <v>24</v>
      </c>
      <c r="D4" s="645"/>
      <c r="E4" s="646"/>
      <c r="F4" s="646"/>
      <c r="G4" s="646"/>
      <c r="H4" s="646"/>
      <c r="I4" s="646"/>
      <c r="J4" s="646"/>
      <c r="K4" s="646"/>
      <c r="L4" s="646"/>
      <c r="M4" s="646"/>
      <c r="N4" s="646"/>
      <c r="O4" s="646"/>
      <c r="P4" s="646"/>
      <c r="Q4" s="646"/>
      <c r="R4" s="646"/>
      <c r="S4" s="646"/>
      <c r="T4" s="646"/>
      <c r="U4" s="646"/>
      <c r="V4" s="646"/>
      <c r="W4" s="646"/>
      <c r="X4" s="646"/>
      <c r="Y4" s="646"/>
      <c r="Z4" s="646"/>
      <c r="AA4" s="646"/>
      <c r="AB4" s="646"/>
      <c r="AC4" s="629" t="s">
        <v>183</v>
      </c>
      <c r="AD4" s="630"/>
      <c r="AE4" s="631"/>
      <c r="AF4" s="629" t="s">
        <v>184</v>
      </c>
      <c r="AG4" s="630"/>
      <c r="AH4" s="630"/>
      <c r="AI4" s="630"/>
      <c r="AJ4" s="631"/>
    </row>
    <row r="5" spans="1:41" ht="14.25" customHeight="1" thickBot="1">
      <c r="A5" s="649"/>
      <c r="B5" s="652"/>
      <c r="C5" s="652"/>
      <c r="D5" s="654" t="s">
        <v>298</v>
      </c>
      <c r="E5" s="655"/>
      <c r="F5" s="655"/>
      <c r="G5" s="656"/>
      <c r="H5" s="475" t="s">
        <v>228</v>
      </c>
      <c r="I5" s="657" t="s">
        <v>178</v>
      </c>
      <c r="J5" s="658"/>
      <c r="K5" s="658"/>
      <c r="L5" s="659"/>
      <c r="M5" s="635" t="s">
        <v>179</v>
      </c>
      <c r="N5" s="636"/>
      <c r="O5" s="636"/>
      <c r="P5" s="637"/>
      <c r="Q5" s="638" t="s">
        <v>180</v>
      </c>
      <c r="R5" s="639"/>
      <c r="S5" s="639"/>
      <c r="T5" s="640"/>
      <c r="U5" s="641" t="s">
        <v>181</v>
      </c>
      <c r="V5" s="641"/>
      <c r="W5" s="641"/>
      <c r="X5" s="641"/>
      <c r="Y5" s="642" t="s">
        <v>182</v>
      </c>
      <c r="Z5" s="643"/>
      <c r="AA5" s="643"/>
      <c r="AB5" s="644"/>
      <c r="AC5" s="632"/>
      <c r="AD5" s="633"/>
      <c r="AE5" s="634"/>
      <c r="AF5" s="632"/>
      <c r="AG5" s="633"/>
      <c r="AH5" s="633"/>
      <c r="AI5" s="633"/>
      <c r="AJ5" s="634"/>
    </row>
    <row r="6" spans="1:41" ht="14.25" customHeight="1">
      <c r="A6" s="650"/>
      <c r="B6" s="653"/>
      <c r="C6" s="653"/>
      <c r="D6" s="523" t="s">
        <v>25</v>
      </c>
      <c r="E6" s="421" t="s">
        <v>26</v>
      </c>
      <c r="F6" s="422" t="s">
        <v>27</v>
      </c>
      <c r="G6" s="422" t="s">
        <v>28</v>
      </c>
      <c r="H6" s="475"/>
      <c r="I6" s="524" t="s">
        <v>25</v>
      </c>
      <c r="J6" s="423" t="s">
        <v>26</v>
      </c>
      <c r="K6" s="424" t="s">
        <v>27</v>
      </c>
      <c r="L6" s="424" t="s">
        <v>28</v>
      </c>
      <c r="M6" s="525" t="s">
        <v>25</v>
      </c>
      <c r="N6" s="427" t="s">
        <v>26</v>
      </c>
      <c r="O6" s="428" t="s">
        <v>27</v>
      </c>
      <c r="P6" s="428" t="s">
        <v>28</v>
      </c>
      <c r="Q6" s="526" t="s">
        <v>25</v>
      </c>
      <c r="R6" s="429" t="s">
        <v>26</v>
      </c>
      <c r="S6" s="430" t="s">
        <v>27</v>
      </c>
      <c r="T6" s="430" t="s">
        <v>28</v>
      </c>
      <c r="U6" s="425" t="s">
        <v>25</v>
      </c>
      <c r="V6" s="527" t="s">
        <v>26</v>
      </c>
      <c r="W6" s="426" t="s">
        <v>27</v>
      </c>
      <c r="X6" s="426" t="s">
        <v>28</v>
      </c>
      <c r="Y6" s="431" t="s">
        <v>25</v>
      </c>
      <c r="Z6" s="431" t="s">
        <v>26</v>
      </c>
      <c r="AA6" s="431" t="s">
        <v>27</v>
      </c>
      <c r="AB6" s="431" t="s">
        <v>28</v>
      </c>
      <c r="AC6" s="432" t="s">
        <v>26</v>
      </c>
      <c r="AD6" s="433" t="s">
        <v>27</v>
      </c>
      <c r="AE6" s="433" t="s">
        <v>28</v>
      </c>
      <c r="AF6" s="432" t="s">
        <v>229</v>
      </c>
      <c r="AG6" s="432" t="s">
        <v>230</v>
      </c>
      <c r="AH6" s="432" t="s">
        <v>231</v>
      </c>
      <c r="AI6" s="433" t="s">
        <v>27</v>
      </c>
      <c r="AJ6" s="433" t="s">
        <v>28</v>
      </c>
      <c r="AL6" s="414"/>
    </row>
    <row r="7" spans="1:41">
      <c r="A7" s="352">
        <f>A8-1</f>
        <v>45991</v>
      </c>
      <c r="B7" s="353">
        <v>0</v>
      </c>
      <c r="C7" s="353">
        <v>0</v>
      </c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356"/>
      <c r="AD7" s="102"/>
      <c r="AE7" s="102"/>
      <c r="AF7" s="356"/>
      <c r="AG7" s="356"/>
      <c r="AH7" s="356"/>
      <c r="AI7" s="102"/>
      <c r="AJ7" s="102"/>
    </row>
    <row r="8" spans="1:41" ht="15">
      <c r="A8" s="352">
        <f>+Report1!A9</f>
        <v>45992</v>
      </c>
      <c r="B8" s="359">
        <f>Report1!P9</f>
        <v>60.457999999999998</v>
      </c>
      <c r="C8" s="359">
        <f>Report1!R9</f>
        <v>60.009</v>
      </c>
      <c r="D8" s="360">
        <f>+D7+E8</f>
        <v>685.60000000002219</v>
      </c>
      <c r="E8" s="360">
        <f>+[1]DailyDes!O7</f>
        <v>685.60000000002219</v>
      </c>
      <c r="F8" s="360">
        <f t="shared" ref="F8:F38" si="0">E8/B8</f>
        <v>11.340103873763972</v>
      </c>
      <c r="G8" s="360">
        <f t="shared" ref="G8:G38" si="1">E8/C8</f>
        <v>11.424952923728478</v>
      </c>
      <c r="H8" s="360">
        <f>+[1]DailyDes!P7</f>
        <v>0.10000000009313226</v>
      </c>
      <c r="I8" s="360">
        <f>+I7+J8</f>
        <v>4734</v>
      </c>
      <c r="J8" s="360">
        <f>+[1]DailyDes!Q7</f>
        <v>4734</v>
      </c>
      <c r="K8" s="360">
        <f t="shared" ref="K8:K38" si="2">J8/B8</f>
        <v>78.302292500578915</v>
      </c>
      <c r="L8" s="360">
        <f t="shared" ref="L8:L38" si="3">J8/C8</f>
        <v>78.888166774983759</v>
      </c>
      <c r="M8" s="360">
        <f>+M7+N8</f>
        <v>0</v>
      </c>
      <c r="N8" s="360">
        <f>+[1]DailyDes!R7</f>
        <v>0</v>
      </c>
      <c r="O8" s="360">
        <f t="shared" ref="O8:O38" si="4">N8/B8</f>
        <v>0</v>
      </c>
      <c r="P8" s="360">
        <f t="shared" ref="P8:P38" si="5">N8/C8</f>
        <v>0</v>
      </c>
      <c r="Q8" s="360">
        <f>+Q7+R8</f>
        <v>15717.730000000198</v>
      </c>
      <c r="R8" s="360">
        <f>+[1]DailyDes!S7</f>
        <v>15717.730000000198</v>
      </c>
      <c r="S8" s="360">
        <f t="shared" ref="S8:S38" si="6">R8/B8</f>
        <v>259.97767044890998</v>
      </c>
      <c r="T8" s="360">
        <f t="shared" ref="T8:T38" si="7">R8/C8</f>
        <v>261.92287823493473</v>
      </c>
      <c r="U8" s="360">
        <f>+U7+V8</f>
        <v>6168.3300000005456</v>
      </c>
      <c r="V8" s="360">
        <f>+[1]DailyDes!T7</f>
        <v>6168.3300000005456</v>
      </c>
      <c r="W8" s="360">
        <f t="shared" ref="W8:W38" si="8">V8/B8</f>
        <v>102.02669621887171</v>
      </c>
      <c r="X8" s="360">
        <f t="shared" ref="X8:X38" si="9">V8/C8</f>
        <v>102.79008148778593</v>
      </c>
      <c r="Y8" s="360">
        <f>+Y7+Z8</f>
        <v>5837.33</v>
      </c>
      <c r="Z8" s="360">
        <f>+[1]DailyDes!U7</f>
        <v>5837.33</v>
      </c>
      <c r="AA8" s="360">
        <f>Z8/B8</f>
        <v>96.551821098944728</v>
      </c>
      <c r="AB8" s="360">
        <f>Z8/C8</f>
        <v>97.274242197003787</v>
      </c>
      <c r="AC8" s="360">
        <f>+E8+J8+N8+R8+V8+Z8+H8</f>
        <v>33143.090000000862</v>
      </c>
      <c r="AD8" s="7">
        <f t="shared" ref="AD8:AD38" si="10">AC8/B8</f>
        <v>548.20023818189259</v>
      </c>
      <c r="AE8" s="358">
        <f t="shared" ref="AE8:AE38" si="11">AC8/C8</f>
        <v>552.30198803514247</v>
      </c>
      <c r="AF8" s="360">
        <f>+[1]DailyDes!BH7</f>
        <v>29647</v>
      </c>
      <c r="AG8" s="360">
        <f>+[1]DailyDes!BL7</f>
        <v>0</v>
      </c>
      <c r="AH8" s="360">
        <f>+AG8+AF8</f>
        <v>29647</v>
      </c>
      <c r="AI8" s="7">
        <f>AH8/B8</f>
        <v>490.37348241754609</v>
      </c>
      <c r="AJ8" s="7">
        <f>AH8/C8</f>
        <v>494.04256028262427</v>
      </c>
      <c r="AN8" s="435" t="s">
        <v>171</v>
      </c>
      <c r="AO8" s="435" t="s">
        <v>172</v>
      </c>
    </row>
    <row r="9" spans="1:41" ht="15">
      <c r="A9" s="352">
        <f t="shared" ref="A9:A38" si="12">A8+1</f>
        <v>45993</v>
      </c>
      <c r="B9" s="359">
        <f>Report1!P10</f>
        <v>51.539000000000001</v>
      </c>
      <c r="C9" s="359">
        <f>Report1!R10</f>
        <v>44.423000000000002</v>
      </c>
      <c r="D9" s="360">
        <f t="shared" ref="D9:D38" si="13">+D8+E9</f>
        <v>1531.7000000000007</v>
      </c>
      <c r="E9" s="360">
        <f>+[1]DailyDes!O8</f>
        <v>846.09999999997854</v>
      </c>
      <c r="F9" s="360">
        <f t="shared" si="0"/>
        <v>16.416694153941258</v>
      </c>
      <c r="G9" s="360">
        <f t="shared" si="1"/>
        <v>19.046439907254765</v>
      </c>
      <c r="H9" s="360">
        <f>+[1]DailyDes!P8</f>
        <v>0</v>
      </c>
      <c r="I9" s="360">
        <f t="shared" ref="I9:I38" si="14">+I8+J9</f>
        <v>8734</v>
      </c>
      <c r="J9" s="360">
        <f>+[1]DailyDes!Q8</f>
        <v>4000</v>
      </c>
      <c r="K9" s="360">
        <f t="shared" si="2"/>
        <v>77.611129435961118</v>
      </c>
      <c r="L9" s="360">
        <f t="shared" si="3"/>
        <v>90.043445962676984</v>
      </c>
      <c r="M9" s="360">
        <f t="shared" ref="M9:M38" si="15">+M8+N9</f>
        <v>0</v>
      </c>
      <c r="N9" s="360">
        <f>+[1]DailyDes!R8</f>
        <v>0</v>
      </c>
      <c r="O9" s="360">
        <f t="shared" si="4"/>
        <v>0</v>
      </c>
      <c r="P9" s="360">
        <f t="shared" si="5"/>
        <v>0</v>
      </c>
      <c r="Q9" s="360">
        <f t="shared" ref="Q9:Q38" si="16">+Q8+R9</f>
        <v>30439.57999999891</v>
      </c>
      <c r="R9" s="360">
        <f>+[1]DailyDes!S8</f>
        <v>14721.849999998713</v>
      </c>
      <c r="S9" s="360">
        <f t="shared" si="6"/>
        <v>285.64485147167608</v>
      </c>
      <c r="T9" s="360">
        <f t="shared" si="7"/>
        <v>331.40152623638005</v>
      </c>
      <c r="U9" s="360">
        <f t="shared" ref="U9:U38" si="17">+U8+V9</f>
        <v>12014.280000000392</v>
      </c>
      <c r="V9" s="360">
        <f>+[1]DailyDes!T8</f>
        <v>5845.949999999847</v>
      </c>
      <c r="W9" s="360">
        <f t="shared" si="8"/>
        <v>113.42769553153624</v>
      </c>
      <c r="X9" s="360">
        <f t="shared" si="9"/>
        <v>131.59737073137444</v>
      </c>
      <c r="Y9" s="360">
        <f t="shared" ref="Y9:Y38" si="18">+Y8+Z9</f>
        <v>11211.279999999999</v>
      </c>
      <c r="Z9" s="360">
        <f>+[1]DailyDes!U8</f>
        <v>5373.95</v>
      </c>
      <c r="AA9" s="360">
        <f t="shared" ref="AA9:AA38" si="19">Z9/B9</f>
        <v>104.26958225809581</v>
      </c>
      <c r="AB9" s="360">
        <f t="shared" ref="AB9:AB38" si="20">Z9/C9</f>
        <v>120.97224410778199</v>
      </c>
      <c r="AC9" s="360">
        <f t="shared" ref="AC9:AC38" si="21">+E9+J9+N9+R9+V9+Z9+H9</f>
        <v>30787.84999999854</v>
      </c>
      <c r="AD9" s="357">
        <f t="shared" si="10"/>
        <v>597.36995285121054</v>
      </c>
      <c r="AE9" s="358">
        <f t="shared" si="11"/>
        <v>693.06102694546826</v>
      </c>
      <c r="AF9" s="360">
        <f>+[1]DailyDes!BH8</f>
        <v>18058</v>
      </c>
      <c r="AG9" s="360">
        <f>+[1]DailyDes!BL8</f>
        <v>0</v>
      </c>
      <c r="AH9" s="360">
        <f t="shared" ref="AH9:AH38" si="22">+AG9+AF9</f>
        <v>18058</v>
      </c>
      <c r="AI9" s="7">
        <f t="shared" ref="AI9:AI38" si="23">AH9/B9</f>
        <v>350.37544383864645</v>
      </c>
      <c r="AJ9" s="7">
        <f t="shared" ref="AJ9:AJ38" si="24">AH9/C9</f>
        <v>406.50113679850529</v>
      </c>
      <c r="AN9" s="435" t="s">
        <v>173</v>
      </c>
      <c r="AO9" s="435" t="s">
        <v>173</v>
      </c>
    </row>
    <row r="10" spans="1:41">
      <c r="A10" s="352">
        <f t="shared" si="12"/>
        <v>45994</v>
      </c>
      <c r="B10" s="359">
        <f>Report1!P11</f>
        <v>47.058000000000007</v>
      </c>
      <c r="C10" s="359">
        <f>Report1!R11</f>
        <v>49.814999999999998</v>
      </c>
      <c r="D10" s="360">
        <f t="shared" si="13"/>
        <v>1721.9000000000051</v>
      </c>
      <c r="E10" s="360">
        <f>+[1]DailyDes!O9</f>
        <v>190.20000000000437</v>
      </c>
      <c r="F10" s="360">
        <f t="shared" si="0"/>
        <v>4.0418207318628996</v>
      </c>
      <c r="G10" s="360">
        <f t="shared" si="1"/>
        <v>3.8181270701596781</v>
      </c>
      <c r="H10" s="360">
        <f>+[1]DailyDes!P9</f>
        <v>4.1999999999534339</v>
      </c>
      <c r="I10" s="360">
        <f t="shared" si="14"/>
        <v>8869</v>
      </c>
      <c r="J10" s="360">
        <f>+[1]DailyDes!Q9</f>
        <v>135</v>
      </c>
      <c r="K10" s="360">
        <f t="shared" si="2"/>
        <v>2.8688002040035698</v>
      </c>
      <c r="L10" s="360">
        <f t="shared" si="3"/>
        <v>2.7100271002710028</v>
      </c>
      <c r="M10" s="360">
        <f t="shared" si="15"/>
        <v>0</v>
      </c>
      <c r="N10" s="360">
        <f>+[1]DailyDes!R9</f>
        <v>0</v>
      </c>
      <c r="O10" s="360">
        <f t="shared" si="4"/>
        <v>0</v>
      </c>
      <c r="P10" s="360">
        <f t="shared" si="5"/>
        <v>0</v>
      </c>
      <c r="Q10" s="360">
        <f t="shared" si="16"/>
        <v>35973.799999999632</v>
      </c>
      <c r="R10" s="360">
        <f>+[1]DailyDes!S9</f>
        <v>5534.2200000007233</v>
      </c>
      <c r="S10" s="360">
        <f t="shared" si="6"/>
        <v>117.60423307409415</v>
      </c>
      <c r="T10" s="360">
        <f t="shared" si="7"/>
        <v>111.09545317676852</v>
      </c>
      <c r="U10" s="360">
        <f t="shared" si="17"/>
        <v>13788.700000000392</v>
      </c>
      <c r="V10" s="360">
        <f>+[1]DailyDes!T9</f>
        <v>1774.42</v>
      </c>
      <c r="W10" s="360">
        <f t="shared" si="8"/>
        <v>37.707084873985288</v>
      </c>
      <c r="X10" s="360">
        <f t="shared" si="9"/>
        <v>35.620194720465726</v>
      </c>
      <c r="Y10" s="360">
        <f t="shared" si="18"/>
        <v>13194.699999999999</v>
      </c>
      <c r="Z10" s="360">
        <f>+[1]DailyDes!U9</f>
        <v>1983.42</v>
      </c>
      <c r="AA10" s="360">
        <f t="shared" si="19"/>
        <v>42.14841259722045</v>
      </c>
      <c r="AB10" s="360">
        <f t="shared" si="20"/>
        <v>39.815718157181578</v>
      </c>
      <c r="AC10" s="360">
        <f t="shared" si="21"/>
        <v>9621.4600000006812</v>
      </c>
      <c r="AD10" s="357">
        <f t="shared" si="10"/>
        <v>204.45960304306769</v>
      </c>
      <c r="AE10" s="358">
        <f t="shared" si="11"/>
        <v>193.14383217907621</v>
      </c>
      <c r="AF10" s="360">
        <f>+[1]DailyDes!BH9</f>
        <v>509</v>
      </c>
      <c r="AG10" s="360">
        <f>+[1]DailyDes!BL9</f>
        <v>0</v>
      </c>
      <c r="AH10" s="360">
        <f t="shared" si="22"/>
        <v>509</v>
      </c>
      <c r="AI10" s="7">
        <f t="shared" si="23"/>
        <v>10.816439287687533</v>
      </c>
      <c r="AJ10" s="7">
        <f t="shared" si="24"/>
        <v>10.217805881762521</v>
      </c>
      <c r="AL10" s="23" t="s">
        <v>30</v>
      </c>
      <c r="AM10" s="414" t="s">
        <v>177</v>
      </c>
      <c r="AN10" s="15">
        <f>+F40</f>
        <v>13.39681692758659</v>
      </c>
      <c r="AO10" s="15">
        <f>+G40</f>
        <v>13.701336039235585</v>
      </c>
    </row>
    <row r="11" spans="1:41">
      <c r="A11" s="352">
        <f t="shared" si="12"/>
        <v>45995</v>
      </c>
      <c r="B11" s="359">
        <f>Report1!P12</f>
        <v>0</v>
      </c>
      <c r="C11" s="359">
        <f>Report1!R12</f>
        <v>0</v>
      </c>
      <c r="D11" s="360">
        <f t="shared" si="13"/>
        <v>2228.1000000000404</v>
      </c>
      <c r="E11" s="360">
        <f>+[1]DailyDes!O10</f>
        <v>506.20000000003529</v>
      </c>
      <c r="F11" s="360" t="e">
        <f t="shared" si="0"/>
        <v>#DIV/0!</v>
      </c>
      <c r="G11" s="360" t="e">
        <f t="shared" si="1"/>
        <v>#DIV/0!</v>
      </c>
      <c r="H11" s="360">
        <f>+[1]DailyDes!P10</f>
        <v>203.90000000002328</v>
      </c>
      <c r="I11" s="360">
        <f t="shared" si="14"/>
        <v>12507</v>
      </c>
      <c r="J11" s="360">
        <f>+[1]DailyDes!Q10</f>
        <v>3638</v>
      </c>
      <c r="K11" s="360" t="e">
        <f t="shared" si="2"/>
        <v>#DIV/0!</v>
      </c>
      <c r="L11" s="360" t="e">
        <f t="shared" si="3"/>
        <v>#DIV/0!</v>
      </c>
      <c r="M11" s="360">
        <f t="shared" si="15"/>
        <v>0</v>
      </c>
      <c r="N11" s="360">
        <f>+[1]DailyDes!R10</f>
        <v>0</v>
      </c>
      <c r="O11" s="360" t="e">
        <f t="shared" si="4"/>
        <v>#DIV/0!</v>
      </c>
      <c r="P11" s="360" t="e">
        <f t="shared" si="5"/>
        <v>#DIV/0!</v>
      </c>
      <c r="Q11" s="360">
        <f t="shared" si="16"/>
        <v>47173.359999998938</v>
      </c>
      <c r="R11" s="360">
        <f>+[1]DailyDes!S10</f>
        <v>11199.55999999931</v>
      </c>
      <c r="S11" s="360" t="e">
        <f t="shared" si="6"/>
        <v>#DIV/0!</v>
      </c>
      <c r="T11" s="360" t="e">
        <f t="shared" si="7"/>
        <v>#DIV/0!</v>
      </c>
      <c r="U11" s="360">
        <f t="shared" si="17"/>
        <v>17699.460000000574</v>
      </c>
      <c r="V11" s="360">
        <f>+[1]DailyDes!T10</f>
        <v>3910.7600000001821</v>
      </c>
      <c r="W11" s="360" t="e">
        <f t="shared" si="8"/>
        <v>#DIV/0!</v>
      </c>
      <c r="X11" s="360" t="e">
        <f t="shared" si="9"/>
        <v>#DIV/0!</v>
      </c>
      <c r="Y11" s="360">
        <f t="shared" si="18"/>
        <v>17303.46</v>
      </c>
      <c r="Z11" s="360">
        <f>+[1]DailyDes!U10</f>
        <v>4108.76</v>
      </c>
      <c r="AA11" s="360" t="e">
        <f t="shared" si="19"/>
        <v>#DIV/0!</v>
      </c>
      <c r="AB11" s="360" t="e">
        <f t="shared" si="20"/>
        <v>#DIV/0!</v>
      </c>
      <c r="AC11" s="360">
        <f t="shared" si="21"/>
        <v>23567.179999999549</v>
      </c>
      <c r="AD11" s="357" t="e">
        <f t="shared" si="10"/>
        <v>#DIV/0!</v>
      </c>
      <c r="AE11" s="358" t="e">
        <f t="shared" si="11"/>
        <v>#DIV/0!</v>
      </c>
      <c r="AF11" s="360">
        <f>+[1]DailyDes!BH10</f>
        <v>1070</v>
      </c>
      <c r="AG11" s="360">
        <f>+[1]DailyDes!BL10</f>
        <v>0</v>
      </c>
      <c r="AH11" s="360">
        <f t="shared" si="22"/>
        <v>1070</v>
      </c>
      <c r="AI11" s="7" t="e">
        <f t="shared" si="23"/>
        <v>#DIV/0!</v>
      </c>
      <c r="AJ11" s="7" t="e">
        <f t="shared" si="24"/>
        <v>#DIV/0!</v>
      </c>
      <c r="AL11" s="23"/>
      <c r="AM11" s="414" t="s">
        <v>178</v>
      </c>
      <c r="AN11" s="15">
        <f>+K40</f>
        <v>68.822338170301094</v>
      </c>
      <c r="AO11" s="15">
        <f>+L40</f>
        <v>70.386718529793129</v>
      </c>
    </row>
    <row r="12" spans="1:41">
      <c r="A12" s="352">
        <f t="shared" si="12"/>
        <v>45996</v>
      </c>
      <c r="B12" s="359">
        <f>Report1!P13</f>
        <v>39.436</v>
      </c>
      <c r="C12" s="359">
        <f>Report1!R13</f>
        <v>33.343000000000004</v>
      </c>
      <c r="D12" s="360">
        <f t="shared" si="13"/>
        <v>3013.9000000000351</v>
      </c>
      <c r="E12" s="360">
        <f>+[1]DailyDes!O11</f>
        <v>785.79999999999472</v>
      </c>
      <c r="F12" s="360">
        <f t="shared" si="0"/>
        <v>19.925955979308114</v>
      </c>
      <c r="G12" s="360">
        <f t="shared" si="1"/>
        <v>23.567165521998458</v>
      </c>
      <c r="H12" s="360">
        <f>+[1]DailyDes!P11</f>
        <v>1598.5</v>
      </c>
      <c r="I12" s="360">
        <f t="shared" si="14"/>
        <v>16076</v>
      </c>
      <c r="J12" s="360">
        <f>+[1]DailyDes!Q11</f>
        <v>3569</v>
      </c>
      <c r="K12" s="360">
        <f t="shared" si="2"/>
        <v>90.501065016735978</v>
      </c>
      <c r="L12" s="360">
        <f t="shared" si="3"/>
        <v>107.03895870197641</v>
      </c>
      <c r="M12" s="360">
        <f t="shared" si="15"/>
        <v>0</v>
      </c>
      <c r="N12" s="360">
        <f>+[1]DailyDes!R11</f>
        <v>0</v>
      </c>
      <c r="O12" s="360">
        <f t="shared" si="4"/>
        <v>0</v>
      </c>
      <c r="P12" s="360">
        <f t="shared" si="5"/>
        <v>0</v>
      </c>
      <c r="Q12" s="360">
        <f t="shared" si="16"/>
        <v>61469.47000000003</v>
      </c>
      <c r="R12" s="360">
        <f>+[1]DailyDes!S11</f>
        <v>14296.110000001096</v>
      </c>
      <c r="S12" s="360">
        <f t="shared" si="6"/>
        <v>362.51420022317416</v>
      </c>
      <c r="T12" s="360">
        <f t="shared" si="7"/>
        <v>428.75895990166134</v>
      </c>
      <c r="U12" s="360">
        <f t="shared" si="17"/>
        <v>23848.370000000763</v>
      </c>
      <c r="V12" s="360">
        <f>+[1]DailyDes!T11</f>
        <v>6148.910000000189</v>
      </c>
      <c r="W12" s="360">
        <f t="shared" si="8"/>
        <v>155.92123947662515</v>
      </c>
      <c r="X12" s="360">
        <f>V12/C12</f>
        <v>184.41381999220792</v>
      </c>
      <c r="Y12" s="360">
        <f t="shared" si="18"/>
        <v>22642.37</v>
      </c>
      <c r="Z12" s="360">
        <f>+[1]DailyDes!U11</f>
        <v>5338.91</v>
      </c>
      <c r="AA12" s="360">
        <f t="shared" si="19"/>
        <v>135.38163099705852</v>
      </c>
      <c r="AB12" s="360">
        <f t="shared" si="20"/>
        <v>160.12086494916471</v>
      </c>
      <c r="AC12" s="360">
        <f t="shared" si="21"/>
        <v>31737.23000000128</v>
      </c>
      <c r="AD12" s="357">
        <f t="shared" si="10"/>
        <v>804.77812151337048</v>
      </c>
      <c r="AE12" s="358">
        <f t="shared" si="11"/>
        <v>951.84086614885518</v>
      </c>
      <c r="AF12" s="360">
        <f>+[1]DailyDes!BH11</f>
        <v>1280</v>
      </c>
      <c r="AG12" s="360">
        <f>+[1]DailyDes!BL11</f>
        <v>20101.50000000004</v>
      </c>
      <c r="AH12" s="360">
        <f t="shared" si="22"/>
        <v>21381.50000000004</v>
      </c>
      <c r="AI12" s="7">
        <f t="shared" si="23"/>
        <v>542.18227000710112</v>
      </c>
      <c r="AJ12" s="7">
        <f t="shared" si="24"/>
        <v>641.25903487988592</v>
      </c>
      <c r="AL12" s="23"/>
      <c r="AM12" s="414" t="s">
        <v>179</v>
      </c>
      <c r="AN12" s="15">
        <f>+O40</f>
        <v>0</v>
      </c>
      <c r="AO12" s="15">
        <f>+P40</f>
        <v>0</v>
      </c>
    </row>
    <row r="13" spans="1:41">
      <c r="A13" s="352">
        <f t="shared" si="12"/>
        <v>45997</v>
      </c>
      <c r="B13" s="359">
        <f>Report1!P14</f>
        <v>42.302</v>
      </c>
      <c r="C13" s="359">
        <f>Report1!R14</f>
        <v>38.427999999999997</v>
      </c>
      <c r="D13" s="360">
        <f t="shared" si="13"/>
        <v>3939.9999999999977</v>
      </c>
      <c r="E13" s="360">
        <f>+[1]DailyDes!O12</f>
        <v>926.09999999996262</v>
      </c>
      <c r="F13" s="360">
        <f t="shared" si="0"/>
        <v>21.892581911019871</v>
      </c>
      <c r="G13" s="360">
        <f t="shared" si="1"/>
        <v>24.099614864160579</v>
      </c>
      <c r="H13" s="360">
        <f>+[1]DailyDes!P12</f>
        <v>2027</v>
      </c>
      <c r="I13" s="360">
        <f t="shared" si="14"/>
        <v>19800</v>
      </c>
      <c r="J13" s="360">
        <f>+[1]DailyDes!Q12</f>
        <v>3724</v>
      </c>
      <c r="K13" s="360">
        <f t="shared" si="2"/>
        <v>88.033662710982938</v>
      </c>
      <c r="L13" s="360">
        <f t="shared" si="3"/>
        <v>96.908504215676075</v>
      </c>
      <c r="M13" s="360">
        <f t="shared" si="15"/>
        <v>0</v>
      </c>
      <c r="N13" s="360">
        <f>+[1]DailyDes!R12</f>
        <v>0</v>
      </c>
      <c r="O13" s="360">
        <f t="shared" si="4"/>
        <v>0</v>
      </c>
      <c r="P13" s="360">
        <f t="shared" si="5"/>
        <v>0</v>
      </c>
      <c r="Q13" s="360">
        <f t="shared" si="16"/>
        <v>77060.359999998982</v>
      </c>
      <c r="R13" s="360">
        <f>+[1]DailyDes!S12</f>
        <v>15590.889999998948</v>
      </c>
      <c r="S13" s="360">
        <f t="shared" si="6"/>
        <v>368.56153373360473</v>
      </c>
      <c r="T13" s="360">
        <f t="shared" si="7"/>
        <v>405.71692515871109</v>
      </c>
      <c r="U13" s="360">
        <f t="shared" si="17"/>
        <v>31438.360000000903</v>
      </c>
      <c r="V13" s="360">
        <f>+[1]DailyDes!T12</f>
        <v>7589.990000000138</v>
      </c>
      <c r="W13" s="360">
        <f t="shared" si="8"/>
        <v>179.42390430712823</v>
      </c>
      <c r="X13" s="360">
        <f t="shared" si="9"/>
        <v>197.51197043822575</v>
      </c>
      <c r="Y13" s="360">
        <f t="shared" si="18"/>
        <v>29255.360000000001</v>
      </c>
      <c r="Z13" s="360">
        <f>+[1]DailyDes!U12</f>
        <v>6612.99</v>
      </c>
      <c r="AA13" s="360">
        <f t="shared" si="19"/>
        <v>156.3280695948182</v>
      </c>
      <c r="AB13" s="360">
        <f t="shared" si="20"/>
        <v>172.08780056209014</v>
      </c>
      <c r="AC13" s="360">
        <f t="shared" si="21"/>
        <v>36470.969999999048</v>
      </c>
      <c r="AD13" s="357">
        <f t="shared" si="10"/>
        <v>862.15710841092732</v>
      </c>
      <c r="AE13" s="358">
        <f t="shared" si="11"/>
        <v>949.07281149159598</v>
      </c>
      <c r="AF13" s="360">
        <f>+[1]DailyDes!BH12</f>
        <v>1205</v>
      </c>
      <c r="AG13" s="360">
        <f>+[1]DailyDes!BL12</f>
        <v>18360</v>
      </c>
      <c r="AH13" s="360">
        <f t="shared" si="22"/>
        <v>19565</v>
      </c>
      <c r="AI13" s="7">
        <f t="shared" si="23"/>
        <v>462.50768285187462</v>
      </c>
      <c r="AJ13" s="7">
        <f t="shared" si="24"/>
        <v>509.13396481732076</v>
      </c>
      <c r="AL13" s="23"/>
      <c r="AM13" s="414" t="s">
        <v>180</v>
      </c>
      <c r="AN13" s="15">
        <f>+S40</f>
        <v>261.6968871505253</v>
      </c>
      <c r="AO13" s="15">
        <f>+T40</f>
        <v>267.64544224589906</v>
      </c>
    </row>
    <row r="14" spans="1:41">
      <c r="A14" s="352">
        <f t="shared" si="12"/>
        <v>45998</v>
      </c>
      <c r="B14" s="359">
        <f>Report1!P15</f>
        <v>49.305999999999997</v>
      </c>
      <c r="C14" s="359">
        <f>Report1!R15</f>
        <v>48.44</v>
      </c>
      <c r="D14" s="360">
        <f t="shared" si="13"/>
        <v>4853.8000000000357</v>
      </c>
      <c r="E14" s="360">
        <f>+[1]DailyDes!O13</f>
        <v>913.80000000003747</v>
      </c>
      <c r="F14" s="360">
        <f t="shared" si="0"/>
        <v>18.533241390500901</v>
      </c>
      <c r="G14" s="360">
        <f t="shared" si="1"/>
        <v>18.864574731627528</v>
      </c>
      <c r="H14" s="360">
        <f>+[1]DailyDes!P13</f>
        <v>1961.2999999999302</v>
      </c>
      <c r="I14" s="360">
        <f t="shared" si="14"/>
        <v>23588</v>
      </c>
      <c r="J14" s="360">
        <f>+[1]DailyDes!Q13</f>
        <v>3788</v>
      </c>
      <c r="K14" s="360">
        <f t="shared" si="2"/>
        <v>76.826349734312259</v>
      </c>
      <c r="L14" s="360">
        <f t="shared" si="3"/>
        <v>78.199834847233689</v>
      </c>
      <c r="M14" s="360">
        <f t="shared" si="15"/>
        <v>0</v>
      </c>
      <c r="N14" s="360">
        <f>+[1]DailyDes!R13</f>
        <v>0</v>
      </c>
      <c r="O14" s="360">
        <f t="shared" si="4"/>
        <v>0</v>
      </c>
      <c r="P14" s="360">
        <f t="shared" si="5"/>
        <v>0</v>
      </c>
      <c r="Q14" s="360">
        <f t="shared" si="16"/>
        <v>92738.349999999962</v>
      </c>
      <c r="R14" s="360">
        <f>+[1]DailyDes!S13</f>
        <v>15677.990000000982</v>
      </c>
      <c r="S14" s="360">
        <f t="shared" si="6"/>
        <v>317.97326897337001</v>
      </c>
      <c r="T14" s="360">
        <f t="shared" si="7"/>
        <v>323.65792733280313</v>
      </c>
      <c r="U14" s="360">
        <f t="shared" si="17"/>
        <v>38580.150000001195</v>
      </c>
      <c r="V14" s="360">
        <f>+[1]DailyDes!T13</f>
        <v>7141.790000000291</v>
      </c>
      <c r="W14" s="360">
        <f t="shared" si="8"/>
        <v>144.846266174508</v>
      </c>
      <c r="X14" s="360">
        <f t="shared" si="9"/>
        <v>147.43579686210344</v>
      </c>
      <c r="Y14" s="360">
        <f t="shared" si="18"/>
        <v>35465.15</v>
      </c>
      <c r="Z14" s="360">
        <f>+[1]DailyDes!U13</f>
        <v>6209.79</v>
      </c>
      <c r="AA14" s="360">
        <f t="shared" si="19"/>
        <v>125.94390135074839</v>
      </c>
      <c r="AB14" s="360">
        <f t="shared" si="20"/>
        <v>128.19549958711809</v>
      </c>
      <c r="AC14" s="360">
        <f t="shared" si="21"/>
        <v>35692.670000001242</v>
      </c>
      <c r="AD14" s="357">
        <f t="shared" si="10"/>
        <v>723.90114793333964</v>
      </c>
      <c r="AE14" s="358">
        <f t="shared" si="11"/>
        <v>736.84289843107445</v>
      </c>
      <c r="AF14" s="360">
        <f>+[1]DailyDes!BH13</f>
        <v>1216</v>
      </c>
      <c r="AG14" s="360">
        <f>+[1]DailyDes!BL13</f>
        <v>22082.999999999956</v>
      </c>
      <c r="AH14" s="360">
        <f t="shared" si="22"/>
        <v>23298.999999999956</v>
      </c>
      <c r="AI14" s="7">
        <f t="shared" si="23"/>
        <v>472.53883908652006</v>
      </c>
      <c r="AJ14" s="7">
        <f t="shared" si="24"/>
        <v>480.98678777869441</v>
      </c>
      <c r="AL14" s="23"/>
      <c r="AM14" s="414" t="s">
        <v>181</v>
      </c>
      <c r="AN14" s="15">
        <f>+W40</f>
        <v>112.10857877371181</v>
      </c>
      <c r="AO14" s="15">
        <f>+X40</f>
        <v>114.65688595749538</v>
      </c>
    </row>
    <row r="15" spans="1:41">
      <c r="A15" s="352">
        <f t="shared" si="12"/>
        <v>45999</v>
      </c>
      <c r="B15" s="359">
        <f>Report1!P16</f>
        <v>47.400999999999996</v>
      </c>
      <c r="C15" s="359">
        <f>Report1!R16</f>
        <v>45.993000000000002</v>
      </c>
      <c r="D15" s="360">
        <f t="shared" si="13"/>
        <v>5708.1000000000022</v>
      </c>
      <c r="E15" s="360">
        <f>+[1]DailyDes!O14</f>
        <v>854.29999999996653</v>
      </c>
      <c r="F15" s="360">
        <f t="shared" si="0"/>
        <v>18.022826522646497</v>
      </c>
      <c r="G15" s="360">
        <f t="shared" si="1"/>
        <v>18.574565694778912</v>
      </c>
      <c r="H15" s="360">
        <f>+[1]DailyDes!P14</f>
        <v>1001.1000000000931</v>
      </c>
      <c r="I15" s="360">
        <f t="shared" si="14"/>
        <v>27532</v>
      </c>
      <c r="J15" s="360">
        <f>+[1]DailyDes!Q14</f>
        <v>3944</v>
      </c>
      <c r="K15" s="360">
        <f t="shared" si="2"/>
        <v>83.204995675196727</v>
      </c>
      <c r="L15" s="360">
        <f t="shared" si="3"/>
        <v>85.752179679516445</v>
      </c>
      <c r="M15" s="360">
        <f t="shared" si="15"/>
        <v>0</v>
      </c>
      <c r="N15" s="360">
        <f>+[1]DailyDes!R14</f>
        <v>0</v>
      </c>
      <c r="O15" s="360">
        <f t="shared" si="4"/>
        <v>0</v>
      </c>
      <c r="P15" s="360">
        <f t="shared" si="5"/>
        <v>0</v>
      </c>
      <c r="Q15" s="360">
        <f t="shared" si="16"/>
        <v>108149.24000000035</v>
      </c>
      <c r="R15" s="360">
        <f>+[1]DailyDes!S14</f>
        <v>15410.890000000398</v>
      </c>
      <c r="S15" s="360">
        <f t="shared" si="6"/>
        <v>325.11740258645176</v>
      </c>
      <c r="T15" s="360">
        <f t="shared" si="7"/>
        <v>335.07033679038977</v>
      </c>
      <c r="U15" s="360">
        <f t="shared" si="17"/>
        <v>45609.340000000775</v>
      </c>
      <c r="V15" s="360">
        <f>+[1]DailyDes!T14</f>
        <v>7029.1899999995776</v>
      </c>
      <c r="W15" s="360">
        <f t="shared" si="8"/>
        <v>148.29201915570511</v>
      </c>
      <c r="X15" s="360">
        <f t="shared" si="9"/>
        <v>152.83173526405272</v>
      </c>
      <c r="Y15" s="360">
        <f t="shared" si="18"/>
        <v>41569.340000000004</v>
      </c>
      <c r="Z15" s="360">
        <f>+[1]DailyDes!U14</f>
        <v>6104.19</v>
      </c>
      <c r="AA15" s="360">
        <f t="shared" si="19"/>
        <v>128.77766291850384</v>
      </c>
      <c r="AB15" s="360">
        <f t="shared" si="20"/>
        <v>132.71997912725848</v>
      </c>
      <c r="AC15" s="360">
        <f t="shared" si="21"/>
        <v>34343.670000000035</v>
      </c>
      <c r="AD15" s="357">
        <f t="shared" si="10"/>
        <v>724.53471445750165</v>
      </c>
      <c r="AE15" s="358">
        <f t="shared" si="11"/>
        <v>746.71515230578643</v>
      </c>
      <c r="AF15" s="360">
        <f>+[1]DailyDes!BH14</f>
        <v>1274</v>
      </c>
      <c r="AG15" s="360">
        <f>+[1]DailyDes!BL14</f>
        <v>20129.600000000064</v>
      </c>
      <c r="AH15" s="360">
        <f t="shared" si="22"/>
        <v>21403.600000000064</v>
      </c>
      <c r="AI15" s="7">
        <f t="shared" si="23"/>
        <v>451.54321638784131</v>
      </c>
      <c r="AJ15" s="7">
        <f t="shared" si="24"/>
        <v>465.36646881047255</v>
      </c>
      <c r="AL15" s="23"/>
      <c r="AM15" s="414" t="s">
        <v>182</v>
      </c>
      <c r="AN15" s="15">
        <f>+AA40</f>
        <v>98.691918629583341</v>
      </c>
      <c r="AO15" s="15">
        <f>+AB40</f>
        <v>100.9352556513896</v>
      </c>
    </row>
    <row r="16" spans="1:41">
      <c r="A16" s="352">
        <f t="shared" si="12"/>
        <v>46000</v>
      </c>
      <c r="B16" s="359">
        <f>Report1!P17</f>
        <v>54.228999999999999</v>
      </c>
      <c r="C16" s="359">
        <f>Report1!R17</f>
        <v>51.213000000000001</v>
      </c>
      <c r="D16" s="360">
        <f t="shared" si="13"/>
        <v>6591.9000000000106</v>
      </c>
      <c r="E16" s="360">
        <f>+[1]DailyDes!O15</f>
        <v>883.80000000000791</v>
      </c>
      <c r="F16" s="360">
        <f t="shared" si="0"/>
        <v>16.297552969813346</v>
      </c>
      <c r="G16" s="360">
        <f t="shared" si="1"/>
        <v>17.257337004276412</v>
      </c>
      <c r="H16" s="360">
        <f>+[1]DailyDes!P15</f>
        <v>9.9999999976716936E-2</v>
      </c>
      <c r="I16" s="360">
        <f t="shared" si="14"/>
        <v>31369</v>
      </c>
      <c r="J16" s="360">
        <f>+[1]DailyDes!Q15</f>
        <v>3837</v>
      </c>
      <c r="K16" s="360">
        <f t="shared" si="2"/>
        <v>70.75549982481698</v>
      </c>
      <c r="L16" s="360">
        <f t="shared" si="3"/>
        <v>74.922382988694281</v>
      </c>
      <c r="M16" s="360">
        <f t="shared" si="15"/>
        <v>0</v>
      </c>
      <c r="N16" s="360">
        <f>+[1]DailyDes!R15</f>
        <v>0</v>
      </c>
      <c r="O16" s="360">
        <f t="shared" si="4"/>
        <v>0</v>
      </c>
      <c r="P16" s="360">
        <f t="shared" si="5"/>
        <v>0</v>
      </c>
      <c r="Q16" s="360">
        <f t="shared" si="16"/>
        <v>123814.59999999961</v>
      </c>
      <c r="R16" s="360">
        <f>+[1]DailyDes!S15</f>
        <v>15665.359999999264</v>
      </c>
      <c r="S16" s="360">
        <f t="shared" si="6"/>
        <v>288.87421859151493</v>
      </c>
      <c r="T16" s="360">
        <f t="shared" si="7"/>
        <v>305.88639603224306</v>
      </c>
      <c r="U16" s="360">
        <f t="shared" si="17"/>
        <v>53109.500000000975</v>
      </c>
      <c r="V16" s="360">
        <f>+[1]DailyDes!T15</f>
        <v>7500.1600000002036</v>
      </c>
      <c r="W16" s="360">
        <f t="shared" si="8"/>
        <v>138.30533478397544</v>
      </c>
      <c r="X16" s="360">
        <f t="shared" si="9"/>
        <v>146.45031534962223</v>
      </c>
      <c r="Y16" s="360">
        <f t="shared" si="18"/>
        <v>48279.5</v>
      </c>
      <c r="Z16" s="360">
        <f>+[1]DailyDes!U15</f>
        <v>6710.16</v>
      </c>
      <c r="AA16" s="360">
        <f t="shared" si="19"/>
        <v>123.73748363421785</v>
      </c>
      <c r="AB16" s="360">
        <f t="shared" si="20"/>
        <v>131.02454454923554</v>
      </c>
      <c r="AC16" s="360">
        <f t="shared" si="21"/>
        <v>34596.579999999449</v>
      </c>
      <c r="AD16" s="357">
        <f t="shared" si="10"/>
        <v>637.97193383612921</v>
      </c>
      <c r="AE16" s="358">
        <f t="shared" si="11"/>
        <v>675.54292855328629</v>
      </c>
      <c r="AF16" s="360">
        <f>+[1]DailyDes!BH15</f>
        <v>1300</v>
      </c>
      <c r="AG16" s="360">
        <f>+[1]DailyDes!BL15</f>
        <v>27655.39999999998</v>
      </c>
      <c r="AH16" s="360">
        <f t="shared" si="22"/>
        <v>28955.39999999998</v>
      </c>
      <c r="AI16" s="7">
        <f t="shared" si="23"/>
        <v>533.94678124250822</v>
      </c>
      <c r="AJ16" s="7">
        <f t="shared" si="24"/>
        <v>565.39159978911562</v>
      </c>
      <c r="AL16" s="23"/>
      <c r="AN16" s="20">
        <f>SUM(AN10:AN15)</f>
        <v>554.7165396517081</v>
      </c>
      <c r="AO16" s="20">
        <f>SUM(AO10:AO15)</f>
        <v>567.32563842381273</v>
      </c>
    </row>
    <row r="17" spans="1:41">
      <c r="A17" s="352">
        <f t="shared" si="12"/>
        <v>46001</v>
      </c>
      <c r="B17" s="359">
        <f>Report1!P18</f>
        <v>58.541999999999994</v>
      </c>
      <c r="C17" s="359">
        <f>Report1!R18</f>
        <v>56.856000000000002</v>
      </c>
      <c r="D17" s="360">
        <f t="shared" si="13"/>
        <v>7340.0000000000327</v>
      </c>
      <c r="E17" s="360">
        <f>+[1]DailyDes!O16</f>
        <v>748.10000000002219</v>
      </c>
      <c r="F17" s="360">
        <f t="shared" si="0"/>
        <v>12.778859622151998</v>
      </c>
      <c r="G17" s="360">
        <f t="shared" si="1"/>
        <v>13.157802166878117</v>
      </c>
      <c r="H17" s="360">
        <f>+[1]DailyDes!P16</f>
        <v>9.9999999976716936E-2</v>
      </c>
      <c r="I17" s="360">
        <f t="shared" si="14"/>
        <v>34332</v>
      </c>
      <c r="J17" s="360">
        <f>+[1]DailyDes!Q16</f>
        <v>2963</v>
      </c>
      <c r="K17" s="360">
        <f t="shared" si="2"/>
        <v>50.613234942434495</v>
      </c>
      <c r="L17" s="360">
        <f t="shared" si="3"/>
        <v>52.114112846489377</v>
      </c>
      <c r="M17" s="360">
        <f t="shared" si="15"/>
        <v>0</v>
      </c>
      <c r="N17" s="360">
        <f>+[1]DailyDes!R16</f>
        <v>0</v>
      </c>
      <c r="O17" s="360">
        <f t="shared" si="4"/>
        <v>0</v>
      </c>
      <c r="P17" s="360">
        <f t="shared" si="5"/>
        <v>0</v>
      </c>
      <c r="Q17" s="360">
        <f t="shared" si="16"/>
        <v>137172.80000000025</v>
      </c>
      <c r="R17" s="360">
        <f>+[1]DailyDes!S16</f>
        <v>13358.200000000632</v>
      </c>
      <c r="S17" s="360">
        <f t="shared" si="6"/>
        <v>228.18147654676358</v>
      </c>
      <c r="T17" s="360">
        <f t="shared" si="7"/>
        <v>234.94793865204431</v>
      </c>
      <c r="U17" s="360">
        <f t="shared" si="17"/>
        <v>53685.800000000978</v>
      </c>
      <c r="V17" s="360">
        <f>+[1]DailyDes!T16</f>
        <v>576.29999999999995</v>
      </c>
      <c r="W17" s="360">
        <f t="shared" si="8"/>
        <v>9.8442144101670603</v>
      </c>
      <c r="X17" s="360">
        <f t="shared" si="9"/>
        <v>10.136133389615871</v>
      </c>
      <c r="Y17" s="360">
        <f t="shared" si="18"/>
        <v>53172.800000000003</v>
      </c>
      <c r="Z17" s="360">
        <f>+[1]DailyDes!U16</f>
        <v>4893.3</v>
      </c>
      <c r="AA17" s="360">
        <f t="shared" si="19"/>
        <v>83.586143281746445</v>
      </c>
      <c r="AB17" s="360">
        <f t="shared" si="20"/>
        <v>86.064795272266778</v>
      </c>
      <c r="AC17" s="360">
        <f t="shared" si="21"/>
        <v>22539.000000000629</v>
      </c>
      <c r="AD17" s="357">
        <f t="shared" si="10"/>
        <v>385.00563697859025</v>
      </c>
      <c r="AE17" s="358">
        <f t="shared" si="11"/>
        <v>396.42254115661723</v>
      </c>
      <c r="AF17" s="360">
        <f>+[1]DailyDes!BH16</f>
        <v>17663</v>
      </c>
      <c r="AG17" s="360">
        <f>+[1]DailyDes!BL16</f>
        <v>16184.080000000049</v>
      </c>
      <c r="AH17" s="360">
        <f t="shared" si="22"/>
        <v>33847.080000000045</v>
      </c>
      <c r="AI17" s="7">
        <f t="shared" si="23"/>
        <v>578.16746950907122</v>
      </c>
      <c r="AJ17" s="7">
        <f t="shared" si="24"/>
        <v>595.31236808780159</v>
      </c>
      <c r="AL17" s="23"/>
      <c r="AN17" s="15"/>
      <c r="AO17" s="15"/>
    </row>
    <row r="18" spans="1:41">
      <c r="A18" s="352">
        <f t="shared" si="12"/>
        <v>46002</v>
      </c>
      <c r="B18" s="359">
        <f>Report1!P19</f>
        <v>49.566000000000003</v>
      </c>
      <c r="C18" s="359">
        <f>Report1!R19</f>
        <v>47.02</v>
      </c>
      <c r="D18" s="360">
        <f t="shared" si="13"/>
        <v>8261.2000000000317</v>
      </c>
      <c r="E18" s="360">
        <f>+[1]DailyDes!O17</f>
        <v>921.19999999999891</v>
      </c>
      <c r="F18" s="354">
        <f t="shared" si="0"/>
        <v>18.585320582657445</v>
      </c>
      <c r="G18" s="354">
        <f t="shared" si="1"/>
        <v>19.591663122075687</v>
      </c>
      <c r="H18" s="360">
        <f>+[1]DailyDes!P17</f>
        <v>1648.5999999999767</v>
      </c>
      <c r="I18" s="360">
        <f t="shared" si="14"/>
        <v>38795</v>
      </c>
      <c r="J18" s="360">
        <f>+[1]DailyDes!Q17</f>
        <v>4463</v>
      </c>
      <c r="K18" s="354">
        <f t="shared" si="2"/>
        <v>90.041560747286439</v>
      </c>
      <c r="L18" s="354">
        <f t="shared" si="3"/>
        <v>94.917056571671623</v>
      </c>
      <c r="M18" s="360">
        <f t="shared" si="15"/>
        <v>0</v>
      </c>
      <c r="N18" s="360">
        <f>+[1]DailyDes!R17</f>
        <v>0</v>
      </c>
      <c r="O18" s="354">
        <f t="shared" si="4"/>
        <v>0</v>
      </c>
      <c r="P18" s="354">
        <f t="shared" si="5"/>
        <v>0</v>
      </c>
      <c r="Q18" s="360">
        <f t="shared" si="16"/>
        <v>152584.22000000018</v>
      </c>
      <c r="R18" s="360">
        <f>+[1]DailyDes!S17</f>
        <v>15411.419999999929</v>
      </c>
      <c r="S18" s="354">
        <f t="shared" si="6"/>
        <v>310.92724851712723</v>
      </c>
      <c r="T18" s="354">
        <f t="shared" si="7"/>
        <v>327.76307954061946</v>
      </c>
      <c r="U18" s="360">
        <f t="shared" si="17"/>
        <v>60808.420000000981</v>
      </c>
      <c r="V18" s="360">
        <f>+[1]DailyDes!T17</f>
        <v>7122.6200000000008</v>
      </c>
      <c r="W18" s="354">
        <f t="shared" si="8"/>
        <v>143.69971351329542</v>
      </c>
      <c r="X18" s="354">
        <f t="shared" si="9"/>
        <v>151.48064653339006</v>
      </c>
      <c r="Y18" s="360">
        <f t="shared" si="18"/>
        <v>58668.420000000006</v>
      </c>
      <c r="Z18" s="360">
        <f>+[1]DailyDes!U17</f>
        <v>5495.62</v>
      </c>
      <c r="AA18" s="360">
        <f t="shared" si="19"/>
        <v>110.87479320501956</v>
      </c>
      <c r="AB18" s="360">
        <f t="shared" si="20"/>
        <v>116.87834963845171</v>
      </c>
      <c r="AC18" s="360">
        <f t="shared" si="21"/>
        <v>35062.459999999912</v>
      </c>
      <c r="AD18" s="357">
        <f t="shared" si="10"/>
        <v>707.389339466568</v>
      </c>
      <c r="AE18" s="358">
        <f t="shared" si="11"/>
        <v>745.69247128881136</v>
      </c>
      <c r="AF18" s="360">
        <f>+[1]DailyDes!BH17</f>
        <v>5382</v>
      </c>
      <c r="AG18" s="360">
        <f>+[1]DailyDes!BL17</f>
        <v>24083.27999999993</v>
      </c>
      <c r="AH18" s="360">
        <f t="shared" si="22"/>
        <v>29465.27999999993</v>
      </c>
      <c r="AI18" s="7">
        <f t="shared" si="23"/>
        <v>594.46556107008689</v>
      </c>
      <c r="AJ18" s="7">
        <f t="shared" si="24"/>
        <v>626.65418970650637</v>
      </c>
      <c r="AL18" s="23"/>
      <c r="AN18" s="15"/>
      <c r="AO18" s="15"/>
    </row>
    <row r="19" spans="1:41">
      <c r="A19" s="352">
        <f t="shared" si="12"/>
        <v>46003</v>
      </c>
      <c r="B19" s="359">
        <f>Report1!P20</f>
        <v>63.509</v>
      </c>
      <c r="C19" s="359">
        <f>Report1!R20</f>
        <v>59.353000000000002</v>
      </c>
      <c r="D19" s="360">
        <f t="shared" si="13"/>
        <v>9165.5000000000091</v>
      </c>
      <c r="E19" s="360">
        <f>+[1]DailyDes!O18</f>
        <v>904.2999999999779</v>
      </c>
      <c r="F19" s="354">
        <f t="shared" si="0"/>
        <v>14.238926766284745</v>
      </c>
      <c r="G19" s="354">
        <f t="shared" si="1"/>
        <v>15.235961114012399</v>
      </c>
      <c r="H19" s="360">
        <f>+[1]DailyDes!P18</f>
        <v>2605.5</v>
      </c>
      <c r="I19" s="360">
        <f t="shared" si="14"/>
        <v>43239</v>
      </c>
      <c r="J19" s="360">
        <f>+[1]DailyDes!Q18</f>
        <v>4444</v>
      </c>
      <c r="K19" s="354">
        <f t="shared" si="2"/>
        <v>69.974334346313114</v>
      </c>
      <c r="L19" s="354">
        <f t="shared" si="3"/>
        <v>74.874058598554413</v>
      </c>
      <c r="M19" s="360">
        <f t="shared" si="15"/>
        <v>0</v>
      </c>
      <c r="N19" s="360">
        <f>+[1]DailyDes!R18</f>
        <v>0</v>
      </c>
      <c r="O19" s="354">
        <f t="shared" si="4"/>
        <v>0</v>
      </c>
      <c r="P19" s="354">
        <f t="shared" si="5"/>
        <v>0</v>
      </c>
      <c r="Q19" s="360">
        <f t="shared" si="16"/>
        <v>170579.15999999968</v>
      </c>
      <c r="R19" s="360">
        <f>+[1]DailyDes!S18</f>
        <v>17994.939999999515</v>
      </c>
      <c r="S19" s="354">
        <f t="shared" si="6"/>
        <v>283.34472279518673</v>
      </c>
      <c r="T19" s="354">
        <f t="shared" si="7"/>
        <v>303.18501170959371</v>
      </c>
      <c r="U19" s="360">
        <f t="shared" si="17"/>
        <v>69788.460000000981</v>
      </c>
      <c r="V19" s="360">
        <f>+[1]DailyDes!T18</f>
        <v>8980.0400000000009</v>
      </c>
      <c r="W19" s="354">
        <f t="shared" si="8"/>
        <v>141.39791210694548</v>
      </c>
      <c r="X19" s="354">
        <f t="shared" si="9"/>
        <v>151.29883914882146</v>
      </c>
      <c r="Y19" s="360">
        <f t="shared" si="18"/>
        <v>65961.66</v>
      </c>
      <c r="Z19" s="360">
        <f>+[1]DailyDes!U18</f>
        <v>7293.24</v>
      </c>
      <c r="AA19" s="360">
        <f t="shared" si="19"/>
        <v>114.83789699097765</v>
      </c>
      <c r="AB19" s="360">
        <f t="shared" si="20"/>
        <v>122.87904570956817</v>
      </c>
      <c r="AC19" s="360">
        <f t="shared" si="21"/>
        <v>42222.019999999495</v>
      </c>
      <c r="AD19" s="357">
        <f t="shared" si="10"/>
        <v>664.81947440519446</v>
      </c>
      <c r="AE19" s="358">
        <f t="shared" si="11"/>
        <v>711.37128704529664</v>
      </c>
      <c r="AF19" s="360">
        <f>+[1]DailyDes!BH18</f>
        <v>3557</v>
      </c>
      <c r="AG19" s="360">
        <f>+[1]DailyDes!BL18</f>
        <v>24936.800000000028</v>
      </c>
      <c r="AH19" s="360">
        <f t="shared" si="22"/>
        <v>28493.800000000028</v>
      </c>
      <c r="AI19" s="7">
        <f t="shared" si="23"/>
        <v>448.65767056637685</v>
      </c>
      <c r="AJ19" s="7">
        <f t="shared" si="24"/>
        <v>480.07345879736539</v>
      </c>
      <c r="AL19" s="23"/>
      <c r="AN19" s="20"/>
      <c r="AO19" s="20"/>
    </row>
    <row r="20" spans="1:41">
      <c r="A20" s="352">
        <f t="shared" si="12"/>
        <v>46004</v>
      </c>
      <c r="B20" s="359">
        <f>Report1!P21</f>
        <v>60.103000000000002</v>
      </c>
      <c r="C20" s="359">
        <f>Report1!R21</f>
        <v>57.131999999999998</v>
      </c>
      <c r="D20" s="360">
        <f t="shared" si="13"/>
        <v>10111.199999999997</v>
      </c>
      <c r="E20" s="360">
        <f>+[1]DailyDes!O19</f>
        <v>945.69999999998799</v>
      </c>
      <c r="F20" s="354">
        <f t="shared" si="0"/>
        <v>15.734655508044323</v>
      </c>
      <c r="G20" s="354">
        <f t="shared" si="1"/>
        <v>16.552895050059302</v>
      </c>
      <c r="H20" s="360">
        <f>+[1]DailyDes!P19</f>
        <v>2653.4000000000233</v>
      </c>
      <c r="I20" s="360">
        <f t="shared" si="14"/>
        <v>47945</v>
      </c>
      <c r="J20" s="360">
        <f>+[1]DailyDes!Q19</f>
        <v>4706</v>
      </c>
      <c r="K20" s="354">
        <f t="shared" si="2"/>
        <v>78.2989201870123</v>
      </c>
      <c r="L20" s="354">
        <f t="shared" si="3"/>
        <v>82.370650423580486</v>
      </c>
      <c r="M20" s="360">
        <f t="shared" si="15"/>
        <v>0</v>
      </c>
      <c r="N20" s="360">
        <f>+[1]DailyDes!R19</f>
        <v>0</v>
      </c>
      <c r="O20" s="354">
        <f t="shared" si="4"/>
        <v>0</v>
      </c>
      <c r="P20" s="354">
        <f t="shared" si="5"/>
        <v>0</v>
      </c>
      <c r="Q20" s="360">
        <f t="shared" si="16"/>
        <v>187548.87000000029</v>
      </c>
      <c r="R20" s="360">
        <f>+[1]DailyDes!S19</f>
        <v>16969.710000000596</v>
      </c>
      <c r="S20" s="354">
        <f t="shared" si="6"/>
        <v>282.34380979319826</v>
      </c>
      <c r="T20" s="354">
        <f t="shared" si="7"/>
        <v>297.02636000841204</v>
      </c>
      <c r="U20" s="360">
        <f t="shared" si="17"/>
        <v>78421.170000000973</v>
      </c>
      <c r="V20" s="360">
        <f>+[1]DailyDes!T19</f>
        <v>8632.7099999999973</v>
      </c>
      <c r="W20" s="354">
        <f t="shared" si="8"/>
        <v>143.63193185032355</v>
      </c>
      <c r="X20" s="354">
        <f t="shared" si="9"/>
        <v>151.10113421550091</v>
      </c>
      <c r="Y20" s="360">
        <f t="shared" si="18"/>
        <v>72837.070000000007</v>
      </c>
      <c r="Z20" s="360">
        <f>+[1]DailyDes!U19</f>
        <v>6875.41</v>
      </c>
      <c r="AA20" s="360">
        <f t="shared" si="19"/>
        <v>114.39379065936808</v>
      </c>
      <c r="AB20" s="360">
        <f t="shared" si="20"/>
        <v>120.3425400826157</v>
      </c>
      <c r="AC20" s="360">
        <f t="shared" si="21"/>
        <v>40782.930000000604</v>
      </c>
      <c r="AD20" s="357">
        <f t="shared" si="10"/>
        <v>678.55065470942554</v>
      </c>
      <c r="AE20" s="358">
        <f t="shared" si="11"/>
        <v>713.83690401177284</v>
      </c>
      <c r="AF20" s="360">
        <f>+[1]DailyDes!BH19</f>
        <v>1442</v>
      </c>
      <c r="AG20" s="360">
        <f>+[1]DailyDes!BL19</f>
        <v>22989.199999999979</v>
      </c>
      <c r="AH20" s="360">
        <f t="shared" si="22"/>
        <v>24431.199999999979</v>
      </c>
      <c r="AI20" s="7">
        <f t="shared" si="23"/>
        <v>406.48886078897857</v>
      </c>
      <c r="AJ20" s="7">
        <f t="shared" si="24"/>
        <v>427.62724917734334</v>
      </c>
      <c r="AL20" s="23"/>
      <c r="AN20" s="15"/>
      <c r="AO20" s="15"/>
    </row>
    <row r="21" spans="1:41">
      <c r="A21" s="352">
        <f t="shared" si="12"/>
        <v>46005</v>
      </c>
      <c r="B21" s="359">
        <f>Report1!P22</f>
        <v>67.138000000000005</v>
      </c>
      <c r="C21" s="359">
        <f>Report1!R22</f>
        <v>66.549000000000007</v>
      </c>
      <c r="D21" s="360">
        <f t="shared" si="13"/>
        <v>11062.099999999988</v>
      </c>
      <c r="E21" s="360">
        <f>+[1]DailyDes!O20</f>
        <v>950.89999999999009</v>
      </c>
      <c r="F21" s="354">
        <f t="shared" si="0"/>
        <v>14.163365009383508</v>
      </c>
      <c r="G21" s="354">
        <f t="shared" si="1"/>
        <v>14.288719590076335</v>
      </c>
      <c r="H21" s="360">
        <f>+[1]DailyDes!P20</f>
        <v>2978.5999999999767</v>
      </c>
      <c r="I21" s="360">
        <f t="shared" si="14"/>
        <v>53011</v>
      </c>
      <c r="J21" s="360">
        <f>+[1]DailyDes!Q20</f>
        <v>5066</v>
      </c>
      <c r="K21" s="354">
        <f t="shared" si="2"/>
        <v>75.456522386725837</v>
      </c>
      <c r="L21" s="354">
        <f t="shared" si="3"/>
        <v>76.1243594945078</v>
      </c>
      <c r="M21" s="360">
        <f t="shared" si="15"/>
        <v>0</v>
      </c>
      <c r="N21" s="360">
        <f>+[1]DailyDes!R20</f>
        <v>0</v>
      </c>
      <c r="O21" s="354">
        <f t="shared" si="4"/>
        <v>0</v>
      </c>
      <c r="P21" s="354">
        <f t="shared" si="5"/>
        <v>0</v>
      </c>
      <c r="Q21" s="360">
        <f t="shared" si="16"/>
        <v>203241.38000000044</v>
      </c>
      <c r="R21" s="360">
        <f>+[1]DailyDes!S20</f>
        <v>15692.510000000155</v>
      </c>
      <c r="S21" s="354">
        <f t="shared" si="6"/>
        <v>233.73514254222874</v>
      </c>
      <c r="T21" s="354">
        <f t="shared" si="7"/>
        <v>235.80384378428155</v>
      </c>
      <c r="U21" s="360">
        <f t="shared" si="17"/>
        <v>86026.780000000974</v>
      </c>
      <c r="V21" s="360">
        <f>+[1]DailyDes!T20</f>
        <v>7605.6099999999988</v>
      </c>
      <c r="W21" s="354">
        <f t="shared" si="8"/>
        <v>113.28323751079863</v>
      </c>
      <c r="X21" s="354">
        <f t="shared" si="9"/>
        <v>114.28586455093236</v>
      </c>
      <c r="Y21" s="360">
        <f t="shared" si="18"/>
        <v>78449.48000000001</v>
      </c>
      <c r="Z21" s="360">
        <f>+[1]DailyDes!U20</f>
        <v>5612.41</v>
      </c>
      <c r="AA21" s="360">
        <f t="shared" si="19"/>
        <v>83.595132413834179</v>
      </c>
      <c r="AB21" s="360">
        <f t="shared" si="20"/>
        <v>84.335001277254349</v>
      </c>
      <c r="AC21" s="360">
        <f t="shared" si="21"/>
        <v>37906.030000000115</v>
      </c>
      <c r="AD21" s="357">
        <f t="shared" si="10"/>
        <v>564.5987369299072</v>
      </c>
      <c r="AE21" s="358">
        <f t="shared" si="11"/>
        <v>569.59578656328586</v>
      </c>
      <c r="AF21" s="360">
        <f>+[1]DailyDes!BH20</f>
        <v>6473</v>
      </c>
      <c r="AG21" s="360">
        <f>+[1]DailyDes!BL20</f>
        <v>28915.900000000212</v>
      </c>
      <c r="AH21" s="360">
        <f t="shared" si="22"/>
        <v>35388.900000000212</v>
      </c>
      <c r="AI21" s="7">
        <f t="shared" si="23"/>
        <v>527.10685453841654</v>
      </c>
      <c r="AJ21" s="7">
        <f t="shared" si="24"/>
        <v>531.77207771717394</v>
      </c>
      <c r="AN21" s="15"/>
      <c r="AO21" s="15"/>
    </row>
    <row r="22" spans="1:41">
      <c r="A22" s="352">
        <f t="shared" si="12"/>
        <v>46006</v>
      </c>
      <c r="B22" s="359">
        <f>Report1!P23</f>
        <v>65.415999999999997</v>
      </c>
      <c r="C22" s="359">
        <f>Report1!R23</f>
        <v>67.039000000000001</v>
      </c>
      <c r="D22" s="360">
        <f>+D21+E22</f>
        <v>12052.799999999992</v>
      </c>
      <c r="E22" s="360">
        <f>+[1]DailyDes!O21</f>
        <v>990.70000000000391</v>
      </c>
      <c r="F22" s="354">
        <f>E22/B22</f>
        <v>15.144612938730646</v>
      </c>
      <c r="G22" s="354">
        <f>E22/C22</f>
        <v>14.777965065111411</v>
      </c>
      <c r="H22" s="360">
        <f>+[1]DailyDes!P21</f>
        <v>1567.7000000000698</v>
      </c>
      <c r="I22" s="360">
        <f>+I21+J22</f>
        <v>58450</v>
      </c>
      <c r="J22" s="360">
        <f>+[1]DailyDes!Q21</f>
        <v>5439</v>
      </c>
      <c r="K22" s="354">
        <f>J22/B22</f>
        <v>83.144796380090497</v>
      </c>
      <c r="L22" s="354">
        <f>J22/C22</f>
        <v>81.131878458807563</v>
      </c>
      <c r="M22" s="360">
        <f>+M21+N22</f>
        <v>0</v>
      </c>
      <c r="N22" s="360">
        <f>+[1]DailyDes!R21</f>
        <v>0</v>
      </c>
      <c r="O22" s="354">
        <f>N22/B22</f>
        <v>0</v>
      </c>
      <c r="P22" s="354">
        <f>N22/C22</f>
        <v>0</v>
      </c>
      <c r="Q22" s="360">
        <f>+Q21+R22</f>
        <v>220381.22999999899</v>
      </c>
      <c r="R22" s="360">
        <f>+[1]DailyDes!S21</f>
        <v>17139.84999999854</v>
      </c>
      <c r="S22" s="354">
        <f>R22/B22</f>
        <v>262.01311605721139</v>
      </c>
      <c r="T22" s="354">
        <f>R22/C22</f>
        <v>255.66983397721535</v>
      </c>
      <c r="U22" s="360">
        <f>+U21+V22</f>
        <v>94970.730000000971</v>
      </c>
      <c r="V22" s="360">
        <f>+[1]DailyDes!T21</f>
        <v>8943.9500000000025</v>
      </c>
      <c r="W22" s="354">
        <f>V22/B22</f>
        <v>136.72419591537243</v>
      </c>
      <c r="X22" s="354">
        <f>V22/C22</f>
        <v>133.41413207237582</v>
      </c>
      <c r="Y22" s="360">
        <f>+Y21+Z22</f>
        <v>85633.030000000013</v>
      </c>
      <c r="Z22" s="360">
        <f>+[1]DailyDes!U21</f>
        <v>7183.55</v>
      </c>
      <c r="AA22" s="360">
        <f>Z22/B22</f>
        <v>109.8133484162896</v>
      </c>
      <c r="AB22" s="360">
        <f>Z22/C22</f>
        <v>107.15479049508495</v>
      </c>
      <c r="AC22" s="360">
        <f>+E22+J22+N22+R22+V22+Z22+H22</f>
        <v>41264.749999998618</v>
      </c>
      <c r="AD22" s="357">
        <f>AC22/B22</f>
        <v>630.80515470219245</v>
      </c>
      <c r="AE22" s="358">
        <f>AC22/C22</f>
        <v>615.53349542801379</v>
      </c>
      <c r="AF22" s="360">
        <f>+[1]DailyDes!BH21</f>
        <v>5259</v>
      </c>
      <c r="AG22" s="360">
        <f>+[1]DailyDes!BL21</f>
        <v>25270.599999999813</v>
      </c>
      <c r="AH22" s="360">
        <f>+AG22+AF22</f>
        <v>30529.599999999813</v>
      </c>
      <c r="AI22" s="7">
        <f>AH22/B22</f>
        <v>466.6992784639815</v>
      </c>
      <c r="AJ22" s="7">
        <f>AH22/C22</f>
        <v>455.40058771759442</v>
      </c>
      <c r="AN22" s="15"/>
      <c r="AO22" s="15"/>
    </row>
    <row r="23" spans="1:41">
      <c r="A23" s="352">
        <f t="shared" si="12"/>
        <v>46007</v>
      </c>
      <c r="B23" s="359">
        <f>Report1!P24</f>
        <v>62.290999999999997</v>
      </c>
      <c r="C23" s="359">
        <f>Report1!R24</f>
        <v>62.822000000000003</v>
      </c>
      <c r="D23" s="360">
        <f t="shared" si="13"/>
        <v>12845.200000000035</v>
      </c>
      <c r="E23" s="360">
        <f>+[1]DailyDes!O22</f>
        <v>792.40000000004329</v>
      </c>
      <c r="F23" s="354">
        <f t="shared" si="0"/>
        <v>12.72093881941281</v>
      </c>
      <c r="G23" s="354">
        <f t="shared" si="1"/>
        <v>12.613415682404941</v>
      </c>
      <c r="H23" s="360">
        <f>+[1]DailyDes!P22</f>
        <v>0</v>
      </c>
      <c r="I23" s="360">
        <f t="shared" si="14"/>
        <v>63131</v>
      </c>
      <c r="J23" s="360">
        <f>+[1]DailyDes!Q22</f>
        <v>4681</v>
      </c>
      <c r="K23" s="354">
        <f t="shared" si="2"/>
        <v>75.147292546274741</v>
      </c>
      <c r="L23" s="354">
        <f t="shared" si="3"/>
        <v>74.512113590780302</v>
      </c>
      <c r="M23" s="360">
        <f t="shared" si="15"/>
        <v>0</v>
      </c>
      <c r="N23" s="360">
        <f>+[1]DailyDes!R22</f>
        <v>0</v>
      </c>
      <c r="O23" s="354">
        <f t="shared" si="4"/>
        <v>0</v>
      </c>
      <c r="P23" s="354">
        <f t="shared" si="5"/>
        <v>0</v>
      </c>
      <c r="Q23" s="360">
        <f t="shared" si="16"/>
        <v>236215.59999999887</v>
      </c>
      <c r="R23" s="360">
        <f>+[1]DailyDes!S22</f>
        <v>15834.369999999884</v>
      </c>
      <c r="S23" s="354">
        <f t="shared" si="6"/>
        <v>254.19996468189441</v>
      </c>
      <c r="T23" s="354">
        <f t="shared" si="7"/>
        <v>252.0513514373927</v>
      </c>
      <c r="U23" s="360">
        <f t="shared" si="17"/>
        <v>103088.90000000097</v>
      </c>
      <c r="V23" s="360">
        <f>+[1]DailyDes!T22</f>
        <v>8118.1699999999973</v>
      </c>
      <c r="W23" s="354">
        <f t="shared" si="8"/>
        <v>130.32653192274964</v>
      </c>
      <c r="X23" s="354">
        <f t="shared" si="9"/>
        <v>129.22495304192793</v>
      </c>
      <c r="Y23" s="360">
        <f t="shared" si="18"/>
        <v>92128.800000000017</v>
      </c>
      <c r="Z23" s="360">
        <f>+[1]DailyDes!U22</f>
        <v>6495.77</v>
      </c>
      <c r="AA23" s="360">
        <f t="shared" si="19"/>
        <v>104.28103578366057</v>
      </c>
      <c r="AB23" s="360">
        <f t="shared" si="20"/>
        <v>103.39960523383529</v>
      </c>
      <c r="AC23" s="360">
        <f t="shared" si="21"/>
        <v>35921.709999999926</v>
      </c>
      <c r="AD23" s="357">
        <f t="shared" si="10"/>
        <v>576.67576375399221</v>
      </c>
      <c r="AE23" s="358">
        <f t="shared" si="11"/>
        <v>571.80143898634117</v>
      </c>
      <c r="AF23" s="360">
        <f>+[1]DailyDes!BH22</f>
        <v>5747</v>
      </c>
      <c r="AG23" s="360">
        <f>+[1]DailyDes!BL22</f>
        <v>25085.000000000047</v>
      </c>
      <c r="AH23" s="360">
        <f t="shared" si="22"/>
        <v>30832.000000000047</v>
      </c>
      <c r="AI23" s="7">
        <f t="shared" si="23"/>
        <v>494.96717021720713</v>
      </c>
      <c r="AJ23" s="7">
        <f t="shared" si="24"/>
        <v>490.78348349304457</v>
      </c>
    </row>
    <row r="24" spans="1:41">
      <c r="A24" s="352">
        <f t="shared" si="12"/>
        <v>46008</v>
      </c>
      <c r="B24" s="359">
        <f>Report1!P25</f>
        <v>56.00800000000001</v>
      </c>
      <c r="C24" s="359">
        <f>Report1!R25</f>
        <v>55.435000000000002</v>
      </c>
      <c r="D24" s="360">
        <f t="shared" si="13"/>
        <v>13518.400000000043</v>
      </c>
      <c r="E24" s="360">
        <f>+[1]DailyDes!O23</f>
        <v>673.20000000000846</v>
      </c>
      <c r="F24" s="354">
        <f t="shared" si="0"/>
        <v>12.019711469790179</v>
      </c>
      <c r="G24" s="354">
        <f t="shared" si="1"/>
        <v>12.143952376657499</v>
      </c>
      <c r="H24" s="360">
        <f>+[1]DailyDes!P23</f>
        <v>1030</v>
      </c>
      <c r="I24" s="360">
        <f t="shared" si="14"/>
        <v>67559</v>
      </c>
      <c r="J24" s="360">
        <f>+[1]DailyDes!Q23</f>
        <v>4428</v>
      </c>
      <c r="K24" s="354">
        <f t="shared" si="2"/>
        <v>79.060134266533339</v>
      </c>
      <c r="L24" s="354">
        <f t="shared" si="3"/>
        <v>79.877333814377195</v>
      </c>
      <c r="M24" s="360">
        <f t="shared" si="15"/>
        <v>0</v>
      </c>
      <c r="N24" s="360">
        <f>+[1]DailyDes!R23</f>
        <v>0</v>
      </c>
      <c r="O24" s="354">
        <f t="shared" si="4"/>
        <v>0</v>
      </c>
      <c r="P24" s="354">
        <f t="shared" si="5"/>
        <v>0</v>
      </c>
      <c r="Q24" s="360">
        <f t="shared" si="16"/>
        <v>253104.9600000004</v>
      </c>
      <c r="R24" s="360">
        <f>+[1]DailyDes!S23</f>
        <v>16889.360000001521</v>
      </c>
      <c r="S24" s="354">
        <f t="shared" si="6"/>
        <v>301.55263533783597</v>
      </c>
      <c r="T24" s="354">
        <f t="shared" si="7"/>
        <v>304.66961306036836</v>
      </c>
      <c r="U24" s="360">
        <f t="shared" si="17"/>
        <v>110130.16000000098</v>
      </c>
      <c r="V24" s="360">
        <f>+[1]DailyDes!T23</f>
        <v>7041.2600000000039</v>
      </c>
      <c r="W24" s="354">
        <f t="shared" si="8"/>
        <v>125.7188258820169</v>
      </c>
      <c r="X24" s="354">
        <f t="shared" si="9"/>
        <v>127.01830973211877</v>
      </c>
      <c r="Y24" s="360">
        <f t="shared" si="18"/>
        <v>98457.360000000015</v>
      </c>
      <c r="Z24" s="360">
        <f>+[1]DailyDes!U23</f>
        <v>6328.5599999999995</v>
      </c>
      <c r="AA24" s="360">
        <f t="shared" si="19"/>
        <v>112.99385802028279</v>
      </c>
      <c r="AB24" s="360">
        <f t="shared" si="20"/>
        <v>114.16181113015242</v>
      </c>
      <c r="AC24" s="360">
        <f t="shared" si="21"/>
        <v>36390.380000001533</v>
      </c>
      <c r="AD24" s="357">
        <f t="shared" si="10"/>
        <v>649.73539494360671</v>
      </c>
      <c r="AE24" s="358">
        <f t="shared" si="11"/>
        <v>656.45133940653977</v>
      </c>
      <c r="AF24" s="360">
        <f>+[1]DailyDes!BH23</f>
        <v>5559</v>
      </c>
      <c r="AG24" s="360">
        <f>+[1]DailyDes!BL23</f>
        <v>24513.500000000004</v>
      </c>
      <c r="AH24" s="360">
        <f t="shared" si="22"/>
        <v>30072.500000000004</v>
      </c>
      <c r="AI24" s="7">
        <f t="shared" si="23"/>
        <v>536.93222396800456</v>
      </c>
      <c r="AJ24" s="7">
        <f t="shared" si="24"/>
        <v>542.48218634436728</v>
      </c>
      <c r="AM24" s="23" t="s">
        <v>3</v>
      </c>
      <c r="AN24" s="20">
        <f>+AN16+AN19+AN22</f>
        <v>554.7165396517081</v>
      </c>
      <c r="AO24" s="20">
        <f>+AO16+AO19+AO22</f>
        <v>567.32563842381273</v>
      </c>
    </row>
    <row r="25" spans="1:41">
      <c r="A25" s="352">
        <f t="shared" si="12"/>
        <v>46009</v>
      </c>
      <c r="B25" s="359">
        <f>Report1!P26</f>
        <v>49.829000000000001</v>
      </c>
      <c r="C25" s="359">
        <f>Report1!R26</f>
        <v>45.792999999999999</v>
      </c>
      <c r="D25" s="360">
        <f t="shared" si="13"/>
        <v>14401.900000000012</v>
      </c>
      <c r="E25" s="360">
        <f>+[1]DailyDes!O24</f>
        <v>883.49999999996953</v>
      </c>
      <c r="F25" s="354">
        <f t="shared" si="0"/>
        <v>17.730638784642871</v>
      </c>
      <c r="G25" s="354">
        <f t="shared" si="1"/>
        <v>19.293341777126845</v>
      </c>
      <c r="H25" s="360">
        <f>+[1]DailyDes!P24</f>
        <v>2502.7999999999302</v>
      </c>
      <c r="I25" s="360">
        <f t="shared" si="14"/>
        <v>71606</v>
      </c>
      <c r="J25" s="360">
        <f>+[1]DailyDes!Q24</f>
        <v>4047</v>
      </c>
      <c r="K25" s="354">
        <f t="shared" si="2"/>
        <v>81.217764755463691</v>
      </c>
      <c r="L25" s="354">
        <f t="shared" si="3"/>
        <v>88.375952656519559</v>
      </c>
      <c r="M25" s="360">
        <f t="shared" si="15"/>
        <v>0</v>
      </c>
      <c r="N25" s="360">
        <f>+[1]DailyDes!R24</f>
        <v>0</v>
      </c>
      <c r="O25" s="354">
        <f t="shared" si="4"/>
        <v>0</v>
      </c>
      <c r="P25" s="354">
        <f t="shared" si="5"/>
        <v>0</v>
      </c>
      <c r="Q25" s="360">
        <f t="shared" si="16"/>
        <v>269537.35999999905</v>
      </c>
      <c r="R25" s="360">
        <f>+[1]DailyDes!S24</f>
        <v>16432.399999998648</v>
      </c>
      <c r="S25" s="354">
        <f t="shared" si="6"/>
        <v>329.77583335003004</v>
      </c>
      <c r="T25" s="354">
        <f t="shared" si="7"/>
        <v>358.84087087543179</v>
      </c>
      <c r="U25" s="360">
        <f t="shared" si="17"/>
        <v>119276.66000000096</v>
      </c>
      <c r="V25" s="360">
        <f>+[1]DailyDes!T24</f>
        <v>9146.4999999999927</v>
      </c>
      <c r="W25" s="354">
        <f t="shared" si="8"/>
        <v>183.5577675650724</v>
      </c>
      <c r="X25" s="354">
        <f t="shared" si="9"/>
        <v>199.73576747537817</v>
      </c>
      <c r="Y25" s="360">
        <f t="shared" si="18"/>
        <v>104676.26000000001</v>
      </c>
      <c r="Z25" s="360">
        <f>+[1]DailyDes!U24</f>
        <v>6218.9</v>
      </c>
      <c r="AA25" s="360">
        <f t="shared" si="19"/>
        <v>124.80483252724316</v>
      </c>
      <c r="AB25" s="360">
        <f t="shared" si="20"/>
        <v>135.80459895617233</v>
      </c>
      <c r="AC25" s="360">
        <f t="shared" si="21"/>
        <v>39231.099999998543</v>
      </c>
      <c r="AD25" s="357">
        <f t="shared" si="10"/>
        <v>787.31461598664521</v>
      </c>
      <c r="AE25" s="358">
        <f t="shared" si="11"/>
        <v>856.70517327972709</v>
      </c>
      <c r="AF25" s="360">
        <f>+[1]DailyDes!BH24</f>
        <v>5378</v>
      </c>
      <c r="AG25" s="360">
        <f>+[1]DailyDes!BL24</f>
        <v>23550.79999999993</v>
      </c>
      <c r="AH25" s="360">
        <f t="shared" si="22"/>
        <v>28928.79999999993</v>
      </c>
      <c r="AI25" s="7">
        <f t="shared" si="23"/>
        <v>580.56152039976575</v>
      </c>
      <c r="AJ25" s="7">
        <f t="shared" si="24"/>
        <v>631.72974035332754</v>
      </c>
    </row>
    <row r="26" spans="1:41">
      <c r="A26" s="352">
        <f t="shared" si="12"/>
        <v>46010</v>
      </c>
      <c r="B26" s="359">
        <f>Report1!P27</f>
        <v>67.625</v>
      </c>
      <c r="C26" s="359">
        <f>Report1!R27</f>
        <v>67.891999999999996</v>
      </c>
      <c r="D26" s="360">
        <f t="shared" si="13"/>
        <v>15236.899999999992</v>
      </c>
      <c r="E26" s="360">
        <f>+[1]DailyDes!O25</f>
        <v>834.99999999997954</v>
      </c>
      <c r="F26" s="354">
        <f t="shared" si="0"/>
        <v>12.347504621071787</v>
      </c>
      <c r="G26" s="354">
        <f t="shared" si="1"/>
        <v>12.298945383844629</v>
      </c>
      <c r="H26" s="360">
        <f>+[1]DailyDes!P25</f>
        <v>2991.2000000000698</v>
      </c>
      <c r="I26" s="360">
        <f t="shared" si="14"/>
        <v>75946</v>
      </c>
      <c r="J26" s="360">
        <f>+[1]DailyDes!Q25</f>
        <v>4340</v>
      </c>
      <c r="K26" s="354">
        <f t="shared" si="2"/>
        <v>64.177449168207019</v>
      </c>
      <c r="L26" s="354">
        <f t="shared" si="3"/>
        <v>63.925057444176048</v>
      </c>
      <c r="M26" s="360">
        <f t="shared" si="15"/>
        <v>0</v>
      </c>
      <c r="N26" s="360">
        <f>+[1]DailyDes!R25</f>
        <v>0</v>
      </c>
      <c r="O26" s="354">
        <f t="shared" si="4"/>
        <v>0</v>
      </c>
      <c r="P26" s="354">
        <f t="shared" si="5"/>
        <v>0</v>
      </c>
      <c r="Q26" s="360">
        <f t="shared" si="16"/>
        <v>286415.08999999927</v>
      </c>
      <c r="R26" s="360">
        <f>+[1]DailyDes!S25</f>
        <v>16877.73000000024</v>
      </c>
      <c r="S26" s="354">
        <f t="shared" si="6"/>
        <v>249.57826247689817</v>
      </c>
      <c r="T26" s="354">
        <f t="shared" si="7"/>
        <v>248.59674188417253</v>
      </c>
      <c r="U26" s="360">
        <f t="shared" si="17"/>
        <v>126857.09000000097</v>
      </c>
      <c r="V26" s="360">
        <f>+[1]DailyDes!T25</f>
        <v>7580.4300000000039</v>
      </c>
      <c r="W26" s="354">
        <f t="shared" si="8"/>
        <v>112.09508317929766</v>
      </c>
      <c r="X26" s="354">
        <f t="shared" si="9"/>
        <v>111.65424497731698</v>
      </c>
      <c r="Y26" s="360">
        <f t="shared" si="18"/>
        <v>110997.99</v>
      </c>
      <c r="Z26" s="360">
        <f>+[1]DailyDes!U25</f>
        <v>6321.73</v>
      </c>
      <c r="AA26" s="360">
        <f t="shared" si="19"/>
        <v>93.482144177449157</v>
      </c>
      <c r="AB26" s="360">
        <f t="shared" si="20"/>
        <v>93.114505390914985</v>
      </c>
      <c r="AC26" s="360">
        <f t="shared" si="21"/>
        <v>38946.090000000295</v>
      </c>
      <c r="AD26" s="357">
        <f t="shared" si="10"/>
        <v>575.91260628466239</v>
      </c>
      <c r="AE26" s="358">
        <f t="shared" si="11"/>
        <v>573.64770517881777</v>
      </c>
      <c r="AF26" s="360">
        <f>+[1]DailyDes!BH25</f>
        <v>4991</v>
      </c>
      <c r="AG26" s="360">
        <f>+[1]DailyDes!BL25</f>
        <v>30277.499999999978</v>
      </c>
      <c r="AH26" s="360">
        <f t="shared" si="22"/>
        <v>35268.499999999978</v>
      </c>
      <c r="AI26" s="7">
        <f t="shared" si="23"/>
        <v>521.53049907578531</v>
      </c>
      <c r="AJ26" s="7">
        <f t="shared" si="24"/>
        <v>519.47946738938288</v>
      </c>
      <c r="AM26" s="23" t="s">
        <v>174</v>
      </c>
      <c r="AO26" s="436">
        <f>+AO24/AN24-1</f>
        <v>2.2730706353233154E-2</v>
      </c>
    </row>
    <row r="27" spans="1:41">
      <c r="A27" s="352">
        <f t="shared" si="12"/>
        <v>46011</v>
      </c>
      <c r="B27" s="359">
        <f>Report1!P28</f>
        <v>68.740000000000009</v>
      </c>
      <c r="C27" s="359">
        <f>Report1!R28</f>
        <v>67.406999999999996</v>
      </c>
      <c r="D27" s="360">
        <f t="shared" si="13"/>
        <v>15940.400000000012</v>
      </c>
      <c r="E27" s="360">
        <f>+[1]DailyDes!O26</f>
        <v>703.50000000001955</v>
      </c>
      <c r="F27" s="354">
        <f t="shared" si="0"/>
        <v>10.23421588594733</v>
      </c>
      <c r="G27" s="354">
        <f t="shared" si="1"/>
        <v>10.436601539899707</v>
      </c>
      <c r="H27" s="360">
        <f>+[1]DailyDes!P26</f>
        <v>3287.5999999999767</v>
      </c>
      <c r="I27" s="360">
        <f t="shared" si="14"/>
        <v>80311</v>
      </c>
      <c r="J27" s="360">
        <f>+[1]DailyDes!Q26</f>
        <v>4365</v>
      </c>
      <c r="K27" s="354">
        <f t="shared" si="2"/>
        <v>63.500145475705551</v>
      </c>
      <c r="L27" s="354">
        <f t="shared" si="3"/>
        <v>64.755885887222405</v>
      </c>
      <c r="M27" s="360">
        <f t="shared" si="15"/>
        <v>0</v>
      </c>
      <c r="N27" s="360">
        <f>+[1]DailyDes!R26</f>
        <v>0</v>
      </c>
      <c r="O27" s="354">
        <f t="shared" si="4"/>
        <v>0</v>
      </c>
      <c r="P27" s="354">
        <f t="shared" si="5"/>
        <v>0</v>
      </c>
      <c r="Q27" s="360">
        <f t="shared" si="16"/>
        <v>301748.44999999896</v>
      </c>
      <c r="R27" s="360">
        <f>+[1]DailyDes!S26</f>
        <v>15333.35999999969</v>
      </c>
      <c r="S27" s="354">
        <f t="shared" si="6"/>
        <v>223.06313645620727</v>
      </c>
      <c r="T27" s="354">
        <f t="shared" si="7"/>
        <v>227.47429792157624</v>
      </c>
      <c r="U27" s="360">
        <f t="shared" si="17"/>
        <v>132201.05000000098</v>
      </c>
      <c r="V27" s="360">
        <f>+[1]DailyDes!T26</f>
        <v>5343.9599999999982</v>
      </c>
      <c r="W27" s="354">
        <f t="shared" si="8"/>
        <v>77.74163514693042</v>
      </c>
      <c r="X27" s="354">
        <f t="shared" si="9"/>
        <v>79.27900663135874</v>
      </c>
      <c r="Y27" s="360">
        <f t="shared" si="18"/>
        <v>116320.85</v>
      </c>
      <c r="Z27" s="360">
        <f>+[1]DailyDes!U26</f>
        <v>5322.86</v>
      </c>
      <c r="AA27" s="360">
        <f t="shared" si="19"/>
        <v>77.43468140820481</v>
      </c>
      <c r="AB27" s="360">
        <f t="shared" si="20"/>
        <v>78.965982761434276</v>
      </c>
      <c r="AC27" s="360">
        <f t="shared" si="21"/>
        <v>34356.279999999686</v>
      </c>
      <c r="AD27" s="357">
        <f t="shared" si="10"/>
        <v>499.80040733197092</v>
      </c>
      <c r="AE27" s="358">
        <f t="shared" si="11"/>
        <v>509.68415743171613</v>
      </c>
      <c r="AF27" s="360">
        <f>+[1]DailyDes!BH26</f>
        <v>5325</v>
      </c>
      <c r="AG27" s="360">
        <f>+[1]DailyDes!BL26</f>
        <v>25131.400000000049</v>
      </c>
      <c r="AH27" s="360">
        <f t="shared" si="22"/>
        <v>30456.400000000049</v>
      </c>
      <c r="AI27" s="7">
        <f t="shared" si="23"/>
        <v>443.06662787314582</v>
      </c>
      <c r="AJ27" s="7">
        <f t="shared" si="24"/>
        <v>451.82844511697675</v>
      </c>
    </row>
    <row r="28" spans="1:41">
      <c r="A28" s="352">
        <f t="shared" si="12"/>
        <v>46012</v>
      </c>
      <c r="B28" s="359">
        <f>Report1!P29</f>
        <v>68.177999999999997</v>
      </c>
      <c r="C28" s="359">
        <f>Report1!R29</f>
        <v>67.566999999999993</v>
      </c>
      <c r="D28" s="360">
        <f t="shared" si="13"/>
        <v>16708.500000000015</v>
      </c>
      <c r="E28" s="360">
        <f>+[1]DailyDes!O27</f>
        <v>768.100000000004</v>
      </c>
      <c r="F28" s="355">
        <f t="shared" si="0"/>
        <v>11.266097568130542</v>
      </c>
      <c r="G28" s="354">
        <f t="shared" si="1"/>
        <v>11.367975490994185</v>
      </c>
      <c r="H28" s="360">
        <f>+[1]DailyDes!P27</f>
        <v>1420.0999999999767</v>
      </c>
      <c r="I28" s="360">
        <f t="shared" si="14"/>
        <v>84844</v>
      </c>
      <c r="J28" s="360">
        <f>+[1]DailyDes!Q27</f>
        <v>4533</v>
      </c>
      <c r="K28" s="354">
        <f t="shared" si="2"/>
        <v>66.487723312505508</v>
      </c>
      <c r="L28" s="354">
        <f t="shared" si="3"/>
        <v>67.088963547293801</v>
      </c>
      <c r="M28" s="360">
        <f t="shared" si="15"/>
        <v>0</v>
      </c>
      <c r="N28" s="360">
        <f>+[1]DailyDes!R27</f>
        <v>0</v>
      </c>
      <c r="O28" s="354">
        <f t="shared" si="4"/>
        <v>0</v>
      </c>
      <c r="P28" s="354">
        <f t="shared" si="5"/>
        <v>0</v>
      </c>
      <c r="Q28" s="360">
        <f t="shared" si="16"/>
        <v>318106.93999999959</v>
      </c>
      <c r="R28" s="360">
        <f>+[1]DailyDes!S27</f>
        <v>16358.490000000622</v>
      </c>
      <c r="S28" s="354">
        <f t="shared" si="6"/>
        <v>239.93795652557455</v>
      </c>
      <c r="T28" s="354">
        <f t="shared" si="7"/>
        <v>242.10768570456915</v>
      </c>
      <c r="U28" s="360">
        <f t="shared" si="17"/>
        <v>138157.540000001</v>
      </c>
      <c r="V28" s="360">
        <f>+[1]DailyDes!T27</f>
        <v>5956.4900000000098</v>
      </c>
      <c r="W28" s="354">
        <f t="shared" si="8"/>
        <v>87.366745871102268</v>
      </c>
      <c r="X28" s="354">
        <f t="shared" si="9"/>
        <v>88.156792517057298</v>
      </c>
      <c r="Y28" s="360">
        <f t="shared" si="18"/>
        <v>122529.44</v>
      </c>
      <c r="Z28" s="360">
        <f>+[1]DailyDes!U27</f>
        <v>6208.59</v>
      </c>
      <c r="AA28" s="360">
        <f t="shared" si="19"/>
        <v>91.064419607498024</v>
      </c>
      <c r="AB28" s="360">
        <f t="shared" si="20"/>
        <v>91.88790385839242</v>
      </c>
      <c r="AC28" s="360">
        <f t="shared" si="21"/>
        <v>35244.770000000615</v>
      </c>
      <c r="AD28" s="357">
        <f t="shared" si="10"/>
        <v>516.95224265893125</v>
      </c>
      <c r="AE28" s="358">
        <f t="shared" si="11"/>
        <v>521.62697766662154</v>
      </c>
      <c r="AF28" s="360">
        <f>+[1]DailyDes!BH27</f>
        <v>7027.8</v>
      </c>
      <c r="AG28" s="360">
        <f>+[1]DailyDes!BL27</f>
        <v>28112.280000000148</v>
      </c>
      <c r="AH28" s="360">
        <f t="shared" si="22"/>
        <v>35140.080000000147</v>
      </c>
      <c r="AI28" s="7">
        <f t="shared" si="23"/>
        <v>515.416703335389</v>
      </c>
      <c r="AJ28" s="7">
        <f t="shared" si="24"/>
        <v>520.07755265144453</v>
      </c>
    </row>
    <row r="29" spans="1:41">
      <c r="A29" s="352">
        <f t="shared" si="12"/>
        <v>46013</v>
      </c>
      <c r="B29" s="359">
        <f>Report1!P30</f>
        <v>73.667000000000002</v>
      </c>
      <c r="C29" s="359">
        <f>Report1!R30</f>
        <v>72.754999999999995</v>
      </c>
      <c r="D29" s="360">
        <f t="shared" si="13"/>
        <v>17496.700000000033</v>
      </c>
      <c r="E29" s="360">
        <f>+[1]DailyDes!O28</f>
        <v>788.20000000001755</v>
      </c>
      <c r="F29" s="354">
        <f t="shared" si="0"/>
        <v>10.69949909728939</v>
      </c>
      <c r="G29" s="354">
        <f t="shared" si="1"/>
        <v>10.833619682496291</v>
      </c>
      <c r="H29" s="360">
        <f>+[1]DailyDes!P28</f>
        <v>0</v>
      </c>
      <c r="I29" s="360">
        <f t="shared" si="14"/>
        <v>88948</v>
      </c>
      <c r="J29" s="360">
        <f>+[1]DailyDes!Q28</f>
        <v>4104</v>
      </c>
      <c r="K29" s="354">
        <f t="shared" si="2"/>
        <v>55.710155157668972</v>
      </c>
      <c r="L29" s="354">
        <f t="shared" si="3"/>
        <v>56.40849426156278</v>
      </c>
      <c r="M29" s="360">
        <f t="shared" si="15"/>
        <v>0</v>
      </c>
      <c r="N29" s="360">
        <f>+[1]DailyDes!R28</f>
        <v>0</v>
      </c>
      <c r="O29" s="354">
        <f t="shared" si="4"/>
        <v>0</v>
      </c>
      <c r="P29" s="354">
        <f t="shared" si="5"/>
        <v>0</v>
      </c>
      <c r="Q29" s="360">
        <f t="shared" si="16"/>
        <v>333492.12999999925</v>
      </c>
      <c r="R29" s="360">
        <f>+[1]DailyDes!S28</f>
        <v>15385.189999999648</v>
      </c>
      <c r="S29" s="354">
        <f t="shared" si="6"/>
        <v>208.84778801905395</v>
      </c>
      <c r="T29" s="354">
        <f t="shared" si="7"/>
        <v>211.46574118616795</v>
      </c>
      <c r="U29" s="360">
        <f t="shared" si="17"/>
        <v>143681.43000000098</v>
      </c>
      <c r="V29" s="360">
        <f>+[1]DailyDes!T28</f>
        <v>5523.8899999999894</v>
      </c>
      <c r="W29" s="354">
        <f t="shared" si="8"/>
        <v>74.984592829896556</v>
      </c>
      <c r="X29" s="354">
        <f t="shared" si="9"/>
        <v>75.924541268641192</v>
      </c>
      <c r="Y29" s="360">
        <f t="shared" si="18"/>
        <v>128129.83</v>
      </c>
      <c r="Z29" s="360">
        <f>+[1]DailyDes!U28</f>
        <v>5600.39</v>
      </c>
      <c r="AA29" s="360">
        <f t="shared" si="19"/>
        <v>76.023049669458516</v>
      </c>
      <c r="AB29" s="360">
        <f t="shared" si="20"/>
        <v>76.976015394130997</v>
      </c>
      <c r="AC29" s="360">
        <f t="shared" si="21"/>
        <v>31401.669999999653</v>
      </c>
      <c r="AD29" s="357">
        <f t="shared" si="10"/>
        <v>426.26508477336733</v>
      </c>
      <c r="AE29" s="358">
        <f t="shared" si="11"/>
        <v>431.60841179299916</v>
      </c>
      <c r="AF29" s="360">
        <f>+[1]DailyDes!BH28</f>
        <v>3757</v>
      </c>
      <c r="AG29" s="360">
        <f>+[1]DailyDes!BL28</f>
        <v>32279.876999999622</v>
      </c>
      <c r="AH29" s="360">
        <f t="shared" si="22"/>
        <v>36036.876999999622</v>
      </c>
      <c r="AI29" s="7">
        <f t="shared" si="23"/>
        <v>489.18616205356022</v>
      </c>
      <c r="AJ29" s="7">
        <f t="shared" si="24"/>
        <v>495.31821867912339</v>
      </c>
    </row>
    <row r="30" spans="1:41">
      <c r="A30" s="352">
        <f t="shared" si="12"/>
        <v>46014</v>
      </c>
      <c r="B30" s="359">
        <f>Report1!P31</f>
        <v>76.463999999999999</v>
      </c>
      <c r="C30" s="359">
        <f>Report1!R31</f>
        <v>75.751999999999995</v>
      </c>
      <c r="D30" s="360">
        <f t="shared" si="13"/>
        <v>18286.60000000002</v>
      </c>
      <c r="E30" s="360">
        <f>+[1]DailyDes!O29</f>
        <v>789.89999999998872</v>
      </c>
      <c r="F30" s="354">
        <f t="shared" si="0"/>
        <v>10.33035153797851</v>
      </c>
      <c r="G30" s="354">
        <f t="shared" si="1"/>
        <v>10.427447460132917</v>
      </c>
      <c r="H30" s="360">
        <f>+[1]DailyDes!P29</f>
        <v>0</v>
      </c>
      <c r="I30" s="360">
        <f t="shared" si="14"/>
        <v>92941</v>
      </c>
      <c r="J30" s="360">
        <f>+[1]DailyDes!Q29</f>
        <v>3993</v>
      </c>
      <c r="K30" s="354">
        <f t="shared" si="2"/>
        <v>52.220652856246076</v>
      </c>
      <c r="L30" s="354">
        <f t="shared" si="3"/>
        <v>52.711479564895981</v>
      </c>
      <c r="M30" s="360">
        <f t="shared" si="15"/>
        <v>0</v>
      </c>
      <c r="N30" s="360">
        <f>+[1]DailyDes!R29</f>
        <v>0</v>
      </c>
      <c r="O30" s="354">
        <f t="shared" si="4"/>
        <v>0</v>
      </c>
      <c r="P30" s="354">
        <f t="shared" si="5"/>
        <v>0</v>
      </c>
      <c r="Q30" s="360">
        <f t="shared" si="16"/>
        <v>349403.42999999947</v>
      </c>
      <c r="R30" s="360">
        <f>+[1]DailyDes!S29</f>
        <v>15911.30000000023</v>
      </c>
      <c r="S30" s="354">
        <f t="shared" si="6"/>
        <v>208.08877380205365</v>
      </c>
      <c r="T30" s="354">
        <f t="shared" si="7"/>
        <v>210.04461928398234</v>
      </c>
      <c r="U30" s="360">
        <f t="shared" si="17"/>
        <v>150015.83000000098</v>
      </c>
      <c r="V30" s="360">
        <f>+[1]DailyDes!T29</f>
        <v>6334.4000000000069</v>
      </c>
      <c r="W30" s="354">
        <f t="shared" si="8"/>
        <v>82.84159866080779</v>
      </c>
      <c r="X30" s="354">
        <f t="shared" si="9"/>
        <v>83.620234449255562</v>
      </c>
      <c r="Y30" s="360">
        <f t="shared" si="18"/>
        <v>134568.03</v>
      </c>
      <c r="Z30" s="360">
        <f>+[1]DailyDes!U29</f>
        <v>6438.2</v>
      </c>
      <c r="AA30" s="360">
        <f t="shared" si="19"/>
        <v>84.19910023017367</v>
      </c>
      <c r="AB30" s="360">
        <f t="shared" si="20"/>
        <v>84.990495300454114</v>
      </c>
      <c r="AC30" s="360">
        <f t="shared" si="21"/>
        <v>33466.800000000221</v>
      </c>
      <c r="AD30" s="357">
        <f t="shared" si="10"/>
        <v>437.68047708725965</v>
      </c>
      <c r="AE30" s="358">
        <f t="shared" si="11"/>
        <v>441.79427605872087</v>
      </c>
      <c r="AF30" s="360">
        <f>+[1]DailyDes!BH29</f>
        <v>3863</v>
      </c>
      <c r="AG30" s="360">
        <f>+[1]DailyDes!BL29</f>
        <v>32645.568000000323</v>
      </c>
      <c r="AH30" s="360">
        <f t="shared" si="22"/>
        <v>36508.568000000319</v>
      </c>
      <c r="AI30" s="7">
        <f t="shared" si="23"/>
        <v>477.46087047499896</v>
      </c>
      <c r="AJ30" s="7">
        <f t="shared" si="24"/>
        <v>481.9485690146837</v>
      </c>
    </row>
    <row r="31" spans="1:41">
      <c r="A31" s="352">
        <f t="shared" si="12"/>
        <v>46015</v>
      </c>
      <c r="B31" s="359">
        <f>Report1!P32</f>
        <v>74.287999999999997</v>
      </c>
      <c r="C31" s="359">
        <f>Report1!R32</f>
        <v>75.150999999999996</v>
      </c>
      <c r="D31" s="360">
        <f t="shared" si="13"/>
        <v>19035.799999999996</v>
      </c>
      <c r="E31" s="360">
        <f>+[1]DailyDes!O30</f>
        <v>749.19999999997344</v>
      </c>
      <c r="F31" s="354">
        <f t="shared" si="0"/>
        <v>10.08507430540563</v>
      </c>
      <c r="G31" s="354">
        <f t="shared" si="1"/>
        <v>9.9692618860690274</v>
      </c>
      <c r="H31" s="360">
        <f>+[1]DailyDes!P30</f>
        <v>0</v>
      </c>
      <c r="I31" s="360">
        <f t="shared" si="14"/>
        <v>96900</v>
      </c>
      <c r="J31" s="360">
        <f>+[1]DailyDes!Q30</f>
        <v>3959</v>
      </c>
      <c r="K31" s="354">
        <f t="shared" si="2"/>
        <v>53.292590997200087</v>
      </c>
      <c r="L31" s="354">
        <f t="shared" si="3"/>
        <v>52.680603052520929</v>
      </c>
      <c r="M31" s="360">
        <f t="shared" si="15"/>
        <v>0</v>
      </c>
      <c r="N31" s="360">
        <f>+[1]DailyDes!R30</f>
        <v>0</v>
      </c>
      <c r="O31" s="354">
        <f t="shared" si="4"/>
        <v>0</v>
      </c>
      <c r="P31" s="354">
        <f t="shared" si="5"/>
        <v>0</v>
      </c>
      <c r="Q31" s="360">
        <f t="shared" si="16"/>
        <v>364723.9199999994</v>
      </c>
      <c r="R31" s="360">
        <f>+[1]DailyDes!S30</f>
        <v>15320.489999999954</v>
      </c>
      <c r="S31" s="354">
        <f t="shared" si="6"/>
        <v>206.23101981477433</v>
      </c>
      <c r="T31" s="354">
        <f t="shared" si="7"/>
        <v>203.8627563172806</v>
      </c>
      <c r="U31" s="360">
        <f t="shared" si="17"/>
        <v>155564.62000000098</v>
      </c>
      <c r="V31" s="360">
        <f>+[1]DailyDes!T30</f>
        <v>5548.79</v>
      </c>
      <c r="W31" s="354">
        <f t="shared" si="8"/>
        <v>74.692951755330611</v>
      </c>
      <c r="X31" s="354">
        <f t="shared" si="9"/>
        <v>73.835211773629098</v>
      </c>
      <c r="Y31" s="360">
        <f t="shared" si="18"/>
        <v>140466.72</v>
      </c>
      <c r="Z31" s="360">
        <f>+[1]DailyDes!U30</f>
        <v>5898.69</v>
      </c>
      <c r="AA31" s="360">
        <f t="shared" si="19"/>
        <v>79.402999138488042</v>
      </c>
      <c r="AB31" s="360">
        <f t="shared" si="20"/>
        <v>78.491171108834209</v>
      </c>
      <c r="AC31" s="360">
        <f t="shared" si="21"/>
        <v>31476.169999999929</v>
      </c>
      <c r="AD31" s="357">
        <f t="shared" si="10"/>
        <v>423.70463601119872</v>
      </c>
      <c r="AE31" s="358">
        <f t="shared" si="11"/>
        <v>418.83900413833391</v>
      </c>
      <c r="AF31" s="360">
        <f>+[1]DailyDes!BH30</f>
        <v>1814</v>
      </c>
      <c r="AG31" s="360">
        <f>+[1]DailyDes!BL30</f>
        <v>34432.134000000377</v>
      </c>
      <c r="AH31" s="360">
        <f t="shared" si="22"/>
        <v>36246.134000000377</v>
      </c>
      <c r="AI31" s="7">
        <f t="shared" si="23"/>
        <v>487.91371419341453</v>
      </c>
      <c r="AJ31" s="7">
        <f t="shared" si="24"/>
        <v>482.31073438810364</v>
      </c>
    </row>
    <row r="32" spans="1:41">
      <c r="A32" s="352">
        <f t="shared" si="12"/>
        <v>46016</v>
      </c>
      <c r="B32" s="359">
        <f>Report1!P33</f>
        <v>73.519000000000005</v>
      </c>
      <c r="C32" s="359">
        <f>Report1!R33</f>
        <v>72.998000000000005</v>
      </c>
      <c r="D32" s="360">
        <f t="shared" si="13"/>
        <v>19809.900000000027</v>
      </c>
      <c r="E32" s="360">
        <f>+[1]DailyDes!O31</f>
        <v>774.10000000003265</v>
      </c>
      <c r="F32" s="354">
        <f t="shared" si="0"/>
        <v>10.529250941933821</v>
      </c>
      <c r="G32" s="354">
        <f t="shared" si="1"/>
        <v>10.604400120551695</v>
      </c>
      <c r="H32" s="360">
        <f>+[1]DailyDes!P31</f>
        <v>0</v>
      </c>
      <c r="I32" s="360">
        <f t="shared" si="14"/>
        <v>100951</v>
      </c>
      <c r="J32" s="360">
        <f>+[1]DailyDes!Q31</f>
        <v>4051</v>
      </c>
      <c r="K32" s="354">
        <f t="shared" si="2"/>
        <v>55.101402358573971</v>
      </c>
      <c r="L32" s="354">
        <f t="shared" si="3"/>
        <v>55.494671086879087</v>
      </c>
      <c r="M32" s="360">
        <f t="shared" si="15"/>
        <v>0</v>
      </c>
      <c r="N32" s="360">
        <f>+[1]DailyDes!R31</f>
        <v>0</v>
      </c>
      <c r="O32" s="354">
        <f t="shared" si="4"/>
        <v>0</v>
      </c>
      <c r="P32" s="354">
        <f t="shared" si="5"/>
        <v>0</v>
      </c>
      <c r="Q32" s="360">
        <f t="shared" si="16"/>
        <v>379577.75000000017</v>
      </c>
      <c r="R32" s="360">
        <f>+[1]DailyDes!S31</f>
        <v>14853.830000000768</v>
      </c>
      <c r="S32" s="354">
        <f t="shared" si="6"/>
        <v>202.04069696270034</v>
      </c>
      <c r="T32" s="354">
        <f t="shared" si="7"/>
        <v>203.48269815612437</v>
      </c>
      <c r="U32" s="360">
        <f t="shared" si="17"/>
        <v>160564.95000000097</v>
      </c>
      <c r="V32" s="360">
        <f>+[1]DailyDes!T31</f>
        <v>5000.3299999999899</v>
      </c>
      <c r="W32" s="354">
        <f t="shared" si="8"/>
        <v>68.014118799221833</v>
      </c>
      <c r="X32" s="354">
        <f t="shared" si="9"/>
        <v>68.499547932819937</v>
      </c>
      <c r="Y32" s="360">
        <f t="shared" si="18"/>
        <v>145890.65</v>
      </c>
      <c r="Z32" s="360">
        <f>+[1]DailyDes!U31</f>
        <v>5423.93</v>
      </c>
      <c r="AA32" s="360">
        <f t="shared" si="19"/>
        <v>73.775894666684806</v>
      </c>
      <c r="AB32" s="360">
        <f t="shared" si="20"/>
        <v>74.302446642373766</v>
      </c>
      <c r="AC32" s="360">
        <f t="shared" si="21"/>
        <v>30103.190000000792</v>
      </c>
      <c r="AD32" s="357">
        <f t="shared" si="10"/>
        <v>409.46136372911479</v>
      </c>
      <c r="AE32" s="358">
        <f t="shared" si="11"/>
        <v>412.38376393874887</v>
      </c>
      <c r="AF32" s="360">
        <f>+[1]DailyDes!BH31</f>
        <v>5280</v>
      </c>
      <c r="AG32" s="360">
        <f>+[1]DailyDes!BL31</f>
        <v>35138.339999999997</v>
      </c>
      <c r="AH32" s="360">
        <f t="shared" si="22"/>
        <v>40418.339999999997</v>
      </c>
      <c r="AI32" s="7">
        <f t="shared" si="23"/>
        <v>549.76727104557995</v>
      </c>
      <c r="AJ32" s="7">
        <f t="shared" si="24"/>
        <v>553.69106002904186</v>
      </c>
    </row>
    <row r="33" spans="1:36">
      <c r="A33" s="352">
        <f t="shared" si="12"/>
        <v>46017</v>
      </c>
      <c r="B33" s="359">
        <f>Report1!P34</f>
        <v>79.518000000000001</v>
      </c>
      <c r="C33" s="359">
        <f>Report1!R34</f>
        <v>78.66</v>
      </c>
      <c r="D33" s="360">
        <f t="shared" si="13"/>
        <v>20581.600000000035</v>
      </c>
      <c r="E33" s="360">
        <f>+[1]DailyDes!O32</f>
        <v>771.70000000000982</v>
      </c>
      <c r="F33" s="354">
        <f t="shared" si="0"/>
        <v>9.7047209436858299</v>
      </c>
      <c r="G33" s="354">
        <f t="shared" si="1"/>
        <v>9.8105771675566977</v>
      </c>
      <c r="H33" s="360">
        <f>+[1]DailyDes!P32</f>
        <v>0</v>
      </c>
      <c r="I33" s="360">
        <f t="shared" si="14"/>
        <v>105167</v>
      </c>
      <c r="J33" s="360">
        <f>+[1]DailyDes!Q32</f>
        <v>4216</v>
      </c>
      <c r="K33" s="354">
        <f t="shared" si="2"/>
        <v>53.019442138886795</v>
      </c>
      <c r="L33" s="354">
        <f t="shared" si="3"/>
        <v>53.597762522247649</v>
      </c>
      <c r="M33" s="360">
        <f t="shared" si="15"/>
        <v>0</v>
      </c>
      <c r="N33" s="360">
        <f>+[1]DailyDes!R32</f>
        <v>0</v>
      </c>
      <c r="O33" s="354">
        <f t="shared" si="4"/>
        <v>0</v>
      </c>
      <c r="P33" s="354">
        <f t="shared" si="5"/>
        <v>0</v>
      </c>
      <c r="Q33" s="360">
        <f t="shared" si="16"/>
        <v>395907.72999999899</v>
      </c>
      <c r="R33" s="360">
        <f>+[1]DailyDes!S32</f>
        <v>16329.979999998826</v>
      </c>
      <c r="S33" s="354">
        <f t="shared" si="6"/>
        <v>205.36205638973348</v>
      </c>
      <c r="T33" s="354">
        <f t="shared" si="7"/>
        <v>207.60208492243615</v>
      </c>
      <c r="U33" s="360">
        <f t="shared" si="17"/>
        <v>166819.63000000099</v>
      </c>
      <c r="V33" s="360">
        <f>+[1]DailyDes!T32</f>
        <v>6254.6800000000076</v>
      </c>
      <c r="W33" s="354">
        <f t="shared" si="8"/>
        <v>78.657410900676666</v>
      </c>
      <c r="X33" s="354">
        <f t="shared" si="9"/>
        <v>79.515382659547512</v>
      </c>
      <c r="Y33" s="360">
        <f t="shared" si="18"/>
        <v>152506.32999999999</v>
      </c>
      <c r="Z33" s="360">
        <f>+[1]DailyDes!U32</f>
        <v>6615.68</v>
      </c>
      <c r="AA33" s="360">
        <f t="shared" si="19"/>
        <v>83.197263512663795</v>
      </c>
      <c r="AB33" s="360">
        <f t="shared" si="20"/>
        <v>84.10475464022376</v>
      </c>
      <c r="AC33" s="360">
        <f t="shared" si="21"/>
        <v>34188.039999998844</v>
      </c>
      <c r="AD33" s="357">
        <f t="shared" si="10"/>
        <v>429.94089388564657</v>
      </c>
      <c r="AE33" s="358">
        <f t="shared" si="11"/>
        <v>434.63056191201179</v>
      </c>
      <c r="AF33" s="360">
        <f>+[1]DailyDes!BH32</f>
        <v>4878</v>
      </c>
      <c r="AG33" s="360">
        <f>+[1]DailyDes!BL32</f>
        <v>32710.399999999561</v>
      </c>
      <c r="AH33" s="360">
        <f t="shared" si="22"/>
        <v>37588.399999999558</v>
      </c>
      <c r="AI33" s="7">
        <f t="shared" si="23"/>
        <v>472.70303579063301</v>
      </c>
      <c r="AJ33" s="7">
        <f t="shared" si="24"/>
        <v>477.85914060513045</v>
      </c>
    </row>
    <row r="34" spans="1:36">
      <c r="A34" s="352">
        <f t="shared" si="12"/>
        <v>46018</v>
      </c>
      <c r="B34" s="359">
        <f>Report1!P35</f>
        <v>78.304000000000002</v>
      </c>
      <c r="C34" s="359">
        <f>Report1!R35</f>
        <v>75.625</v>
      </c>
      <c r="D34" s="360">
        <f t="shared" si="13"/>
        <v>21357.799999999996</v>
      </c>
      <c r="E34" s="360">
        <f>+[1]DailyDes!O33</f>
        <v>776.19999999996026</v>
      </c>
      <c r="F34" s="354">
        <f t="shared" si="0"/>
        <v>9.9126481405797939</v>
      </c>
      <c r="G34" s="354">
        <f t="shared" si="1"/>
        <v>10.263801652892036</v>
      </c>
      <c r="H34" s="360">
        <f>+[1]DailyDes!P33</f>
        <v>0</v>
      </c>
      <c r="I34" s="360">
        <f t="shared" si="14"/>
        <v>109236</v>
      </c>
      <c r="J34" s="360">
        <f>+[1]DailyDes!Q33</f>
        <v>4069</v>
      </c>
      <c r="K34" s="354">
        <f t="shared" si="2"/>
        <v>51.964139762975073</v>
      </c>
      <c r="L34" s="354">
        <f t="shared" si="3"/>
        <v>53.804958677685953</v>
      </c>
      <c r="M34" s="360">
        <f t="shared" si="15"/>
        <v>0</v>
      </c>
      <c r="N34" s="360">
        <f>+[1]DailyDes!R33</f>
        <v>0</v>
      </c>
      <c r="O34" s="354">
        <f t="shared" si="4"/>
        <v>0</v>
      </c>
      <c r="P34" s="354">
        <f t="shared" si="5"/>
        <v>0</v>
      </c>
      <c r="Q34" s="360">
        <f t="shared" si="16"/>
        <v>411579.05999999942</v>
      </c>
      <c r="R34" s="360">
        <f>+[1]DailyDes!S33</f>
        <v>15671.330000000402</v>
      </c>
      <c r="S34" s="354">
        <f t="shared" si="6"/>
        <v>200.13447588884861</v>
      </c>
      <c r="T34" s="354">
        <f t="shared" si="7"/>
        <v>207.22419834711275</v>
      </c>
      <c r="U34" s="360">
        <f t="shared" si="17"/>
        <v>172234.06000000099</v>
      </c>
      <c r="V34" s="360">
        <f>+[1]DailyDes!T33</f>
        <v>5414.4300000000039</v>
      </c>
      <c r="W34" s="354">
        <f t="shared" si="8"/>
        <v>69.146276052308991</v>
      </c>
      <c r="X34" s="354">
        <f t="shared" si="9"/>
        <v>71.595768595041378</v>
      </c>
      <c r="Y34" s="360">
        <f t="shared" si="18"/>
        <v>158496.85999999999</v>
      </c>
      <c r="Z34" s="360">
        <f>+[1]DailyDes!U33</f>
        <v>5990.53</v>
      </c>
      <c r="AA34" s="360">
        <f t="shared" si="19"/>
        <v>76.503499182672655</v>
      </c>
      <c r="AB34" s="360">
        <f t="shared" si="20"/>
        <v>79.213619834710741</v>
      </c>
      <c r="AC34" s="360">
        <f t="shared" si="21"/>
        <v>31921.490000000365</v>
      </c>
      <c r="AD34" s="357">
        <f t="shared" si="10"/>
        <v>407.66103902738513</v>
      </c>
      <c r="AE34" s="358">
        <f t="shared" si="11"/>
        <v>422.10234710744282</v>
      </c>
      <c r="AF34" s="360">
        <f>+[1]DailyDes!BH33</f>
        <v>7848</v>
      </c>
      <c r="AG34" s="360">
        <f>+[1]DailyDes!BL33</f>
        <v>32408.699999999892</v>
      </c>
      <c r="AH34" s="360">
        <f t="shared" si="22"/>
        <v>40256.699999999895</v>
      </c>
      <c r="AI34" s="7">
        <f t="shared" si="23"/>
        <v>514.10783612586704</v>
      </c>
      <c r="AJ34" s="7">
        <f t="shared" si="24"/>
        <v>532.31999999999857</v>
      </c>
    </row>
    <row r="35" spans="1:36">
      <c r="A35" s="352">
        <f t="shared" si="12"/>
        <v>46019</v>
      </c>
      <c r="B35" s="359">
        <f>Report1!P36</f>
        <v>70.75200000000001</v>
      </c>
      <c r="C35" s="359">
        <f>Report1!R36</f>
        <v>70.376999999999995</v>
      </c>
      <c r="D35" s="360">
        <f t="shared" si="13"/>
        <v>22086.800000000039</v>
      </c>
      <c r="E35" s="360">
        <f>+[1]DailyDes!O34</f>
        <v>729.00000000004184</v>
      </c>
      <c r="F35" s="354">
        <f t="shared" si="0"/>
        <v>10.30359565807386</v>
      </c>
      <c r="G35" s="354">
        <f t="shared" si="1"/>
        <v>10.358497804681102</v>
      </c>
      <c r="H35" s="360">
        <f>+[1]DailyDes!P34</f>
        <v>0</v>
      </c>
      <c r="I35" s="360">
        <f t="shared" si="14"/>
        <v>113158</v>
      </c>
      <c r="J35" s="360">
        <f>+[1]DailyDes!Q34</f>
        <v>3922</v>
      </c>
      <c r="K35" s="354">
        <f t="shared" si="2"/>
        <v>55.433061962912703</v>
      </c>
      <c r="L35" s="354">
        <f t="shared" si="3"/>
        <v>55.728434005427914</v>
      </c>
      <c r="M35" s="360">
        <f t="shared" si="15"/>
        <v>0</v>
      </c>
      <c r="N35" s="360">
        <f>+[1]DailyDes!R34</f>
        <v>0</v>
      </c>
      <c r="O35" s="354">
        <f t="shared" si="4"/>
        <v>0</v>
      </c>
      <c r="P35" s="354">
        <f t="shared" si="5"/>
        <v>0</v>
      </c>
      <c r="Q35" s="360">
        <f t="shared" si="16"/>
        <v>427494.88999999879</v>
      </c>
      <c r="R35" s="360">
        <f>+[1]DailyDes!S34</f>
        <v>15915.829999999378</v>
      </c>
      <c r="S35" s="354">
        <f t="shared" si="6"/>
        <v>224.95236883762121</v>
      </c>
      <c r="T35" s="354">
        <f t="shared" si="7"/>
        <v>226.15101524644953</v>
      </c>
      <c r="U35" s="360">
        <f t="shared" si="17"/>
        <v>180046.49000000098</v>
      </c>
      <c r="V35" s="360">
        <f>+[1]DailyDes!T34</f>
        <v>7812.4299999999939</v>
      </c>
      <c r="W35" s="354">
        <f t="shared" si="8"/>
        <v>110.41991745816362</v>
      </c>
      <c r="X35" s="354">
        <f t="shared" si="9"/>
        <v>111.00828395640613</v>
      </c>
      <c r="Y35" s="360">
        <f t="shared" si="18"/>
        <v>163967.68999999997</v>
      </c>
      <c r="Z35" s="360">
        <f>+[1]DailyDes!U34</f>
        <v>5470.83</v>
      </c>
      <c r="AA35" s="360">
        <f t="shared" si="19"/>
        <v>77.32403324287651</v>
      </c>
      <c r="AB35" s="360">
        <f t="shared" si="20"/>
        <v>77.736050130014078</v>
      </c>
      <c r="AC35" s="360">
        <f t="shared" si="21"/>
        <v>33850.089999999414</v>
      </c>
      <c r="AD35" s="357">
        <f t="shared" si="10"/>
        <v>478.43297715964792</v>
      </c>
      <c r="AE35" s="358">
        <f t="shared" si="11"/>
        <v>480.98228114297876</v>
      </c>
      <c r="AF35" s="360">
        <f>+[1]DailyDes!BH34</f>
        <v>22782</v>
      </c>
      <c r="AG35" s="360">
        <f>+[1]DailyDes!BL34</f>
        <v>19288.800000000025</v>
      </c>
      <c r="AH35" s="360">
        <f t="shared" si="22"/>
        <v>42070.800000000025</v>
      </c>
      <c r="AI35" s="7">
        <f t="shared" si="23"/>
        <v>594.62347354138421</v>
      </c>
      <c r="AJ35" s="7">
        <f t="shared" si="24"/>
        <v>597.79189223752121</v>
      </c>
    </row>
    <row r="36" spans="1:36">
      <c r="A36" s="352">
        <f t="shared" si="12"/>
        <v>46020</v>
      </c>
      <c r="B36" s="359">
        <f>+Report1!P37</f>
        <v>51.736999999999995</v>
      </c>
      <c r="C36" s="359">
        <f>Report1!R37</f>
        <v>50.091000000000001</v>
      </c>
      <c r="D36" s="360">
        <f t="shared" si="13"/>
        <v>22834.800000000028</v>
      </c>
      <c r="E36" s="360">
        <f>+[1]DailyDes!O35</f>
        <v>747.99999999999045</v>
      </c>
      <c r="F36" s="354">
        <f t="shared" si="0"/>
        <v>14.457738175773441</v>
      </c>
      <c r="G36" s="354">
        <f t="shared" si="1"/>
        <v>14.932822263480274</v>
      </c>
      <c r="H36" s="360">
        <f>+[1]DailyDes!P35</f>
        <v>1272</v>
      </c>
      <c r="I36" s="360">
        <f t="shared" si="14"/>
        <v>117036</v>
      </c>
      <c r="J36" s="360">
        <f>+[1]DailyDes!Q35</f>
        <v>3878</v>
      </c>
      <c r="K36" s="354">
        <f t="shared" si="2"/>
        <v>74.956027601136526</v>
      </c>
      <c r="L36" s="354">
        <f t="shared" si="3"/>
        <v>77.419097243017703</v>
      </c>
      <c r="M36" s="360">
        <f t="shared" si="15"/>
        <v>0</v>
      </c>
      <c r="N36" s="360">
        <f>+[1]DailyDes!R35</f>
        <v>0</v>
      </c>
      <c r="O36" s="354">
        <f t="shared" si="4"/>
        <v>0</v>
      </c>
      <c r="P36" s="354">
        <f t="shared" si="5"/>
        <v>0</v>
      </c>
      <c r="Q36" s="360">
        <f t="shared" si="16"/>
        <v>443192.39000000013</v>
      </c>
      <c r="R36" s="360">
        <f>+[1]DailyDes!S35</f>
        <v>15697.500000001319</v>
      </c>
      <c r="S36" s="354">
        <f t="shared" si="6"/>
        <v>303.40955215805553</v>
      </c>
      <c r="T36" s="354">
        <f t="shared" si="7"/>
        <v>313.37964903877582</v>
      </c>
      <c r="U36" s="360">
        <f t="shared" si="17"/>
        <v>187520.39000000097</v>
      </c>
      <c r="V36" s="360">
        <f>+[1]DailyDes!T35</f>
        <v>7473.8999999999933</v>
      </c>
      <c r="W36" s="354">
        <f t="shared" si="8"/>
        <v>144.45947774320106</v>
      </c>
      <c r="X36" s="354">
        <f t="shared" si="9"/>
        <v>149.20644427142588</v>
      </c>
      <c r="Y36" s="360">
        <f t="shared" si="18"/>
        <v>169005.18999999997</v>
      </c>
      <c r="Z36" s="360">
        <f>+[1]DailyDes!U35</f>
        <v>5037.5</v>
      </c>
      <c r="AA36" s="360">
        <f t="shared" si="19"/>
        <v>97.367454626282935</v>
      </c>
      <c r="AB36" s="360">
        <f t="shared" si="20"/>
        <v>100.56696811802519</v>
      </c>
      <c r="AC36" s="360">
        <f t="shared" si="21"/>
        <v>34106.900000001304</v>
      </c>
      <c r="AD36" s="357">
        <f t="shared" si="10"/>
        <v>659.23613661405386</v>
      </c>
      <c r="AE36" s="358">
        <f t="shared" si="11"/>
        <v>680.89876424909266</v>
      </c>
      <c r="AF36" s="360">
        <f>+[1]DailyDes!BH35</f>
        <v>24277</v>
      </c>
      <c r="AG36" s="360">
        <f>+[1]DailyDes!BL35</f>
        <v>3430.5000000000064</v>
      </c>
      <c r="AH36" s="360">
        <f t="shared" si="22"/>
        <v>27707.500000000007</v>
      </c>
      <c r="AI36" s="7">
        <f t="shared" si="23"/>
        <v>535.54516110327256</v>
      </c>
      <c r="AJ36" s="7">
        <f t="shared" si="24"/>
        <v>553.14327923179826</v>
      </c>
    </row>
    <row r="37" spans="1:36">
      <c r="A37" s="352">
        <f t="shared" si="12"/>
        <v>46021</v>
      </c>
      <c r="B37" s="359">
        <f>Report1!P38</f>
        <v>50.889000000000003</v>
      </c>
      <c r="C37" s="359">
        <f>Report1!R38</f>
        <v>52.561</v>
      </c>
      <c r="D37" s="360">
        <f t="shared" si="13"/>
        <v>23568.500000000029</v>
      </c>
      <c r="E37" s="360">
        <f>+[1]DailyDes!O36</f>
        <v>733.69999999999891</v>
      </c>
      <c r="F37" s="354">
        <f t="shared" si="0"/>
        <v>14.417654109925502</v>
      </c>
      <c r="G37" s="354">
        <f t="shared" si="1"/>
        <v>13.959019044538707</v>
      </c>
      <c r="H37" s="360">
        <f>+[1]DailyDes!P36</f>
        <v>1686.8000000000466</v>
      </c>
      <c r="I37" s="360">
        <f t="shared" si="14"/>
        <v>121016</v>
      </c>
      <c r="J37" s="360">
        <f>+[1]DailyDes!Q36</f>
        <v>3980</v>
      </c>
      <c r="K37" s="354">
        <f t="shared" si="2"/>
        <v>78.209436223938368</v>
      </c>
      <c r="L37" s="354">
        <f t="shared" si="3"/>
        <v>75.721542588611328</v>
      </c>
      <c r="M37" s="360">
        <f t="shared" si="15"/>
        <v>0</v>
      </c>
      <c r="N37" s="360">
        <f>+[1]DailyDes!R36</f>
        <v>0</v>
      </c>
      <c r="O37" s="354">
        <f t="shared" si="4"/>
        <v>0</v>
      </c>
      <c r="P37" s="354">
        <f t="shared" si="5"/>
        <v>0</v>
      </c>
      <c r="Q37" s="360">
        <f t="shared" si="16"/>
        <v>459103.1899999993</v>
      </c>
      <c r="R37" s="360">
        <f>+[1]DailyDes!S36</f>
        <v>15910.799999999201</v>
      </c>
      <c r="S37" s="354">
        <f t="shared" si="6"/>
        <v>312.65695926426537</v>
      </c>
      <c r="T37" s="354">
        <f t="shared" si="7"/>
        <v>302.71113563286849</v>
      </c>
      <c r="U37" s="360">
        <f t="shared" si="17"/>
        <v>195377.49000000098</v>
      </c>
      <c r="V37" s="360">
        <f>+[1]DailyDes!T36</f>
        <v>7857.100000000004</v>
      </c>
      <c r="W37" s="354">
        <f t="shared" si="8"/>
        <v>154.39682446108202</v>
      </c>
      <c r="X37" s="354">
        <f t="shared" si="9"/>
        <v>149.4853598675825</v>
      </c>
      <c r="Y37" s="360">
        <f t="shared" si="18"/>
        <v>173996.68999999997</v>
      </c>
      <c r="Z37" s="360">
        <f>+[1]DailyDes!U36</f>
        <v>4991.5</v>
      </c>
      <c r="AA37" s="360">
        <f t="shared" si="19"/>
        <v>98.086030379846321</v>
      </c>
      <c r="AB37" s="360">
        <f t="shared" si="20"/>
        <v>94.96584920378227</v>
      </c>
      <c r="AC37" s="360">
        <f t="shared" si="21"/>
        <v>35159.899999999252</v>
      </c>
      <c r="AD37" s="357">
        <f t="shared" si="10"/>
        <v>690.91355695728453</v>
      </c>
      <c r="AE37" s="358">
        <f t="shared" si="11"/>
        <v>668.93514202544191</v>
      </c>
      <c r="AF37" s="360">
        <f>+[1]DailyDes!BH36</f>
        <v>24466</v>
      </c>
      <c r="AG37" s="360">
        <f>+[1]DailyDes!BL36</f>
        <v>0</v>
      </c>
      <c r="AH37" s="360">
        <f t="shared" si="22"/>
        <v>24466</v>
      </c>
      <c r="AI37" s="7">
        <f t="shared" si="23"/>
        <v>480.77187604393873</v>
      </c>
      <c r="AJ37" s="7">
        <f t="shared" si="24"/>
        <v>465.47820627461425</v>
      </c>
    </row>
    <row r="38" spans="1:36">
      <c r="A38" s="352">
        <f t="shared" si="12"/>
        <v>46022</v>
      </c>
      <c r="B38" s="359">
        <f>Report1!P39</f>
        <v>56.41</v>
      </c>
      <c r="C38" s="359">
        <f>Report1!R39</f>
        <v>57.401000000000003</v>
      </c>
      <c r="D38" s="360">
        <f t="shared" si="13"/>
        <v>24304.799999999999</v>
      </c>
      <c r="E38" s="360">
        <f>+[1]DailyDes!O37</f>
        <v>736.29999999997153</v>
      </c>
      <c r="F38" s="354">
        <f t="shared" si="0"/>
        <v>13.052650239318766</v>
      </c>
      <c r="G38" s="354">
        <f t="shared" si="1"/>
        <v>12.827302660231904</v>
      </c>
      <c r="H38" s="360">
        <f>+[1]DailyDes!P37</f>
        <v>1502.5999999999767</v>
      </c>
      <c r="I38" s="360">
        <f t="shared" si="14"/>
        <v>124859</v>
      </c>
      <c r="J38" s="360">
        <f>+[1]DailyDes!Q37</f>
        <v>3843</v>
      </c>
      <c r="K38" s="354">
        <f t="shared" si="2"/>
        <v>68.126218755539796</v>
      </c>
      <c r="L38" s="354">
        <f t="shared" si="3"/>
        <v>66.950053134962801</v>
      </c>
      <c r="M38" s="360">
        <f t="shared" si="15"/>
        <v>0</v>
      </c>
      <c r="N38" s="360">
        <f>+[1]DailyDes!R37</f>
        <v>0</v>
      </c>
      <c r="O38" s="354">
        <f t="shared" si="4"/>
        <v>0</v>
      </c>
      <c r="P38" s="354">
        <f t="shared" si="5"/>
        <v>0</v>
      </c>
      <c r="Q38" s="360">
        <f t="shared" si="16"/>
        <v>474776.25000000029</v>
      </c>
      <c r="R38" s="360">
        <f>+[1]DailyDes!S37</f>
        <v>15673.060000000974</v>
      </c>
      <c r="S38" s="355">
        <f t="shared" si="6"/>
        <v>277.84187200852642</v>
      </c>
      <c r="T38" s="355">
        <f t="shared" si="7"/>
        <v>273.0450689012556</v>
      </c>
      <c r="U38" s="360">
        <f t="shared" si="17"/>
        <v>203389.850000001</v>
      </c>
      <c r="V38" s="360">
        <f>+[1]DailyDes!T37</f>
        <v>8012.360000000016</v>
      </c>
      <c r="W38" s="354">
        <f t="shared" si="8"/>
        <v>142.03793653607545</v>
      </c>
      <c r="X38" s="354">
        <f t="shared" si="9"/>
        <v>139.58572150310997</v>
      </c>
      <c r="Y38" s="360">
        <f t="shared" si="18"/>
        <v>179049.04999999996</v>
      </c>
      <c r="Z38" s="360">
        <f>+[1]DailyDes!U37</f>
        <v>5052.3599999999997</v>
      </c>
      <c r="AA38" s="360">
        <f t="shared" si="19"/>
        <v>89.564970749867044</v>
      </c>
      <c r="AB38" s="360">
        <f t="shared" si="20"/>
        <v>88.018675632828689</v>
      </c>
      <c r="AC38" s="360">
        <f t="shared" si="21"/>
        <v>34819.680000000939</v>
      </c>
      <c r="AD38" s="357">
        <f t="shared" si="10"/>
        <v>617.26076936715015</v>
      </c>
      <c r="AE38" s="358">
        <f t="shared" si="11"/>
        <v>606.60406613126838</v>
      </c>
      <c r="AF38" s="360">
        <f>+[1]DailyDes!BH37</f>
        <v>29179</v>
      </c>
      <c r="AG38" s="360">
        <f>+[1]DailyDes!BL37</f>
        <v>0</v>
      </c>
      <c r="AH38" s="360">
        <f t="shared" si="22"/>
        <v>29179</v>
      </c>
      <c r="AI38" s="7">
        <f t="shared" si="23"/>
        <v>517.26644212019153</v>
      </c>
      <c r="AJ38" s="7">
        <f t="shared" si="24"/>
        <v>508.33609170571935</v>
      </c>
    </row>
    <row r="39" spans="1:36">
      <c r="A39" s="352"/>
      <c r="B39" s="359"/>
      <c r="C39" s="359"/>
      <c r="D39" s="343"/>
      <c r="E39" s="360"/>
      <c r="F39" s="354"/>
      <c r="G39" s="354"/>
      <c r="H39" s="360"/>
      <c r="I39" s="347"/>
      <c r="J39" s="360"/>
      <c r="K39" s="354"/>
      <c r="L39" s="354"/>
      <c r="M39" s="349"/>
      <c r="N39" s="360"/>
      <c r="O39" s="354"/>
      <c r="P39" s="354"/>
      <c r="Q39" s="350"/>
      <c r="R39" s="360"/>
      <c r="S39" s="355"/>
      <c r="T39" s="355"/>
      <c r="U39" s="351"/>
      <c r="V39" s="360"/>
      <c r="W39" s="354"/>
      <c r="X39" s="354"/>
      <c r="Y39" s="360"/>
      <c r="Z39" s="360"/>
      <c r="AA39" s="360"/>
      <c r="AB39" s="360"/>
      <c r="AC39" s="360"/>
      <c r="AD39" s="357"/>
      <c r="AE39" s="358"/>
      <c r="AF39" s="360"/>
      <c r="AG39" s="360"/>
      <c r="AH39" s="356"/>
      <c r="AI39" s="452"/>
      <c r="AJ39" s="452"/>
    </row>
    <row r="40" spans="1:36">
      <c r="A40" s="361" t="s">
        <v>29</v>
      </c>
      <c r="B40" s="362">
        <f>SUM(B8:B38)</f>
        <v>1814.222</v>
      </c>
      <c r="C40" s="362">
        <f>SUM(C8:C38)</f>
        <v>1773.8999999999996</v>
      </c>
      <c r="D40" s="356"/>
      <c r="E40" s="360">
        <f>SUM(E8:E39)</f>
        <v>24304.799999999999</v>
      </c>
      <c r="F40" s="363">
        <f>E40/B40</f>
        <v>13.39681692758659</v>
      </c>
      <c r="G40" s="363">
        <f>E40/C40</f>
        <v>13.701336039235585</v>
      </c>
      <c r="H40" s="360">
        <f>SUM(H8:H39)</f>
        <v>33943.20000000007</v>
      </c>
      <c r="I40" s="364"/>
      <c r="J40" s="360">
        <f>SUM(J8:J39)</f>
        <v>124859</v>
      </c>
      <c r="K40" s="363">
        <f>J40/B40</f>
        <v>68.822338170301094</v>
      </c>
      <c r="L40" s="363">
        <f>J40/C40</f>
        <v>70.386718529793129</v>
      </c>
      <c r="M40" s="365"/>
      <c r="N40" s="360">
        <f>SUM(N8:N39)</f>
        <v>0</v>
      </c>
      <c r="O40" s="363">
        <f>N40/B40</f>
        <v>0</v>
      </c>
      <c r="P40" s="363">
        <f>N40/C40</f>
        <v>0</v>
      </c>
      <c r="Q40" s="366"/>
      <c r="R40" s="360">
        <f>SUM(R8:R39)</f>
        <v>474776.25000000029</v>
      </c>
      <c r="S40" s="363">
        <f>R40/B40</f>
        <v>261.6968871505253</v>
      </c>
      <c r="T40" s="363">
        <f>R40/C40</f>
        <v>267.64544224589906</v>
      </c>
      <c r="U40" s="367"/>
      <c r="V40" s="360">
        <f>SUM(V8:V39)</f>
        <v>203389.850000001</v>
      </c>
      <c r="W40" s="363">
        <f>V40/B40</f>
        <v>112.10857877371181</v>
      </c>
      <c r="X40" s="363">
        <f>V40/C40</f>
        <v>114.65688595749538</v>
      </c>
      <c r="Y40" s="368"/>
      <c r="Z40" s="360">
        <f>SUM(Z8:Z39)</f>
        <v>179049.04999999996</v>
      </c>
      <c r="AA40" s="363">
        <f>Z40/B40</f>
        <v>98.691918629583341</v>
      </c>
      <c r="AB40" s="363">
        <f>Z40/C40</f>
        <v>100.9352556513896</v>
      </c>
      <c r="AC40" s="360">
        <f>+E40+J40+N40+R40+V40+Z40+H40</f>
        <v>1040322.1500000013</v>
      </c>
      <c r="AD40" s="463">
        <f>AC40/B40</f>
        <v>573.42604708795363</v>
      </c>
      <c r="AE40" s="19">
        <f>AC40/C40</f>
        <v>586.46042617960507</v>
      </c>
      <c r="AF40" s="360">
        <f>SUM(AF8:AF39)</f>
        <v>257506.8</v>
      </c>
      <c r="AG40" s="360">
        <f>SUM(AG8:AG39)</f>
        <v>629714.15899999999</v>
      </c>
      <c r="AH40" s="356">
        <f>+SUM(AH8:AH38)</f>
        <v>887220.95900000003</v>
      </c>
      <c r="AI40" s="363">
        <f>AF40/B40</f>
        <v>141.9378664794055</v>
      </c>
      <c r="AJ40" s="22">
        <f>AF40/C40</f>
        <v>145.16421444275329</v>
      </c>
    </row>
    <row r="41" spans="1:36">
      <c r="U41" s="369"/>
    </row>
    <row r="42" spans="1:36">
      <c r="AC42" s="5">
        <f>+AC40-[1]DailyDes!$V$38</f>
        <v>0</v>
      </c>
      <c r="AF42" s="5">
        <f>+AF40-[1]DailyDes!$BH$38</f>
        <v>0</v>
      </c>
      <c r="AG42" s="5">
        <f>+AG40-[1]DailyDes!$BL$38</f>
        <v>0</v>
      </c>
    </row>
    <row r="43" spans="1:36">
      <c r="G43" s="370"/>
      <c r="H43" s="370"/>
      <c r="I43" s="371"/>
    </row>
    <row r="44" spans="1:36">
      <c r="G44" s="370"/>
      <c r="H44" s="370"/>
      <c r="J44" s="370"/>
      <c r="M44" s="370"/>
    </row>
    <row r="45" spans="1:36">
      <c r="E45" t="s">
        <v>0</v>
      </c>
      <c r="G45" s="370"/>
      <c r="H45" s="370"/>
    </row>
  </sheetData>
  <mergeCells count="13">
    <mergeCell ref="A2:AC2"/>
    <mergeCell ref="A4:A6"/>
    <mergeCell ref="B4:B6"/>
    <mergeCell ref="C4:C6"/>
    <mergeCell ref="D5:G5"/>
    <mergeCell ref="I5:L5"/>
    <mergeCell ref="AC4:AE5"/>
    <mergeCell ref="AF4:AJ5"/>
    <mergeCell ref="M5:P5"/>
    <mergeCell ref="Q5:T5"/>
    <mergeCell ref="U5:X5"/>
    <mergeCell ref="Y5:AB5"/>
    <mergeCell ref="D4:AB4"/>
  </mergeCells>
  <phoneticPr fontId="31" type="noConversion"/>
  <pageMargins left="3.888888888888889E-2" right="3.888888888888889E-2" top="0.98402777777777772" bottom="0.98402777777777772" header="0.51111111111111107" footer="0.51111111111111107"/>
  <pageSetup paperSize="9" scale="82" firstPageNumber="4294963191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K108"/>
  <sheetViews>
    <sheetView topLeftCell="A87" zoomScaleNormal="100" workbookViewId="0">
      <selection activeCell="F109" sqref="F109"/>
    </sheetView>
  </sheetViews>
  <sheetFormatPr defaultRowHeight="12.75"/>
  <cols>
    <col min="1" max="1" width="10.140625" bestFit="1" customWidth="1"/>
    <col min="2" max="2" width="15.42578125" bestFit="1" customWidth="1"/>
    <col min="4" max="4" width="22.28515625" customWidth="1"/>
    <col min="8" max="8" width="9.5703125" bestFit="1" customWidth="1"/>
  </cols>
  <sheetData>
    <row r="1" spans="1:11">
      <c r="A1" s="95" t="s">
        <v>262</v>
      </c>
      <c r="B1" s="376">
        <f>+Report1!A9</f>
        <v>45992</v>
      </c>
      <c r="C1" s="96"/>
      <c r="G1" s="97"/>
      <c r="H1" s="98"/>
    </row>
    <row r="2" spans="1:11" ht="13.5" thickBot="1">
      <c r="A2" s="95"/>
      <c r="B2" s="96"/>
      <c r="C2" s="96"/>
      <c r="G2" s="97"/>
      <c r="H2" s="98"/>
    </row>
    <row r="3" spans="1:11" ht="26.25" thickBot="1">
      <c r="A3" s="434" t="s">
        <v>122</v>
      </c>
      <c r="B3" s="416" t="s">
        <v>10</v>
      </c>
      <c r="C3" s="416" t="s">
        <v>95</v>
      </c>
      <c r="D3" s="416" t="s">
        <v>123</v>
      </c>
      <c r="E3" s="416" t="s">
        <v>124</v>
      </c>
      <c r="F3" s="416" t="s">
        <v>125</v>
      </c>
      <c r="G3" s="417" t="s">
        <v>126</v>
      </c>
      <c r="H3" s="466" t="s">
        <v>127</v>
      </c>
      <c r="I3" s="582" t="s">
        <v>390</v>
      </c>
    </row>
    <row r="4" spans="1:11">
      <c r="A4" s="380">
        <f>+B1</f>
        <v>45992</v>
      </c>
      <c r="B4" s="450" t="s">
        <v>425</v>
      </c>
      <c r="C4" s="381">
        <v>2</v>
      </c>
      <c r="D4" s="415" t="s">
        <v>428</v>
      </c>
      <c r="E4" s="415">
        <f>165*2</f>
        <v>330</v>
      </c>
      <c r="F4" s="382">
        <v>4</v>
      </c>
      <c r="G4" s="381">
        <f>+E4*F4</f>
        <v>1320</v>
      </c>
      <c r="H4" s="451">
        <f>+(E4*F4+E5*F5)/(SUM(F4:F5))</f>
        <v>319.09090909090907</v>
      </c>
      <c r="I4" s="583">
        <f>+'1'!I38</f>
        <v>60.457999999999998</v>
      </c>
    </row>
    <row r="5" spans="1:11">
      <c r="A5" s="561"/>
      <c r="B5" s="562" t="s">
        <v>425</v>
      </c>
      <c r="C5">
        <v>2</v>
      </c>
      <c r="D5" s="414" t="s">
        <v>429</v>
      </c>
      <c r="E5" s="414">
        <f>149+169</f>
        <v>318</v>
      </c>
      <c r="F5" s="414">
        <f>12+14+14</f>
        <v>40</v>
      </c>
      <c r="G5">
        <f>+E5*F5</f>
        <v>12720</v>
      </c>
      <c r="H5" s="451"/>
      <c r="I5" s="583"/>
    </row>
    <row r="6" spans="1:11" ht="13.5" thickBot="1">
      <c r="A6" s="586"/>
      <c r="B6" s="587"/>
      <c r="D6" s="414"/>
      <c r="H6" s="583"/>
      <c r="I6" s="583"/>
    </row>
    <row r="7" spans="1:11">
      <c r="A7" s="380">
        <v>45993</v>
      </c>
      <c r="B7" s="415" t="s">
        <v>425</v>
      </c>
      <c r="C7" s="381">
        <v>2</v>
      </c>
      <c r="D7" s="415" t="s">
        <v>429</v>
      </c>
      <c r="E7" s="415">
        <f>149+169</f>
        <v>318</v>
      </c>
      <c r="F7" s="415">
        <v>13</v>
      </c>
      <c r="G7" s="381">
        <f>+E7*F7</f>
        <v>4134</v>
      </c>
      <c r="H7" s="381">
        <f>+G7/F7</f>
        <v>318</v>
      </c>
      <c r="I7" s="590">
        <f>+'2'!N37</f>
        <v>16.977</v>
      </c>
    </row>
    <row r="8" spans="1:11">
      <c r="A8" s="561"/>
      <c r="B8" s="414" t="s">
        <v>448</v>
      </c>
      <c r="C8">
        <v>2</v>
      </c>
      <c r="D8" s="414" t="s">
        <v>428</v>
      </c>
      <c r="E8" s="414">
        <f>165*2</f>
        <v>330</v>
      </c>
      <c r="F8" s="414">
        <v>1</v>
      </c>
      <c r="G8">
        <f>+E8*F8</f>
        <v>330</v>
      </c>
      <c r="H8">
        <f>+G8/F8</f>
        <v>330</v>
      </c>
      <c r="I8" s="591">
        <f>+'2'!N38</f>
        <v>1.4259999999999999</v>
      </c>
    </row>
    <row r="9" spans="1:11">
      <c r="A9" s="586"/>
      <c r="B9" s="414" t="s">
        <v>449</v>
      </c>
      <c r="C9">
        <v>2</v>
      </c>
      <c r="D9" s="414" t="s">
        <v>450</v>
      </c>
      <c r="E9" s="414">
        <f>132*2+66</f>
        <v>330</v>
      </c>
      <c r="F9" s="414">
        <f>8+11</f>
        <v>19</v>
      </c>
      <c r="G9">
        <f>+E9*F9</f>
        <v>6270</v>
      </c>
      <c r="H9">
        <f>+G9/F9</f>
        <v>330</v>
      </c>
      <c r="I9" s="591">
        <f>+'2'!N39</f>
        <v>33.135999999999996</v>
      </c>
    </row>
    <row r="10" spans="1:11" ht="13.5" thickBot="1">
      <c r="A10" s="418"/>
      <c r="B10" s="588"/>
      <c r="C10" s="419"/>
      <c r="D10" s="420"/>
      <c r="E10" s="419"/>
      <c r="F10" s="419"/>
      <c r="G10" s="419"/>
      <c r="H10" s="589"/>
      <c r="I10" s="592"/>
    </row>
    <row r="11" spans="1:11">
      <c r="A11" s="380">
        <v>45994</v>
      </c>
      <c r="B11" s="414" t="s">
        <v>449</v>
      </c>
      <c r="C11">
        <v>2</v>
      </c>
      <c r="D11" s="414" t="s">
        <v>450</v>
      </c>
      <c r="E11" s="414">
        <f>132*2+66</f>
        <v>330</v>
      </c>
      <c r="F11" s="414">
        <f>14+14+9</f>
        <v>37</v>
      </c>
      <c r="G11">
        <f>+E11*F11</f>
        <v>12210</v>
      </c>
      <c r="H11">
        <f>+G11/F11</f>
        <v>330</v>
      </c>
      <c r="I11" s="591">
        <f>+'3'!I38</f>
        <v>47.058000000000007</v>
      </c>
    </row>
    <row r="12" spans="1:11" ht="13.5" thickBot="1">
      <c r="A12" s="418"/>
      <c r="B12" s="588"/>
      <c r="C12" s="419"/>
      <c r="D12" s="420"/>
      <c r="E12" s="419"/>
      <c r="F12" s="419"/>
      <c r="G12" s="419"/>
      <c r="H12" s="589"/>
      <c r="I12" s="592"/>
    </row>
    <row r="13" spans="1:11">
      <c r="A13" s="380">
        <v>45995</v>
      </c>
      <c r="B13" s="414" t="s">
        <v>449</v>
      </c>
      <c r="C13">
        <v>2</v>
      </c>
      <c r="D13" s="414" t="s">
        <v>450</v>
      </c>
      <c r="E13" s="414">
        <f>132*2+66</f>
        <v>330</v>
      </c>
      <c r="F13" s="414">
        <v>0</v>
      </c>
      <c r="G13">
        <f>+E13*F13</f>
        <v>0</v>
      </c>
      <c r="H13">
        <f>+E13</f>
        <v>330</v>
      </c>
      <c r="I13" s="591">
        <f>+'4'!I38</f>
        <v>0</v>
      </c>
      <c r="K13">
        <f>+SUM(I:I)</f>
        <v>36982.528000000624</v>
      </c>
    </row>
    <row r="14" spans="1:11" ht="13.5" thickBot="1">
      <c r="A14" s="418"/>
      <c r="B14" s="588"/>
      <c r="C14" s="419"/>
      <c r="D14" s="420"/>
      <c r="E14" s="419"/>
      <c r="F14" s="419"/>
      <c r="G14" s="419"/>
      <c r="H14" s="589"/>
      <c r="I14" s="592"/>
      <c r="K14">
        <f>+K13-'31'!J38</f>
        <v>35168.306000000623</v>
      </c>
    </row>
    <row r="15" spans="1:11">
      <c r="A15" s="380">
        <v>45996</v>
      </c>
      <c r="B15" s="414" t="s">
        <v>496</v>
      </c>
      <c r="C15">
        <v>2</v>
      </c>
      <c r="D15" s="414" t="s">
        <v>497</v>
      </c>
      <c r="E15" s="414">
        <f>159*2</f>
        <v>318</v>
      </c>
      <c r="F15" s="414">
        <v>65</v>
      </c>
      <c r="G15">
        <f>+E15*F15</f>
        <v>20670</v>
      </c>
      <c r="H15">
        <f>+G15/F15</f>
        <v>318</v>
      </c>
      <c r="I15" s="591">
        <f>+'5'!I38</f>
        <v>39.436</v>
      </c>
    </row>
    <row r="16" spans="1:11" ht="13.5" thickBot="1">
      <c r="A16" s="418"/>
      <c r="B16" s="588"/>
      <c r="C16" s="419"/>
      <c r="D16" s="420"/>
      <c r="E16" s="419"/>
      <c r="F16" s="419"/>
      <c r="G16" s="419"/>
      <c r="H16" s="589"/>
      <c r="I16" s="592"/>
    </row>
    <row r="17" spans="1:9">
      <c r="A17" s="380">
        <v>45997</v>
      </c>
      <c r="B17" s="414" t="s">
        <v>496</v>
      </c>
      <c r="C17">
        <v>2</v>
      </c>
      <c r="D17" s="414" t="s">
        <v>497</v>
      </c>
      <c r="E17" s="414">
        <f>159*2</f>
        <v>318</v>
      </c>
      <c r="F17" s="414">
        <v>6</v>
      </c>
      <c r="G17">
        <f>+E17*F17</f>
        <v>1908</v>
      </c>
      <c r="H17">
        <f>+G17/F17</f>
        <v>318</v>
      </c>
      <c r="I17" s="591">
        <f>+'6'!N37</f>
        <v>3.9459999999999997</v>
      </c>
    </row>
    <row r="18" spans="1:9">
      <c r="A18" s="561"/>
      <c r="B18" s="414" t="s">
        <v>518</v>
      </c>
      <c r="C18">
        <v>2</v>
      </c>
      <c r="D18" s="414" t="s">
        <v>519</v>
      </c>
      <c r="E18" s="414">
        <f>46*7</f>
        <v>322</v>
      </c>
      <c r="F18" s="414">
        <f>11+8</f>
        <v>19</v>
      </c>
      <c r="G18">
        <f>+E18*F18</f>
        <v>6118</v>
      </c>
      <c r="H18" s="451">
        <f>+(E18*F18+E19*F19)/(SUM(F18:F19))</f>
        <v>324.64705882352939</v>
      </c>
      <c r="I18" s="591">
        <f>+'6'!N38</f>
        <v>38.356000000000002</v>
      </c>
    </row>
    <row r="19" spans="1:9">
      <c r="A19" s="586"/>
      <c r="B19" s="414" t="s">
        <v>518</v>
      </c>
      <c r="C19">
        <v>2</v>
      </c>
      <c r="D19" s="414" t="s">
        <v>520</v>
      </c>
      <c r="E19" s="414">
        <f>78*2+86*2</f>
        <v>328</v>
      </c>
      <c r="F19" s="414">
        <f>8+7</f>
        <v>15</v>
      </c>
      <c r="G19">
        <f>+E19*F19</f>
        <v>4920</v>
      </c>
      <c r="I19" s="591"/>
    </row>
    <row r="20" spans="1:9" ht="13.5" thickBot="1">
      <c r="A20" s="418"/>
      <c r="B20" s="588"/>
      <c r="C20" s="419"/>
      <c r="D20" s="420"/>
      <c r="E20" s="419"/>
      <c r="F20" s="419"/>
      <c r="G20" s="419"/>
      <c r="H20" s="589"/>
      <c r="I20" s="592"/>
    </row>
    <row r="21" spans="1:9">
      <c r="A21" s="380">
        <v>45998</v>
      </c>
      <c r="B21" s="414" t="s">
        <v>518</v>
      </c>
      <c r="C21">
        <v>2</v>
      </c>
      <c r="D21" s="414" t="s">
        <v>520</v>
      </c>
      <c r="E21" s="414">
        <f>78*2+86*2</f>
        <v>328</v>
      </c>
      <c r="F21" s="414">
        <v>4</v>
      </c>
      <c r="G21">
        <f>+E21*F21</f>
        <v>1312</v>
      </c>
      <c r="H21" s="451">
        <f>+(E21*F21+E22*F22+E23*F23)/(SUM(F21:F23))</f>
        <v>324.24</v>
      </c>
      <c r="I21" s="591">
        <f>+'7'!I38</f>
        <v>49.305999999999997</v>
      </c>
    </row>
    <row r="22" spans="1:9">
      <c r="A22" s="586"/>
      <c r="B22" s="414" t="s">
        <v>518</v>
      </c>
      <c r="C22">
        <v>2</v>
      </c>
      <c r="D22" s="414" t="s">
        <v>521</v>
      </c>
      <c r="E22" s="414">
        <f>72*4+36</f>
        <v>324</v>
      </c>
      <c r="F22" s="414">
        <f>3+6+7+9+2+9+8</f>
        <v>44</v>
      </c>
      <c r="G22">
        <f>+E22*F22</f>
        <v>14256</v>
      </c>
      <c r="H22" s="451"/>
      <c r="I22" s="591"/>
    </row>
    <row r="23" spans="1:9">
      <c r="A23" s="586"/>
      <c r="B23" s="414" t="s">
        <v>518</v>
      </c>
      <c r="C23">
        <v>2</v>
      </c>
      <c r="D23" s="414" t="s">
        <v>519</v>
      </c>
      <c r="E23" s="414">
        <f>46*7</f>
        <v>322</v>
      </c>
      <c r="F23" s="414">
        <v>2</v>
      </c>
      <c r="G23">
        <f>+E23*F23</f>
        <v>644</v>
      </c>
      <c r="I23" s="591"/>
    </row>
    <row r="24" spans="1:9" ht="13.5" thickBot="1">
      <c r="A24" s="418"/>
      <c r="B24" s="588"/>
      <c r="C24" s="419"/>
      <c r="D24" s="420"/>
      <c r="E24" s="419"/>
      <c r="F24" s="419"/>
      <c r="G24" s="419"/>
      <c r="H24" s="589"/>
      <c r="I24" s="592"/>
    </row>
    <row r="25" spans="1:9">
      <c r="A25" s="380">
        <v>45999</v>
      </c>
      <c r="B25" s="414" t="s">
        <v>518</v>
      </c>
      <c r="C25">
        <v>2</v>
      </c>
      <c r="D25" s="414" t="s">
        <v>521</v>
      </c>
      <c r="E25" s="414">
        <f>72*4+36</f>
        <v>324</v>
      </c>
      <c r="F25" s="414">
        <f>11+15+14</f>
        <v>40</v>
      </c>
      <c r="G25">
        <f>+E25*F25</f>
        <v>12960</v>
      </c>
      <c r="H25" s="451">
        <f>+(E25*F25+E26*F26)/(SUM(F25:F26))</f>
        <v>324.78260869565219</v>
      </c>
      <c r="I25" s="583">
        <f>+'8'!I38</f>
        <v>47.400999999999996</v>
      </c>
    </row>
    <row r="26" spans="1:9">
      <c r="A26" s="586"/>
      <c r="B26" s="414" t="s">
        <v>518</v>
      </c>
      <c r="C26">
        <v>2</v>
      </c>
      <c r="D26" s="414" t="s">
        <v>524</v>
      </c>
      <c r="E26" s="414">
        <f>86*3+72*1</f>
        <v>330</v>
      </c>
      <c r="F26">
        <v>6</v>
      </c>
      <c r="G26">
        <f>+E26*F26</f>
        <v>1980</v>
      </c>
      <c r="H26" s="451"/>
      <c r="I26" s="583"/>
    </row>
    <row r="27" spans="1:9" ht="13.5" thickBot="1">
      <c r="A27" s="418"/>
      <c r="B27" s="588"/>
      <c r="C27" s="419"/>
      <c r="D27" s="420"/>
      <c r="E27" s="419"/>
      <c r="F27" s="419"/>
      <c r="G27" s="419"/>
      <c r="H27" s="589"/>
      <c r="I27" s="592"/>
    </row>
    <row r="28" spans="1:9">
      <c r="A28" s="380">
        <v>46000</v>
      </c>
      <c r="B28" s="414" t="s">
        <v>518</v>
      </c>
      <c r="C28">
        <v>2</v>
      </c>
      <c r="D28" s="414" t="s">
        <v>524</v>
      </c>
      <c r="E28" s="414">
        <f>86*3+72*1</f>
        <v>330</v>
      </c>
      <c r="F28">
        <f>15+7</f>
        <v>22</v>
      </c>
      <c r="G28">
        <f>+E28*F28</f>
        <v>7260</v>
      </c>
      <c r="H28" s="451">
        <f>+G28/F28</f>
        <v>330</v>
      </c>
      <c r="I28" s="583">
        <f>+'9'!O37</f>
        <v>20.715000000000003</v>
      </c>
    </row>
    <row r="29" spans="1:9">
      <c r="A29" s="586"/>
      <c r="B29" s="414" t="s">
        <v>537</v>
      </c>
      <c r="C29">
        <v>2</v>
      </c>
      <c r="D29" s="414" t="s">
        <v>538</v>
      </c>
      <c r="E29" s="414">
        <f>164+165</f>
        <v>329</v>
      </c>
      <c r="F29">
        <v>5</v>
      </c>
      <c r="G29">
        <f>+E29*F29</f>
        <v>1645</v>
      </c>
      <c r="H29" s="451">
        <f>+G29/F29</f>
        <v>329</v>
      </c>
      <c r="I29" s="583">
        <f>+'9'!O38</f>
        <v>7.1869999999999994</v>
      </c>
    </row>
    <row r="30" spans="1:9">
      <c r="A30" s="586"/>
      <c r="B30" s="414" t="s">
        <v>534</v>
      </c>
      <c r="C30">
        <v>2</v>
      </c>
      <c r="D30" s="414" t="s">
        <v>539</v>
      </c>
      <c r="E30" s="414">
        <f>154*2+22</f>
        <v>330</v>
      </c>
      <c r="F30">
        <v>18</v>
      </c>
      <c r="G30">
        <f>+E30*F30</f>
        <v>5940</v>
      </c>
      <c r="H30" s="451">
        <f>+G30/F30</f>
        <v>330</v>
      </c>
      <c r="I30" s="583">
        <f>+'9'!O39</f>
        <v>16.988</v>
      </c>
    </row>
    <row r="31" spans="1:9">
      <c r="A31" s="586"/>
      <c r="B31" s="414" t="s">
        <v>449</v>
      </c>
      <c r="C31">
        <v>2</v>
      </c>
      <c r="D31" s="414" t="s">
        <v>540</v>
      </c>
      <c r="E31" s="414">
        <f>114*2+38.5+63.5</f>
        <v>330</v>
      </c>
      <c r="F31">
        <v>3</v>
      </c>
      <c r="G31">
        <f>+E31*F31</f>
        <v>990</v>
      </c>
      <c r="H31" s="451">
        <f>+G31/F31</f>
        <v>330</v>
      </c>
      <c r="I31" s="583">
        <f>+'9'!O40</f>
        <v>9.3390000000000004</v>
      </c>
    </row>
    <row r="32" spans="1:9" ht="13.5" thickBot="1">
      <c r="A32" s="418"/>
      <c r="B32" s="588"/>
      <c r="C32" s="419"/>
      <c r="D32" s="420"/>
      <c r="E32" s="419"/>
      <c r="F32" s="419"/>
      <c r="G32" s="419"/>
      <c r="H32" s="589"/>
      <c r="I32" s="592"/>
    </row>
    <row r="33" spans="1:9">
      <c r="A33" s="380">
        <v>46001</v>
      </c>
      <c r="B33" s="414" t="s">
        <v>449</v>
      </c>
      <c r="C33">
        <v>2</v>
      </c>
      <c r="D33" s="414" t="s">
        <v>540</v>
      </c>
      <c r="E33" s="414">
        <f>114*2+38.5+63.5</f>
        <v>330</v>
      </c>
      <c r="F33">
        <f>15+18+18</f>
        <v>51</v>
      </c>
      <c r="G33">
        <f>+E33*F33</f>
        <v>16830</v>
      </c>
      <c r="H33" s="451">
        <f>+G33/F33</f>
        <v>330</v>
      </c>
      <c r="I33" s="583">
        <f>+'10'!I38</f>
        <v>58.541999999999994</v>
      </c>
    </row>
    <row r="34" spans="1:9" ht="13.5" thickBot="1">
      <c r="A34" s="418"/>
      <c r="B34" s="588"/>
      <c r="C34" s="419"/>
      <c r="D34" s="420"/>
      <c r="E34" s="419"/>
      <c r="F34" s="419"/>
      <c r="G34" s="419"/>
      <c r="H34" s="589"/>
      <c r="I34" s="592"/>
    </row>
    <row r="35" spans="1:9">
      <c r="A35" s="380">
        <v>46002</v>
      </c>
      <c r="B35" s="414" t="s">
        <v>449</v>
      </c>
      <c r="C35">
        <v>2</v>
      </c>
      <c r="D35" s="414" t="s">
        <v>540</v>
      </c>
      <c r="E35" s="414">
        <f>114*2+38.5+63.5</f>
        <v>330</v>
      </c>
      <c r="F35">
        <f>160/4</f>
        <v>40</v>
      </c>
      <c r="G35">
        <f>+E35*F35</f>
        <v>13200</v>
      </c>
      <c r="H35" s="451">
        <f>+G35/F35</f>
        <v>330</v>
      </c>
      <c r="I35" s="583">
        <f>+'11'!I38</f>
        <v>49.566000000000003</v>
      </c>
    </row>
    <row r="36" spans="1:9" ht="13.5" thickBot="1">
      <c r="A36" s="418"/>
      <c r="B36" s="588"/>
      <c r="C36" s="419"/>
      <c r="D36" s="420"/>
      <c r="E36" s="419"/>
      <c r="F36" s="419"/>
      <c r="G36" s="419"/>
      <c r="H36" s="589"/>
      <c r="I36" s="592"/>
    </row>
    <row r="37" spans="1:9">
      <c r="A37" s="380">
        <v>46003</v>
      </c>
      <c r="B37" s="414" t="s">
        <v>449</v>
      </c>
      <c r="C37">
        <v>2</v>
      </c>
      <c r="D37" s="414" t="s">
        <v>540</v>
      </c>
      <c r="E37" s="414">
        <f>114*2+38.5+63.5</f>
        <v>330</v>
      </c>
      <c r="F37">
        <v>30</v>
      </c>
      <c r="G37">
        <f>+E37*F37</f>
        <v>9900</v>
      </c>
      <c r="H37" s="451">
        <f>+(E37*F37+E38*F38)/(SUM(F37:F38))</f>
        <v>325.66666666666669</v>
      </c>
      <c r="I37" s="583">
        <f>+'12'!I38</f>
        <v>63.509</v>
      </c>
    </row>
    <row r="38" spans="1:9">
      <c r="A38" s="561"/>
      <c r="B38" s="414" t="s">
        <v>449</v>
      </c>
      <c r="C38">
        <v>2</v>
      </c>
      <c r="D38" s="414" t="s">
        <v>559</v>
      </c>
      <c r="E38" s="414">
        <f>29+96*3</f>
        <v>317</v>
      </c>
      <c r="F38">
        <v>15</v>
      </c>
      <c r="G38">
        <f>+E38*F38</f>
        <v>4755</v>
      </c>
      <c r="H38" s="451"/>
      <c r="I38" s="583"/>
    </row>
    <row r="39" spans="1:9" ht="13.5" thickBot="1">
      <c r="A39" s="418"/>
      <c r="B39" s="588"/>
      <c r="C39" s="419"/>
      <c r="D39" s="420"/>
      <c r="E39" s="419"/>
      <c r="F39" s="419"/>
      <c r="G39" s="419"/>
      <c r="H39" s="589"/>
      <c r="I39" s="592"/>
    </row>
    <row r="40" spans="1:9">
      <c r="A40" s="561">
        <v>46004</v>
      </c>
      <c r="B40" s="414" t="s">
        <v>449</v>
      </c>
      <c r="C40">
        <v>2</v>
      </c>
      <c r="D40" s="414" t="s">
        <v>559</v>
      </c>
      <c r="E40" s="414">
        <f>29+96*3</f>
        <v>317</v>
      </c>
      <c r="F40">
        <f>15+27+39</f>
        <v>81</v>
      </c>
      <c r="G40">
        <f>+E40*F40</f>
        <v>25677</v>
      </c>
      <c r="H40" s="451">
        <f>+G40/F40</f>
        <v>317</v>
      </c>
      <c r="I40" s="583">
        <f>+'13'!I38</f>
        <v>60.103000000000002</v>
      </c>
    </row>
    <row r="41" spans="1:9" ht="13.5" thickBot="1">
      <c r="A41" s="418"/>
      <c r="B41" s="588"/>
      <c r="C41" s="419"/>
      <c r="D41" s="420"/>
      <c r="E41" s="419"/>
      <c r="F41" s="419"/>
      <c r="G41" s="419"/>
      <c r="H41" s="589"/>
      <c r="I41" s="592"/>
    </row>
    <row r="42" spans="1:9">
      <c r="A42" s="561">
        <v>46005</v>
      </c>
      <c r="B42" s="414" t="s">
        <v>449</v>
      </c>
      <c r="C42">
        <v>2</v>
      </c>
      <c r="D42" s="414" t="s">
        <v>559</v>
      </c>
      <c r="E42" s="414">
        <f>29+96*3</f>
        <v>317</v>
      </c>
      <c r="F42">
        <f>15+27+39</f>
        <v>81</v>
      </c>
      <c r="G42">
        <f>+E42*F42</f>
        <v>25677</v>
      </c>
      <c r="H42" s="451">
        <f>+(E42*F42+E43*F43+E44*F44)/(SUM(F42:F44))</f>
        <v>318.82075471698113</v>
      </c>
      <c r="I42" s="583">
        <f>+'14'!I38</f>
        <v>67.138000000000005</v>
      </c>
    </row>
    <row r="43" spans="1:9">
      <c r="A43" s="561"/>
      <c r="B43" s="414" t="s">
        <v>449</v>
      </c>
      <c r="C43">
        <v>2</v>
      </c>
      <c r="D43" s="414" t="s">
        <v>568</v>
      </c>
      <c r="E43" s="414">
        <f>96*2+21*6</f>
        <v>318</v>
      </c>
      <c r="F43">
        <f>6+5</f>
        <v>11</v>
      </c>
      <c r="G43">
        <f>+E43*F43</f>
        <v>3498</v>
      </c>
      <c r="H43" s="451"/>
      <c r="I43" s="583"/>
    </row>
    <row r="44" spans="1:9">
      <c r="A44" s="561"/>
      <c r="B44" s="414" t="s">
        <v>449</v>
      </c>
      <c r="C44">
        <v>2</v>
      </c>
      <c r="D44" s="414" t="s">
        <v>569</v>
      </c>
      <c r="E44" s="414">
        <f>60+48+30+96*2</f>
        <v>330</v>
      </c>
      <c r="F44">
        <f>6+8</f>
        <v>14</v>
      </c>
      <c r="G44">
        <f>+E44*F44</f>
        <v>4620</v>
      </c>
      <c r="H44" s="451"/>
      <c r="I44" s="583"/>
    </row>
    <row r="45" spans="1:9" ht="13.5" thickBot="1">
      <c r="A45" s="418"/>
      <c r="B45" s="588"/>
      <c r="C45" s="419"/>
      <c r="D45" s="420"/>
      <c r="E45" s="419"/>
      <c r="F45" s="419"/>
      <c r="G45" s="419"/>
      <c r="H45" s="589"/>
      <c r="I45" s="592"/>
    </row>
    <row r="46" spans="1:9">
      <c r="A46" s="561">
        <v>46006</v>
      </c>
      <c r="B46" s="414" t="s">
        <v>449</v>
      </c>
      <c r="C46">
        <v>2</v>
      </c>
      <c r="D46" s="414" t="s">
        <v>570</v>
      </c>
      <c r="E46" s="414">
        <f>21*6+96*2</f>
        <v>318</v>
      </c>
      <c r="F46">
        <f>36/2</f>
        <v>18</v>
      </c>
      <c r="G46">
        <f>+E46*F46</f>
        <v>5724</v>
      </c>
      <c r="H46" s="451">
        <f>+(E46*F46+E47*F47+E48*F48)/(SUM(F46:F48))</f>
        <v>322</v>
      </c>
      <c r="I46" s="583">
        <f>+'15'!I38</f>
        <v>65.415999999999997</v>
      </c>
    </row>
    <row r="47" spans="1:9">
      <c r="A47" s="561"/>
      <c r="B47" s="414" t="s">
        <v>449</v>
      </c>
      <c r="C47">
        <v>2</v>
      </c>
      <c r="D47" s="414" t="s">
        <v>571</v>
      </c>
      <c r="E47" s="414">
        <f>48+30*7+60</f>
        <v>318</v>
      </c>
      <c r="F47">
        <v>18</v>
      </c>
      <c r="G47">
        <f>+E47*F47</f>
        <v>5724</v>
      </c>
      <c r="H47" s="451"/>
      <c r="I47" s="583"/>
    </row>
    <row r="48" spans="1:9">
      <c r="A48" s="561"/>
      <c r="B48" s="414" t="s">
        <v>449</v>
      </c>
      <c r="C48">
        <v>2</v>
      </c>
      <c r="D48" s="414" t="s">
        <v>572</v>
      </c>
      <c r="E48" s="414">
        <f>30+48+60+96*2</f>
        <v>330</v>
      </c>
      <c r="F48">
        <v>18</v>
      </c>
      <c r="G48">
        <f>+E48*F48</f>
        <v>5940</v>
      </c>
      <c r="H48" s="451"/>
      <c r="I48" s="583"/>
    </row>
    <row r="49" spans="1:9" ht="13.5" thickBot="1">
      <c r="A49" s="418"/>
      <c r="B49" s="588"/>
      <c r="C49" s="419"/>
      <c r="D49" s="420"/>
      <c r="E49" s="419"/>
      <c r="F49" s="419"/>
      <c r="G49" s="419"/>
      <c r="H49" s="589"/>
      <c r="I49" s="592"/>
    </row>
    <row r="50" spans="1:9">
      <c r="A50" s="561">
        <v>46007</v>
      </c>
      <c r="B50" s="414" t="s">
        <v>449</v>
      </c>
      <c r="C50">
        <v>2</v>
      </c>
      <c r="D50" s="414" t="s">
        <v>571</v>
      </c>
      <c r="E50" s="414">
        <f>48+30*7+60</f>
        <v>318</v>
      </c>
      <c r="F50">
        <f>6+4</f>
        <v>10</v>
      </c>
      <c r="G50">
        <f>+E50*F50</f>
        <v>3180</v>
      </c>
      <c r="H50" s="451">
        <f>+(E50*F50+E51*F51)/(SUM(F50:F51))</f>
        <v>324.28571428571428</v>
      </c>
      <c r="I50" s="583">
        <f>+'16'!N37</f>
        <v>33.837999999999994</v>
      </c>
    </row>
    <row r="51" spans="1:9">
      <c r="A51" s="561"/>
      <c r="B51" s="414" t="s">
        <v>449</v>
      </c>
      <c r="C51">
        <v>2</v>
      </c>
      <c r="D51" s="414" t="s">
        <v>572</v>
      </c>
      <c r="E51" s="414">
        <f>30+48+60+96*2</f>
        <v>330</v>
      </c>
      <c r="F51">
        <f>6+5</f>
        <v>11</v>
      </c>
      <c r="G51">
        <f>+E51*F51</f>
        <v>3630</v>
      </c>
      <c r="H51" s="451"/>
      <c r="I51" s="583"/>
    </row>
    <row r="52" spans="1:9">
      <c r="A52" s="561"/>
      <c r="B52" s="414" t="s">
        <v>578</v>
      </c>
      <c r="C52">
        <v>2</v>
      </c>
      <c r="D52" s="414" t="s">
        <v>579</v>
      </c>
      <c r="E52" s="414">
        <f>40*8</f>
        <v>320</v>
      </c>
      <c r="F52">
        <v>20</v>
      </c>
      <c r="G52">
        <f>+E52*F52</f>
        <v>6400</v>
      </c>
      <c r="H52" s="451">
        <f>+G52/F52</f>
        <v>320</v>
      </c>
      <c r="I52" s="583">
        <f>+'16'!N38</f>
        <v>28.453000000000003</v>
      </c>
    </row>
    <row r="53" spans="1:9" ht="13.5" thickBot="1">
      <c r="A53" s="418"/>
      <c r="B53" s="588"/>
      <c r="C53" s="419"/>
      <c r="D53" s="420"/>
      <c r="E53" s="419"/>
      <c r="F53" s="419"/>
      <c r="G53" s="419"/>
      <c r="H53" s="589"/>
      <c r="I53" s="592"/>
    </row>
    <row r="54" spans="1:9">
      <c r="A54" s="561">
        <v>46008</v>
      </c>
      <c r="B54" s="414" t="s">
        <v>578</v>
      </c>
      <c r="C54">
        <v>2</v>
      </c>
      <c r="D54" s="414" t="s">
        <v>579</v>
      </c>
      <c r="E54" s="414">
        <f>40*8</f>
        <v>320</v>
      </c>
      <c r="F54">
        <v>20</v>
      </c>
      <c r="G54">
        <f>+E54*F54</f>
        <v>6400</v>
      </c>
      <c r="H54" s="451">
        <f>+G54/F54</f>
        <v>320</v>
      </c>
      <c r="I54" s="583">
        <f>+'17'!N37</f>
        <v>25.614000000000001</v>
      </c>
    </row>
    <row r="55" spans="1:9">
      <c r="A55" s="561"/>
      <c r="B55" s="414" t="s">
        <v>496</v>
      </c>
      <c r="C55">
        <v>2</v>
      </c>
      <c r="D55" s="414" t="s">
        <v>497</v>
      </c>
      <c r="E55" s="414">
        <f>159*2</f>
        <v>318</v>
      </c>
      <c r="F55">
        <v>30</v>
      </c>
      <c r="G55">
        <f>+E55*F55</f>
        <v>9540</v>
      </c>
      <c r="H55" s="451">
        <f>+G55/F55</f>
        <v>318</v>
      </c>
      <c r="I55" s="583">
        <f>+'17'!N38</f>
        <v>30.394000000000009</v>
      </c>
    </row>
    <row r="56" spans="1:9" ht="13.5" thickBot="1">
      <c r="A56" s="418"/>
      <c r="B56" s="588"/>
      <c r="C56" s="419"/>
      <c r="D56" s="420"/>
      <c r="E56" s="419"/>
      <c r="F56" s="419"/>
      <c r="G56" s="419"/>
      <c r="H56" s="589"/>
      <c r="I56" s="592"/>
    </row>
    <row r="57" spans="1:9">
      <c r="A57" s="561">
        <v>46009</v>
      </c>
      <c r="B57" s="414" t="s">
        <v>496</v>
      </c>
      <c r="C57">
        <v>2</v>
      </c>
      <c r="D57" s="414" t="s">
        <v>497</v>
      </c>
      <c r="E57" s="414">
        <f>159*2</f>
        <v>318</v>
      </c>
      <c r="F57">
        <f>6+13+10</f>
        <v>29</v>
      </c>
      <c r="G57">
        <f>+E57*F57</f>
        <v>9222</v>
      </c>
      <c r="H57" s="451">
        <f>+G57/F57</f>
        <v>318</v>
      </c>
      <c r="I57" s="583">
        <f>+'18'!N37</f>
        <v>20.367999999999999</v>
      </c>
    </row>
    <row r="58" spans="1:9">
      <c r="A58" s="561"/>
      <c r="B58" s="414" t="s">
        <v>518</v>
      </c>
      <c r="C58">
        <v>2</v>
      </c>
      <c r="D58" s="414" t="s">
        <v>519</v>
      </c>
      <c r="E58" s="414">
        <f>46*7</f>
        <v>322</v>
      </c>
      <c r="F58">
        <v>11</v>
      </c>
      <c r="G58">
        <f>+E58*F58</f>
        <v>3542</v>
      </c>
      <c r="H58" s="451">
        <f>+G58/F58</f>
        <v>322</v>
      </c>
      <c r="I58" s="583">
        <f>+'18'!N38</f>
        <v>18.624000000000002</v>
      </c>
    </row>
    <row r="59" spans="1:9">
      <c r="A59" s="561"/>
      <c r="B59" s="414" t="s">
        <v>590</v>
      </c>
      <c r="C59">
        <v>2</v>
      </c>
      <c r="D59" s="414" t="s">
        <v>591</v>
      </c>
      <c r="E59" s="414">
        <f>161.5*2</f>
        <v>323</v>
      </c>
      <c r="F59">
        <v>6</v>
      </c>
      <c r="G59">
        <f>+E59*F59</f>
        <v>1938</v>
      </c>
      <c r="H59" s="451">
        <f>+G59/F59</f>
        <v>323</v>
      </c>
      <c r="I59" s="583">
        <f>+'18'!N39</f>
        <v>10.837</v>
      </c>
    </row>
    <row r="60" spans="1:9" ht="13.5" thickBot="1">
      <c r="A60" s="418"/>
      <c r="B60" s="588"/>
      <c r="C60" s="419"/>
      <c r="D60" s="420"/>
      <c r="E60" s="419"/>
      <c r="F60" s="419"/>
      <c r="G60" s="419"/>
      <c r="H60" s="589"/>
      <c r="I60" s="592"/>
    </row>
    <row r="61" spans="1:9">
      <c r="A61" s="561">
        <v>46010</v>
      </c>
      <c r="B61" s="414" t="s">
        <v>590</v>
      </c>
      <c r="C61">
        <v>2</v>
      </c>
      <c r="D61" s="414" t="s">
        <v>591</v>
      </c>
      <c r="E61" s="414">
        <f>161.5*2</f>
        <v>323</v>
      </c>
      <c r="F61">
        <v>5</v>
      </c>
      <c r="G61">
        <f>+E61*F61</f>
        <v>1615</v>
      </c>
      <c r="H61" s="451">
        <f>+G61/F61</f>
        <v>323</v>
      </c>
      <c r="I61" s="583">
        <f>+'19'!N37</f>
        <v>0.50900000000000001</v>
      </c>
    </row>
    <row r="62" spans="1:9">
      <c r="A62" s="561"/>
      <c r="B62" s="414" t="s">
        <v>609</v>
      </c>
      <c r="C62">
        <v>2</v>
      </c>
      <c r="D62" s="414" t="s">
        <v>497</v>
      </c>
      <c r="E62" s="414">
        <f>159*2</f>
        <v>318</v>
      </c>
      <c r="F62">
        <f>13+18+18</f>
        <v>49</v>
      </c>
      <c r="G62">
        <f>+E62*F62</f>
        <v>15582</v>
      </c>
      <c r="H62" s="451">
        <f>+G62/F62</f>
        <v>318</v>
      </c>
      <c r="I62" s="583">
        <f>+'19'!N38</f>
        <v>67.116</v>
      </c>
    </row>
    <row r="63" spans="1:9" ht="13.5" thickBot="1">
      <c r="A63" s="418"/>
      <c r="B63" s="588"/>
      <c r="C63" s="419"/>
      <c r="D63" s="420"/>
      <c r="E63" s="419"/>
      <c r="F63" s="419"/>
      <c r="G63" s="419"/>
      <c r="H63" s="589"/>
      <c r="I63" s="592"/>
    </row>
    <row r="64" spans="1:9">
      <c r="A64" s="561">
        <v>46011</v>
      </c>
      <c r="B64" s="414" t="s">
        <v>609</v>
      </c>
      <c r="C64">
        <v>2</v>
      </c>
      <c r="D64" s="414" t="s">
        <v>497</v>
      </c>
      <c r="E64" s="414">
        <f>159*2</f>
        <v>318</v>
      </c>
      <c r="F64">
        <v>31</v>
      </c>
      <c r="G64">
        <f>+E64*F64</f>
        <v>9858</v>
      </c>
      <c r="H64" s="451">
        <f>+G64/F64</f>
        <v>318</v>
      </c>
      <c r="I64" s="583">
        <f>+'20'!N37</f>
        <v>32.966999999999999</v>
      </c>
    </row>
    <row r="65" spans="1:9">
      <c r="A65" s="561"/>
      <c r="B65" s="414" t="s">
        <v>610</v>
      </c>
      <c r="C65">
        <v>2</v>
      </c>
      <c r="D65" s="414" t="s">
        <v>611</v>
      </c>
      <c r="E65" s="414">
        <f>120.5+97*2</f>
        <v>314.5</v>
      </c>
      <c r="F65">
        <f>6+15</f>
        <v>21</v>
      </c>
      <c r="G65">
        <f>+E65*F65</f>
        <v>6604.5</v>
      </c>
      <c r="H65" s="451">
        <f>+G65/F65</f>
        <v>314.5</v>
      </c>
      <c r="I65" s="583">
        <f>+'20'!N38</f>
        <v>35.77300000000001</v>
      </c>
    </row>
    <row r="66" spans="1:9" ht="13.5" thickBot="1">
      <c r="A66" s="418"/>
      <c r="B66" s="588"/>
      <c r="C66" s="419"/>
      <c r="D66" s="420"/>
      <c r="E66" s="419"/>
      <c r="F66" s="419"/>
      <c r="G66" s="419"/>
      <c r="H66" s="589"/>
      <c r="I66" s="592"/>
    </row>
    <row r="67" spans="1:9">
      <c r="A67" s="561">
        <v>46012</v>
      </c>
      <c r="B67" s="414" t="s">
        <v>610</v>
      </c>
      <c r="C67">
        <v>2</v>
      </c>
      <c r="D67" s="414" t="s">
        <v>611</v>
      </c>
      <c r="E67" s="414">
        <f>120.5+97*2</f>
        <v>314.5</v>
      </c>
      <c r="F67">
        <f>6+15</f>
        <v>21</v>
      </c>
      <c r="G67">
        <f>+E67*F67</f>
        <v>6604.5</v>
      </c>
      <c r="H67" s="451">
        <f>+(E67*F67+E68*F68)/(SUM(F67:F68))</f>
        <v>324.08181818181816</v>
      </c>
      <c r="I67" s="583">
        <f>+'21'!I38</f>
        <v>68.177999999999997</v>
      </c>
    </row>
    <row r="68" spans="1:9">
      <c r="A68" s="561"/>
      <c r="B68" s="414" t="s">
        <v>610</v>
      </c>
      <c r="C68">
        <v>2</v>
      </c>
      <c r="D68" s="414" t="s">
        <v>428</v>
      </c>
      <c r="E68" s="414">
        <f>165*2</f>
        <v>330</v>
      </c>
      <c r="F68">
        <v>34</v>
      </c>
      <c r="G68">
        <f>+E68*F68</f>
        <v>11220</v>
      </c>
      <c r="H68" s="451"/>
      <c r="I68" s="583"/>
    </row>
    <row r="69" spans="1:9" ht="13.5" thickBot="1">
      <c r="A69" s="418"/>
      <c r="B69" s="588"/>
      <c r="C69" s="419"/>
      <c r="D69" s="420"/>
      <c r="E69" s="419"/>
      <c r="F69" s="419"/>
      <c r="G69" s="419"/>
      <c r="H69" s="589"/>
      <c r="I69" s="592"/>
    </row>
    <row r="70" spans="1:9">
      <c r="A70" s="561">
        <v>46013</v>
      </c>
      <c r="B70" s="414" t="s">
        <v>610</v>
      </c>
      <c r="C70">
        <v>2</v>
      </c>
      <c r="D70" s="414" t="s">
        <v>428</v>
      </c>
      <c r="E70" s="414">
        <f>120.5+97*2</f>
        <v>314.5</v>
      </c>
      <c r="F70">
        <v>15</v>
      </c>
      <c r="G70">
        <f>+E70*F70</f>
        <v>4717.5</v>
      </c>
      <c r="H70" s="451">
        <f>+G70/F70</f>
        <v>314.5</v>
      </c>
      <c r="I70" s="583">
        <f>+'22'!P37</f>
        <v>10.500000000000002</v>
      </c>
    </row>
    <row r="71" spans="1:9">
      <c r="A71" s="561"/>
      <c r="B71" s="414" t="s">
        <v>623</v>
      </c>
      <c r="C71">
        <v>2</v>
      </c>
      <c r="D71" s="414" t="s">
        <v>624</v>
      </c>
      <c r="E71" s="414">
        <f>117*2+94</f>
        <v>328</v>
      </c>
      <c r="F71">
        <v>8</v>
      </c>
      <c r="G71">
        <f>+E71*F71</f>
        <v>2624</v>
      </c>
      <c r="H71" s="451">
        <f>+G71/F71</f>
        <v>328</v>
      </c>
      <c r="I71" s="583">
        <f>+'22'!P38</f>
        <v>10.600999999999999</v>
      </c>
    </row>
    <row r="72" spans="1:9">
      <c r="A72" s="561"/>
      <c r="B72" s="414" t="s">
        <v>620</v>
      </c>
      <c r="C72">
        <v>2</v>
      </c>
      <c r="D72" s="414" t="s">
        <v>626</v>
      </c>
      <c r="E72" s="414">
        <f>169.5+149</f>
        <v>318.5</v>
      </c>
      <c r="F72">
        <v>7</v>
      </c>
      <c r="G72">
        <f>+E72*F72</f>
        <v>2229.5</v>
      </c>
      <c r="H72" s="451">
        <f>+G72/F72</f>
        <v>318.5</v>
      </c>
      <c r="I72" s="583">
        <f>+'22'!P39</f>
        <v>9.7050000000000001</v>
      </c>
    </row>
    <row r="73" spans="1:9">
      <c r="A73" s="561"/>
      <c r="B73" s="414" t="s">
        <v>625</v>
      </c>
      <c r="C73">
        <v>2</v>
      </c>
      <c r="D73" s="414" t="s">
        <v>627</v>
      </c>
      <c r="E73" s="414">
        <f>244+44+42</f>
        <v>330</v>
      </c>
      <c r="F73">
        <f>9+15</f>
        <v>24</v>
      </c>
      <c r="G73">
        <f>+E73*F73</f>
        <v>7920</v>
      </c>
      <c r="H73" s="451">
        <f>+G73/F73</f>
        <v>330</v>
      </c>
      <c r="I73" s="583">
        <f>+'22'!P40</f>
        <v>42.861000000000004</v>
      </c>
    </row>
    <row r="74" spans="1:9" ht="13.5" thickBot="1">
      <c r="A74" s="418"/>
      <c r="B74" s="588"/>
      <c r="C74" s="419"/>
      <c r="D74" s="420"/>
      <c r="E74" s="419"/>
      <c r="F74" s="419"/>
      <c r="G74" s="419"/>
      <c r="H74" s="589"/>
      <c r="I74" s="592"/>
    </row>
    <row r="75" spans="1:9">
      <c r="A75" s="561">
        <v>46014</v>
      </c>
      <c r="B75" s="450" t="s">
        <v>625</v>
      </c>
      <c r="C75" s="381">
        <v>2</v>
      </c>
      <c r="D75" s="415" t="s">
        <v>627</v>
      </c>
      <c r="E75" s="415">
        <f>244+44+42</f>
        <v>330</v>
      </c>
      <c r="F75" s="381">
        <f>3+8+7+8</f>
        <v>26</v>
      </c>
      <c r="G75" s="381">
        <f>+E75*F75</f>
        <v>8580</v>
      </c>
      <c r="H75" s="596">
        <f>+(E75*F75+E76*F76+E77*F77)/(SUM(F75:F77))</f>
        <v>329.65957446808511</v>
      </c>
      <c r="I75" s="583">
        <f>+'21'!I46</f>
        <v>35244.770000000615</v>
      </c>
    </row>
    <row r="76" spans="1:9">
      <c r="A76" s="561"/>
      <c r="B76" s="562" t="s">
        <v>625</v>
      </c>
      <c r="C76">
        <v>2</v>
      </c>
      <c r="D76" s="414" t="s">
        <v>632</v>
      </c>
      <c r="E76" s="414">
        <f>44*4+66+88</f>
        <v>330</v>
      </c>
      <c r="F76">
        <f>3+2+5+3</f>
        <v>13</v>
      </c>
      <c r="G76">
        <f>+E76*F76</f>
        <v>4290</v>
      </c>
      <c r="H76" s="451"/>
      <c r="I76" s="583"/>
    </row>
    <row r="77" spans="1:9">
      <c r="A77" s="561"/>
      <c r="B77" s="562" t="s">
        <v>625</v>
      </c>
      <c r="C77">
        <v>2</v>
      </c>
      <c r="D77" s="414" t="s">
        <v>633</v>
      </c>
      <c r="E77" s="414">
        <f>88*3+64</f>
        <v>328</v>
      </c>
      <c r="F77">
        <v>8</v>
      </c>
      <c r="G77">
        <f>+E77*F77</f>
        <v>2624</v>
      </c>
      <c r="H77" s="451"/>
      <c r="I77" s="583"/>
    </row>
    <row r="78" spans="1:9" ht="13.5" thickBot="1">
      <c r="A78" s="418"/>
      <c r="B78" s="597"/>
      <c r="C78" s="419"/>
      <c r="D78" s="420"/>
      <c r="E78" s="419"/>
      <c r="F78" s="419"/>
      <c r="G78" s="419"/>
      <c r="H78" s="595"/>
      <c r="I78" s="595"/>
    </row>
    <row r="79" spans="1:9">
      <c r="A79" s="561">
        <v>46015</v>
      </c>
      <c r="B79" s="450" t="s">
        <v>625</v>
      </c>
      <c r="C79" s="381">
        <v>2</v>
      </c>
      <c r="D79" s="415" t="s">
        <v>627</v>
      </c>
      <c r="E79" s="415">
        <f>244+44+42</f>
        <v>330</v>
      </c>
      <c r="F79" s="381">
        <v>1</v>
      </c>
      <c r="G79" s="381">
        <f>+E79*F79</f>
        <v>330</v>
      </c>
      <c r="H79" s="596">
        <f>+(E79*F79+E80*F80+E81*F81)/(SUM(F79:F81))</f>
        <v>328.58333333333331</v>
      </c>
      <c r="I79" s="583">
        <f>+'24'!I38-I82</f>
        <v>54.287999999999997</v>
      </c>
    </row>
    <row r="80" spans="1:9">
      <c r="A80" s="561"/>
      <c r="B80" s="562" t="s">
        <v>625</v>
      </c>
      <c r="C80">
        <v>2</v>
      </c>
      <c r="D80" s="414" t="s">
        <v>633</v>
      </c>
      <c r="E80" s="414">
        <f>88*3+64</f>
        <v>328</v>
      </c>
      <c r="F80">
        <f>8+1+4+4</f>
        <v>17</v>
      </c>
      <c r="G80">
        <f>+E80*F80</f>
        <v>5576</v>
      </c>
      <c r="H80" s="451"/>
      <c r="I80" s="583"/>
    </row>
    <row r="81" spans="1:9">
      <c r="A81" s="561"/>
      <c r="B81" s="562" t="s">
        <v>625</v>
      </c>
      <c r="C81">
        <v>2</v>
      </c>
      <c r="D81" s="414" t="s">
        <v>648</v>
      </c>
      <c r="E81" s="414">
        <f>66*5</f>
        <v>330</v>
      </c>
      <c r="F81">
        <v>6</v>
      </c>
      <c r="G81">
        <f>+E81*F81</f>
        <v>1980</v>
      </c>
      <c r="H81" s="451"/>
      <c r="I81" s="583"/>
    </row>
    <row r="82" spans="1:9">
      <c r="A82" s="561"/>
      <c r="B82" s="562" t="s">
        <v>642</v>
      </c>
      <c r="C82">
        <v>2</v>
      </c>
      <c r="D82" s="414" t="s">
        <v>649</v>
      </c>
      <c r="E82" s="414">
        <f>157*2</f>
        <v>314</v>
      </c>
      <c r="F82">
        <f>4+4+9+8</f>
        <v>25</v>
      </c>
      <c r="G82">
        <f>+E82*F82</f>
        <v>7850</v>
      </c>
      <c r="H82" s="451">
        <f>+G82/F82</f>
        <v>314</v>
      </c>
      <c r="I82" s="583">
        <v>20</v>
      </c>
    </row>
    <row r="83" spans="1:9" ht="13.5" thickBot="1">
      <c r="A83" s="418"/>
      <c r="B83" s="597"/>
      <c r="C83" s="419"/>
      <c r="D83" s="420"/>
      <c r="E83" s="419"/>
      <c r="F83" s="419"/>
      <c r="G83" s="419"/>
      <c r="H83" s="595"/>
      <c r="I83" s="595"/>
    </row>
    <row r="84" spans="1:9">
      <c r="A84" s="561">
        <v>46016</v>
      </c>
      <c r="B84" s="562" t="s">
        <v>642</v>
      </c>
      <c r="C84">
        <v>2</v>
      </c>
      <c r="D84" s="414" t="s">
        <v>649</v>
      </c>
      <c r="E84" s="414">
        <f>157*2</f>
        <v>314</v>
      </c>
      <c r="F84">
        <f>9+8+8+9+4</f>
        <v>38</v>
      </c>
      <c r="G84" s="381">
        <f>+E84*F84</f>
        <v>11932</v>
      </c>
      <c r="H84" s="451">
        <f>+G84/F84</f>
        <v>314</v>
      </c>
      <c r="I84" s="583">
        <f>+'25'!I38-I85</f>
        <v>67.999000000000009</v>
      </c>
    </row>
    <row r="85" spans="1:9">
      <c r="A85" s="561"/>
      <c r="B85" s="562" t="s">
        <v>448</v>
      </c>
      <c r="C85">
        <v>2</v>
      </c>
      <c r="D85" s="414" t="s">
        <v>428</v>
      </c>
      <c r="E85" s="414">
        <f>165*2</f>
        <v>330</v>
      </c>
      <c r="F85">
        <f>3+4</f>
        <v>7</v>
      </c>
      <c r="G85">
        <f>+E85*F85</f>
        <v>2310</v>
      </c>
      <c r="H85" s="451">
        <f>+G85/F85</f>
        <v>330</v>
      </c>
      <c r="I85" s="583">
        <v>5.52</v>
      </c>
    </row>
    <row r="86" spans="1:9" ht="13.5" thickBot="1">
      <c r="A86" s="418"/>
      <c r="B86" s="597"/>
      <c r="C86" s="419"/>
      <c r="D86" s="420"/>
      <c r="E86" s="419"/>
      <c r="F86" s="419"/>
      <c r="G86" s="419"/>
      <c r="H86" s="595"/>
      <c r="I86" s="595"/>
    </row>
    <row r="87" spans="1:9">
      <c r="A87" s="561">
        <v>46017</v>
      </c>
      <c r="B87" s="562" t="s">
        <v>448</v>
      </c>
      <c r="C87">
        <v>2</v>
      </c>
      <c r="D87" s="414" t="s">
        <v>428</v>
      </c>
      <c r="E87" s="414">
        <f>165*2</f>
        <v>330</v>
      </c>
      <c r="F87">
        <v>35</v>
      </c>
      <c r="G87">
        <f>+E87*F87</f>
        <v>11550</v>
      </c>
      <c r="H87" s="451">
        <f>+G87/F87</f>
        <v>330</v>
      </c>
      <c r="I87" s="583">
        <f>+'26'!N37</f>
        <v>52.489000000000004</v>
      </c>
    </row>
    <row r="88" spans="1:9">
      <c r="B88" s="562" t="s">
        <v>425</v>
      </c>
      <c r="C88">
        <v>2</v>
      </c>
      <c r="D88" s="414" t="s">
        <v>429</v>
      </c>
      <c r="E88" s="414">
        <f>149+169</f>
        <v>318</v>
      </c>
      <c r="F88">
        <v>17</v>
      </c>
      <c r="G88">
        <f>+E88*F88</f>
        <v>5406</v>
      </c>
      <c r="H88" s="451">
        <f>+G88/F88</f>
        <v>318</v>
      </c>
      <c r="I88" s="583">
        <f>+'26'!N38</f>
        <v>27.028999999999996</v>
      </c>
    </row>
    <row r="89" spans="1:9" ht="13.5" thickBot="1">
      <c r="A89" s="418"/>
      <c r="B89" s="597"/>
      <c r="C89" s="419"/>
      <c r="D89" s="420"/>
      <c r="E89" s="419"/>
      <c r="F89" s="419"/>
      <c r="G89" s="419"/>
      <c r="H89" s="595"/>
      <c r="I89" s="595"/>
    </row>
    <row r="90" spans="1:9">
      <c r="A90" s="561">
        <v>46018</v>
      </c>
      <c r="B90" s="562" t="s">
        <v>425</v>
      </c>
      <c r="C90">
        <v>2</v>
      </c>
      <c r="D90" s="414" t="s">
        <v>429</v>
      </c>
      <c r="E90" s="414">
        <f>149+169</f>
        <v>318</v>
      </c>
      <c r="F90">
        <f>17+17+17</f>
        <v>51</v>
      </c>
      <c r="G90">
        <f>+E90*F90</f>
        <v>16218</v>
      </c>
      <c r="H90" s="451">
        <f>+G90/F90</f>
        <v>318</v>
      </c>
      <c r="I90" s="583">
        <f>+'27'!I38</f>
        <v>78.304000000000002</v>
      </c>
    </row>
    <row r="91" spans="1:9" ht="13.5" thickBot="1">
      <c r="A91" s="418"/>
      <c r="B91" s="597"/>
      <c r="C91" s="419"/>
      <c r="D91" s="420"/>
      <c r="E91" s="419"/>
      <c r="F91" s="419"/>
      <c r="G91" s="419"/>
      <c r="H91" s="595"/>
      <c r="I91" s="595"/>
    </row>
    <row r="92" spans="1:9">
      <c r="A92" s="561">
        <v>46019</v>
      </c>
      <c r="B92" s="562" t="s">
        <v>425</v>
      </c>
      <c r="C92">
        <v>2</v>
      </c>
      <c r="D92" s="414" t="s">
        <v>429</v>
      </c>
      <c r="E92" s="414">
        <f>149+169</f>
        <v>318</v>
      </c>
      <c r="F92">
        <v>47</v>
      </c>
      <c r="G92">
        <f>+E92*F92</f>
        <v>14946</v>
      </c>
      <c r="H92" s="451">
        <f>+G92/F92</f>
        <v>318</v>
      </c>
      <c r="I92" s="583">
        <f>+'28'!I38</f>
        <v>70.75200000000001</v>
      </c>
    </row>
    <row r="93" spans="1:9" ht="13.5" thickBot="1">
      <c r="A93" s="418"/>
      <c r="B93" s="597"/>
      <c r="C93" s="419"/>
      <c r="D93" s="420"/>
      <c r="E93" s="419"/>
      <c r="F93" s="419"/>
      <c r="G93" s="419"/>
      <c r="H93" s="595"/>
      <c r="I93" s="595"/>
    </row>
    <row r="94" spans="1:9">
      <c r="A94" s="561">
        <v>46020</v>
      </c>
      <c r="B94" s="562" t="s">
        <v>425</v>
      </c>
      <c r="C94">
        <v>2</v>
      </c>
      <c r="D94" s="414" t="s">
        <v>429</v>
      </c>
      <c r="E94" s="414">
        <f>149+169</f>
        <v>318</v>
      </c>
      <c r="F94">
        <v>14</v>
      </c>
      <c r="G94">
        <f>+E94*F94</f>
        <v>4452</v>
      </c>
      <c r="H94" s="451">
        <f>+G94/F94</f>
        <v>318</v>
      </c>
      <c r="I94" s="583">
        <f>+'29'!N37</f>
        <v>9.0629999999999988</v>
      </c>
    </row>
    <row r="95" spans="1:9">
      <c r="B95" s="562" t="s">
        <v>691</v>
      </c>
      <c r="C95">
        <v>2</v>
      </c>
      <c r="D95" s="414" t="s">
        <v>692</v>
      </c>
      <c r="E95" s="414">
        <f>30*2+90*3</f>
        <v>330</v>
      </c>
      <c r="F95">
        <v>16</v>
      </c>
      <c r="G95">
        <f>+E95*F95</f>
        <v>5280</v>
      </c>
      <c r="H95" s="451">
        <f>+(E95*F95+E96*F96)/(SUM(F95:F96))</f>
        <v>325</v>
      </c>
      <c r="I95" s="583">
        <f>+'29'!N38</f>
        <v>42.673999999999992</v>
      </c>
    </row>
    <row r="96" spans="1:9">
      <c r="B96" s="562" t="s">
        <v>691</v>
      </c>
      <c r="C96">
        <v>2</v>
      </c>
      <c r="D96" s="414" t="s">
        <v>579</v>
      </c>
      <c r="E96" s="414">
        <f>40*8</f>
        <v>320</v>
      </c>
      <c r="F96">
        <v>16</v>
      </c>
      <c r="G96">
        <f>+E96*F96</f>
        <v>5120</v>
      </c>
      <c r="H96" s="451"/>
      <c r="I96" s="583"/>
    </row>
    <row r="97" spans="1:9" ht="13.5" thickBot="1">
      <c r="A97" s="418"/>
      <c r="B97" s="597"/>
      <c r="C97" s="419"/>
      <c r="D97" s="420"/>
      <c r="E97" s="419"/>
      <c r="F97" s="419"/>
      <c r="G97" s="419"/>
      <c r="H97" s="595"/>
      <c r="I97" s="595"/>
    </row>
    <row r="98" spans="1:9">
      <c r="A98" s="561">
        <v>46021</v>
      </c>
      <c r="B98" s="562" t="s">
        <v>691</v>
      </c>
      <c r="C98">
        <v>2</v>
      </c>
      <c r="D98" s="414" t="s">
        <v>579</v>
      </c>
      <c r="E98" s="414">
        <f>40*8</f>
        <v>320</v>
      </c>
      <c r="F98">
        <f>4+2+4+4+1</f>
        <v>15</v>
      </c>
      <c r="G98">
        <f t="shared" ref="G98:G103" si="0">+E98*F98</f>
        <v>4800</v>
      </c>
      <c r="H98" s="451">
        <f>+(E98*F98+E99*F99)/(SUM(F98:F99))</f>
        <v>324.82758620689657</v>
      </c>
      <c r="I98" s="583">
        <f>+'30'!N37</f>
        <v>25.324000000000002</v>
      </c>
    </row>
    <row r="99" spans="1:9">
      <c r="B99" s="562" t="s">
        <v>691</v>
      </c>
      <c r="C99">
        <v>2</v>
      </c>
      <c r="D99" s="414" t="s">
        <v>702</v>
      </c>
      <c r="E99" s="414">
        <f>30*11</f>
        <v>330</v>
      </c>
      <c r="F99">
        <f>3+1+3+1+2+3+1</f>
        <v>14</v>
      </c>
      <c r="G99">
        <f t="shared" si="0"/>
        <v>4620</v>
      </c>
      <c r="H99" s="451"/>
      <c r="I99" s="583"/>
    </row>
    <row r="100" spans="1:9">
      <c r="B100" s="562" t="s">
        <v>534</v>
      </c>
      <c r="C100">
        <v>2</v>
      </c>
      <c r="D100" s="414" t="s">
        <v>703</v>
      </c>
      <c r="E100" s="414">
        <f>162+135+23</f>
        <v>320</v>
      </c>
      <c r="F100">
        <v>8</v>
      </c>
      <c r="G100">
        <f t="shared" si="0"/>
        <v>2560</v>
      </c>
      <c r="H100" s="451">
        <f>+(E100*F100+E101*F101+F102*E102+F103*E103)/(SUM(F100:F103))</f>
        <v>323</v>
      </c>
      <c r="I100" s="583">
        <f>+'30'!N38</f>
        <v>25.565000000000001</v>
      </c>
    </row>
    <row r="101" spans="1:9">
      <c r="B101" s="562" t="s">
        <v>534</v>
      </c>
      <c r="C101">
        <v>2</v>
      </c>
      <c r="D101" s="414" t="s">
        <v>705</v>
      </c>
      <c r="E101" s="414">
        <f>162+23*7</f>
        <v>323</v>
      </c>
      <c r="F101">
        <f>3+1</f>
        <v>4</v>
      </c>
      <c r="G101">
        <f t="shared" si="0"/>
        <v>1292</v>
      </c>
      <c r="H101" s="451"/>
      <c r="I101" s="583"/>
    </row>
    <row r="102" spans="1:9">
      <c r="B102" s="562" t="s">
        <v>537</v>
      </c>
      <c r="C102">
        <v>2</v>
      </c>
      <c r="D102" s="414" t="s">
        <v>704</v>
      </c>
      <c r="E102" s="414">
        <f>162*2</f>
        <v>324</v>
      </c>
      <c r="F102">
        <f>1+9</f>
        <v>10</v>
      </c>
      <c r="G102">
        <f t="shared" si="0"/>
        <v>3240</v>
      </c>
      <c r="H102" s="451"/>
      <c r="I102" s="583"/>
    </row>
    <row r="103" spans="1:9">
      <c r="B103" s="562" t="s">
        <v>537</v>
      </c>
      <c r="C103">
        <v>2</v>
      </c>
      <c r="D103" s="414" t="s">
        <v>702</v>
      </c>
      <c r="E103" s="414">
        <f>30*11</f>
        <v>330</v>
      </c>
      <c r="F103">
        <v>2</v>
      </c>
      <c r="G103">
        <f t="shared" si="0"/>
        <v>660</v>
      </c>
      <c r="H103" s="451"/>
      <c r="I103" s="583"/>
    </row>
    <row r="104" spans="1:9" ht="13.5" thickBot="1">
      <c r="A104" s="418"/>
      <c r="B104" s="597"/>
      <c r="C104" s="419"/>
      <c r="D104" s="420"/>
      <c r="E104" s="419"/>
      <c r="F104" s="419"/>
      <c r="G104" s="419"/>
      <c r="H104" s="595"/>
      <c r="I104" s="595"/>
    </row>
    <row r="105" spans="1:9">
      <c r="A105" s="561">
        <v>46387</v>
      </c>
      <c r="B105" s="562" t="s">
        <v>534</v>
      </c>
      <c r="C105">
        <v>2</v>
      </c>
      <c r="D105" s="414" t="s">
        <v>705</v>
      </c>
      <c r="E105" s="414">
        <f>162+23*7</f>
        <v>323</v>
      </c>
      <c r="F105">
        <f>11+10+6</f>
        <v>27</v>
      </c>
      <c r="G105">
        <f>+E105*F105</f>
        <v>8721</v>
      </c>
      <c r="H105" s="451">
        <f>+G105/F105</f>
        <v>323</v>
      </c>
      <c r="I105" s="583">
        <f>+'31'!N37</f>
        <v>13.810999999999993</v>
      </c>
    </row>
    <row r="106" spans="1:9">
      <c r="B106" s="562" t="s">
        <v>537</v>
      </c>
      <c r="C106">
        <v>2</v>
      </c>
      <c r="D106" s="414" t="s">
        <v>704</v>
      </c>
      <c r="E106" s="414">
        <f>162*2</f>
        <v>324</v>
      </c>
      <c r="F106">
        <v>26</v>
      </c>
      <c r="G106">
        <f>+E106*F106</f>
        <v>8424</v>
      </c>
      <c r="H106" s="451">
        <f>+G106/F106</f>
        <v>324</v>
      </c>
      <c r="I106" s="583">
        <f>+'31'!N38</f>
        <v>33.989000000000004</v>
      </c>
    </row>
    <row r="107" spans="1:9">
      <c r="B107" s="562" t="s">
        <v>537</v>
      </c>
      <c r="C107">
        <v>2</v>
      </c>
      <c r="D107" s="414" t="s">
        <v>704</v>
      </c>
      <c r="E107" s="414">
        <f>162*2</f>
        <v>324</v>
      </c>
      <c r="F107">
        <v>4</v>
      </c>
      <c r="G107">
        <f>+E107*F107</f>
        <v>1296</v>
      </c>
      <c r="H107" s="451">
        <f>+G107/F107</f>
        <v>324</v>
      </c>
      <c r="I107" s="583">
        <f>+'31'!N39</f>
        <v>8.61</v>
      </c>
    </row>
    <row r="108" spans="1:9" ht="13.5" thickBot="1">
      <c r="A108" s="418"/>
      <c r="B108" s="597"/>
      <c r="C108" s="419"/>
      <c r="D108" s="420"/>
      <c r="E108" s="419"/>
      <c r="F108" s="419"/>
      <c r="G108" s="419"/>
      <c r="H108" s="595"/>
      <c r="I108" s="595"/>
    </row>
  </sheetData>
  <phoneticPr fontId="31" type="noConversion"/>
  <pageMargins left="0.75" right="0.75" top="1" bottom="1" header="0.5" footer="0.5"/>
  <pageSetup orientation="portrait" horizontalDpi="0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CS191"/>
  <sheetViews>
    <sheetView zoomScale="90" zoomScaleNormal="90" workbookViewId="0">
      <pane xSplit="6" ySplit="6" topLeftCell="G156" activePane="bottomRight" state="frozen"/>
      <selection activeCell="DM11" sqref="A4:DM11"/>
      <selection pane="topRight" activeCell="DM11" sqref="A4:DM11"/>
      <selection pane="bottomLeft" activeCell="DM11" sqref="A4:DM11"/>
      <selection pane="bottomRight" activeCell="J168" sqref="J168"/>
    </sheetView>
  </sheetViews>
  <sheetFormatPr defaultColWidth="10.28515625" defaultRowHeight="12"/>
  <cols>
    <col min="1" max="1" width="12.28515625" style="33" customWidth="1"/>
    <col min="2" max="2" width="14.140625" style="33" customWidth="1"/>
    <col min="3" max="3" width="10.140625" style="33" customWidth="1"/>
    <col min="4" max="4" width="10.28515625" style="33" customWidth="1"/>
    <col min="5" max="5" width="7.5703125" style="33" bestFit="1" customWidth="1"/>
    <col min="6" max="6" width="7" style="58" customWidth="1"/>
    <col min="7" max="9" width="10.28515625" style="33" customWidth="1"/>
    <col min="10" max="11" width="10.28515625" style="87" customWidth="1"/>
    <col min="12" max="13" width="12.7109375" style="59" customWidth="1"/>
    <col min="14" max="15" width="10.28515625" style="33" customWidth="1"/>
    <col min="16" max="16" width="16.85546875" style="33" bestFit="1" customWidth="1"/>
    <col min="17" max="17" width="12.7109375" style="383" customWidth="1"/>
    <col min="18" max="19" width="10.28515625" style="33" customWidth="1"/>
    <col min="20" max="20" width="10.7109375" style="33" customWidth="1"/>
    <col min="21" max="21" width="10.28515625" style="33" customWidth="1"/>
    <col min="22" max="22" width="12.28515625" style="33" customWidth="1"/>
    <col min="23" max="23" width="13" style="33" customWidth="1"/>
    <col min="24" max="24" width="10.28515625" style="33" customWidth="1"/>
    <col min="25" max="25" width="10.140625" style="33" customWidth="1"/>
    <col min="26" max="26" width="10.28515625" style="600" customWidth="1"/>
    <col min="27" max="28" width="10.28515625" style="33" customWidth="1"/>
    <col min="29" max="29" width="12" style="33" customWidth="1"/>
    <col min="30" max="30" width="11.42578125" style="33" bestFit="1" customWidth="1"/>
    <col min="31" max="31" width="41.42578125" style="33" customWidth="1"/>
    <col min="32" max="38" width="10.28515625" style="33" customWidth="1"/>
    <col min="39" max="39" width="11.7109375" style="33" customWidth="1"/>
    <col min="40" max="41" width="10.28515625" style="33" customWidth="1"/>
    <col min="42" max="43" width="12.42578125" style="33" customWidth="1"/>
    <col min="44" max="44" width="29.7109375" style="33" bestFit="1" customWidth="1"/>
    <col min="45" max="16384" width="10.28515625" style="33"/>
  </cols>
  <sheetData>
    <row r="1" spans="1:58" s="26" customFormat="1" ht="15.75" customHeight="1">
      <c r="A1" s="25" t="s">
        <v>176</v>
      </c>
      <c r="G1" s="27"/>
      <c r="H1" s="27"/>
      <c r="I1" s="27"/>
      <c r="J1" s="84"/>
      <c r="K1" s="84"/>
      <c r="L1" s="28"/>
      <c r="M1" s="28"/>
      <c r="O1" s="27"/>
      <c r="P1" s="29"/>
      <c r="Q1" s="27"/>
      <c r="R1" s="29"/>
      <c r="S1" s="29"/>
      <c r="W1" s="29"/>
      <c r="X1" s="30"/>
      <c r="Y1" s="30"/>
      <c r="Z1" s="598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</row>
    <row r="2" spans="1:58" s="26" customFormat="1">
      <c r="A2" s="94"/>
      <c r="G2" s="27"/>
      <c r="H2" s="27"/>
      <c r="I2" s="27"/>
      <c r="J2" s="84"/>
      <c r="K2" s="84"/>
      <c r="L2" s="28"/>
      <c r="M2" s="28"/>
      <c r="O2" s="27"/>
      <c r="P2" s="29"/>
      <c r="Q2" s="27"/>
      <c r="R2" s="29"/>
      <c r="S2" s="29"/>
      <c r="W2" s="29"/>
      <c r="X2" s="30"/>
      <c r="Y2" s="30"/>
      <c r="Z2" s="598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</row>
    <row r="3" spans="1:58" ht="24" customHeight="1">
      <c r="A3" s="662" t="s">
        <v>9</v>
      </c>
      <c r="B3" s="662" t="s">
        <v>10</v>
      </c>
      <c r="C3" s="662" t="s">
        <v>199</v>
      </c>
      <c r="D3" s="662" t="s">
        <v>93</v>
      </c>
      <c r="E3" s="662" t="s">
        <v>94</v>
      </c>
      <c r="F3" s="662" t="s">
        <v>95</v>
      </c>
      <c r="G3" s="667" t="s">
        <v>96</v>
      </c>
      <c r="H3" s="668"/>
      <c r="I3" s="668"/>
      <c r="J3" s="668"/>
      <c r="K3" s="669"/>
      <c r="L3" s="673" t="s">
        <v>97</v>
      </c>
      <c r="M3" s="674"/>
      <c r="N3" s="675"/>
      <c r="O3" s="679" t="s">
        <v>98</v>
      </c>
      <c r="P3" s="664" t="s">
        <v>110</v>
      </c>
      <c r="Q3" s="679" t="s">
        <v>99</v>
      </c>
      <c r="R3" s="681" t="s">
        <v>100</v>
      </c>
      <c r="S3" s="681" t="s">
        <v>101</v>
      </c>
      <c r="T3" s="662" t="s">
        <v>154</v>
      </c>
      <c r="U3" s="662" t="s">
        <v>153</v>
      </c>
      <c r="V3" s="662" t="s">
        <v>155</v>
      </c>
      <c r="W3" s="681" t="s">
        <v>145</v>
      </c>
      <c r="X3" s="690" t="s">
        <v>103</v>
      </c>
      <c r="Y3" s="690" t="s">
        <v>290</v>
      </c>
      <c r="Z3" s="692" t="s">
        <v>104</v>
      </c>
      <c r="AA3" s="662" t="s">
        <v>156</v>
      </c>
      <c r="AB3" s="662" t="s">
        <v>167</v>
      </c>
      <c r="AC3" s="662" t="s">
        <v>165</v>
      </c>
      <c r="AD3" s="662" t="s">
        <v>128</v>
      </c>
      <c r="AE3" s="662" t="s">
        <v>129</v>
      </c>
      <c r="AF3" s="683" t="s">
        <v>130</v>
      </c>
      <c r="AG3" s="683"/>
      <c r="AH3" s="683"/>
      <c r="AI3" s="683"/>
      <c r="AJ3" s="683"/>
      <c r="AK3" s="683"/>
      <c r="AL3" s="683"/>
      <c r="AM3" s="706" t="s">
        <v>131</v>
      </c>
      <c r="AN3" s="715" t="s">
        <v>105</v>
      </c>
      <c r="AO3" s="715"/>
      <c r="AP3" s="715"/>
      <c r="AQ3" s="715"/>
      <c r="AR3" s="715"/>
      <c r="AS3" s="716" t="s">
        <v>106</v>
      </c>
      <c r="AT3" s="711" t="s">
        <v>200</v>
      </c>
      <c r="AU3" s="712"/>
      <c r="AV3" s="718" t="s">
        <v>132</v>
      </c>
      <c r="AW3" s="719"/>
      <c r="AX3" s="685" t="s">
        <v>132</v>
      </c>
      <c r="AY3" s="686"/>
      <c r="AZ3" s="687" t="s">
        <v>304</v>
      </c>
      <c r="BA3" s="709" t="s">
        <v>107</v>
      </c>
      <c r="BB3" s="704" t="s">
        <v>108</v>
      </c>
      <c r="BC3" s="704" t="s">
        <v>109</v>
      </c>
      <c r="BD3" s="698" t="s">
        <v>374</v>
      </c>
      <c r="BE3" s="701" t="s">
        <v>375</v>
      </c>
      <c r="BF3" s="704" t="s">
        <v>376</v>
      </c>
    </row>
    <row r="4" spans="1:58" ht="12" customHeight="1">
      <c r="A4" s="663"/>
      <c r="B4" s="663"/>
      <c r="C4" s="663"/>
      <c r="D4" s="663"/>
      <c r="E4" s="663"/>
      <c r="F4" s="663"/>
      <c r="G4" s="670"/>
      <c r="H4" s="671"/>
      <c r="I4" s="671"/>
      <c r="J4" s="671"/>
      <c r="K4" s="672"/>
      <c r="L4" s="676"/>
      <c r="M4" s="677"/>
      <c r="N4" s="678"/>
      <c r="O4" s="680"/>
      <c r="P4" s="665"/>
      <c r="Q4" s="680"/>
      <c r="R4" s="682"/>
      <c r="S4" s="682"/>
      <c r="T4" s="663"/>
      <c r="U4" s="663"/>
      <c r="V4" s="663"/>
      <c r="W4" s="682"/>
      <c r="X4" s="691"/>
      <c r="Y4" s="691"/>
      <c r="Z4" s="693"/>
      <c r="AA4" s="663"/>
      <c r="AB4" s="663"/>
      <c r="AC4" s="663"/>
      <c r="AD4" s="663"/>
      <c r="AE4" s="663"/>
      <c r="AF4" s="695" t="s">
        <v>133</v>
      </c>
      <c r="AG4" s="696"/>
      <c r="AH4" s="697"/>
      <c r="AI4" s="665" t="s">
        <v>201</v>
      </c>
      <c r="AJ4" s="665" t="s">
        <v>16</v>
      </c>
      <c r="AK4" s="665" t="s">
        <v>134</v>
      </c>
      <c r="AL4" s="665" t="s">
        <v>19</v>
      </c>
      <c r="AM4" s="707"/>
      <c r="AN4" s="710" t="s">
        <v>111</v>
      </c>
      <c r="AO4" s="710" t="s">
        <v>16</v>
      </c>
      <c r="AP4" s="710" t="s">
        <v>112</v>
      </c>
      <c r="AQ4" s="710" t="s">
        <v>19</v>
      </c>
      <c r="AR4" s="709" t="s">
        <v>113</v>
      </c>
      <c r="AS4" s="716"/>
      <c r="AT4" s="713"/>
      <c r="AU4" s="714"/>
      <c r="AV4" s="532" t="s">
        <v>7</v>
      </c>
      <c r="AW4" s="532" t="s">
        <v>135</v>
      </c>
      <c r="AX4" s="533" t="s">
        <v>7</v>
      </c>
      <c r="AY4" s="534" t="s">
        <v>135</v>
      </c>
      <c r="AZ4" s="688"/>
      <c r="BA4" s="709"/>
      <c r="BB4" s="704"/>
      <c r="BC4" s="704"/>
      <c r="BD4" s="699"/>
      <c r="BE4" s="702"/>
      <c r="BF4" s="704"/>
    </row>
    <row r="5" spans="1:58" s="36" customFormat="1" ht="48">
      <c r="A5" s="663"/>
      <c r="B5" s="663"/>
      <c r="C5" s="684"/>
      <c r="D5" s="663"/>
      <c r="E5" s="663"/>
      <c r="F5" s="663"/>
      <c r="G5" s="510" t="s">
        <v>114</v>
      </c>
      <c r="H5" s="509" t="s">
        <v>115</v>
      </c>
      <c r="I5" s="34" t="s">
        <v>116</v>
      </c>
      <c r="J5" s="85" t="s">
        <v>117</v>
      </c>
      <c r="K5" s="85" t="s">
        <v>102</v>
      </c>
      <c r="L5" s="35" t="s">
        <v>118</v>
      </c>
      <c r="M5" s="35" t="s">
        <v>119</v>
      </c>
      <c r="N5" s="509" t="s">
        <v>120</v>
      </c>
      <c r="O5" s="680"/>
      <c r="P5" s="666"/>
      <c r="Q5" s="680"/>
      <c r="R5" s="682"/>
      <c r="S5" s="682"/>
      <c r="T5" s="663"/>
      <c r="U5" s="663"/>
      <c r="V5" s="663"/>
      <c r="W5" s="682"/>
      <c r="X5" s="691"/>
      <c r="Y5" s="694"/>
      <c r="Z5" s="693"/>
      <c r="AA5" s="663"/>
      <c r="AB5" s="684"/>
      <c r="AC5" s="663"/>
      <c r="AD5" s="684"/>
      <c r="AE5" s="663"/>
      <c r="AF5" s="470" t="s">
        <v>291</v>
      </c>
      <c r="AG5" s="536" t="s">
        <v>292</v>
      </c>
      <c r="AH5" s="536" t="s">
        <v>293</v>
      </c>
      <c r="AI5" s="666"/>
      <c r="AJ5" s="666"/>
      <c r="AK5" s="666"/>
      <c r="AL5" s="666"/>
      <c r="AM5" s="708"/>
      <c r="AN5" s="664"/>
      <c r="AO5" s="664"/>
      <c r="AP5" s="664"/>
      <c r="AQ5" s="664"/>
      <c r="AR5" s="681"/>
      <c r="AS5" s="717"/>
      <c r="AT5" s="537" t="s">
        <v>287</v>
      </c>
      <c r="AU5" s="537" t="s">
        <v>288</v>
      </c>
      <c r="AV5" s="535" t="s">
        <v>289</v>
      </c>
      <c r="AW5" s="535" t="s">
        <v>289</v>
      </c>
      <c r="AX5" s="533" t="s">
        <v>18</v>
      </c>
      <c r="AY5" s="533" t="s">
        <v>18</v>
      </c>
      <c r="AZ5" s="689"/>
      <c r="BA5" s="681"/>
      <c r="BB5" s="662"/>
      <c r="BC5" s="662"/>
      <c r="BD5" s="700"/>
      <c r="BE5" s="703"/>
      <c r="BF5" s="705"/>
    </row>
    <row r="6" spans="1:58" ht="12.95" customHeight="1">
      <c r="A6" s="44">
        <f>+Report1!A9</f>
        <v>45992</v>
      </c>
      <c r="B6" s="45" t="s">
        <v>8</v>
      </c>
      <c r="C6" s="459">
        <f>(M6*E6*O6*Q6)/100000000</f>
        <v>58.975300799999999</v>
      </c>
      <c r="D6" s="45" t="s">
        <v>384</v>
      </c>
      <c r="E6" s="46">
        <v>38</v>
      </c>
      <c r="F6" s="46">
        <v>1</v>
      </c>
      <c r="G6" s="47">
        <v>430</v>
      </c>
      <c r="H6" s="48">
        <v>0.12</v>
      </c>
      <c r="I6" s="49">
        <v>0.88</v>
      </c>
      <c r="J6" s="86">
        <f>E6*G6*(1-H6)*1440/1000000*3.4</f>
        <v>70.400563199999993</v>
      </c>
      <c r="K6" s="86">
        <f>(IF(G6&lt;L6,L6,G6)*(1-IF(H6&lt;N6,H6,N6))*E6*O6*Q6)/100000000</f>
        <v>66.071116799999984</v>
      </c>
      <c r="L6" s="39">
        <v>383.81944444444446</v>
      </c>
      <c r="M6" s="39">
        <v>337.76111111111112</v>
      </c>
      <c r="N6" s="50">
        <f>1-(M6/L6)</f>
        <v>0.12</v>
      </c>
      <c r="O6" s="51">
        <f>+'Trim Rwd'!H4</f>
        <v>319.09090909090907</v>
      </c>
      <c r="P6" s="52">
        <f>O6*(Q6-R6-S6)</f>
        <v>456938.18181818177</v>
      </c>
      <c r="Q6" s="51">
        <v>1440</v>
      </c>
      <c r="R6" s="512">
        <v>0</v>
      </c>
      <c r="S6" s="512">
        <v>8</v>
      </c>
      <c r="T6" s="41">
        <f>E6*M6*O6*Q6/100000000</f>
        <v>58.975300799999999</v>
      </c>
      <c r="U6" s="41">
        <f>E6*M6*O6*(Q6-R6-S6)/100000000</f>
        <v>58.64766024</v>
      </c>
      <c r="V6" s="41">
        <f>E6*G6*(1-N6)*O6/100*(R6+S6)/1000000</f>
        <v>0.36706176000000001</v>
      </c>
      <c r="W6" s="41">
        <f>+'1'!K34/1000</f>
        <v>60.009</v>
      </c>
      <c r="X6" s="513">
        <f>SUM(W6:W9)/SUM(K6:K9)</f>
        <v>0.90824861007949564</v>
      </c>
      <c r="Y6" s="214">
        <v>0</v>
      </c>
      <c r="Z6" s="599">
        <f>+'1'!D34/1000</f>
        <v>0.55000000000000004</v>
      </c>
      <c r="AA6" s="53">
        <f>SUM(U6:U9)-SUM(W6:W9)-SUM(Z6:Z9)-SUM(Y6:Y9)</f>
        <v>-1.9113397599999999</v>
      </c>
      <c r="AB6" s="53">
        <f>(SUM(K6:K9)-SUM(W6:W9)-SUM(Y6:Y9)-SUM(Z6:Z9)-SUM(AC6:AC9)-SUM(V6:V9))-AA6</f>
        <v>-3.9421200000000711E-2</v>
      </c>
      <c r="AC6" s="41">
        <f>K6-T6</f>
        <v>7.095815999999985</v>
      </c>
      <c r="AD6" s="41">
        <f>+AM6+BA6</f>
        <v>0</v>
      </c>
      <c r="AE6" s="232" t="s">
        <v>395</v>
      </c>
      <c r="AF6" s="41">
        <v>0</v>
      </c>
      <c r="AG6" s="41"/>
      <c r="AH6" s="41"/>
      <c r="AI6" s="514"/>
      <c r="AJ6" s="41"/>
      <c r="AK6" s="41"/>
      <c r="AL6" s="41"/>
      <c r="AM6" s="41">
        <f>SUM(AF6:AL6)+AT6+AV6+AX6</f>
        <v>0</v>
      </c>
      <c r="AN6" s="41"/>
      <c r="AO6" s="41"/>
      <c r="AP6" s="41"/>
      <c r="AQ6" s="41"/>
      <c r="AR6" s="41">
        <f>SUM(AN6:AQ6)</f>
        <v>0</v>
      </c>
      <c r="AS6" s="41"/>
      <c r="AT6" s="41"/>
      <c r="AU6" s="41"/>
      <c r="AV6" s="41"/>
      <c r="AW6" s="41"/>
      <c r="AX6" s="41"/>
      <c r="AY6" s="41"/>
      <c r="AZ6" s="41"/>
      <c r="BA6" s="41">
        <f>+AR6+AS6+AU6+AW6+AY6+AZ6</f>
        <v>0</v>
      </c>
      <c r="BB6" s="37">
        <v>0</v>
      </c>
      <c r="BC6" s="55"/>
      <c r="BD6" s="55"/>
      <c r="BE6" s="37"/>
      <c r="BF6" s="55"/>
    </row>
    <row r="7" spans="1:58" ht="12.95" customHeight="1">
      <c r="A7" s="44"/>
      <c r="B7" s="45"/>
      <c r="C7" s="459"/>
      <c r="D7" s="45"/>
      <c r="E7" s="46"/>
      <c r="F7" s="46"/>
      <c r="G7" s="511"/>
      <c r="H7" s="48"/>
      <c r="I7" s="49"/>
      <c r="J7" s="86"/>
      <c r="K7" s="86"/>
      <c r="L7" s="39"/>
      <c r="M7" s="39"/>
      <c r="N7" s="50"/>
      <c r="O7" s="51"/>
      <c r="P7" s="52"/>
      <c r="Q7" s="51"/>
      <c r="R7" s="512"/>
      <c r="S7" s="512"/>
      <c r="T7" s="41"/>
      <c r="U7" s="41"/>
      <c r="V7" s="41"/>
      <c r="W7" s="41"/>
      <c r="X7" s="42"/>
      <c r="Y7" s="214"/>
      <c r="Z7" s="599"/>
      <c r="AA7" s="41"/>
      <c r="AB7" s="41"/>
      <c r="AC7" s="41"/>
      <c r="AD7" s="41">
        <f>+AM7+BA7</f>
        <v>2</v>
      </c>
      <c r="AE7" s="232" t="s">
        <v>393</v>
      </c>
      <c r="AF7" s="41"/>
      <c r="AG7" s="41">
        <v>2</v>
      </c>
      <c r="AH7" s="41"/>
      <c r="AI7" s="514"/>
      <c r="AJ7" s="41"/>
      <c r="AK7" s="41"/>
      <c r="AL7" s="41"/>
      <c r="AM7" s="41">
        <f>SUM(AF7:AL7)+AT7+AV7+AX7</f>
        <v>2</v>
      </c>
      <c r="AN7" s="87"/>
      <c r="AO7" s="41"/>
      <c r="AP7" s="41"/>
      <c r="AQ7" s="41"/>
      <c r="AR7" s="41">
        <f>SUM(AN7:AQ7)</f>
        <v>0</v>
      </c>
      <c r="AS7" s="41"/>
      <c r="AT7" s="41"/>
      <c r="AU7" s="41"/>
      <c r="AV7" s="41"/>
      <c r="AW7" s="41"/>
      <c r="AX7" s="41"/>
      <c r="AY7" s="41"/>
      <c r="AZ7" s="41"/>
      <c r="BA7" s="41">
        <f>+AR7+AS7+AU7+AW7+AY7+AZ7</f>
        <v>0</v>
      </c>
      <c r="BB7" s="54"/>
      <c r="BC7" s="55">
        <v>1</v>
      </c>
      <c r="BD7" s="55"/>
      <c r="BE7" s="54"/>
      <c r="BF7" s="55"/>
    </row>
    <row r="8" spans="1:58" ht="12.95" customHeight="1">
      <c r="A8" s="44"/>
      <c r="B8" s="45"/>
      <c r="C8" s="459"/>
      <c r="D8" s="45"/>
      <c r="E8" s="46"/>
      <c r="F8" s="46"/>
      <c r="G8" s="511"/>
      <c r="H8" s="48"/>
      <c r="I8" s="49"/>
      <c r="J8" s="86"/>
      <c r="K8" s="86"/>
      <c r="L8" s="39"/>
      <c r="M8" s="39"/>
      <c r="N8" s="50"/>
      <c r="O8" s="51"/>
      <c r="P8" s="52"/>
      <c r="Q8" s="51"/>
      <c r="R8" s="512"/>
      <c r="S8" s="512"/>
      <c r="T8" s="41"/>
      <c r="U8" s="41"/>
      <c r="V8" s="41"/>
      <c r="W8" s="41"/>
      <c r="X8" s="42"/>
      <c r="Y8" s="214"/>
      <c r="Z8" s="599"/>
      <c r="AA8" s="41"/>
      <c r="AB8" s="41"/>
      <c r="AC8" s="41"/>
      <c r="AD8" s="41">
        <f>+AM8+BA8</f>
        <v>6</v>
      </c>
      <c r="AE8" s="232" t="s">
        <v>226</v>
      </c>
      <c r="AF8" s="37"/>
      <c r="AG8" s="37"/>
      <c r="AH8" s="37">
        <v>6</v>
      </c>
      <c r="AJ8" s="41"/>
      <c r="AK8" s="41"/>
      <c r="AL8" s="41"/>
      <c r="AM8" s="41">
        <f>SUM(AF8:AL8)+AT8+AV8+AX8</f>
        <v>6</v>
      </c>
      <c r="AN8" s="41"/>
      <c r="AO8" s="41"/>
      <c r="AP8" s="41"/>
      <c r="AQ8" s="41"/>
      <c r="AR8" s="41">
        <f>SUM(AN8:AQ8)</f>
        <v>0</v>
      </c>
      <c r="AS8" s="41"/>
      <c r="AT8" s="41"/>
      <c r="AU8" s="41"/>
      <c r="AV8" s="41"/>
      <c r="AW8" s="41"/>
      <c r="AX8" s="41"/>
      <c r="AY8" s="41"/>
      <c r="AZ8" s="41"/>
      <c r="BA8" s="41">
        <f>+AR8+AS8+AU8+AW8+AY8+AZ8</f>
        <v>0</v>
      </c>
      <c r="BB8" s="37"/>
      <c r="BC8" s="515"/>
      <c r="BD8" s="515"/>
      <c r="BE8" s="37"/>
      <c r="BF8" s="515"/>
    </row>
    <row r="9" spans="1:58" ht="12.95" customHeight="1">
      <c r="A9" s="44"/>
      <c r="B9" s="45"/>
      <c r="C9" s="459"/>
      <c r="D9" s="45"/>
      <c r="E9" s="46"/>
      <c r="F9" s="46"/>
      <c r="G9" s="47"/>
      <c r="H9" s="48"/>
      <c r="I9" s="49"/>
      <c r="J9" s="86"/>
      <c r="K9" s="86"/>
      <c r="L9" s="39"/>
      <c r="M9" s="39"/>
      <c r="N9" s="50"/>
      <c r="O9" s="51"/>
      <c r="P9" s="52"/>
      <c r="Q9" s="38"/>
      <c r="R9" s="512"/>
      <c r="S9" s="512"/>
      <c r="T9" s="41"/>
      <c r="U9" s="41"/>
      <c r="V9" s="41"/>
      <c r="W9" s="41"/>
      <c r="X9" s="42"/>
      <c r="Y9" s="214"/>
      <c r="Z9" s="599"/>
      <c r="AA9" s="41"/>
      <c r="AB9" s="41"/>
      <c r="AC9" s="41"/>
      <c r="AD9" s="41"/>
      <c r="AE9" s="584"/>
      <c r="AF9" s="41"/>
      <c r="AG9" s="41"/>
      <c r="AH9" s="41"/>
      <c r="AI9" s="514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54"/>
      <c r="BC9" s="55"/>
      <c r="BD9" s="55"/>
      <c r="BE9" s="54"/>
      <c r="BF9" s="55"/>
    </row>
    <row r="10" spans="1:58" ht="12.95" customHeight="1">
      <c r="A10" s="44">
        <v>45993</v>
      </c>
      <c r="B10" s="45" t="s">
        <v>8</v>
      </c>
      <c r="C10" s="459">
        <f>(M10*E10*O10*Q10)/100000000</f>
        <v>14.3279988</v>
      </c>
      <c r="D10" s="45" t="s">
        <v>384</v>
      </c>
      <c r="E10" s="46">
        <v>38</v>
      </c>
      <c r="F10" s="46">
        <v>1</v>
      </c>
      <c r="G10" s="47">
        <v>430</v>
      </c>
      <c r="H10" s="48">
        <v>0.12</v>
      </c>
      <c r="I10" s="49">
        <v>0.88</v>
      </c>
      <c r="J10" s="86">
        <f>E10*G10*(1-H10)*1440/1000000*3.4</f>
        <v>70.400563199999993</v>
      </c>
      <c r="K10" s="86">
        <f>(IF(G10&lt;L10,L10,G10)*(1-IF(H10&lt;N10,H10,N10))*E10*O10*Q10)/100000000</f>
        <v>16.232678879999998</v>
      </c>
      <c r="L10" s="39">
        <v>380</v>
      </c>
      <c r="M10" s="39">
        <v>334</v>
      </c>
      <c r="N10" s="50">
        <f>1-(M10/L10)</f>
        <v>0.12105263157894741</v>
      </c>
      <c r="O10" s="51">
        <f>+'Trim Rwd'!H7</f>
        <v>318</v>
      </c>
      <c r="P10" s="52">
        <f>O10*(Q10-R10-S10)</f>
        <v>106530</v>
      </c>
      <c r="Q10" s="51">
        <v>355</v>
      </c>
      <c r="R10" s="512">
        <v>0</v>
      </c>
      <c r="S10" s="512">
        <v>20</v>
      </c>
      <c r="T10" s="41">
        <f>E10*M10*O10*Q10/100000000</f>
        <v>14.3279988</v>
      </c>
      <c r="U10" s="41">
        <f>E10*M10*O10*(Q10-R10-S10)/100000000</f>
        <v>13.5207876</v>
      </c>
      <c r="V10" s="41">
        <f>E10*G10*(1-N10)*O10/100*(R10+S10)/1000000</f>
        <v>0.9134232000000001</v>
      </c>
      <c r="W10" s="41">
        <f>+'2'!K7/1000</f>
        <v>18.504000000000001</v>
      </c>
      <c r="X10" s="513">
        <f>SUM(W10:W13)/SUM(K10:K13)</f>
        <v>0.65938127879840291</v>
      </c>
      <c r="Y10" s="214">
        <v>0</v>
      </c>
      <c r="Z10" s="599">
        <v>0</v>
      </c>
      <c r="AA10" s="53">
        <f>SUM(U10:U13)-SUM(W10:W13)-SUM(Z10:Z13)-SUM(Y10:Y13)</f>
        <v>5.3782276000000007</v>
      </c>
      <c r="AB10" s="53">
        <f>(SUM(K10:K13)-SUM(W10:W13)-SUM(Y10:Y13)-SUM(Z10:Z13)-SUM(AC10:AC13)-SUM(V10:V13))-AA10</f>
        <v>-1.1761380000000141</v>
      </c>
      <c r="AC10" s="41">
        <f>K10-T10</f>
        <v>1.9046800799999986</v>
      </c>
      <c r="AD10" s="41">
        <f>+AM10+BA10</f>
        <v>2</v>
      </c>
      <c r="AE10" s="232" t="s">
        <v>392</v>
      </c>
      <c r="AF10" s="41">
        <v>2</v>
      </c>
      <c r="AG10" s="41"/>
      <c r="AH10" s="41"/>
      <c r="AI10" s="514"/>
      <c r="AJ10" s="41"/>
      <c r="AK10" s="41"/>
      <c r="AL10" s="41"/>
      <c r="AM10" s="41">
        <f>SUM(AF10:AL10)+AT10+AV10+AX10</f>
        <v>2</v>
      </c>
      <c r="AN10" s="41"/>
      <c r="AO10" s="41"/>
      <c r="AP10" s="41"/>
      <c r="AQ10" s="41"/>
      <c r="AR10" s="41">
        <f>SUM(AN10:AQ10)</f>
        <v>0</v>
      </c>
      <c r="AS10" s="41"/>
      <c r="AT10" s="41"/>
      <c r="AU10" s="41"/>
      <c r="AV10" s="41"/>
      <c r="AW10" s="41"/>
      <c r="AX10" s="41"/>
      <c r="AY10" s="41"/>
      <c r="AZ10" s="41"/>
      <c r="BA10" s="41">
        <f>+AR10+AS10+AU10+AW10+AY10+AZ10</f>
        <v>0</v>
      </c>
      <c r="BB10" s="37">
        <v>1</v>
      </c>
      <c r="BC10" s="55"/>
      <c r="BD10" s="55"/>
      <c r="BE10" s="37"/>
      <c r="BF10" s="55"/>
    </row>
    <row r="11" spans="1:58" ht="12.95" customHeight="1">
      <c r="A11" s="44"/>
      <c r="B11" s="45" t="s">
        <v>8</v>
      </c>
      <c r="C11" s="459">
        <f>(M11*E11*O11*Q11)/100000000</f>
        <v>1.9839599999999999</v>
      </c>
      <c r="D11" s="45" t="s">
        <v>384</v>
      </c>
      <c r="E11" s="46">
        <v>36</v>
      </c>
      <c r="F11" s="46">
        <v>1</v>
      </c>
      <c r="G11" s="47">
        <v>455</v>
      </c>
      <c r="H11" s="48">
        <v>0.12</v>
      </c>
      <c r="I11" s="49">
        <v>0.88</v>
      </c>
      <c r="J11" s="86">
        <f>E11*G11*(1-H11)*1440/1000000*3.4</f>
        <v>70.572902400000004</v>
      </c>
      <c r="K11" s="86">
        <f>(IF(G11&lt;L11,L11,G11)*(1-IF(H11&lt;N11,H11,N11))*E11*O11*Q11)/100000000</f>
        <v>2.3783759999999998</v>
      </c>
      <c r="L11" s="39">
        <v>380</v>
      </c>
      <c r="M11" s="39">
        <v>334</v>
      </c>
      <c r="N11" s="50">
        <f>1-(M11/L11)</f>
        <v>0.12105263157894741</v>
      </c>
      <c r="O11" s="51">
        <f>+'Trim Rwd'!H8</f>
        <v>330</v>
      </c>
      <c r="P11" s="52">
        <f>O11*(Q11-R11-S11)</f>
        <v>16500</v>
      </c>
      <c r="Q11" s="51">
        <v>50</v>
      </c>
      <c r="R11" s="512">
        <v>0</v>
      </c>
      <c r="S11" s="512">
        <v>0</v>
      </c>
      <c r="T11" s="41">
        <f>E11*M11*O11*Q11/100000000</f>
        <v>1.9839599999999999</v>
      </c>
      <c r="U11" s="41">
        <f>E11*M11*O11*(Q11-R11-S11)/100000000</f>
        <v>1.9839599999999999</v>
      </c>
      <c r="V11" s="41">
        <f>E11*G11*(1-N11)*O11/100*(R11+S11)/1000000</f>
        <v>0</v>
      </c>
      <c r="W11" s="41">
        <f>+'2'!K8/1000</f>
        <v>1.53</v>
      </c>
      <c r="X11" s="42"/>
      <c r="Y11" s="214"/>
      <c r="Z11" s="599">
        <v>0</v>
      </c>
      <c r="AA11" s="41"/>
      <c r="AB11" s="41"/>
      <c r="AC11" s="41">
        <f>K11-T11</f>
        <v>0.39441599999999988</v>
      </c>
      <c r="AD11" s="41">
        <f>+AM11+BA11</f>
        <v>40</v>
      </c>
      <c r="AE11" s="232" t="s">
        <v>440</v>
      </c>
      <c r="AF11" s="41"/>
      <c r="AG11" s="41">
        <v>40</v>
      </c>
      <c r="AH11" s="41"/>
      <c r="AI11" s="514"/>
      <c r="AJ11" s="41"/>
      <c r="AK11" s="41"/>
      <c r="AL11" s="41"/>
      <c r="AM11" s="41">
        <f>SUM(AF11:AL11)+AT11+AV11+AX11</f>
        <v>40</v>
      </c>
      <c r="AN11" s="87"/>
      <c r="AO11" s="41"/>
      <c r="AP11" s="41"/>
      <c r="AQ11" s="41"/>
      <c r="AR11" s="41">
        <f>SUM(AN11:AQ11)</f>
        <v>0</v>
      </c>
      <c r="AS11" s="41"/>
      <c r="AT11" s="41"/>
      <c r="AU11" s="41"/>
      <c r="AV11" s="41"/>
      <c r="AW11" s="41"/>
      <c r="AX11" s="41"/>
      <c r="AY11" s="41"/>
      <c r="AZ11" s="41"/>
      <c r="BA11" s="41">
        <f>+AR11+AS11+AU11+AW11+AY11+AZ11</f>
        <v>0</v>
      </c>
      <c r="BB11" s="54"/>
      <c r="BC11" s="55">
        <v>5</v>
      </c>
      <c r="BD11" s="55"/>
      <c r="BE11" s="54"/>
      <c r="BF11" s="55"/>
    </row>
    <row r="12" spans="1:58" ht="12.95" customHeight="1">
      <c r="A12" s="44"/>
      <c r="B12" s="45" t="s">
        <v>439</v>
      </c>
      <c r="C12" s="459">
        <f>(M12*E12*O12*Q12)/100000000</f>
        <v>41.122619999999998</v>
      </c>
      <c r="D12" s="45" t="s">
        <v>384</v>
      </c>
      <c r="E12" s="46">
        <v>20</v>
      </c>
      <c r="F12" s="46">
        <v>1</v>
      </c>
      <c r="G12" s="47">
        <v>830</v>
      </c>
      <c r="H12" s="48">
        <v>0.14000000000000001</v>
      </c>
      <c r="I12" s="49">
        <v>0.88</v>
      </c>
      <c r="J12" s="86">
        <f>E12*G12*(1-H12)*1440/1000000*3.4</f>
        <v>69.895296000000002</v>
      </c>
      <c r="K12" s="86">
        <f>(IF(G12&lt;L12,L12,G12)*(1-IF(H12&lt;N12,H12,N12))*E12*O12*Q12)/100000000</f>
        <v>48.759678000000001</v>
      </c>
      <c r="L12" s="39">
        <v>700</v>
      </c>
      <c r="M12" s="39">
        <v>602</v>
      </c>
      <c r="N12" s="50">
        <f>1-(M12/L12)</f>
        <v>0.14000000000000001</v>
      </c>
      <c r="O12" s="51">
        <f>+'Trim Rwd'!H9</f>
        <v>330</v>
      </c>
      <c r="P12" s="52">
        <f>O12*(Q12-R12-S12)</f>
        <v>293700</v>
      </c>
      <c r="Q12" s="51">
        <v>1035</v>
      </c>
      <c r="R12" s="512">
        <v>105</v>
      </c>
      <c r="S12" s="512">
        <v>40</v>
      </c>
      <c r="T12" s="41">
        <f>E12*M12*O12*Q12/100000000</f>
        <v>41.122619999999998</v>
      </c>
      <c r="U12" s="41">
        <f>E12*M12*O12*(Q12-R12-S12)/100000000</f>
        <v>35.36148</v>
      </c>
      <c r="V12" s="41">
        <f>E12*G12*(1-N12)*O12/100*(R12+S12)/1000000</f>
        <v>6.8310659999999999</v>
      </c>
      <c r="W12" s="41">
        <f>+'2'!K9/1000</f>
        <v>24.388999999999999</v>
      </c>
      <c r="X12" s="42"/>
      <c r="Y12" s="214"/>
      <c r="Z12" s="599">
        <f>+'2'!D34/1000</f>
        <v>1.0649999999999999</v>
      </c>
      <c r="AA12" s="41"/>
      <c r="AB12" s="41"/>
      <c r="AC12" s="41">
        <f>K12-T12</f>
        <v>7.6370580000000032</v>
      </c>
      <c r="AD12" s="41">
        <f>+AM12+BA12</f>
        <v>18</v>
      </c>
      <c r="AE12" s="232" t="s">
        <v>226</v>
      </c>
      <c r="AF12" s="37"/>
      <c r="AG12" s="37"/>
      <c r="AH12" s="37">
        <v>18</v>
      </c>
      <c r="AJ12" s="41"/>
      <c r="AK12" s="41"/>
      <c r="AL12" s="41"/>
      <c r="AM12" s="41">
        <f>SUM(AF12:AL12)+AT12+AV12+AX12</f>
        <v>18</v>
      </c>
      <c r="AN12" s="41"/>
      <c r="AO12" s="41"/>
      <c r="AP12" s="41"/>
      <c r="AQ12" s="41"/>
      <c r="AR12" s="41">
        <f>SUM(AN12:AQ12)</f>
        <v>0</v>
      </c>
      <c r="AS12" s="41"/>
      <c r="AT12" s="41"/>
      <c r="AU12" s="41"/>
      <c r="AV12" s="41"/>
      <c r="AW12" s="41"/>
      <c r="AX12" s="41"/>
      <c r="AY12" s="41"/>
      <c r="AZ12" s="41"/>
      <c r="BA12" s="41">
        <f>+AR12+AS12+AU12+AW12+AY12+AZ12</f>
        <v>0</v>
      </c>
      <c r="BB12" s="37"/>
      <c r="BC12" s="515"/>
      <c r="BD12" s="515"/>
      <c r="BE12" s="37"/>
      <c r="BF12" s="515"/>
    </row>
    <row r="13" spans="1:58" ht="12.95" customHeight="1">
      <c r="A13" s="44"/>
      <c r="B13" s="45"/>
      <c r="C13" s="459"/>
      <c r="D13" s="45"/>
      <c r="E13" s="46"/>
      <c r="F13" s="46"/>
      <c r="G13" s="511"/>
      <c r="H13" s="48"/>
      <c r="I13" s="49"/>
      <c r="J13" s="86"/>
      <c r="K13" s="86"/>
      <c r="L13" s="39"/>
      <c r="M13" s="39"/>
      <c r="N13" s="50"/>
      <c r="O13" s="51"/>
      <c r="P13" s="52"/>
      <c r="Q13" s="51"/>
      <c r="R13" s="512"/>
      <c r="S13" s="512"/>
      <c r="T13" s="41"/>
      <c r="U13" s="41"/>
      <c r="V13" s="41"/>
      <c r="W13" s="41"/>
      <c r="X13" s="42"/>
      <c r="Y13" s="214"/>
      <c r="Z13" s="599"/>
      <c r="AA13" s="41"/>
      <c r="AB13" s="41"/>
      <c r="AC13" s="41"/>
      <c r="AD13" s="41">
        <f>+AM13+BA13</f>
        <v>105</v>
      </c>
      <c r="AE13" s="235" t="s">
        <v>441</v>
      </c>
      <c r="AF13" s="41"/>
      <c r="AG13" s="41"/>
      <c r="AH13" s="41"/>
      <c r="AI13" s="514"/>
      <c r="AJ13" s="41"/>
      <c r="AK13" s="41"/>
      <c r="AL13" s="41"/>
      <c r="AM13" s="41">
        <f>SUM(AF13:AL13)+AT13+AV13+AX13</f>
        <v>0</v>
      </c>
      <c r="AN13" s="41"/>
      <c r="AO13" s="41"/>
      <c r="AP13" s="41"/>
      <c r="AQ13" s="41"/>
      <c r="AR13" s="41">
        <f>SUM(AN13:AQ13)</f>
        <v>0</v>
      </c>
      <c r="AS13" s="41"/>
      <c r="AT13" s="41"/>
      <c r="AU13" s="41"/>
      <c r="AV13" s="41"/>
      <c r="AW13" s="41"/>
      <c r="AX13" s="41"/>
      <c r="AY13" s="41">
        <v>105</v>
      </c>
      <c r="AZ13" s="41"/>
      <c r="BA13" s="41">
        <f>+AR13+AS13+AU13+AW13+AY13+AZ13</f>
        <v>105</v>
      </c>
      <c r="BB13" s="37"/>
      <c r="BC13" s="515"/>
      <c r="BD13" s="515"/>
      <c r="BE13" s="37">
        <v>1</v>
      </c>
      <c r="BF13" s="515"/>
    </row>
    <row r="14" spans="1:58" ht="12.95" customHeight="1">
      <c r="A14" s="44"/>
      <c r="B14" s="45"/>
      <c r="C14" s="459"/>
      <c r="D14" s="45"/>
      <c r="E14" s="46"/>
      <c r="F14" s="46"/>
      <c r="G14" s="511"/>
      <c r="H14" s="48"/>
      <c r="I14" s="49"/>
      <c r="J14" s="86"/>
      <c r="K14" s="86"/>
      <c r="L14" s="39"/>
      <c r="M14" s="39"/>
      <c r="N14" s="50"/>
      <c r="O14" s="51"/>
      <c r="P14" s="52"/>
      <c r="Q14" s="51"/>
      <c r="R14" s="512"/>
      <c r="S14" s="512"/>
      <c r="T14" s="41"/>
      <c r="U14" s="41"/>
      <c r="V14" s="41"/>
      <c r="W14" s="41"/>
      <c r="X14" s="42"/>
      <c r="Y14" s="214"/>
      <c r="Z14" s="599"/>
      <c r="AA14" s="41"/>
      <c r="AB14" s="41"/>
      <c r="AC14" s="41"/>
      <c r="AD14" s="41"/>
      <c r="AE14" s="232"/>
      <c r="AF14" s="37"/>
      <c r="AG14" s="37"/>
      <c r="AH14" s="37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37"/>
      <c r="BC14" s="515"/>
      <c r="BD14" s="515"/>
      <c r="BE14" s="37"/>
      <c r="BF14" s="515"/>
    </row>
    <row r="15" spans="1:58" ht="12.95" customHeight="1">
      <c r="A15" s="44">
        <v>45994</v>
      </c>
      <c r="B15" s="45" t="s">
        <v>439</v>
      </c>
      <c r="C15" s="459">
        <f>(M15*E15*O15*Q15)/100000000</f>
        <v>57.214080000000003</v>
      </c>
      <c r="D15" s="45" t="s">
        <v>384</v>
      </c>
      <c r="E15" s="46">
        <v>20</v>
      </c>
      <c r="F15" s="46">
        <v>1</v>
      </c>
      <c r="G15" s="47">
        <v>830</v>
      </c>
      <c r="H15" s="48">
        <v>0.14000000000000001</v>
      </c>
      <c r="I15" s="49">
        <v>0.88</v>
      </c>
      <c r="J15" s="86">
        <f>E15*G15*(1-H15)*1440/1000000*3.4</f>
        <v>69.895296000000002</v>
      </c>
      <c r="K15" s="86">
        <f>(IF(G15&lt;L15,L15,G15)*(1-IF(H15&lt;N15,H15,N15))*E15*O15*Q15)/100000000</f>
        <v>67.839551999999998</v>
      </c>
      <c r="L15" s="39">
        <v>700</v>
      </c>
      <c r="M15" s="39">
        <v>602</v>
      </c>
      <c r="N15" s="50">
        <f>1-(M15/L15)</f>
        <v>0.14000000000000001</v>
      </c>
      <c r="O15" s="51">
        <f>+'Trim Rwd'!H11</f>
        <v>330</v>
      </c>
      <c r="P15" s="52">
        <f>O15*(Q15-R15-S15)</f>
        <v>383460</v>
      </c>
      <c r="Q15" s="51">
        <v>1440</v>
      </c>
      <c r="R15" s="512">
        <v>260</v>
      </c>
      <c r="S15" s="512">
        <v>18</v>
      </c>
      <c r="T15" s="41">
        <f>E15*M15*O15*Q15/100000000</f>
        <v>57.214080000000003</v>
      </c>
      <c r="U15" s="41">
        <f>E15*M15*O15*(Q15-R15-S15)/100000000</f>
        <v>46.168584000000003</v>
      </c>
      <c r="V15" s="41">
        <f>E15*G15*(1-N15)*O15/100*(R15+S15)/1000000</f>
        <v>13.0968024</v>
      </c>
      <c r="W15" s="41">
        <f>+'3'!K34/1000</f>
        <v>49.814999999999998</v>
      </c>
      <c r="X15" s="513">
        <f>SUM(W15:W18)/SUM(K15:K18)</f>
        <v>0.73430614636134384</v>
      </c>
      <c r="Y15" s="214">
        <v>0</v>
      </c>
      <c r="Z15" s="599">
        <f>+'3'!D34/1000</f>
        <v>1</v>
      </c>
      <c r="AA15" s="53">
        <f>SUM(U15:U18)-SUM(W15:W18)-SUM(Z15:Z18)-SUM(Y15:Y18)</f>
        <v>-4.646415999999995</v>
      </c>
      <c r="AB15" s="53">
        <f>(SUM(K15:K18)-SUM(W15:W18)-SUM(Y15:Y18)-SUM(Z15:Z18)-SUM(AC15:AC18)-SUM(V15:V18))-AA15</f>
        <v>-2.0513063999999996</v>
      </c>
      <c r="AC15" s="41">
        <f>K15-T15</f>
        <v>10.625471999999995</v>
      </c>
      <c r="AD15" s="41">
        <f>+AM15+BA15</f>
        <v>0</v>
      </c>
      <c r="AE15" s="232" t="s">
        <v>395</v>
      </c>
      <c r="AF15" s="41">
        <v>0</v>
      </c>
      <c r="AG15" s="41"/>
      <c r="AH15" s="41"/>
      <c r="AI15" s="514"/>
      <c r="AJ15" s="41"/>
      <c r="AK15" s="41"/>
      <c r="AL15" s="41"/>
      <c r="AM15" s="41">
        <f>SUM(AF15:AL15)+AT15+AV15+AX15</f>
        <v>0</v>
      </c>
      <c r="AN15" s="41"/>
      <c r="AO15" s="41"/>
      <c r="AP15" s="41"/>
      <c r="AQ15" s="41"/>
      <c r="AR15" s="41">
        <f>SUM(AN15:AQ15)</f>
        <v>0</v>
      </c>
      <c r="AS15" s="41"/>
      <c r="AT15" s="41"/>
      <c r="AU15" s="41"/>
      <c r="AV15" s="41"/>
      <c r="AW15" s="41"/>
      <c r="AX15" s="41"/>
      <c r="AY15" s="41"/>
      <c r="AZ15" s="41"/>
      <c r="BA15" s="41">
        <f>+AR15+AS15+AU15+AW15+AY15+AZ15</f>
        <v>0</v>
      </c>
      <c r="BB15" s="37">
        <v>0</v>
      </c>
      <c r="BC15" s="55"/>
      <c r="BD15" s="55"/>
      <c r="BE15" s="37"/>
      <c r="BF15" s="55"/>
    </row>
    <row r="16" spans="1:58" ht="12.95" customHeight="1">
      <c r="A16" s="44"/>
      <c r="B16" s="45"/>
      <c r="C16" s="459"/>
      <c r="D16" s="45"/>
      <c r="E16" s="46"/>
      <c r="F16" s="46"/>
      <c r="G16" s="47"/>
      <c r="H16" s="48"/>
      <c r="I16" s="49"/>
      <c r="J16" s="86"/>
      <c r="K16" s="86"/>
      <c r="L16" s="39"/>
      <c r="M16" s="39"/>
      <c r="N16" s="50"/>
      <c r="O16" s="51"/>
      <c r="P16" s="52"/>
      <c r="Q16" s="51"/>
      <c r="R16" s="512"/>
      <c r="S16" s="512"/>
      <c r="T16" s="41"/>
      <c r="U16" s="41"/>
      <c r="V16" s="41"/>
      <c r="W16" s="41"/>
      <c r="X16" s="42"/>
      <c r="Y16" s="214"/>
      <c r="Z16" s="599"/>
      <c r="AA16" s="41"/>
      <c r="AB16" s="41"/>
      <c r="AC16" s="41"/>
      <c r="AD16" s="41">
        <f>+AM16+BA16</f>
        <v>7</v>
      </c>
      <c r="AE16" s="232" t="s">
        <v>394</v>
      </c>
      <c r="AF16" s="41"/>
      <c r="AG16" s="41">
        <v>7</v>
      </c>
      <c r="AH16" s="41"/>
      <c r="AI16" s="514"/>
      <c r="AJ16" s="41"/>
      <c r="AK16" s="41"/>
      <c r="AL16" s="41"/>
      <c r="AM16" s="41">
        <f>SUM(AF16:AL16)+AT16+AV16+AX16</f>
        <v>7</v>
      </c>
      <c r="AN16" s="87"/>
      <c r="AO16" s="41"/>
      <c r="AP16" s="41"/>
      <c r="AQ16" s="41"/>
      <c r="AR16" s="41">
        <f>SUM(AN16:AQ16)</f>
        <v>0</v>
      </c>
      <c r="AS16" s="41"/>
      <c r="AT16" s="41"/>
      <c r="AU16" s="41"/>
      <c r="AV16" s="41"/>
      <c r="AW16" s="41"/>
      <c r="AX16" s="41"/>
      <c r="AY16" s="41"/>
      <c r="AZ16" s="41"/>
      <c r="BA16" s="41">
        <f>+AR16+AS16+AU16+AW16+AY16+AZ16</f>
        <v>0</v>
      </c>
      <c r="BB16" s="54"/>
      <c r="BC16" s="55">
        <v>3</v>
      </c>
      <c r="BD16" s="55"/>
      <c r="BE16" s="54"/>
      <c r="BF16" s="55"/>
    </row>
    <row r="17" spans="1:58" ht="12.95" customHeight="1">
      <c r="A17" s="44"/>
      <c r="B17" s="45"/>
      <c r="C17" s="459"/>
      <c r="D17" s="45"/>
      <c r="E17" s="46"/>
      <c r="F17" s="46"/>
      <c r="G17" s="47"/>
      <c r="H17" s="48"/>
      <c r="I17" s="49"/>
      <c r="J17" s="86"/>
      <c r="K17" s="86"/>
      <c r="L17" s="39"/>
      <c r="M17" s="39"/>
      <c r="N17" s="50"/>
      <c r="O17" s="51"/>
      <c r="P17" s="52"/>
      <c r="Q17" s="51"/>
      <c r="R17" s="512"/>
      <c r="S17" s="512"/>
      <c r="T17" s="41"/>
      <c r="U17" s="41"/>
      <c r="V17" s="41"/>
      <c r="W17" s="41"/>
      <c r="X17" s="42"/>
      <c r="Y17" s="214"/>
      <c r="Z17" s="599"/>
      <c r="AA17" s="41"/>
      <c r="AB17" s="41"/>
      <c r="AC17" s="41"/>
      <c r="AD17" s="41">
        <f>+AM17+BA17</f>
        <v>11</v>
      </c>
      <c r="AE17" s="232" t="s">
        <v>226</v>
      </c>
      <c r="AF17" s="37"/>
      <c r="AG17" s="37"/>
      <c r="AH17" s="37">
        <v>11</v>
      </c>
      <c r="AJ17" s="41"/>
      <c r="AK17" s="41"/>
      <c r="AL17" s="41"/>
      <c r="AM17" s="41">
        <f>SUM(AF17:AL17)+AT17+AV17+AX17</f>
        <v>11</v>
      </c>
      <c r="AN17" s="41"/>
      <c r="AO17" s="41"/>
      <c r="AP17" s="41"/>
      <c r="AQ17" s="41"/>
      <c r="AR17" s="41">
        <f>SUM(AN17:AQ17)</f>
        <v>0</v>
      </c>
      <c r="AS17" s="41"/>
      <c r="AT17" s="41"/>
      <c r="AU17" s="41"/>
      <c r="AV17" s="41"/>
      <c r="AW17" s="41"/>
      <c r="AX17" s="41"/>
      <c r="AY17" s="41"/>
      <c r="AZ17" s="41"/>
      <c r="BA17" s="41">
        <f>+AR17+AS17+AU17+AW17+AY17+AZ17</f>
        <v>0</v>
      </c>
      <c r="BB17" s="37"/>
      <c r="BC17" s="515"/>
      <c r="BD17" s="515"/>
      <c r="BE17" s="37"/>
      <c r="BF17" s="515"/>
    </row>
    <row r="18" spans="1:58" ht="12.95" customHeight="1">
      <c r="A18" s="44"/>
      <c r="B18" s="45"/>
      <c r="C18" s="459"/>
      <c r="D18" s="45"/>
      <c r="E18" s="46"/>
      <c r="F18" s="46"/>
      <c r="G18" s="511"/>
      <c r="H18" s="48"/>
      <c r="I18" s="49"/>
      <c r="J18" s="86"/>
      <c r="K18" s="86"/>
      <c r="L18" s="39"/>
      <c r="M18" s="39"/>
      <c r="N18" s="50"/>
      <c r="O18" s="51"/>
      <c r="P18" s="52"/>
      <c r="Q18" s="51"/>
      <c r="R18" s="512"/>
      <c r="S18" s="512"/>
      <c r="T18" s="41"/>
      <c r="U18" s="41"/>
      <c r="V18" s="41"/>
      <c r="W18" s="41"/>
      <c r="X18" s="42"/>
      <c r="Y18" s="214"/>
      <c r="Z18" s="599"/>
      <c r="AA18" s="41"/>
      <c r="AB18" s="41"/>
      <c r="AC18" s="41"/>
      <c r="AD18" s="41">
        <f>+AM18+BA18</f>
        <v>260</v>
      </c>
      <c r="AE18" s="235" t="s">
        <v>457</v>
      </c>
      <c r="AF18" s="41"/>
      <c r="AG18" s="41"/>
      <c r="AH18" s="41"/>
      <c r="AI18" s="514"/>
      <c r="AJ18" s="41"/>
      <c r="AK18" s="41"/>
      <c r="AL18" s="41"/>
      <c r="AM18" s="41">
        <f>SUM(AF18:AL18)+AT18+AV18+AX18</f>
        <v>0</v>
      </c>
      <c r="AN18" s="41"/>
      <c r="AO18" s="41"/>
      <c r="AP18" s="41"/>
      <c r="AQ18" s="41"/>
      <c r="AR18" s="41">
        <f>SUM(AN18:AQ18)</f>
        <v>0</v>
      </c>
      <c r="AS18" s="41"/>
      <c r="AT18" s="41"/>
      <c r="AU18" s="41">
        <v>260</v>
      </c>
      <c r="AV18" s="41"/>
      <c r="AW18" s="41"/>
      <c r="AX18" s="41"/>
      <c r="AY18" s="41"/>
      <c r="AZ18" s="41"/>
      <c r="BA18" s="41">
        <f>+AR18+AS18+AU18+AW18+AY18+AZ18</f>
        <v>260</v>
      </c>
      <c r="BB18" s="37"/>
      <c r="BC18" s="515"/>
      <c r="BD18" s="515"/>
      <c r="BE18" s="37"/>
      <c r="BF18" s="515"/>
    </row>
    <row r="19" spans="1:58" ht="12.95" customHeight="1">
      <c r="A19" s="44"/>
      <c r="B19" s="45"/>
      <c r="C19" s="459"/>
      <c r="D19" s="45"/>
      <c r="E19" s="46"/>
      <c r="F19" s="46"/>
      <c r="G19" s="511"/>
      <c r="H19" s="48"/>
      <c r="I19" s="49"/>
      <c r="J19" s="86"/>
      <c r="K19" s="86"/>
      <c r="L19" s="39"/>
      <c r="M19" s="39"/>
      <c r="N19" s="50"/>
      <c r="O19" s="51"/>
      <c r="P19" s="52"/>
      <c r="Q19" s="51"/>
      <c r="R19" s="512"/>
      <c r="S19" s="512"/>
      <c r="T19" s="41"/>
      <c r="U19" s="41"/>
      <c r="V19" s="41"/>
      <c r="W19" s="41"/>
      <c r="X19" s="42"/>
      <c r="Y19" s="214"/>
      <c r="Z19" s="599"/>
      <c r="AA19" s="41"/>
      <c r="AB19" s="41"/>
      <c r="AC19" s="41"/>
      <c r="AD19" s="41"/>
      <c r="AE19" s="232"/>
      <c r="AF19" s="37"/>
      <c r="AG19" s="37"/>
      <c r="AH19" s="37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37"/>
      <c r="BC19" s="515"/>
      <c r="BD19" s="515"/>
      <c r="BE19" s="37"/>
      <c r="BF19" s="515"/>
    </row>
    <row r="20" spans="1:58" ht="12.95" customHeight="1">
      <c r="A20" s="44">
        <v>45995</v>
      </c>
      <c r="B20" s="45" t="s">
        <v>439</v>
      </c>
      <c r="C20" s="459">
        <f>(M20*E20*O20*Q20)/100000000</f>
        <v>57.214080000000003</v>
      </c>
      <c r="D20" s="593" t="s">
        <v>473</v>
      </c>
      <c r="E20" s="46">
        <v>20</v>
      </c>
      <c r="F20" s="46">
        <v>1</v>
      </c>
      <c r="G20" s="47">
        <v>830</v>
      </c>
      <c r="H20" s="48">
        <v>0.14000000000000001</v>
      </c>
      <c r="I20" s="49">
        <v>0.88</v>
      </c>
      <c r="J20" s="86">
        <f>E20*G20*(1-H20)*1440/1000000*3.4</f>
        <v>69.895296000000002</v>
      </c>
      <c r="K20" s="86">
        <f>(IF(G20&lt;L20,L20,G20)*(1-IF(H20&lt;N20,H20,N20))*E20*O20*Q20)/100000000</f>
        <v>67.839551999999998</v>
      </c>
      <c r="L20" s="39">
        <v>700</v>
      </c>
      <c r="M20" s="39">
        <v>602</v>
      </c>
      <c r="N20" s="50">
        <f>1-(M20/L20)</f>
        <v>0.14000000000000001</v>
      </c>
      <c r="O20" s="51">
        <f>+'Trim Rwd'!H13</f>
        <v>330</v>
      </c>
      <c r="P20" s="52">
        <f>O20*(Q20-R20-S20)</f>
        <v>0</v>
      </c>
      <c r="Q20" s="51">
        <v>1440</v>
      </c>
      <c r="R20" s="512">
        <v>1440</v>
      </c>
      <c r="S20" s="512">
        <v>0</v>
      </c>
      <c r="T20" s="41">
        <f>E20*M20*O20*Q20/100000000</f>
        <v>57.214080000000003</v>
      </c>
      <c r="U20" s="41">
        <f>E20*M20*O20*(Q20-R20-S20)/100000000</f>
        <v>0</v>
      </c>
      <c r="V20" s="41">
        <f>E20*G20*(1-N20)*O20/100*(R20+S20)/1000000</f>
        <v>67.839551999999998</v>
      </c>
      <c r="W20" s="41">
        <f>+'4'!K34/1000</f>
        <v>0</v>
      </c>
      <c r="X20" s="513">
        <f>SUM(W20:W23)/SUM(K20:K23)</f>
        <v>0</v>
      </c>
      <c r="Y20" s="214">
        <v>0</v>
      </c>
      <c r="Z20" s="599">
        <v>0</v>
      </c>
      <c r="AA20" s="53">
        <f>SUM(U20:U23)-SUM(W20:W23)-SUM(Z20:Z23)-SUM(Y20:Y23)</f>
        <v>0</v>
      </c>
      <c r="AB20" s="53">
        <f>(SUM(K20:K23)-SUM(W20:W23)-SUM(Y20:Y23)-SUM(Z20:Z23)-SUM(AC20:AC23)-SUM(V20:V23))-AA20</f>
        <v>-10.625471999999995</v>
      </c>
      <c r="AC20" s="41">
        <f>K20-T20</f>
        <v>10.625471999999995</v>
      </c>
      <c r="AD20" s="41">
        <f>+AM20+BA20</f>
        <v>0</v>
      </c>
      <c r="AE20" s="232" t="s">
        <v>395</v>
      </c>
      <c r="AF20" s="41">
        <v>0</v>
      </c>
      <c r="AG20" s="41"/>
      <c r="AH20" s="41"/>
      <c r="AI20" s="514"/>
      <c r="AJ20" s="41"/>
      <c r="AK20" s="41"/>
      <c r="AL20" s="41"/>
      <c r="AM20" s="41">
        <f>SUM(AF20:AL20)+AT20+AV20+AX20</f>
        <v>0</v>
      </c>
      <c r="AN20" s="41"/>
      <c r="AO20" s="41"/>
      <c r="AP20" s="41"/>
      <c r="AQ20" s="41"/>
      <c r="AR20" s="41">
        <f>SUM(AN20:AQ20)</f>
        <v>0</v>
      </c>
      <c r="AS20" s="41"/>
      <c r="AT20" s="41"/>
      <c r="AU20" s="41"/>
      <c r="AV20" s="41"/>
      <c r="AW20" s="41"/>
      <c r="AX20" s="41"/>
      <c r="AY20" s="41"/>
      <c r="AZ20" s="41"/>
      <c r="BA20" s="41">
        <f>+AR20+AS20+AU20+AW20+AY20+AZ20</f>
        <v>0</v>
      </c>
      <c r="BB20" s="37">
        <v>0</v>
      </c>
      <c r="BC20" s="55"/>
      <c r="BD20" s="55"/>
      <c r="BE20" s="37"/>
      <c r="BF20" s="55"/>
    </row>
    <row r="21" spans="1:58" ht="12.95" customHeight="1">
      <c r="A21" s="44"/>
      <c r="B21" s="45"/>
      <c r="C21" s="459"/>
      <c r="D21" s="45"/>
      <c r="E21" s="46"/>
      <c r="F21" s="46"/>
      <c r="G21" s="47"/>
      <c r="H21" s="48"/>
      <c r="I21" s="49"/>
      <c r="J21" s="86"/>
      <c r="K21" s="86"/>
      <c r="L21" s="39"/>
      <c r="M21" s="39"/>
      <c r="N21" s="50"/>
      <c r="O21" s="51"/>
      <c r="P21" s="52"/>
      <c r="Q21" s="51"/>
      <c r="R21" s="512"/>
      <c r="S21" s="512"/>
      <c r="T21" s="41"/>
      <c r="U21" s="41"/>
      <c r="V21" s="41"/>
      <c r="W21" s="41"/>
      <c r="X21" s="42"/>
      <c r="Y21" s="214"/>
      <c r="Z21" s="599"/>
      <c r="AA21" s="41"/>
      <c r="AB21" s="41"/>
      <c r="AC21" s="41"/>
      <c r="AD21" s="41">
        <f>+AM21+BA21</f>
        <v>0</v>
      </c>
      <c r="AE21" s="232" t="s">
        <v>424</v>
      </c>
      <c r="AF21" s="41"/>
      <c r="AG21" s="41">
        <v>0</v>
      </c>
      <c r="AH21" s="41"/>
      <c r="AI21" s="514"/>
      <c r="AJ21" s="41"/>
      <c r="AK21" s="41"/>
      <c r="AL21" s="41"/>
      <c r="AM21" s="41">
        <f>SUM(AF21:AL21)+AT21+AV21+AX21</f>
        <v>0</v>
      </c>
      <c r="AN21" s="87"/>
      <c r="AO21" s="41"/>
      <c r="AP21" s="41"/>
      <c r="AQ21" s="41"/>
      <c r="AR21" s="41">
        <f>SUM(AN21:AQ21)</f>
        <v>0</v>
      </c>
      <c r="AS21" s="41"/>
      <c r="AT21" s="41"/>
      <c r="AU21" s="41"/>
      <c r="AV21" s="41"/>
      <c r="AW21" s="41"/>
      <c r="AX21" s="41"/>
      <c r="AY21" s="41"/>
      <c r="AZ21" s="41"/>
      <c r="BA21" s="41">
        <f>+AR21+AS21+AU21+AW21+AY21+AZ21</f>
        <v>0</v>
      </c>
      <c r="BB21" s="54"/>
      <c r="BC21" s="55">
        <v>0</v>
      </c>
      <c r="BD21" s="55"/>
      <c r="BE21" s="54"/>
      <c r="BF21" s="55"/>
    </row>
    <row r="22" spans="1:58" ht="12.95" customHeight="1">
      <c r="A22" s="44"/>
      <c r="B22" s="45"/>
      <c r="C22" s="459"/>
      <c r="D22" s="45"/>
      <c r="E22" s="46"/>
      <c r="F22" s="46"/>
      <c r="G22" s="47"/>
      <c r="H22" s="48"/>
      <c r="I22" s="49"/>
      <c r="J22" s="86"/>
      <c r="K22" s="86"/>
      <c r="L22" s="39"/>
      <c r="M22" s="39"/>
      <c r="N22" s="50"/>
      <c r="O22" s="51"/>
      <c r="P22" s="52"/>
      <c r="Q22" s="51"/>
      <c r="R22" s="512"/>
      <c r="S22" s="512"/>
      <c r="T22" s="41"/>
      <c r="U22" s="41"/>
      <c r="V22" s="41"/>
      <c r="W22" s="41"/>
      <c r="X22" s="42"/>
      <c r="Y22" s="214"/>
      <c r="Z22" s="599"/>
      <c r="AA22" s="41"/>
      <c r="AB22" s="41"/>
      <c r="AC22" s="41"/>
      <c r="AD22" s="41">
        <f>+AM22+BA22</f>
        <v>0</v>
      </c>
      <c r="AE22" s="232" t="s">
        <v>226</v>
      </c>
      <c r="AF22" s="37"/>
      <c r="AG22" s="37"/>
      <c r="AH22" s="37">
        <v>0</v>
      </c>
      <c r="AJ22" s="41"/>
      <c r="AK22" s="41"/>
      <c r="AL22" s="41"/>
      <c r="AM22" s="41">
        <f>SUM(AF22:AL22)+AT22+AV22+AX22</f>
        <v>0</v>
      </c>
      <c r="AN22" s="41"/>
      <c r="AO22" s="41"/>
      <c r="AP22" s="41"/>
      <c r="AQ22" s="41"/>
      <c r="AR22" s="41">
        <f>SUM(AN22:AQ22)</f>
        <v>0</v>
      </c>
      <c r="AS22" s="41"/>
      <c r="AT22" s="41"/>
      <c r="AU22" s="41"/>
      <c r="AV22" s="41"/>
      <c r="AW22" s="41"/>
      <c r="AX22" s="41"/>
      <c r="AY22" s="41"/>
      <c r="AZ22" s="41"/>
      <c r="BA22" s="41">
        <f>+AR22+AS22+AU22+AW22+AY22+AZ22</f>
        <v>0</v>
      </c>
      <c r="BB22" s="37"/>
      <c r="BC22" s="515"/>
      <c r="BD22" s="515"/>
      <c r="BE22" s="37"/>
      <c r="BF22" s="515"/>
    </row>
    <row r="23" spans="1:58" ht="12.95" customHeight="1">
      <c r="A23" s="44"/>
      <c r="B23" s="45"/>
      <c r="C23" s="459"/>
      <c r="D23" s="45"/>
      <c r="E23" s="46"/>
      <c r="F23" s="46"/>
      <c r="G23" s="511"/>
      <c r="H23" s="48"/>
      <c r="I23" s="49"/>
      <c r="J23" s="86"/>
      <c r="K23" s="86"/>
      <c r="L23" s="39"/>
      <c r="M23" s="39"/>
      <c r="N23" s="50"/>
      <c r="O23" s="51"/>
      <c r="P23" s="52"/>
      <c r="Q23" s="51"/>
      <c r="R23" s="512"/>
      <c r="S23" s="512"/>
      <c r="T23" s="41"/>
      <c r="U23" s="41"/>
      <c r="V23" s="41"/>
      <c r="W23" s="41"/>
      <c r="X23" s="42"/>
      <c r="Y23" s="214"/>
      <c r="Z23" s="599"/>
      <c r="AA23" s="41"/>
      <c r="AB23" s="41"/>
      <c r="AC23" s="41"/>
      <c r="AD23" s="41">
        <f>+AM23+BA23</f>
        <v>1180</v>
      </c>
      <c r="AE23" s="235" t="s">
        <v>472</v>
      </c>
      <c r="AF23" s="41"/>
      <c r="AG23" s="41"/>
      <c r="AH23" s="41"/>
      <c r="AI23" s="514"/>
      <c r="AJ23" s="41"/>
      <c r="AK23" s="41"/>
      <c r="AL23" s="41"/>
      <c r="AM23" s="41">
        <f>SUM(AF23:AL23)+AT23+AV23+AX23</f>
        <v>0</v>
      </c>
      <c r="AN23" s="41"/>
      <c r="AO23" s="41"/>
      <c r="AP23" s="41"/>
      <c r="AQ23" s="41"/>
      <c r="AR23" s="41">
        <f>SUM(AN23:AQ23)</f>
        <v>0</v>
      </c>
      <c r="AS23" s="41"/>
      <c r="AT23" s="41"/>
      <c r="AU23" s="41">
        <v>1180</v>
      </c>
      <c r="AV23" s="41"/>
      <c r="AW23" s="41"/>
      <c r="AX23" s="41"/>
      <c r="AY23" s="41"/>
      <c r="AZ23" s="41"/>
      <c r="BA23" s="41">
        <f>+AR23+AS23+AU23+AW23+AY23+AZ23</f>
        <v>1180</v>
      </c>
      <c r="BB23" s="37"/>
      <c r="BC23" s="515"/>
      <c r="BD23" s="515"/>
      <c r="BE23" s="37"/>
      <c r="BF23" s="515"/>
    </row>
    <row r="24" spans="1:58" ht="12.95" customHeight="1">
      <c r="A24" s="44"/>
      <c r="B24" s="45"/>
      <c r="C24" s="459"/>
      <c r="D24" s="45"/>
      <c r="E24" s="46"/>
      <c r="F24" s="46"/>
      <c r="G24" s="47"/>
      <c r="H24" s="48"/>
      <c r="I24" s="49"/>
      <c r="J24" s="86"/>
      <c r="K24" s="86"/>
      <c r="L24" s="39"/>
      <c r="M24" s="39"/>
      <c r="N24" s="50"/>
      <c r="O24" s="51"/>
      <c r="P24" s="52"/>
      <c r="Q24" s="38"/>
      <c r="R24" s="512"/>
      <c r="S24" s="512"/>
      <c r="T24" s="41"/>
      <c r="U24" s="41"/>
      <c r="V24" s="41"/>
      <c r="W24" s="41"/>
      <c r="X24" s="42"/>
      <c r="Y24" s="214"/>
      <c r="Z24" s="599"/>
      <c r="AA24" s="41"/>
      <c r="AB24" s="41"/>
      <c r="AC24" s="41"/>
      <c r="AD24" s="41">
        <f>+AM24+BA24</f>
        <v>260</v>
      </c>
      <c r="AE24" s="581" t="s">
        <v>484</v>
      </c>
      <c r="AF24" s="41"/>
      <c r="AG24" s="41"/>
      <c r="AH24" s="41"/>
      <c r="AI24" s="514"/>
      <c r="AJ24" s="41"/>
      <c r="AK24" s="41"/>
      <c r="AL24" s="41"/>
      <c r="AM24" s="41">
        <f>SUM(AF24:AL24)+AT24+AV24+AX24</f>
        <v>0</v>
      </c>
      <c r="AN24" s="41"/>
      <c r="AO24" s="41">
        <v>260</v>
      </c>
      <c r="AP24" s="41"/>
      <c r="AQ24" s="41"/>
      <c r="AR24" s="41">
        <f>SUM(AN24:AQ24)</f>
        <v>260</v>
      </c>
      <c r="AS24" s="41"/>
      <c r="AT24" s="41"/>
      <c r="AU24" s="41"/>
      <c r="AV24" s="41"/>
      <c r="AW24" s="41"/>
      <c r="AX24" s="41"/>
      <c r="AY24" s="41"/>
      <c r="AZ24" s="41"/>
      <c r="BA24" s="41">
        <f>+AR24+AS24+AU24+AW24+AY24+AZ24</f>
        <v>260</v>
      </c>
      <c r="BB24" s="37"/>
      <c r="BC24" s="515"/>
      <c r="BD24" s="515"/>
      <c r="BE24" s="37"/>
      <c r="BF24" s="515"/>
    </row>
    <row r="25" spans="1:58" ht="12.95" customHeight="1">
      <c r="A25" s="44"/>
      <c r="B25" s="45"/>
      <c r="C25" s="459"/>
      <c r="D25" s="45"/>
      <c r="E25" s="46"/>
      <c r="F25" s="46"/>
      <c r="G25" s="511"/>
      <c r="H25" s="48"/>
      <c r="I25" s="49"/>
      <c r="J25" s="86"/>
      <c r="K25" s="86"/>
      <c r="L25" s="39"/>
      <c r="M25" s="39"/>
      <c r="N25" s="50"/>
      <c r="O25" s="51"/>
      <c r="P25" s="52"/>
      <c r="Q25" s="51"/>
      <c r="R25" s="512"/>
      <c r="S25" s="512"/>
      <c r="T25" s="41"/>
      <c r="U25" s="41"/>
      <c r="V25" s="41"/>
      <c r="W25" s="41"/>
      <c r="X25" s="513"/>
      <c r="Y25" s="214"/>
      <c r="Z25" s="599"/>
      <c r="AA25" s="53"/>
      <c r="AB25" s="53"/>
      <c r="AC25" s="41"/>
      <c r="AD25" s="41"/>
      <c r="AE25" s="232"/>
      <c r="AF25" s="41"/>
      <c r="AG25" s="41"/>
      <c r="AH25" s="41"/>
      <c r="AI25" s="514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37"/>
      <c r="BC25" s="55"/>
      <c r="BD25" s="55"/>
      <c r="BE25" s="55"/>
      <c r="BF25" s="55"/>
    </row>
    <row r="26" spans="1:58" ht="12.95" customHeight="1">
      <c r="A26" s="44">
        <v>45996</v>
      </c>
      <c r="B26" s="45" t="s">
        <v>8</v>
      </c>
      <c r="C26" s="459">
        <f>(M26*E26*O26*Q26)/100000000</f>
        <v>53.212860422649335</v>
      </c>
      <c r="D26" s="45" t="s">
        <v>488</v>
      </c>
      <c r="E26" s="46">
        <v>17</v>
      </c>
      <c r="F26" s="46">
        <v>1</v>
      </c>
      <c r="G26" s="47">
        <v>830</v>
      </c>
      <c r="H26" s="48">
        <v>0.14000000000000001</v>
      </c>
      <c r="I26" s="49">
        <v>0.88</v>
      </c>
      <c r="J26" s="86">
        <f>E26*G26*(1-H26)*1440/1000000*3.4</f>
        <v>59.411001599999999</v>
      </c>
      <c r="K26" s="86">
        <f>(IF(G26&lt;L26,L26,G26)*(1-IF(H26&lt;N26,H26,N26))*E26*O26*Q26)/100000000</f>
        <v>55.566760319999979</v>
      </c>
      <c r="L26" s="39">
        <v>794.83982683982686</v>
      </c>
      <c r="M26" s="39">
        <v>683.56225108225101</v>
      </c>
      <c r="N26" s="50">
        <f>1-(M26/L26)</f>
        <v>0.14000000000000012</v>
      </c>
      <c r="O26" s="51">
        <f>+'Trim Rwd'!H15</f>
        <v>318</v>
      </c>
      <c r="P26" s="52">
        <f>O26*(Q26-R26-S26)</f>
        <v>355524</v>
      </c>
      <c r="Q26" s="51">
        <v>1440</v>
      </c>
      <c r="R26" s="512">
        <v>285</v>
      </c>
      <c r="S26" s="512">
        <v>37</v>
      </c>
      <c r="T26" s="41">
        <f>E26*M26*O26*Q26/100000000</f>
        <v>53.212860422649335</v>
      </c>
      <c r="U26" s="41">
        <f>E26*M26*O26*(Q26-R26-S26)/100000000</f>
        <v>41.313873578140253</v>
      </c>
      <c r="V26" s="41">
        <f>E26*G26*(1-N26)*O26/100*(R26+S26)/1000000</f>
        <v>12.425345015999998</v>
      </c>
      <c r="W26" s="41">
        <f>+'5'!K34/1000</f>
        <v>33.343000000000004</v>
      </c>
      <c r="X26" s="513">
        <f>SUM(W26:W29)/SUM(K26:K29)</f>
        <v>0.60005297785912048</v>
      </c>
      <c r="Y26" s="214">
        <v>0</v>
      </c>
      <c r="Z26" s="599">
        <f>+'5'!D34/1000</f>
        <v>0.53800000000000003</v>
      </c>
      <c r="AA26" s="53">
        <f>SUM(U26:U29)-SUM(W26:W29)-SUM(Z26:Z29)-SUM(Y26:Y29)</f>
        <v>7.4328735781402493</v>
      </c>
      <c r="AB26" s="53">
        <f>(SUM(K26:K29)-SUM(W26:W29)-SUM(Y26:Y29)-SUM(Z26:Z29)-SUM(AC26:AC29)-SUM(V26:V29))-AA26</f>
        <v>-0.52635817149091579</v>
      </c>
      <c r="AC26" s="41">
        <f>K26-T26</f>
        <v>2.3538998973506438</v>
      </c>
      <c r="AD26" s="41">
        <f>+AM26+BA26</f>
        <v>2</v>
      </c>
      <c r="AE26" s="232" t="s">
        <v>392</v>
      </c>
      <c r="AF26" s="41">
        <v>2</v>
      </c>
      <c r="AG26" s="41"/>
      <c r="AH26" s="41"/>
      <c r="AI26" s="514"/>
      <c r="AJ26" s="41"/>
      <c r="AK26" s="41"/>
      <c r="AL26" s="41"/>
      <c r="AM26" s="41">
        <f>SUM(AF26:AL26)+AT26+AV26+AX26</f>
        <v>2</v>
      </c>
      <c r="AN26" s="41"/>
      <c r="AO26" s="41"/>
      <c r="AP26" s="41"/>
      <c r="AQ26" s="41"/>
      <c r="AR26" s="41">
        <f>SUM(AN26:AQ26)</f>
        <v>0</v>
      </c>
      <c r="AS26" s="41"/>
      <c r="AT26" s="41"/>
      <c r="AU26" s="41"/>
      <c r="AV26" s="41"/>
      <c r="AW26" s="41"/>
      <c r="AX26" s="41"/>
      <c r="AY26" s="41"/>
      <c r="AZ26" s="41"/>
      <c r="BA26" s="41">
        <f>+AR26+AS26+AU26+AW26+AY26+AZ26</f>
        <v>0</v>
      </c>
      <c r="BB26" s="37">
        <v>1</v>
      </c>
      <c r="BC26" s="55"/>
      <c r="BD26" s="55"/>
      <c r="BE26" s="37"/>
      <c r="BF26" s="55"/>
    </row>
    <row r="27" spans="1:58" ht="12.95" customHeight="1">
      <c r="A27" s="44"/>
      <c r="B27" s="45"/>
      <c r="C27" s="459"/>
      <c r="D27" s="45"/>
      <c r="E27" s="46"/>
      <c r="F27" s="46"/>
      <c r="G27" s="47"/>
      <c r="H27" s="48"/>
      <c r="I27" s="49"/>
      <c r="J27" s="86"/>
      <c r="K27" s="86"/>
      <c r="L27" s="39"/>
      <c r="M27" s="39"/>
      <c r="N27" s="50"/>
      <c r="O27" s="51"/>
      <c r="P27" s="52"/>
      <c r="Q27" s="51"/>
      <c r="R27" s="512"/>
      <c r="S27" s="512"/>
      <c r="T27" s="41"/>
      <c r="U27" s="41"/>
      <c r="V27" s="41"/>
      <c r="W27" s="41"/>
      <c r="X27" s="42"/>
      <c r="Y27" s="214"/>
      <c r="Z27" s="599"/>
      <c r="AA27" s="41"/>
      <c r="AB27" s="41"/>
      <c r="AC27" s="41"/>
      <c r="AD27" s="41">
        <f>+AM27+BA27</f>
        <v>9</v>
      </c>
      <c r="AE27" s="232" t="s">
        <v>489</v>
      </c>
      <c r="AF27" s="41"/>
      <c r="AG27" s="41">
        <v>9</v>
      </c>
      <c r="AH27" s="41"/>
      <c r="AI27" s="514"/>
      <c r="AJ27" s="41"/>
      <c r="AK27" s="41"/>
      <c r="AL27" s="41"/>
      <c r="AM27" s="41">
        <f>SUM(AF27:AL27)+AT27+AV27+AX27</f>
        <v>9</v>
      </c>
      <c r="AN27" s="87"/>
      <c r="AO27" s="41"/>
      <c r="AP27" s="41"/>
      <c r="AQ27" s="41"/>
      <c r="AR27" s="41">
        <f>SUM(AN27:AQ27)</f>
        <v>0</v>
      </c>
      <c r="AS27" s="41"/>
      <c r="AT27" s="41"/>
      <c r="AU27" s="41"/>
      <c r="AV27" s="41"/>
      <c r="AW27" s="41"/>
      <c r="AX27" s="41"/>
      <c r="AY27" s="41"/>
      <c r="AZ27" s="41"/>
      <c r="BA27" s="41">
        <f>+AR27+AS27+AU27+AW27+AY27+AZ27</f>
        <v>0</v>
      </c>
      <c r="BB27" s="54"/>
      <c r="BC27" s="55">
        <v>4</v>
      </c>
      <c r="BD27" s="55"/>
      <c r="BE27" s="54"/>
      <c r="BF27" s="55"/>
    </row>
    <row r="28" spans="1:58" ht="12.95" customHeight="1">
      <c r="A28" s="44"/>
      <c r="B28" s="45"/>
      <c r="C28" s="459"/>
      <c r="D28" s="45"/>
      <c r="E28" s="46"/>
      <c r="F28" s="46"/>
      <c r="G28" s="47"/>
      <c r="H28" s="48"/>
      <c r="I28" s="49"/>
      <c r="J28" s="86"/>
      <c r="K28" s="86"/>
      <c r="L28" s="39"/>
      <c r="M28" s="39"/>
      <c r="N28" s="50"/>
      <c r="O28" s="51"/>
      <c r="P28" s="52"/>
      <c r="Q28" s="51"/>
      <c r="R28" s="512"/>
      <c r="S28" s="512"/>
      <c r="T28" s="41"/>
      <c r="U28" s="41"/>
      <c r="V28" s="41"/>
      <c r="W28" s="41"/>
      <c r="X28" s="42"/>
      <c r="Y28" s="214"/>
      <c r="Z28" s="599"/>
      <c r="AA28" s="41"/>
      <c r="AB28" s="41"/>
      <c r="AC28" s="41"/>
      <c r="AD28" s="41">
        <f>+AM28+BA28</f>
        <v>26</v>
      </c>
      <c r="AE28" s="232" t="s">
        <v>226</v>
      </c>
      <c r="AF28" s="37"/>
      <c r="AG28" s="37"/>
      <c r="AH28" s="37">
        <v>26</v>
      </c>
      <c r="AJ28" s="41"/>
      <c r="AK28" s="41"/>
      <c r="AL28" s="41"/>
      <c r="AM28" s="41">
        <f>SUM(AF28:AL28)+AT28+AV28+AX28</f>
        <v>26</v>
      </c>
      <c r="AN28" s="41"/>
      <c r="AO28" s="41"/>
      <c r="AP28" s="41"/>
      <c r="AQ28" s="41"/>
      <c r="AR28" s="41">
        <f>SUM(AN28:AQ28)</f>
        <v>0</v>
      </c>
      <c r="AS28" s="41"/>
      <c r="AT28" s="41"/>
      <c r="AU28" s="41"/>
      <c r="AV28" s="41"/>
      <c r="AW28" s="41"/>
      <c r="AX28" s="41"/>
      <c r="AY28" s="41"/>
      <c r="AZ28" s="41"/>
      <c r="BA28" s="41">
        <f>+AR28+AS28+AU28+AW28+AY28+AZ28</f>
        <v>0</v>
      </c>
      <c r="BB28" s="37"/>
      <c r="BC28" s="515"/>
      <c r="BD28" s="515"/>
      <c r="BE28" s="37"/>
      <c r="BF28" s="515"/>
    </row>
    <row r="29" spans="1:58" ht="12.95" customHeight="1">
      <c r="A29" s="44"/>
      <c r="B29" s="45"/>
      <c r="C29" s="459"/>
      <c r="D29" s="45"/>
      <c r="E29" s="46"/>
      <c r="F29" s="46"/>
      <c r="G29" s="511"/>
      <c r="H29" s="48"/>
      <c r="I29" s="49"/>
      <c r="J29" s="86"/>
      <c r="K29" s="86"/>
      <c r="L29" s="39"/>
      <c r="M29" s="39"/>
      <c r="N29" s="50"/>
      <c r="O29" s="51"/>
      <c r="P29" s="52"/>
      <c r="Q29" s="51"/>
      <c r="R29" s="512"/>
      <c r="S29" s="512"/>
      <c r="T29" s="41"/>
      <c r="U29" s="41"/>
      <c r="V29" s="41"/>
      <c r="W29" s="41"/>
      <c r="X29" s="42"/>
      <c r="Y29" s="214"/>
      <c r="Z29" s="599"/>
      <c r="AA29" s="41"/>
      <c r="AB29" s="41"/>
      <c r="AC29" s="41"/>
      <c r="AD29" s="41">
        <f>+AM29+BA29</f>
        <v>285</v>
      </c>
      <c r="AE29" s="235" t="s">
        <v>490</v>
      </c>
      <c r="AF29" s="41"/>
      <c r="AG29" s="41"/>
      <c r="AH29" s="41"/>
      <c r="AI29" s="514"/>
      <c r="AJ29" s="41"/>
      <c r="AK29" s="41"/>
      <c r="AL29" s="41"/>
      <c r="AM29" s="41">
        <f>SUM(AF29:AL29)+AT29+AV29+AX29</f>
        <v>0</v>
      </c>
      <c r="AN29" s="41"/>
      <c r="AO29" s="41"/>
      <c r="AP29" s="41">
        <v>285</v>
      </c>
      <c r="AQ29" s="41"/>
      <c r="AR29" s="41">
        <f>SUM(AN29:AQ29)</f>
        <v>285</v>
      </c>
      <c r="AS29" s="41"/>
      <c r="AT29" s="41"/>
      <c r="AU29" s="41"/>
      <c r="AV29" s="41"/>
      <c r="AW29" s="41"/>
      <c r="AX29" s="41"/>
      <c r="AY29" s="41"/>
      <c r="AZ29" s="41"/>
      <c r="BA29" s="41">
        <f>+AR29+AS29+AU29+AW29+AY29+AZ29</f>
        <v>285</v>
      </c>
      <c r="BB29" s="37"/>
      <c r="BC29" s="515"/>
      <c r="BD29" s="515"/>
      <c r="BE29" s="37"/>
      <c r="BF29" s="515"/>
    </row>
    <row r="30" spans="1:58" ht="12.95" customHeight="1">
      <c r="A30" s="44"/>
      <c r="B30" s="45"/>
      <c r="C30" s="459"/>
      <c r="D30" s="45"/>
      <c r="E30" s="46"/>
      <c r="F30" s="46"/>
      <c r="G30" s="47"/>
      <c r="H30" s="48"/>
      <c r="I30" s="49"/>
      <c r="J30" s="86"/>
      <c r="K30" s="86"/>
      <c r="L30" s="39"/>
      <c r="M30" s="39"/>
      <c r="N30" s="50"/>
      <c r="O30" s="51"/>
      <c r="P30" s="52"/>
      <c r="Q30" s="38"/>
      <c r="R30" s="512"/>
      <c r="S30" s="512"/>
      <c r="T30" s="41"/>
      <c r="U30" s="41"/>
      <c r="V30" s="41"/>
      <c r="W30" s="41"/>
      <c r="X30" s="42"/>
      <c r="Y30" s="214"/>
      <c r="Z30" s="599"/>
      <c r="AA30" s="41"/>
      <c r="AB30" s="41"/>
      <c r="AC30" s="41"/>
      <c r="AD30" s="41"/>
      <c r="AE30" s="581"/>
      <c r="AF30" s="41"/>
      <c r="AG30" s="41"/>
      <c r="AH30" s="41"/>
      <c r="AI30" s="514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37"/>
      <c r="BC30" s="515"/>
      <c r="BD30" s="515"/>
      <c r="BE30" s="37"/>
      <c r="BF30" s="515"/>
    </row>
    <row r="31" spans="1:58" ht="12.95" customHeight="1">
      <c r="A31" s="44">
        <v>45997</v>
      </c>
      <c r="B31" s="45" t="s">
        <v>8</v>
      </c>
      <c r="C31" s="459">
        <f>(M31*E31*O31*Q31)/100000000</f>
        <v>3.4310800800000005</v>
      </c>
      <c r="D31" s="45" t="s">
        <v>488</v>
      </c>
      <c r="E31" s="46">
        <v>17</v>
      </c>
      <c r="F31" s="46">
        <v>1</v>
      </c>
      <c r="G31" s="47">
        <v>830</v>
      </c>
      <c r="H31" s="48">
        <v>0.14000000000000001</v>
      </c>
      <c r="I31" s="49">
        <v>0.88</v>
      </c>
      <c r="J31" s="86">
        <f>E31*G31*(1-H31)*1440/1000000*3.4</f>
        <v>59.411001599999999</v>
      </c>
      <c r="K31" s="86">
        <f>(IF(G31&lt;L31,L31,G31)*(1-IF(H31&lt;N31,H31,N31))*E31*O31*Q31)/100000000</f>
        <v>3.47292252</v>
      </c>
      <c r="L31" s="39">
        <v>820</v>
      </c>
      <c r="M31" s="39">
        <f>+L31-L31*0.14</f>
        <v>705.2</v>
      </c>
      <c r="N31" s="50">
        <f>1-(M31/L31)</f>
        <v>0.1399999999999999</v>
      </c>
      <c r="O31" s="51">
        <f>+'Trim Rwd'!H17</f>
        <v>318</v>
      </c>
      <c r="P31" s="52">
        <f>O31*(Q31-R31-S31)</f>
        <v>25440</v>
      </c>
      <c r="Q31" s="51">
        <v>90</v>
      </c>
      <c r="R31" s="512">
        <v>0</v>
      </c>
      <c r="S31" s="512">
        <v>10</v>
      </c>
      <c r="T31" s="41">
        <f>E31*M31*O31*Q31/100000000</f>
        <v>3.4310800800000005</v>
      </c>
      <c r="U31" s="41">
        <f>E31*M31*O31*(Q31-R31-S31)/100000000</f>
        <v>3.0498489600000007</v>
      </c>
      <c r="V31" s="41">
        <f>E31*G31*(1-N31)*O31/100*(R31+S31)/1000000</f>
        <v>0.38588028000000002</v>
      </c>
      <c r="W31" s="41">
        <f>+'6'!K10/1000</f>
        <v>6.641</v>
      </c>
      <c r="X31" s="513">
        <f>SUM(W31:W34)/SUM(K31:K34)</f>
        <v>0.73952524011373999</v>
      </c>
      <c r="Y31" s="214">
        <v>0</v>
      </c>
      <c r="Z31" s="599">
        <v>0</v>
      </c>
      <c r="AA31" s="53">
        <f>SUM(U31:U34)-SUM(W31:W34)-SUM(Z31:Z34)-SUM(Y31:Y34)</f>
        <v>4.5811295555294098</v>
      </c>
      <c r="AB31" s="53">
        <f>(SUM(K31:K34)-SUM(W31:W34)-SUM(Y31:Y34)-SUM(Z31:Z34)-SUM(AC31:AC34)-SUM(V31:V34))-AA31</f>
        <v>-4.6491600000022615E-3</v>
      </c>
      <c r="AC31" s="41">
        <f>K31-T31</f>
        <v>4.1842439999999481E-2</v>
      </c>
      <c r="AD31" s="41">
        <f t="shared" ref="AD31:AD36" si="0">+AM31+BA31</f>
        <v>0</v>
      </c>
      <c r="AE31" s="232" t="s">
        <v>395</v>
      </c>
      <c r="AF31" s="41">
        <v>0</v>
      </c>
      <c r="AG31" s="41"/>
      <c r="AH31" s="41"/>
      <c r="AI31" s="514"/>
      <c r="AJ31" s="41"/>
      <c r="AK31" s="41"/>
      <c r="AL31" s="41"/>
      <c r="AM31" s="41">
        <f t="shared" ref="AM31:AM36" si="1">SUM(AF31:AL31)+AT31+AV31+AX31</f>
        <v>0</v>
      </c>
      <c r="AN31" s="41"/>
      <c r="AO31" s="41"/>
      <c r="AP31" s="41"/>
      <c r="AQ31" s="41"/>
      <c r="AR31" s="41">
        <f t="shared" ref="AR31:AR36" si="2">SUM(AN31:AQ31)</f>
        <v>0</v>
      </c>
      <c r="AS31" s="41"/>
      <c r="AT31" s="41"/>
      <c r="AU31" s="41"/>
      <c r="AV31" s="41"/>
      <c r="AW31" s="41"/>
      <c r="AX31" s="41"/>
      <c r="AY31" s="41"/>
      <c r="AZ31" s="41"/>
      <c r="BA31" s="41">
        <f t="shared" ref="BA31:BA36" si="3">+AR31+AS31+AU31+AW31+AY31+AZ31</f>
        <v>0</v>
      </c>
      <c r="BB31" s="37">
        <v>0</v>
      </c>
      <c r="BC31" s="55"/>
      <c r="BD31" s="55"/>
      <c r="BE31" s="37"/>
      <c r="BF31" s="55"/>
    </row>
    <row r="32" spans="1:58" ht="12.95" customHeight="1">
      <c r="A32" s="44"/>
      <c r="B32" s="45" t="s">
        <v>439</v>
      </c>
      <c r="C32" s="459">
        <f>(M32*E32*O32*Q32)/100000000</f>
        <v>48.49014502058823</v>
      </c>
      <c r="D32" s="45" t="s">
        <v>488</v>
      </c>
      <c r="E32" s="46">
        <v>15.5</v>
      </c>
      <c r="F32" s="46">
        <v>1</v>
      </c>
      <c r="G32" s="47">
        <v>830</v>
      </c>
      <c r="H32" s="48">
        <v>0.14000000000000001</v>
      </c>
      <c r="I32" s="49">
        <v>0.88</v>
      </c>
      <c r="J32" s="86">
        <f>E32*G32*(1-H32)*1440/1000000*3.4</f>
        <v>54.168854400000001</v>
      </c>
      <c r="K32" s="86">
        <f>(IF(G32&lt;L32,L32,G32)*(1-IF(H32&lt;N32,H32,N32))*E32*O32*Q32)/100000000</f>
        <v>48.49014502058823</v>
      </c>
      <c r="L32" s="39">
        <v>830</v>
      </c>
      <c r="M32" s="39">
        <f>+L32-L32*0.14</f>
        <v>713.8</v>
      </c>
      <c r="N32" s="50">
        <f>1-(M32/L32)</f>
        <v>0.14000000000000001</v>
      </c>
      <c r="O32" s="51">
        <f>+'Trim Rwd'!H18</f>
        <v>324.64705882352939</v>
      </c>
      <c r="P32" s="52">
        <f>O32*(Q32-R32-S32)</f>
        <v>377889.17647058819</v>
      </c>
      <c r="Q32" s="51">
        <f>1214+70+66</f>
        <v>1350</v>
      </c>
      <c r="R32" s="512">
        <f>70+66</f>
        <v>136</v>
      </c>
      <c r="S32" s="512">
        <v>50</v>
      </c>
      <c r="T32" s="41">
        <f>E32*M32*O32*Q32/100000000</f>
        <v>48.49014502058823</v>
      </c>
      <c r="U32" s="41">
        <f>E32*M32*O32*(Q32-R32-S32)/100000000</f>
        <v>41.809280595529408</v>
      </c>
      <c r="V32" s="41">
        <f>E32*G32*(1-N32)*O32/100*(R32+S32)/1000000</f>
        <v>6.6808644250588225</v>
      </c>
      <c r="W32" s="41">
        <f>+'6'!K11/1000</f>
        <v>31.786999999999999</v>
      </c>
      <c r="X32" s="42"/>
      <c r="Y32" s="214"/>
      <c r="Z32" s="599">
        <f>+'6'!D34/1000</f>
        <v>1.85</v>
      </c>
      <c r="AA32" s="41"/>
      <c r="AB32" s="41"/>
      <c r="AC32" s="41">
        <f>K32-T32</f>
        <v>0</v>
      </c>
      <c r="AD32" s="41">
        <f t="shared" si="0"/>
        <v>10</v>
      </c>
      <c r="AE32" s="232" t="s">
        <v>454</v>
      </c>
      <c r="AF32" s="41"/>
      <c r="AG32" s="41">
        <v>10</v>
      </c>
      <c r="AH32" s="41"/>
      <c r="AI32" s="514"/>
      <c r="AJ32" s="41"/>
      <c r="AK32" s="41"/>
      <c r="AL32" s="41"/>
      <c r="AM32" s="41">
        <f t="shared" si="1"/>
        <v>10</v>
      </c>
      <c r="AN32" s="87"/>
      <c r="AO32" s="41"/>
      <c r="AP32" s="41"/>
      <c r="AQ32" s="41"/>
      <c r="AR32" s="41">
        <f t="shared" si="2"/>
        <v>0</v>
      </c>
      <c r="AS32" s="41"/>
      <c r="AT32" s="41"/>
      <c r="AU32" s="41"/>
      <c r="AV32" s="41"/>
      <c r="AW32" s="41"/>
      <c r="AX32" s="41"/>
      <c r="AY32" s="41"/>
      <c r="AZ32" s="41"/>
      <c r="BA32" s="41">
        <f t="shared" si="3"/>
        <v>0</v>
      </c>
      <c r="BB32" s="54"/>
      <c r="BC32" s="55">
        <v>2</v>
      </c>
      <c r="BD32" s="55"/>
      <c r="BE32" s="54"/>
      <c r="BF32" s="55"/>
    </row>
    <row r="33" spans="1:58" ht="12.95" customHeight="1">
      <c r="A33" s="44"/>
      <c r="B33" s="45"/>
      <c r="C33" s="459"/>
      <c r="D33" s="45"/>
      <c r="E33" s="46"/>
      <c r="F33" s="46"/>
      <c r="G33" s="47"/>
      <c r="H33" s="48"/>
      <c r="I33" s="49"/>
      <c r="J33" s="86"/>
      <c r="K33" s="86"/>
      <c r="L33" s="39"/>
      <c r="M33" s="39"/>
      <c r="N33" s="50"/>
      <c r="O33" s="51"/>
      <c r="P33" s="52"/>
      <c r="Q33" s="51"/>
      <c r="R33" s="512"/>
      <c r="S33" s="512"/>
      <c r="T33" s="41"/>
      <c r="U33" s="41"/>
      <c r="V33" s="41"/>
      <c r="W33" s="41"/>
      <c r="X33" s="42"/>
      <c r="Y33" s="214"/>
      <c r="Z33" s="599"/>
      <c r="AA33" s="41"/>
      <c r="AB33" s="41"/>
      <c r="AC33" s="41"/>
      <c r="AD33" s="41">
        <f t="shared" si="0"/>
        <v>28</v>
      </c>
      <c r="AE33" s="232" t="s">
        <v>226</v>
      </c>
      <c r="AF33" s="37"/>
      <c r="AG33" s="37"/>
      <c r="AH33" s="37">
        <v>28</v>
      </c>
      <c r="AJ33" s="41"/>
      <c r="AK33" s="41"/>
      <c r="AL33" s="41"/>
      <c r="AM33" s="41">
        <f t="shared" si="1"/>
        <v>28</v>
      </c>
      <c r="AN33" s="41"/>
      <c r="AO33" s="41"/>
      <c r="AP33" s="41"/>
      <c r="AQ33" s="41"/>
      <c r="AR33" s="41">
        <f t="shared" si="2"/>
        <v>0</v>
      </c>
      <c r="AS33" s="41"/>
      <c r="AT33" s="41"/>
      <c r="AU33" s="41"/>
      <c r="AV33" s="41"/>
      <c r="AW33" s="41"/>
      <c r="AX33" s="41"/>
      <c r="AY33" s="41"/>
      <c r="AZ33" s="41"/>
      <c r="BA33" s="41">
        <f t="shared" si="3"/>
        <v>0</v>
      </c>
      <c r="BB33" s="37"/>
      <c r="BC33" s="515"/>
      <c r="BD33" s="515"/>
      <c r="BE33" s="37"/>
      <c r="BF33" s="515"/>
    </row>
    <row r="34" spans="1:58" ht="12.95" customHeight="1">
      <c r="A34" s="44"/>
      <c r="B34" s="45"/>
      <c r="C34" s="459"/>
      <c r="D34" s="45"/>
      <c r="E34" s="46"/>
      <c r="F34" s="46"/>
      <c r="G34" s="511"/>
      <c r="H34" s="48"/>
      <c r="I34" s="49"/>
      <c r="J34" s="86"/>
      <c r="K34" s="86"/>
      <c r="L34" s="39"/>
      <c r="M34" s="39"/>
      <c r="N34" s="50"/>
      <c r="O34" s="51"/>
      <c r="P34" s="52"/>
      <c r="Q34" s="51"/>
      <c r="R34" s="512"/>
      <c r="S34" s="512"/>
      <c r="T34" s="41"/>
      <c r="U34" s="41"/>
      <c r="V34" s="41"/>
      <c r="W34" s="41"/>
      <c r="X34" s="42"/>
      <c r="Y34" s="214"/>
      <c r="Z34" s="599"/>
      <c r="AA34" s="41"/>
      <c r="AB34" s="41"/>
      <c r="AC34" s="41"/>
      <c r="AD34" s="41">
        <f t="shared" si="0"/>
        <v>70</v>
      </c>
      <c r="AE34" s="235" t="s">
        <v>503</v>
      </c>
      <c r="AF34" s="41"/>
      <c r="AG34" s="41"/>
      <c r="AH34" s="41"/>
      <c r="AI34" s="514"/>
      <c r="AJ34" s="41"/>
      <c r="AK34" s="41"/>
      <c r="AL34" s="41"/>
      <c r="AM34" s="41">
        <f t="shared" si="1"/>
        <v>0</v>
      </c>
      <c r="AN34" s="41"/>
      <c r="AO34" s="41">
        <v>70</v>
      </c>
      <c r="AP34" s="41"/>
      <c r="AQ34" s="41"/>
      <c r="AR34" s="41">
        <f t="shared" si="2"/>
        <v>70</v>
      </c>
      <c r="AS34" s="41"/>
      <c r="AT34" s="41"/>
      <c r="AU34" s="41"/>
      <c r="AV34" s="41"/>
      <c r="AW34" s="41"/>
      <c r="AX34" s="41"/>
      <c r="AY34" s="41"/>
      <c r="AZ34" s="41"/>
      <c r="BA34" s="41">
        <f t="shared" si="3"/>
        <v>70</v>
      </c>
      <c r="BB34" s="37"/>
      <c r="BC34" s="515"/>
      <c r="BD34" s="515"/>
      <c r="BE34" s="37"/>
      <c r="BF34" s="515"/>
    </row>
    <row r="35" spans="1:58" ht="12.95" customHeight="1">
      <c r="A35" s="44"/>
      <c r="B35" s="45"/>
      <c r="C35" s="459"/>
      <c r="D35" s="45"/>
      <c r="E35" s="46"/>
      <c r="F35" s="46"/>
      <c r="G35" s="47"/>
      <c r="H35" s="48"/>
      <c r="I35" s="49"/>
      <c r="J35" s="86"/>
      <c r="K35" s="86"/>
      <c r="L35" s="39"/>
      <c r="M35" s="39"/>
      <c r="N35" s="50"/>
      <c r="O35" s="51"/>
      <c r="P35" s="52"/>
      <c r="Q35" s="38"/>
      <c r="R35" s="512"/>
      <c r="S35" s="512"/>
      <c r="T35" s="41"/>
      <c r="U35" s="41"/>
      <c r="V35" s="41"/>
      <c r="W35" s="41"/>
      <c r="X35" s="42"/>
      <c r="Y35" s="214"/>
      <c r="Z35" s="599"/>
      <c r="AA35" s="41"/>
      <c r="AB35" s="41"/>
      <c r="AC35" s="41"/>
      <c r="AD35" s="41">
        <f t="shared" si="0"/>
        <v>66</v>
      </c>
      <c r="AE35" s="235" t="s">
        <v>511</v>
      </c>
      <c r="AF35" s="41"/>
      <c r="AG35" s="41"/>
      <c r="AH35" s="41"/>
      <c r="AI35" s="514"/>
      <c r="AJ35" s="41"/>
      <c r="AK35" s="41"/>
      <c r="AL35" s="41"/>
      <c r="AM35" s="41">
        <f t="shared" si="1"/>
        <v>0</v>
      </c>
      <c r="AN35" s="41">
        <v>66</v>
      </c>
      <c r="AO35" s="41"/>
      <c r="AP35" s="41"/>
      <c r="AQ35" s="41"/>
      <c r="AR35" s="41">
        <f t="shared" si="2"/>
        <v>66</v>
      </c>
      <c r="AS35" s="41"/>
      <c r="AT35" s="41"/>
      <c r="AU35" s="41"/>
      <c r="AV35" s="41"/>
      <c r="AW35" s="41"/>
      <c r="AX35" s="41"/>
      <c r="AY35" s="41"/>
      <c r="AZ35" s="41"/>
      <c r="BA35" s="41">
        <f t="shared" si="3"/>
        <v>66</v>
      </c>
      <c r="BB35" s="37"/>
      <c r="BC35" s="515"/>
      <c r="BD35" s="515"/>
      <c r="BE35" s="37"/>
      <c r="BF35" s="515">
        <v>1</v>
      </c>
    </row>
    <row r="36" spans="1:58" ht="12.95" customHeight="1">
      <c r="A36" s="44"/>
      <c r="B36" s="45"/>
      <c r="C36" s="459"/>
      <c r="D36" s="45"/>
      <c r="E36" s="46"/>
      <c r="F36" s="46"/>
      <c r="G36" s="511"/>
      <c r="H36" s="48"/>
      <c r="I36" s="49"/>
      <c r="J36" s="86"/>
      <c r="K36" s="86"/>
      <c r="L36" s="39"/>
      <c r="M36" s="39"/>
      <c r="N36" s="50"/>
      <c r="O36" s="51"/>
      <c r="P36" s="52"/>
      <c r="Q36" s="51"/>
      <c r="R36" s="512"/>
      <c r="S36" s="512"/>
      <c r="T36" s="41"/>
      <c r="U36" s="41"/>
      <c r="V36" s="41"/>
      <c r="W36" s="41"/>
      <c r="X36" s="42"/>
      <c r="Y36" s="214"/>
      <c r="Z36" s="599"/>
      <c r="AA36" s="41"/>
      <c r="AB36" s="41"/>
      <c r="AC36" s="41"/>
      <c r="AD36" s="41">
        <f t="shared" si="0"/>
        <v>22</v>
      </c>
      <c r="AE36" s="235" t="s">
        <v>499</v>
      </c>
      <c r="AF36" s="41"/>
      <c r="AG36" s="41"/>
      <c r="AH36" s="41"/>
      <c r="AI36" s="514">
        <v>22</v>
      </c>
      <c r="AJ36" s="41"/>
      <c r="AK36" s="41"/>
      <c r="AL36" s="41"/>
      <c r="AM36" s="41">
        <f t="shared" si="1"/>
        <v>22</v>
      </c>
      <c r="AN36" s="41"/>
      <c r="AO36" s="41"/>
      <c r="AP36" s="41"/>
      <c r="AQ36" s="41"/>
      <c r="AR36" s="41">
        <f t="shared" si="2"/>
        <v>0</v>
      </c>
      <c r="AS36" s="41"/>
      <c r="AT36" s="41"/>
      <c r="AU36" s="41"/>
      <c r="AV36" s="41"/>
      <c r="AW36" s="41"/>
      <c r="AX36" s="41"/>
      <c r="AY36" s="41"/>
      <c r="AZ36" s="41"/>
      <c r="BA36" s="41">
        <f t="shared" si="3"/>
        <v>0</v>
      </c>
      <c r="BB36" s="37"/>
      <c r="BC36" s="515"/>
      <c r="BD36" s="515"/>
      <c r="BE36" s="37"/>
      <c r="BF36" s="515"/>
    </row>
    <row r="37" spans="1:58" ht="12.95" customHeight="1">
      <c r="A37" s="44"/>
      <c r="B37" s="45"/>
      <c r="C37" s="459"/>
      <c r="D37" s="45"/>
      <c r="E37" s="46"/>
      <c r="F37" s="46"/>
      <c r="G37" s="511"/>
      <c r="H37" s="48"/>
      <c r="I37" s="49"/>
      <c r="J37" s="86"/>
      <c r="K37" s="86"/>
      <c r="L37" s="39"/>
      <c r="M37" s="39"/>
      <c r="N37" s="50"/>
      <c r="O37" s="51"/>
      <c r="P37" s="52"/>
      <c r="Q37" s="51"/>
      <c r="R37" s="512"/>
      <c r="S37" s="512"/>
      <c r="T37" s="41"/>
      <c r="U37" s="41"/>
      <c r="V37" s="41"/>
      <c r="W37" s="41"/>
      <c r="X37" s="42"/>
      <c r="Y37" s="214"/>
      <c r="Z37" s="599"/>
      <c r="AA37" s="41"/>
      <c r="AB37" s="41"/>
      <c r="AC37" s="41"/>
      <c r="AD37" s="41"/>
      <c r="AE37" s="232"/>
      <c r="AF37" s="41"/>
      <c r="AG37" s="41"/>
      <c r="AH37" s="41"/>
      <c r="AI37" s="514"/>
      <c r="AJ37" s="41"/>
      <c r="AK37" s="41"/>
      <c r="AL37" s="41"/>
      <c r="AM37" s="41"/>
      <c r="AN37" s="87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54"/>
      <c r="BC37" s="55"/>
      <c r="BD37" s="55"/>
      <c r="BE37" s="55"/>
      <c r="BF37" s="55"/>
    </row>
    <row r="38" spans="1:58" ht="12.95" customHeight="1">
      <c r="A38" s="44">
        <v>45998</v>
      </c>
      <c r="B38" s="45" t="s">
        <v>439</v>
      </c>
      <c r="C38" s="459">
        <f>(M38*E38*O38*Q38)/100000000</f>
        <v>51.657968678399989</v>
      </c>
      <c r="D38" s="45" t="s">
        <v>488</v>
      </c>
      <c r="E38" s="46">
        <v>15.5</v>
      </c>
      <c r="F38" s="46">
        <v>1</v>
      </c>
      <c r="G38" s="47">
        <v>830</v>
      </c>
      <c r="H38" s="48">
        <v>0.14000000000000001</v>
      </c>
      <c r="I38" s="49">
        <v>0.88</v>
      </c>
      <c r="J38" s="86">
        <f>E38*G38*(1-H38)*1440/1000000*3.4</f>
        <v>54.168854400000001</v>
      </c>
      <c r="K38" s="86">
        <f>(IF(G38&lt;L38,L38,G38)*(1-IF(H38&lt;N38,H38,N38))*E38*O38*Q38)/100000000</f>
        <v>51.657968678399989</v>
      </c>
      <c r="L38" s="39">
        <v>830</v>
      </c>
      <c r="M38" s="39">
        <f>+L38-L38*0.14</f>
        <v>713.8</v>
      </c>
      <c r="N38" s="50">
        <f>1-(M38/L38)</f>
        <v>0.14000000000000001</v>
      </c>
      <c r="O38" s="51">
        <f>+'Trim Rwd'!H21</f>
        <v>324.24</v>
      </c>
      <c r="P38" s="52">
        <f>O38*(Q38-R38-S38)</f>
        <v>457178.4</v>
      </c>
      <c r="Q38" s="51">
        <v>1440</v>
      </c>
      <c r="R38" s="512">
        <v>0</v>
      </c>
      <c r="S38" s="512">
        <v>30</v>
      </c>
      <c r="T38" s="41">
        <f>E38*M38*O38*Q38/100000000</f>
        <v>51.657968678399989</v>
      </c>
      <c r="U38" s="41">
        <f>E38*M38*O38*(Q38-R38-S38)/100000000</f>
        <v>50.581760997599993</v>
      </c>
      <c r="V38" s="41">
        <f>E38*G38*(1-N38)*O38/100*(R38+S38)/1000000</f>
        <v>1.0762076808000001</v>
      </c>
      <c r="W38" s="41">
        <f>+'7'!K34/1000</f>
        <v>48.44</v>
      </c>
      <c r="X38" s="513">
        <f>SUM(W38:W41)/SUM(K38:K41)</f>
        <v>0.93770624821828241</v>
      </c>
      <c r="Y38" s="214">
        <v>0</v>
      </c>
      <c r="Z38" s="599">
        <f>+'7'!D34/1000</f>
        <v>0.7</v>
      </c>
      <c r="AA38" s="53">
        <f>SUM(U38:U41)-SUM(W38:W41)-SUM(Z38:Z41)-SUM(Y38:Y41)</f>
        <v>1.4417609975999952</v>
      </c>
      <c r="AB38" s="53">
        <f>(SUM(K38:K41)-SUM(W38:W41)-SUM(Y38:Y41)-SUM(Z38:Z41)-SUM(AC38:AC41)-SUM(V38:V41))-AA38</f>
        <v>-4.2188474935755949E-15</v>
      </c>
      <c r="AC38" s="41">
        <f>K38-T38</f>
        <v>0</v>
      </c>
      <c r="AD38" s="41">
        <f>+AM38+BA38</f>
        <v>5</v>
      </c>
      <c r="AE38" s="232" t="s">
        <v>392</v>
      </c>
      <c r="AF38" s="41">
        <v>5</v>
      </c>
      <c r="AG38" s="41"/>
      <c r="AH38" s="41"/>
      <c r="AI38" s="514"/>
      <c r="AJ38" s="41"/>
      <c r="AK38" s="41"/>
      <c r="AL38" s="41"/>
      <c r="AM38" s="41">
        <f>SUM(AF38:AL38)+AT38+AV38+AX38</f>
        <v>5</v>
      </c>
      <c r="AN38" s="41"/>
      <c r="AO38" s="41"/>
      <c r="AP38" s="41"/>
      <c r="AQ38" s="41"/>
      <c r="AR38" s="41">
        <f>SUM(AN38:AQ38)</f>
        <v>0</v>
      </c>
      <c r="AS38" s="41"/>
      <c r="AT38" s="41"/>
      <c r="AU38" s="41"/>
      <c r="AV38" s="41"/>
      <c r="AW38" s="41"/>
      <c r="AX38" s="41"/>
      <c r="AY38" s="41"/>
      <c r="AZ38" s="41"/>
      <c r="BA38" s="41">
        <f>+AR38+AS38+AU38+AW38+AY38+AZ38</f>
        <v>0</v>
      </c>
      <c r="BB38" s="37">
        <v>1</v>
      </c>
      <c r="BC38" s="55"/>
      <c r="BD38" s="55"/>
      <c r="BE38" s="37"/>
      <c r="BF38" s="55"/>
    </row>
    <row r="39" spans="1:58" ht="12.95" customHeight="1">
      <c r="A39" s="44"/>
      <c r="B39" s="45"/>
      <c r="C39" s="459"/>
      <c r="D39" s="45"/>
      <c r="E39" s="46"/>
      <c r="F39" s="46"/>
      <c r="G39" s="47"/>
      <c r="H39" s="48"/>
      <c r="I39" s="49"/>
      <c r="J39" s="86"/>
      <c r="K39" s="86"/>
      <c r="L39" s="39"/>
      <c r="M39" s="39"/>
      <c r="N39" s="50"/>
      <c r="O39" s="51"/>
      <c r="P39" s="52"/>
      <c r="Q39" s="51"/>
      <c r="R39" s="512"/>
      <c r="S39" s="512"/>
      <c r="T39" s="41"/>
      <c r="U39" s="41"/>
      <c r="V39" s="41"/>
      <c r="W39" s="41"/>
      <c r="X39" s="42"/>
      <c r="Y39" s="214"/>
      <c r="Z39" s="599"/>
      <c r="AA39" s="41"/>
      <c r="AB39" s="41"/>
      <c r="AC39" s="41"/>
      <c r="AD39" s="41">
        <f>+AM39+BA39</f>
        <v>7</v>
      </c>
      <c r="AE39" s="232" t="s">
        <v>454</v>
      </c>
      <c r="AF39" s="41"/>
      <c r="AG39" s="41">
        <v>7</v>
      </c>
      <c r="AH39" s="41"/>
      <c r="AI39" s="514"/>
      <c r="AJ39" s="41"/>
      <c r="AK39" s="41"/>
      <c r="AL39" s="41"/>
      <c r="AM39" s="41">
        <f>SUM(AF39:AL39)+AT39+AV39+AX39</f>
        <v>7</v>
      </c>
      <c r="AN39" s="87"/>
      <c r="AO39" s="41"/>
      <c r="AP39" s="41"/>
      <c r="AQ39" s="41"/>
      <c r="AR39" s="41">
        <f>SUM(AN39:AQ39)</f>
        <v>0</v>
      </c>
      <c r="AS39" s="41"/>
      <c r="AT39" s="41"/>
      <c r="AU39" s="41"/>
      <c r="AV39" s="41"/>
      <c r="AW39" s="41"/>
      <c r="AX39" s="41"/>
      <c r="AY39" s="41"/>
      <c r="AZ39" s="41"/>
      <c r="BA39" s="41">
        <f>+AR39+AS39+AU39+AW39+AY39+AZ39</f>
        <v>0</v>
      </c>
      <c r="BB39" s="54"/>
      <c r="BC39" s="55">
        <v>2</v>
      </c>
      <c r="BD39" s="55"/>
      <c r="BE39" s="54"/>
      <c r="BF39" s="55"/>
    </row>
    <row r="40" spans="1:58" ht="12.95" customHeight="1">
      <c r="A40" s="44"/>
      <c r="B40" s="45"/>
      <c r="C40" s="459"/>
      <c r="D40" s="45"/>
      <c r="E40" s="46"/>
      <c r="F40" s="46"/>
      <c r="G40" s="47"/>
      <c r="H40" s="48"/>
      <c r="I40" s="49"/>
      <c r="J40" s="86"/>
      <c r="K40" s="86"/>
      <c r="L40" s="39"/>
      <c r="M40" s="39"/>
      <c r="N40" s="50"/>
      <c r="O40" s="51"/>
      <c r="P40" s="52"/>
      <c r="Q40" s="51"/>
      <c r="R40" s="512"/>
      <c r="S40" s="512"/>
      <c r="T40" s="41"/>
      <c r="U40" s="41"/>
      <c r="V40" s="41"/>
      <c r="W40" s="41"/>
      <c r="X40" s="42"/>
      <c r="Y40" s="214"/>
      <c r="Z40" s="599"/>
      <c r="AA40" s="41"/>
      <c r="AB40" s="41"/>
      <c r="AC40" s="41"/>
      <c r="AD40" s="41">
        <f>+AM40+BA40</f>
        <v>18</v>
      </c>
      <c r="AE40" s="232" t="s">
        <v>226</v>
      </c>
      <c r="AF40" s="37"/>
      <c r="AG40" s="37"/>
      <c r="AH40" s="37">
        <v>18</v>
      </c>
      <c r="AJ40" s="41"/>
      <c r="AK40" s="41"/>
      <c r="AL40" s="41"/>
      <c r="AM40" s="41">
        <f>SUM(AF40:AL40)+AT40+AV40+AX40</f>
        <v>18</v>
      </c>
      <c r="AN40" s="41"/>
      <c r="AO40" s="41"/>
      <c r="AP40" s="41"/>
      <c r="AQ40" s="41"/>
      <c r="AR40" s="41">
        <f>SUM(AN40:AQ40)</f>
        <v>0</v>
      </c>
      <c r="AS40" s="41"/>
      <c r="AT40" s="41"/>
      <c r="AU40" s="41"/>
      <c r="AV40" s="41"/>
      <c r="AW40" s="41"/>
      <c r="AX40" s="41"/>
      <c r="AY40" s="41"/>
      <c r="AZ40" s="41"/>
      <c r="BA40" s="41">
        <f>+AR40+AS40+AU40+AW40+AY40+AZ40</f>
        <v>0</v>
      </c>
      <c r="BB40" s="37"/>
      <c r="BC40" s="515"/>
      <c r="BD40" s="515"/>
      <c r="BE40" s="37"/>
      <c r="BF40" s="515"/>
    </row>
    <row r="41" spans="1:58" ht="12.95" customHeight="1">
      <c r="A41" s="44"/>
      <c r="B41" s="45"/>
      <c r="C41" s="459"/>
      <c r="D41" s="45"/>
      <c r="E41" s="46"/>
      <c r="F41" s="46"/>
      <c r="G41" s="511"/>
      <c r="H41" s="48"/>
      <c r="I41" s="49"/>
      <c r="J41" s="86"/>
      <c r="K41" s="86"/>
      <c r="L41" s="39"/>
      <c r="M41" s="39"/>
      <c r="N41" s="50"/>
      <c r="O41" s="51"/>
      <c r="P41" s="52"/>
      <c r="Q41" s="51"/>
      <c r="R41" s="512"/>
      <c r="S41" s="512"/>
      <c r="T41" s="41"/>
      <c r="U41" s="41"/>
      <c r="V41" s="41"/>
      <c r="W41" s="41"/>
      <c r="X41" s="513"/>
      <c r="Y41" s="214"/>
      <c r="Z41" s="599"/>
      <c r="AA41" s="53"/>
      <c r="AB41" s="53"/>
      <c r="AC41" s="41"/>
      <c r="AD41" s="41"/>
      <c r="AE41" s="232"/>
      <c r="AF41" s="41"/>
      <c r="AG41" s="41"/>
      <c r="AH41" s="41"/>
      <c r="AI41" s="514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37"/>
      <c r="BC41" s="55"/>
      <c r="BD41" s="55"/>
      <c r="BE41" s="55"/>
      <c r="BF41" s="55"/>
    </row>
    <row r="42" spans="1:58" ht="12.95" customHeight="1">
      <c r="A42" s="44">
        <v>45999</v>
      </c>
      <c r="B42" s="45" t="s">
        <v>439</v>
      </c>
      <c r="C42" s="459">
        <f>(M42*E42*O42*Q42)/100000000</f>
        <v>51.7444171826087</v>
      </c>
      <c r="D42" s="45" t="s">
        <v>488</v>
      </c>
      <c r="E42" s="46">
        <v>15.5</v>
      </c>
      <c r="F42" s="46">
        <v>1</v>
      </c>
      <c r="G42" s="47">
        <v>830</v>
      </c>
      <c r="H42" s="48">
        <v>0.14000000000000001</v>
      </c>
      <c r="I42" s="49">
        <v>0.88</v>
      </c>
      <c r="J42" s="86">
        <f>E42*G42*(1-H42)*1440/1000000*3.4</f>
        <v>54.168854400000001</v>
      </c>
      <c r="K42" s="86">
        <f>(IF(G42&lt;L42,L42,G42)*(1-IF(H42&lt;N42,H42,N42))*E42*O42*Q42)/100000000</f>
        <v>51.7444171826087</v>
      </c>
      <c r="L42" s="39">
        <v>830</v>
      </c>
      <c r="M42" s="39">
        <f>+L42-L42*0.14</f>
        <v>713.8</v>
      </c>
      <c r="N42" s="50">
        <f>1-(M42/L42)</f>
        <v>0.14000000000000001</v>
      </c>
      <c r="O42" s="51">
        <f>+'Trim Rwd'!H25</f>
        <v>324.78260869565219</v>
      </c>
      <c r="P42" s="52">
        <f>O42*(Q42-R42-S42)</f>
        <v>435858.26086956525</v>
      </c>
      <c r="Q42" s="51">
        <v>1440</v>
      </c>
      <c r="R42" s="512">
        <v>70</v>
      </c>
      <c r="S42" s="512">
        <v>28</v>
      </c>
      <c r="T42" s="41">
        <f>E42*M42*O42*Q42/100000000</f>
        <v>51.7444171826087</v>
      </c>
      <c r="U42" s="41">
        <f>E42*M42*O42*(Q42-R42-S42)/100000000</f>
        <v>48.222922124347832</v>
      </c>
      <c r="V42" s="41">
        <f>E42*G42*(1-N42)*O42/100*(R42+S42)/1000000</f>
        <v>3.5214950582608697</v>
      </c>
      <c r="W42" s="41">
        <f>+'8'!K34/1000</f>
        <v>45.993000000000002</v>
      </c>
      <c r="X42" s="513">
        <f>SUM(W42:W45)/SUM(K42:K45)</f>
        <v>0.88884951274430912</v>
      </c>
      <c r="Y42" s="214">
        <v>0</v>
      </c>
      <c r="Z42" s="599">
        <f>+'8'!D34/1000</f>
        <v>0.88</v>
      </c>
      <c r="AA42" s="53">
        <f>SUM(U42:U45)-SUM(W42:W45)-SUM(Z42:Z45)-SUM(Y42:Y45)</f>
        <v>1.3499221243478301</v>
      </c>
      <c r="AB42" s="53">
        <f>(SUM(K42:K45)-SUM(W42:W45)-SUM(Y42:Y45)-SUM(Z42:Z45)-SUM(AC42:AC45)-SUM(V42:V45))-AA42</f>
        <v>-1.7763568394002505E-15</v>
      </c>
      <c r="AC42" s="41">
        <f>K42-T42</f>
        <v>0</v>
      </c>
      <c r="AD42" s="41">
        <f>+AM42+BA42</f>
        <v>3</v>
      </c>
      <c r="AE42" s="232" t="s">
        <v>392</v>
      </c>
      <c r="AF42" s="41">
        <v>3</v>
      </c>
      <c r="AG42" s="41"/>
      <c r="AH42" s="41"/>
      <c r="AI42" s="514"/>
      <c r="AJ42" s="41"/>
      <c r="AK42" s="41"/>
      <c r="AL42" s="41"/>
      <c r="AM42" s="41">
        <f>SUM(AF42:AL42)+AT42+AV42+AX42</f>
        <v>3</v>
      </c>
      <c r="AN42" s="41"/>
      <c r="AO42" s="41"/>
      <c r="AP42" s="41"/>
      <c r="AQ42" s="41"/>
      <c r="AR42" s="41">
        <f>SUM(AN42:AQ42)</f>
        <v>0</v>
      </c>
      <c r="AS42" s="41"/>
      <c r="AT42" s="41"/>
      <c r="AU42" s="41"/>
      <c r="AV42" s="41"/>
      <c r="AW42" s="41"/>
      <c r="AX42" s="41"/>
      <c r="AY42" s="41"/>
      <c r="AZ42" s="41"/>
      <c r="BA42" s="41">
        <f>+AR42+AS42+AU42+AW42+AY42+AZ42</f>
        <v>0</v>
      </c>
      <c r="BB42" s="37">
        <v>1</v>
      </c>
      <c r="BC42" s="55"/>
      <c r="BD42" s="55"/>
      <c r="BE42" s="37"/>
      <c r="BF42" s="55"/>
    </row>
    <row r="43" spans="1:58" ht="12.95" customHeight="1">
      <c r="A43" s="44"/>
      <c r="B43" s="45"/>
      <c r="C43" s="459"/>
      <c r="D43" s="45"/>
      <c r="E43" s="46"/>
      <c r="F43" s="46"/>
      <c r="G43" s="47"/>
      <c r="H43" s="48"/>
      <c r="I43" s="49"/>
      <c r="J43" s="86"/>
      <c r="K43" s="86"/>
      <c r="L43" s="39"/>
      <c r="M43" s="39"/>
      <c r="N43" s="50"/>
      <c r="O43" s="51"/>
      <c r="P43" s="52"/>
      <c r="Q43" s="51"/>
      <c r="R43" s="512"/>
      <c r="S43" s="512"/>
      <c r="T43" s="41"/>
      <c r="U43" s="41"/>
      <c r="V43" s="41"/>
      <c r="W43" s="41"/>
      <c r="X43" s="42"/>
      <c r="Y43" s="214"/>
      <c r="Z43" s="599"/>
      <c r="AA43" s="41"/>
      <c r="AB43" s="41"/>
      <c r="AC43" s="41"/>
      <c r="AD43" s="41">
        <f>+AM43+BA43</f>
        <v>11</v>
      </c>
      <c r="AE43" s="232" t="s">
        <v>394</v>
      </c>
      <c r="AF43" s="41"/>
      <c r="AG43" s="41">
        <v>11</v>
      </c>
      <c r="AH43" s="41"/>
      <c r="AI43" s="514"/>
      <c r="AJ43" s="41"/>
      <c r="AK43" s="41"/>
      <c r="AL43" s="41"/>
      <c r="AM43" s="41">
        <f>SUM(AF43:AL43)+AT43+AV43+AX43</f>
        <v>11</v>
      </c>
      <c r="AN43" s="87"/>
      <c r="AO43" s="41"/>
      <c r="AP43" s="41"/>
      <c r="AQ43" s="41"/>
      <c r="AR43" s="41">
        <f>SUM(AN43:AQ43)</f>
        <v>0</v>
      </c>
      <c r="AS43" s="41"/>
      <c r="AT43" s="41"/>
      <c r="AU43" s="41"/>
      <c r="AV43" s="41"/>
      <c r="AW43" s="41"/>
      <c r="AX43" s="41"/>
      <c r="AY43" s="41"/>
      <c r="AZ43" s="41"/>
      <c r="BA43" s="41">
        <f>+AR43+AS43+AU43+AW43+AY43+AZ43</f>
        <v>0</v>
      </c>
      <c r="BB43" s="54"/>
      <c r="BC43" s="55">
        <v>3</v>
      </c>
      <c r="BD43" s="55"/>
      <c r="BE43" s="54"/>
      <c r="BF43" s="55"/>
    </row>
    <row r="44" spans="1:58" ht="12.95" customHeight="1">
      <c r="A44" s="44"/>
      <c r="B44" s="45"/>
      <c r="C44" s="459"/>
      <c r="D44" s="45"/>
      <c r="E44" s="46"/>
      <c r="F44" s="46"/>
      <c r="G44" s="47"/>
      <c r="H44" s="48"/>
      <c r="I44" s="49"/>
      <c r="J44" s="86"/>
      <c r="K44" s="86"/>
      <c r="L44" s="39"/>
      <c r="M44" s="39"/>
      <c r="N44" s="50"/>
      <c r="O44" s="51"/>
      <c r="P44" s="52"/>
      <c r="Q44" s="51"/>
      <c r="R44" s="512"/>
      <c r="S44" s="512"/>
      <c r="T44" s="41"/>
      <c r="U44" s="41"/>
      <c r="V44" s="41"/>
      <c r="W44" s="41"/>
      <c r="X44" s="42"/>
      <c r="Y44" s="214"/>
      <c r="Z44" s="599"/>
      <c r="AA44" s="41"/>
      <c r="AB44" s="41"/>
      <c r="AC44" s="41"/>
      <c r="AD44" s="41">
        <f>+AM44+BA44</f>
        <v>14</v>
      </c>
      <c r="AE44" s="232" t="s">
        <v>226</v>
      </c>
      <c r="AF44" s="37"/>
      <c r="AG44" s="37"/>
      <c r="AH44" s="37">
        <v>14</v>
      </c>
      <c r="AJ44" s="41"/>
      <c r="AK44" s="41"/>
      <c r="AL44" s="41"/>
      <c r="AM44" s="41">
        <f>SUM(AF44:AL44)+AT44+AV44+AX44</f>
        <v>14</v>
      </c>
      <c r="AN44" s="41"/>
      <c r="AO44" s="41"/>
      <c r="AP44" s="41"/>
      <c r="AQ44" s="41"/>
      <c r="AR44" s="41">
        <f>SUM(AN44:AQ44)</f>
        <v>0</v>
      </c>
      <c r="AS44" s="41"/>
      <c r="AT44" s="41"/>
      <c r="AU44" s="41"/>
      <c r="AV44" s="41"/>
      <c r="AW44" s="41"/>
      <c r="AX44" s="41"/>
      <c r="AY44" s="41"/>
      <c r="AZ44" s="41"/>
      <c r="BA44" s="41">
        <f>+AR44+AS44+AU44+AW44+AY44+AZ44</f>
        <v>0</v>
      </c>
      <c r="BB44" s="37"/>
      <c r="BC44" s="515"/>
      <c r="BD44" s="515"/>
      <c r="BE44" s="37"/>
      <c r="BF44" s="515"/>
    </row>
    <row r="45" spans="1:58" ht="12.95" customHeight="1">
      <c r="A45" s="44"/>
      <c r="B45" s="45"/>
      <c r="C45" s="459"/>
      <c r="D45" s="45"/>
      <c r="E45" s="46"/>
      <c r="F45" s="46"/>
      <c r="G45" s="511"/>
      <c r="H45" s="48"/>
      <c r="I45" s="49"/>
      <c r="J45" s="86"/>
      <c r="K45" s="86"/>
      <c r="L45" s="39"/>
      <c r="M45" s="39"/>
      <c r="N45" s="50"/>
      <c r="O45" s="51"/>
      <c r="P45" s="52"/>
      <c r="Q45" s="51"/>
      <c r="R45" s="512"/>
      <c r="S45" s="512"/>
      <c r="T45" s="41"/>
      <c r="U45" s="41"/>
      <c r="V45" s="41"/>
      <c r="W45" s="41"/>
      <c r="X45" s="513"/>
      <c r="Y45" s="214"/>
      <c r="Z45" s="599"/>
      <c r="AA45" s="53"/>
      <c r="AB45" s="53"/>
      <c r="AC45" s="41"/>
      <c r="AD45" s="41">
        <f>+AM45+BA45</f>
        <v>70</v>
      </c>
      <c r="AE45" s="232" t="s">
        <v>523</v>
      </c>
      <c r="AF45" s="41"/>
      <c r="AG45" s="41"/>
      <c r="AH45" s="41"/>
      <c r="AI45" s="514"/>
      <c r="AJ45" s="41"/>
      <c r="AK45" s="41"/>
      <c r="AL45" s="41"/>
      <c r="AM45" s="41">
        <f>SUM(AF45:AL45)+AT45+AV45+AX45</f>
        <v>0</v>
      </c>
      <c r="AN45" s="41">
        <v>70</v>
      </c>
      <c r="AO45" s="41"/>
      <c r="AP45" s="41"/>
      <c r="AQ45" s="41"/>
      <c r="AR45" s="41">
        <f>SUM(AN45:AQ45)</f>
        <v>70</v>
      </c>
      <c r="AS45" s="41"/>
      <c r="AT45" s="41"/>
      <c r="AU45" s="41"/>
      <c r="AV45" s="41"/>
      <c r="AW45" s="41"/>
      <c r="AX45" s="41"/>
      <c r="AY45" s="41"/>
      <c r="AZ45" s="41"/>
      <c r="BA45" s="41">
        <f>+AR45+AS45+AU45+AW45+AY45+AZ45</f>
        <v>70</v>
      </c>
      <c r="BB45" s="37"/>
      <c r="BC45" s="515"/>
      <c r="BD45" s="515"/>
      <c r="BE45" s="37"/>
      <c r="BF45" s="515">
        <v>1</v>
      </c>
    </row>
    <row r="46" spans="1:58" ht="12.95" customHeight="1">
      <c r="A46" s="44"/>
      <c r="B46" s="45"/>
      <c r="C46" s="459"/>
      <c r="D46" s="45"/>
      <c r="E46" s="46"/>
      <c r="F46" s="46"/>
      <c r="G46" s="511"/>
      <c r="H46" s="48"/>
      <c r="I46" s="49"/>
      <c r="J46" s="86"/>
      <c r="K46" s="86"/>
      <c r="L46" s="39"/>
      <c r="M46" s="39"/>
      <c r="N46" s="50"/>
      <c r="O46" s="51"/>
      <c r="P46" s="52"/>
      <c r="Q46" s="51"/>
      <c r="R46" s="512"/>
      <c r="S46" s="512"/>
      <c r="T46" s="41"/>
      <c r="U46" s="41"/>
      <c r="V46" s="41"/>
      <c r="W46" s="41"/>
      <c r="X46" s="42"/>
      <c r="Y46" s="214"/>
      <c r="Z46" s="599"/>
      <c r="AA46" s="41"/>
      <c r="AB46" s="41"/>
      <c r="AC46" s="41"/>
      <c r="AD46" s="41"/>
      <c r="AE46" s="232"/>
      <c r="AF46" s="41"/>
      <c r="AG46" s="41"/>
      <c r="AH46" s="41"/>
      <c r="AI46" s="514"/>
      <c r="AJ46" s="41"/>
      <c r="AK46" s="41"/>
      <c r="AL46" s="41"/>
      <c r="AM46" s="41"/>
      <c r="AN46" s="87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54"/>
      <c r="BC46" s="55"/>
      <c r="BD46" s="55"/>
      <c r="BE46" s="55"/>
      <c r="BF46" s="55"/>
    </row>
    <row r="47" spans="1:58" ht="12.95" customHeight="1">
      <c r="A47" s="44">
        <v>46000</v>
      </c>
      <c r="B47" s="45" t="s">
        <v>439</v>
      </c>
      <c r="C47" s="459">
        <f>(M47*E47*O47*Q47)/100000000</f>
        <v>21.723967649999999</v>
      </c>
      <c r="D47" s="45" t="s">
        <v>488</v>
      </c>
      <c r="E47" s="46">
        <v>15.5</v>
      </c>
      <c r="F47" s="46">
        <v>1</v>
      </c>
      <c r="G47" s="47">
        <v>830</v>
      </c>
      <c r="H47" s="48">
        <v>0.14000000000000001</v>
      </c>
      <c r="I47" s="49">
        <v>0.88</v>
      </c>
      <c r="J47" s="86">
        <f>E47*G47*(1-H47)*1440/1000000*3.4</f>
        <v>54.168854400000001</v>
      </c>
      <c r="K47" s="86">
        <f>(IF(G47&lt;L47,L47,G47)*(1-IF(H47&lt;N47,H47,N47))*E47*O47*Q47)/100000000</f>
        <v>21.723967649999999</v>
      </c>
      <c r="L47" s="39">
        <v>830</v>
      </c>
      <c r="M47" s="39">
        <f>+L47-L47*0.14</f>
        <v>713.8</v>
      </c>
      <c r="N47" s="50">
        <f>1-(M47/L47)</f>
        <v>0.14000000000000001</v>
      </c>
      <c r="O47" s="51">
        <f>+'Trim Rwd'!H28</f>
        <v>330</v>
      </c>
      <c r="P47" s="52">
        <f>O47*(Q47-R47-S47)</f>
        <v>193050</v>
      </c>
      <c r="Q47" s="51">
        <v>595</v>
      </c>
      <c r="R47" s="512">
        <v>0</v>
      </c>
      <c r="S47" s="512">
        <v>10</v>
      </c>
      <c r="T47" s="41">
        <f>E47*M47*O47*Q47/100000000</f>
        <v>21.723967649999999</v>
      </c>
      <c r="U47" s="41">
        <f>E47*M47*O47*(Q47-R47-S47)/100000000</f>
        <v>21.358858949999998</v>
      </c>
      <c r="V47" s="41">
        <f>E47*G47*(1-N47)*O47/100*(R47+S47)/1000000</f>
        <v>0.36510870000000001</v>
      </c>
      <c r="W47" s="41">
        <f>+'9'!K11/1000</f>
        <v>22.992999999999999</v>
      </c>
      <c r="X47" s="513">
        <f>SUM(W47:W50)/SUM(K47:K50)</f>
        <v>0.90604789250483475</v>
      </c>
      <c r="Y47" s="214">
        <v>0</v>
      </c>
      <c r="Z47" s="599">
        <v>0</v>
      </c>
      <c r="AA47" s="53">
        <f>SUM(U47:U50)-SUM(W47:W50)-SUM(Z47:Z50)-SUM(Y47:Y50)</f>
        <v>2.4044503800000019</v>
      </c>
      <c r="AB47" s="53">
        <f>(SUM(K47:K50)-SUM(W47:W50)-SUM(Y47:Y50)-SUM(Z47:Z50)-SUM(AC47:AC50)-SUM(V47:V50))-AA47</f>
        <v>0</v>
      </c>
      <c r="AC47" s="41">
        <f>K47-T47</f>
        <v>0</v>
      </c>
      <c r="AD47" s="41">
        <f>+AM47+BA47</f>
        <v>2</v>
      </c>
      <c r="AE47" s="232" t="s">
        <v>392</v>
      </c>
      <c r="AF47" s="41">
        <v>2</v>
      </c>
      <c r="AG47" s="41"/>
      <c r="AH47" s="41"/>
      <c r="AI47" s="514"/>
      <c r="AJ47" s="41"/>
      <c r="AK47" s="41"/>
      <c r="AL47" s="41"/>
      <c r="AM47" s="41">
        <f>SUM(AF47:AL47)+AT47+AV47+AX47</f>
        <v>2</v>
      </c>
      <c r="AN47" s="41"/>
      <c r="AO47" s="41"/>
      <c r="AP47" s="41"/>
      <c r="AQ47" s="41"/>
      <c r="AR47" s="41">
        <f>SUM(AN47:AQ47)</f>
        <v>0</v>
      </c>
      <c r="AS47" s="41"/>
      <c r="AT47" s="41"/>
      <c r="AU47" s="41"/>
      <c r="AV47" s="41"/>
      <c r="AW47" s="41"/>
      <c r="AX47" s="41"/>
      <c r="AY47" s="41"/>
      <c r="AZ47" s="41"/>
      <c r="BA47" s="41">
        <f>+AR47+AS47+AU47+AW47+AY47+AZ47</f>
        <v>0</v>
      </c>
      <c r="BB47" s="37">
        <v>1</v>
      </c>
      <c r="BC47" s="55"/>
      <c r="BD47" s="55"/>
      <c r="BE47" s="37"/>
      <c r="BF47" s="55"/>
    </row>
    <row r="48" spans="1:58" ht="12.95" customHeight="1">
      <c r="A48" s="44"/>
      <c r="B48" s="45" t="s">
        <v>439</v>
      </c>
      <c r="C48" s="459">
        <f>(M48*E48*O48*Q48)/100000000</f>
        <v>6.9864959499999992</v>
      </c>
      <c r="D48" s="45" t="s">
        <v>488</v>
      </c>
      <c r="E48" s="46">
        <v>17</v>
      </c>
      <c r="F48" s="46">
        <v>1</v>
      </c>
      <c r="G48" s="47">
        <v>830</v>
      </c>
      <c r="H48" s="48">
        <v>0.14000000000000001</v>
      </c>
      <c r="I48" s="49">
        <v>0.88</v>
      </c>
      <c r="J48" s="86">
        <f>E48*G48*(1-H48)*1440/1000000*3.4</f>
        <v>59.411001599999999</v>
      </c>
      <c r="K48" s="86">
        <f>(IF(G48&lt;L48,L48,G48)*(1-IF(H48&lt;N48,H48,N48))*E48*O48*Q48)/100000000</f>
        <v>6.9864959499999992</v>
      </c>
      <c r="L48" s="39">
        <v>830</v>
      </c>
      <c r="M48" s="39">
        <f>+L48-L48*0.14</f>
        <v>713.8</v>
      </c>
      <c r="N48" s="50">
        <f>1-(M48/L48)</f>
        <v>0.14000000000000001</v>
      </c>
      <c r="O48" s="51">
        <f>+'Trim Rwd'!H29</f>
        <v>329</v>
      </c>
      <c r="P48" s="52">
        <f>O48*(Q48-R48-S48)</f>
        <v>55930</v>
      </c>
      <c r="Q48" s="51">
        <v>175</v>
      </c>
      <c r="R48" s="512">
        <v>0</v>
      </c>
      <c r="S48" s="512">
        <v>5</v>
      </c>
      <c r="T48" s="41">
        <f>E48*M48*O48*Q48/100000000</f>
        <v>6.9864959499999992</v>
      </c>
      <c r="U48" s="41">
        <f>E48*M48*O48*(Q48-R48-S48)/100000000</f>
        <v>6.786881779999999</v>
      </c>
      <c r="V48" s="41">
        <f>E48*G48*(1-N48)*O48/100*(R48+S48)/1000000</f>
        <v>0.19961417000000001</v>
      </c>
      <c r="W48" s="41">
        <f>+'9'!K12/1000</f>
        <v>6.5720000000000001</v>
      </c>
      <c r="X48" s="42"/>
      <c r="Y48" s="214"/>
      <c r="Z48" s="599">
        <v>0</v>
      </c>
      <c r="AA48" s="41"/>
      <c r="AB48" s="41"/>
      <c r="AC48" s="41"/>
      <c r="AD48" s="41">
        <f>+AM48+BA48</f>
        <v>9</v>
      </c>
      <c r="AE48" s="232" t="s">
        <v>394</v>
      </c>
      <c r="AF48" s="41"/>
      <c r="AG48" s="41">
        <v>9</v>
      </c>
      <c r="AH48" s="41"/>
      <c r="AI48" s="514"/>
      <c r="AJ48" s="41"/>
      <c r="AK48" s="41"/>
      <c r="AL48" s="41"/>
      <c r="AM48" s="41">
        <f>SUM(AF48:AL48)+AT48+AV48+AX48</f>
        <v>9</v>
      </c>
      <c r="AN48" s="87"/>
      <c r="AO48" s="41"/>
      <c r="AP48" s="41"/>
      <c r="AQ48" s="41"/>
      <c r="AR48" s="41">
        <f>SUM(AN48:AQ48)</f>
        <v>0</v>
      </c>
      <c r="AS48" s="41"/>
      <c r="AT48" s="41"/>
      <c r="AU48" s="41"/>
      <c r="AV48" s="41"/>
      <c r="AW48" s="41"/>
      <c r="AX48" s="41"/>
      <c r="AY48" s="41"/>
      <c r="AZ48" s="41"/>
      <c r="BA48" s="41">
        <f>+AR48+AS48+AU48+AW48+AY48+AZ48</f>
        <v>0</v>
      </c>
      <c r="BB48" s="54"/>
      <c r="BC48" s="55">
        <v>3</v>
      </c>
      <c r="BD48" s="55"/>
      <c r="BE48" s="54"/>
      <c r="BF48" s="55"/>
    </row>
    <row r="49" spans="1:58" ht="12.95" customHeight="1">
      <c r="A49" s="44"/>
      <c r="B49" s="45" t="s">
        <v>439</v>
      </c>
      <c r="C49" s="459">
        <f>(M49*E49*O49*Q49)/100000000</f>
        <v>17.684216549999999</v>
      </c>
      <c r="D49" s="45" t="s">
        <v>488</v>
      </c>
      <c r="E49" s="46">
        <v>16.5</v>
      </c>
      <c r="F49" s="46">
        <v>1</v>
      </c>
      <c r="G49" s="47">
        <v>830</v>
      </c>
      <c r="H49" s="48">
        <v>0.14000000000000001</v>
      </c>
      <c r="I49" s="49">
        <v>0.88</v>
      </c>
      <c r="J49" s="86">
        <f>E49*G49*(1-H49)*1440/1000000*3.4</f>
        <v>57.663619199999999</v>
      </c>
      <c r="K49" s="86">
        <f>(IF(G49&lt;L49,L49,G49)*(1-IF(H49&lt;N49,H49,N49))*E49*O49*Q49)/100000000</f>
        <v>17.684216549999999</v>
      </c>
      <c r="L49" s="39">
        <v>830</v>
      </c>
      <c r="M49" s="39">
        <f>+L49-L49*0.14</f>
        <v>713.8</v>
      </c>
      <c r="N49" s="50">
        <f>1-(M49/L49)</f>
        <v>0.14000000000000001</v>
      </c>
      <c r="O49" s="51">
        <f>+'Trim Rwd'!H30</f>
        <v>330</v>
      </c>
      <c r="P49" s="52">
        <f>O49*(Q49-R49-S49)</f>
        <v>146850</v>
      </c>
      <c r="Q49" s="51">
        <v>455</v>
      </c>
      <c r="R49" s="512">
        <v>0</v>
      </c>
      <c r="S49" s="512">
        <v>10</v>
      </c>
      <c r="T49" s="41">
        <f>E49*M49*O49*Q49/100000000</f>
        <v>17.684216549999999</v>
      </c>
      <c r="U49" s="41">
        <f>E49*M49*O49*(Q49-R49-S49)/100000000</f>
        <v>17.295552449999999</v>
      </c>
      <c r="V49" s="41">
        <f>E49*G49*(1-N49)*O49/100*(R49+S49)/1000000</f>
        <v>0.38866409999999996</v>
      </c>
      <c r="W49" s="41">
        <f>+'9'!K13/1000</f>
        <v>18.88</v>
      </c>
      <c r="X49" s="42"/>
      <c r="Y49" s="214"/>
      <c r="Z49" s="599">
        <v>0</v>
      </c>
      <c r="AA49" s="41"/>
      <c r="AB49" s="41"/>
      <c r="AC49" s="41"/>
      <c r="AD49" s="41">
        <f>+AM49+BA49</f>
        <v>9</v>
      </c>
      <c r="AE49" s="232" t="s">
        <v>226</v>
      </c>
      <c r="AF49" s="37"/>
      <c r="AG49" s="37"/>
      <c r="AH49" s="37">
        <v>9</v>
      </c>
      <c r="AJ49" s="41"/>
      <c r="AK49" s="41"/>
      <c r="AL49" s="41"/>
      <c r="AM49" s="41">
        <f>SUM(AF49:AL49)+AT49+AV49+AX49</f>
        <v>9</v>
      </c>
      <c r="AN49" s="41"/>
      <c r="AO49" s="41"/>
      <c r="AP49" s="41"/>
      <c r="AQ49" s="41"/>
      <c r="AR49" s="41">
        <f>SUM(AN49:AQ49)</f>
        <v>0</v>
      </c>
      <c r="AS49" s="41"/>
      <c r="AT49" s="41"/>
      <c r="AU49" s="41"/>
      <c r="AV49" s="41"/>
      <c r="AW49" s="41"/>
      <c r="AX49" s="41"/>
      <c r="AY49" s="41"/>
      <c r="AZ49" s="41"/>
      <c r="BA49" s="41">
        <f>+AR49+AS49+AU49+AW49+AY49+AZ49</f>
        <v>0</v>
      </c>
      <c r="BB49" s="37"/>
      <c r="BC49" s="515"/>
      <c r="BD49" s="515"/>
      <c r="BE49" s="37"/>
      <c r="BF49" s="515"/>
    </row>
    <row r="50" spans="1:58" ht="12.95" customHeight="1">
      <c r="A50" s="44"/>
      <c r="B50" s="45" t="s">
        <v>439</v>
      </c>
      <c r="C50" s="459">
        <f>(M50*E50*O50*Q50)/100000000</f>
        <v>10.128822</v>
      </c>
      <c r="D50" s="45" t="s">
        <v>488</v>
      </c>
      <c r="E50" s="46">
        <v>20</v>
      </c>
      <c r="F50" s="46">
        <v>1</v>
      </c>
      <c r="G50" s="47">
        <v>830</v>
      </c>
      <c r="H50" s="48">
        <v>0.14000000000000001</v>
      </c>
      <c r="I50" s="49">
        <v>0.88</v>
      </c>
      <c r="J50" s="86">
        <f>E50*G50*(1-H50)*1440/1000000*3.4</f>
        <v>69.895296000000002</v>
      </c>
      <c r="K50" s="86">
        <f>(IF(G50&lt;L50,L50,G50)*(1-IF(H50&lt;N50,H50,N50))*E50*O50*Q50)/100000000</f>
        <v>10.128822</v>
      </c>
      <c r="L50" s="39">
        <v>830</v>
      </c>
      <c r="M50" s="39">
        <f>+L50-L50*0.14</f>
        <v>713.8</v>
      </c>
      <c r="N50" s="50">
        <f>1-(M50/L50)</f>
        <v>0.14000000000000001</v>
      </c>
      <c r="O50" s="51">
        <f>+'Trim Rwd'!H31</f>
        <v>330</v>
      </c>
      <c r="P50" s="52">
        <f>O50*(Q50-R50-S50)</f>
        <v>68970</v>
      </c>
      <c r="Q50" s="51">
        <v>215</v>
      </c>
      <c r="R50" s="512">
        <v>0</v>
      </c>
      <c r="S50" s="512">
        <v>6</v>
      </c>
      <c r="T50" s="41">
        <f>E50*M50*O50*Q50/100000000</f>
        <v>10.128822</v>
      </c>
      <c r="U50" s="41">
        <f>E50*M50*O50*(Q50-R50-S50)/100000000</f>
        <v>9.8461572000000004</v>
      </c>
      <c r="V50" s="41">
        <f>E50*G50*(1-N50)*O50/100*(R50+S50)/1000000</f>
        <v>0.28266480000000005</v>
      </c>
      <c r="W50" s="41">
        <f>+'9'!K14/1000</f>
        <v>2.7679999999999998</v>
      </c>
      <c r="X50" s="513"/>
      <c r="Y50" s="214"/>
      <c r="Z50" s="599">
        <f>+'9'!D34/1000</f>
        <v>1.67</v>
      </c>
      <c r="AA50" s="53"/>
      <c r="AB50" s="53"/>
      <c r="AC50" s="41"/>
      <c r="AD50" s="41">
        <f>+AM50+BA50</f>
        <v>11</v>
      </c>
      <c r="AE50" s="232" t="s">
        <v>531</v>
      </c>
      <c r="AF50" s="41"/>
      <c r="AG50" s="41"/>
      <c r="AH50" s="41"/>
      <c r="AI50" s="514">
        <v>11</v>
      </c>
      <c r="AJ50" s="41"/>
      <c r="AK50" s="41"/>
      <c r="AL50" s="41"/>
      <c r="AM50" s="41">
        <f>SUM(AF50:AL50)+AT50+AV50+AX50</f>
        <v>11</v>
      </c>
      <c r="AN50" s="41"/>
      <c r="AO50" s="41"/>
      <c r="AP50" s="41"/>
      <c r="AQ50" s="41"/>
      <c r="AR50" s="41">
        <f>SUM(AN50:AQ50)</f>
        <v>0</v>
      </c>
      <c r="AS50" s="41"/>
      <c r="AT50" s="41"/>
      <c r="AU50" s="41"/>
      <c r="AV50" s="41"/>
      <c r="AW50" s="41"/>
      <c r="AX50" s="41"/>
      <c r="AY50" s="41"/>
      <c r="AZ50" s="41"/>
      <c r="BA50" s="41">
        <f>+AR50+AS50+AU50+AW50+AY50+AZ50</f>
        <v>0</v>
      </c>
      <c r="BB50" s="37"/>
      <c r="BC50" s="515"/>
      <c r="BD50" s="515"/>
      <c r="BE50" s="37"/>
      <c r="BF50" s="515">
        <v>1</v>
      </c>
    </row>
    <row r="51" spans="1:58" ht="12.95" customHeight="1">
      <c r="A51" s="44"/>
      <c r="B51" s="45"/>
      <c r="C51" s="459"/>
      <c r="D51" s="45"/>
      <c r="E51" s="46"/>
      <c r="F51" s="46"/>
      <c r="G51" s="47"/>
      <c r="H51" s="48"/>
      <c r="I51" s="49"/>
      <c r="J51" s="86"/>
      <c r="K51" s="86"/>
      <c r="L51" s="39"/>
      <c r="M51" s="39"/>
      <c r="N51" s="50"/>
      <c r="O51" s="51"/>
      <c r="P51" s="52"/>
      <c r="Q51" s="51"/>
      <c r="R51" s="512"/>
      <c r="S51" s="512"/>
      <c r="T51" s="41"/>
      <c r="U51" s="41"/>
      <c r="V51" s="41"/>
      <c r="W51" s="41"/>
      <c r="X51" s="42"/>
      <c r="Y51" s="214"/>
      <c r="Z51" s="599"/>
      <c r="AA51" s="41"/>
      <c r="AB51" s="41"/>
      <c r="AC51" s="41"/>
      <c r="AD51" s="41"/>
      <c r="AE51" s="232"/>
      <c r="AF51" s="41"/>
      <c r="AG51" s="41"/>
      <c r="AH51" s="41"/>
      <c r="AI51" s="514"/>
      <c r="AJ51" s="41"/>
      <c r="AK51" s="41"/>
      <c r="AL51" s="41"/>
      <c r="AM51" s="41"/>
      <c r="AN51" s="87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54"/>
      <c r="BC51" s="55"/>
      <c r="BD51" s="55"/>
      <c r="BE51" s="55"/>
      <c r="BF51" s="55"/>
    </row>
    <row r="52" spans="1:58" ht="12.95" customHeight="1">
      <c r="A52" s="44">
        <v>46001</v>
      </c>
      <c r="B52" s="45" t="s">
        <v>439</v>
      </c>
      <c r="C52" s="459">
        <f>(M52*E52*O52*Q52)/100000000</f>
        <v>67.839551999999998</v>
      </c>
      <c r="D52" s="45" t="s">
        <v>488</v>
      </c>
      <c r="E52" s="46">
        <v>20</v>
      </c>
      <c r="F52" s="46">
        <v>1</v>
      </c>
      <c r="G52" s="47">
        <v>830</v>
      </c>
      <c r="H52" s="48">
        <v>0.14000000000000001</v>
      </c>
      <c r="I52" s="49">
        <v>0.88</v>
      </c>
      <c r="J52" s="86">
        <f>E52*G52*(1-H52)*1440/1000000*3.4</f>
        <v>69.895296000000002</v>
      </c>
      <c r="K52" s="86">
        <f>(IF(G52&lt;L52,L52,G52)*(1-IF(H52&lt;N52,H52,N52))*E52*O52*Q52)/100000000</f>
        <v>67.839551999999998</v>
      </c>
      <c r="L52" s="39">
        <v>830</v>
      </c>
      <c r="M52" s="39">
        <f>+L52-L52*0.14</f>
        <v>713.8</v>
      </c>
      <c r="N52" s="50">
        <f>1-(M52/L52)</f>
        <v>0.14000000000000001</v>
      </c>
      <c r="O52" s="51">
        <f>+'Trim Rwd'!H33</f>
        <v>330</v>
      </c>
      <c r="P52" s="52">
        <f>O52*(Q52-R52-S52)</f>
        <v>429000</v>
      </c>
      <c r="Q52" s="51">
        <v>1440</v>
      </c>
      <c r="R52" s="512">
        <v>85</v>
      </c>
      <c r="S52" s="512">
        <v>55</v>
      </c>
      <c r="T52" s="41">
        <f>E52*M52*O52*Q52/100000000</f>
        <v>67.839551999999998</v>
      </c>
      <c r="U52" s="41">
        <f>E52*M52*O52*(Q52-R52-S52)/100000000</f>
        <v>61.244039999999998</v>
      </c>
      <c r="V52" s="41">
        <f>E52*G52*(1-N52)*O52/100*(R52+S52)/1000000</f>
        <v>6.5955120000000003</v>
      </c>
      <c r="W52" s="41">
        <f>+'10'!K34/1000</f>
        <v>56.856000000000002</v>
      </c>
      <c r="X52" s="513">
        <f>SUM(W52:W55)/SUM(K52:K55)</f>
        <v>0.83809515723217043</v>
      </c>
      <c r="Y52" s="214">
        <v>0</v>
      </c>
      <c r="Z52" s="599">
        <f>+'10'!D34/1000</f>
        <v>3.3</v>
      </c>
      <c r="AA52" s="53">
        <f>SUM(U52:U55)-SUM(W52:W55)-SUM(Z52:Z55)-SUM(Y52:Y55)</f>
        <v>1.0880399999999968</v>
      </c>
      <c r="AB52" s="53">
        <f>(SUM(K52:K55)-SUM(W52:W55)-SUM(Y52:Y55)-SUM(Z52:Z55)-SUM(AC52:AC55)-SUM(V52:V55))-AA52</f>
        <v>0</v>
      </c>
      <c r="AC52" s="41">
        <f>K52-T52</f>
        <v>0</v>
      </c>
      <c r="AD52" s="41">
        <f>+AM52+BA52</f>
        <v>0</v>
      </c>
      <c r="AE52" s="232" t="s">
        <v>395</v>
      </c>
      <c r="AF52" s="41">
        <v>0</v>
      </c>
      <c r="AG52" s="41"/>
      <c r="AH52" s="41"/>
      <c r="AI52" s="514"/>
      <c r="AJ52" s="41"/>
      <c r="AK52" s="41"/>
      <c r="AL52" s="41"/>
      <c r="AM52" s="41">
        <f>SUM(AF52:AL52)+AT52+AV52+AX52</f>
        <v>0</v>
      </c>
      <c r="AN52" s="41"/>
      <c r="AO52" s="41"/>
      <c r="AP52" s="41"/>
      <c r="AQ52" s="41"/>
      <c r="AR52" s="41">
        <f>SUM(AN52:AQ52)</f>
        <v>0</v>
      </c>
      <c r="AS52" s="41"/>
      <c r="AT52" s="41"/>
      <c r="AU52" s="41"/>
      <c r="AV52" s="41"/>
      <c r="AW52" s="41"/>
      <c r="AX52" s="41"/>
      <c r="AY52" s="41"/>
      <c r="AZ52" s="41"/>
      <c r="BA52" s="41">
        <f>+AR52+AS52+AU52+AW52+AY52+AZ52</f>
        <v>0</v>
      </c>
      <c r="BB52" s="37">
        <v>0</v>
      </c>
      <c r="BC52" s="55"/>
      <c r="BD52" s="55"/>
      <c r="BE52" s="37"/>
      <c r="BF52" s="55"/>
    </row>
    <row r="53" spans="1:58" ht="12.95" customHeight="1">
      <c r="A53" s="44"/>
      <c r="B53" s="45"/>
      <c r="C53" s="459"/>
      <c r="D53" s="45"/>
      <c r="E53" s="46"/>
      <c r="F53" s="46"/>
      <c r="G53" s="47"/>
      <c r="H53" s="48"/>
      <c r="I53" s="49"/>
      <c r="J53" s="86"/>
      <c r="K53" s="86"/>
      <c r="L53" s="39"/>
      <c r="M53" s="39"/>
      <c r="N53" s="50"/>
      <c r="O53" s="51"/>
      <c r="P53" s="52"/>
      <c r="Q53" s="51"/>
      <c r="R53" s="512"/>
      <c r="S53" s="512"/>
      <c r="T53" s="41"/>
      <c r="U53" s="41"/>
      <c r="V53" s="41"/>
      <c r="W53" s="41"/>
      <c r="X53" s="42"/>
      <c r="Y53" s="214"/>
      <c r="Z53" s="599"/>
      <c r="AA53" s="41"/>
      <c r="AB53" s="41"/>
      <c r="AC53" s="41"/>
      <c r="AD53" s="41">
        <f>+AM53+BA53</f>
        <v>29</v>
      </c>
      <c r="AE53" s="232" t="s">
        <v>440</v>
      </c>
      <c r="AF53" s="41"/>
      <c r="AG53" s="41">
        <v>29</v>
      </c>
      <c r="AH53" s="41"/>
      <c r="AI53" s="514"/>
      <c r="AJ53" s="41"/>
      <c r="AK53" s="41"/>
      <c r="AL53" s="41"/>
      <c r="AM53" s="41">
        <f>SUM(AF53:AL53)+AT53+AV53+AX53</f>
        <v>29</v>
      </c>
      <c r="AN53" s="87"/>
      <c r="AO53" s="41"/>
      <c r="AP53" s="41"/>
      <c r="AQ53" s="41"/>
      <c r="AR53" s="41">
        <f>SUM(AN53:AQ53)</f>
        <v>0</v>
      </c>
      <c r="AS53" s="41"/>
      <c r="AT53" s="41"/>
      <c r="AU53" s="41"/>
      <c r="AV53" s="41"/>
      <c r="AW53" s="41"/>
      <c r="AX53" s="41"/>
      <c r="AY53" s="41"/>
      <c r="AZ53" s="41"/>
      <c r="BA53" s="41">
        <f>+AR53+AS53+AU53+AW53+AY53+AZ53</f>
        <v>0</v>
      </c>
      <c r="BB53" s="54"/>
      <c r="BC53" s="55">
        <v>5</v>
      </c>
      <c r="BD53" s="55"/>
      <c r="BE53" s="54"/>
      <c r="BF53" s="55"/>
    </row>
    <row r="54" spans="1:58" ht="12.95" customHeight="1">
      <c r="A54" s="44"/>
      <c r="B54" s="45"/>
      <c r="C54" s="459"/>
      <c r="D54" s="45"/>
      <c r="E54" s="46"/>
      <c r="F54" s="46"/>
      <c r="G54" s="47"/>
      <c r="H54" s="48"/>
      <c r="I54" s="49"/>
      <c r="J54" s="86"/>
      <c r="K54" s="86"/>
      <c r="L54" s="39"/>
      <c r="M54" s="39"/>
      <c r="N54" s="50"/>
      <c r="O54" s="51"/>
      <c r="P54" s="52"/>
      <c r="Q54" s="51"/>
      <c r="R54" s="512"/>
      <c r="S54" s="512"/>
      <c r="T54" s="41"/>
      <c r="U54" s="41"/>
      <c r="V54" s="41"/>
      <c r="W54" s="41"/>
      <c r="X54" s="42"/>
      <c r="Y54" s="214"/>
      <c r="Z54" s="599"/>
      <c r="AA54" s="41"/>
      <c r="AB54" s="41"/>
      <c r="AC54" s="41"/>
      <c r="AD54" s="41">
        <f>+AM54+BA54</f>
        <v>26</v>
      </c>
      <c r="AE54" s="232" t="s">
        <v>226</v>
      </c>
      <c r="AF54" s="37"/>
      <c r="AG54" s="37"/>
      <c r="AH54" s="37">
        <v>26</v>
      </c>
      <c r="AJ54" s="41"/>
      <c r="AK54" s="41"/>
      <c r="AL54" s="41"/>
      <c r="AM54" s="41">
        <f>SUM(AF54:AL54)+AT54+AV54+AX54</f>
        <v>26</v>
      </c>
      <c r="AN54" s="41"/>
      <c r="AO54" s="41"/>
      <c r="AP54" s="41"/>
      <c r="AQ54" s="41"/>
      <c r="AR54" s="41">
        <f>SUM(AN54:AQ54)</f>
        <v>0</v>
      </c>
      <c r="AS54" s="41"/>
      <c r="AT54" s="41"/>
      <c r="AU54" s="41"/>
      <c r="AV54" s="41"/>
      <c r="AW54" s="41"/>
      <c r="AX54" s="41"/>
      <c r="AY54" s="41"/>
      <c r="AZ54" s="41"/>
      <c r="BA54" s="41">
        <f>+AR54+AS54+AU54+AW54+AY54+AZ54</f>
        <v>0</v>
      </c>
      <c r="BB54" s="37"/>
      <c r="BC54" s="515"/>
      <c r="BD54" s="515"/>
      <c r="BE54" s="37"/>
      <c r="BF54" s="515"/>
    </row>
    <row r="55" spans="1:58" ht="12.95" customHeight="1">
      <c r="A55" s="44"/>
      <c r="B55" s="45"/>
      <c r="C55" s="459"/>
      <c r="D55" s="45"/>
      <c r="E55" s="46"/>
      <c r="F55" s="46"/>
      <c r="G55" s="47"/>
      <c r="H55" s="48"/>
      <c r="I55" s="49"/>
      <c r="J55" s="86"/>
      <c r="K55" s="86"/>
      <c r="L55" s="39"/>
      <c r="M55" s="39"/>
      <c r="N55" s="50"/>
      <c r="O55" s="51"/>
      <c r="P55" s="52"/>
      <c r="Q55" s="51"/>
      <c r="R55" s="512"/>
      <c r="S55" s="512"/>
      <c r="T55" s="41"/>
      <c r="U55" s="41"/>
      <c r="V55" s="41"/>
      <c r="W55" s="41"/>
      <c r="X55" s="513"/>
      <c r="Y55" s="214"/>
      <c r="Z55" s="599"/>
      <c r="AA55" s="53"/>
      <c r="AB55" s="53"/>
      <c r="AC55" s="41"/>
      <c r="AD55" s="41">
        <f>+AM55+BA55</f>
        <v>85</v>
      </c>
      <c r="AE55" s="235" t="s">
        <v>545</v>
      </c>
      <c r="AF55" s="41"/>
      <c r="AG55" s="41"/>
      <c r="AH55" s="41"/>
      <c r="AI55" s="514"/>
      <c r="AJ55" s="41"/>
      <c r="AK55" s="41"/>
      <c r="AL55" s="41"/>
      <c r="AM55" s="41">
        <f>SUM(AF55:AL55)+AT55+AV55+AX55</f>
        <v>0</v>
      </c>
      <c r="AN55" s="41">
        <v>85</v>
      </c>
      <c r="AO55" s="41"/>
      <c r="AP55" s="41"/>
      <c r="AQ55" s="41"/>
      <c r="AR55" s="41">
        <f>SUM(AN55:AQ55)</f>
        <v>85</v>
      </c>
      <c r="AS55" s="41"/>
      <c r="AT55" s="41"/>
      <c r="AU55" s="41"/>
      <c r="AV55" s="41"/>
      <c r="AW55" s="41"/>
      <c r="AX55" s="41"/>
      <c r="AY55" s="41"/>
      <c r="AZ55" s="41"/>
      <c r="BA55" s="41">
        <f>+AR55+AS55+AU55+AW55+AY55+AZ55</f>
        <v>85</v>
      </c>
      <c r="BB55" s="37"/>
      <c r="BC55" s="515"/>
      <c r="BD55" s="515"/>
      <c r="BE55" s="37"/>
      <c r="BF55" s="515">
        <v>1</v>
      </c>
    </row>
    <row r="56" spans="1:58" ht="12.95" customHeight="1">
      <c r="A56" s="44"/>
      <c r="B56" s="45"/>
      <c r="C56" s="459"/>
      <c r="D56" s="45"/>
      <c r="E56" s="46"/>
      <c r="F56" s="46"/>
      <c r="G56" s="47"/>
      <c r="H56" s="48"/>
      <c r="I56" s="49"/>
      <c r="J56" s="86"/>
      <c r="K56" s="86"/>
      <c r="L56" s="39"/>
      <c r="M56" s="39"/>
      <c r="N56" s="50"/>
      <c r="O56" s="51"/>
      <c r="P56" s="52"/>
      <c r="Q56" s="51"/>
      <c r="R56" s="512"/>
      <c r="S56" s="512"/>
      <c r="T56" s="41"/>
      <c r="U56" s="41"/>
      <c r="V56" s="41"/>
      <c r="W56" s="41"/>
      <c r="X56" s="42"/>
      <c r="Y56" s="214"/>
      <c r="Z56" s="599"/>
      <c r="AA56" s="41"/>
      <c r="AB56" s="41"/>
      <c r="AC56" s="41"/>
      <c r="AD56" s="41"/>
      <c r="AE56" s="232"/>
      <c r="AF56" s="41"/>
      <c r="AG56" s="41"/>
      <c r="AH56" s="41"/>
      <c r="AI56" s="514"/>
      <c r="AJ56" s="41"/>
      <c r="AK56" s="41"/>
      <c r="AL56" s="41"/>
      <c r="AM56" s="41"/>
      <c r="AN56" s="87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54"/>
      <c r="BC56" s="55"/>
      <c r="BD56" s="55"/>
      <c r="BE56" s="55"/>
      <c r="BF56" s="55"/>
    </row>
    <row r="57" spans="1:58" ht="12.95" customHeight="1">
      <c r="A57" s="44">
        <v>46002</v>
      </c>
      <c r="B57" s="45" t="s">
        <v>439</v>
      </c>
      <c r="C57" s="459">
        <f>(M57*E57*O57*Q57)/100000000</f>
        <v>67.839551999999998</v>
      </c>
      <c r="D57" s="45" t="s">
        <v>488</v>
      </c>
      <c r="E57" s="46">
        <v>20</v>
      </c>
      <c r="F57" s="46">
        <v>1</v>
      </c>
      <c r="G57" s="47">
        <v>830</v>
      </c>
      <c r="H57" s="48">
        <v>0.14000000000000001</v>
      </c>
      <c r="I57" s="49">
        <v>0.88</v>
      </c>
      <c r="J57" s="86">
        <f>E57*G57*(1-H57)*1440/1000000*3.4</f>
        <v>69.895296000000002</v>
      </c>
      <c r="K57" s="86">
        <f>(IF(G57&lt;L57,L57,G57)*(1-IF(H57&lt;N57,H57,N57))*E57*O57*Q57)/100000000</f>
        <v>67.839551999999998</v>
      </c>
      <c r="L57" s="39">
        <v>830</v>
      </c>
      <c r="M57" s="39">
        <v>713.8</v>
      </c>
      <c r="N57" s="50">
        <f>1-(M57/L57)</f>
        <v>0.14000000000000001</v>
      </c>
      <c r="O57" s="51">
        <f>+'Trim Rwd'!H35</f>
        <v>330</v>
      </c>
      <c r="P57" s="52">
        <f>O57*(Q57-R57-S57)</f>
        <v>346830</v>
      </c>
      <c r="Q57" s="51">
        <v>1440</v>
      </c>
      <c r="R57" s="512">
        <f>145+225</f>
        <v>370</v>
      </c>
      <c r="S57" s="512">
        <v>19</v>
      </c>
      <c r="T57" s="41">
        <f>E57*M57*O57*Q57/100000000</f>
        <v>67.839551999999998</v>
      </c>
      <c r="U57" s="41">
        <f>E57*M57*O57*(Q57-R57-S57)/100000000</f>
        <v>49.513450800000001</v>
      </c>
      <c r="V57" s="41">
        <f>E57*G57*(1-N57)*O57/100*(R57+S57)/1000000</f>
        <v>18.326101200000004</v>
      </c>
      <c r="W57" s="41">
        <f>+'11'!K14/1000</f>
        <v>47.02</v>
      </c>
      <c r="X57" s="513">
        <f>SUM(W57:W60)/SUM(K57:K60)</f>
        <v>0.69310599220938263</v>
      </c>
      <c r="Y57" s="214">
        <v>0</v>
      </c>
      <c r="Z57" s="599">
        <v>0</v>
      </c>
      <c r="AA57" s="53">
        <f>SUM(U57:U60)-SUM(W57:W60)-SUM(Z57:Z60)-SUM(Y57:Y60)</f>
        <v>2.493450799999998</v>
      </c>
      <c r="AB57" s="53">
        <f>(SUM(K57:K60)-SUM(W57:W60)-SUM(Y57:Y60)-SUM(Z57:Z60)-SUM(AC57:AC60)-SUM(V57:V60))-AA57</f>
        <v>-7.1054273576010019E-15</v>
      </c>
      <c r="AC57" s="41">
        <f>K57-T57</f>
        <v>0</v>
      </c>
      <c r="AD57" s="41">
        <f>+AM57+BA57</f>
        <v>6</v>
      </c>
      <c r="AE57" s="232" t="s">
        <v>392</v>
      </c>
      <c r="AF57" s="41">
        <v>6</v>
      </c>
      <c r="AG57" s="41"/>
      <c r="AH57" s="41"/>
      <c r="AI57" s="514"/>
      <c r="AJ57" s="41"/>
      <c r="AK57" s="41"/>
      <c r="AL57" s="41"/>
      <c r="AM57" s="41">
        <f>SUM(AF57:AL57)+AT57+AV57+AX57</f>
        <v>6</v>
      </c>
      <c r="AN57" s="41"/>
      <c r="AO57" s="41"/>
      <c r="AP57" s="41"/>
      <c r="AQ57" s="41"/>
      <c r="AR57" s="41">
        <f>SUM(AN57:AQ57)</f>
        <v>0</v>
      </c>
      <c r="AS57" s="41"/>
      <c r="AT57" s="41"/>
      <c r="AU57" s="41"/>
      <c r="AV57" s="41"/>
      <c r="AW57" s="41"/>
      <c r="AX57" s="41"/>
      <c r="AY57" s="41"/>
      <c r="AZ57" s="41"/>
      <c r="BA57" s="41">
        <f>+AR57+AS57+AU57+AW57+AY57+AZ57</f>
        <v>0</v>
      </c>
      <c r="BB57" s="37">
        <v>0</v>
      </c>
      <c r="BC57" s="55"/>
      <c r="BD57" s="55"/>
      <c r="BE57" s="37"/>
      <c r="BF57" s="55"/>
    </row>
    <row r="58" spans="1:58" ht="12.95" customHeight="1">
      <c r="A58" s="44"/>
      <c r="B58" s="45"/>
      <c r="C58" s="459"/>
      <c r="D58" s="45"/>
      <c r="E58" s="46"/>
      <c r="F58" s="46"/>
      <c r="G58" s="47"/>
      <c r="H58" s="48"/>
      <c r="I58" s="49"/>
      <c r="J58" s="86"/>
      <c r="K58" s="86"/>
      <c r="L58" s="39"/>
      <c r="M58" s="39"/>
      <c r="N58" s="50"/>
      <c r="O58" s="51"/>
      <c r="P58" s="52"/>
      <c r="Q58" s="51"/>
      <c r="R58" s="512"/>
      <c r="S58" s="512"/>
      <c r="T58" s="41"/>
      <c r="U58" s="41"/>
      <c r="V58" s="41"/>
      <c r="W58" s="41"/>
      <c r="X58" s="42"/>
      <c r="Y58" s="214"/>
      <c r="Z58" s="599"/>
      <c r="AA58" s="41"/>
      <c r="AB58" s="41"/>
      <c r="AC58" s="41"/>
      <c r="AD58" s="41">
        <f>+AM58+BA58</f>
        <v>2</v>
      </c>
      <c r="AE58" s="232" t="s">
        <v>393</v>
      </c>
      <c r="AF58" s="41"/>
      <c r="AG58" s="41">
        <v>2</v>
      </c>
      <c r="AH58" s="41"/>
      <c r="AI58" s="514"/>
      <c r="AJ58" s="41"/>
      <c r="AK58" s="41"/>
      <c r="AL58" s="41"/>
      <c r="AM58" s="41">
        <f>SUM(AF58:AL58)+AT58+AV58+AX58</f>
        <v>2</v>
      </c>
      <c r="AN58" s="87"/>
      <c r="AO58" s="41"/>
      <c r="AP58" s="41"/>
      <c r="AQ58" s="41"/>
      <c r="AR58" s="41">
        <f>SUM(AN58:AQ58)</f>
        <v>0</v>
      </c>
      <c r="AS58" s="41"/>
      <c r="AT58" s="41"/>
      <c r="AU58" s="41"/>
      <c r="AV58" s="41"/>
      <c r="AW58" s="41"/>
      <c r="AX58" s="41"/>
      <c r="AY58" s="41"/>
      <c r="AZ58" s="41"/>
      <c r="BA58" s="41">
        <f>+AR58+AS58+AU58+AW58+AY58+AZ58</f>
        <v>0</v>
      </c>
      <c r="BB58" s="54"/>
      <c r="BC58" s="55">
        <v>5</v>
      </c>
      <c r="BD58" s="55"/>
      <c r="BE58" s="54"/>
      <c r="BF58" s="55"/>
    </row>
    <row r="59" spans="1:58" ht="12.95" customHeight="1">
      <c r="A59" s="44"/>
      <c r="B59" s="45"/>
      <c r="C59" s="459"/>
      <c r="D59" s="45"/>
      <c r="E59" s="46"/>
      <c r="F59" s="46"/>
      <c r="G59" s="47"/>
      <c r="H59" s="48"/>
      <c r="I59" s="49"/>
      <c r="J59" s="86"/>
      <c r="K59" s="86"/>
      <c r="L59" s="39"/>
      <c r="M59" s="39"/>
      <c r="N59" s="50"/>
      <c r="O59" s="51"/>
      <c r="P59" s="52"/>
      <c r="Q59" s="51"/>
      <c r="R59" s="512"/>
      <c r="S59" s="512"/>
      <c r="T59" s="41"/>
      <c r="U59" s="41"/>
      <c r="V59" s="41"/>
      <c r="W59" s="41"/>
      <c r="X59" s="42"/>
      <c r="Y59" s="214"/>
      <c r="Z59" s="599"/>
      <c r="AA59" s="41"/>
      <c r="AB59" s="41"/>
      <c r="AC59" s="41"/>
      <c r="AD59" s="41">
        <f>+AM59+BA59</f>
        <v>11</v>
      </c>
      <c r="AE59" s="232" t="s">
        <v>226</v>
      </c>
      <c r="AF59" s="37"/>
      <c r="AG59" s="37"/>
      <c r="AH59" s="37">
        <v>11</v>
      </c>
      <c r="AJ59" s="41"/>
      <c r="AK59" s="41"/>
      <c r="AL59" s="41"/>
      <c r="AM59" s="41">
        <f>SUM(AF59:AL59)+AT59+AV59+AX59</f>
        <v>11</v>
      </c>
      <c r="AN59" s="41"/>
      <c r="AO59" s="41"/>
      <c r="AP59" s="41"/>
      <c r="AQ59" s="41"/>
      <c r="AR59" s="41">
        <f>SUM(AN59:AQ59)</f>
        <v>0</v>
      </c>
      <c r="AS59" s="41"/>
      <c r="AT59" s="41"/>
      <c r="AU59" s="41"/>
      <c r="AV59" s="41"/>
      <c r="AW59" s="41"/>
      <c r="AX59" s="41"/>
      <c r="AY59" s="41"/>
      <c r="AZ59" s="41"/>
      <c r="BA59" s="41">
        <f>+AR59+AS59+AU59+AW59+AY59+AZ59</f>
        <v>0</v>
      </c>
      <c r="BB59" s="37"/>
      <c r="BC59" s="515"/>
      <c r="BD59" s="515"/>
      <c r="BE59" s="37"/>
      <c r="BF59" s="515"/>
    </row>
    <row r="60" spans="1:58" ht="12.95" customHeight="1">
      <c r="A60" s="44"/>
      <c r="B60" s="45"/>
      <c r="C60" s="459"/>
      <c r="D60" s="45"/>
      <c r="E60" s="46"/>
      <c r="F60" s="46"/>
      <c r="G60" s="47"/>
      <c r="H60" s="48"/>
      <c r="I60" s="49"/>
      <c r="J60" s="86"/>
      <c r="K60" s="86"/>
      <c r="L60" s="39"/>
      <c r="M60" s="39"/>
      <c r="N60" s="50"/>
      <c r="O60" s="51"/>
      <c r="P60" s="52"/>
      <c r="Q60" s="51"/>
      <c r="R60" s="512"/>
      <c r="S60" s="512"/>
      <c r="T60" s="41"/>
      <c r="U60" s="41"/>
      <c r="V60" s="41"/>
      <c r="W60" s="41"/>
      <c r="X60" s="513"/>
      <c r="Y60" s="214"/>
      <c r="Z60" s="599"/>
      <c r="AA60" s="53"/>
      <c r="AB60" s="53"/>
      <c r="AC60" s="41"/>
      <c r="AD60" s="41">
        <f>+AM60+BA60</f>
        <v>370</v>
      </c>
      <c r="AE60" s="235" t="s">
        <v>554</v>
      </c>
      <c r="AF60" s="41"/>
      <c r="AG60" s="41"/>
      <c r="AH60" s="41"/>
      <c r="AI60" s="514"/>
      <c r="AJ60" s="41"/>
      <c r="AK60" s="41"/>
      <c r="AL60" s="41"/>
      <c r="AM60" s="41">
        <f>SUM(AF60:AL60)+AT60+AV60+AX60</f>
        <v>0</v>
      </c>
      <c r="AN60" s="41"/>
      <c r="AO60" s="41">
        <f>145+225</f>
        <v>370</v>
      </c>
      <c r="AP60" s="41"/>
      <c r="AQ60" s="41"/>
      <c r="AR60" s="41">
        <f>SUM(AN60:AQ60)</f>
        <v>370</v>
      </c>
      <c r="AS60" s="41"/>
      <c r="AT60" s="41"/>
      <c r="AU60" s="41"/>
      <c r="AV60" s="41"/>
      <c r="AW60" s="41"/>
      <c r="AX60" s="41"/>
      <c r="AY60" s="41"/>
      <c r="AZ60" s="41"/>
      <c r="BA60" s="41">
        <f>+AR60+AS60+AU60+AW60+AY60+AZ60</f>
        <v>370</v>
      </c>
      <c r="BB60" s="37"/>
      <c r="BC60" s="515"/>
      <c r="BD60" s="515"/>
      <c r="BE60" s="37"/>
      <c r="BF60" s="515">
        <v>1</v>
      </c>
    </row>
    <row r="61" spans="1:58" ht="12.95" customHeight="1">
      <c r="A61" s="44"/>
      <c r="B61" s="45"/>
      <c r="C61" s="459"/>
      <c r="D61" s="45"/>
      <c r="E61" s="46"/>
      <c r="F61" s="46"/>
      <c r="G61" s="47"/>
      <c r="H61" s="48"/>
      <c r="I61" s="49"/>
      <c r="J61" s="86"/>
      <c r="K61" s="86"/>
      <c r="L61" s="39"/>
      <c r="M61" s="39"/>
      <c r="N61" s="50"/>
      <c r="O61" s="51"/>
      <c r="P61" s="52"/>
      <c r="Q61" s="51"/>
      <c r="R61" s="512"/>
      <c r="S61" s="512"/>
      <c r="T61" s="41"/>
      <c r="U61" s="41"/>
      <c r="V61" s="41"/>
      <c r="W61" s="41"/>
      <c r="X61" s="42"/>
      <c r="Y61" s="214"/>
      <c r="Z61" s="599"/>
      <c r="AA61" s="41"/>
      <c r="AB61" s="41"/>
      <c r="AC61" s="41"/>
      <c r="AD61" s="41"/>
      <c r="AE61" s="232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37"/>
      <c r="BC61" s="55"/>
      <c r="BD61" s="55"/>
      <c r="BE61" s="55"/>
      <c r="BF61" s="55"/>
    </row>
    <row r="62" spans="1:58" ht="12.95" customHeight="1">
      <c r="A62" s="44">
        <v>46003</v>
      </c>
      <c r="B62" s="45" t="s">
        <v>439</v>
      </c>
      <c r="C62" s="459">
        <f>(M62*E62*O62*Q62)/100000000</f>
        <v>66.948729600000007</v>
      </c>
      <c r="D62" s="45" t="s">
        <v>488</v>
      </c>
      <c r="E62" s="46">
        <v>20</v>
      </c>
      <c r="F62" s="46">
        <v>1</v>
      </c>
      <c r="G62" s="47">
        <v>830</v>
      </c>
      <c r="H62" s="48">
        <v>0.14000000000000001</v>
      </c>
      <c r="I62" s="49">
        <v>0.88</v>
      </c>
      <c r="J62" s="86">
        <f>E62*G62*(1-H62)*1440/1000000*3.4</f>
        <v>69.895296000000002</v>
      </c>
      <c r="K62" s="86">
        <f>(IF(G62&lt;L62,L62,G62)*(1-IF(H62&lt;N62,H62,N62))*E62*O62*Q62)/100000000</f>
        <v>66.948729600000007</v>
      </c>
      <c r="L62" s="39">
        <v>830</v>
      </c>
      <c r="M62" s="39">
        <v>713.8</v>
      </c>
      <c r="N62" s="50">
        <f>1-(M62/L62)</f>
        <v>0.14000000000000001</v>
      </c>
      <c r="O62" s="51">
        <f>+'Trim Rwd'!H37</f>
        <v>325.66666666666669</v>
      </c>
      <c r="P62" s="52">
        <f>O62*(Q62-R62-S62)</f>
        <v>451374</v>
      </c>
      <c r="Q62" s="51">
        <v>1440</v>
      </c>
      <c r="R62" s="512">
        <v>0</v>
      </c>
      <c r="S62" s="512">
        <v>54</v>
      </c>
      <c r="T62" s="41">
        <f>E62*M62*O62*Q62/100000000</f>
        <v>66.948729600000007</v>
      </c>
      <c r="U62" s="41">
        <f>E62*M62*O62*(Q62-R62-S62)/100000000</f>
        <v>64.438152240000008</v>
      </c>
      <c r="V62" s="41">
        <f>E62*G62*(1-N62)*O62/100*(R62+S62)/1000000</f>
        <v>2.5105773600000005</v>
      </c>
      <c r="W62" s="41">
        <f>+'12'!K34/1000</f>
        <v>59.353000000000002</v>
      </c>
      <c r="X62" s="513">
        <f>SUM(W62:W65)/SUM(K62:K65)</f>
        <v>0.88654408163706211</v>
      </c>
      <c r="Y62" s="214">
        <v>0</v>
      </c>
      <c r="Z62" s="599">
        <f>+'12'!D34/1000</f>
        <v>0.82</v>
      </c>
      <c r="AA62" s="53">
        <f>SUM(U62:U65)-SUM(W62:W65)-SUM(Z62:Z65)-SUM(Y62:Y65)</f>
        <v>4.2651522400000061</v>
      </c>
      <c r="AB62" s="53">
        <f>(SUM(K62:K65)-SUM(W62:W65)-SUM(Y62:Y65)-SUM(Z62:Z65)-SUM(AC62:AC65)-SUM(V62:V65))-AA62</f>
        <v>0</v>
      </c>
      <c r="AC62" s="41">
        <f>K62-T62</f>
        <v>0</v>
      </c>
      <c r="AD62" s="41">
        <f>+AM62+BA62</f>
        <v>5</v>
      </c>
      <c r="AE62" s="232" t="s">
        <v>392</v>
      </c>
      <c r="AF62" s="41">
        <v>5</v>
      </c>
      <c r="AG62" s="41"/>
      <c r="AH62" s="41"/>
      <c r="AI62" s="514"/>
      <c r="AJ62" s="41"/>
      <c r="AK62" s="41"/>
      <c r="AL62" s="41"/>
      <c r="AM62" s="41">
        <f>SUM(AF62:AL62)+AT62+AV62+AX62</f>
        <v>5</v>
      </c>
      <c r="AN62" s="41"/>
      <c r="AO62" s="41"/>
      <c r="AP62" s="41"/>
      <c r="AQ62" s="41"/>
      <c r="AR62" s="41">
        <f>SUM(AN62:AQ62)</f>
        <v>0</v>
      </c>
      <c r="AS62" s="41"/>
      <c r="AT62" s="41"/>
      <c r="AU62" s="41"/>
      <c r="AV62" s="41"/>
      <c r="AW62" s="41"/>
      <c r="AX62" s="41"/>
      <c r="AY62" s="41"/>
      <c r="AZ62" s="41"/>
      <c r="BA62" s="41">
        <f>+AR62+AS62+AU62+AW62+AY62+AZ62</f>
        <v>0</v>
      </c>
      <c r="BB62" s="37">
        <v>1</v>
      </c>
      <c r="BC62" s="55"/>
      <c r="BD62" s="55"/>
      <c r="BE62" s="37"/>
      <c r="BF62" s="55"/>
    </row>
    <row r="63" spans="1:58" ht="12.95" customHeight="1">
      <c r="A63" s="44"/>
      <c r="B63" s="45"/>
      <c r="C63" s="459"/>
      <c r="D63" s="45"/>
      <c r="E63" s="46"/>
      <c r="F63" s="46"/>
      <c r="G63" s="47"/>
      <c r="H63" s="48"/>
      <c r="I63" s="49"/>
      <c r="J63" s="86"/>
      <c r="K63" s="86"/>
      <c r="L63" s="39"/>
      <c r="M63" s="39"/>
      <c r="N63" s="50"/>
      <c r="O63" s="51"/>
      <c r="P63" s="52"/>
      <c r="Q63" s="51"/>
      <c r="R63" s="512"/>
      <c r="S63" s="512"/>
      <c r="T63" s="41"/>
      <c r="U63" s="41"/>
      <c r="V63" s="41"/>
      <c r="W63" s="41"/>
      <c r="X63" s="42"/>
      <c r="Y63" s="214"/>
      <c r="Z63" s="599"/>
      <c r="AA63" s="41"/>
      <c r="AB63" s="41"/>
      <c r="AC63" s="41"/>
      <c r="AD63" s="41">
        <f>+AM63+BA63</f>
        <v>20</v>
      </c>
      <c r="AE63" s="232" t="s">
        <v>394</v>
      </c>
      <c r="AF63" s="41"/>
      <c r="AG63" s="41">
        <v>20</v>
      </c>
      <c r="AH63" s="41"/>
      <c r="AI63" s="514"/>
      <c r="AJ63" s="41"/>
      <c r="AK63" s="41"/>
      <c r="AL63" s="41"/>
      <c r="AM63" s="41">
        <f>SUM(AF63:AL63)+AT63+AV63+AX63</f>
        <v>20</v>
      </c>
      <c r="AN63" s="87"/>
      <c r="AO63" s="41"/>
      <c r="AP63" s="41"/>
      <c r="AQ63" s="41"/>
      <c r="AR63" s="41">
        <f>SUM(AN63:AQ63)</f>
        <v>0</v>
      </c>
      <c r="AS63" s="41"/>
      <c r="AT63" s="41"/>
      <c r="AU63" s="41"/>
      <c r="AV63" s="41"/>
      <c r="AW63" s="41"/>
      <c r="AX63" s="41"/>
      <c r="AY63" s="41"/>
      <c r="AZ63" s="41"/>
      <c r="BA63" s="41">
        <f>+AR63+AS63+AU63+AW63+AY63+AZ63</f>
        <v>0</v>
      </c>
      <c r="BB63" s="54"/>
      <c r="BC63" s="55">
        <v>3</v>
      </c>
      <c r="BD63" s="55"/>
      <c r="BE63" s="54"/>
      <c r="BF63" s="55"/>
    </row>
    <row r="64" spans="1:58" ht="12.95" customHeight="1">
      <c r="A64" s="44"/>
      <c r="B64" s="45"/>
      <c r="C64" s="459"/>
      <c r="D64" s="45"/>
      <c r="E64" s="46"/>
      <c r="F64" s="46"/>
      <c r="G64" s="47"/>
      <c r="H64" s="48"/>
      <c r="I64" s="49"/>
      <c r="J64" s="86"/>
      <c r="K64" s="86"/>
      <c r="L64" s="39"/>
      <c r="M64" s="39"/>
      <c r="N64" s="50"/>
      <c r="O64" s="51"/>
      <c r="P64" s="52"/>
      <c r="Q64" s="51"/>
      <c r="R64" s="512"/>
      <c r="S64" s="512"/>
      <c r="T64" s="41"/>
      <c r="U64" s="41"/>
      <c r="V64" s="41"/>
      <c r="W64" s="41"/>
      <c r="X64" s="42"/>
      <c r="Y64" s="214"/>
      <c r="Z64" s="599"/>
      <c r="AA64" s="41"/>
      <c r="AB64" s="41"/>
      <c r="AC64" s="41"/>
      <c r="AD64" s="41">
        <f>+AM64+BA64</f>
        <v>19</v>
      </c>
      <c r="AE64" s="232" t="s">
        <v>226</v>
      </c>
      <c r="AF64" s="37"/>
      <c r="AG64" s="37"/>
      <c r="AH64" s="37">
        <v>19</v>
      </c>
      <c r="AJ64" s="41"/>
      <c r="AK64" s="41"/>
      <c r="AL64" s="41"/>
      <c r="AM64" s="41">
        <f>SUM(AF64:AL64)+AT64+AV64+AX64</f>
        <v>19</v>
      </c>
      <c r="AN64" s="41"/>
      <c r="AO64" s="41"/>
      <c r="AP64" s="41"/>
      <c r="AQ64" s="41"/>
      <c r="AR64" s="41">
        <f>SUM(AN64:AQ64)</f>
        <v>0</v>
      </c>
      <c r="AS64" s="41"/>
      <c r="AT64" s="41"/>
      <c r="AU64" s="41"/>
      <c r="AV64" s="41"/>
      <c r="AW64" s="41"/>
      <c r="AX64" s="41"/>
      <c r="AY64" s="41"/>
      <c r="AZ64" s="41"/>
      <c r="BA64" s="41">
        <f>+AR64+AS64+AU64+AW64+AY64+AZ64</f>
        <v>0</v>
      </c>
      <c r="BB64" s="37"/>
      <c r="BC64" s="515"/>
      <c r="BD64" s="515"/>
      <c r="BE64" s="37"/>
      <c r="BF64" s="515"/>
    </row>
    <row r="65" spans="1:58" ht="12.95" customHeight="1">
      <c r="A65" s="44"/>
      <c r="B65" s="45"/>
      <c r="C65" s="459"/>
      <c r="D65" s="45"/>
      <c r="E65" s="46"/>
      <c r="F65" s="46"/>
      <c r="G65" s="47"/>
      <c r="H65" s="48"/>
      <c r="I65" s="49"/>
      <c r="J65" s="86"/>
      <c r="K65" s="86"/>
      <c r="L65" s="39"/>
      <c r="M65" s="39"/>
      <c r="N65" s="50"/>
      <c r="O65" s="51"/>
      <c r="P65" s="52"/>
      <c r="Q65" s="51"/>
      <c r="R65" s="512"/>
      <c r="S65" s="512"/>
      <c r="T65" s="41"/>
      <c r="U65" s="41"/>
      <c r="V65" s="41"/>
      <c r="W65" s="41"/>
      <c r="X65" s="42"/>
      <c r="Y65" s="214"/>
      <c r="Z65" s="599"/>
      <c r="AA65" s="41"/>
      <c r="AB65" s="41"/>
      <c r="AC65" s="41"/>
      <c r="AD65" s="41">
        <f>+AM65+BA65</f>
        <v>10</v>
      </c>
      <c r="AE65" s="232" t="s">
        <v>531</v>
      </c>
      <c r="AF65" s="41"/>
      <c r="AG65" s="41"/>
      <c r="AH65" s="41"/>
      <c r="AI65" s="514">
        <v>10</v>
      </c>
      <c r="AJ65" s="41"/>
      <c r="AK65" s="41"/>
      <c r="AL65" s="41"/>
      <c r="AM65" s="41">
        <f>SUM(AF65:AL65)+AT65+AV65+AX65</f>
        <v>10</v>
      </c>
      <c r="AN65" s="41"/>
      <c r="AO65" s="41"/>
      <c r="AP65" s="41"/>
      <c r="AQ65" s="41"/>
      <c r="AR65" s="41">
        <f>SUM(AN65:AQ65)</f>
        <v>0</v>
      </c>
      <c r="AS65" s="41"/>
      <c r="AT65" s="41"/>
      <c r="AU65" s="41"/>
      <c r="AV65" s="41"/>
      <c r="AW65" s="41"/>
      <c r="AX65" s="41"/>
      <c r="AY65" s="41"/>
      <c r="AZ65" s="41"/>
      <c r="BA65" s="41">
        <f>+AR65+AS65+AU65+AW65+AY65+AZ65</f>
        <v>0</v>
      </c>
      <c r="BB65" s="37"/>
      <c r="BC65" s="515"/>
      <c r="BD65" s="515"/>
      <c r="BE65" s="37"/>
      <c r="BF65" s="515"/>
    </row>
    <row r="66" spans="1:58" ht="12.95" customHeight="1">
      <c r="A66" s="44"/>
      <c r="B66" s="45"/>
      <c r="C66" s="459"/>
      <c r="D66" s="45"/>
      <c r="E66" s="46"/>
      <c r="F66" s="46"/>
      <c r="G66" s="47"/>
      <c r="H66" s="48"/>
      <c r="I66" s="49"/>
      <c r="J66" s="86"/>
      <c r="K66" s="86"/>
      <c r="L66" s="39"/>
      <c r="M66" s="39"/>
      <c r="N66" s="50"/>
      <c r="O66" s="51"/>
      <c r="P66" s="52"/>
      <c r="Q66" s="51"/>
      <c r="R66" s="512"/>
      <c r="S66" s="512"/>
      <c r="T66" s="41"/>
      <c r="U66" s="41"/>
      <c r="V66" s="41"/>
      <c r="W66" s="41"/>
      <c r="X66" s="42"/>
      <c r="Y66" s="214"/>
      <c r="Z66" s="599"/>
      <c r="AA66" s="41"/>
      <c r="AB66" s="41"/>
      <c r="AC66" s="41"/>
      <c r="AD66" s="41"/>
      <c r="AE66" s="232"/>
      <c r="AF66" s="37"/>
      <c r="AG66" s="37"/>
      <c r="AH66" s="37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37"/>
      <c r="BC66" s="515"/>
      <c r="BD66" s="55"/>
      <c r="BE66" s="55"/>
      <c r="BF66" s="55"/>
    </row>
    <row r="67" spans="1:58" ht="12.95" customHeight="1">
      <c r="A67" s="44">
        <v>46004</v>
      </c>
      <c r="B67" s="45" t="s">
        <v>439</v>
      </c>
      <c r="C67" s="459">
        <f>(M67*E67*O67*Q67)/100000000</f>
        <v>68.198111999999995</v>
      </c>
      <c r="D67" s="45" t="s">
        <v>488</v>
      </c>
      <c r="E67" s="46">
        <v>20</v>
      </c>
      <c r="F67" s="46">
        <v>1</v>
      </c>
      <c r="G67" s="47">
        <v>830</v>
      </c>
      <c r="H67" s="48">
        <v>0.1</v>
      </c>
      <c r="I67" s="49">
        <v>0.88</v>
      </c>
      <c r="J67" s="86">
        <f>E67*G67*(1-H67)*1440/1000000*3.4</f>
        <v>73.146240000000006</v>
      </c>
      <c r="K67" s="86">
        <f>(IF(G67&lt;L67,L67,G67)*(1-IF(H67&lt;N67,H67,N67))*E67*O67*Q67)/100000000</f>
        <v>68.198111999999995</v>
      </c>
      <c r="L67" s="39">
        <v>830</v>
      </c>
      <c r="M67" s="39">
        <v>747</v>
      </c>
      <c r="N67" s="50">
        <f>1-(M67/L67)</f>
        <v>9.9999999999999978E-2</v>
      </c>
      <c r="O67" s="51">
        <f>+'Trim Rwd'!H40</f>
        <v>317</v>
      </c>
      <c r="P67" s="52">
        <f>O67*(Q67-R67-S67)</f>
        <v>426048</v>
      </c>
      <c r="Q67" s="51">
        <v>1440</v>
      </c>
      <c r="R67" s="512">
        <v>30</v>
      </c>
      <c r="S67" s="512">
        <v>66</v>
      </c>
      <c r="T67" s="41">
        <f>E67*M67*O67*Q67/100000000</f>
        <v>68.198111999999995</v>
      </c>
      <c r="U67" s="41">
        <f>E67*M67*O67*(Q67-R67-S67)/100000000</f>
        <v>63.651571199999999</v>
      </c>
      <c r="V67" s="41">
        <f>E67*G67*(1-N67)*O67/100*(R67+S67)/1000000</f>
        <v>4.5465408000000007</v>
      </c>
      <c r="W67" s="41">
        <f>+'13'!K34/1000</f>
        <v>57.131999999999998</v>
      </c>
      <c r="X67" s="513">
        <f>SUM(W67:W70)/SUM(K67:K70)</f>
        <v>0.83773580124916069</v>
      </c>
      <c r="Y67" s="214">
        <v>0</v>
      </c>
      <c r="Z67" s="599">
        <f>+'13'!D34/1000</f>
        <v>0.442</v>
      </c>
      <c r="AA67" s="53">
        <f>SUM(U67:U70)-SUM(W67:W70)-SUM(Z67:Z70)-SUM(Y67:Y70)</f>
        <v>6.0775712000000013</v>
      </c>
      <c r="AB67" s="53">
        <f>(SUM(K67:K70)-SUM(W67:W70)-SUM(Y67:Y70)-SUM(Z67:Z70)-SUM(AC67:AC70)-SUM(V67:V70))-AA67</f>
        <v>0</v>
      </c>
      <c r="AC67" s="41">
        <f>K67-T67</f>
        <v>0</v>
      </c>
      <c r="AD67" s="41">
        <f>+AM67+BA67</f>
        <v>4</v>
      </c>
      <c r="AE67" s="232" t="s">
        <v>392</v>
      </c>
      <c r="AF67" s="41">
        <v>4</v>
      </c>
      <c r="AG67" s="41"/>
      <c r="AH67" s="41"/>
      <c r="AI67" s="514"/>
      <c r="AJ67" s="41"/>
      <c r="AK67" s="41"/>
      <c r="AL67" s="41"/>
      <c r="AM67" s="41">
        <f>SUM(AF67:AL67)+AT67+AV67+AX67</f>
        <v>4</v>
      </c>
      <c r="AN67" s="41"/>
      <c r="AO67" s="41"/>
      <c r="AP67" s="41"/>
      <c r="AQ67" s="41"/>
      <c r="AR67" s="41">
        <f>SUM(AN67:AQ67)</f>
        <v>0</v>
      </c>
      <c r="AS67" s="41"/>
      <c r="AT67" s="41"/>
      <c r="AU67" s="41"/>
      <c r="AV67" s="41"/>
      <c r="AW67" s="41"/>
      <c r="AX67" s="41"/>
      <c r="AY67" s="41"/>
      <c r="AZ67" s="41"/>
      <c r="BA67" s="41">
        <f>+AR67+AS67+AU67+AW67+AY67+AZ67</f>
        <v>0</v>
      </c>
      <c r="BB67" s="37">
        <v>1</v>
      </c>
      <c r="BC67" s="55"/>
      <c r="BD67" s="55"/>
      <c r="BE67" s="37"/>
      <c r="BF67" s="55"/>
    </row>
    <row r="68" spans="1:58" ht="12.95" customHeight="1">
      <c r="A68" s="44"/>
      <c r="B68" s="45"/>
      <c r="C68" s="459"/>
      <c r="D68" s="45"/>
      <c r="E68" s="46"/>
      <c r="F68" s="46"/>
      <c r="G68" s="47"/>
      <c r="H68" s="48"/>
      <c r="I68" s="49"/>
      <c r="J68" s="86"/>
      <c r="K68" s="86"/>
      <c r="L68" s="39"/>
      <c r="M68" s="39"/>
      <c r="N68" s="50"/>
      <c r="O68" s="51"/>
      <c r="P68" s="52"/>
      <c r="Q68" s="51"/>
      <c r="R68" s="512"/>
      <c r="S68" s="512"/>
      <c r="T68" s="41"/>
      <c r="U68" s="41"/>
      <c r="V68" s="41"/>
      <c r="W68" s="41"/>
      <c r="X68" s="42"/>
      <c r="Y68" s="214"/>
      <c r="Z68" s="599"/>
      <c r="AA68" s="41"/>
      <c r="AB68" s="41"/>
      <c r="AC68" s="41"/>
      <c r="AD68" s="41">
        <f>+AM68+BA68</f>
        <v>15</v>
      </c>
      <c r="AE68" s="232" t="s">
        <v>394</v>
      </c>
      <c r="AF68" s="41"/>
      <c r="AG68" s="41">
        <v>15</v>
      </c>
      <c r="AH68" s="41"/>
      <c r="AI68" s="514"/>
      <c r="AJ68" s="41"/>
      <c r="AK68" s="41"/>
      <c r="AL68" s="41"/>
      <c r="AM68" s="41">
        <f>SUM(AF68:AL68)+AT68+AV68+AX68</f>
        <v>15</v>
      </c>
      <c r="AN68" s="87"/>
      <c r="AO68" s="41"/>
      <c r="AP68" s="41"/>
      <c r="AQ68" s="41"/>
      <c r="AR68" s="41">
        <f>SUM(AN68:AQ68)</f>
        <v>0</v>
      </c>
      <c r="AS68" s="41"/>
      <c r="AT68" s="41"/>
      <c r="AU68" s="41"/>
      <c r="AV68" s="41"/>
      <c r="AW68" s="41"/>
      <c r="AX68" s="41"/>
      <c r="AY68" s="41"/>
      <c r="AZ68" s="41"/>
      <c r="BA68" s="41">
        <f>+AR68+AS68+AU68+AW68+AY68+AZ68</f>
        <v>0</v>
      </c>
      <c r="BB68" s="54"/>
      <c r="BC68" s="55">
        <v>3</v>
      </c>
      <c r="BD68" s="55"/>
      <c r="BE68" s="54"/>
      <c r="BF68" s="55"/>
    </row>
    <row r="69" spans="1:58" ht="12.95" customHeight="1">
      <c r="A69" s="44"/>
      <c r="B69" s="45"/>
      <c r="C69" s="459"/>
      <c r="D69" s="45"/>
      <c r="E69" s="46"/>
      <c r="F69" s="46"/>
      <c r="G69" s="47"/>
      <c r="H69" s="48"/>
      <c r="I69" s="49"/>
      <c r="J69" s="86"/>
      <c r="K69" s="86"/>
      <c r="L69" s="39"/>
      <c r="M69" s="39"/>
      <c r="N69" s="50"/>
      <c r="O69" s="51"/>
      <c r="P69" s="52"/>
      <c r="Q69" s="51"/>
      <c r="R69" s="512"/>
      <c r="S69" s="512"/>
      <c r="T69" s="41"/>
      <c r="U69" s="41"/>
      <c r="V69" s="41"/>
      <c r="W69" s="41"/>
      <c r="X69" s="42"/>
      <c r="Y69" s="214"/>
      <c r="Z69" s="599"/>
      <c r="AA69" s="41"/>
      <c r="AB69" s="41"/>
      <c r="AC69" s="41"/>
      <c r="AD69" s="41">
        <f>+AM69+BA69</f>
        <v>17</v>
      </c>
      <c r="AE69" s="232" t="s">
        <v>226</v>
      </c>
      <c r="AF69" s="37"/>
      <c r="AG69" s="37"/>
      <c r="AH69" s="37">
        <v>17</v>
      </c>
      <c r="AJ69" s="41"/>
      <c r="AK69" s="41"/>
      <c r="AL69" s="41"/>
      <c r="AM69" s="41">
        <f>SUM(AF69:AL69)+AT69+AV69+AX69</f>
        <v>17</v>
      </c>
      <c r="AN69" s="41"/>
      <c r="AO69" s="41"/>
      <c r="AP69" s="41"/>
      <c r="AQ69" s="41"/>
      <c r="AR69" s="41">
        <f>SUM(AN69:AQ69)</f>
        <v>0</v>
      </c>
      <c r="AS69" s="41"/>
      <c r="AT69" s="41"/>
      <c r="AU69" s="41"/>
      <c r="AV69" s="41"/>
      <c r="AW69" s="41"/>
      <c r="AX69" s="41"/>
      <c r="AY69" s="41"/>
      <c r="AZ69" s="41"/>
      <c r="BA69" s="41">
        <f>+AR69+AS69+AU69+AW69+AY69+AZ69</f>
        <v>0</v>
      </c>
      <c r="BB69" s="37"/>
      <c r="BC69" s="515"/>
      <c r="BD69" s="515"/>
      <c r="BE69" s="37"/>
      <c r="BF69" s="515"/>
    </row>
    <row r="70" spans="1:58" ht="12.95" customHeight="1">
      <c r="A70" s="44"/>
      <c r="B70" s="45"/>
      <c r="C70" s="459"/>
      <c r="D70" s="45"/>
      <c r="E70" s="46"/>
      <c r="F70" s="46"/>
      <c r="G70" s="47"/>
      <c r="H70" s="48"/>
      <c r="I70" s="49"/>
      <c r="J70" s="86"/>
      <c r="K70" s="86"/>
      <c r="L70" s="39"/>
      <c r="M70" s="39"/>
      <c r="N70" s="50"/>
      <c r="O70" s="51"/>
      <c r="P70" s="52"/>
      <c r="Q70" s="51"/>
      <c r="R70" s="512"/>
      <c r="S70" s="512"/>
      <c r="T70" s="41"/>
      <c r="U70" s="41"/>
      <c r="V70" s="41"/>
      <c r="W70" s="41"/>
      <c r="X70" s="42"/>
      <c r="Y70" s="214"/>
      <c r="Z70" s="599"/>
      <c r="AA70" s="41"/>
      <c r="AB70" s="41"/>
      <c r="AC70" s="41"/>
      <c r="AD70" s="41">
        <f>+AM70+BA70</f>
        <v>30</v>
      </c>
      <c r="AE70" s="235" t="s">
        <v>560</v>
      </c>
      <c r="AF70" s="41"/>
      <c r="AG70" s="41"/>
      <c r="AH70" s="41"/>
      <c r="AI70" s="514"/>
      <c r="AJ70" s="41"/>
      <c r="AK70" s="41"/>
      <c r="AL70" s="41"/>
      <c r="AM70" s="41">
        <f>SUM(AF70:AL70)+AT70+AV70+AX70</f>
        <v>0</v>
      </c>
      <c r="AN70" s="41"/>
      <c r="AO70" s="41"/>
      <c r="AP70" s="41">
        <v>30</v>
      </c>
      <c r="AQ70" s="41"/>
      <c r="AR70" s="41">
        <f>SUM(AN70:AQ70)</f>
        <v>30</v>
      </c>
      <c r="AS70" s="41"/>
      <c r="AT70" s="41"/>
      <c r="AU70" s="41"/>
      <c r="AV70" s="41"/>
      <c r="AW70" s="41"/>
      <c r="AX70" s="41"/>
      <c r="AY70" s="41"/>
      <c r="AZ70" s="41"/>
      <c r="BA70" s="41">
        <f>+AR70+AS70+AU70+AW70+AY70+AZ70</f>
        <v>30</v>
      </c>
      <c r="BB70" s="37"/>
      <c r="BC70" s="515"/>
      <c r="BD70" s="515"/>
      <c r="BE70" s="37"/>
      <c r="BF70" s="515"/>
    </row>
    <row r="71" spans="1:58" ht="12.95" customHeight="1">
      <c r="A71" s="44"/>
      <c r="B71" s="45"/>
      <c r="C71" s="459"/>
      <c r="D71" s="45"/>
      <c r="E71" s="46"/>
      <c r="F71" s="46"/>
      <c r="G71" s="47"/>
      <c r="H71" s="48"/>
      <c r="I71" s="49"/>
      <c r="J71" s="86"/>
      <c r="K71" s="86"/>
      <c r="L71" s="39"/>
      <c r="M71" s="39"/>
      <c r="N71" s="50"/>
      <c r="O71" s="51"/>
      <c r="P71" s="52"/>
      <c r="Q71" s="51"/>
      <c r="R71" s="512"/>
      <c r="S71" s="512"/>
      <c r="T71" s="41"/>
      <c r="U71" s="41"/>
      <c r="V71" s="41"/>
      <c r="W71" s="41"/>
      <c r="X71" s="42"/>
      <c r="Y71" s="214"/>
      <c r="Z71" s="599"/>
      <c r="AA71" s="41"/>
      <c r="AB71" s="41"/>
      <c r="AC71" s="41"/>
      <c r="AD71" s="41">
        <f>+AM71+BA71</f>
        <v>30</v>
      </c>
      <c r="AE71" s="235" t="s">
        <v>563</v>
      </c>
      <c r="AF71" s="37">
        <v>30</v>
      </c>
      <c r="AG71" s="37"/>
      <c r="AH71" s="37"/>
      <c r="AJ71" s="41"/>
      <c r="AK71" s="41"/>
      <c r="AL71" s="41"/>
      <c r="AM71" s="41">
        <f>SUM(AF71:AL71)+AT71+AV71+AX71</f>
        <v>30</v>
      </c>
      <c r="AN71" s="41"/>
      <c r="AO71" s="41"/>
      <c r="AP71" s="41"/>
      <c r="AQ71" s="41"/>
      <c r="AR71" s="41">
        <f>SUM(AN71:AQ71)</f>
        <v>0</v>
      </c>
      <c r="AS71" s="41"/>
      <c r="AT71" s="41"/>
      <c r="AU71" s="41"/>
      <c r="AV71" s="41"/>
      <c r="AW71" s="41"/>
      <c r="AX71" s="41"/>
      <c r="AY71" s="41"/>
      <c r="AZ71" s="41"/>
      <c r="BA71" s="41">
        <f>+AR71+AS71+AU71+AW71+AY71+AZ71</f>
        <v>0</v>
      </c>
      <c r="BB71" s="37"/>
      <c r="BC71" s="515"/>
      <c r="BD71" s="515"/>
      <c r="BE71" s="37"/>
      <c r="BF71" s="515"/>
    </row>
    <row r="72" spans="1:58" ht="12.95" customHeight="1">
      <c r="A72" s="44"/>
      <c r="B72" s="45"/>
      <c r="C72" s="459"/>
      <c r="D72" s="45"/>
      <c r="E72" s="46"/>
      <c r="F72" s="46"/>
      <c r="G72" s="47"/>
      <c r="H72" s="48"/>
      <c r="I72" s="49"/>
      <c r="J72" s="86"/>
      <c r="K72" s="86"/>
      <c r="L72" s="39"/>
      <c r="M72" s="39"/>
      <c r="N72" s="50"/>
      <c r="O72" s="51"/>
      <c r="P72" s="52"/>
      <c r="Q72" s="51"/>
      <c r="R72" s="512"/>
      <c r="S72" s="512"/>
      <c r="T72" s="41"/>
      <c r="U72" s="41"/>
      <c r="V72" s="41"/>
      <c r="W72" s="41"/>
      <c r="X72" s="42"/>
      <c r="Y72" s="214"/>
      <c r="Z72" s="599"/>
      <c r="AA72" s="41"/>
      <c r="AB72" s="41"/>
      <c r="AC72" s="41"/>
      <c r="AD72" s="41"/>
      <c r="AE72" s="232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37"/>
      <c r="BC72" s="55"/>
      <c r="BD72" s="55"/>
      <c r="BE72" s="55"/>
      <c r="BF72" s="55"/>
    </row>
    <row r="73" spans="1:58" ht="12.95" customHeight="1">
      <c r="A73" s="44">
        <v>46005</v>
      </c>
      <c r="B73" s="45" t="s">
        <v>439</v>
      </c>
      <c r="C73" s="459">
        <f>(M73*E73*O73*Q73)/100000000</f>
        <v>68.589821886792464</v>
      </c>
      <c r="D73" s="45" t="s">
        <v>488</v>
      </c>
      <c r="E73" s="46">
        <v>20</v>
      </c>
      <c r="F73" s="46">
        <v>1</v>
      </c>
      <c r="G73" s="47">
        <v>830</v>
      </c>
      <c r="H73" s="48">
        <v>0.1</v>
      </c>
      <c r="I73" s="49">
        <v>0.88</v>
      </c>
      <c r="J73" s="86">
        <f>E73*G73*(1-H73)*1440/1000000*3.4</f>
        <v>73.146240000000006</v>
      </c>
      <c r="K73" s="86">
        <f>(IF(G73&lt;L73,L73,G73)*(1-IF(H73&lt;N73,H73,N73))*E73*O73*Q73)/100000000</f>
        <v>68.589821886792464</v>
      </c>
      <c r="L73" s="39">
        <v>830</v>
      </c>
      <c r="M73" s="39">
        <v>747</v>
      </c>
      <c r="N73" s="50">
        <f>1-(M73/L73)</f>
        <v>9.9999999999999978E-2</v>
      </c>
      <c r="O73" s="51">
        <f>+'Trim Rwd'!H42</f>
        <v>318.82075471698113</v>
      </c>
      <c r="P73" s="52">
        <f>O73*(Q73-R73-S73)</f>
        <v>449218.44339622639</v>
      </c>
      <c r="Q73" s="51">
        <v>1440</v>
      </c>
      <c r="R73" s="512">
        <v>0</v>
      </c>
      <c r="S73" s="512">
        <v>31</v>
      </c>
      <c r="T73" s="41">
        <f>E73*M73*O73*Q73/100000000</f>
        <v>68.589821886792464</v>
      </c>
      <c r="U73" s="41">
        <f>E73*M73*O73*(Q73-R73-S73)/100000000</f>
        <v>67.113235443396221</v>
      </c>
      <c r="V73" s="41">
        <f>E73*G73*(1-N73)*O73/100*(R73+S73)/1000000</f>
        <v>1.4765864433962266</v>
      </c>
      <c r="W73" s="41">
        <f>+'14'!K34/1000</f>
        <v>66.549000000000007</v>
      </c>
      <c r="X73" s="513">
        <f>SUM(W73:W76)/SUM(K73:K76)</f>
        <v>0.97024599524167254</v>
      </c>
      <c r="Y73" s="214">
        <v>0</v>
      </c>
      <c r="Z73" s="599">
        <f>+'14'!D34/1000</f>
        <v>0.23</v>
      </c>
      <c r="AA73" s="53">
        <f>SUM(U73:U76)-SUM(W73:W76)-SUM(Z73:Z76)-SUM(Y73:Y76)</f>
        <v>0.33423544339621403</v>
      </c>
      <c r="AB73" s="53">
        <f>(SUM(K73:K76)-SUM(W73:W76)-SUM(Y73:Y76)-SUM(Z73:Z76)-SUM(AC73:AC76)-SUM(V73:V76))-AA73</f>
        <v>1.6875389974302379E-14</v>
      </c>
      <c r="AC73" s="41">
        <f>K73-T73</f>
        <v>0</v>
      </c>
      <c r="AD73" s="41">
        <f>+AM73+BA73</f>
        <v>0</v>
      </c>
      <c r="AE73" s="232" t="s">
        <v>395</v>
      </c>
      <c r="AF73" s="41">
        <v>0</v>
      </c>
      <c r="AG73" s="41"/>
      <c r="AH73" s="41"/>
      <c r="AI73" s="514"/>
      <c r="AJ73" s="41"/>
      <c r="AK73" s="41"/>
      <c r="AL73" s="41"/>
      <c r="AM73" s="41">
        <f>SUM(AF73:AL73)+AT73+AV73+AX73</f>
        <v>0</v>
      </c>
      <c r="AN73" s="41"/>
      <c r="AO73" s="41"/>
      <c r="AP73" s="41"/>
      <c r="AQ73" s="41"/>
      <c r="AR73" s="41">
        <f>SUM(AN73:AQ73)</f>
        <v>0</v>
      </c>
      <c r="AS73" s="41"/>
      <c r="AT73" s="41"/>
      <c r="AU73" s="41"/>
      <c r="AV73" s="41"/>
      <c r="AW73" s="41"/>
      <c r="AX73" s="41"/>
      <c r="AY73" s="41"/>
      <c r="AZ73" s="41"/>
      <c r="BA73" s="41">
        <f>+AR73+AS73+AU73+AW73+AY73+AZ73</f>
        <v>0</v>
      </c>
      <c r="BB73" s="37">
        <v>0</v>
      </c>
      <c r="BC73" s="55"/>
      <c r="BD73" s="55"/>
      <c r="BE73" s="37"/>
      <c r="BF73" s="55"/>
    </row>
    <row r="74" spans="1:58" ht="12.95" customHeight="1">
      <c r="A74" s="44"/>
      <c r="B74" s="45"/>
      <c r="C74" s="459"/>
      <c r="D74" s="45"/>
      <c r="E74" s="46"/>
      <c r="F74" s="46"/>
      <c r="G74" s="47"/>
      <c r="H74" s="48"/>
      <c r="I74" s="49"/>
      <c r="J74" s="86"/>
      <c r="K74" s="86"/>
      <c r="L74" s="39"/>
      <c r="M74" s="39"/>
      <c r="N74" s="50"/>
      <c r="O74" s="51"/>
      <c r="P74" s="52"/>
      <c r="Q74" s="51"/>
      <c r="R74" s="512"/>
      <c r="S74" s="512"/>
      <c r="T74" s="41"/>
      <c r="U74" s="41"/>
      <c r="V74" s="41"/>
      <c r="W74" s="41"/>
      <c r="X74" s="42"/>
      <c r="Y74" s="214"/>
      <c r="Z74" s="599"/>
      <c r="AA74" s="41"/>
      <c r="AB74" s="41"/>
      <c r="AC74" s="41"/>
      <c r="AD74" s="41">
        <f>+AM74+BA74</f>
        <v>18</v>
      </c>
      <c r="AE74" s="232" t="s">
        <v>489</v>
      </c>
      <c r="AF74" s="41"/>
      <c r="AG74" s="41">
        <v>18</v>
      </c>
      <c r="AH74" s="41"/>
      <c r="AI74" s="514"/>
      <c r="AJ74" s="41"/>
      <c r="AK74" s="41"/>
      <c r="AL74" s="41"/>
      <c r="AM74" s="41">
        <f>SUM(AF74:AL74)+AT74+AV74+AX74</f>
        <v>18</v>
      </c>
      <c r="AN74" s="87"/>
      <c r="AO74" s="41"/>
      <c r="AP74" s="41"/>
      <c r="AQ74" s="41"/>
      <c r="AR74" s="41">
        <f>SUM(AN74:AQ74)</f>
        <v>0</v>
      </c>
      <c r="AS74" s="41"/>
      <c r="AT74" s="41"/>
      <c r="AU74" s="41"/>
      <c r="AV74" s="41"/>
      <c r="AW74" s="41"/>
      <c r="AX74" s="41"/>
      <c r="AY74" s="41"/>
      <c r="AZ74" s="41"/>
      <c r="BA74" s="41">
        <f>+AR74+AS74+AU74+AW74+AY74+AZ74</f>
        <v>0</v>
      </c>
      <c r="BB74" s="54"/>
      <c r="BC74" s="55">
        <v>4</v>
      </c>
      <c r="BD74" s="55"/>
      <c r="BE74" s="54"/>
      <c r="BF74" s="55"/>
    </row>
    <row r="75" spans="1:58" ht="12.95" customHeight="1">
      <c r="A75" s="44"/>
      <c r="B75" s="45"/>
      <c r="C75" s="459"/>
      <c r="D75" s="45"/>
      <c r="E75" s="46"/>
      <c r="F75" s="46"/>
      <c r="G75" s="47"/>
      <c r="H75" s="48"/>
      <c r="I75" s="49"/>
      <c r="J75" s="86"/>
      <c r="K75" s="86"/>
      <c r="L75" s="39"/>
      <c r="M75" s="39"/>
      <c r="N75" s="50"/>
      <c r="O75" s="51"/>
      <c r="P75" s="52"/>
      <c r="Q75" s="51"/>
      <c r="R75" s="512"/>
      <c r="S75" s="512"/>
      <c r="T75" s="41"/>
      <c r="U75" s="41"/>
      <c r="V75" s="41"/>
      <c r="W75" s="41"/>
      <c r="X75" s="42"/>
      <c r="Y75" s="214"/>
      <c r="Z75" s="599"/>
      <c r="AA75" s="41"/>
      <c r="AB75" s="41"/>
      <c r="AC75" s="41"/>
      <c r="AD75" s="41">
        <f>+AM75+BA75</f>
        <v>13</v>
      </c>
      <c r="AE75" s="232" t="s">
        <v>226</v>
      </c>
      <c r="AF75" s="37"/>
      <c r="AG75" s="37"/>
      <c r="AH75" s="37">
        <v>13</v>
      </c>
      <c r="AJ75" s="41"/>
      <c r="AK75" s="41"/>
      <c r="AL75" s="41"/>
      <c r="AM75" s="41">
        <f>SUM(AF75:AL75)+AT75+AV75+AX75</f>
        <v>13</v>
      </c>
      <c r="AN75" s="41"/>
      <c r="AO75" s="41"/>
      <c r="AP75" s="41"/>
      <c r="AQ75" s="41"/>
      <c r="AR75" s="41">
        <f>SUM(AN75:AQ75)</f>
        <v>0</v>
      </c>
      <c r="AS75" s="41"/>
      <c r="AT75" s="41"/>
      <c r="AU75" s="41"/>
      <c r="AV75" s="41"/>
      <c r="AW75" s="41"/>
      <c r="AX75" s="41"/>
      <c r="AY75" s="41"/>
      <c r="AZ75" s="41"/>
      <c r="BA75" s="41">
        <f>+AR75+AS75+AU75+AW75+AY75+AZ75</f>
        <v>0</v>
      </c>
      <c r="BB75" s="37"/>
      <c r="BC75" s="515"/>
      <c r="BD75" s="515"/>
      <c r="BE75" s="37"/>
      <c r="BF75" s="515"/>
    </row>
    <row r="76" spans="1:58" ht="12.95" customHeight="1">
      <c r="A76" s="44"/>
      <c r="B76" s="45"/>
      <c r="C76" s="459"/>
      <c r="D76" s="45"/>
      <c r="E76" s="46"/>
      <c r="F76" s="46"/>
      <c r="G76" s="47"/>
      <c r="H76" s="48"/>
      <c r="I76" s="49"/>
      <c r="J76" s="86"/>
      <c r="K76" s="86"/>
      <c r="L76" s="39"/>
      <c r="M76" s="39"/>
      <c r="N76" s="50"/>
      <c r="O76" s="51"/>
      <c r="P76" s="52"/>
      <c r="Q76" s="51"/>
      <c r="R76" s="512"/>
      <c r="S76" s="512"/>
      <c r="T76" s="41"/>
      <c r="U76" s="41"/>
      <c r="V76" s="41"/>
      <c r="W76" s="41"/>
      <c r="X76" s="42"/>
      <c r="Y76" s="214"/>
      <c r="Z76" s="599"/>
      <c r="AA76" s="41"/>
      <c r="AB76" s="41"/>
      <c r="AC76" s="41"/>
      <c r="AD76" s="41"/>
      <c r="AE76" s="235"/>
      <c r="AF76" s="41"/>
      <c r="AG76" s="41"/>
      <c r="AH76" s="41"/>
      <c r="AI76" s="514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37"/>
      <c r="BC76" s="515"/>
      <c r="BD76" s="515"/>
      <c r="BE76" s="37"/>
      <c r="BF76" s="515"/>
    </row>
    <row r="77" spans="1:58" ht="12.95" customHeight="1">
      <c r="A77" s="44">
        <v>46006</v>
      </c>
      <c r="B77" s="45" t="s">
        <v>439</v>
      </c>
      <c r="C77" s="459">
        <f>(M77*E77*O77*Q77)/100000000</f>
        <v>69.273792</v>
      </c>
      <c r="D77" s="45" t="s">
        <v>488</v>
      </c>
      <c r="E77" s="46">
        <v>20</v>
      </c>
      <c r="F77" s="46">
        <v>1</v>
      </c>
      <c r="G77" s="47">
        <v>830</v>
      </c>
      <c r="H77" s="48">
        <v>0.1</v>
      </c>
      <c r="I77" s="49">
        <v>0.88</v>
      </c>
      <c r="J77" s="86">
        <f>E77*G77*(1-H77)*1440/1000000*3.4</f>
        <v>73.146240000000006</v>
      </c>
      <c r="K77" s="86">
        <f>(IF(G77&lt;L77,L77,G77)*(1-IF(H77&lt;N77,H77,N77))*E77*O77*Q77)/100000000</f>
        <v>69.273792</v>
      </c>
      <c r="L77" s="39">
        <v>830</v>
      </c>
      <c r="M77" s="39">
        <v>747</v>
      </c>
      <c r="N77" s="50">
        <f>1-(M77/L77)</f>
        <v>9.9999999999999978E-2</v>
      </c>
      <c r="O77" s="51">
        <f>+'Trim Rwd'!H46</f>
        <v>322</v>
      </c>
      <c r="P77" s="52">
        <f>O77*(Q77-R77-S77)</f>
        <v>454664</v>
      </c>
      <c r="Q77" s="51">
        <v>1440</v>
      </c>
      <c r="R77" s="512">
        <v>0</v>
      </c>
      <c r="S77" s="512">
        <v>28</v>
      </c>
      <c r="T77" s="41">
        <f>E77*M77*O77*Q77/100000000</f>
        <v>69.273792</v>
      </c>
      <c r="U77" s="41">
        <f>E77*M77*O77*(Q77-R77-S77)/100000000</f>
        <v>67.926801600000005</v>
      </c>
      <c r="V77" s="41">
        <f>E77*G77*(1-N77)*O77/100*(R77+S77)/1000000</f>
        <v>1.3469904000000001</v>
      </c>
      <c r="W77" s="41">
        <f>+'15'!K34/1000</f>
        <v>67.039000000000001</v>
      </c>
      <c r="X77" s="513">
        <f>SUM(W77:W80)/SUM(K77:K80)</f>
        <v>0.96773971894017297</v>
      </c>
      <c r="Y77" s="214">
        <v>0</v>
      </c>
      <c r="Z77" s="599">
        <f>+'15'!D34/1000</f>
        <v>0.2</v>
      </c>
      <c r="AA77" s="53">
        <f>SUM(U77:U80)-SUM(W77:W80)-SUM(Z77:Z80)-SUM(Y77:Y80)</f>
        <v>0.68780160000000312</v>
      </c>
      <c r="AB77" s="53">
        <f>(SUM(K77:K80)-SUM(W77:W80)-SUM(Y77:Y80)-SUM(Z77:Z80)-SUM(AC77:AC80)-SUM(V77:V80))-AA77</f>
        <v>-4.6629367034256575E-15</v>
      </c>
      <c r="AC77" s="41">
        <f>K77-T77</f>
        <v>0</v>
      </c>
      <c r="AD77" s="41">
        <f>+AM77+BA77</f>
        <v>0</v>
      </c>
      <c r="AE77" s="232" t="s">
        <v>395</v>
      </c>
      <c r="AF77" s="41">
        <v>0</v>
      </c>
      <c r="AG77" s="41"/>
      <c r="AH77" s="41"/>
      <c r="AI77" s="514"/>
      <c r="AJ77" s="41"/>
      <c r="AK77" s="41"/>
      <c r="AL77" s="41"/>
      <c r="AM77" s="41">
        <f>SUM(AF77:AL77)+AT77+AV77+AX77</f>
        <v>0</v>
      </c>
      <c r="AN77" s="41"/>
      <c r="AO77" s="41"/>
      <c r="AP77" s="41"/>
      <c r="AQ77" s="41"/>
      <c r="AR77" s="41">
        <f>SUM(AN77:AQ77)</f>
        <v>0</v>
      </c>
      <c r="AS77" s="41"/>
      <c r="AT77" s="41"/>
      <c r="AU77" s="41"/>
      <c r="AV77" s="41"/>
      <c r="AW77" s="41"/>
      <c r="AX77" s="41"/>
      <c r="AY77" s="41"/>
      <c r="AZ77" s="41"/>
      <c r="BA77" s="41">
        <f>+AR77+AS77+AU77+AW77+AY77+AZ77</f>
        <v>0</v>
      </c>
      <c r="BB77" s="37">
        <v>0</v>
      </c>
      <c r="BC77" s="55"/>
      <c r="BD77" s="55"/>
      <c r="BE77" s="37"/>
      <c r="BF77" s="55"/>
    </row>
    <row r="78" spans="1:58" ht="12.95" customHeight="1">
      <c r="A78" s="44"/>
      <c r="B78" s="45"/>
      <c r="C78" s="459"/>
      <c r="D78" s="45"/>
      <c r="E78" s="46"/>
      <c r="F78" s="46"/>
      <c r="G78" s="47"/>
      <c r="H78" s="48"/>
      <c r="I78" s="49"/>
      <c r="J78" s="86"/>
      <c r="K78" s="86"/>
      <c r="L78" s="39"/>
      <c r="M78" s="39"/>
      <c r="N78" s="50"/>
      <c r="O78" s="51"/>
      <c r="P78" s="52"/>
      <c r="Q78" s="51"/>
      <c r="R78" s="512"/>
      <c r="S78" s="512"/>
      <c r="T78" s="41"/>
      <c r="U78" s="41"/>
      <c r="V78" s="41"/>
      <c r="W78" s="41"/>
      <c r="X78" s="42"/>
      <c r="Y78" s="214"/>
      <c r="Z78" s="599"/>
      <c r="AA78" s="41"/>
      <c r="AB78" s="41"/>
      <c r="AC78" s="41"/>
      <c r="AD78" s="41">
        <f>+AM78+BA78</f>
        <v>17</v>
      </c>
      <c r="AE78" s="232" t="s">
        <v>489</v>
      </c>
      <c r="AF78" s="41"/>
      <c r="AG78" s="41">
        <v>17</v>
      </c>
      <c r="AH78" s="41"/>
      <c r="AI78" s="514"/>
      <c r="AJ78" s="41"/>
      <c r="AK78" s="41"/>
      <c r="AL78" s="41"/>
      <c r="AM78" s="41">
        <f>SUM(AF78:AL78)+AT78+AV78+AX78</f>
        <v>17</v>
      </c>
      <c r="AN78" s="87"/>
      <c r="AO78" s="41"/>
      <c r="AP78" s="41"/>
      <c r="AQ78" s="41"/>
      <c r="AR78" s="41">
        <f>SUM(AN78:AQ78)</f>
        <v>0</v>
      </c>
      <c r="AS78" s="41"/>
      <c r="AT78" s="41"/>
      <c r="AU78" s="41"/>
      <c r="AV78" s="41"/>
      <c r="AW78" s="41"/>
      <c r="AX78" s="41"/>
      <c r="AY78" s="41"/>
      <c r="AZ78" s="41"/>
      <c r="BA78" s="41">
        <f>+AR78+AS78+AU78+AW78+AY78+AZ78</f>
        <v>0</v>
      </c>
      <c r="BB78" s="54"/>
      <c r="BC78" s="55">
        <v>4</v>
      </c>
      <c r="BD78" s="55"/>
      <c r="BE78" s="54"/>
      <c r="BF78" s="55"/>
    </row>
    <row r="79" spans="1:58" ht="12.95" customHeight="1">
      <c r="A79" s="44"/>
      <c r="B79" s="45"/>
      <c r="C79" s="459"/>
      <c r="D79" s="45"/>
      <c r="E79" s="46"/>
      <c r="F79" s="46"/>
      <c r="G79" s="47"/>
      <c r="H79" s="48"/>
      <c r="I79" s="49"/>
      <c r="J79" s="86"/>
      <c r="K79" s="86"/>
      <c r="L79" s="39"/>
      <c r="M79" s="39"/>
      <c r="N79" s="50"/>
      <c r="O79" s="51"/>
      <c r="P79" s="52"/>
      <c r="Q79" s="51"/>
      <c r="R79" s="512"/>
      <c r="S79" s="512"/>
      <c r="T79" s="41"/>
      <c r="U79" s="41"/>
      <c r="V79" s="41"/>
      <c r="W79" s="41"/>
      <c r="X79" s="42"/>
      <c r="Y79" s="214"/>
      <c r="Z79" s="599"/>
      <c r="AA79" s="41"/>
      <c r="AB79" s="41"/>
      <c r="AC79" s="41"/>
      <c r="AD79" s="41">
        <f>+AM79+BA79</f>
        <v>11</v>
      </c>
      <c r="AE79" s="232" t="s">
        <v>226</v>
      </c>
      <c r="AF79" s="37"/>
      <c r="AG79" s="37"/>
      <c r="AH79" s="37">
        <v>11</v>
      </c>
      <c r="AJ79" s="41"/>
      <c r="AK79" s="41"/>
      <c r="AL79" s="41"/>
      <c r="AM79" s="41">
        <f>SUM(AF79:AL79)+AT79+AV79+AX79</f>
        <v>11</v>
      </c>
      <c r="AN79" s="41"/>
      <c r="AO79" s="41"/>
      <c r="AP79" s="41"/>
      <c r="AQ79" s="41"/>
      <c r="AR79" s="41">
        <f>SUM(AN79:AQ79)</f>
        <v>0</v>
      </c>
      <c r="AS79" s="41"/>
      <c r="AT79" s="41"/>
      <c r="AU79" s="41"/>
      <c r="AV79" s="41"/>
      <c r="AW79" s="41"/>
      <c r="AX79" s="41"/>
      <c r="AY79" s="41"/>
      <c r="AZ79" s="41"/>
      <c r="BA79" s="41">
        <f>+AR79+AS79+AU79+AW79+AY79+AZ79</f>
        <v>0</v>
      </c>
      <c r="BB79" s="37"/>
      <c r="BC79" s="515"/>
      <c r="BD79" s="515"/>
      <c r="BE79" s="37"/>
      <c r="BF79" s="515"/>
    </row>
    <row r="80" spans="1:58" ht="12.95" customHeight="1">
      <c r="A80" s="44"/>
      <c r="B80" s="45"/>
      <c r="C80" s="459"/>
      <c r="D80" s="45"/>
      <c r="E80" s="46"/>
      <c r="F80" s="46"/>
      <c r="G80" s="47"/>
      <c r="H80" s="48"/>
      <c r="I80" s="49"/>
      <c r="J80" s="86"/>
      <c r="K80" s="86"/>
      <c r="L80" s="39"/>
      <c r="M80" s="39"/>
      <c r="N80" s="50"/>
      <c r="O80" s="51"/>
      <c r="P80" s="52"/>
      <c r="Q80" s="51"/>
      <c r="R80" s="512"/>
      <c r="S80" s="512"/>
      <c r="T80" s="41"/>
      <c r="U80" s="41"/>
      <c r="V80" s="41"/>
      <c r="W80" s="41"/>
      <c r="X80" s="42"/>
      <c r="Y80" s="214"/>
      <c r="Z80" s="599"/>
      <c r="AA80" s="41"/>
      <c r="AB80" s="41"/>
      <c r="AC80" s="41"/>
      <c r="AD80" s="41"/>
      <c r="AE80" s="235"/>
      <c r="AF80" s="41"/>
      <c r="AG80" s="41"/>
      <c r="AH80" s="41"/>
      <c r="AI80" s="514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37"/>
      <c r="BC80" s="515"/>
      <c r="BD80" s="515"/>
      <c r="BE80" s="37"/>
      <c r="BF80" s="515"/>
    </row>
    <row r="81" spans="1:58" ht="12.95" customHeight="1">
      <c r="A81" s="44">
        <v>46007</v>
      </c>
      <c r="B81" s="45" t="s">
        <v>439</v>
      </c>
      <c r="C81" s="459">
        <f>(M81*E81*O81*Q81)/100000000</f>
        <v>31.975868571428567</v>
      </c>
      <c r="D81" s="45" t="s">
        <v>488</v>
      </c>
      <c r="E81" s="46">
        <v>20</v>
      </c>
      <c r="F81" s="46">
        <v>1</v>
      </c>
      <c r="G81" s="47">
        <v>830</v>
      </c>
      <c r="H81" s="48">
        <v>0.1</v>
      </c>
      <c r="I81" s="49">
        <v>0.88</v>
      </c>
      <c r="J81" s="86">
        <f>E81*G81*(1-H81)*1440/1000000*3.4</f>
        <v>73.146240000000006</v>
      </c>
      <c r="K81" s="86">
        <f>(IF(G81&lt;L81,L81,G81)*(1-IF(H81&lt;N81,H81,N81))*E81*O81*Q81)/100000000</f>
        <v>31.975868571428567</v>
      </c>
      <c r="L81" s="39">
        <v>830</v>
      </c>
      <c r="M81" s="39">
        <v>747</v>
      </c>
      <c r="N81" s="50">
        <f>1-(M81/L81)</f>
        <v>9.9999999999999978E-2</v>
      </c>
      <c r="O81" s="51">
        <f>+'Trim Rwd'!H50</f>
        <v>324.28571428571428</v>
      </c>
      <c r="P81" s="52">
        <f>O81*(Q81-R81-S81)</f>
        <v>209164.28571428571</v>
      </c>
      <c r="Q81" s="51">
        <v>660</v>
      </c>
      <c r="R81" s="512">
        <v>0</v>
      </c>
      <c r="S81" s="512">
        <v>15</v>
      </c>
      <c r="T81" s="41">
        <f>E81*M81*O81*Q81/100000000</f>
        <v>31.975868571428567</v>
      </c>
      <c r="U81" s="41">
        <f>E81*M81*O81*(Q81-R81-S81)/100000000</f>
        <v>31.249144285714284</v>
      </c>
      <c r="V81" s="41">
        <f>E81*G81*(1-N81)*O81/100*(R81+S81)/1000000</f>
        <v>0.72672428571428571</v>
      </c>
      <c r="W81" s="41">
        <f>+'16'!K14/1000</f>
        <v>37.481999999999999</v>
      </c>
      <c r="X81" s="513">
        <f>SUM(W81:W84)/SUM(K81:K84)</f>
        <v>0.98089677729809377</v>
      </c>
      <c r="Y81" s="214">
        <v>0</v>
      </c>
      <c r="Z81" s="599">
        <f>+'16'!D34/1000</f>
        <v>1.4079999999999999</v>
      </c>
      <c r="AA81" s="53">
        <f>SUM(U81:U84)-SUM(W81:W84)-SUM(Z81:Z84)-SUM(Y81:Y84)</f>
        <v>-1.5690873942857153</v>
      </c>
      <c r="AB81" s="53">
        <f>(SUM(K81:K84)-SUM(W81:W84)-SUM(Y81:Y84)-SUM(Z81:Z84)-SUM(AC81:AC84)-SUM(V81:V84))-AA81</f>
        <v>-1.1990408665951691E-14</v>
      </c>
      <c r="AC81" s="41">
        <f>K81-T81</f>
        <v>0</v>
      </c>
      <c r="AD81" s="41">
        <f>+AM81+BA81</f>
        <v>2</v>
      </c>
      <c r="AE81" s="232" t="s">
        <v>392</v>
      </c>
      <c r="AF81" s="41">
        <v>2</v>
      </c>
      <c r="AG81" s="41"/>
      <c r="AH81" s="41"/>
      <c r="AI81" s="514"/>
      <c r="AJ81" s="41"/>
      <c r="AK81" s="41"/>
      <c r="AL81" s="41"/>
      <c r="AM81" s="41">
        <f>SUM(AF81:AL81)+AT81+AV81+AX81</f>
        <v>2</v>
      </c>
      <c r="AN81" s="41"/>
      <c r="AO81" s="41"/>
      <c r="AP81" s="41"/>
      <c r="AQ81" s="41"/>
      <c r="AR81" s="41">
        <f>SUM(AN81:AQ81)</f>
        <v>0</v>
      </c>
      <c r="AS81" s="41"/>
      <c r="AT81" s="41"/>
      <c r="AU81" s="41"/>
      <c r="AV81" s="41"/>
      <c r="AW81" s="41"/>
      <c r="AX81" s="41"/>
      <c r="AY81" s="41"/>
      <c r="AZ81" s="41"/>
      <c r="BA81" s="41">
        <f>+AR81+AS81+AU81+AW81+AY81+AZ81</f>
        <v>0</v>
      </c>
      <c r="BB81" s="37">
        <v>1</v>
      </c>
      <c r="BC81" s="55"/>
      <c r="BD81" s="55"/>
      <c r="BE81" s="37"/>
      <c r="BF81" s="55"/>
    </row>
    <row r="82" spans="1:58" ht="12.95" customHeight="1">
      <c r="A82" s="44"/>
      <c r="B82" s="45" t="s">
        <v>439</v>
      </c>
      <c r="C82" s="459">
        <f>(M82*E82*O82*Q82)/100000000</f>
        <v>32.069606399999998</v>
      </c>
      <c r="D82" s="45" t="s">
        <v>488</v>
      </c>
      <c r="E82" s="46">
        <v>18</v>
      </c>
      <c r="F82" s="46">
        <v>1</v>
      </c>
      <c r="G82" s="47">
        <v>830</v>
      </c>
      <c r="H82" s="48">
        <v>0.14000000000000001</v>
      </c>
      <c r="I82" s="49">
        <v>0.88</v>
      </c>
      <c r="J82" s="86">
        <f>E82*G82*(1-H82)*1440/1000000*3.4</f>
        <v>62.905766399999997</v>
      </c>
      <c r="K82" s="86">
        <f>(IF(G82&lt;L82,L82,G82)*(1-IF(H82&lt;N82,H82,N82))*E82*O82*Q82)/100000000</f>
        <v>32.069606399999998</v>
      </c>
      <c r="L82" s="39">
        <v>830</v>
      </c>
      <c r="M82" s="39">
        <f>+L82-L82*0.14</f>
        <v>713.8</v>
      </c>
      <c r="N82" s="50">
        <f>1-(M82/L82)</f>
        <v>0.14000000000000001</v>
      </c>
      <c r="O82" s="51">
        <f>+'Trim Rwd'!H52</f>
        <v>320</v>
      </c>
      <c r="P82" s="52">
        <f>O82*(Q82-R82-S82)</f>
        <v>244480</v>
      </c>
      <c r="Q82" s="51">
        <v>780</v>
      </c>
      <c r="R82" s="512">
        <v>0</v>
      </c>
      <c r="S82" s="512">
        <v>16</v>
      </c>
      <c r="T82" s="41">
        <f>E82*M82*O82*Q82/100000000</f>
        <v>32.069606399999998</v>
      </c>
      <c r="U82" s="41">
        <f>E82*M82*O82*(Q82-R82-S82)/100000000</f>
        <v>31.41176832</v>
      </c>
      <c r="V82" s="41">
        <f>E82*G82*(1-N82)*O82/100*(R82+S82)/1000000</f>
        <v>0.65783807999999999</v>
      </c>
      <c r="W82" s="41">
        <f>+'16'!K15/1000</f>
        <v>25.34</v>
      </c>
      <c r="X82" s="42"/>
      <c r="Y82" s="214"/>
      <c r="Z82" s="599"/>
      <c r="AA82" s="41"/>
      <c r="AB82" s="41"/>
      <c r="AC82" s="41">
        <f>K82-T82</f>
        <v>0</v>
      </c>
      <c r="AD82" s="41">
        <f>+AM82+BA82</f>
        <v>14</v>
      </c>
      <c r="AE82" s="232" t="s">
        <v>394</v>
      </c>
      <c r="AF82" s="41"/>
      <c r="AG82" s="41">
        <v>14</v>
      </c>
      <c r="AH82" s="41"/>
      <c r="AI82" s="514"/>
      <c r="AJ82" s="41"/>
      <c r="AK82" s="41"/>
      <c r="AL82" s="41"/>
      <c r="AM82" s="41">
        <f>SUM(AF82:AL82)+AT82+AV82+AX82</f>
        <v>14</v>
      </c>
      <c r="AN82" s="87"/>
      <c r="AO82" s="41"/>
      <c r="AP82" s="41"/>
      <c r="AQ82" s="41"/>
      <c r="AR82" s="41">
        <f>SUM(AN82:AQ82)</f>
        <v>0</v>
      </c>
      <c r="AS82" s="41"/>
      <c r="AT82" s="41"/>
      <c r="AU82" s="41"/>
      <c r="AV82" s="41"/>
      <c r="AW82" s="41"/>
      <c r="AX82" s="41"/>
      <c r="AY82" s="41"/>
      <c r="AZ82" s="41"/>
      <c r="BA82" s="41">
        <f>+AR82+AS82+AU82+AW82+AY82+AZ82</f>
        <v>0</v>
      </c>
      <c r="BB82" s="54"/>
      <c r="BC82" s="55">
        <v>3</v>
      </c>
      <c r="BD82" s="55"/>
      <c r="BE82" s="54"/>
      <c r="BF82" s="55"/>
    </row>
    <row r="83" spans="1:58" ht="12.95" customHeight="1">
      <c r="A83" s="44"/>
      <c r="B83" s="45"/>
      <c r="C83" s="459"/>
      <c r="D83" s="45"/>
      <c r="E83" s="46"/>
      <c r="F83" s="46"/>
      <c r="G83" s="47"/>
      <c r="H83" s="48"/>
      <c r="I83" s="49"/>
      <c r="J83" s="86"/>
      <c r="K83" s="86"/>
      <c r="L83" s="39"/>
      <c r="M83" s="39"/>
      <c r="N83" s="50"/>
      <c r="O83" s="51"/>
      <c r="P83" s="52"/>
      <c r="Q83" s="51"/>
      <c r="R83" s="512"/>
      <c r="S83" s="512"/>
      <c r="T83" s="41"/>
      <c r="U83" s="41"/>
      <c r="V83" s="41"/>
      <c r="W83" s="41"/>
      <c r="X83" s="42"/>
      <c r="Y83" s="214"/>
      <c r="Z83" s="599"/>
      <c r="AA83" s="41"/>
      <c r="AB83" s="41"/>
      <c r="AC83" s="41"/>
      <c r="AD83" s="41">
        <f>+AM83+BA83</f>
        <v>12</v>
      </c>
      <c r="AE83" s="232" t="s">
        <v>226</v>
      </c>
      <c r="AF83" s="37"/>
      <c r="AG83" s="37"/>
      <c r="AH83" s="37">
        <v>12</v>
      </c>
      <c r="AJ83" s="41"/>
      <c r="AK83" s="41"/>
      <c r="AL83" s="41"/>
      <c r="AM83" s="41">
        <f>SUM(AF83:AL83)+AT83+AV83+AX83</f>
        <v>12</v>
      </c>
      <c r="AN83" s="41"/>
      <c r="AO83" s="41"/>
      <c r="AP83" s="41"/>
      <c r="AQ83" s="41"/>
      <c r="AR83" s="41">
        <f>SUM(AN83:AQ83)</f>
        <v>0</v>
      </c>
      <c r="AS83" s="41"/>
      <c r="AT83" s="41"/>
      <c r="AU83" s="41"/>
      <c r="AV83" s="41"/>
      <c r="AW83" s="41"/>
      <c r="AX83" s="41"/>
      <c r="AY83" s="41"/>
      <c r="AZ83" s="41"/>
      <c r="BA83" s="41">
        <f>+AR83+AS83+AU83+AW83+AY83+AZ83</f>
        <v>0</v>
      </c>
      <c r="BB83" s="37"/>
      <c r="BC83" s="515"/>
      <c r="BD83" s="515"/>
      <c r="BE83" s="37"/>
      <c r="BF83" s="515"/>
    </row>
    <row r="84" spans="1:58" ht="12.95" customHeight="1">
      <c r="A84" s="44"/>
      <c r="B84" s="45"/>
      <c r="C84" s="459"/>
      <c r="D84" s="45"/>
      <c r="E84" s="46"/>
      <c r="F84" s="46"/>
      <c r="G84" s="47"/>
      <c r="H84" s="48"/>
      <c r="I84" s="49"/>
      <c r="J84" s="86"/>
      <c r="K84" s="86"/>
      <c r="L84" s="39"/>
      <c r="M84" s="39"/>
      <c r="N84" s="50"/>
      <c r="O84" s="51"/>
      <c r="P84" s="52"/>
      <c r="Q84" s="51"/>
      <c r="R84" s="512"/>
      <c r="S84" s="512"/>
      <c r="T84" s="41"/>
      <c r="U84" s="41"/>
      <c r="V84" s="41"/>
      <c r="W84" s="41"/>
      <c r="X84" s="42"/>
      <c r="Y84" s="214"/>
      <c r="Z84" s="599"/>
      <c r="AA84" s="41"/>
      <c r="AB84" s="41"/>
      <c r="AC84" s="41"/>
      <c r="AD84" s="41">
        <f>+AM84+BA84</f>
        <v>3</v>
      </c>
      <c r="AE84" s="235" t="s">
        <v>531</v>
      </c>
      <c r="AF84" s="41"/>
      <c r="AG84" s="41"/>
      <c r="AH84" s="41"/>
      <c r="AI84" s="514">
        <v>3</v>
      </c>
      <c r="AJ84" s="41"/>
      <c r="AK84" s="41"/>
      <c r="AL84" s="41"/>
      <c r="AM84" s="41">
        <f>SUM(AF84:AL84)+AT84+AV84+AX84</f>
        <v>3</v>
      </c>
      <c r="AN84" s="41"/>
      <c r="AO84" s="41"/>
      <c r="AP84" s="41"/>
      <c r="AQ84" s="41"/>
      <c r="AR84" s="41">
        <f>SUM(AN84:AQ84)</f>
        <v>0</v>
      </c>
      <c r="AS84" s="41"/>
      <c r="AT84" s="41"/>
      <c r="AU84" s="41"/>
      <c r="AV84" s="41"/>
      <c r="AW84" s="41"/>
      <c r="AX84" s="41"/>
      <c r="AY84" s="41"/>
      <c r="AZ84" s="41"/>
      <c r="BA84" s="41">
        <f>+AR84+AS84+AU84+AW84+AY84+AZ84</f>
        <v>0</v>
      </c>
      <c r="BB84" s="37"/>
      <c r="BC84" s="515"/>
      <c r="BD84" s="515"/>
      <c r="BE84" s="37"/>
      <c r="BF84" s="515"/>
    </row>
    <row r="85" spans="1:58" ht="12.95" customHeight="1">
      <c r="A85" s="44"/>
      <c r="B85" s="45"/>
      <c r="C85" s="459"/>
      <c r="D85" s="45"/>
      <c r="E85" s="46"/>
      <c r="F85" s="46"/>
      <c r="G85" s="47"/>
      <c r="H85" s="48"/>
      <c r="I85" s="49"/>
      <c r="J85" s="86"/>
      <c r="K85" s="86"/>
      <c r="L85" s="39"/>
      <c r="M85" s="39"/>
      <c r="N85" s="50"/>
      <c r="O85" s="51"/>
      <c r="P85" s="52"/>
      <c r="Q85" s="51"/>
      <c r="R85" s="512"/>
      <c r="S85" s="512"/>
      <c r="T85" s="41"/>
      <c r="U85" s="41"/>
      <c r="V85" s="41"/>
      <c r="W85" s="41"/>
      <c r="X85" s="42"/>
      <c r="Y85" s="214"/>
      <c r="Z85" s="599"/>
      <c r="AA85" s="41"/>
      <c r="AB85" s="41"/>
      <c r="AC85" s="41"/>
      <c r="AD85" s="41"/>
      <c r="AE85" s="235"/>
      <c r="AF85" s="37"/>
      <c r="AG85" s="37"/>
      <c r="AH85" s="37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37"/>
      <c r="BC85" s="515"/>
      <c r="BD85" s="515"/>
      <c r="BE85" s="37"/>
      <c r="BF85" s="515"/>
    </row>
    <row r="86" spans="1:58" ht="12.95" customHeight="1">
      <c r="A86" s="44">
        <v>46008</v>
      </c>
      <c r="B86" s="45" t="s">
        <v>439</v>
      </c>
      <c r="C86" s="459">
        <f>(M86*E86*O86*Q86)/100000000</f>
        <v>21.379737599999999</v>
      </c>
      <c r="D86" s="45" t="s">
        <v>488</v>
      </c>
      <c r="E86" s="46">
        <v>18</v>
      </c>
      <c r="F86" s="46">
        <v>1</v>
      </c>
      <c r="G86" s="47">
        <v>830</v>
      </c>
      <c r="H86" s="48">
        <v>0.14000000000000001</v>
      </c>
      <c r="I86" s="49">
        <v>0.88</v>
      </c>
      <c r="J86" s="86">
        <f>E86*G86*(1-H86)*1440/1000000*3.4</f>
        <v>62.905766399999997</v>
      </c>
      <c r="K86" s="86">
        <f>(IF(G86&lt;L86,L86,G86)*(1-IF(H86&lt;N86,H86,N86))*E86*O86*Q86)/100000000</f>
        <v>21.379737599999999</v>
      </c>
      <c r="L86" s="39">
        <v>830</v>
      </c>
      <c r="M86" s="39">
        <f>+L86-L86*0.14</f>
        <v>713.8</v>
      </c>
      <c r="N86" s="50">
        <f>1-(M86/L86)</f>
        <v>0.14000000000000001</v>
      </c>
      <c r="O86" s="51">
        <f>+'Trim Rwd'!H54</f>
        <v>320</v>
      </c>
      <c r="P86" s="52">
        <f>O86*(Q86-R86-S86)</f>
        <v>163520</v>
      </c>
      <c r="Q86" s="51">
        <v>520</v>
      </c>
      <c r="R86" s="512">
        <v>0</v>
      </c>
      <c r="S86" s="512">
        <v>9</v>
      </c>
      <c r="T86" s="41">
        <f>E86*M86*O86*Q86/100000000</f>
        <v>21.379737599999999</v>
      </c>
      <c r="U86" s="41">
        <f>E86*M86*O86*(Q86-R86-S86)/100000000</f>
        <v>21.009703680000001</v>
      </c>
      <c r="V86" s="41">
        <f>E86*G86*(1-N86)*O86/100*(R86+S86)/1000000</f>
        <v>0.37003391999999996</v>
      </c>
      <c r="W86" s="41">
        <f>+'17'!K15/1000</f>
        <v>25.317</v>
      </c>
      <c r="X86" s="513">
        <f>SUM(W86:W89)/SUM(K86:K89)</f>
        <v>0.9745832458766398</v>
      </c>
      <c r="Y86" s="214">
        <v>0</v>
      </c>
      <c r="Z86" s="599">
        <v>0</v>
      </c>
      <c r="AA86" s="53">
        <f>SUM(U86:U89)-SUM(W86:W89)-SUM(Z86:Z89)-SUM(Y86:Y89)</f>
        <v>0.68980915999999581</v>
      </c>
      <c r="AB86" s="53">
        <f>(SUM(K86:K89)-SUM(W86:W89)-SUM(Y86:Y89)-SUM(Z86:Z89)-SUM(AC86:AC89)-SUM(V86:V89))-AA86</f>
        <v>-7.6605388699135801E-15</v>
      </c>
      <c r="AC86" s="41">
        <f>K86-T86</f>
        <v>0</v>
      </c>
      <c r="AD86" s="41">
        <f>+AM86+BA86</f>
        <v>1</v>
      </c>
      <c r="AE86" s="232" t="s">
        <v>392</v>
      </c>
      <c r="AF86" s="41">
        <v>1</v>
      </c>
      <c r="AG86" s="41"/>
      <c r="AH86" s="41"/>
      <c r="AI86" s="514"/>
      <c r="AJ86" s="41"/>
      <c r="AK86" s="41"/>
      <c r="AL86" s="41"/>
      <c r="AM86" s="41">
        <f>SUM(AF86:AL86)+AT86+AV86+AX86</f>
        <v>1</v>
      </c>
      <c r="AN86" s="41"/>
      <c r="AO86" s="41"/>
      <c r="AP86" s="41"/>
      <c r="AQ86" s="41"/>
      <c r="AR86" s="41">
        <f>SUM(AN86:AQ86)</f>
        <v>0</v>
      </c>
      <c r="AS86" s="41"/>
      <c r="AT86" s="41"/>
      <c r="AU86" s="41"/>
      <c r="AV86" s="41"/>
      <c r="AW86" s="41"/>
      <c r="AX86" s="41"/>
      <c r="AY86" s="41"/>
      <c r="AZ86" s="41"/>
      <c r="BA86" s="41">
        <f>+AR86+AS86+AU86+AW86+AY86+AZ86</f>
        <v>0</v>
      </c>
      <c r="BB86" s="37">
        <v>1</v>
      </c>
      <c r="BC86" s="55"/>
      <c r="BD86" s="55"/>
      <c r="BE86" s="37"/>
      <c r="BF86" s="55"/>
    </row>
    <row r="87" spans="1:58" ht="12.95" customHeight="1">
      <c r="A87" s="44"/>
      <c r="B87" s="45" t="s">
        <v>8</v>
      </c>
      <c r="C87" s="459">
        <f>(M87*E87*O87*Q87)/100000000</f>
        <v>35.500985759999992</v>
      </c>
      <c r="D87" s="45" t="s">
        <v>488</v>
      </c>
      <c r="E87" s="46">
        <v>17</v>
      </c>
      <c r="F87" s="46">
        <v>1</v>
      </c>
      <c r="G87" s="47">
        <v>830</v>
      </c>
      <c r="H87" s="48">
        <v>0.14000000000000001</v>
      </c>
      <c r="I87" s="49">
        <v>0.88</v>
      </c>
      <c r="J87" s="86">
        <f>E87*G87*(1-H87)*1440/1000000*3.4</f>
        <v>59.411001599999999</v>
      </c>
      <c r="K87" s="86">
        <f>(IF(G87&lt;L87,L87,G87)*(1-IF(H87&lt;N87,H87,N87))*E87*O87*Q87)/100000000</f>
        <v>35.500985759999992</v>
      </c>
      <c r="L87" s="39">
        <v>830</v>
      </c>
      <c r="M87" s="39">
        <f>+L87-L87*0.14</f>
        <v>713.8</v>
      </c>
      <c r="N87" s="50">
        <f>1-(M87/L87)</f>
        <v>0.14000000000000001</v>
      </c>
      <c r="O87" s="51">
        <f>+'Trim Rwd'!H55</f>
        <v>318</v>
      </c>
      <c r="P87" s="52">
        <f>O87*(Q87-R87-S87)</f>
        <v>289380</v>
      </c>
      <c r="Q87" s="51">
        <v>920</v>
      </c>
      <c r="R87" s="512">
        <v>0</v>
      </c>
      <c r="S87" s="512">
        <v>10</v>
      </c>
      <c r="T87" s="41">
        <f>E87*M87*O87*Q87/100000000</f>
        <v>35.500985759999992</v>
      </c>
      <c r="U87" s="41">
        <f>E87*M87*O87*(Q87-R87-S87)/100000000</f>
        <v>35.115105479999997</v>
      </c>
      <c r="V87" s="41">
        <f>E87*G87*(1-N87)*O87/100*(R87+S87)/1000000</f>
        <v>0.38588028000000002</v>
      </c>
      <c r="W87" s="41">
        <f>+'17'!K10/1000</f>
        <v>30.117999999999999</v>
      </c>
      <c r="X87" s="42"/>
      <c r="Y87" s="214"/>
      <c r="Z87" s="599"/>
      <c r="AA87" s="41"/>
      <c r="AB87" s="41"/>
      <c r="AC87" s="41"/>
      <c r="AD87" s="41">
        <f>+AM87+BA87</f>
        <v>10</v>
      </c>
      <c r="AE87" s="232" t="s">
        <v>394</v>
      </c>
      <c r="AF87" s="41"/>
      <c r="AG87" s="41">
        <v>10</v>
      </c>
      <c r="AH87" s="41"/>
      <c r="AI87" s="514"/>
      <c r="AJ87" s="41"/>
      <c r="AK87" s="41"/>
      <c r="AL87" s="41"/>
      <c r="AM87" s="41">
        <f>SUM(AF87:AL87)+AT87+AV87+AX87</f>
        <v>10</v>
      </c>
      <c r="AN87" s="87"/>
      <c r="AO87" s="41"/>
      <c r="AP87" s="41"/>
      <c r="AQ87" s="41"/>
      <c r="AR87" s="41">
        <f>SUM(AN87:AQ87)</f>
        <v>0</v>
      </c>
      <c r="AS87" s="41"/>
      <c r="AT87" s="41"/>
      <c r="AU87" s="41"/>
      <c r="AV87" s="41"/>
      <c r="AW87" s="41"/>
      <c r="AX87" s="41"/>
      <c r="AY87" s="41"/>
      <c r="AZ87" s="41"/>
      <c r="BA87" s="41">
        <f>+AR87+AS87+AU87+AW87+AY87+AZ87</f>
        <v>0</v>
      </c>
      <c r="BB87" s="54"/>
      <c r="BC87" s="55">
        <v>3</v>
      </c>
      <c r="BD87" s="55"/>
      <c r="BE87" s="54"/>
      <c r="BF87" s="55"/>
    </row>
    <row r="88" spans="1:58" ht="12.95" customHeight="1">
      <c r="A88" s="44"/>
      <c r="B88" s="45"/>
      <c r="C88" s="459"/>
      <c r="D88" s="45"/>
      <c r="E88" s="46"/>
      <c r="F88" s="46"/>
      <c r="G88" s="47"/>
      <c r="H88" s="48"/>
      <c r="I88" s="49"/>
      <c r="J88" s="86"/>
      <c r="K88" s="86"/>
      <c r="L88" s="39"/>
      <c r="M88" s="39"/>
      <c r="N88" s="50"/>
      <c r="O88" s="51"/>
      <c r="P88" s="52"/>
      <c r="Q88" s="51"/>
      <c r="R88" s="512"/>
      <c r="S88" s="512"/>
      <c r="T88" s="41"/>
      <c r="U88" s="41"/>
      <c r="V88" s="41"/>
      <c r="W88" s="41"/>
      <c r="X88" s="42"/>
      <c r="Y88" s="214"/>
      <c r="Z88" s="599"/>
      <c r="AA88" s="41"/>
      <c r="AB88" s="41"/>
      <c r="AC88" s="41"/>
      <c r="AD88" s="41">
        <f>+AM88+BA88</f>
        <v>8</v>
      </c>
      <c r="AE88" s="232" t="s">
        <v>226</v>
      </c>
      <c r="AF88" s="37"/>
      <c r="AG88" s="37"/>
      <c r="AH88" s="37">
        <v>8</v>
      </c>
      <c r="AJ88" s="41"/>
      <c r="AK88" s="41"/>
      <c r="AL88" s="41"/>
      <c r="AM88" s="41">
        <f>SUM(AF88:AL88)+AT88+AV88+AX88</f>
        <v>8</v>
      </c>
      <c r="AN88" s="41"/>
      <c r="AO88" s="41"/>
      <c r="AP88" s="41"/>
      <c r="AQ88" s="41"/>
      <c r="AR88" s="41">
        <f>SUM(AN88:AQ88)</f>
        <v>0</v>
      </c>
      <c r="AS88" s="41"/>
      <c r="AT88" s="41"/>
      <c r="AU88" s="41"/>
      <c r="AV88" s="41"/>
      <c r="AW88" s="41"/>
      <c r="AX88" s="41"/>
      <c r="AY88" s="41"/>
      <c r="AZ88" s="41"/>
      <c r="BA88" s="41">
        <f>+AR88+AS88+AU88+AW88+AY88+AZ88</f>
        <v>0</v>
      </c>
      <c r="BB88" s="37"/>
      <c r="BC88" s="515"/>
      <c r="BD88" s="515"/>
      <c r="BE88" s="37"/>
      <c r="BF88" s="515"/>
    </row>
    <row r="89" spans="1:58" ht="12.95" customHeight="1">
      <c r="A89" s="44"/>
      <c r="B89" s="45"/>
      <c r="C89" s="459"/>
      <c r="D89" s="45"/>
      <c r="E89" s="46"/>
      <c r="F89" s="46"/>
      <c r="G89" s="47"/>
      <c r="H89" s="48"/>
      <c r="I89" s="49"/>
      <c r="J89" s="86"/>
      <c r="K89" s="86"/>
      <c r="L89" s="39"/>
      <c r="M89" s="39"/>
      <c r="N89" s="50"/>
      <c r="O89" s="51"/>
      <c r="P89" s="52"/>
      <c r="Q89" s="51"/>
      <c r="R89" s="512"/>
      <c r="S89" s="512"/>
      <c r="T89" s="41"/>
      <c r="U89" s="41"/>
      <c r="V89" s="41"/>
      <c r="W89" s="41"/>
      <c r="X89" s="42"/>
      <c r="Y89" s="214"/>
      <c r="Z89" s="599"/>
      <c r="AA89" s="41"/>
      <c r="AB89" s="41"/>
      <c r="AC89" s="41"/>
      <c r="AD89" s="41"/>
      <c r="AE89" s="235"/>
      <c r="AF89" s="41"/>
      <c r="AG89" s="41"/>
      <c r="AH89" s="41"/>
      <c r="AI89" s="514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37"/>
      <c r="BC89" s="515"/>
      <c r="BD89" s="515"/>
      <c r="BE89" s="37"/>
      <c r="BF89" s="515"/>
    </row>
    <row r="90" spans="1:58" ht="12.95" customHeight="1">
      <c r="A90" s="44">
        <v>46009</v>
      </c>
      <c r="B90" s="45" t="s">
        <v>8</v>
      </c>
      <c r="C90" s="459">
        <f>(M90*E90*O90*Q90)/100000000</f>
        <v>30.137249867999998</v>
      </c>
      <c r="D90" s="45" t="s">
        <v>488</v>
      </c>
      <c r="E90" s="46">
        <v>17</v>
      </c>
      <c r="F90" s="46">
        <v>1</v>
      </c>
      <c r="G90" s="47">
        <v>830</v>
      </c>
      <c r="H90" s="48">
        <v>0.14000000000000001</v>
      </c>
      <c r="I90" s="49">
        <v>0.88</v>
      </c>
      <c r="J90" s="86">
        <f>E90*G90*(1-H90)*1440/1000000*3.4</f>
        <v>59.411001599999999</v>
      </c>
      <c r="K90" s="86">
        <f>(IF(G90&lt;L90,L90,G90)*(1-IF(H90&lt;N90,H90,N90))*E90*O90*Q90)/100000000</f>
        <v>30.137249867999998</v>
      </c>
      <c r="L90" s="39">
        <v>830</v>
      </c>
      <c r="M90" s="39">
        <f>+L90-L90*0.14</f>
        <v>713.8</v>
      </c>
      <c r="N90" s="50">
        <f>1-(M90/L90)</f>
        <v>0.14000000000000001</v>
      </c>
      <c r="O90" s="51">
        <f>+'Trim Rwd'!H57</f>
        <v>318</v>
      </c>
      <c r="P90" s="52">
        <f>O90*(Q90-R90-S90)</f>
        <v>244860</v>
      </c>
      <c r="Q90" s="51">
        <v>781</v>
      </c>
      <c r="R90" s="512">
        <v>0</v>
      </c>
      <c r="S90" s="512">
        <v>11</v>
      </c>
      <c r="T90" s="41">
        <f>E90*M90*O90*Q90/100000000</f>
        <v>30.137249867999998</v>
      </c>
      <c r="U90" s="41">
        <f>E90*M90*O90*(Q90-R90-S90)/100000000</f>
        <v>29.712781559999996</v>
      </c>
      <c r="V90" s="41">
        <f>E90*G90*(1-N90)*O90/100*(R90+S90)/1000000</f>
        <v>0.42446830800000007</v>
      </c>
      <c r="W90" s="41">
        <f>+'18'!K10/1000</f>
        <v>29.06</v>
      </c>
      <c r="X90" s="513">
        <f>SUM(W90:W93)/SUM(K90:K93)</f>
        <v>0.83650676823668035</v>
      </c>
      <c r="Y90" s="214">
        <v>0</v>
      </c>
      <c r="Z90" s="599">
        <v>0</v>
      </c>
      <c r="AA90" s="53">
        <f>SUM(U90:U93)-SUM(W90:W93)-SUM(Z90:Z93)-SUM(Y90:Y93)</f>
        <v>4.5163252069999933</v>
      </c>
      <c r="AB90" s="53">
        <f>(SUM(K90:K93)-SUM(W90:W93)-SUM(Y90:Y93)-SUM(Z90:Z93)-SUM(AC90:AC93)-SUM(V90:V93))-AA90</f>
        <v>0</v>
      </c>
      <c r="AC90" s="41">
        <f>K90-T90</f>
        <v>0</v>
      </c>
      <c r="AD90" s="41">
        <f>+AM90+BA90</f>
        <v>0</v>
      </c>
      <c r="AE90" s="232" t="s">
        <v>395</v>
      </c>
      <c r="AF90" s="41">
        <v>0</v>
      </c>
      <c r="AG90" s="41"/>
      <c r="AH90" s="41"/>
      <c r="AI90" s="514"/>
      <c r="AJ90" s="41"/>
      <c r="AK90" s="41"/>
      <c r="AL90" s="41"/>
      <c r="AM90" s="41">
        <f>SUM(AF90:AL90)+AT90+AV90+AX90</f>
        <v>0</v>
      </c>
      <c r="AN90" s="41"/>
      <c r="AO90" s="41"/>
      <c r="AP90" s="41"/>
      <c r="AQ90" s="41"/>
      <c r="AR90" s="41">
        <f>SUM(AN90:AQ90)</f>
        <v>0</v>
      </c>
      <c r="AS90" s="41"/>
      <c r="AT90" s="41"/>
      <c r="AU90" s="41"/>
      <c r="AV90" s="41"/>
      <c r="AW90" s="41"/>
      <c r="AX90" s="41"/>
      <c r="AY90" s="41"/>
      <c r="AZ90" s="41"/>
      <c r="BA90" s="41">
        <f>+AR90+AS90+AU90+AW90+AY90+AZ90</f>
        <v>0</v>
      </c>
      <c r="BB90" s="37">
        <v>0</v>
      </c>
      <c r="BC90" s="55"/>
      <c r="BD90" s="55"/>
      <c r="BE90" s="37"/>
      <c r="BF90" s="55"/>
    </row>
    <row r="91" spans="1:58" ht="12.95" customHeight="1">
      <c r="A91" s="44"/>
      <c r="B91" s="45" t="s">
        <v>439</v>
      </c>
      <c r="C91" s="459">
        <f>(M91*E91*O91*Q91)/100000000</f>
        <v>14.96281836</v>
      </c>
      <c r="D91" s="45" t="s">
        <v>488</v>
      </c>
      <c r="E91" s="46">
        <v>15.5</v>
      </c>
      <c r="F91" s="46">
        <v>1</v>
      </c>
      <c r="G91" s="47">
        <v>830</v>
      </c>
      <c r="H91" s="48">
        <v>0.14000000000000001</v>
      </c>
      <c r="I91" s="49">
        <v>0.88</v>
      </c>
      <c r="J91" s="86">
        <f>E91*G91*(1-H91)*1440/1000000*3.4</f>
        <v>54.168854400000001</v>
      </c>
      <c r="K91" s="86">
        <f>(IF(G91&lt;L91,L91,G91)*(1-IF(H91&lt;N91,H91,N91))*E91*O91*Q91)/100000000</f>
        <v>14.96281836</v>
      </c>
      <c r="L91" s="39">
        <v>830</v>
      </c>
      <c r="M91" s="39">
        <f>+L91-L91*0.14</f>
        <v>713.8</v>
      </c>
      <c r="N91" s="50">
        <f>1-(M91/L91)</f>
        <v>0.14000000000000001</v>
      </c>
      <c r="O91" s="51">
        <f>+'Trim Rwd'!H58</f>
        <v>322</v>
      </c>
      <c r="P91" s="52">
        <f>O91*(Q91-R91-S91)</f>
        <v>110768</v>
      </c>
      <c r="Q91" s="51">
        <f>355+65</f>
        <v>420</v>
      </c>
      <c r="R91" s="512">
        <v>65</v>
      </c>
      <c r="S91" s="512">
        <v>11</v>
      </c>
      <c r="T91" s="41">
        <f>E91*M91*O91*Q91/100000000</f>
        <v>14.96281836</v>
      </c>
      <c r="U91" s="41">
        <f>E91*M91*O91*(Q91-R91-S91)/100000000</f>
        <v>12.255260752</v>
      </c>
      <c r="V91" s="41">
        <f>E91*G91*(1-N91)*O91/100*(R91+S91)/1000000</f>
        <v>2.7075576080000001</v>
      </c>
      <c r="W91" s="41">
        <f>+'18'!K11/1000</f>
        <v>10.276999999999999</v>
      </c>
      <c r="X91" s="42"/>
      <c r="Y91" s="214"/>
      <c r="Z91" s="599">
        <f>+'18'!D34/1000</f>
        <v>0.97899999999999998</v>
      </c>
      <c r="AA91" s="41"/>
      <c r="AB91" s="41"/>
      <c r="AC91" s="41">
        <f>K91-T91</f>
        <v>0</v>
      </c>
      <c r="AD91" s="41">
        <f>+AM91+BA91</f>
        <v>11</v>
      </c>
      <c r="AE91" s="232" t="s">
        <v>394</v>
      </c>
      <c r="AF91" s="41"/>
      <c r="AG91" s="41">
        <v>11</v>
      </c>
      <c r="AH91" s="41"/>
      <c r="AI91" s="514"/>
      <c r="AJ91" s="41"/>
      <c r="AK91" s="41"/>
      <c r="AL91" s="41"/>
      <c r="AM91" s="41">
        <f>SUM(AF91:AL91)+AT91+AV91+AX91</f>
        <v>11</v>
      </c>
      <c r="AN91" s="87"/>
      <c r="AO91" s="41"/>
      <c r="AP91" s="41"/>
      <c r="AQ91" s="41"/>
      <c r="AR91" s="41">
        <f>SUM(AN91:AQ91)</f>
        <v>0</v>
      </c>
      <c r="AS91" s="41"/>
      <c r="AT91" s="41"/>
      <c r="AU91" s="41"/>
      <c r="AV91" s="41"/>
      <c r="AW91" s="41"/>
      <c r="AX91" s="41"/>
      <c r="AY91" s="41"/>
      <c r="AZ91" s="41"/>
      <c r="BA91" s="41">
        <f>+AR91+AS91+AU91+AW91+AY91+AZ91</f>
        <v>0</v>
      </c>
      <c r="BB91" s="54"/>
      <c r="BC91" s="55">
        <v>3</v>
      </c>
      <c r="BD91" s="55"/>
      <c r="BE91" s="54"/>
      <c r="BF91" s="55"/>
    </row>
    <row r="92" spans="1:58" ht="12.95" customHeight="1">
      <c r="A92" s="44"/>
      <c r="B92" s="45" t="s">
        <v>8</v>
      </c>
      <c r="C92" s="459">
        <f>(M92*E92*O92*Q92)/100000000</f>
        <v>9.6430632549999995</v>
      </c>
      <c r="D92" s="45" t="s">
        <v>488</v>
      </c>
      <c r="E92" s="46">
        <v>17.5</v>
      </c>
      <c r="F92" s="46">
        <v>1</v>
      </c>
      <c r="G92" s="47">
        <v>830</v>
      </c>
      <c r="H92" s="48">
        <v>0.14000000000000001</v>
      </c>
      <c r="I92" s="49">
        <v>0.88</v>
      </c>
      <c r="J92" s="86">
        <f>E92*G92*(1-H92)*1440/1000000*3.4</f>
        <v>61.158384000000005</v>
      </c>
      <c r="K92" s="86">
        <f>(IF(G92&lt;L92,L92,G92)*(1-IF(H92&lt;N92,H92,N92))*E92*O92*Q92)/100000000</f>
        <v>9.6430632549999995</v>
      </c>
      <c r="L92" s="39">
        <v>830</v>
      </c>
      <c r="M92" s="39">
        <f>+L92-L92*0.14</f>
        <v>713.8</v>
      </c>
      <c r="N92" s="50">
        <f>1-(M92/L92)</f>
        <v>0.14000000000000001</v>
      </c>
      <c r="O92" s="51">
        <f>+'Trim Rwd'!H59</f>
        <v>323</v>
      </c>
      <c r="P92" s="52">
        <f>O92*(Q92-R92-S92)</f>
        <v>74613</v>
      </c>
      <c r="Q92" s="51">
        <v>239</v>
      </c>
      <c r="R92" s="512">
        <v>0</v>
      </c>
      <c r="S92" s="512">
        <v>8</v>
      </c>
      <c r="T92" s="41">
        <f>E92*M92*O92*Q92/100000000</f>
        <v>9.6430632549999995</v>
      </c>
      <c r="U92" s="41">
        <f>E92*M92*O92*(Q92-R92-S92)/100000000</f>
        <v>9.3202828950000001</v>
      </c>
      <c r="V92" s="41">
        <f>E92*G92*(1-N92)*O92/100*(R92+S92)/1000000</f>
        <v>0.32278035999999999</v>
      </c>
      <c r="W92" s="41">
        <f>+'18'!K16/1000</f>
        <v>6.4560000000000004</v>
      </c>
      <c r="X92" s="42"/>
      <c r="Y92" s="214"/>
      <c r="Z92" s="599"/>
      <c r="AA92" s="41"/>
      <c r="AB92" s="41"/>
      <c r="AC92" s="41">
        <f>K92-T92</f>
        <v>0</v>
      </c>
      <c r="AD92" s="41">
        <f>+AM92+BA92</f>
        <v>11</v>
      </c>
      <c r="AE92" s="232" t="s">
        <v>226</v>
      </c>
      <c r="AF92" s="37"/>
      <c r="AG92" s="37"/>
      <c r="AH92" s="37">
        <v>11</v>
      </c>
      <c r="AJ92" s="41"/>
      <c r="AK92" s="41"/>
      <c r="AL92" s="41"/>
      <c r="AM92" s="41">
        <f>SUM(AF92:AL92)+AT92+AV92+AX92</f>
        <v>11</v>
      </c>
      <c r="AN92" s="41"/>
      <c r="AO92" s="41"/>
      <c r="AP92" s="41"/>
      <c r="AQ92" s="41"/>
      <c r="AR92" s="41">
        <f>SUM(AN92:AQ92)</f>
        <v>0</v>
      </c>
      <c r="AS92" s="41"/>
      <c r="AT92" s="41"/>
      <c r="AU92" s="41"/>
      <c r="AV92" s="41"/>
      <c r="AW92" s="41"/>
      <c r="AX92" s="41"/>
      <c r="AY92" s="41"/>
      <c r="AZ92" s="41"/>
      <c r="BA92" s="41">
        <f>+AR92+AS92+AU92+AW92+AY92+AZ92</f>
        <v>0</v>
      </c>
      <c r="BB92" s="37"/>
      <c r="BC92" s="515"/>
      <c r="BD92" s="515"/>
      <c r="BE92" s="37"/>
      <c r="BF92" s="515"/>
    </row>
    <row r="93" spans="1:58" ht="12.95" customHeight="1">
      <c r="A93" s="44"/>
      <c r="B93" s="45"/>
      <c r="C93" s="459"/>
      <c r="D93" s="45"/>
      <c r="E93" s="46"/>
      <c r="F93" s="46"/>
      <c r="G93" s="47"/>
      <c r="H93" s="48"/>
      <c r="I93" s="49"/>
      <c r="J93" s="86"/>
      <c r="K93" s="86"/>
      <c r="L93" s="39"/>
      <c r="M93" s="39"/>
      <c r="N93" s="50"/>
      <c r="O93" s="51"/>
      <c r="P93" s="52"/>
      <c r="Q93" s="51"/>
      <c r="R93" s="512"/>
      <c r="S93" s="512"/>
      <c r="T93" s="41"/>
      <c r="U93" s="41"/>
      <c r="V93" s="41"/>
      <c r="W93" s="41"/>
      <c r="X93" s="42"/>
      <c r="Y93" s="214"/>
      <c r="Z93" s="599"/>
      <c r="AA93" s="41"/>
      <c r="AB93" s="41"/>
      <c r="AC93" s="41"/>
      <c r="AD93" s="41">
        <f>+AM93+BA93</f>
        <v>8</v>
      </c>
      <c r="AE93" s="235" t="s">
        <v>531</v>
      </c>
      <c r="AF93" s="41"/>
      <c r="AG93" s="41"/>
      <c r="AH93" s="41"/>
      <c r="AI93" s="514">
        <v>8</v>
      </c>
      <c r="AJ93" s="41"/>
      <c r="AK93" s="41"/>
      <c r="AL93" s="41"/>
      <c r="AM93" s="41">
        <f>SUM(AF93:AL93)+AT93+AV93+AX93</f>
        <v>8</v>
      </c>
      <c r="AN93" s="41"/>
      <c r="AO93" s="41"/>
      <c r="AP93" s="41"/>
      <c r="AQ93" s="41"/>
      <c r="AR93" s="41">
        <f>SUM(AN93:AQ93)</f>
        <v>0</v>
      </c>
      <c r="AS93" s="41"/>
      <c r="AT93" s="41"/>
      <c r="AU93" s="41"/>
      <c r="AV93" s="41"/>
      <c r="AW93" s="41"/>
      <c r="AX93" s="41"/>
      <c r="AY93" s="41"/>
      <c r="AZ93" s="41"/>
      <c r="BA93" s="41">
        <f>+AR93+AS93+AU93+AW93+AY93+AZ93</f>
        <v>0</v>
      </c>
      <c r="BB93" s="37"/>
      <c r="BC93" s="515"/>
      <c r="BD93" s="515"/>
      <c r="BE93" s="37"/>
      <c r="BF93" s="515"/>
    </row>
    <row r="94" spans="1:58" ht="12.95" customHeight="1">
      <c r="A94" s="44"/>
      <c r="B94" s="45"/>
      <c r="C94" s="459"/>
      <c r="D94" s="45"/>
      <c r="E94" s="46"/>
      <c r="F94" s="46"/>
      <c r="G94" s="47"/>
      <c r="H94" s="48"/>
      <c r="I94" s="49"/>
      <c r="J94" s="86"/>
      <c r="K94" s="86"/>
      <c r="L94" s="39"/>
      <c r="M94" s="39"/>
      <c r="N94" s="50"/>
      <c r="O94" s="51"/>
      <c r="P94" s="52"/>
      <c r="Q94" s="51"/>
      <c r="R94" s="512"/>
      <c r="S94" s="512"/>
      <c r="T94" s="41"/>
      <c r="U94" s="41"/>
      <c r="V94" s="41"/>
      <c r="W94" s="41"/>
      <c r="X94" s="42"/>
      <c r="Y94" s="214"/>
      <c r="Z94" s="599"/>
      <c r="AA94" s="41"/>
      <c r="AB94" s="41"/>
      <c r="AC94" s="41"/>
      <c r="AD94" s="41">
        <f>+AM94+BA94</f>
        <v>65</v>
      </c>
      <c r="AE94" s="235" t="s">
        <v>585</v>
      </c>
      <c r="AF94" s="37"/>
      <c r="AG94" s="37"/>
      <c r="AH94" s="37"/>
      <c r="AJ94" s="41"/>
      <c r="AK94" s="41"/>
      <c r="AL94" s="41"/>
      <c r="AM94" s="41">
        <f>SUM(AF94:AL94)+AT94+AV94+AX94</f>
        <v>0</v>
      </c>
      <c r="AN94" s="41">
        <v>65</v>
      </c>
      <c r="AO94" s="41"/>
      <c r="AP94" s="41"/>
      <c r="AQ94" s="41"/>
      <c r="AR94" s="41">
        <f>SUM(AN94:AQ94)</f>
        <v>65</v>
      </c>
      <c r="AS94" s="41"/>
      <c r="AT94" s="41"/>
      <c r="AU94" s="41"/>
      <c r="AV94" s="41"/>
      <c r="AW94" s="41"/>
      <c r="AX94" s="41"/>
      <c r="AY94" s="41"/>
      <c r="AZ94" s="41"/>
      <c r="BA94" s="41">
        <f>+AR94+AS94+AU94+AW94+AY94+AZ94</f>
        <v>65</v>
      </c>
      <c r="BB94" s="37"/>
      <c r="BC94" s="515"/>
      <c r="BD94" s="515"/>
      <c r="BE94" s="37"/>
      <c r="BF94" s="515">
        <v>1</v>
      </c>
    </row>
    <row r="95" spans="1:58" ht="12.95" customHeight="1">
      <c r="A95" s="44"/>
      <c r="B95" s="3"/>
      <c r="C95" s="459"/>
      <c r="D95" s="45"/>
      <c r="E95" s="46"/>
      <c r="F95" s="46"/>
      <c r="G95" s="47"/>
      <c r="H95" s="48"/>
      <c r="I95" s="49"/>
      <c r="J95" s="86"/>
      <c r="K95" s="86"/>
      <c r="L95" s="39"/>
      <c r="M95" s="39"/>
      <c r="N95" s="50"/>
      <c r="O95" s="51"/>
      <c r="P95" s="52"/>
      <c r="Q95" s="38"/>
      <c r="R95" s="512"/>
      <c r="S95" s="512"/>
      <c r="T95" s="41"/>
      <c r="U95" s="41"/>
      <c r="V95" s="41"/>
      <c r="W95" s="41"/>
      <c r="X95" s="42"/>
      <c r="Y95" s="42"/>
      <c r="Z95" s="599"/>
      <c r="AA95" s="53"/>
      <c r="AB95" s="53"/>
      <c r="AC95" s="41"/>
      <c r="AD95" s="41"/>
      <c r="AE95" s="24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  <c r="BB95" s="37"/>
      <c r="BC95" s="55"/>
      <c r="BD95" s="515"/>
      <c r="BE95" s="37"/>
      <c r="BF95" s="515"/>
    </row>
    <row r="96" spans="1:58" ht="12.95" customHeight="1">
      <c r="A96" s="44">
        <v>46010</v>
      </c>
      <c r="B96" s="45" t="s">
        <v>8</v>
      </c>
      <c r="C96" s="459">
        <f>(M96*E96*O96*Q96)/100000000</f>
        <v>0.60521317500000005</v>
      </c>
      <c r="D96" s="45" t="s">
        <v>488</v>
      </c>
      <c r="E96" s="46">
        <v>17.5</v>
      </c>
      <c r="F96" s="46">
        <v>1</v>
      </c>
      <c r="G96" s="47">
        <v>830</v>
      </c>
      <c r="H96" s="48">
        <v>0.14000000000000001</v>
      </c>
      <c r="I96" s="49">
        <v>0.88</v>
      </c>
      <c r="J96" s="86">
        <f>E96*G96*(1-H96)*1440/1000000*3.4</f>
        <v>61.158384000000005</v>
      </c>
      <c r="K96" s="86">
        <f>(IF(G96&lt;L96,L96,G96)*(1-IF(H96&lt;N96,H96,N96))*E96*O96*Q96)/100000000</f>
        <v>0.60521317500000005</v>
      </c>
      <c r="L96" s="39">
        <v>830</v>
      </c>
      <c r="M96" s="39">
        <f>+L96-L96*0.14</f>
        <v>713.8</v>
      </c>
      <c r="N96" s="50">
        <f>1-(M96/L96)</f>
        <v>0.14000000000000001</v>
      </c>
      <c r="O96" s="51">
        <f>+'Trim Rwd'!H61</f>
        <v>323</v>
      </c>
      <c r="P96" s="52">
        <f>O96*(Q96-R96-S96)</f>
        <v>4845</v>
      </c>
      <c r="Q96" s="51">
        <v>15</v>
      </c>
      <c r="R96" s="512">
        <v>0</v>
      </c>
      <c r="S96" s="512">
        <v>0</v>
      </c>
      <c r="T96" s="41">
        <f>E96*M96*O96*Q96/100000000</f>
        <v>0.60521317500000005</v>
      </c>
      <c r="U96" s="41">
        <f>E96*M96*O96*(Q96-R96-S96)/100000000</f>
        <v>0.60521317500000005</v>
      </c>
      <c r="V96" s="41">
        <f>E96*G96*(1-N96)*O96/100*(R96+S96)/1000000</f>
        <v>0</v>
      </c>
      <c r="W96" s="41">
        <f>+'19'!K16/1000</f>
        <v>5.0810000000000004</v>
      </c>
      <c r="X96" s="513">
        <f>SUM(W96:W99)/SUM(K96:K99)</f>
        <v>0.97205498475353191</v>
      </c>
      <c r="Y96" s="214">
        <v>0</v>
      </c>
      <c r="Z96" s="599">
        <v>0</v>
      </c>
      <c r="AA96" s="53">
        <f>SUM(U96:U99)-SUM(W96:W99)-SUM(Z96:Z99)-SUM(Y96:Y99)</f>
        <v>0.73707385710528683</v>
      </c>
      <c r="AB96" s="53">
        <f>(SUM(K96:K99)-SUM(W96:W99)-SUM(Y96:Y99)-SUM(Z96:Z99)-SUM(AC96:AC99)-SUM(V96:V99))-AA96</f>
        <v>7.1565397894736371E-2</v>
      </c>
      <c r="AC96" s="41">
        <f>K96-T96</f>
        <v>0</v>
      </c>
      <c r="AD96" s="41">
        <f>+AM96+BA96</f>
        <v>0</v>
      </c>
      <c r="AE96" s="232" t="s">
        <v>395</v>
      </c>
      <c r="AF96" s="41">
        <v>0</v>
      </c>
      <c r="AG96" s="41"/>
      <c r="AH96" s="41"/>
      <c r="AI96" s="514"/>
      <c r="AJ96" s="41"/>
      <c r="AK96" s="41"/>
      <c r="AL96" s="41"/>
      <c r="AM96" s="41">
        <f>SUM(AF96:AL96)+AT96+AV96+AX96</f>
        <v>0</v>
      </c>
      <c r="AN96" s="41"/>
      <c r="AO96" s="41"/>
      <c r="AP96" s="41"/>
      <c r="AQ96" s="41"/>
      <c r="AR96" s="41">
        <f>SUM(AN96:AQ96)</f>
        <v>0</v>
      </c>
      <c r="AS96" s="41"/>
      <c r="AT96" s="41"/>
      <c r="AU96" s="41"/>
      <c r="AV96" s="41"/>
      <c r="AW96" s="41"/>
      <c r="AX96" s="41"/>
      <c r="AY96" s="41"/>
      <c r="AZ96" s="41"/>
      <c r="BA96" s="41">
        <f>+AR96+AS96+AU96+AW96+AY96+AZ96</f>
        <v>0</v>
      </c>
      <c r="BB96" s="37">
        <v>0</v>
      </c>
      <c r="BC96" s="55"/>
      <c r="BD96" s="55"/>
      <c r="BE96" s="37"/>
      <c r="BF96" s="55"/>
    </row>
    <row r="97" spans="1:58" ht="12.95" customHeight="1">
      <c r="A97" s="44"/>
      <c r="B97" s="45" t="s">
        <v>8</v>
      </c>
      <c r="C97" s="459">
        <f>(M97*E97*O97*Q97)/100000000</f>
        <v>69.238572480000016</v>
      </c>
      <c r="D97" s="45" t="s">
        <v>488</v>
      </c>
      <c r="E97" s="46">
        <v>22</v>
      </c>
      <c r="F97" s="46">
        <v>1</v>
      </c>
      <c r="G97" s="47">
        <v>760</v>
      </c>
      <c r="H97" s="48">
        <v>0.14000000000000001</v>
      </c>
      <c r="I97" s="49">
        <v>0.88</v>
      </c>
      <c r="J97" s="86">
        <f>E97*G97*(1-H97)*1440/1000000*3.4</f>
        <v>70.400563199999993</v>
      </c>
      <c r="K97" s="86">
        <f>(IF(G97&lt;L97,L97,G97)*(1-IF(H97&lt;N97,H97,N97))*E97*O97*Q97)/100000000</f>
        <v>69.238572480000016</v>
      </c>
      <c r="L97" s="39">
        <v>807.57894736842104</v>
      </c>
      <c r="M97" s="39">
        <v>694.51789473684209</v>
      </c>
      <c r="N97" s="50">
        <f>1-(M97/L97)</f>
        <v>0.14000000000000001</v>
      </c>
      <c r="O97" s="51">
        <f>+'Trim Rwd'!H62</f>
        <v>318</v>
      </c>
      <c r="P97" s="52">
        <f>O97*(Q97-R97-S97)</f>
        <v>445200</v>
      </c>
      <c r="Q97" s="51">
        <v>1425</v>
      </c>
      <c r="R97" s="512">
        <v>0</v>
      </c>
      <c r="S97" s="512">
        <v>25</v>
      </c>
      <c r="T97" s="41">
        <f>E97*M97*O97*Q97/100000000</f>
        <v>69.238572480000016</v>
      </c>
      <c r="U97" s="41">
        <f>E97*M97*O97*(Q97-R97-S97)/100000000</f>
        <v>68.02386068210528</v>
      </c>
      <c r="V97" s="41">
        <f>E97*G97*(1-N97)*O97/100*(R97+S97)/1000000</f>
        <v>1.1431464</v>
      </c>
      <c r="W97" s="41">
        <f>+'19'!K17/1000</f>
        <v>62.811</v>
      </c>
      <c r="X97" s="42"/>
      <c r="Y97" s="214"/>
      <c r="Z97" s="599">
        <v>0</v>
      </c>
      <c r="AA97" s="41"/>
      <c r="AB97" s="41"/>
      <c r="AC97" s="41">
        <f>K97-T97</f>
        <v>0</v>
      </c>
      <c r="AD97" s="41">
        <f>+AM97+BA97</f>
        <v>9</v>
      </c>
      <c r="AE97" s="232" t="s">
        <v>454</v>
      </c>
      <c r="AF97" s="41"/>
      <c r="AG97" s="41">
        <v>9</v>
      </c>
      <c r="AH97" s="41"/>
      <c r="AI97" s="514"/>
      <c r="AJ97" s="41"/>
      <c r="AK97" s="41"/>
      <c r="AL97" s="41"/>
      <c r="AM97" s="41">
        <f>SUM(AF97:AL97)+AT97+AV97+AX97</f>
        <v>9</v>
      </c>
      <c r="AN97" s="87"/>
      <c r="AO97" s="41"/>
      <c r="AP97" s="41"/>
      <c r="AQ97" s="41"/>
      <c r="AR97" s="41">
        <f>SUM(AN97:AQ97)</f>
        <v>0</v>
      </c>
      <c r="AS97" s="41"/>
      <c r="AT97" s="41"/>
      <c r="AU97" s="41"/>
      <c r="AV97" s="41"/>
      <c r="AW97" s="41"/>
      <c r="AX97" s="41"/>
      <c r="AY97" s="41"/>
      <c r="AZ97" s="41"/>
      <c r="BA97" s="41">
        <f>+AR97+AS97+AU97+AW97+AY97+AZ97</f>
        <v>0</v>
      </c>
      <c r="BB97" s="54"/>
      <c r="BC97" s="55">
        <v>2</v>
      </c>
      <c r="BD97" s="55"/>
      <c r="BE97" s="54"/>
      <c r="BF97" s="55"/>
    </row>
    <row r="98" spans="1:58" ht="12.95" customHeight="1">
      <c r="A98" s="44"/>
      <c r="B98" s="45"/>
      <c r="C98" s="459"/>
      <c r="D98" s="45"/>
      <c r="E98" s="46"/>
      <c r="F98" s="46"/>
      <c r="G98" s="47"/>
      <c r="H98" s="48"/>
      <c r="I98" s="49"/>
      <c r="J98" s="86"/>
      <c r="K98" s="86"/>
      <c r="L98" s="39"/>
      <c r="M98" s="39"/>
      <c r="N98" s="50"/>
      <c r="O98" s="51"/>
      <c r="P98" s="52"/>
      <c r="Q98" s="51"/>
      <c r="R98" s="512"/>
      <c r="S98" s="512"/>
      <c r="T98" s="41"/>
      <c r="U98" s="41"/>
      <c r="V98" s="41"/>
      <c r="W98" s="41"/>
      <c r="X98" s="42"/>
      <c r="Y98" s="214"/>
      <c r="Z98" s="599"/>
      <c r="AA98" s="41"/>
      <c r="AB98" s="41"/>
      <c r="AC98" s="41"/>
      <c r="AD98" s="41">
        <f>+AM98+BA98</f>
        <v>11</v>
      </c>
      <c r="AE98" s="232" t="s">
        <v>226</v>
      </c>
      <c r="AF98" s="37"/>
      <c r="AG98" s="37"/>
      <c r="AH98" s="37">
        <v>11</v>
      </c>
      <c r="AJ98" s="41"/>
      <c r="AK98" s="41"/>
      <c r="AL98" s="41"/>
      <c r="AM98" s="41">
        <f>SUM(AF98:AL98)+AT98+AV98+AX98</f>
        <v>11</v>
      </c>
      <c r="AN98" s="41"/>
      <c r="AO98" s="41"/>
      <c r="AP98" s="41"/>
      <c r="AQ98" s="41"/>
      <c r="AR98" s="41">
        <f>SUM(AN98:AQ98)</f>
        <v>0</v>
      </c>
      <c r="AS98" s="41"/>
      <c r="AT98" s="41"/>
      <c r="AU98" s="41"/>
      <c r="AV98" s="41"/>
      <c r="AW98" s="41"/>
      <c r="AX98" s="41"/>
      <c r="AY98" s="41"/>
      <c r="AZ98" s="41"/>
      <c r="BA98" s="41">
        <f>+AR98+AS98+AU98+AW98+AY98+AZ98</f>
        <v>0</v>
      </c>
      <c r="BB98" s="37"/>
      <c r="BC98" s="515"/>
      <c r="BD98" s="515"/>
      <c r="BE98" s="37"/>
      <c r="BF98" s="515"/>
    </row>
    <row r="99" spans="1:58" ht="12.95" customHeight="1">
      <c r="A99" s="44"/>
      <c r="B99" s="45"/>
      <c r="C99" s="459"/>
      <c r="D99" s="45"/>
      <c r="E99" s="46"/>
      <c r="F99" s="46"/>
      <c r="G99" s="47"/>
      <c r="H99" s="48"/>
      <c r="I99" s="49"/>
      <c r="J99" s="86"/>
      <c r="K99" s="86"/>
      <c r="L99" s="39"/>
      <c r="M99" s="39"/>
      <c r="N99" s="50"/>
      <c r="O99" s="51"/>
      <c r="P99" s="52"/>
      <c r="Q99" s="51"/>
      <c r="R99" s="512"/>
      <c r="S99" s="512"/>
      <c r="T99" s="41"/>
      <c r="U99" s="41"/>
      <c r="V99" s="41"/>
      <c r="W99" s="41"/>
      <c r="X99" s="42"/>
      <c r="Y99" s="214"/>
      <c r="Z99" s="599"/>
      <c r="AA99" s="41"/>
      <c r="AB99" s="41"/>
      <c r="AC99" s="41"/>
      <c r="AD99" s="41">
        <f>+AM99+BA99</f>
        <v>5</v>
      </c>
      <c r="AE99" s="235" t="s">
        <v>531</v>
      </c>
      <c r="AF99" s="41"/>
      <c r="AG99" s="41"/>
      <c r="AH99" s="41"/>
      <c r="AI99" s="514">
        <v>5</v>
      </c>
      <c r="AJ99" s="41"/>
      <c r="AK99" s="41"/>
      <c r="AL99" s="41"/>
      <c r="AM99" s="41">
        <f>SUM(AF99:AL99)+AT99+AV99+AX99</f>
        <v>5</v>
      </c>
      <c r="AN99" s="41"/>
      <c r="AO99" s="41"/>
      <c r="AP99" s="41"/>
      <c r="AQ99" s="41"/>
      <c r="AR99" s="41">
        <f>SUM(AN99:AQ99)</f>
        <v>0</v>
      </c>
      <c r="AS99" s="41"/>
      <c r="AT99" s="41"/>
      <c r="AU99" s="41"/>
      <c r="AV99" s="41"/>
      <c r="AW99" s="41"/>
      <c r="AX99" s="41"/>
      <c r="AY99" s="41"/>
      <c r="AZ99" s="41"/>
      <c r="BA99" s="41">
        <f>+AR99+AS99+AU99+AW99+AY99+AZ99</f>
        <v>0</v>
      </c>
      <c r="BB99" s="37"/>
      <c r="BC99" s="515"/>
      <c r="BD99" s="515"/>
      <c r="BE99" s="37"/>
      <c r="BF99" s="515"/>
    </row>
    <row r="100" spans="1:58" ht="12.95" customHeight="1">
      <c r="A100" s="44"/>
      <c r="B100" s="45"/>
      <c r="C100" s="459"/>
      <c r="D100" s="45"/>
      <c r="E100" s="46"/>
      <c r="F100" s="46"/>
      <c r="G100" s="47"/>
      <c r="H100" s="48"/>
      <c r="I100" s="49"/>
      <c r="J100" s="86"/>
      <c r="K100" s="86"/>
      <c r="L100" s="39"/>
      <c r="M100" s="39"/>
      <c r="N100" s="50"/>
      <c r="O100" s="51"/>
      <c r="P100" s="52"/>
      <c r="Q100" s="51"/>
      <c r="R100" s="512"/>
      <c r="S100" s="512"/>
      <c r="T100" s="41"/>
      <c r="U100" s="41"/>
      <c r="V100" s="41"/>
      <c r="W100" s="41"/>
      <c r="X100" s="42"/>
      <c r="Y100" s="214"/>
      <c r="Z100" s="599"/>
      <c r="AA100" s="41"/>
      <c r="AB100" s="41"/>
      <c r="AC100" s="41"/>
      <c r="AD100" s="41"/>
      <c r="AE100" s="232"/>
      <c r="AF100" s="37"/>
      <c r="AG100" s="37"/>
      <c r="AH100" s="37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37"/>
      <c r="BC100" s="515"/>
      <c r="BD100" s="55"/>
      <c r="BE100" s="55"/>
      <c r="BF100" s="55"/>
    </row>
    <row r="101" spans="1:58" ht="12.95" customHeight="1">
      <c r="A101" s="44">
        <v>46011</v>
      </c>
      <c r="B101" s="45" t="s">
        <v>8</v>
      </c>
      <c r="C101" s="459">
        <f>(M101*E101*O101*Q101)/100000000</f>
        <v>33.139212480000005</v>
      </c>
      <c r="D101" s="45" t="s">
        <v>488</v>
      </c>
      <c r="E101" s="46">
        <v>22</v>
      </c>
      <c r="F101" s="46">
        <v>1</v>
      </c>
      <c r="G101" s="47">
        <v>760</v>
      </c>
      <c r="H101" s="48">
        <v>0.14000000000000001</v>
      </c>
      <c r="I101" s="49">
        <v>0.88</v>
      </c>
      <c r="J101" s="86">
        <f>E101*G101*(1-H101)*1440/1000000*3.4</f>
        <v>70.400563199999993</v>
      </c>
      <c r="K101" s="86">
        <f>(IF(G101&lt;L101,L101,G101)*(1-IF(H101&lt;N101,H101,N101))*E101*O101*Q101)/100000000</f>
        <v>33.139212480000005</v>
      </c>
      <c r="L101" s="39">
        <v>810</v>
      </c>
      <c r="M101" s="39">
        <f>+L101-L101*0.14</f>
        <v>696.6</v>
      </c>
      <c r="N101" s="50">
        <f>1-(M101/L101)</f>
        <v>0.14000000000000001</v>
      </c>
      <c r="O101" s="51">
        <f>+'Trim Rwd'!H64</f>
        <v>318</v>
      </c>
      <c r="P101" s="52">
        <f>O101*(Q101-R101-S101)</f>
        <v>213378</v>
      </c>
      <c r="Q101" s="51">
        <v>680</v>
      </c>
      <c r="R101" s="512">
        <v>0</v>
      </c>
      <c r="S101" s="512">
        <v>9</v>
      </c>
      <c r="T101" s="41">
        <f>E101*M101*O101*Q101/100000000</f>
        <v>33.139212480000005</v>
      </c>
      <c r="U101" s="41">
        <f>E101*M101*O101*(Q101-R101-S101)/100000000</f>
        <v>32.700605256000003</v>
      </c>
      <c r="V101" s="41">
        <f>E101*G101*(1-N101)*O101/100*(R101+S101)/1000000</f>
        <v>0.41153270400000003</v>
      </c>
      <c r="W101" s="41">
        <f>+'20'!K17/1000</f>
        <v>37.39</v>
      </c>
      <c r="X101" s="513">
        <f>SUM(W101:W104)/SUM(K101:K104)</f>
        <v>0.96876695342168484</v>
      </c>
      <c r="Y101" s="214">
        <v>0</v>
      </c>
      <c r="Z101" s="599">
        <v>0</v>
      </c>
      <c r="AA101" s="53">
        <f>SUM(U101:U104)-SUM(W101:W104)-SUM(Z101:Z104)-SUM(Y101:Y104)</f>
        <v>1.2551077560000152</v>
      </c>
      <c r="AB101" s="53">
        <f>(SUM(K101:K104)-SUM(W101:W104)-SUM(Y101:Y104)-SUM(Z101:Z104)-SUM(AC101:AC104)-SUM(V101:V104))-AA101</f>
        <v>5.3228339999990215E-2</v>
      </c>
      <c r="AC101" s="41">
        <f>K101-T101</f>
        <v>0</v>
      </c>
      <c r="AD101" s="41">
        <f>+AM101+BA101</f>
        <v>0</v>
      </c>
      <c r="AE101" s="232" t="s">
        <v>395</v>
      </c>
      <c r="AF101" s="41">
        <v>0</v>
      </c>
      <c r="AG101" s="41"/>
      <c r="AH101" s="41"/>
      <c r="AI101" s="514"/>
      <c r="AJ101" s="41"/>
      <c r="AK101" s="41"/>
      <c r="AL101" s="41"/>
      <c r="AM101" s="41">
        <f>SUM(AF101:AL101)+AT101+AV101+AX101</f>
        <v>0</v>
      </c>
      <c r="AN101" s="41"/>
      <c r="AO101" s="41"/>
      <c r="AP101" s="41"/>
      <c r="AQ101" s="41"/>
      <c r="AR101" s="41">
        <f>SUM(AN101:AQ101)</f>
        <v>0</v>
      </c>
      <c r="AS101" s="41"/>
      <c r="AT101" s="41"/>
      <c r="AU101" s="41"/>
      <c r="AV101" s="41"/>
      <c r="AW101" s="41"/>
      <c r="AX101" s="41"/>
      <c r="AY101" s="41"/>
      <c r="AZ101" s="41"/>
      <c r="BA101" s="41">
        <f>+AR101+AS101+AU101+AW101+AY101+AZ101</f>
        <v>0</v>
      </c>
      <c r="BB101" s="37">
        <v>0</v>
      </c>
      <c r="BC101" s="55"/>
      <c r="BD101" s="55"/>
      <c r="BE101" s="37"/>
      <c r="BF101" s="55"/>
    </row>
    <row r="102" spans="1:58" ht="12.95" customHeight="1">
      <c r="A102" s="44"/>
      <c r="B102" s="45" t="s">
        <v>8</v>
      </c>
      <c r="C102" s="459">
        <f>(M102*E102*O102*Q102)/100000000</f>
        <v>36.440989199999997</v>
      </c>
      <c r="D102" s="45" t="s">
        <v>488</v>
      </c>
      <c r="E102" s="46">
        <v>31.5</v>
      </c>
      <c r="F102" s="46">
        <v>1</v>
      </c>
      <c r="G102" s="47">
        <v>520</v>
      </c>
      <c r="H102" s="48">
        <v>0.12</v>
      </c>
      <c r="I102" s="49">
        <v>0.88</v>
      </c>
      <c r="J102" s="86">
        <f>E102*G102*(1-H102)*1440/1000000*3.4</f>
        <v>70.572902400000004</v>
      </c>
      <c r="K102" s="86">
        <f>(IF(G102&lt;L102,L102,G102)*(1-IF(H102&lt;N102,H102,N102))*E102*O102*Q102)/100000000</f>
        <v>36.440989199999997</v>
      </c>
      <c r="L102" s="39">
        <v>550</v>
      </c>
      <c r="M102" s="39">
        <f>+L102-L102*0.12</f>
        <v>484</v>
      </c>
      <c r="N102" s="50">
        <f>1-(M102/L102)</f>
        <v>0.12</v>
      </c>
      <c r="O102" s="51">
        <f>+'Trim Rwd'!H65</f>
        <v>314.5</v>
      </c>
      <c r="P102" s="52">
        <f>O102*(Q102-R102-S102)</f>
        <v>235875</v>
      </c>
      <c r="Q102" s="51">
        <v>760</v>
      </c>
      <c r="R102" s="512">
        <v>0</v>
      </c>
      <c r="S102" s="512">
        <v>10</v>
      </c>
      <c r="T102" s="41">
        <f>E102*M102*O102*Q102/100000000</f>
        <v>36.440989199999997</v>
      </c>
      <c r="U102" s="41">
        <f>E102*M102*O102*(Q102-R102-S102)/100000000</f>
        <v>35.961502500000002</v>
      </c>
      <c r="V102" s="41">
        <f>E102*G102*(1-N102)*O102/100*(R102+S102)/1000000</f>
        <v>0.45333287999999999</v>
      </c>
      <c r="W102" s="41">
        <f>+'20'!K18/1000</f>
        <v>30.016999999999999</v>
      </c>
      <c r="X102" s="42"/>
      <c r="Y102" s="214"/>
      <c r="Z102" s="599">
        <v>0</v>
      </c>
      <c r="AA102" s="41"/>
      <c r="AB102" s="41"/>
      <c r="AC102" s="41">
        <f>K102-T102</f>
        <v>0</v>
      </c>
      <c r="AD102" s="41">
        <f>+AM102+BA102</f>
        <v>7</v>
      </c>
      <c r="AE102" s="232" t="s">
        <v>394</v>
      </c>
      <c r="AF102" s="41"/>
      <c r="AG102" s="41">
        <v>7</v>
      </c>
      <c r="AH102" s="41"/>
      <c r="AI102" s="514"/>
      <c r="AJ102" s="41"/>
      <c r="AK102" s="41"/>
      <c r="AL102" s="41"/>
      <c r="AM102" s="41">
        <f>SUM(AF102:AL102)+AT102+AV102+AX102</f>
        <v>7</v>
      </c>
      <c r="AN102" s="87"/>
      <c r="AO102" s="41"/>
      <c r="AP102" s="41"/>
      <c r="AQ102" s="41"/>
      <c r="AR102" s="41">
        <f>SUM(AN102:AQ102)</f>
        <v>0</v>
      </c>
      <c r="AS102" s="41"/>
      <c r="AT102" s="41"/>
      <c r="AU102" s="41"/>
      <c r="AV102" s="41"/>
      <c r="AW102" s="41"/>
      <c r="AX102" s="41"/>
      <c r="AY102" s="41"/>
      <c r="AZ102" s="41"/>
      <c r="BA102" s="41">
        <f>+AR102+AS102+AU102+AW102+AY102+AZ102</f>
        <v>0</v>
      </c>
      <c r="BB102" s="54"/>
      <c r="BC102" s="55">
        <v>3</v>
      </c>
      <c r="BD102" s="55"/>
      <c r="BE102" s="54"/>
      <c r="BF102" s="55"/>
    </row>
    <row r="103" spans="1:58" ht="12.95" customHeight="1">
      <c r="A103" s="44"/>
      <c r="B103" s="45"/>
      <c r="C103" s="459"/>
      <c r="D103" s="45"/>
      <c r="E103" s="46"/>
      <c r="F103" s="46"/>
      <c r="G103" s="47"/>
      <c r="H103" s="48"/>
      <c r="I103" s="49"/>
      <c r="J103" s="86"/>
      <c r="K103" s="86"/>
      <c r="L103" s="39"/>
      <c r="M103" s="39"/>
      <c r="N103" s="50"/>
      <c r="O103" s="51"/>
      <c r="P103" s="52"/>
      <c r="Q103" s="51"/>
      <c r="R103" s="512"/>
      <c r="S103" s="512"/>
      <c r="T103" s="41"/>
      <c r="U103" s="41"/>
      <c r="V103" s="41"/>
      <c r="W103" s="41"/>
      <c r="X103" s="42"/>
      <c r="Y103" s="214"/>
      <c r="Z103" s="599"/>
      <c r="AA103" s="41"/>
      <c r="AB103" s="41"/>
      <c r="AC103" s="41"/>
      <c r="AD103" s="41">
        <f>+AM103+BA103</f>
        <v>7</v>
      </c>
      <c r="AE103" s="232" t="s">
        <v>226</v>
      </c>
      <c r="AF103" s="37"/>
      <c r="AG103" s="37"/>
      <c r="AH103" s="37">
        <v>7</v>
      </c>
      <c r="AJ103" s="41"/>
      <c r="AK103" s="41"/>
      <c r="AL103" s="41"/>
      <c r="AM103" s="41">
        <f>SUM(AF103:AL103)+AT103+AV103+AX103</f>
        <v>7</v>
      </c>
      <c r="AN103" s="41"/>
      <c r="AO103" s="41"/>
      <c r="AP103" s="41"/>
      <c r="AQ103" s="41"/>
      <c r="AR103" s="41">
        <f>SUM(AN103:AQ103)</f>
        <v>0</v>
      </c>
      <c r="AS103" s="41"/>
      <c r="AT103" s="41"/>
      <c r="AU103" s="41"/>
      <c r="AV103" s="41"/>
      <c r="AW103" s="41"/>
      <c r="AX103" s="41"/>
      <c r="AY103" s="41"/>
      <c r="AZ103" s="41"/>
      <c r="BA103" s="41">
        <f>+AR103+AS103+AU103+AW103+AY103+AZ103</f>
        <v>0</v>
      </c>
      <c r="BB103" s="37"/>
      <c r="BC103" s="515"/>
      <c r="BD103" s="515"/>
      <c r="BE103" s="37"/>
      <c r="BF103" s="515"/>
    </row>
    <row r="104" spans="1:58" ht="12.95" customHeight="1">
      <c r="A104" s="44"/>
      <c r="B104" s="45"/>
      <c r="C104" s="459"/>
      <c r="D104" s="45"/>
      <c r="E104" s="46"/>
      <c r="F104" s="46"/>
      <c r="G104" s="47"/>
      <c r="H104" s="48"/>
      <c r="I104" s="49"/>
      <c r="J104" s="86"/>
      <c r="K104" s="86"/>
      <c r="L104" s="39"/>
      <c r="M104" s="39"/>
      <c r="N104" s="50"/>
      <c r="O104" s="51"/>
      <c r="P104" s="52"/>
      <c r="Q104" s="51"/>
      <c r="R104" s="512"/>
      <c r="S104" s="512"/>
      <c r="T104" s="41"/>
      <c r="U104" s="41"/>
      <c r="V104" s="41"/>
      <c r="W104" s="41"/>
      <c r="X104" s="42"/>
      <c r="Y104" s="214"/>
      <c r="Z104" s="599"/>
      <c r="AA104" s="41"/>
      <c r="AB104" s="41"/>
      <c r="AC104" s="41"/>
      <c r="AD104" s="41">
        <f>+AM104+BA104</f>
        <v>5</v>
      </c>
      <c r="AE104" s="235" t="s">
        <v>531</v>
      </c>
      <c r="AF104" s="41"/>
      <c r="AG104" s="41"/>
      <c r="AH104" s="41"/>
      <c r="AI104" s="514">
        <v>5</v>
      </c>
      <c r="AJ104" s="41"/>
      <c r="AK104" s="41"/>
      <c r="AL104" s="41"/>
      <c r="AM104" s="41">
        <f>SUM(AF104:AL104)+AT104+AV104+AX104</f>
        <v>5</v>
      </c>
      <c r="AN104" s="41"/>
      <c r="AO104" s="41"/>
      <c r="AP104" s="41"/>
      <c r="AQ104" s="41"/>
      <c r="AR104" s="41">
        <f>SUM(AN104:AQ104)</f>
        <v>0</v>
      </c>
      <c r="AS104" s="41"/>
      <c r="AT104" s="41"/>
      <c r="AU104" s="41"/>
      <c r="AV104" s="41"/>
      <c r="AW104" s="41"/>
      <c r="AX104" s="41"/>
      <c r="AY104" s="41"/>
      <c r="AZ104" s="41"/>
      <c r="BA104" s="41">
        <f>+AR104+AS104+AU104+AW104+AY104+AZ104</f>
        <v>0</v>
      </c>
      <c r="BB104" s="37"/>
      <c r="BC104" s="515"/>
      <c r="BD104" s="515"/>
      <c r="BE104" s="37"/>
      <c r="BF104" s="515"/>
    </row>
    <row r="105" spans="1:58" ht="12.95" customHeight="1">
      <c r="A105" s="44"/>
      <c r="B105" s="45"/>
      <c r="C105" s="459"/>
      <c r="D105" s="45"/>
      <c r="E105" s="46"/>
      <c r="F105" s="46"/>
      <c r="G105" s="47"/>
      <c r="H105" s="48"/>
      <c r="I105" s="49"/>
      <c r="J105" s="86"/>
      <c r="K105" s="86"/>
      <c r="L105" s="39"/>
      <c r="M105" s="39"/>
      <c r="N105" s="50"/>
      <c r="O105" s="51"/>
      <c r="P105" s="52"/>
      <c r="Q105" s="51"/>
      <c r="R105" s="512"/>
      <c r="S105" s="512"/>
      <c r="T105" s="41"/>
      <c r="U105" s="41"/>
      <c r="V105" s="41"/>
      <c r="W105" s="41"/>
      <c r="X105" s="42"/>
      <c r="Y105" s="214"/>
      <c r="Z105" s="599"/>
      <c r="AA105" s="41"/>
      <c r="AB105" s="41"/>
      <c r="AC105" s="41"/>
      <c r="AD105" s="41"/>
      <c r="AE105" s="232"/>
      <c r="AF105" s="37"/>
      <c r="AG105" s="37"/>
      <c r="AH105" s="37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37"/>
      <c r="BC105" s="515"/>
      <c r="BD105" s="55"/>
      <c r="BE105" s="55"/>
      <c r="BF105" s="55"/>
    </row>
    <row r="106" spans="1:58" ht="12.95" customHeight="1">
      <c r="A106" s="44">
        <v>46012</v>
      </c>
      <c r="B106" s="45" t="s">
        <v>8</v>
      </c>
      <c r="C106" s="459">
        <f>(M106*E106*O106*Q106)/100000000</f>
        <v>71.149700159999995</v>
      </c>
      <c r="D106" s="45" t="s">
        <v>488</v>
      </c>
      <c r="E106" s="46">
        <v>31.5</v>
      </c>
      <c r="F106" s="46">
        <v>1</v>
      </c>
      <c r="G106" s="511">
        <v>520</v>
      </c>
      <c r="H106" s="48">
        <v>0.12</v>
      </c>
      <c r="I106" s="49">
        <v>0.88</v>
      </c>
      <c r="J106" s="86">
        <f>E106*G106*(1-H106)*1440/1000000*3.4</f>
        <v>70.572902400000004</v>
      </c>
      <c r="K106" s="86">
        <f>(IF(G106&lt;L106,L106,G106)*(1-IF(H106&lt;N106,H106,N106))*E106*O106*Q106)/100000000</f>
        <v>71.149700159999995</v>
      </c>
      <c r="L106" s="39">
        <v>550</v>
      </c>
      <c r="M106" s="39">
        <f>+L106-L106*0.12</f>
        <v>484</v>
      </c>
      <c r="N106" s="50">
        <f>1-(M106/L106)</f>
        <v>0.12</v>
      </c>
      <c r="O106" s="51">
        <f>+'Trim Rwd'!H67</f>
        <v>324.08181818181816</v>
      </c>
      <c r="P106" s="52">
        <f>O106*(Q106-R106-S106)</f>
        <v>454686.79090909089</v>
      </c>
      <c r="Q106" s="51">
        <v>1440</v>
      </c>
      <c r="R106" s="512">
        <v>0</v>
      </c>
      <c r="S106" s="512">
        <v>37</v>
      </c>
      <c r="T106" s="41">
        <f>E106*M106*O106*Q106/100000000</f>
        <v>71.149700159999995</v>
      </c>
      <c r="U106" s="41">
        <f>E106*M106*O106*(Q106-R106-S106)/100000000</f>
        <v>69.321548141999983</v>
      </c>
      <c r="V106" s="41">
        <f>E106*G106*(1-N106)*O106/100*(R106+S106)/1000000</f>
        <v>1.7284346352</v>
      </c>
      <c r="W106" s="41">
        <f>+'21'!K34/1000</f>
        <v>67.566999999999993</v>
      </c>
      <c r="X106" s="42">
        <f>SUM(W106:W109)/SUM(K106:K109)</f>
        <v>0.94964560424087108</v>
      </c>
      <c r="Y106" s="214">
        <v>0</v>
      </c>
      <c r="Z106" s="599">
        <f>+'21'!D34/1000</f>
        <v>1.45</v>
      </c>
      <c r="AA106" s="41">
        <f>SUM(U106:U109)-SUM(W106:W109)-SUM(Z106:Z109)-SUM(Y106:Y109)</f>
        <v>0.30454814199999025</v>
      </c>
      <c r="AB106" s="41">
        <f>(SUM(K106:K109)-SUM(W106:W109)-SUM(Y106:Y109)-SUM(Z106:Z109)-SUM(AC106:AC109)-SUM(V106:V109))-AA106</f>
        <v>9.9717382800011301E-2</v>
      </c>
      <c r="AC106" s="41">
        <f>K106-T106</f>
        <v>0</v>
      </c>
      <c r="AD106" s="41">
        <f>+AM106+BA106</f>
        <v>4</v>
      </c>
      <c r="AE106" s="232" t="s">
        <v>392</v>
      </c>
      <c r="AF106" s="37">
        <v>4</v>
      </c>
      <c r="AG106" s="37"/>
      <c r="AH106" s="37"/>
      <c r="AJ106" s="41"/>
      <c r="AK106" s="41"/>
      <c r="AL106" s="41"/>
      <c r="AM106" s="41">
        <f>SUM(AF106:AL106)+AT106+AV106+AX106</f>
        <v>4</v>
      </c>
      <c r="AN106" s="41"/>
      <c r="AO106" s="41"/>
      <c r="AP106" s="41"/>
      <c r="AQ106" s="41"/>
      <c r="AR106" s="41">
        <f>SUM(AN106:AQ106)</f>
        <v>0</v>
      </c>
      <c r="AS106" s="41"/>
      <c r="AT106" s="41"/>
      <c r="AU106" s="41"/>
      <c r="AV106" s="41"/>
      <c r="AW106" s="41"/>
      <c r="AX106" s="41"/>
      <c r="AY106" s="41"/>
      <c r="AZ106" s="41"/>
      <c r="BA106" s="41">
        <f>+AR106+AS106+AU106+AW106+AY106+AZ106</f>
        <v>0</v>
      </c>
      <c r="BB106" s="37">
        <v>1</v>
      </c>
      <c r="BC106" s="515"/>
      <c r="BD106" s="55"/>
      <c r="BE106" s="55"/>
      <c r="BF106" s="55"/>
    </row>
    <row r="107" spans="1:58" ht="12.95" customHeight="1">
      <c r="A107" s="44"/>
      <c r="B107" s="45"/>
      <c r="C107" s="459"/>
      <c r="D107" s="45"/>
      <c r="E107" s="46"/>
      <c r="F107" s="46"/>
      <c r="G107" s="47"/>
      <c r="H107" s="48"/>
      <c r="I107" s="49"/>
      <c r="J107" s="86"/>
      <c r="K107" s="86"/>
      <c r="L107" s="39"/>
      <c r="M107" s="39"/>
      <c r="N107" s="50"/>
      <c r="O107" s="51"/>
      <c r="P107" s="52"/>
      <c r="Q107" s="51"/>
      <c r="R107" s="512"/>
      <c r="S107" s="512"/>
      <c r="T107" s="41"/>
      <c r="U107" s="41"/>
      <c r="V107" s="41"/>
      <c r="W107" s="41"/>
      <c r="X107" s="42"/>
      <c r="Y107" s="214"/>
      <c r="Z107" s="599"/>
      <c r="AA107" s="41"/>
      <c r="AB107" s="41"/>
      <c r="AC107" s="41"/>
      <c r="AD107" s="41">
        <f>+AM107+BA107</f>
        <v>20</v>
      </c>
      <c r="AE107" s="232" t="s">
        <v>489</v>
      </c>
      <c r="AF107" s="41"/>
      <c r="AG107" s="41">
        <v>20</v>
      </c>
      <c r="AH107" s="41"/>
      <c r="AI107" s="41"/>
      <c r="AJ107" s="41"/>
      <c r="AK107" s="41"/>
      <c r="AL107" s="41"/>
      <c r="AM107" s="41">
        <f>SUM(AF107:AL107)+AT107+AV107+AX107</f>
        <v>20</v>
      </c>
      <c r="AN107" s="41"/>
      <c r="AO107" s="41"/>
      <c r="AP107" s="41"/>
      <c r="AQ107" s="41"/>
      <c r="AR107" s="41">
        <f>SUM(AN107:AQ107)</f>
        <v>0</v>
      </c>
      <c r="AS107" s="41"/>
      <c r="AT107" s="41"/>
      <c r="AU107" s="41"/>
      <c r="AV107" s="41"/>
      <c r="AW107" s="41"/>
      <c r="AX107" s="41"/>
      <c r="AY107" s="41"/>
      <c r="AZ107" s="41"/>
      <c r="BA107" s="41">
        <f>+AR107+AS107+AU107+AW107+AY107+AZ107</f>
        <v>0</v>
      </c>
      <c r="BB107" s="37"/>
      <c r="BC107" s="55">
        <v>4</v>
      </c>
      <c r="BD107" s="55"/>
      <c r="BE107" s="55"/>
      <c r="BF107" s="55"/>
    </row>
    <row r="108" spans="1:58" ht="12.95" customHeight="1">
      <c r="A108" s="44"/>
      <c r="B108" s="45"/>
      <c r="C108" s="459"/>
      <c r="D108" s="45"/>
      <c r="E108" s="46"/>
      <c r="F108" s="46"/>
      <c r="G108" s="511"/>
      <c r="H108" s="48"/>
      <c r="I108" s="49"/>
      <c r="J108" s="86"/>
      <c r="K108" s="86"/>
      <c r="L108" s="39"/>
      <c r="M108" s="39"/>
      <c r="N108" s="50"/>
      <c r="O108" s="51"/>
      <c r="P108" s="52"/>
      <c r="Q108" s="51"/>
      <c r="R108" s="512"/>
      <c r="S108" s="512"/>
      <c r="T108" s="41"/>
      <c r="U108" s="41"/>
      <c r="V108" s="41"/>
      <c r="W108" s="41"/>
      <c r="X108" s="513"/>
      <c r="Y108" s="214"/>
      <c r="Z108" s="599"/>
      <c r="AA108" s="53"/>
      <c r="AB108" s="53"/>
      <c r="AC108" s="41"/>
      <c r="AD108" s="41">
        <f>+AM108+BA108</f>
        <v>13</v>
      </c>
      <c r="AE108" s="232" t="s">
        <v>226</v>
      </c>
      <c r="AF108" s="41"/>
      <c r="AG108" s="41"/>
      <c r="AH108" s="41">
        <v>13</v>
      </c>
      <c r="AI108" s="514"/>
      <c r="AJ108" s="41"/>
      <c r="AK108" s="41"/>
      <c r="AL108" s="41"/>
      <c r="AM108" s="41">
        <f>SUM(AF108:AL108)+AT108+AV108+AX108</f>
        <v>13</v>
      </c>
      <c r="AN108" s="41"/>
      <c r="AO108" s="41"/>
      <c r="AP108" s="41"/>
      <c r="AQ108" s="41"/>
      <c r="AR108" s="41">
        <f>SUM(AN108:AQ108)</f>
        <v>0</v>
      </c>
      <c r="AS108" s="41"/>
      <c r="AT108" s="41"/>
      <c r="AU108" s="41"/>
      <c r="AV108" s="41"/>
      <c r="AW108" s="41"/>
      <c r="AX108" s="41"/>
      <c r="AY108" s="41"/>
      <c r="AZ108" s="41"/>
      <c r="BA108" s="41">
        <f>+AR108+AS108+AU108+AW108+AY108+AZ108</f>
        <v>0</v>
      </c>
      <c r="BB108" s="37"/>
      <c r="BC108" s="55"/>
      <c r="BD108" s="55"/>
      <c r="BE108" s="55"/>
      <c r="BF108" s="55"/>
    </row>
    <row r="109" spans="1:58" ht="12.95" customHeight="1">
      <c r="A109" s="44"/>
      <c r="B109" s="45"/>
      <c r="C109" s="459"/>
      <c r="D109" s="45"/>
      <c r="E109" s="46"/>
      <c r="F109" s="46"/>
      <c r="G109" s="511"/>
      <c r="H109" s="48"/>
      <c r="I109" s="49"/>
      <c r="J109" s="86"/>
      <c r="K109" s="86"/>
      <c r="L109" s="39"/>
      <c r="M109" s="39"/>
      <c r="N109" s="50"/>
      <c r="O109" s="51"/>
      <c r="P109" s="52"/>
      <c r="Q109" s="51"/>
      <c r="R109" s="512"/>
      <c r="S109" s="512"/>
      <c r="T109" s="41"/>
      <c r="U109" s="41"/>
      <c r="V109" s="41"/>
      <c r="W109" s="41"/>
      <c r="X109" s="42"/>
      <c r="Y109" s="214"/>
      <c r="Z109" s="599"/>
      <c r="AA109" s="41"/>
      <c r="AB109" s="41"/>
      <c r="AC109" s="41"/>
      <c r="AD109" s="41"/>
      <c r="AE109" s="232"/>
      <c r="AF109" s="41"/>
      <c r="AG109" s="41"/>
      <c r="AH109" s="41"/>
      <c r="AI109" s="514"/>
      <c r="AJ109" s="41"/>
      <c r="AK109" s="41"/>
      <c r="AL109" s="41"/>
      <c r="AM109" s="41"/>
      <c r="AN109" s="87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A109" s="41"/>
      <c r="BB109" s="54"/>
      <c r="BC109" s="55"/>
      <c r="BD109" s="55"/>
      <c r="BE109" s="55"/>
      <c r="BF109" s="55"/>
    </row>
    <row r="110" spans="1:58" ht="12.95" customHeight="1">
      <c r="A110" s="44">
        <v>46013</v>
      </c>
      <c r="B110" s="45" t="s">
        <v>8</v>
      </c>
      <c r="C110" s="459">
        <f>(M110*E110*O110*Q110)/100000000</f>
        <v>10.069220700000001</v>
      </c>
      <c r="D110" s="45" t="s">
        <v>488</v>
      </c>
      <c r="E110" s="46">
        <v>31.5</v>
      </c>
      <c r="F110" s="46">
        <v>1</v>
      </c>
      <c r="G110" s="511">
        <v>520</v>
      </c>
      <c r="H110" s="48">
        <v>0.12</v>
      </c>
      <c r="I110" s="49">
        <v>0.88</v>
      </c>
      <c r="J110" s="86">
        <f>E110*G110*(1-H110)*1440/1000000*3.4</f>
        <v>70.572902400000004</v>
      </c>
      <c r="K110" s="86">
        <f>(IF(G110&lt;L110,L110,G110)*(1-IF(H110&lt;N110,H110,N110))*E110*O110*Q110)/100000000</f>
        <v>10.069220700000001</v>
      </c>
      <c r="L110" s="39">
        <v>550</v>
      </c>
      <c r="M110" s="39">
        <f>+L110-L110*0.12</f>
        <v>484</v>
      </c>
      <c r="N110" s="50">
        <f>1-(M110/L110)</f>
        <v>0.12</v>
      </c>
      <c r="O110" s="51">
        <f>+'Trim Rwd'!H70</f>
        <v>314.5</v>
      </c>
      <c r="P110" s="52">
        <f>O110*(Q110-R110-S110)</f>
        <v>64787</v>
      </c>
      <c r="Q110" s="51">
        <v>210</v>
      </c>
      <c r="R110" s="512">
        <v>0</v>
      </c>
      <c r="S110" s="512">
        <v>4</v>
      </c>
      <c r="T110" s="41">
        <f>E110*M110*O110*Q110/100000000</f>
        <v>10.069220700000001</v>
      </c>
      <c r="U110" s="41">
        <f>E110*M110*O110*(Q110-R110-S110)/100000000</f>
        <v>9.8774260199999997</v>
      </c>
      <c r="V110" s="41">
        <f>E110*G110*(1-N110)*O110/100*(R110+S110)/1000000</f>
        <v>0.181333152</v>
      </c>
      <c r="W110" s="41">
        <f>+'22'!K18/1000</f>
        <v>10.815</v>
      </c>
      <c r="X110" s="42">
        <f>SUM(W110:W113)/SUM(K110:K113)</f>
        <v>0.96153220552770924</v>
      </c>
      <c r="Y110" s="214">
        <v>0</v>
      </c>
      <c r="Z110" s="599">
        <f>+'22'!D7/1000</f>
        <v>0.6</v>
      </c>
      <c r="AA110" s="41">
        <f>SUM(U110:U113)-SUM(W110:W113)-SUM(Z110:Z113)-SUM(Y110:Y113)</f>
        <v>1.491909500000014</v>
      </c>
      <c r="AB110" s="41">
        <f>(SUM(K110:K113)-SUM(W110:W113)-SUM(Y110:Y113)-SUM(Z110:Z113)-SUM(AC110:AC113)-SUM(V110:V113))-AA110</f>
        <v>7.7298363999979802E-2</v>
      </c>
      <c r="AC110" s="41">
        <f>K110-T110</f>
        <v>0</v>
      </c>
      <c r="AD110" s="41">
        <f>+AM110+BA110</f>
        <v>0</v>
      </c>
      <c r="AE110" s="232" t="s">
        <v>395</v>
      </c>
      <c r="AF110" s="37">
        <v>0</v>
      </c>
      <c r="AG110" s="37"/>
      <c r="AH110" s="37"/>
      <c r="AJ110" s="41"/>
      <c r="AK110" s="41"/>
      <c r="AL110" s="41"/>
      <c r="AM110" s="41">
        <f>SUM(AF110:AL110)+AT110+AV110+AX110</f>
        <v>0</v>
      </c>
      <c r="AN110" s="41"/>
      <c r="AO110" s="41"/>
      <c r="AP110" s="41"/>
      <c r="AQ110" s="41"/>
      <c r="AR110" s="41">
        <f>SUM(AN110:AQ110)</f>
        <v>0</v>
      </c>
      <c r="AS110" s="41"/>
      <c r="AT110" s="41"/>
      <c r="AU110" s="41"/>
      <c r="AV110" s="41"/>
      <c r="AW110" s="41"/>
      <c r="AX110" s="41"/>
      <c r="AY110" s="41"/>
      <c r="AZ110" s="41"/>
      <c r="BA110" s="41">
        <f>+AR110+AS110+AU110+AW110+AY110+AZ110</f>
        <v>0</v>
      </c>
      <c r="BB110" s="37">
        <v>0</v>
      </c>
      <c r="BC110" s="515"/>
      <c r="BD110" s="55"/>
      <c r="BE110" s="55"/>
      <c r="BF110" s="55"/>
    </row>
    <row r="111" spans="1:58" ht="12.95" customHeight="1">
      <c r="A111" s="44"/>
      <c r="B111" s="45" t="s">
        <v>8</v>
      </c>
      <c r="C111" s="459">
        <f>(M111*E111*O111*Q111)/100000000</f>
        <v>9.6521215999999992</v>
      </c>
      <c r="D111" s="45" t="s">
        <v>488</v>
      </c>
      <c r="E111" s="46">
        <v>32</v>
      </c>
      <c r="F111" s="46">
        <v>1</v>
      </c>
      <c r="G111" s="511">
        <v>510</v>
      </c>
      <c r="H111" s="48">
        <v>0.12</v>
      </c>
      <c r="I111" s="49">
        <v>0.88</v>
      </c>
      <c r="J111" s="86">
        <f>E111*G111*(1-H111)*1440/1000000*3.4</f>
        <v>70.314393599999988</v>
      </c>
      <c r="K111" s="86">
        <f>(IF(G111&lt;L111,L111,G111)*(1-IF(H111&lt;N111,H111,N111))*E111*O111*Q111)/100000000</f>
        <v>9.6521215999999992</v>
      </c>
      <c r="L111" s="39">
        <v>550</v>
      </c>
      <c r="M111" s="39">
        <f>+L111-L111*0.12</f>
        <v>484</v>
      </c>
      <c r="N111" s="50">
        <f>1-(M111/L111)</f>
        <v>0.12</v>
      </c>
      <c r="O111" s="51">
        <f>+'Trim Rwd'!H71</f>
        <v>328</v>
      </c>
      <c r="P111" s="52">
        <f>O111*(Q111-R111-S111)</f>
        <v>61008</v>
      </c>
      <c r="Q111" s="51">
        <v>190</v>
      </c>
      <c r="R111" s="512">
        <v>0</v>
      </c>
      <c r="S111" s="512">
        <v>4</v>
      </c>
      <c r="T111" s="41">
        <f>E111*M111*O111*Q111/100000000</f>
        <v>9.6521215999999992</v>
      </c>
      <c r="U111" s="41">
        <f>E111*M111*O111*(Q111-R111-S111)/100000000</f>
        <v>9.4489190399999998</v>
      </c>
      <c r="V111" s="41">
        <f>E111*G111*(1-N111)*O111/100*(R111+S111)/1000000</f>
        <v>0.18842419199999999</v>
      </c>
      <c r="W111" s="41">
        <f>+'22'!K19/1000</f>
        <v>12.436999999999999</v>
      </c>
      <c r="X111" s="42"/>
      <c r="Y111" s="214"/>
      <c r="Z111" s="599"/>
      <c r="AA111" s="41"/>
      <c r="AB111" s="41"/>
      <c r="AC111" s="41">
        <f>K111-T111</f>
        <v>0</v>
      </c>
      <c r="AD111" s="41">
        <f>+AM111+BA111</f>
        <v>2</v>
      </c>
      <c r="AE111" s="232" t="s">
        <v>393</v>
      </c>
      <c r="AF111" s="41"/>
      <c r="AG111" s="41">
        <v>2</v>
      </c>
      <c r="AH111" s="41"/>
      <c r="AI111" s="41"/>
      <c r="AJ111" s="41"/>
      <c r="AK111" s="41"/>
      <c r="AL111" s="41"/>
      <c r="AM111" s="41">
        <f>SUM(AF111:AL111)+AT111+AV111+AX111</f>
        <v>2</v>
      </c>
      <c r="AN111" s="41"/>
      <c r="AO111" s="41"/>
      <c r="AP111" s="41"/>
      <c r="AQ111" s="41"/>
      <c r="AR111" s="41">
        <f>SUM(AN111:AQ111)</f>
        <v>0</v>
      </c>
      <c r="AS111" s="41"/>
      <c r="AT111" s="41"/>
      <c r="AU111" s="41"/>
      <c r="AV111" s="41"/>
      <c r="AW111" s="41"/>
      <c r="AX111" s="41"/>
      <c r="AY111" s="41"/>
      <c r="AZ111" s="41"/>
      <c r="BA111" s="41">
        <f>+AR111+AS111+AU111+AW111+AY111+AZ111</f>
        <v>0</v>
      </c>
      <c r="BB111" s="37"/>
      <c r="BC111" s="55">
        <v>1</v>
      </c>
      <c r="BD111" s="55"/>
      <c r="BE111" s="55"/>
      <c r="BF111" s="55"/>
    </row>
    <row r="112" spans="1:58" ht="12.95" customHeight="1">
      <c r="A112" s="44"/>
      <c r="B112" s="45" t="s">
        <v>8</v>
      </c>
      <c r="C112" s="459">
        <f>(M112*E112*O112*Q112)/100000000</f>
        <v>10.328317999999999</v>
      </c>
      <c r="D112" s="45" t="s">
        <v>488</v>
      </c>
      <c r="E112" s="46">
        <v>33.5</v>
      </c>
      <c r="F112" s="46">
        <v>1</v>
      </c>
      <c r="G112" s="511">
        <v>485</v>
      </c>
      <c r="H112" s="48">
        <v>0.12</v>
      </c>
      <c r="I112" s="49">
        <v>0.88</v>
      </c>
      <c r="J112" s="86">
        <f>E112*G112*(1-H112)*1440/1000000*3.4</f>
        <v>70.002028800000005</v>
      </c>
      <c r="K112" s="86">
        <f>(IF(G112&lt;L112,L112,G112)*(1-IF(H112&lt;N112,H112,N112))*E112*O112*Q112)/100000000</f>
        <v>10.328317999999999</v>
      </c>
      <c r="L112" s="39">
        <v>550</v>
      </c>
      <c r="M112" s="39">
        <f>+L112-L112*0.12</f>
        <v>484</v>
      </c>
      <c r="N112" s="50">
        <f>1-(M112/L112)</f>
        <v>0.12</v>
      </c>
      <c r="O112" s="51">
        <f>+'Trim Rwd'!H72</f>
        <v>318.5</v>
      </c>
      <c r="P112" s="52">
        <f>O112*(Q112-R112-S112)</f>
        <v>62426</v>
      </c>
      <c r="Q112" s="51">
        <v>200</v>
      </c>
      <c r="R112" s="512">
        <v>0</v>
      </c>
      <c r="S112" s="512">
        <v>4</v>
      </c>
      <c r="T112" s="41">
        <f>E112*M112*O112*Q112/100000000</f>
        <v>10.328317999999999</v>
      </c>
      <c r="U112" s="41">
        <f>E112*M112*O112*(Q112-R112-S112)/100000000</f>
        <v>10.121751639999999</v>
      </c>
      <c r="V112" s="41">
        <f>E112*G112*(1-N112)*O112/100*(R112+S112)/1000000</f>
        <v>0.18215397199999997</v>
      </c>
      <c r="W112" s="41">
        <f>+'22'!K20/1000</f>
        <v>9.5449999999999999</v>
      </c>
      <c r="X112" s="513"/>
      <c r="Y112" s="214"/>
      <c r="Z112" s="599"/>
      <c r="AA112" s="53"/>
      <c r="AB112" s="53"/>
      <c r="AC112" s="41">
        <f>K112-T112</f>
        <v>0</v>
      </c>
      <c r="AD112" s="41">
        <f>+AM112+BA112</f>
        <v>9</v>
      </c>
      <c r="AE112" s="232" t="s">
        <v>226</v>
      </c>
      <c r="AF112" s="41"/>
      <c r="AG112" s="41"/>
      <c r="AH112" s="41">
        <v>9</v>
      </c>
      <c r="AI112" s="514"/>
      <c r="AJ112" s="41"/>
      <c r="AK112" s="41"/>
      <c r="AL112" s="41"/>
      <c r="AM112" s="41">
        <f>SUM(AF112:AL112)+AT112+AV112+AX112</f>
        <v>9</v>
      </c>
      <c r="AN112" s="41"/>
      <c r="AO112" s="41"/>
      <c r="AP112" s="41"/>
      <c r="AQ112" s="41"/>
      <c r="AR112" s="41">
        <f>SUM(AN112:AQ112)</f>
        <v>0</v>
      </c>
      <c r="AS112" s="41"/>
      <c r="AT112" s="41"/>
      <c r="AU112" s="41"/>
      <c r="AV112" s="41"/>
      <c r="AW112" s="41"/>
      <c r="AX112" s="41"/>
      <c r="AY112" s="41"/>
      <c r="AZ112" s="41"/>
      <c r="BA112" s="41">
        <f>+AR112+AS112+AU112+AW112+AY112+AZ112</f>
        <v>0</v>
      </c>
      <c r="BB112" s="37"/>
      <c r="BC112" s="55"/>
      <c r="BD112" s="55"/>
      <c r="BE112" s="55"/>
      <c r="BF112" s="55"/>
    </row>
    <row r="113" spans="1:58" ht="12.95" customHeight="1">
      <c r="A113" s="44"/>
      <c r="B113" s="45" t="s">
        <v>8</v>
      </c>
      <c r="C113" s="459">
        <f>(M113*E113*O113*Q113)/100000000</f>
        <v>45.616031999999997</v>
      </c>
      <c r="D113" s="45" t="s">
        <v>488</v>
      </c>
      <c r="E113" s="46">
        <v>34</v>
      </c>
      <c r="F113" s="46">
        <v>1</v>
      </c>
      <c r="G113" s="511">
        <v>480</v>
      </c>
      <c r="H113" s="48">
        <v>0.12</v>
      </c>
      <c r="I113" s="49">
        <v>0.88</v>
      </c>
      <c r="J113" s="86">
        <f>E113*G113*(1-H113)*1440/1000000*3.4</f>
        <v>70.314393599999988</v>
      </c>
      <c r="K113" s="86">
        <f>(IF(G113&lt;L113,L113,G113)*(1-IF(H113&lt;N113,H113,N113))*E113*O113*Q113)/100000000</f>
        <v>45.616031999999997</v>
      </c>
      <c r="L113" s="39">
        <v>550</v>
      </c>
      <c r="M113" s="39">
        <f>+L113-L113*0.12</f>
        <v>484</v>
      </c>
      <c r="N113" s="50">
        <f>1-(M113/L113)</f>
        <v>0.12</v>
      </c>
      <c r="O113" s="51">
        <f>+'Trim Rwd'!H73</f>
        <v>330</v>
      </c>
      <c r="P113" s="52">
        <f>O113*(Q113-R113-S113)</f>
        <v>275880</v>
      </c>
      <c r="Q113" s="51">
        <v>840</v>
      </c>
      <c r="R113" s="512">
        <v>0</v>
      </c>
      <c r="S113" s="512">
        <v>4</v>
      </c>
      <c r="T113" s="41">
        <f>E113*M113*O113*Q113/100000000</f>
        <v>45.616031999999997</v>
      </c>
      <c r="U113" s="41">
        <f>E113*M113*O113*(Q113-R113-S113)/100000000</f>
        <v>45.398812800000002</v>
      </c>
      <c r="V113" s="41">
        <f>E113*G113*(1-N113)*O113/100*(R113+S113)/1000000</f>
        <v>0.18957311999999998</v>
      </c>
      <c r="W113" s="41">
        <f>+'22'!K21/1000</f>
        <v>39.957999999999998</v>
      </c>
      <c r="X113" s="42"/>
      <c r="Y113" s="214"/>
      <c r="Z113" s="599"/>
      <c r="AA113" s="41"/>
      <c r="AB113" s="41"/>
      <c r="AC113" s="41">
        <f>K113-T113</f>
        <v>0</v>
      </c>
      <c r="AD113" s="41">
        <f>+AM113+BA113</f>
        <v>5</v>
      </c>
      <c r="AE113" s="235" t="s">
        <v>531</v>
      </c>
      <c r="AF113" s="41"/>
      <c r="AG113" s="41"/>
      <c r="AH113" s="41"/>
      <c r="AI113" s="514">
        <v>5</v>
      </c>
      <c r="AJ113" s="41"/>
      <c r="AK113" s="41"/>
      <c r="AL113" s="41"/>
      <c r="AM113" s="41">
        <f>SUM(AF113:AL113)+AT113+AV113+AX113</f>
        <v>5</v>
      </c>
      <c r="AN113" s="41"/>
      <c r="AO113" s="41"/>
      <c r="AP113" s="41"/>
      <c r="AQ113" s="41"/>
      <c r="AR113" s="41">
        <f>SUM(AN113:AQ113)</f>
        <v>0</v>
      </c>
      <c r="AS113" s="41"/>
      <c r="AT113" s="41"/>
      <c r="AU113" s="41"/>
      <c r="AV113" s="41"/>
      <c r="AW113" s="41"/>
      <c r="AX113" s="41"/>
      <c r="AY113" s="41"/>
      <c r="AZ113" s="41"/>
      <c r="BA113" s="41">
        <f>+AR113+AS113+AU113+AW113+AY113+AZ113</f>
        <v>0</v>
      </c>
      <c r="BB113" s="37"/>
      <c r="BC113" s="515"/>
      <c r="BD113" s="515"/>
      <c r="BE113" s="37"/>
      <c r="BF113" s="515"/>
    </row>
    <row r="114" spans="1:58" ht="12.95" customHeight="1">
      <c r="A114" s="44"/>
      <c r="B114" s="45"/>
      <c r="C114" s="459"/>
      <c r="D114" s="45"/>
      <c r="E114" s="46"/>
      <c r="F114" s="46"/>
      <c r="G114" s="511"/>
      <c r="H114" s="48"/>
      <c r="I114" s="49"/>
      <c r="J114" s="86"/>
      <c r="K114" s="86"/>
      <c r="L114" s="39"/>
      <c r="M114" s="39"/>
      <c r="N114" s="50"/>
      <c r="O114" s="51"/>
      <c r="P114" s="52"/>
      <c r="Q114" s="51"/>
      <c r="R114" s="512"/>
      <c r="S114" s="512"/>
      <c r="T114" s="41"/>
      <c r="U114" s="41"/>
      <c r="V114" s="41"/>
      <c r="W114" s="41"/>
      <c r="X114" s="42"/>
      <c r="Y114" s="214"/>
      <c r="Z114" s="599"/>
      <c r="AA114" s="41"/>
      <c r="AB114" s="41"/>
      <c r="AC114" s="41"/>
      <c r="AD114" s="41"/>
      <c r="AE114" s="232"/>
      <c r="AF114" s="41"/>
      <c r="AG114" s="41"/>
      <c r="AH114" s="41"/>
      <c r="AI114" s="514"/>
      <c r="AJ114" s="41"/>
      <c r="AK114" s="41"/>
      <c r="AL114" s="41"/>
      <c r="AM114" s="41"/>
      <c r="AN114" s="87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54"/>
      <c r="BC114" s="55"/>
      <c r="BD114" s="55"/>
      <c r="BE114" s="55"/>
      <c r="BF114" s="55"/>
    </row>
    <row r="115" spans="1:58" ht="12.95" customHeight="1">
      <c r="A115" s="44">
        <v>46014</v>
      </c>
      <c r="B115" s="45" t="s">
        <v>8</v>
      </c>
      <c r="C115" s="459">
        <f>(M115*E115*O115*Q115)/100000000</f>
        <v>78.11824258723405</v>
      </c>
      <c r="D115" s="45" t="s">
        <v>488</v>
      </c>
      <c r="E115" s="46">
        <v>34</v>
      </c>
      <c r="F115" s="46">
        <v>1</v>
      </c>
      <c r="G115" s="511">
        <v>480</v>
      </c>
      <c r="H115" s="48">
        <v>0.12</v>
      </c>
      <c r="I115" s="49">
        <v>0.88</v>
      </c>
      <c r="J115" s="86">
        <f>E115*G115*(1-H115)*1440/1000000*3.4</f>
        <v>70.314393599999988</v>
      </c>
      <c r="K115" s="86">
        <f>(IF(G115&lt;L115,L115,G115)*(1-IF(H115&lt;N115,H115,N115))*E115*O115*Q115)/100000000</f>
        <v>78.11824258723405</v>
      </c>
      <c r="L115" s="39">
        <v>550</v>
      </c>
      <c r="M115" s="39">
        <f>+L115-L115*0.12</f>
        <v>484</v>
      </c>
      <c r="N115" s="50">
        <f>1-(M115/L115)</f>
        <v>0.12</v>
      </c>
      <c r="O115" s="51">
        <f>+'Trim Rwd'!H75</f>
        <v>329.65957446808511</v>
      </c>
      <c r="P115" s="52">
        <f>O115*(Q115-R115-S115)</f>
        <v>468446.25531914894</v>
      </c>
      <c r="Q115" s="51">
        <v>1440</v>
      </c>
      <c r="R115" s="512">
        <v>0</v>
      </c>
      <c r="S115" s="512">
        <v>19</v>
      </c>
      <c r="T115" s="41">
        <f>E115*M115*O115*Q115/100000000</f>
        <v>78.11824258723405</v>
      </c>
      <c r="U115" s="41">
        <f>E115*M115*O115*(Q115-R115-S115)/100000000</f>
        <v>77.087515775319162</v>
      </c>
      <c r="V115" s="41">
        <f>E115*G115*(1-N115)*O115/100*(R115+S115)/1000000</f>
        <v>0.89954339948936179</v>
      </c>
      <c r="W115" s="41">
        <f>+'23'!K21/1000</f>
        <v>75.751999999999995</v>
      </c>
      <c r="X115" s="42">
        <f>SUM(W115:W118)/SUM(K115:K118)</f>
        <v>0.96970947490796799</v>
      </c>
      <c r="Y115" s="214">
        <v>0</v>
      </c>
      <c r="Z115" s="599">
        <f>+'23'!D25/1000</f>
        <v>0.22</v>
      </c>
      <c r="AA115" s="41">
        <f>SUM(U115:U118)-SUM(W115:W118)-SUM(Z115:Z118)-SUM(Y115:Y118)</f>
        <v>1.1155157753191662</v>
      </c>
      <c r="AB115" s="41">
        <f>(SUM(K115:K118)-SUM(W115:W118)-SUM(Y115:Y118)-SUM(Z115:Z118)-SUM(AC115:AC118)-SUM(V115:V118))-AA115</f>
        <v>0.13118341242552667</v>
      </c>
      <c r="AC115" s="41">
        <f>K115-T115</f>
        <v>0</v>
      </c>
      <c r="AD115" s="41">
        <f>+AM115+BA115</f>
        <v>0</v>
      </c>
      <c r="AE115" s="232" t="s">
        <v>395</v>
      </c>
      <c r="AF115" s="37">
        <v>0</v>
      </c>
      <c r="AG115" s="37"/>
      <c r="AH115" s="37"/>
      <c r="AJ115" s="41"/>
      <c r="AK115" s="41"/>
      <c r="AL115" s="41"/>
      <c r="AM115" s="41">
        <f>SUM(AF115:AL115)+AT115+AV115+AX115</f>
        <v>0</v>
      </c>
      <c r="AN115" s="41"/>
      <c r="AO115" s="41"/>
      <c r="AP115" s="41"/>
      <c r="AQ115" s="41"/>
      <c r="AR115" s="41">
        <f>SUM(AN115:AQ115)</f>
        <v>0</v>
      </c>
      <c r="AS115" s="41"/>
      <c r="AT115" s="41"/>
      <c r="AU115" s="41"/>
      <c r="AV115" s="41"/>
      <c r="AW115" s="41"/>
      <c r="AX115" s="41"/>
      <c r="AY115" s="41"/>
      <c r="AZ115" s="41"/>
      <c r="BA115" s="41">
        <f>+AR115+AS115+AU115+AW115+AY115+AZ115</f>
        <v>0</v>
      </c>
      <c r="BB115" s="37">
        <v>1</v>
      </c>
      <c r="BC115" s="515"/>
      <c r="BD115" s="55"/>
      <c r="BE115" s="55"/>
      <c r="BF115" s="55"/>
    </row>
    <row r="116" spans="1:58" ht="12.95" customHeight="1">
      <c r="A116" s="44"/>
      <c r="B116" s="45"/>
      <c r="C116" s="459"/>
      <c r="D116" s="45"/>
      <c r="E116" s="46"/>
      <c r="F116" s="46"/>
      <c r="G116" s="47"/>
      <c r="H116" s="48"/>
      <c r="I116" s="49"/>
      <c r="J116" s="86"/>
      <c r="K116" s="86"/>
      <c r="L116" s="39"/>
      <c r="M116" s="39"/>
      <c r="N116" s="50"/>
      <c r="O116" s="51"/>
      <c r="P116" s="52"/>
      <c r="Q116" s="51"/>
      <c r="R116" s="512"/>
      <c r="S116" s="512"/>
      <c r="T116" s="41"/>
      <c r="U116" s="41"/>
      <c r="V116" s="41"/>
      <c r="W116" s="41"/>
      <c r="X116" s="42"/>
      <c r="Y116" s="214"/>
      <c r="Z116" s="599"/>
      <c r="AA116" s="41"/>
      <c r="AB116" s="41"/>
      <c r="AC116" s="41"/>
      <c r="AD116" s="41">
        <f>+AM116+BA116</f>
        <v>5</v>
      </c>
      <c r="AE116" s="232" t="s">
        <v>393</v>
      </c>
      <c r="AF116" s="41"/>
      <c r="AG116" s="41">
        <v>5</v>
      </c>
      <c r="AH116" s="41"/>
      <c r="AI116" s="41"/>
      <c r="AJ116" s="41"/>
      <c r="AK116" s="41"/>
      <c r="AL116" s="41"/>
      <c r="AM116" s="41">
        <f>SUM(AF116:AL116)+AT116+AV116+AX116</f>
        <v>5</v>
      </c>
      <c r="AN116" s="41"/>
      <c r="AO116" s="41"/>
      <c r="AP116" s="41"/>
      <c r="AQ116" s="41"/>
      <c r="AR116" s="41">
        <f>SUM(AN116:AQ116)</f>
        <v>0</v>
      </c>
      <c r="AS116" s="41"/>
      <c r="AT116" s="41"/>
      <c r="AU116" s="41"/>
      <c r="AV116" s="41"/>
      <c r="AW116" s="41"/>
      <c r="AX116" s="41"/>
      <c r="AY116" s="41"/>
      <c r="AZ116" s="41"/>
      <c r="BA116" s="41">
        <f>+AR116+AS116+AU116+AW116+AY116+AZ116</f>
        <v>0</v>
      </c>
      <c r="BB116" s="37"/>
      <c r="BC116" s="55">
        <v>4</v>
      </c>
      <c r="BD116" s="55"/>
      <c r="BE116" s="55"/>
      <c r="BF116" s="55"/>
    </row>
    <row r="117" spans="1:58" ht="12.95" customHeight="1">
      <c r="A117" s="44"/>
      <c r="B117" s="45"/>
      <c r="C117" s="459"/>
      <c r="D117" s="45"/>
      <c r="E117" s="46"/>
      <c r="F117" s="46"/>
      <c r="G117" s="511"/>
      <c r="H117" s="48"/>
      <c r="I117" s="49"/>
      <c r="J117" s="86"/>
      <c r="K117" s="86"/>
      <c r="L117" s="39"/>
      <c r="M117" s="39"/>
      <c r="N117" s="50"/>
      <c r="O117" s="51"/>
      <c r="P117" s="52"/>
      <c r="Q117" s="51"/>
      <c r="R117" s="512"/>
      <c r="S117" s="512"/>
      <c r="T117" s="41"/>
      <c r="U117" s="41"/>
      <c r="V117" s="41"/>
      <c r="W117" s="41"/>
      <c r="X117" s="513"/>
      <c r="Y117" s="214"/>
      <c r="Z117" s="599"/>
      <c r="AA117" s="53"/>
      <c r="AB117" s="53"/>
      <c r="AC117" s="41"/>
      <c r="AD117" s="41">
        <f>+AM117+BA117</f>
        <v>14</v>
      </c>
      <c r="AE117" s="232" t="s">
        <v>226</v>
      </c>
      <c r="AF117" s="41"/>
      <c r="AG117" s="41"/>
      <c r="AH117" s="41">
        <v>14</v>
      </c>
      <c r="AI117" s="514"/>
      <c r="AJ117" s="41"/>
      <c r="AK117" s="41"/>
      <c r="AL117" s="41"/>
      <c r="AM117" s="41">
        <f>SUM(AF117:AL117)+AT117+AV117+AX117</f>
        <v>14</v>
      </c>
      <c r="AN117" s="41"/>
      <c r="AO117" s="41"/>
      <c r="AP117" s="41"/>
      <c r="AQ117" s="41"/>
      <c r="AR117" s="41">
        <f>SUM(AN117:AQ117)</f>
        <v>0</v>
      </c>
      <c r="AS117" s="41"/>
      <c r="AT117" s="41"/>
      <c r="AU117" s="41"/>
      <c r="AV117" s="41"/>
      <c r="AW117" s="41"/>
      <c r="AX117" s="41"/>
      <c r="AY117" s="41"/>
      <c r="AZ117" s="41"/>
      <c r="BA117" s="41">
        <f>+AR117+AS117+AU117+AW117+AY117+AZ117</f>
        <v>0</v>
      </c>
      <c r="BB117" s="37"/>
      <c r="BC117" s="55"/>
      <c r="BD117" s="55"/>
      <c r="BE117" s="55"/>
      <c r="BF117" s="55"/>
    </row>
    <row r="118" spans="1:58" ht="12.95" customHeight="1">
      <c r="A118" s="44"/>
      <c r="B118" s="45"/>
      <c r="C118" s="459"/>
      <c r="D118" s="45"/>
      <c r="E118" s="46"/>
      <c r="F118" s="46"/>
      <c r="G118" s="511"/>
      <c r="H118" s="48"/>
      <c r="I118" s="49"/>
      <c r="J118" s="86"/>
      <c r="K118" s="86"/>
      <c r="L118" s="39"/>
      <c r="M118" s="39"/>
      <c r="N118" s="50"/>
      <c r="O118" s="51"/>
      <c r="P118" s="52"/>
      <c r="Q118" s="51"/>
      <c r="R118" s="512"/>
      <c r="S118" s="512"/>
      <c r="T118" s="41"/>
      <c r="U118" s="41"/>
      <c r="V118" s="41"/>
      <c r="W118" s="41"/>
      <c r="X118" s="42"/>
      <c r="Y118" s="214"/>
      <c r="Z118" s="599"/>
      <c r="AA118" s="41"/>
      <c r="AB118" s="41"/>
      <c r="AC118" s="41"/>
      <c r="AD118" s="41"/>
      <c r="AE118" s="235"/>
      <c r="AF118" s="41"/>
      <c r="AG118" s="41"/>
      <c r="AH118" s="41"/>
      <c r="AI118" s="514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  <c r="BA118" s="41"/>
      <c r="BB118" s="37"/>
      <c r="BC118" s="515"/>
      <c r="BD118" s="515"/>
      <c r="BE118" s="37"/>
      <c r="BF118" s="515"/>
    </row>
    <row r="119" spans="1:58" ht="12.95" customHeight="1">
      <c r="A119" s="44">
        <v>46015</v>
      </c>
      <c r="B119" s="45" t="s">
        <v>8</v>
      </c>
      <c r="C119" s="459">
        <f>(M119*E119*O119*Q119)/100000000</f>
        <v>32.443004000000002</v>
      </c>
      <c r="D119" s="45" t="s">
        <v>488</v>
      </c>
      <c r="E119" s="46">
        <v>34</v>
      </c>
      <c r="F119" s="46">
        <v>1</v>
      </c>
      <c r="G119" s="511">
        <v>480</v>
      </c>
      <c r="H119" s="48">
        <v>0.12</v>
      </c>
      <c r="I119" s="49">
        <v>0.88</v>
      </c>
      <c r="J119" s="86">
        <f>E119*G119*(1-H119)*1440/1000000*3.4</f>
        <v>70.314393599999988</v>
      </c>
      <c r="K119" s="86">
        <f>(IF(G119&lt;L119,L119,G119)*(1-IF(H119&lt;N119,H119,N119))*E119*O119*Q119)/100000000</f>
        <v>32.443004000000002</v>
      </c>
      <c r="L119" s="39">
        <v>550</v>
      </c>
      <c r="M119" s="39">
        <v>484</v>
      </c>
      <c r="N119" s="50">
        <f>1-(M119/L119)</f>
        <v>0.12</v>
      </c>
      <c r="O119" s="51">
        <f>+'Trim Rwd'!H79</f>
        <v>328.58333333333331</v>
      </c>
      <c r="P119" s="52">
        <f>O119*(Q119-R119-S119)</f>
        <v>194521.33333333331</v>
      </c>
      <c r="Q119" s="51">
        <v>600</v>
      </c>
      <c r="R119" s="512">
        <v>0</v>
      </c>
      <c r="S119" s="512">
        <v>8</v>
      </c>
      <c r="T119" s="41">
        <f>E119*M119*O119*Q119/100000000</f>
        <v>32.443004000000002</v>
      </c>
      <c r="U119" s="41">
        <f>E119*M119*O119*(Q119-R119-S119)/100000000</f>
        <v>32.010430613333327</v>
      </c>
      <c r="V119" s="41">
        <f>E119*G119*(1-N119)*O119/100*(R119+S119)/1000000</f>
        <v>0.37751859199999993</v>
      </c>
      <c r="W119" s="41">
        <f>+'24'!K21/1000</f>
        <v>39.567</v>
      </c>
      <c r="X119" s="42">
        <f>SUM(W119:W122)/SUM(K119:K122)</f>
        <v>0.98974383239487884</v>
      </c>
      <c r="Y119" s="214">
        <v>0</v>
      </c>
      <c r="Z119" s="599">
        <f>+'24'!D7/1000</f>
        <v>0.3</v>
      </c>
      <c r="AA119" s="41">
        <f>SUM(U119:U122)-SUM(W119:W122)-SUM(Z119:Z122)-SUM(Y119:Y122)</f>
        <v>-0.47152449866668461</v>
      </c>
      <c r="AB119" s="41">
        <f>(SUM(K119:K122)-SUM(W119:W122)-SUM(Y119:Y122)-SUM(Z119:Z122)-SUM(AC119:AC122)-SUM(V119:V122))-AA119</f>
        <v>0.12343017866668204</v>
      </c>
      <c r="AC119" s="41">
        <f>K119-T119</f>
        <v>0</v>
      </c>
      <c r="AD119" s="41">
        <f>+AM119+BA119</f>
        <v>2</v>
      </c>
      <c r="AE119" s="232" t="s">
        <v>395</v>
      </c>
      <c r="AF119" s="37">
        <v>2</v>
      </c>
      <c r="AG119" s="37"/>
      <c r="AH119" s="37"/>
      <c r="AJ119" s="41"/>
      <c r="AK119" s="41"/>
      <c r="AL119" s="41"/>
      <c r="AM119" s="41">
        <f>SUM(AF119:AL119)+AT119+AV119+AX119</f>
        <v>2</v>
      </c>
      <c r="AN119" s="41"/>
      <c r="AO119" s="41"/>
      <c r="AP119" s="41"/>
      <c r="AQ119" s="41"/>
      <c r="AR119" s="41">
        <f>SUM(AN119:AQ119)</f>
        <v>0</v>
      </c>
      <c r="AS119" s="41"/>
      <c r="AT119" s="41"/>
      <c r="AU119" s="41"/>
      <c r="AV119" s="41"/>
      <c r="AW119" s="41"/>
      <c r="AX119" s="41"/>
      <c r="AY119" s="41"/>
      <c r="AZ119" s="41"/>
      <c r="BA119" s="41">
        <f>+AR119+AS119+AU119+AW119+AY119+AZ119</f>
        <v>0</v>
      </c>
      <c r="BB119" s="37">
        <v>1</v>
      </c>
      <c r="BC119" s="515"/>
      <c r="BD119" s="55"/>
      <c r="BE119" s="55"/>
      <c r="BF119" s="55"/>
    </row>
    <row r="120" spans="1:58" ht="12.95" customHeight="1">
      <c r="A120" s="44"/>
      <c r="B120" s="45" t="s">
        <v>8</v>
      </c>
      <c r="C120" s="459">
        <f>(M120*E120*O120*Q120)/100000000</f>
        <v>43.486744224000006</v>
      </c>
      <c r="D120" s="45" t="s">
        <v>488</v>
      </c>
      <c r="E120" s="46">
        <v>35.35</v>
      </c>
      <c r="F120" s="46">
        <v>1</v>
      </c>
      <c r="G120" s="511">
        <v>460</v>
      </c>
      <c r="H120" s="48">
        <v>0.12</v>
      </c>
      <c r="I120" s="49">
        <v>0.88</v>
      </c>
      <c r="J120" s="86">
        <f>E120*G120*(1-H120)*1440/1000000*3.4</f>
        <v>70.060193279999993</v>
      </c>
      <c r="K120" s="86">
        <f>(IF(G120&lt;L120,L120,G120)*(1-IF(H120&lt;N120,H120,N120))*E120*O120*Q120)/100000000</f>
        <v>43.486744224000006</v>
      </c>
      <c r="L120" s="39">
        <v>530</v>
      </c>
      <c r="M120" s="39">
        <v>466.4</v>
      </c>
      <c r="N120" s="50">
        <f>1-(M120/L120)</f>
        <v>0.12</v>
      </c>
      <c r="O120" s="51">
        <f>+'Trim Rwd'!H82</f>
        <v>314</v>
      </c>
      <c r="P120" s="52">
        <f>O120*(Q120-R120-S120)</f>
        <v>260620</v>
      </c>
      <c r="Q120" s="51">
        <v>840</v>
      </c>
      <c r="R120" s="512">
        <v>0</v>
      </c>
      <c r="S120" s="512">
        <v>10</v>
      </c>
      <c r="T120" s="41">
        <f>E120*M120*O120*Q120/100000000</f>
        <v>43.486744224000006</v>
      </c>
      <c r="U120" s="41">
        <f>E120*M120*O120*(Q120-R120-S120)/100000000</f>
        <v>42.969044887999999</v>
      </c>
      <c r="V120" s="41">
        <f>E120*G120*(1-N120)*O120/100*(R120+S120)/1000000</f>
        <v>0.44932395200000003</v>
      </c>
      <c r="W120" s="41">
        <f>+'24'!K22/1000</f>
        <v>35.584000000000003</v>
      </c>
      <c r="X120" s="42"/>
      <c r="Y120" s="214"/>
      <c r="Z120" s="599"/>
      <c r="AA120" s="41"/>
      <c r="AB120" s="41"/>
      <c r="AC120" s="41">
        <f>K120-T120</f>
        <v>0</v>
      </c>
      <c r="AD120" s="41">
        <f>+AM120+BA120</f>
        <v>2</v>
      </c>
      <c r="AE120" s="232" t="s">
        <v>393</v>
      </c>
      <c r="AF120" s="41"/>
      <c r="AG120" s="41">
        <v>2</v>
      </c>
      <c r="AH120" s="41"/>
      <c r="AI120" s="41"/>
      <c r="AJ120" s="41"/>
      <c r="AK120" s="41"/>
      <c r="AL120" s="41"/>
      <c r="AM120" s="41">
        <f>SUM(AF120:AL120)+AT120+AV120+AX120</f>
        <v>2</v>
      </c>
      <c r="AN120" s="41"/>
      <c r="AO120" s="41"/>
      <c r="AP120" s="41"/>
      <c r="AQ120" s="41"/>
      <c r="AR120" s="41">
        <f>SUM(AN120:AQ120)</f>
        <v>0</v>
      </c>
      <c r="AS120" s="41"/>
      <c r="AT120" s="41"/>
      <c r="AU120" s="41"/>
      <c r="AV120" s="41"/>
      <c r="AW120" s="41"/>
      <c r="AX120" s="41"/>
      <c r="AY120" s="41"/>
      <c r="AZ120" s="41"/>
      <c r="BA120" s="41">
        <f>+AR120+AS120+AU120+AW120+AY120+AZ120</f>
        <v>0</v>
      </c>
      <c r="BB120" s="37"/>
      <c r="BC120" s="55">
        <v>4</v>
      </c>
      <c r="BD120" s="55"/>
      <c r="BE120" s="55"/>
      <c r="BF120" s="55"/>
    </row>
    <row r="121" spans="1:58" ht="12.95" customHeight="1">
      <c r="A121" s="44"/>
      <c r="B121" s="45"/>
      <c r="C121" s="459"/>
      <c r="D121" s="45"/>
      <c r="E121" s="46"/>
      <c r="F121" s="46"/>
      <c r="G121" s="511"/>
      <c r="H121" s="48"/>
      <c r="I121" s="49"/>
      <c r="J121" s="86"/>
      <c r="K121" s="86"/>
      <c r="L121" s="39"/>
      <c r="M121" s="39"/>
      <c r="N121" s="50"/>
      <c r="O121" s="51"/>
      <c r="P121" s="52"/>
      <c r="Q121" s="51"/>
      <c r="R121" s="512"/>
      <c r="S121" s="512"/>
      <c r="T121" s="41"/>
      <c r="U121" s="41"/>
      <c r="V121" s="41"/>
      <c r="W121" s="41"/>
      <c r="X121" s="513"/>
      <c r="Y121" s="214"/>
      <c r="Z121" s="599"/>
      <c r="AA121" s="53"/>
      <c r="AB121" s="53"/>
      <c r="AC121" s="41"/>
      <c r="AD121" s="41">
        <f>+AM121+BA121</f>
        <v>9</v>
      </c>
      <c r="AE121" s="232" t="s">
        <v>226</v>
      </c>
      <c r="AF121" s="41"/>
      <c r="AG121" s="41"/>
      <c r="AH121" s="41">
        <v>9</v>
      </c>
      <c r="AI121" s="514"/>
      <c r="AJ121" s="41"/>
      <c r="AK121" s="41"/>
      <c r="AL121" s="41"/>
      <c r="AM121" s="41">
        <f>SUM(AF121:AL121)+AT121+AV121+AX121</f>
        <v>9</v>
      </c>
      <c r="AN121" s="41"/>
      <c r="AO121" s="41"/>
      <c r="AP121" s="41"/>
      <c r="AQ121" s="41"/>
      <c r="AR121" s="41">
        <f>SUM(AN121:AQ121)</f>
        <v>0</v>
      </c>
      <c r="AS121" s="41"/>
      <c r="AT121" s="41"/>
      <c r="AU121" s="41"/>
      <c r="AV121" s="41"/>
      <c r="AW121" s="41"/>
      <c r="AX121" s="41"/>
      <c r="AY121" s="41"/>
      <c r="AZ121" s="41"/>
      <c r="BA121" s="41">
        <f>+AR121+AS121+AU121+AW121+AY121+AZ121</f>
        <v>0</v>
      </c>
      <c r="BB121" s="37"/>
      <c r="BC121" s="55"/>
      <c r="BD121" s="55"/>
      <c r="BE121" s="55"/>
      <c r="BF121" s="55"/>
    </row>
    <row r="122" spans="1:58" ht="12.95" customHeight="1">
      <c r="A122" s="44"/>
      <c r="B122" s="45"/>
      <c r="C122" s="459"/>
      <c r="D122" s="45"/>
      <c r="E122" s="46"/>
      <c r="F122" s="46"/>
      <c r="G122" s="511"/>
      <c r="H122" s="48"/>
      <c r="I122" s="49"/>
      <c r="J122" s="86"/>
      <c r="K122" s="86"/>
      <c r="L122" s="39"/>
      <c r="M122" s="39"/>
      <c r="N122" s="50"/>
      <c r="O122" s="51"/>
      <c r="P122" s="52"/>
      <c r="Q122" s="51"/>
      <c r="R122" s="512"/>
      <c r="S122" s="512"/>
      <c r="T122" s="41"/>
      <c r="U122" s="41"/>
      <c r="V122" s="41"/>
      <c r="W122" s="41"/>
      <c r="X122" s="513"/>
      <c r="Y122" s="214"/>
      <c r="Z122" s="599"/>
      <c r="AA122" s="53"/>
      <c r="AB122" s="53"/>
      <c r="AC122" s="41"/>
      <c r="AD122" s="41">
        <f>+AM122+BA122</f>
        <v>5</v>
      </c>
      <c r="AE122" s="232" t="s">
        <v>531</v>
      </c>
      <c r="AF122" s="41"/>
      <c r="AG122" s="41"/>
      <c r="AH122" s="41"/>
      <c r="AI122" s="514">
        <v>5</v>
      </c>
      <c r="AJ122" s="41"/>
      <c r="AK122" s="41"/>
      <c r="AL122" s="41"/>
      <c r="AM122" s="41">
        <f>SUM(AF122:AL122)+AT122+AV122+AX122</f>
        <v>5</v>
      </c>
      <c r="AN122" s="41"/>
      <c r="AO122" s="41"/>
      <c r="AP122" s="41"/>
      <c r="AQ122" s="41"/>
      <c r="AR122" s="41">
        <f>SUM(AN122:AQ122)</f>
        <v>0</v>
      </c>
      <c r="AS122" s="41"/>
      <c r="AT122" s="41"/>
      <c r="AU122" s="41"/>
      <c r="AV122" s="41"/>
      <c r="AW122" s="41"/>
      <c r="AX122" s="41"/>
      <c r="AY122" s="41"/>
      <c r="AZ122" s="41"/>
      <c r="BA122" s="41">
        <f>+AR122+AS122+AU122+AW122+AY122+AZ122</f>
        <v>0</v>
      </c>
      <c r="BB122" s="37"/>
      <c r="BC122" s="55"/>
      <c r="BD122" s="55"/>
      <c r="BE122" s="55"/>
      <c r="BF122" s="55"/>
    </row>
    <row r="123" spans="1:58" ht="12.95" customHeight="1">
      <c r="A123" s="44"/>
      <c r="B123" s="3"/>
      <c r="C123" s="459"/>
      <c r="D123" s="45"/>
      <c r="E123" s="46"/>
      <c r="F123" s="46"/>
      <c r="G123" s="47"/>
      <c r="H123" s="48"/>
      <c r="I123" s="49"/>
      <c r="J123" s="86"/>
      <c r="K123" s="86"/>
      <c r="L123" s="39"/>
      <c r="M123" s="39"/>
      <c r="N123" s="50"/>
      <c r="O123" s="51"/>
      <c r="P123" s="52"/>
      <c r="Q123" s="38"/>
      <c r="R123" s="512"/>
      <c r="S123" s="512"/>
      <c r="T123" s="41"/>
      <c r="U123" s="41"/>
      <c r="V123" s="41"/>
      <c r="W123" s="41"/>
      <c r="X123" s="42"/>
      <c r="Y123" s="42"/>
      <c r="Z123" s="599"/>
      <c r="AA123" s="53"/>
      <c r="AB123" s="53"/>
      <c r="AC123" s="41"/>
      <c r="AD123" s="41"/>
      <c r="AE123" s="235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/>
      <c r="AP123" s="41"/>
      <c r="AQ123" s="41"/>
      <c r="AR123" s="41"/>
      <c r="AS123" s="41"/>
      <c r="AT123" s="41"/>
      <c r="AU123" s="41"/>
      <c r="AV123" s="41"/>
      <c r="AW123" s="41"/>
      <c r="AX123" s="41"/>
      <c r="AY123" s="41"/>
      <c r="AZ123" s="41"/>
      <c r="BA123" s="41"/>
      <c r="BB123" s="37"/>
      <c r="BC123" s="55"/>
      <c r="BD123" s="55"/>
      <c r="BE123" s="55"/>
      <c r="BF123" s="55"/>
    </row>
    <row r="124" spans="1:58" ht="12.95" customHeight="1">
      <c r="A124" s="44">
        <v>46016</v>
      </c>
      <c r="B124" s="45" t="s">
        <v>8</v>
      </c>
      <c r="C124" s="459">
        <f>(M124*E124*O124*Q124)/100000000</f>
        <v>49.910023680000002</v>
      </c>
      <c r="D124" s="45" t="s">
        <v>488</v>
      </c>
      <c r="E124" s="46">
        <v>35.5</v>
      </c>
      <c r="F124" s="46">
        <v>1</v>
      </c>
      <c r="G124" s="511">
        <v>460</v>
      </c>
      <c r="H124" s="48">
        <v>0.12</v>
      </c>
      <c r="I124" s="49">
        <v>0.88</v>
      </c>
      <c r="J124" s="86">
        <f>E124*G124*(1-H124)*1440/1000000*3.4</f>
        <v>70.357478400000005</v>
      </c>
      <c r="K124" s="86">
        <f>(IF(G124&lt;L124,L124,G124)*(1-IF(H124&lt;N124,H124,N124))*E124*O124*Q124)/100000000</f>
        <v>49.910023680000002</v>
      </c>
      <c r="L124" s="39">
        <v>530</v>
      </c>
      <c r="M124" s="39">
        <v>466.4</v>
      </c>
      <c r="N124" s="50">
        <f>1-(M124/L124)</f>
        <v>0.12</v>
      </c>
      <c r="O124" s="51">
        <f>+'Trim Rwd'!H84</f>
        <v>314</v>
      </c>
      <c r="P124" s="52">
        <f>O124*(Q124-R124-S124)</f>
        <v>298300</v>
      </c>
      <c r="Q124" s="51">
        <v>960</v>
      </c>
      <c r="R124" s="512">
        <v>0</v>
      </c>
      <c r="S124" s="512">
        <v>10</v>
      </c>
      <c r="T124" s="41">
        <f>E124*M124*O124*Q124/100000000</f>
        <v>49.910023680000002</v>
      </c>
      <c r="U124" s="41">
        <f>E124*M124*O124*(Q124-R124-S124)/100000000</f>
        <v>49.3901276</v>
      </c>
      <c r="V124" s="41">
        <f>E124*G124*(1-N124)*O124/100*(R124+S124)/1000000</f>
        <v>0.45123055999999995</v>
      </c>
      <c r="W124" s="41">
        <f>+'25'!K22/1000</f>
        <v>62.482999999999997</v>
      </c>
      <c r="X124" s="42">
        <f>SUM(W124:W127)/SUM(K124:K127)</f>
        <v>0.95414717162492968</v>
      </c>
      <c r="Y124" s="214">
        <v>0</v>
      </c>
      <c r="Z124" s="599">
        <v>0</v>
      </c>
      <c r="AA124" s="41">
        <f>SUM(U124:U127)-SUM(W124:W127)-SUM(Z124:Z127)-SUM(Y124:Y127)</f>
        <v>2.6556712800000071</v>
      </c>
      <c r="AB124" s="41">
        <f>(SUM(K124:K127)-SUM(W124:W127)-SUM(Y124:Y127)-SUM(Z124:Z127)-SUM(AC124:AC127)-SUM(V124:V127))-AA124</f>
        <v>0.11571031999999715</v>
      </c>
      <c r="AC124" s="41">
        <f>K124-T124</f>
        <v>0</v>
      </c>
      <c r="AD124" s="41">
        <f>+AM124+BA124</f>
        <v>2</v>
      </c>
      <c r="AE124" s="232" t="s">
        <v>395</v>
      </c>
      <c r="AF124" s="37">
        <v>2</v>
      </c>
      <c r="AG124" s="37"/>
      <c r="AH124" s="37"/>
      <c r="AJ124" s="41"/>
      <c r="AK124" s="41"/>
      <c r="AL124" s="41"/>
      <c r="AM124" s="41">
        <f>SUM(AF124:AL124)+AT124+AV124+AX124</f>
        <v>2</v>
      </c>
      <c r="AN124" s="41"/>
      <c r="AO124" s="41"/>
      <c r="AP124" s="41"/>
      <c r="AQ124" s="41"/>
      <c r="AR124" s="41">
        <f>SUM(AN124:AQ124)</f>
        <v>0</v>
      </c>
      <c r="AS124" s="41"/>
      <c r="AT124" s="41"/>
      <c r="AU124" s="41"/>
      <c r="AV124" s="41"/>
      <c r="AW124" s="41"/>
      <c r="AX124" s="41"/>
      <c r="AY124" s="41"/>
      <c r="AZ124" s="41"/>
      <c r="BA124" s="41">
        <f>+AR124+AS124+AU124+AW124+AY124+AZ124</f>
        <v>0</v>
      </c>
      <c r="BB124" s="37">
        <v>1</v>
      </c>
      <c r="BC124" s="515"/>
      <c r="BD124" s="55"/>
      <c r="BE124" s="55"/>
      <c r="BF124" s="55"/>
    </row>
    <row r="125" spans="1:58" ht="12.95" customHeight="1">
      <c r="A125" s="44"/>
      <c r="B125" s="45" t="s">
        <v>8</v>
      </c>
      <c r="C125" s="459">
        <f>(M125*E125*O125*Q125)/100000000</f>
        <v>26.595993599999996</v>
      </c>
      <c r="D125" s="45" t="s">
        <v>488</v>
      </c>
      <c r="E125" s="46">
        <v>36</v>
      </c>
      <c r="F125" s="46">
        <v>1</v>
      </c>
      <c r="G125" s="511">
        <v>455</v>
      </c>
      <c r="H125" s="48">
        <v>0.12</v>
      </c>
      <c r="I125" s="49">
        <v>0.88</v>
      </c>
      <c r="J125" s="86">
        <f>E125*G125*(1-H125)*1440/1000000*3.4</f>
        <v>70.572902400000004</v>
      </c>
      <c r="K125" s="86">
        <f>(IF(G125&lt;L125,L125,G125)*(1-IF(H125&lt;N125,H125,N125))*E125*O125*Q125)/100000000</f>
        <v>26.595993599999996</v>
      </c>
      <c r="L125" s="39">
        <v>530</v>
      </c>
      <c r="M125" s="39">
        <v>466.4</v>
      </c>
      <c r="N125" s="50">
        <f>1-(M125/L125)</f>
        <v>0.12</v>
      </c>
      <c r="O125" s="51">
        <f>+'Trim Rwd'!H85</f>
        <v>330</v>
      </c>
      <c r="P125" s="52">
        <f>O125*(Q125-R125-S125)</f>
        <v>156420</v>
      </c>
      <c r="Q125" s="51">
        <v>480</v>
      </c>
      <c r="R125" s="512">
        <v>0</v>
      </c>
      <c r="S125" s="512">
        <v>6</v>
      </c>
      <c r="T125" s="41">
        <f>E125*M125*O125*Q125/100000000</f>
        <v>26.595993599999996</v>
      </c>
      <c r="U125" s="41">
        <f>E125*M125*O125*(Q125-R125-S125)/100000000</f>
        <v>26.263543679999994</v>
      </c>
      <c r="V125" s="41">
        <f>E125*G125*(1-N125)*O125/100*(R125+S125)/1000000</f>
        <v>0.28540512000000001</v>
      </c>
      <c r="W125" s="41">
        <f>+'25'!K23/1000</f>
        <v>10.515000000000001</v>
      </c>
      <c r="X125" s="42"/>
      <c r="Y125" s="214"/>
      <c r="Z125" s="599"/>
      <c r="AA125" s="41"/>
      <c r="AB125" s="41"/>
      <c r="AC125" s="41">
        <f>K125-T125</f>
        <v>0</v>
      </c>
      <c r="AD125" s="41">
        <f>+AM125+BA125</f>
        <v>5</v>
      </c>
      <c r="AE125" s="232" t="s">
        <v>393</v>
      </c>
      <c r="AF125" s="41"/>
      <c r="AG125" s="41">
        <v>5</v>
      </c>
      <c r="AH125" s="41"/>
      <c r="AI125" s="41"/>
      <c r="AJ125" s="41"/>
      <c r="AK125" s="41"/>
      <c r="AL125" s="41"/>
      <c r="AM125" s="41">
        <f>SUM(AF125:AL125)+AT125+AV125+AX125</f>
        <v>5</v>
      </c>
      <c r="AN125" s="41"/>
      <c r="AO125" s="41"/>
      <c r="AP125" s="41"/>
      <c r="AQ125" s="41"/>
      <c r="AR125" s="41">
        <f>SUM(AN125:AQ125)</f>
        <v>0</v>
      </c>
      <c r="AS125" s="41"/>
      <c r="AT125" s="41"/>
      <c r="AU125" s="41"/>
      <c r="AV125" s="41"/>
      <c r="AW125" s="41"/>
      <c r="AX125" s="41"/>
      <c r="AY125" s="41"/>
      <c r="AZ125" s="41"/>
      <c r="BA125" s="41">
        <f>+AR125+AS125+AU125+AW125+AY125+AZ125</f>
        <v>0</v>
      </c>
      <c r="BB125" s="37"/>
      <c r="BC125" s="55">
        <v>4</v>
      </c>
      <c r="BD125" s="55"/>
      <c r="BE125" s="55"/>
      <c r="BF125" s="55"/>
    </row>
    <row r="126" spans="1:58" ht="12.95" customHeight="1">
      <c r="A126" s="44"/>
      <c r="B126" s="45"/>
      <c r="C126" s="459"/>
      <c r="D126" s="45"/>
      <c r="E126" s="46"/>
      <c r="F126" s="46"/>
      <c r="G126" s="511"/>
      <c r="H126" s="48"/>
      <c r="I126" s="49"/>
      <c r="J126" s="86"/>
      <c r="K126" s="86"/>
      <c r="L126" s="39"/>
      <c r="M126" s="39"/>
      <c r="N126" s="50"/>
      <c r="O126" s="51"/>
      <c r="P126" s="52"/>
      <c r="Q126" s="51"/>
      <c r="R126" s="512"/>
      <c r="S126" s="512"/>
      <c r="T126" s="41"/>
      <c r="U126" s="41"/>
      <c r="V126" s="41"/>
      <c r="W126" s="41"/>
      <c r="X126" s="513"/>
      <c r="Y126" s="214"/>
      <c r="Z126" s="599"/>
      <c r="AA126" s="53"/>
      <c r="AB126" s="53"/>
      <c r="AC126" s="41"/>
      <c r="AD126" s="41">
        <f>+AM126+BA126</f>
        <v>9</v>
      </c>
      <c r="AE126" s="232" t="s">
        <v>226</v>
      </c>
      <c r="AF126" s="41"/>
      <c r="AG126" s="41"/>
      <c r="AH126" s="41">
        <v>9</v>
      </c>
      <c r="AI126" s="514"/>
      <c r="AJ126" s="41"/>
      <c r="AK126" s="41"/>
      <c r="AL126" s="41"/>
      <c r="AM126" s="41">
        <f>SUM(AF126:AL126)+AT126+AV126+AX126</f>
        <v>9</v>
      </c>
      <c r="AN126" s="41"/>
      <c r="AO126" s="41"/>
      <c r="AP126" s="41"/>
      <c r="AQ126" s="41"/>
      <c r="AR126" s="41">
        <f>SUM(AN126:AQ126)</f>
        <v>0</v>
      </c>
      <c r="AS126" s="41"/>
      <c r="AT126" s="41"/>
      <c r="AU126" s="41"/>
      <c r="AV126" s="41"/>
      <c r="AW126" s="41"/>
      <c r="AX126" s="41"/>
      <c r="AY126" s="41"/>
      <c r="AZ126" s="41"/>
      <c r="BA126" s="41">
        <f>+AR126+AS126+AU126+AW126+AY126+AZ126</f>
        <v>0</v>
      </c>
      <c r="BB126" s="37"/>
      <c r="BC126" s="55"/>
      <c r="BD126" s="55"/>
      <c r="BE126" s="55"/>
      <c r="BF126" s="55"/>
    </row>
    <row r="127" spans="1:58" ht="12.95" customHeight="1">
      <c r="A127" s="44"/>
      <c r="B127" s="45"/>
      <c r="C127" s="459"/>
      <c r="D127" s="45"/>
      <c r="E127" s="46"/>
      <c r="F127" s="46"/>
      <c r="G127" s="511"/>
      <c r="H127" s="48"/>
      <c r="I127" s="49"/>
      <c r="J127" s="86"/>
      <c r="K127" s="86"/>
      <c r="L127" s="39"/>
      <c r="M127" s="39"/>
      <c r="N127" s="50"/>
      <c r="O127" s="51"/>
      <c r="P127" s="52"/>
      <c r="Q127" s="51"/>
      <c r="R127" s="512"/>
      <c r="S127" s="512"/>
      <c r="T127" s="41"/>
      <c r="U127" s="41"/>
      <c r="V127" s="41"/>
      <c r="W127" s="41"/>
      <c r="X127" s="513"/>
      <c r="Y127" s="214"/>
      <c r="Z127" s="599"/>
      <c r="AA127" s="53"/>
      <c r="AB127" s="53"/>
      <c r="AC127" s="41"/>
      <c r="AD127" s="41"/>
      <c r="AE127" s="232"/>
      <c r="AF127" s="41"/>
      <c r="AG127" s="41"/>
      <c r="AH127" s="41"/>
      <c r="AI127" s="514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1"/>
      <c r="AW127" s="41"/>
      <c r="AX127" s="41"/>
      <c r="AY127" s="41"/>
      <c r="AZ127" s="41"/>
      <c r="BA127" s="41"/>
      <c r="BB127" s="37"/>
      <c r="BC127" s="55"/>
      <c r="BD127" s="55"/>
      <c r="BE127" s="55"/>
      <c r="BF127" s="55"/>
    </row>
    <row r="128" spans="1:58" ht="12.95" customHeight="1">
      <c r="A128" s="44">
        <v>46017</v>
      </c>
      <c r="B128" s="45" t="s">
        <v>8</v>
      </c>
      <c r="C128" s="459">
        <f>(M128*E128*O128*Q128)/100000000</f>
        <v>45.434822399999987</v>
      </c>
      <c r="D128" s="45" t="s">
        <v>488</v>
      </c>
      <c r="E128" s="46">
        <v>36</v>
      </c>
      <c r="F128" s="46">
        <v>1</v>
      </c>
      <c r="G128" s="511">
        <v>455</v>
      </c>
      <c r="H128" s="48">
        <v>0.12</v>
      </c>
      <c r="I128" s="49">
        <v>0.88</v>
      </c>
      <c r="J128" s="86">
        <f>E128*G128*(1-H128)*1440/1000000*3.4</f>
        <v>70.572902400000004</v>
      </c>
      <c r="K128" s="86">
        <f>(IF(G128&lt;L128,L128,G128)*(1-IF(H128&lt;N128,H128,N128))*E128*O128*Q128)/100000000</f>
        <v>45.434822399999987</v>
      </c>
      <c r="L128" s="39">
        <v>530</v>
      </c>
      <c r="M128" s="39">
        <v>466.4</v>
      </c>
      <c r="N128" s="50">
        <f>1-(M128/L128)</f>
        <v>0.12</v>
      </c>
      <c r="O128" s="51">
        <f>+'Trim Rwd'!H87</f>
        <v>330</v>
      </c>
      <c r="P128" s="52">
        <f>O128*(Q128-R128-S128)</f>
        <v>267630</v>
      </c>
      <c r="Q128" s="51">
        <v>820</v>
      </c>
      <c r="R128" s="512">
        <v>0</v>
      </c>
      <c r="S128" s="512">
        <v>9</v>
      </c>
      <c r="T128" s="41">
        <f>E128*M128*O128*Q128/100000000</f>
        <v>45.434822399999987</v>
      </c>
      <c r="U128" s="41">
        <f>E128*M128*O128*(Q128-R128-S128)/100000000</f>
        <v>44.936147519999992</v>
      </c>
      <c r="V128" s="41">
        <f>E128*G128*(1-N128)*O128/100*(R128+S128)/1000000</f>
        <v>0.42810767999999999</v>
      </c>
      <c r="W128" s="41">
        <f>+'26'!K23/1000</f>
        <v>53.097999999999999</v>
      </c>
      <c r="X128" s="42">
        <f>SUM(W128:W131)/SUM(K128:K131)</f>
        <v>0.9786274103675231</v>
      </c>
      <c r="Y128" s="214">
        <v>0</v>
      </c>
      <c r="Z128" s="599">
        <f>+'26'!D34/1000</f>
        <v>0.65</v>
      </c>
      <c r="AA128" s="41">
        <f>SUM(U128:U131)-SUM(W128:W131)-SUM(Z128:Z131)-SUM(Y128:Y131)</f>
        <v>0.34376953600000204</v>
      </c>
      <c r="AB128" s="41">
        <f>(SUM(K128:K131)-SUM(W128:W131)-SUM(Y128:Y131)-SUM(Z128:Z131)-SUM(AC128:AC131)-SUM(V128:V131))-AA128</f>
        <v>0.1131028799999847</v>
      </c>
      <c r="AC128" s="41">
        <f>K128-T128</f>
        <v>0</v>
      </c>
      <c r="AD128" s="41">
        <f>+AM128+BA128</f>
        <v>0</v>
      </c>
      <c r="AE128" s="232" t="s">
        <v>395</v>
      </c>
      <c r="AF128" s="37">
        <v>0</v>
      </c>
      <c r="AG128" s="37"/>
      <c r="AH128" s="37"/>
      <c r="AJ128" s="41"/>
      <c r="AK128" s="41"/>
      <c r="AL128" s="41"/>
      <c r="AM128" s="41">
        <f>SUM(AF128:AL128)+AT128+AV128+AX128</f>
        <v>0</v>
      </c>
      <c r="AN128" s="41"/>
      <c r="AO128" s="41"/>
      <c r="AP128" s="41"/>
      <c r="AQ128" s="41"/>
      <c r="AR128" s="41">
        <f>SUM(AN128:AQ128)</f>
        <v>0</v>
      </c>
      <c r="AS128" s="41"/>
      <c r="AT128" s="41"/>
      <c r="AU128" s="41"/>
      <c r="AV128" s="41"/>
      <c r="AW128" s="41"/>
      <c r="AX128" s="41"/>
      <c r="AY128" s="41"/>
      <c r="AZ128" s="41"/>
      <c r="BA128" s="41">
        <f>+AR128+AS128+AU128+AW128+AY128+AZ128</f>
        <v>0</v>
      </c>
      <c r="BB128" s="37">
        <v>0</v>
      </c>
      <c r="BC128" s="515"/>
      <c r="BD128" s="55"/>
      <c r="BE128" s="55"/>
      <c r="BF128" s="55"/>
    </row>
    <row r="129" spans="1:58" ht="12.95" customHeight="1">
      <c r="A129" s="44"/>
      <c r="B129" s="45" t="s">
        <v>8</v>
      </c>
      <c r="C129" s="459">
        <f>(M129*E129*O129*Q129)/100000000</f>
        <v>34.943061120000003</v>
      </c>
      <c r="D129" s="45" t="s">
        <v>488</v>
      </c>
      <c r="E129" s="46">
        <v>38</v>
      </c>
      <c r="F129" s="46">
        <v>1</v>
      </c>
      <c r="G129" s="511">
        <v>430</v>
      </c>
      <c r="H129" s="48">
        <v>0.12</v>
      </c>
      <c r="I129" s="49">
        <v>0.88</v>
      </c>
      <c r="J129" s="86">
        <f>E129*G129*(1-H129)*1440/1000000*3.4</f>
        <v>70.400563199999993</v>
      </c>
      <c r="K129" s="86">
        <f>(IF(G129&lt;L129,L129,G129)*(1-IF(H129&lt;N129,H129,N129))*E129*O129*Q129)/100000000</f>
        <v>34.943061120000003</v>
      </c>
      <c r="L129" s="39">
        <v>530</v>
      </c>
      <c r="M129" s="39">
        <v>466.4</v>
      </c>
      <c r="N129" s="50">
        <f>1-(M129/L129)</f>
        <v>0.12</v>
      </c>
      <c r="O129" s="51">
        <f>+'Trim Rwd'!H88</f>
        <v>318</v>
      </c>
      <c r="P129" s="52">
        <f>O129*(Q129-R129-S129)</f>
        <v>195888</v>
      </c>
      <c r="Q129" s="51">
        <v>620</v>
      </c>
      <c r="R129" s="512">
        <v>0</v>
      </c>
      <c r="S129" s="512">
        <v>4</v>
      </c>
      <c r="T129" s="41">
        <f>E129*M129*O129*Q129/100000000</f>
        <v>34.943061120000003</v>
      </c>
      <c r="U129" s="41">
        <f>E129*M129*O129*(Q129-R129-S129)/100000000</f>
        <v>34.717622016000007</v>
      </c>
      <c r="V129" s="41">
        <f>E129*G129*(1-N129)*O129/100*(R129+S129)/1000000</f>
        <v>0.18290342400000004</v>
      </c>
      <c r="W129" s="41">
        <f>+'26'!K24/1000</f>
        <v>25.562000000000001</v>
      </c>
      <c r="X129" s="42"/>
      <c r="Y129" s="214"/>
      <c r="Z129" s="599"/>
      <c r="AA129" s="41"/>
      <c r="AB129" s="41"/>
      <c r="AC129" s="41">
        <f>K129-T129</f>
        <v>0</v>
      </c>
      <c r="AD129" s="41">
        <f>+AM129+BA129</f>
        <v>4</v>
      </c>
      <c r="AE129" s="232" t="s">
        <v>454</v>
      </c>
      <c r="AF129" s="41"/>
      <c r="AG129" s="41">
        <v>4</v>
      </c>
      <c r="AH129" s="41"/>
      <c r="AI129" s="41"/>
      <c r="AJ129" s="41"/>
      <c r="AK129" s="41"/>
      <c r="AL129" s="41"/>
      <c r="AM129" s="41">
        <f>SUM(AF129:AL129)+AT129+AV129+AX129</f>
        <v>4</v>
      </c>
      <c r="AN129" s="41"/>
      <c r="AO129" s="41"/>
      <c r="AP129" s="41"/>
      <c r="AQ129" s="41"/>
      <c r="AR129" s="41">
        <f>SUM(AN129:AQ129)</f>
        <v>0</v>
      </c>
      <c r="AS129" s="41"/>
      <c r="AT129" s="41"/>
      <c r="AU129" s="41"/>
      <c r="AV129" s="41"/>
      <c r="AW129" s="41"/>
      <c r="AX129" s="41"/>
      <c r="AY129" s="41"/>
      <c r="AZ129" s="41"/>
      <c r="BA129" s="41">
        <f>+AR129+AS129+AU129+AW129+AY129+AZ129</f>
        <v>0</v>
      </c>
      <c r="BB129" s="37"/>
      <c r="BC129" s="55">
        <v>2</v>
      </c>
      <c r="BD129" s="55"/>
      <c r="BE129" s="55"/>
      <c r="BF129" s="55"/>
    </row>
    <row r="130" spans="1:58" ht="12.95" customHeight="1">
      <c r="A130" s="44"/>
      <c r="B130" s="45"/>
      <c r="C130" s="459"/>
      <c r="D130" s="45"/>
      <c r="E130" s="46"/>
      <c r="F130" s="46"/>
      <c r="G130" s="511"/>
      <c r="H130" s="48"/>
      <c r="I130" s="49"/>
      <c r="J130" s="86"/>
      <c r="K130" s="86"/>
      <c r="L130" s="39"/>
      <c r="M130" s="39"/>
      <c r="N130" s="50"/>
      <c r="O130" s="51"/>
      <c r="P130" s="52"/>
      <c r="Q130" s="51"/>
      <c r="R130" s="512"/>
      <c r="S130" s="512"/>
      <c r="T130" s="41"/>
      <c r="U130" s="41"/>
      <c r="V130" s="41"/>
      <c r="W130" s="41"/>
      <c r="X130" s="513"/>
      <c r="Y130" s="214"/>
      <c r="Z130" s="599"/>
      <c r="AA130" s="53"/>
      <c r="AB130" s="53"/>
      <c r="AC130" s="41"/>
      <c r="AD130" s="41">
        <f>+AM130+BA130</f>
        <v>9</v>
      </c>
      <c r="AE130" s="232" t="s">
        <v>226</v>
      </c>
      <c r="AF130" s="41"/>
      <c r="AG130" s="41"/>
      <c r="AH130" s="41">
        <v>9</v>
      </c>
      <c r="AI130" s="514"/>
      <c r="AJ130" s="41"/>
      <c r="AK130" s="41"/>
      <c r="AL130" s="41"/>
      <c r="AM130" s="41">
        <f>SUM(AF130:AL130)+AT130+AV130+AX130</f>
        <v>9</v>
      </c>
      <c r="AN130" s="41"/>
      <c r="AO130" s="41"/>
      <c r="AP130" s="41"/>
      <c r="AQ130" s="41"/>
      <c r="AR130" s="41">
        <f>SUM(AN130:AQ130)</f>
        <v>0</v>
      </c>
      <c r="AS130" s="41"/>
      <c r="AT130" s="41"/>
      <c r="AU130" s="41"/>
      <c r="AV130" s="41"/>
      <c r="AW130" s="41"/>
      <c r="AX130" s="41"/>
      <c r="AY130" s="41"/>
      <c r="AZ130" s="41"/>
      <c r="BA130" s="41">
        <f>+AR130+AS130+AU130+AW130+AY130+AZ130</f>
        <v>0</v>
      </c>
      <c r="BB130" s="37"/>
      <c r="BC130" s="55"/>
      <c r="BD130" s="55"/>
      <c r="BE130" s="55"/>
      <c r="BF130" s="55"/>
    </row>
    <row r="131" spans="1:58" ht="12.95" customHeight="1">
      <c r="A131" s="44"/>
      <c r="B131" s="45"/>
      <c r="C131" s="459"/>
      <c r="D131" s="45"/>
      <c r="E131" s="46"/>
      <c r="F131" s="46"/>
      <c r="G131" s="511"/>
      <c r="H131" s="48"/>
      <c r="I131" s="49"/>
      <c r="J131" s="86"/>
      <c r="K131" s="86"/>
      <c r="L131" s="39"/>
      <c r="M131" s="39"/>
      <c r="N131" s="50"/>
      <c r="O131" s="51"/>
      <c r="P131" s="52"/>
      <c r="Q131" s="51"/>
      <c r="R131" s="512"/>
      <c r="S131" s="512"/>
      <c r="T131" s="41"/>
      <c r="U131" s="41"/>
      <c r="V131" s="41"/>
      <c r="W131" s="41"/>
      <c r="X131" s="513"/>
      <c r="Y131" s="214"/>
      <c r="Z131" s="599"/>
      <c r="AA131" s="53"/>
      <c r="AB131" s="53"/>
      <c r="AC131" s="41"/>
      <c r="AD131" s="41"/>
      <c r="AE131" s="232"/>
      <c r="AF131" s="41"/>
      <c r="AG131" s="41"/>
      <c r="AH131" s="41"/>
      <c r="AI131" s="514"/>
      <c r="AJ131" s="41"/>
      <c r="AK131" s="41"/>
      <c r="AL131" s="41"/>
      <c r="AM131" s="41"/>
      <c r="AN131" s="4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41"/>
      <c r="BA131" s="41"/>
      <c r="BB131" s="37"/>
      <c r="BC131" s="55"/>
      <c r="BD131" s="55"/>
      <c r="BE131" s="55"/>
      <c r="BF131" s="55"/>
    </row>
    <row r="132" spans="1:58" ht="12.95" customHeight="1">
      <c r="A132" s="44">
        <v>46018</v>
      </c>
      <c r="B132" s="45" t="s">
        <v>8</v>
      </c>
      <c r="C132" s="459">
        <f>(M132*E132*O132*Q132)/100000000</f>
        <v>81.158077440000014</v>
      </c>
      <c r="D132" s="45" t="s">
        <v>488</v>
      </c>
      <c r="E132" s="46">
        <v>38</v>
      </c>
      <c r="F132" s="46">
        <v>1</v>
      </c>
      <c r="G132" s="511">
        <v>430</v>
      </c>
      <c r="H132" s="48">
        <v>0.12</v>
      </c>
      <c r="I132" s="49">
        <v>0.88</v>
      </c>
      <c r="J132" s="86">
        <f>E132*G132*(1-H132)*1440/1000000*3.4</f>
        <v>70.400563199999993</v>
      </c>
      <c r="K132" s="86">
        <f>(IF(G132&lt;L132,L132,G132)*(1-IF(H132&lt;N132,H132,N132))*E132*O132*Q132)/100000000</f>
        <v>81.158077440000014</v>
      </c>
      <c r="L132" s="39">
        <v>530</v>
      </c>
      <c r="M132" s="39">
        <v>466.4</v>
      </c>
      <c r="N132" s="50">
        <f>1-(M132/L132)</f>
        <v>0.12</v>
      </c>
      <c r="O132" s="51">
        <f>+'Trim Rwd'!H90</f>
        <v>318</v>
      </c>
      <c r="P132" s="52">
        <f>O132*(Q132-R132-S132)</f>
        <v>453468</v>
      </c>
      <c r="Q132" s="51">
        <v>1440</v>
      </c>
      <c r="R132" s="512">
        <v>0</v>
      </c>
      <c r="S132" s="512">
        <v>14</v>
      </c>
      <c r="T132" s="41">
        <f>E132*M132*O132*Q132/100000000</f>
        <v>81.158077440000014</v>
      </c>
      <c r="U132" s="41">
        <f>E132*M132*O132*(Q132-R132-S132)/100000000</f>
        <v>80.369040576000003</v>
      </c>
      <c r="V132" s="41">
        <f>E132*G132*(1-N132)*O132/100*(R132+S132)/1000000</f>
        <v>0.64016198400000002</v>
      </c>
      <c r="W132" s="41">
        <f>+'27'!K34/1000</f>
        <v>75.625</v>
      </c>
      <c r="X132" s="42">
        <f>SUM(W132:W135)/SUM(K132:K135)</f>
        <v>0.93182345350540607</v>
      </c>
      <c r="Y132" s="214">
        <v>0</v>
      </c>
      <c r="Z132" s="41">
        <f>+'27'!D34/1000</f>
        <v>0.75</v>
      </c>
      <c r="AA132" s="41">
        <f>SUM(U132:U135)-SUM(W132:W135)-SUM(Z132:Z135)-SUM(Y132:Y135)</f>
        <v>3.9940405760000033</v>
      </c>
      <c r="AB132" s="41">
        <f>(SUM(K132:K135)-SUM(W132:W135)-SUM(Y132:Y135)-SUM(Z132:Z135)-SUM(AC132:AC135)-SUM(V132:V135))-AA132</f>
        <v>0.14887488000001081</v>
      </c>
      <c r="AC132" s="41">
        <f>K132-T132</f>
        <v>0</v>
      </c>
      <c r="AD132" s="41">
        <f>+AM132+BA132</f>
        <v>0</v>
      </c>
      <c r="AE132" s="232" t="s">
        <v>395</v>
      </c>
      <c r="AF132" s="37">
        <v>0</v>
      </c>
      <c r="AG132" s="37"/>
      <c r="AH132" s="37"/>
      <c r="AJ132" s="41"/>
      <c r="AK132" s="41"/>
      <c r="AL132" s="41"/>
      <c r="AM132" s="41">
        <f>SUM(AF132:AL132)+AT132+AV132+AX132</f>
        <v>0</v>
      </c>
      <c r="AN132" s="41"/>
      <c r="AO132" s="41"/>
      <c r="AP132" s="41"/>
      <c r="AQ132" s="41"/>
      <c r="AR132" s="41">
        <f>SUM(AN132:AQ132)</f>
        <v>0</v>
      </c>
      <c r="AS132" s="41"/>
      <c r="AT132" s="41"/>
      <c r="AU132" s="41"/>
      <c r="AV132" s="41"/>
      <c r="AW132" s="41"/>
      <c r="AX132" s="41"/>
      <c r="AY132" s="41"/>
      <c r="AZ132" s="41"/>
      <c r="BA132" s="41">
        <f>+AR132+AS132+AU132+AW132+AY132+AZ132</f>
        <v>0</v>
      </c>
      <c r="BB132" s="37">
        <v>0</v>
      </c>
      <c r="BC132" s="515"/>
      <c r="BD132" s="55"/>
      <c r="BE132" s="55"/>
      <c r="BF132" s="55"/>
    </row>
    <row r="133" spans="1:58" ht="12.95" customHeight="1">
      <c r="A133" s="44"/>
      <c r="B133" s="45"/>
      <c r="C133" s="459"/>
      <c r="D133" s="45"/>
      <c r="E133" s="46"/>
      <c r="F133" s="46"/>
      <c r="G133" s="511"/>
      <c r="H133" s="48"/>
      <c r="I133" s="49"/>
      <c r="J133" s="86"/>
      <c r="K133" s="86"/>
      <c r="L133" s="39"/>
      <c r="M133" s="39"/>
      <c r="N133" s="50"/>
      <c r="O133" s="51"/>
      <c r="P133" s="52"/>
      <c r="Q133" s="51"/>
      <c r="R133" s="512"/>
      <c r="S133" s="512"/>
      <c r="T133" s="41"/>
      <c r="U133" s="41"/>
      <c r="V133" s="41"/>
      <c r="W133" s="41"/>
      <c r="X133" s="42"/>
      <c r="Y133" s="214"/>
      <c r="Z133" s="599"/>
      <c r="AA133" s="41"/>
      <c r="AB133" s="41"/>
      <c r="AC133" s="41"/>
      <c r="AD133" s="41">
        <f>+AM133+BA133</f>
        <v>0</v>
      </c>
      <c r="AE133" s="232" t="s">
        <v>424</v>
      </c>
      <c r="AF133" s="41"/>
      <c r="AG133" s="41">
        <v>0</v>
      </c>
      <c r="AH133" s="41"/>
      <c r="AI133" s="41"/>
      <c r="AJ133" s="41"/>
      <c r="AK133" s="41"/>
      <c r="AL133" s="41"/>
      <c r="AM133" s="41">
        <f>SUM(AF133:AL133)+AT133+AV133+AX133</f>
        <v>0</v>
      </c>
      <c r="AN133" s="41"/>
      <c r="AO133" s="41"/>
      <c r="AP133" s="41"/>
      <c r="AQ133" s="41"/>
      <c r="AR133" s="41">
        <f>SUM(AN133:AQ133)</f>
        <v>0</v>
      </c>
      <c r="AS133" s="41"/>
      <c r="AT133" s="41"/>
      <c r="AU133" s="41"/>
      <c r="AV133" s="41"/>
      <c r="AW133" s="41"/>
      <c r="AX133" s="41"/>
      <c r="AY133" s="41"/>
      <c r="AZ133" s="41"/>
      <c r="BA133" s="41">
        <f>+AR133+AS133+AU133+AW133+AY133+AZ133</f>
        <v>0</v>
      </c>
      <c r="BB133" s="37"/>
      <c r="BC133" s="55">
        <v>0</v>
      </c>
      <c r="BD133" s="55"/>
      <c r="BE133" s="55"/>
      <c r="BF133" s="55"/>
    </row>
    <row r="134" spans="1:58" ht="12.95" customHeight="1">
      <c r="A134" s="44"/>
      <c r="B134" s="45"/>
      <c r="C134" s="459"/>
      <c r="D134" s="45"/>
      <c r="E134" s="46"/>
      <c r="F134" s="46"/>
      <c r="G134" s="511"/>
      <c r="H134" s="48"/>
      <c r="I134" s="49"/>
      <c r="J134" s="86"/>
      <c r="K134" s="86"/>
      <c r="L134" s="39"/>
      <c r="M134" s="39"/>
      <c r="N134" s="50"/>
      <c r="O134" s="51"/>
      <c r="P134" s="52"/>
      <c r="Q134" s="51"/>
      <c r="R134" s="512"/>
      <c r="S134" s="512"/>
      <c r="T134" s="41"/>
      <c r="U134" s="41"/>
      <c r="V134" s="41"/>
      <c r="W134" s="41"/>
      <c r="X134" s="513"/>
      <c r="Y134" s="214"/>
      <c r="Z134" s="599"/>
      <c r="AA134" s="53"/>
      <c r="AB134" s="53"/>
      <c r="AC134" s="41"/>
      <c r="AD134" s="41">
        <f>+AM134+BA134</f>
        <v>14</v>
      </c>
      <c r="AE134" s="232" t="s">
        <v>226</v>
      </c>
      <c r="AF134" s="41"/>
      <c r="AG134" s="41"/>
      <c r="AH134" s="41">
        <v>14</v>
      </c>
      <c r="AI134" s="514"/>
      <c r="AJ134" s="41"/>
      <c r="AK134" s="41"/>
      <c r="AL134" s="41"/>
      <c r="AM134" s="41">
        <f>SUM(AF134:AL134)+AT134+AV134+AX134</f>
        <v>14</v>
      </c>
      <c r="AN134" s="41"/>
      <c r="AO134" s="41"/>
      <c r="AP134" s="41"/>
      <c r="AQ134" s="41"/>
      <c r="AR134" s="41">
        <f>SUM(AN134:AQ134)</f>
        <v>0</v>
      </c>
      <c r="AS134" s="41"/>
      <c r="AT134" s="41"/>
      <c r="AU134" s="41"/>
      <c r="AV134" s="41"/>
      <c r="AW134" s="41"/>
      <c r="AX134" s="41"/>
      <c r="AY134" s="41"/>
      <c r="AZ134" s="41"/>
      <c r="BA134" s="41">
        <f>+AR134+AS134+AU134+AW134+AY134+AZ134</f>
        <v>0</v>
      </c>
      <c r="BB134" s="37"/>
      <c r="BC134" s="55"/>
      <c r="BD134" s="55"/>
      <c r="BE134" s="55"/>
      <c r="BF134" s="55"/>
    </row>
    <row r="135" spans="1:58" ht="12.95" customHeight="1">
      <c r="A135" s="44"/>
      <c r="B135" s="45"/>
      <c r="C135" s="459"/>
      <c r="D135" s="45"/>
      <c r="E135" s="46"/>
      <c r="F135" s="46"/>
      <c r="G135" s="511"/>
      <c r="H135" s="48"/>
      <c r="I135" s="49"/>
      <c r="J135" s="86"/>
      <c r="K135" s="86"/>
      <c r="L135" s="39"/>
      <c r="M135" s="39"/>
      <c r="N135" s="50"/>
      <c r="O135" s="51"/>
      <c r="P135" s="52"/>
      <c r="Q135" s="51"/>
      <c r="R135" s="512"/>
      <c r="S135" s="512"/>
      <c r="T135" s="41"/>
      <c r="U135" s="41"/>
      <c r="V135" s="41"/>
      <c r="W135" s="41"/>
      <c r="X135" s="513"/>
      <c r="Y135" s="214"/>
      <c r="Z135" s="599"/>
      <c r="AA135" s="53"/>
      <c r="AB135" s="53"/>
      <c r="AC135" s="41"/>
      <c r="AD135" s="41"/>
      <c r="AE135" s="232"/>
      <c r="AF135" s="41"/>
      <c r="AG135" s="41"/>
      <c r="AH135" s="41"/>
      <c r="AI135" s="514"/>
      <c r="AJ135" s="41"/>
      <c r="AK135" s="41"/>
      <c r="AL135" s="41"/>
      <c r="AM135" s="41"/>
      <c r="AN135" s="41"/>
      <c r="AO135" s="41"/>
      <c r="AP135" s="41"/>
      <c r="AQ135" s="41"/>
      <c r="AR135" s="41"/>
      <c r="AS135" s="41"/>
      <c r="AT135" s="41"/>
      <c r="AU135" s="41"/>
      <c r="AV135" s="41"/>
      <c r="AW135" s="41"/>
      <c r="AX135" s="41"/>
      <c r="AY135" s="41"/>
      <c r="AZ135" s="41"/>
      <c r="BA135" s="41"/>
      <c r="BB135" s="37"/>
      <c r="BC135" s="55"/>
      <c r="BD135" s="55"/>
      <c r="BE135" s="55"/>
      <c r="BF135" s="55"/>
    </row>
    <row r="136" spans="1:58" ht="12.95" customHeight="1">
      <c r="A136" s="44">
        <v>46019</v>
      </c>
      <c r="B136" s="45" t="s">
        <v>8</v>
      </c>
      <c r="C136" s="459">
        <f>(M136*E136*O136*Q136)/100000000</f>
        <v>74.059935839999994</v>
      </c>
      <c r="D136" s="45" t="s">
        <v>488</v>
      </c>
      <c r="E136" s="46">
        <v>38</v>
      </c>
      <c r="F136" s="46">
        <v>1</v>
      </c>
      <c r="G136" s="511">
        <v>430</v>
      </c>
      <c r="H136" s="48">
        <v>0.12</v>
      </c>
      <c r="I136" s="49">
        <v>0.88</v>
      </c>
      <c r="J136" s="86">
        <f>E136*G136*(1-H136)*1440/1000000*3.4</f>
        <v>70.400563199999993</v>
      </c>
      <c r="K136" s="86">
        <f>(IF(G136&lt;L136,L136,G136)*(1-IF(H136&lt;N136,H136,N136))*E136*O136*Q136)/100000000</f>
        <v>74.059935839999994</v>
      </c>
      <c r="L136" s="39">
        <v>483.64583333333331</v>
      </c>
      <c r="M136" s="39">
        <v>425.60833333333335</v>
      </c>
      <c r="N136" s="50">
        <f>1-(M136/L136)</f>
        <v>0.11999999999999988</v>
      </c>
      <c r="O136" s="51">
        <f>+'Trim Rwd'!H92</f>
        <v>318</v>
      </c>
      <c r="P136" s="52">
        <f>O136*(Q136-R136-S136)</f>
        <v>451560</v>
      </c>
      <c r="Q136" s="51">
        <v>1440</v>
      </c>
      <c r="R136" s="512">
        <v>0</v>
      </c>
      <c r="S136" s="512">
        <v>20</v>
      </c>
      <c r="T136" s="41">
        <f>E136*M136*O136*Q136/100000000</f>
        <v>74.059935839999994</v>
      </c>
      <c r="U136" s="41">
        <f>E136*M136*O136*(Q136-R136-S136)/100000000</f>
        <v>73.03132561999999</v>
      </c>
      <c r="V136" s="41">
        <f>E136*G136*(1-N136)*O136/100*(R136+S136)/1000000</f>
        <v>0.91451712000000007</v>
      </c>
      <c r="W136" s="41">
        <f>+'28'!K34/1000</f>
        <v>70.376999999999995</v>
      </c>
      <c r="X136" s="42">
        <f>SUM(W136:W139)/SUM(K136:K139)</f>
        <v>0.95027087455278569</v>
      </c>
      <c r="Y136" s="214">
        <v>0</v>
      </c>
      <c r="Z136" s="41">
        <f>+'28'!D34/1000</f>
        <v>0</v>
      </c>
      <c r="AA136" s="41">
        <f>SUM(U136:U139)-SUM(W136:W139)-SUM(Z136:Z139)-SUM(Y136:Y139)</f>
        <v>2.6543256199999945</v>
      </c>
      <c r="AB136" s="41">
        <f>(SUM(K136:K139)-SUM(W136:W139)-SUM(Y136:Y139)-SUM(Z136:Z139)-SUM(AC136:AC139)-SUM(V136:V139))-AA136</f>
        <v>0.11409310000000428</v>
      </c>
      <c r="AC136" s="41">
        <f>K136-T136</f>
        <v>0</v>
      </c>
      <c r="AD136" s="41">
        <f>+AM136+BA136</f>
        <v>0</v>
      </c>
      <c r="AE136" s="232" t="s">
        <v>395</v>
      </c>
      <c r="AF136" s="37">
        <v>0</v>
      </c>
      <c r="AG136" s="37"/>
      <c r="AH136" s="37"/>
      <c r="AJ136" s="41"/>
      <c r="AK136" s="41"/>
      <c r="AL136" s="41"/>
      <c r="AM136" s="41">
        <f>SUM(AF136:AL136)+AT136+AV136+AX136</f>
        <v>0</v>
      </c>
      <c r="AN136" s="41"/>
      <c r="AO136" s="41"/>
      <c r="AP136" s="41"/>
      <c r="AQ136" s="41"/>
      <c r="AR136" s="41">
        <f>SUM(AN136:AQ136)</f>
        <v>0</v>
      </c>
      <c r="AS136" s="41"/>
      <c r="AT136" s="41"/>
      <c r="AU136" s="41"/>
      <c r="AV136" s="41"/>
      <c r="AW136" s="41"/>
      <c r="AX136" s="41"/>
      <c r="AY136" s="41"/>
      <c r="AZ136" s="41"/>
      <c r="BA136" s="41">
        <f>+AR136+AS136+AU136+AW136+AY136+AZ136</f>
        <v>0</v>
      </c>
      <c r="BB136" s="37">
        <v>0</v>
      </c>
      <c r="BC136" s="515"/>
      <c r="BD136" s="55"/>
      <c r="BE136" s="55"/>
      <c r="BF136" s="55"/>
    </row>
    <row r="137" spans="1:58" ht="12.95" customHeight="1">
      <c r="A137" s="44"/>
      <c r="B137" s="45"/>
      <c r="C137" s="459"/>
      <c r="D137" s="45"/>
      <c r="E137" s="46"/>
      <c r="F137" s="46"/>
      <c r="G137" s="511"/>
      <c r="H137" s="48"/>
      <c r="I137" s="49"/>
      <c r="J137" s="86"/>
      <c r="K137" s="86"/>
      <c r="L137" s="39"/>
      <c r="M137" s="39"/>
      <c r="N137" s="50"/>
      <c r="O137" s="51"/>
      <c r="P137" s="52"/>
      <c r="Q137" s="51"/>
      <c r="R137" s="512"/>
      <c r="S137" s="512"/>
      <c r="T137" s="41"/>
      <c r="U137" s="41"/>
      <c r="V137" s="41"/>
      <c r="W137" s="41"/>
      <c r="X137" s="42"/>
      <c r="Y137" s="214"/>
      <c r="Z137" s="599"/>
      <c r="AA137" s="41"/>
      <c r="AB137" s="41"/>
      <c r="AC137" s="41"/>
      <c r="AD137" s="41">
        <f>+AM137+BA137</f>
        <v>5</v>
      </c>
      <c r="AE137" s="232" t="s">
        <v>393</v>
      </c>
      <c r="AF137" s="41"/>
      <c r="AG137" s="41">
        <v>5</v>
      </c>
      <c r="AH137" s="41"/>
      <c r="AI137" s="41"/>
      <c r="AJ137" s="41"/>
      <c r="AK137" s="41"/>
      <c r="AL137" s="41"/>
      <c r="AM137" s="41">
        <f>SUM(AF137:AL137)+AT137+AV137+AX137</f>
        <v>5</v>
      </c>
      <c r="AN137" s="41"/>
      <c r="AO137" s="41"/>
      <c r="AP137" s="41"/>
      <c r="AQ137" s="41"/>
      <c r="AR137" s="41">
        <f>SUM(AN137:AQ137)</f>
        <v>0</v>
      </c>
      <c r="AS137" s="41"/>
      <c r="AT137" s="41"/>
      <c r="AU137" s="41"/>
      <c r="AV137" s="41"/>
      <c r="AW137" s="41"/>
      <c r="AX137" s="41"/>
      <c r="AY137" s="41"/>
      <c r="AZ137" s="41"/>
      <c r="BA137" s="41">
        <f>+AR137+AS137+AU137+AW137+AY137+AZ137</f>
        <v>0</v>
      </c>
      <c r="BB137" s="37"/>
      <c r="BC137" s="55">
        <v>1</v>
      </c>
      <c r="BD137" s="55"/>
      <c r="BE137" s="55"/>
      <c r="BF137" s="55"/>
    </row>
    <row r="138" spans="1:58" ht="12.95" customHeight="1">
      <c r="A138" s="44"/>
      <c r="B138" s="45"/>
      <c r="C138" s="459"/>
      <c r="D138" s="45"/>
      <c r="E138" s="46"/>
      <c r="F138" s="46"/>
      <c r="G138" s="511"/>
      <c r="H138" s="48"/>
      <c r="I138" s="49"/>
      <c r="J138" s="86"/>
      <c r="K138" s="86"/>
      <c r="L138" s="39"/>
      <c r="M138" s="39"/>
      <c r="N138" s="50"/>
      <c r="O138" s="51"/>
      <c r="P138" s="52"/>
      <c r="Q138" s="51"/>
      <c r="R138" s="512"/>
      <c r="S138" s="512"/>
      <c r="T138" s="41"/>
      <c r="U138" s="41"/>
      <c r="V138" s="41"/>
      <c r="W138" s="41"/>
      <c r="X138" s="513"/>
      <c r="Y138" s="214"/>
      <c r="Z138" s="599"/>
      <c r="AA138" s="53"/>
      <c r="AB138" s="53"/>
      <c r="AC138" s="41"/>
      <c r="AD138" s="41">
        <f>+AM138+BA138</f>
        <v>15</v>
      </c>
      <c r="AE138" s="232" t="s">
        <v>226</v>
      </c>
      <c r="AF138" s="41"/>
      <c r="AG138" s="41"/>
      <c r="AH138" s="41">
        <v>15</v>
      </c>
      <c r="AI138" s="514"/>
      <c r="AJ138" s="41"/>
      <c r="AK138" s="41"/>
      <c r="AL138" s="41"/>
      <c r="AM138" s="41">
        <f>SUM(AF138:AL138)+AT138+AV138+AX138</f>
        <v>15</v>
      </c>
      <c r="AN138" s="41"/>
      <c r="AO138" s="41"/>
      <c r="AP138" s="41"/>
      <c r="AQ138" s="41"/>
      <c r="AR138" s="41">
        <f>SUM(AN138:AQ138)</f>
        <v>0</v>
      </c>
      <c r="AS138" s="41"/>
      <c r="AT138" s="41"/>
      <c r="AU138" s="41"/>
      <c r="AV138" s="41"/>
      <c r="AW138" s="41"/>
      <c r="AX138" s="41"/>
      <c r="AY138" s="41"/>
      <c r="AZ138" s="41"/>
      <c r="BA138" s="41">
        <f>+AR138+AS138+AU138+AW138+AY138+AZ138</f>
        <v>0</v>
      </c>
      <c r="BB138" s="37"/>
      <c r="BC138" s="55"/>
      <c r="BD138" s="55"/>
      <c r="BE138" s="55"/>
      <c r="BF138" s="55"/>
    </row>
    <row r="139" spans="1:58" ht="12.95" customHeight="1">
      <c r="A139" s="44"/>
      <c r="B139" s="45"/>
      <c r="C139" s="459"/>
      <c r="D139" s="45"/>
      <c r="E139" s="46"/>
      <c r="F139" s="46"/>
      <c r="G139" s="511"/>
      <c r="H139" s="48"/>
      <c r="I139" s="49"/>
      <c r="J139" s="86"/>
      <c r="K139" s="86"/>
      <c r="L139" s="39"/>
      <c r="M139" s="39"/>
      <c r="N139" s="50"/>
      <c r="O139" s="51"/>
      <c r="P139" s="52"/>
      <c r="Q139" s="51"/>
      <c r="R139" s="512"/>
      <c r="S139" s="512"/>
      <c r="T139" s="41"/>
      <c r="U139" s="41"/>
      <c r="V139" s="41"/>
      <c r="W139" s="41"/>
      <c r="X139" s="513"/>
      <c r="Y139" s="214"/>
      <c r="Z139" s="599"/>
      <c r="AA139" s="53"/>
      <c r="AB139" s="53"/>
      <c r="AC139" s="41"/>
      <c r="AD139" s="41"/>
      <c r="AE139" s="232"/>
      <c r="AF139" s="41"/>
      <c r="AG139" s="41"/>
      <c r="AH139" s="41"/>
      <c r="AI139" s="514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  <c r="BB139" s="37"/>
      <c r="BC139" s="55"/>
      <c r="BD139" s="55"/>
      <c r="BE139" s="55"/>
      <c r="BF139" s="55"/>
    </row>
    <row r="140" spans="1:58" ht="12.95" customHeight="1">
      <c r="A140" s="44">
        <v>46020</v>
      </c>
      <c r="B140" s="45" t="s">
        <v>8</v>
      </c>
      <c r="C140" s="459">
        <f>(M140*E140*O140*Q140)/100000000</f>
        <v>3.0596687999999999</v>
      </c>
      <c r="D140" s="45" t="s">
        <v>488</v>
      </c>
      <c r="E140" s="46">
        <v>38</v>
      </c>
      <c r="F140" s="46">
        <v>1</v>
      </c>
      <c r="G140" s="511">
        <v>430</v>
      </c>
      <c r="H140" s="48">
        <v>0.12</v>
      </c>
      <c r="I140" s="49">
        <v>0.88</v>
      </c>
      <c r="J140" s="86">
        <f>E140*G140*(1-H140)*1440/1000000*3.4</f>
        <v>70.400563199999993</v>
      </c>
      <c r="K140" s="86">
        <f>(IF(G140&lt;L140,L140,G140)*(1-IF(H140&lt;N140,H140,N140))*E140*O140*Q140)/100000000</f>
        <v>3.0625689600000001</v>
      </c>
      <c r="L140" s="39">
        <v>480</v>
      </c>
      <c r="M140" s="39">
        <v>422</v>
      </c>
      <c r="N140" s="50">
        <f>1-(M140/L140)</f>
        <v>0.12083333333333335</v>
      </c>
      <c r="O140" s="51">
        <f>+'Trim Rwd'!H94</f>
        <v>318</v>
      </c>
      <c r="P140" s="52">
        <f>O140*(Q140-R140-S140)</f>
        <v>17490</v>
      </c>
      <c r="Q140" s="51">
        <v>60</v>
      </c>
      <c r="R140" s="512">
        <v>0</v>
      </c>
      <c r="S140" s="512">
        <v>5</v>
      </c>
      <c r="T140" s="41">
        <f>E140*M140*O140*Q140/100000000</f>
        <v>3.0596687999999999</v>
      </c>
      <c r="U140" s="41">
        <f>E140*M140*O140*(Q140-R140-S140)/100000000</f>
        <v>2.8046964000000001</v>
      </c>
      <c r="V140" s="41">
        <f>E140*G140*(1-N140)*O140/100*(R140+S140)/1000000</f>
        <v>0.22841277499999998</v>
      </c>
      <c r="W140" s="41">
        <f>+'29'!K24/1000</f>
        <v>19.939</v>
      </c>
      <c r="X140" s="42">
        <f>SUM(W140:W143)/SUM(K140:K143)</f>
        <v>0.92274352011113803</v>
      </c>
      <c r="Y140" s="214">
        <v>0</v>
      </c>
      <c r="Z140" s="41">
        <f>+'29'!D7/1000</f>
        <v>0.70599999999999996</v>
      </c>
      <c r="AA140" s="41">
        <f>SUM(U140:U143)-SUM(W140:W143)-SUM(Z140:Z143)-SUM(Y140:Y143)</f>
        <v>-5.3094756000000078</v>
      </c>
      <c r="AB140" s="41">
        <f>(SUM(K140:K143)-SUM(W140:W143)-SUM(Y140:Y143)-SUM(Z140:Z143)-SUM(AC140:AC143)-SUM(V140:V143))-AA140</f>
        <v>2.6559624999998199E-2</v>
      </c>
      <c r="AC140" s="41">
        <f>K140-T140</f>
        <v>2.9001600000002625E-3</v>
      </c>
      <c r="AD140" s="41">
        <f>+AM140+BA140</f>
        <v>3</v>
      </c>
      <c r="AE140" s="232" t="s">
        <v>392</v>
      </c>
      <c r="AF140" s="37">
        <v>3</v>
      </c>
      <c r="AG140" s="37"/>
      <c r="AH140" s="37"/>
      <c r="AJ140" s="41"/>
      <c r="AK140" s="41"/>
      <c r="AL140" s="41"/>
      <c r="AM140" s="41">
        <f t="shared" ref="AM140:AM146" si="4">SUM(AF140:AL140)+AT140+AV140+AX140</f>
        <v>3</v>
      </c>
      <c r="AN140" s="41"/>
      <c r="AO140" s="41"/>
      <c r="AP140" s="41"/>
      <c r="AQ140" s="41"/>
      <c r="AR140" s="41">
        <f t="shared" ref="AR140:AR146" si="5">SUM(AN140:AQ140)</f>
        <v>0</v>
      </c>
      <c r="AS140" s="41"/>
      <c r="AT140" s="41"/>
      <c r="AU140" s="41"/>
      <c r="AV140" s="41"/>
      <c r="AW140" s="41"/>
      <c r="AX140" s="41"/>
      <c r="AY140" s="41"/>
      <c r="AZ140" s="41"/>
      <c r="BA140" s="41">
        <f t="shared" ref="BA140:BA146" si="6">+AR140+AS140+AU140+AW140+AY140+AZ140</f>
        <v>0</v>
      </c>
      <c r="BB140" s="37">
        <v>1</v>
      </c>
      <c r="BC140" s="515"/>
      <c r="BD140" s="55"/>
      <c r="BE140" s="55"/>
      <c r="BF140" s="55"/>
    </row>
    <row r="141" spans="1:58" ht="12.95" customHeight="1">
      <c r="A141" s="44"/>
      <c r="B141" s="45" t="s">
        <v>439</v>
      </c>
      <c r="C141" s="459">
        <f>(M141*E141*O141*Q141)/100000000</f>
        <v>51.222287999999992</v>
      </c>
      <c r="D141" s="45" t="s">
        <v>384</v>
      </c>
      <c r="E141" s="46">
        <v>16</v>
      </c>
      <c r="F141" s="46">
        <v>1</v>
      </c>
      <c r="G141" s="511">
        <v>830</v>
      </c>
      <c r="H141" s="48">
        <v>0.14000000000000001</v>
      </c>
      <c r="I141" s="49">
        <v>0.88</v>
      </c>
      <c r="J141" s="86">
        <f>E141*G141*(1-H141)*1440/1000000*3.4</f>
        <v>55.916236799999993</v>
      </c>
      <c r="K141" s="86">
        <f>(IF(G141&lt;L141,L141,G141)*(1-IF(H141&lt;N141,H141,N141))*E141*O141*Q141)/100000000</f>
        <v>51.222287999999992</v>
      </c>
      <c r="L141" s="39">
        <v>830</v>
      </c>
      <c r="M141" s="39">
        <f>+L141-L141*0.14</f>
        <v>713.8</v>
      </c>
      <c r="N141" s="50">
        <f>1-(M141/L141)</f>
        <v>0.14000000000000001</v>
      </c>
      <c r="O141" s="51">
        <f>+'Trim Rwd'!H95</f>
        <v>325</v>
      </c>
      <c r="P141" s="52">
        <f>O141*(Q141-R141-S141)</f>
        <v>375375</v>
      </c>
      <c r="Q141" s="51">
        <v>1380</v>
      </c>
      <c r="R141" s="512">
        <v>125</v>
      </c>
      <c r="S141" s="512">
        <v>100</v>
      </c>
      <c r="T141" s="41">
        <f>E141*M141*O141*Q141/100000000</f>
        <v>51.222287999999992</v>
      </c>
      <c r="U141" s="41">
        <f>E141*M141*O141*(Q141-R141-S141)/100000000</f>
        <v>42.870827999999996</v>
      </c>
      <c r="V141" s="41">
        <f>E141*G141*(1-N141)*O141/100*(R141+S141)/1000000</f>
        <v>8.3514599999999994</v>
      </c>
      <c r="W141" s="41">
        <f>+'29'!K25/1000</f>
        <v>30.152000000000001</v>
      </c>
      <c r="X141" s="42"/>
      <c r="Y141" s="214"/>
      <c r="Z141" s="599">
        <f>+('29'!D16+'29'!D25)/1000</f>
        <v>0.188</v>
      </c>
      <c r="AA141" s="41"/>
      <c r="AB141" s="41"/>
      <c r="AC141" s="41">
        <f>K141-T141</f>
        <v>0</v>
      </c>
      <c r="AD141" s="41">
        <f t="shared" ref="AD141:AD146" si="7">+AM141+BA141</f>
        <v>14</v>
      </c>
      <c r="AE141" s="232" t="s">
        <v>680</v>
      </c>
      <c r="AF141" s="41"/>
      <c r="AG141" s="41">
        <v>14</v>
      </c>
      <c r="AH141" s="41"/>
      <c r="AI141" s="41"/>
      <c r="AJ141" s="41"/>
      <c r="AK141" s="41"/>
      <c r="AL141" s="41"/>
      <c r="AM141" s="41">
        <f t="shared" si="4"/>
        <v>14</v>
      </c>
      <c r="AN141" s="41"/>
      <c r="AO141" s="41"/>
      <c r="AP141" s="41"/>
      <c r="AQ141" s="41"/>
      <c r="AR141" s="41">
        <f t="shared" si="5"/>
        <v>0</v>
      </c>
      <c r="AS141" s="41"/>
      <c r="AT141" s="41"/>
      <c r="AU141" s="41"/>
      <c r="AV141" s="41"/>
      <c r="AW141" s="41"/>
      <c r="AX141" s="41"/>
      <c r="AY141" s="41"/>
      <c r="AZ141" s="41"/>
      <c r="BA141" s="41">
        <f t="shared" si="6"/>
        <v>0</v>
      </c>
      <c r="BB141" s="37"/>
      <c r="BC141" s="55">
        <v>6</v>
      </c>
      <c r="BD141" s="55"/>
      <c r="BE141" s="55"/>
      <c r="BF141" s="55"/>
    </row>
    <row r="142" spans="1:58" ht="12.95" customHeight="1">
      <c r="A142" s="44"/>
      <c r="B142" s="45"/>
      <c r="C142" s="459"/>
      <c r="D142" s="45"/>
      <c r="E142" s="46"/>
      <c r="F142" s="46"/>
      <c r="G142" s="511"/>
      <c r="H142" s="48"/>
      <c r="I142" s="49"/>
      <c r="J142" s="86"/>
      <c r="K142" s="86"/>
      <c r="L142" s="39"/>
      <c r="M142" s="39"/>
      <c r="N142" s="50"/>
      <c r="O142" s="51"/>
      <c r="P142" s="52"/>
      <c r="Q142" s="51"/>
      <c r="R142" s="512"/>
      <c r="S142" s="512"/>
      <c r="T142" s="41"/>
      <c r="U142" s="41"/>
      <c r="V142" s="41"/>
      <c r="W142" s="41"/>
      <c r="X142" s="513"/>
      <c r="Y142" s="214"/>
      <c r="Z142" s="599"/>
      <c r="AA142" s="53"/>
      <c r="AB142" s="53"/>
      <c r="AC142" s="41"/>
      <c r="AD142" s="41">
        <f t="shared" si="7"/>
        <v>18</v>
      </c>
      <c r="AE142" s="232" t="s">
        <v>226</v>
      </c>
      <c r="AF142" s="41"/>
      <c r="AG142" s="41"/>
      <c r="AH142" s="41">
        <v>18</v>
      </c>
      <c r="AI142" s="514"/>
      <c r="AJ142" s="41"/>
      <c r="AK142" s="41"/>
      <c r="AL142" s="41"/>
      <c r="AM142" s="41">
        <f t="shared" si="4"/>
        <v>18</v>
      </c>
      <c r="AN142" s="41"/>
      <c r="AO142" s="41"/>
      <c r="AP142" s="41"/>
      <c r="AQ142" s="41"/>
      <c r="AR142" s="41">
        <f t="shared" si="5"/>
        <v>0</v>
      </c>
      <c r="AS142" s="41"/>
      <c r="AT142" s="41"/>
      <c r="AU142" s="41"/>
      <c r="AV142" s="41"/>
      <c r="AW142" s="41"/>
      <c r="AX142" s="41"/>
      <c r="AY142" s="41"/>
      <c r="AZ142" s="41"/>
      <c r="BA142" s="41">
        <f t="shared" si="6"/>
        <v>0</v>
      </c>
      <c r="BB142" s="37"/>
      <c r="BC142" s="55"/>
      <c r="BD142" s="55"/>
      <c r="BE142" s="55"/>
      <c r="BF142" s="55"/>
    </row>
    <row r="143" spans="1:58" ht="12.95" customHeight="1">
      <c r="A143" s="44"/>
      <c r="B143" s="45"/>
      <c r="C143" s="459"/>
      <c r="D143" s="45"/>
      <c r="E143" s="46"/>
      <c r="F143" s="46"/>
      <c r="G143" s="511"/>
      <c r="H143" s="48"/>
      <c r="I143" s="49"/>
      <c r="J143" s="86"/>
      <c r="K143" s="86"/>
      <c r="L143" s="39"/>
      <c r="M143" s="39"/>
      <c r="N143" s="50"/>
      <c r="O143" s="51"/>
      <c r="P143" s="52"/>
      <c r="Q143" s="51"/>
      <c r="R143" s="512"/>
      <c r="S143" s="512"/>
      <c r="T143" s="41"/>
      <c r="U143" s="41"/>
      <c r="V143" s="41"/>
      <c r="W143" s="41"/>
      <c r="X143" s="513"/>
      <c r="Y143" s="214"/>
      <c r="Z143" s="599"/>
      <c r="AA143" s="53"/>
      <c r="AB143" s="53"/>
      <c r="AC143" s="41"/>
      <c r="AD143" s="41">
        <f t="shared" si="7"/>
        <v>10</v>
      </c>
      <c r="AE143" s="235" t="s">
        <v>668</v>
      </c>
      <c r="AF143" s="41"/>
      <c r="AG143" s="41"/>
      <c r="AH143" s="41"/>
      <c r="AI143" s="514">
        <v>10</v>
      </c>
      <c r="AJ143" s="41"/>
      <c r="AK143" s="41"/>
      <c r="AL143" s="41"/>
      <c r="AM143" s="41">
        <f t="shared" si="4"/>
        <v>10</v>
      </c>
      <c r="AN143" s="41"/>
      <c r="AO143" s="41"/>
      <c r="AP143" s="41"/>
      <c r="AQ143" s="41"/>
      <c r="AR143" s="41">
        <f t="shared" si="5"/>
        <v>0</v>
      </c>
      <c r="AS143" s="41"/>
      <c r="AT143" s="41"/>
      <c r="AU143" s="41"/>
      <c r="AV143" s="41"/>
      <c r="AW143" s="41"/>
      <c r="AX143" s="41"/>
      <c r="AY143" s="41"/>
      <c r="AZ143" s="41"/>
      <c r="BA143" s="41">
        <f t="shared" si="6"/>
        <v>0</v>
      </c>
      <c r="BB143" s="37"/>
      <c r="BC143" s="55"/>
      <c r="BD143" s="55"/>
      <c r="BE143" s="55"/>
      <c r="BF143" s="55"/>
    </row>
    <row r="144" spans="1:58" ht="12.95" customHeight="1">
      <c r="A144" s="44"/>
      <c r="B144" s="45"/>
      <c r="C144" s="459"/>
      <c r="D144" s="45"/>
      <c r="E144" s="46"/>
      <c r="F144" s="46"/>
      <c r="G144" s="511"/>
      <c r="H144" s="48"/>
      <c r="I144" s="49"/>
      <c r="J144" s="86"/>
      <c r="K144" s="86"/>
      <c r="L144" s="39"/>
      <c r="M144" s="39"/>
      <c r="N144" s="50"/>
      <c r="O144" s="51"/>
      <c r="P144" s="52"/>
      <c r="Q144" s="51"/>
      <c r="R144" s="512"/>
      <c r="S144" s="512"/>
      <c r="T144" s="41"/>
      <c r="U144" s="41"/>
      <c r="V144" s="41"/>
      <c r="W144" s="41"/>
      <c r="X144" s="513"/>
      <c r="Y144" s="214"/>
      <c r="Z144" s="599"/>
      <c r="AA144" s="53"/>
      <c r="AB144" s="53"/>
      <c r="AC144" s="41"/>
      <c r="AD144" s="41">
        <f t="shared" si="7"/>
        <v>60</v>
      </c>
      <c r="AE144" s="235" t="s">
        <v>681</v>
      </c>
      <c r="AF144" s="41"/>
      <c r="AG144" s="41"/>
      <c r="AH144" s="41"/>
      <c r="AI144" s="514"/>
      <c r="AJ144" s="41"/>
      <c r="AK144" s="41"/>
      <c r="AL144" s="41"/>
      <c r="AM144" s="41">
        <f t="shared" si="4"/>
        <v>60</v>
      </c>
      <c r="AN144" s="41"/>
      <c r="AO144" s="41"/>
      <c r="AP144" s="41"/>
      <c r="AQ144" s="41"/>
      <c r="AR144" s="41">
        <f t="shared" si="5"/>
        <v>0</v>
      </c>
      <c r="AS144" s="41"/>
      <c r="AT144" s="41">
        <v>60</v>
      </c>
      <c r="AU144" s="41"/>
      <c r="AV144" s="41"/>
      <c r="AW144" s="41"/>
      <c r="AX144" s="41"/>
      <c r="AY144" s="41"/>
      <c r="AZ144" s="41"/>
      <c r="BA144" s="41">
        <f t="shared" si="6"/>
        <v>0</v>
      </c>
      <c r="BB144" s="37"/>
      <c r="BC144" s="55"/>
      <c r="BD144" s="55"/>
      <c r="BE144" s="55"/>
      <c r="BF144" s="55"/>
    </row>
    <row r="145" spans="1:97" ht="12.95" customHeight="1">
      <c r="A145" s="44"/>
      <c r="B145" s="45"/>
      <c r="C145" s="459"/>
      <c r="D145" s="45"/>
      <c r="E145" s="46"/>
      <c r="F145" s="46"/>
      <c r="G145" s="511"/>
      <c r="H145" s="48"/>
      <c r="I145" s="49"/>
      <c r="J145" s="86"/>
      <c r="K145" s="86"/>
      <c r="L145" s="39"/>
      <c r="M145" s="39"/>
      <c r="N145" s="50"/>
      <c r="O145" s="51"/>
      <c r="P145" s="52"/>
      <c r="Q145" s="51"/>
      <c r="R145" s="512"/>
      <c r="S145" s="512"/>
      <c r="T145" s="41"/>
      <c r="U145" s="41"/>
      <c r="V145" s="41"/>
      <c r="W145" s="41"/>
      <c r="X145" s="513"/>
      <c r="Y145" s="214"/>
      <c r="Z145" s="599"/>
      <c r="AA145" s="53"/>
      <c r="AB145" s="53"/>
      <c r="AC145" s="41"/>
      <c r="AD145" s="41">
        <f t="shared" si="7"/>
        <v>65</v>
      </c>
      <c r="AE145" s="235" t="s">
        <v>687</v>
      </c>
      <c r="AF145" s="41"/>
      <c r="AG145" s="41"/>
      <c r="AH145" s="41"/>
      <c r="AI145" s="514"/>
      <c r="AJ145" s="41"/>
      <c r="AK145" s="41"/>
      <c r="AL145" s="41"/>
      <c r="AM145" s="41">
        <f t="shared" si="4"/>
        <v>0</v>
      </c>
      <c r="AN145" s="41"/>
      <c r="AO145" s="41">
        <v>65</v>
      </c>
      <c r="AP145" s="41"/>
      <c r="AQ145" s="41"/>
      <c r="AR145" s="41">
        <f t="shared" si="5"/>
        <v>65</v>
      </c>
      <c r="AS145" s="41"/>
      <c r="AT145" s="41"/>
      <c r="AU145" s="41"/>
      <c r="AV145" s="41"/>
      <c r="AW145" s="41"/>
      <c r="AX145" s="41"/>
      <c r="AY145" s="41"/>
      <c r="AZ145" s="41"/>
      <c r="BA145" s="41">
        <f t="shared" si="6"/>
        <v>65</v>
      </c>
      <c r="BB145" s="37"/>
      <c r="BC145" s="55"/>
      <c r="BD145" s="55"/>
      <c r="BE145" s="55"/>
      <c r="BF145" s="55"/>
    </row>
    <row r="146" spans="1:97" ht="12.95" customHeight="1">
      <c r="A146" s="44"/>
      <c r="B146" s="45"/>
      <c r="C146" s="459"/>
      <c r="D146" s="45"/>
      <c r="E146" s="46"/>
      <c r="F146" s="46"/>
      <c r="G146" s="511"/>
      <c r="H146" s="48"/>
      <c r="I146" s="49"/>
      <c r="J146" s="86"/>
      <c r="K146" s="86"/>
      <c r="L146" s="39"/>
      <c r="M146" s="39"/>
      <c r="N146" s="50"/>
      <c r="O146" s="51"/>
      <c r="P146" s="52"/>
      <c r="Q146" s="51"/>
      <c r="R146" s="512"/>
      <c r="S146" s="512"/>
      <c r="T146" s="41"/>
      <c r="U146" s="41"/>
      <c r="V146" s="41"/>
      <c r="W146" s="41"/>
      <c r="X146" s="42"/>
      <c r="Y146" s="214"/>
      <c r="Z146" s="599"/>
      <c r="AA146" s="41"/>
      <c r="AB146" s="41"/>
      <c r="AC146" s="41"/>
      <c r="AD146" s="41">
        <f t="shared" si="7"/>
        <v>60</v>
      </c>
      <c r="AE146" s="235" t="s">
        <v>685</v>
      </c>
      <c r="AF146" s="41"/>
      <c r="AG146" s="41"/>
      <c r="AH146" s="41"/>
      <c r="AI146" s="514"/>
      <c r="AJ146" s="41"/>
      <c r="AK146" s="41"/>
      <c r="AL146" s="41"/>
      <c r="AM146" s="41">
        <f t="shared" si="4"/>
        <v>0</v>
      </c>
      <c r="AN146" s="41">
        <v>60</v>
      </c>
      <c r="AO146" s="41"/>
      <c r="AP146" s="41"/>
      <c r="AQ146" s="41"/>
      <c r="AR146" s="41">
        <f t="shared" si="5"/>
        <v>60</v>
      </c>
      <c r="AS146" s="41"/>
      <c r="AT146" s="41"/>
      <c r="AU146" s="41"/>
      <c r="AV146" s="41"/>
      <c r="AW146" s="41"/>
      <c r="AX146" s="41"/>
      <c r="AY146" s="41"/>
      <c r="AZ146" s="41"/>
      <c r="BA146" s="41">
        <f t="shared" si="6"/>
        <v>60</v>
      </c>
      <c r="BB146" s="37"/>
      <c r="BC146" s="55"/>
      <c r="BD146" s="55"/>
      <c r="BE146" s="55"/>
      <c r="BF146" s="55"/>
    </row>
    <row r="147" spans="1:97" ht="12.95" customHeight="1">
      <c r="A147" s="44"/>
      <c r="B147" s="45"/>
      <c r="C147" s="459"/>
      <c r="D147" s="45"/>
      <c r="E147" s="46"/>
      <c r="F147" s="46"/>
      <c r="G147" s="511"/>
      <c r="H147" s="48"/>
      <c r="I147" s="49"/>
      <c r="J147" s="86"/>
      <c r="K147" s="86"/>
      <c r="L147" s="39"/>
      <c r="M147" s="39"/>
      <c r="N147" s="50"/>
      <c r="O147" s="51"/>
      <c r="P147" s="52"/>
      <c r="Q147" s="51"/>
      <c r="R147" s="512"/>
      <c r="S147" s="512"/>
      <c r="T147" s="41"/>
      <c r="U147" s="41"/>
      <c r="V147" s="41"/>
      <c r="W147" s="41"/>
      <c r="X147" s="42"/>
      <c r="Y147" s="214"/>
      <c r="Z147" s="599"/>
      <c r="AA147" s="41"/>
      <c r="AB147" s="41"/>
      <c r="AC147" s="41"/>
      <c r="AD147" s="41"/>
      <c r="AE147" s="232"/>
      <c r="AF147" s="37"/>
      <c r="AG147" s="37"/>
      <c r="AH147" s="37"/>
      <c r="AJ147" s="41"/>
      <c r="AK147" s="41"/>
      <c r="AL147" s="41"/>
      <c r="AM147" s="41"/>
      <c r="AN147" s="41"/>
      <c r="AO147" s="41"/>
      <c r="AP147" s="41"/>
      <c r="AQ147" s="41"/>
      <c r="AR147" s="41"/>
      <c r="AS147" s="41"/>
      <c r="AT147" s="41"/>
      <c r="AU147" s="41"/>
      <c r="AV147" s="41"/>
      <c r="AW147" s="41"/>
      <c r="AX147" s="41"/>
      <c r="AY147" s="41"/>
      <c r="AZ147" s="41"/>
      <c r="BA147" s="41"/>
      <c r="BB147" s="37"/>
      <c r="BC147" s="515"/>
      <c r="BD147" s="55"/>
      <c r="BE147" s="55"/>
      <c r="BF147" s="55"/>
    </row>
    <row r="148" spans="1:97" ht="12.95" customHeight="1">
      <c r="A148" s="44">
        <v>46021</v>
      </c>
      <c r="B148" s="45" t="s">
        <v>439</v>
      </c>
      <c r="C148" s="459">
        <f>(M148*E148*O148*Q148)/100000000</f>
        <v>26.710494455172416</v>
      </c>
      <c r="D148" s="45" t="s">
        <v>384</v>
      </c>
      <c r="E148" s="46">
        <v>16</v>
      </c>
      <c r="F148" s="46">
        <v>1</v>
      </c>
      <c r="G148" s="511">
        <v>830</v>
      </c>
      <c r="H148" s="48">
        <v>0.14000000000000001</v>
      </c>
      <c r="I148" s="49">
        <v>0.88</v>
      </c>
      <c r="J148" s="86">
        <f>E148*G148*(1-H148)*1440/1000000*3.4</f>
        <v>55.916236799999993</v>
      </c>
      <c r="K148" s="86">
        <f>(IF(G148&lt;L148,L148,G148)*(1-IF(H148&lt;N148,H148,N148))*E148*O148*Q148)/100000000</f>
        <v>26.710494455172416</v>
      </c>
      <c r="L148" s="39">
        <v>830</v>
      </c>
      <c r="M148" s="39">
        <v>713.8</v>
      </c>
      <c r="N148" s="50">
        <f>1-(M148/L148)</f>
        <v>0.14000000000000001</v>
      </c>
      <c r="O148" s="51">
        <f>+'Trim Rwd'!H98</f>
        <v>324.82758620689657</v>
      </c>
      <c r="P148" s="52">
        <f>O148*(Q148-R148-S148)</f>
        <v>226404.8275862069</v>
      </c>
      <c r="Q148" s="51">
        <v>720</v>
      </c>
      <c r="R148" s="512">
        <v>0</v>
      </c>
      <c r="S148" s="512">
        <v>23</v>
      </c>
      <c r="T148" s="41">
        <f>E148*M148*O148*Q148/100000000</f>
        <v>26.710494455172416</v>
      </c>
      <c r="U148" s="41">
        <f>E148*M148*O148*(Q148-R148-S148)/100000000</f>
        <v>25.857242548965516</v>
      </c>
      <c r="V148" s="41">
        <f>E148*G148*(1-N148)*O148/100*(R148+S148)/1000000</f>
        <v>0.8532519062068965</v>
      </c>
      <c r="W148" s="41">
        <f>+'30'!K25/1000</f>
        <v>24.05</v>
      </c>
      <c r="X148" s="42">
        <f>SUM(W148:W151)/SUM(K148:K151)</f>
        <v>0.97153986567971995</v>
      </c>
      <c r="Y148" s="214">
        <v>0</v>
      </c>
      <c r="Z148" s="41">
        <f>+('30'!D7+'30'!D16)/1000</f>
        <v>0.19700000000000001</v>
      </c>
      <c r="AA148" s="41">
        <f>SUM(U148:U151)-SUM(W148:W151)-SUM(Z148:Z151)-SUM(Y148:Y151)</f>
        <v>-0.48550366403448508</v>
      </c>
      <c r="AB148" s="41">
        <f>(SUM(K148:K151)-SUM(W148:W151)-SUM(Y148:Y151)-SUM(Z148:Z151)-SUM(AC148:AC151)-SUM(V148:V151))-AA148</f>
        <v>-4.9960036108132044E-15</v>
      </c>
      <c r="AC148" s="41">
        <f>K148-T148</f>
        <v>0</v>
      </c>
      <c r="AD148" s="41">
        <f>+AM148+BA148</f>
        <v>6</v>
      </c>
      <c r="AE148" s="232" t="s">
        <v>701</v>
      </c>
      <c r="AF148" s="37">
        <v>6</v>
      </c>
      <c r="AG148" s="37"/>
      <c r="AH148" s="37"/>
      <c r="AJ148" s="41"/>
      <c r="AK148" s="41"/>
      <c r="AL148" s="41"/>
      <c r="AM148" s="41">
        <f>SUM(AF148:AL148)+AT148+AV148+AX148</f>
        <v>6</v>
      </c>
      <c r="AN148" s="41"/>
      <c r="AO148" s="41"/>
      <c r="AP148" s="41"/>
      <c r="AQ148" s="41"/>
      <c r="AR148" s="41">
        <f>SUM(AN148:AQ148)</f>
        <v>0</v>
      </c>
      <c r="AS148" s="41"/>
      <c r="AT148" s="41"/>
      <c r="AU148" s="41"/>
      <c r="AV148" s="41"/>
      <c r="AW148" s="41"/>
      <c r="AX148" s="41"/>
      <c r="AY148" s="41"/>
      <c r="AZ148" s="41"/>
      <c r="BA148" s="41">
        <f>+AR148+AS148+AU148+AW148+AY148+AZ148</f>
        <v>0</v>
      </c>
      <c r="BB148" s="37">
        <v>1</v>
      </c>
      <c r="BC148" s="515"/>
      <c r="BD148" s="55"/>
      <c r="BE148" s="55"/>
      <c r="BF148" s="55"/>
    </row>
    <row r="149" spans="1:97" ht="12.95" customHeight="1">
      <c r="A149" s="44"/>
      <c r="B149" s="45" t="s">
        <v>439</v>
      </c>
      <c r="C149" s="459">
        <f>(M149*E149*O149*Q149)/100000000</f>
        <v>27.390219119999994</v>
      </c>
      <c r="D149" s="45" t="s">
        <v>384</v>
      </c>
      <c r="E149" s="46">
        <v>16.5</v>
      </c>
      <c r="F149" s="46">
        <v>1</v>
      </c>
      <c r="G149" s="511">
        <v>830</v>
      </c>
      <c r="H149" s="48">
        <v>0.14000000000000001</v>
      </c>
      <c r="I149" s="49">
        <v>0.88</v>
      </c>
      <c r="J149" s="86">
        <f>E149*G149*(1-H149)*1440/1000000*3.4</f>
        <v>57.663619199999999</v>
      </c>
      <c r="K149" s="86">
        <f>(IF(G149&lt;L149,L149,G149)*(1-IF(H149&lt;N149,H149,N149))*E149*O149*Q149)/100000000</f>
        <v>27.390219119999994</v>
      </c>
      <c r="L149" s="39">
        <v>830</v>
      </c>
      <c r="M149" s="39">
        <v>713.8</v>
      </c>
      <c r="N149" s="50">
        <f>1-(M149/L149)</f>
        <v>0.14000000000000001</v>
      </c>
      <c r="O149" s="51">
        <f>+'Trim Rwd'!H100</f>
        <v>323</v>
      </c>
      <c r="P149" s="52">
        <f>O149*(Q149-R149-S149)</f>
        <v>225131</v>
      </c>
      <c r="Q149" s="51">
        <v>720</v>
      </c>
      <c r="R149" s="512">
        <v>0</v>
      </c>
      <c r="S149" s="512">
        <v>23</v>
      </c>
      <c r="T149" s="41">
        <f>E149*M149*O149*Q149/100000000</f>
        <v>27.390219119999994</v>
      </c>
      <c r="U149" s="41">
        <f>E149*M149*O149*(Q149-R149-S149)/100000000</f>
        <v>26.515253786999999</v>
      </c>
      <c r="V149" s="41">
        <f>E149*G149*(1-N149)*O149/100*(R149+S149)/1000000</f>
        <v>0.87496533300000001</v>
      </c>
      <c r="W149" s="41">
        <f>+'30'!K26/1000</f>
        <v>28.510999999999999</v>
      </c>
      <c r="X149" s="42"/>
      <c r="Y149" s="214"/>
      <c r="Z149" s="599">
        <f>+'30'!D25/1000</f>
        <v>0.1</v>
      </c>
      <c r="AA149" s="41"/>
      <c r="AB149" s="41"/>
      <c r="AC149" s="41">
        <f>K149-T149</f>
        <v>0</v>
      </c>
      <c r="AD149" s="41">
        <f>+AM149+BA149</f>
        <v>21</v>
      </c>
      <c r="AE149" s="232" t="s">
        <v>680</v>
      </c>
      <c r="AF149" s="41"/>
      <c r="AG149" s="41">
        <v>21</v>
      </c>
      <c r="AH149" s="41"/>
      <c r="AI149" s="41"/>
      <c r="AJ149" s="41"/>
      <c r="AK149" s="41"/>
      <c r="AL149" s="41"/>
      <c r="AM149" s="41">
        <f>SUM(AF149:AL149)+AT149+AV149+AX149</f>
        <v>21</v>
      </c>
      <c r="AN149" s="41"/>
      <c r="AO149" s="41"/>
      <c r="AP149" s="41"/>
      <c r="AQ149" s="41"/>
      <c r="AR149" s="41">
        <f>SUM(AN149:AQ149)</f>
        <v>0</v>
      </c>
      <c r="AS149" s="41"/>
      <c r="AT149" s="41"/>
      <c r="AU149" s="41"/>
      <c r="AV149" s="41"/>
      <c r="AW149" s="41"/>
      <c r="AX149" s="41"/>
      <c r="AY149" s="41"/>
      <c r="AZ149" s="41"/>
      <c r="BA149" s="41">
        <f>+AR149+AS149+AU149+AW149+AY149+AZ149</f>
        <v>0</v>
      </c>
      <c r="BB149" s="37"/>
      <c r="BC149" s="55">
        <v>6</v>
      </c>
      <c r="BD149" s="55"/>
      <c r="BE149" s="55"/>
      <c r="BF149" s="55"/>
    </row>
    <row r="150" spans="1:97" ht="12.95" customHeight="1">
      <c r="A150" s="44"/>
      <c r="B150" s="45"/>
      <c r="C150" s="459"/>
      <c r="D150" s="45"/>
      <c r="E150" s="46"/>
      <c r="F150" s="46"/>
      <c r="G150" s="511"/>
      <c r="H150" s="48"/>
      <c r="I150" s="49"/>
      <c r="J150" s="86"/>
      <c r="K150" s="86"/>
      <c r="L150" s="39"/>
      <c r="M150" s="39"/>
      <c r="N150" s="50"/>
      <c r="O150" s="51"/>
      <c r="P150" s="52"/>
      <c r="Q150" s="51"/>
      <c r="R150" s="512"/>
      <c r="S150" s="512"/>
      <c r="T150" s="41"/>
      <c r="U150" s="41"/>
      <c r="V150" s="41"/>
      <c r="W150" s="41"/>
      <c r="X150" s="513"/>
      <c r="Y150" s="214"/>
      <c r="Z150" s="599"/>
      <c r="AA150" s="53"/>
      <c r="AB150" s="53"/>
      <c r="AC150" s="41"/>
      <c r="AD150" s="41">
        <f>+AM150+BA150</f>
        <v>19</v>
      </c>
      <c r="AE150" s="232" t="s">
        <v>226</v>
      </c>
      <c r="AF150" s="41"/>
      <c r="AG150" s="41"/>
      <c r="AH150" s="41">
        <v>19</v>
      </c>
      <c r="AI150" s="514"/>
      <c r="AJ150" s="41"/>
      <c r="AK150" s="41"/>
      <c r="AL150" s="41"/>
      <c r="AM150" s="41">
        <f>SUM(AF150:AL150)+AT150+AV150+AX150</f>
        <v>19</v>
      </c>
      <c r="AN150" s="41"/>
      <c r="AO150" s="41"/>
      <c r="AP150" s="41"/>
      <c r="AQ150" s="41"/>
      <c r="AR150" s="41">
        <f>SUM(AN150:AQ150)</f>
        <v>0</v>
      </c>
      <c r="AS150" s="41"/>
      <c r="AT150" s="41"/>
      <c r="AU150" s="41"/>
      <c r="AV150" s="41"/>
      <c r="AW150" s="41"/>
      <c r="AX150" s="41"/>
      <c r="AY150" s="41"/>
      <c r="AZ150" s="41"/>
      <c r="BA150" s="41">
        <f>+AR150+AS150+AU150+AW150+AY150+AZ150</f>
        <v>0</v>
      </c>
      <c r="BB150" s="37"/>
      <c r="BC150" s="55"/>
      <c r="BD150" s="55"/>
      <c r="BE150" s="55"/>
      <c r="BF150" s="55"/>
    </row>
    <row r="151" spans="1:97" ht="12.95" customHeight="1">
      <c r="A151" s="44"/>
      <c r="B151" s="45"/>
      <c r="C151" s="459"/>
      <c r="D151" s="45"/>
      <c r="E151" s="46"/>
      <c r="F151" s="46"/>
      <c r="G151" s="511"/>
      <c r="H151" s="48"/>
      <c r="I151" s="49"/>
      <c r="J151" s="86"/>
      <c r="K151" s="86"/>
      <c r="L151" s="39"/>
      <c r="M151" s="39"/>
      <c r="N151" s="50"/>
      <c r="O151" s="51"/>
      <c r="P151" s="52"/>
      <c r="Q151" s="51"/>
      <c r="R151" s="512"/>
      <c r="S151" s="512"/>
      <c r="T151" s="41"/>
      <c r="U151" s="41"/>
      <c r="V151" s="41"/>
      <c r="W151" s="41"/>
      <c r="X151" s="42"/>
      <c r="Y151" s="214"/>
      <c r="Z151" s="599"/>
      <c r="AA151" s="41"/>
      <c r="AB151" s="41"/>
      <c r="AC151" s="41"/>
      <c r="AD151" s="41"/>
      <c r="AE151" s="232"/>
      <c r="AF151" s="37"/>
      <c r="AG151" s="37"/>
      <c r="AH151" s="37"/>
      <c r="AJ151" s="41"/>
      <c r="AK151" s="41"/>
      <c r="AL151" s="41"/>
      <c r="AM151" s="41"/>
      <c r="AN151" s="41"/>
      <c r="AO151" s="41"/>
      <c r="AP151" s="41"/>
      <c r="AQ151" s="41"/>
      <c r="AR151" s="41"/>
      <c r="AS151" s="41"/>
      <c r="AT151" s="41"/>
      <c r="AU151" s="41"/>
      <c r="AV151" s="41"/>
      <c r="AW151" s="41"/>
      <c r="AX151" s="41"/>
      <c r="AY151" s="41"/>
      <c r="AZ151" s="41"/>
      <c r="BA151" s="41"/>
      <c r="BB151" s="37"/>
      <c r="BC151" s="515"/>
      <c r="BD151" s="55"/>
      <c r="BE151" s="55"/>
      <c r="BF151" s="55"/>
    </row>
    <row r="152" spans="1:97" ht="12.95" customHeight="1">
      <c r="A152" s="44">
        <v>46387</v>
      </c>
      <c r="B152" s="45" t="s">
        <v>439</v>
      </c>
      <c r="C152" s="459">
        <f>(M152*E152*O152*Q152)/100000000</f>
        <v>13.238605908</v>
      </c>
      <c r="D152" s="45" t="s">
        <v>384</v>
      </c>
      <c r="E152" s="46">
        <v>16.5</v>
      </c>
      <c r="F152" s="46">
        <v>1</v>
      </c>
      <c r="G152" s="511">
        <v>830</v>
      </c>
      <c r="H152" s="48">
        <v>0.14000000000000001</v>
      </c>
      <c r="I152" s="49">
        <v>0.88</v>
      </c>
      <c r="J152" s="86">
        <f>E152*G152*(1-H152)*1440/1000000*3.4</f>
        <v>57.663619199999999</v>
      </c>
      <c r="K152" s="86">
        <f>(IF(G152&lt;L152,L152,G152)*(1-IF(H152&lt;N152,H152,N152))*E152*O152*Q152)/100000000</f>
        <v>13.238605908</v>
      </c>
      <c r="L152" s="39">
        <v>830</v>
      </c>
      <c r="M152" s="39">
        <v>713.8</v>
      </c>
      <c r="N152" s="50">
        <f>1-(M152/L152)</f>
        <v>0.14000000000000001</v>
      </c>
      <c r="O152" s="51">
        <f>+'Trim Rwd'!H105</f>
        <v>323</v>
      </c>
      <c r="P152" s="52">
        <f>O152*(Q152-R152-S152)</f>
        <v>110789</v>
      </c>
      <c r="Q152" s="51">
        <v>348</v>
      </c>
      <c r="R152" s="512">
        <v>0</v>
      </c>
      <c r="S152" s="512">
        <v>5</v>
      </c>
      <c r="T152" s="41">
        <f>E152*M152*O152*Q152/100000000</f>
        <v>13.238605908</v>
      </c>
      <c r="U152" s="41">
        <f>E152*M152*O152*(Q152-R152-S152)/100000000</f>
        <v>13.048396052999999</v>
      </c>
      <c r="V152" s="41">
        <f>E152*G152*(1-N152)*O152/100*(R152+S152)/1000000</f>
        <v>0.19020985499999998</v>
      </c>
      <c r="W152" s="41">
        <f>+'31'!K26/1000</f>
        <v>10.287000000000001</v>
      </c>
      <c r="X152" s="42">
        <f>SUM(W152:W155)/SUM(K152:K155)</f>
        <v>1.0004635914833877</v>
      </c>
      <c r="Y152" s="214">
        <f>+SUM(RBP!$AG$3:$AG$4)</f>
        <v>1.1000000000000001</v>
      </c>
      <c r="Z152" s="41">
        <v>0</v>
      </c>
      <c r="AA152" s="41">
        <f>SUM(U152:U155)-SUM(W152:W155)-SUM(Z152:Z155)-SUM(Y152:Y155)</f>
        <v>-2.6262573390000044</v>
      </c>
      <c r="AB152" s="41">
        <f>(SUM(K152:K155)-SUM(W152:W155)-SUM(Y152:Y155)-SUM(Z152:Z155)-SUM(AC152:AC155)-SUM(V152:V155))-AA152</f>
        <v>0</v>
      </c>
      <c r="AC152" s="41">
        <f>K152-T152</f>
        <v>0</v>
      </c>
      <c r="AD152" s="41">
        <f>+AM152+BA152</f>
        <v>0</v>
      </c>
      <c r="AE152" s="232" t="s">
        <v>395</v>
      </c>
      <c r="AF152" s="37">
        <v>0</v>
      </c>
      <c r="AG152" s="37"/>
      <c r="AH152" s="37"/>
      <c r="AJ152" s="41"/>
      <c r="AK152" s="41"/>
      <c r="AL152" s="41"/>
      <c r="AM152" s="41">
        <f>SUM(AF152:AL152)+AT152+AV152+AX152</f>
        <v>0</v>
      </c>
      <c r="AN152" s="41"/>
      <c r="AO152" s="41"/>
      <c r="AP152" s="41"/>
      <c r="AQ152" s="41"/>
      <c r="AR152" s="41">
        <f>SUM(AN152:AQ152)</f>
        <v>0</v>
      </c>
      <c r="AS152" s="41"/>
      <c r="AT152" s="41"/>
      <c r="AU152" s="41"/>
      <c r="AV152" s="41"/>
      <c r="AW152" s="41"/>
      <c r="AX152" s="41"/>
      <c r="AY152" s="41"/>
      <c r="AZ152" s="41"/>
      <c r="BA152" s="41">
        <f>+AR152+AS152+AU152+AW152+AY152+AZ152</f>
        <v>0</v>
      </c>
      <c r="BB152" s="37">
        <v>1</v>
      </c>
      <c r="BC152" s="515"/>
      <c r="BD152" s="55"/>
      <c r="BE152" s="55"/>
      <c r="BF152" s="55"/>
    </row>
    <row r="153" spans="1:97" ht="12.95" customHeight="1">
      <c r="A153" s="44"/>
      <c r="B153" s="45" t="s">
        <v>439</v>
      </c>
      <c r="C153" s="459">
        <f>(M153*E153*O153*Q153)/100000000</f>
        <v>32.710998527999998</v>
      </c>
      <c r="D153" s="45" t="s">
        <v>384</v>
      </c>
      <c r="E153" s="46">
        <v>17</v>
      </c>
      <c r="F153" s="46">
        <v>1</v>
      </c>
      <c r="G153" s="511">
        <v>830</v>
      </c>
      <c r="H153" s="48">
        <v>0.14000000000000001</v>
      </c>
      <c r="I153" s="49">
        <v>0.88</v>
      </c>
      <c r="J153" s="86">
        <f>E153*G153*(1-H153)*1440/1000000*3.4</f>
        <v>59.411001599999999</v>
      </c>
      <c r="K153" s="86">
        <f>(IF(G153&lt;L153,L153,G153)*(1-IF(H153&lt;N153,H153,N153))*E153*O153*Q153)/100000000</f>
        <v>32.710998527999998</v>
      </c>
      <c r="L153" s="39">
        <v>830</v>
      </c>
      <c r="M153" s="39">
        <v>713.8</v>
      </c>
      <c r="N153" s="50">
        <f>1-(M153/L153)</f>
        <v>0.14000000000000001</v>
      </c>
      <c r="O153" s="51">
        <f>+'Trim Rwd'!H106</f>
        <v>324</v>
      </c>
      <c r="P153" s="52">
        <f>O153*(Q153-R153-S153)</f>
        <v>264708</v>
      </c>
      <c r="Q153" s="51">
        <v>832</v>
      </c>
      <c r="R153" s="512">
        <v>0</v>
      </c>
      <c r="S153" s="512">
        <v>15</v>
      </c>
      <c r="T153" s="41">
        <f>E153*M153*O153*Q153/100000000</f>
        <v>32.710998527999998</v>
      </c>
      <c r="U153" s="41">
        <f>E153*M153*O153*(Q153-R153-S153)/100000000</f>
        <v>32.121256967999997</v>
      </c>
      <c r="V153" s="41">
        <f>E153*G153*(1-N153)*O153/100*(R153+S153)/1000000</f>
        <v>0.58974155999999989</v>
      </c>
      <c r="W153" s="41">
        <f>+'31'!K27/1000</f>
        <v>42.773000000000003</v>
      </c>
      <c r="X153" s="42"/>
      <c r="Y153" s="214"/>
      <c r="Z153" s="599">
        <f>+'31'!D25/1000</f>
        <v>0.5</v>
      </c>
      <c r="AA153" s="41"/>
      <c r="AB153" s="41"/>
      <c r="AC153" s="41">
        <f>K153-T153</f>
        <v>0</v>
      </c>
      <c r="AD153" s="41">
        <f>+AM153+BA153</f>
        <v>7</v>
      </c>
      <c r="AE153" s="232" t="s">
        <v>440</v>
      </c>
      <c r="AF153" s="41"/>
      <c r="AG153" s="41">
        <v>7</v>
      </c>
      <c r="AH153" s="41"/>
      <c r="AI153" s="41"/>
      <c r="AJ153" s="41"/>
      <c r="AK153" s="41"/>
      <c r="AL153" s="41"/>
      <c r="AM153" s="41">
        <f>SUM(AF153:AL153)+AT153+AV153+AX153</f>
        <v>7</v>
      </c>
      <c r="AN153" s="41"/>
      <c r="AO153" s="41"/>
      <c r="AP153" s="41"/>
      <c r="AQ153" s="41"/>
      <c r="AR153" s="41">
        <f>SUM(AN153:AQ153)</f>
        <v>0</v>
      </c>
      <c r="AS153" s="41"/>
      <c r="AT153" s="41"/>
      <c r="AU153" s="41"/>
      <c r="AV153" s="41"/>
      <c r="AW153" s="41"/>
      <c r="AX153" s="41"/>
      <c r="AY153" s="41"/>
      <c r="AZ153" s="41"/>
      <c r="BA153" s="41">
        <f>+AR153+AS153+AU153+AW153+AY153+AZ153</f>
        <v>0</v>
      </c>
      <c r="BB153" s="37"/>
      <c r="BC153" s="55">
        <v>6</v>
      </c>
      <c r="BD153" s="55"/>
      <c r="BE153" s="55"/>
      <c r="BF153" s="55"/>
    </row>
    <row r="154" spans="1:97" ht="12.95" customHeight="1">
      <c r="A154" s="44"/>
      <c r="B154" s="45" t="s">
        <v>439</v>
      </c>
      <c r="C154" s="459">
        <f>(M154*E154*O154*Q154)/100000000</f>
        <v>11.42479728</v>
      </c>
      <c r="D154" s="45" t="s">
        <v>384</v>
      </c>
      <c r="E154" s="46">
        <v>19</v>
      </c>
      <c r="F154" s="46">
        <v>1</v>
      </c>
      <c r="G154" s="511">
        <v>830</v>
      </c>
      <c r="H154" s="48">
        <v>0.14000000000000001</v>
      </c>
      <c r="I154" s="49">
        <v>0.88</v>
      </c>
      <c r="J154" s="86">
        <f>E154*G154*(1-H154)*1440/1000000*3.4</f>
        <v>66.400531200000003</v>
      </c>
      <c r="K154" s="86">
        <f>(IF(G154&lt;L154,L154,G154)*(1-IF(H154&lt;N154,H154,N154))*E154*O154*Q154)/100000000</f>
        <v>11.42479728</v>
      </c>
      <c r="L154" s="39">
        <v>830</v>
      </c>
      <c r="M154" s="39">
        <v>713.8</v>
      </c>
      <c r="N154" s="50">
        <f>1-(M154/L154)</f>
        <v>0.14000000000000001</v>
      </c>
      <c r="O154" s="51">
        <f>+'Trim Rwd'!H107</f>
        <v>324</v>
      </c>
      <c r="P154" s="52">
        <f>O154*(Q154-R154-S154)</f>
        <v>82620</v>
      </c>
      <c r="Q154" s="51">
        <v>260</v>
      </c>
      <c r="R154" s="512">
        <v>0</v>
      </c>
      <c r="S154" s="512">
        <v>5</v>
      </c>
      <c r="T154" s="41">
        <f>E154*M154*O154*Q154/100000000</f>
        <v>11.42479728</v>
      </c>
      <c r="U154" s="41">
        <f>E154*M154*O154*(Q154-R154-S154)/100000000</f>
        <v>11.205089640000001</v>
      </c>
      <c r="V154" s="41">
        <f>E154*G154*(1-N154)*O154/100*(R154+S154)/1000000</f>
        <v>0.21970763999999998</v>
      </c>
      <c r="W154" s="41">
        <f>+'31'!K28/1000</f>
        <v>4.3410000000000002</v>
      </c>
      <c r="X154" s="513"/>
      <c r="Y154" s="214"/>
      <c r="Z154" s="599"/>
      <c r="AA154" s="53"/>
      <c r="AB154" s="53"/>
      <c r="AC154" s="41">
        <f>K154-T154</f>
        <v>0</v>
      </c>
      <c r="AD154" s="41">
        <f>+AM154+BA154</f>
        <v>8</v>
      </c>
      <c r="AE154" s="232" t="s">
        <v>226</v>
      </c>
      <c r="AF154" s="41"/>
      <c r="AG154" s="41"/>
      <c r="AH154" s="41">
        <v>8</v>
      </c>
      <c r="AI154" s="514"/>
      <c r="AJ154" s="41"/>
      <c r="AK154" s="41"/>
      <c r="AL154" s="41"/>
      <c r="AM154" s="41">
        <f>SUM(AF154:AL154)+AT154+AV154+AX154</f>
        <v>8</v>
      </c>
      <c r="AN154" s="41"/>
      <c r="AO154" s="41"/>
      <c r="AP154" s="41"/>
      <c r="AQ154" s="41"/>
      <c r="AR154" s="41">
        <f>SUM(AN154:AQ154)</f>
        <v>0</v>
      </c>
      <c r="AS154" s="41"/>
      <c r="AT154" s="41"/>
      <c r="AU154" s="41"/>
      <c r="AV154" s="41"/>
      <c r="AW154" s="41"/>
      <c r="AX154" s="41"/>
      <c r="AY154" s="41"/>
      <c r="AZ154" s="41"/>
      <c r="BA154" s="41">
        <f>+AR154+AS154+AU154+AW154+AY154+AZ154</f>
        <v>0</v>
      </c>
      <c r="BB154" s="37"/>
      <c r="BC154" s="55"/>
      <c r="BD154" s="55"/>
      <c r="BE154" s="55"/>
      <c r="BF154" s="55"/>
    </row>
    <row r="155" spans="1:97" ht="12.95" customHeight="1">
      <c r="A155" s="44"/>
      <c r="B155" s="45"/>
      <c r="C155" s="459"/>
      <c r="D155" s="45"/>
      <c r="E155" s="46"/>
      <c r="F155" s="46"/>
      <c r="G155" s="511"/>
      <c r="H155" s="48"/>
      <c r="I155" s="49"/>
      <c r="J155" s="86"/>
      <c r="K155" s="86"/>
      <c r="L155" s="39"/>
      <c r="M155" s="39"/>
      <c r="N155" s="50"/>
      <c r="O155" s="51"/>
      <c r="P155" s="52"/>
      <c r="Q155" s="51"/>
      <c r="R155" s="512"/>
      <c r="S155" s="512"/>
      <c r="T155" s="41"/>
      <c r="U155" s="41"/>
      <c r="V155" s="41"/>
      <c r="W155" s="41"/>
      <c r="X155" s="42"/>
      <c r="Y155" s="214"/>
      <c r="Z155" s="599"/>
      <c r="AA155" s="41"/>
      <c r="AB155" s="41"/>
      <c r="AC155" s="41"/>
      <c r="AD155" s="41">
        <f>+AM155+BA155</f>
        <v>10</v>
      </c>
      <c r="AE155" s="232" t="s">
        <v>531</v>
      </c>
      <c r="AF155" s="37"/>
      <c r="AG155" s="37"/>
      <c r="AH155" s="37"/>
      <c r="AI155" s="33">
        <v>10</v>
      </c>
      <c r="AJ155" s="41"/>
      <c r="AK155" s="41"/>
      <c r="AL155" s="41"/>
      <c r="AM155" s="41">
        <f>SUM(AF155:AL155)+AT155+AV155+AX155</f>
        <v>10</v>
      </c>
      <c r="AN155" s="41"/>
      <c r="AO155" s="41"/>
      <c r="AP155" s="41"/>
      <c r="AQ155" s="41"/>
      <c r="AR155" s="41">
        <f>SUM(AN155:AQ155)</f>
        <v>0</v>
      </c>
      <c r="AS155" s="41"/>
      <c r="AT155" s="41"/>
      <c r="AU155" s="41"/>
      <c r="AV155" s="41"/>
      <c r="AW155" s="41"/>
      <c r="AX155" s="41"/>
      <c r="AY155" s="41"/>
      <c r="AZ155" s="41"/>
      <c r="BA155" s="41">
        <f>+AR155+AS155+AU155+AW155+AY155+AZ155</f>
        <v>0</v>
      </c>
      <c r="BB155" s="37"/>
      <c r="BC155" s="55"/>
      <c r="BD155" s="55"/>
      <c r="BE155" s="55"/>
      <c r="BF155" s="55"/>
    </row>
    <row r="156" spans="1:97" ht="12.95" customHeight="1">
      <c r="A156" s="44"/>
      <c r="B156" s="3"/>
      <c r="C156" s="459"/>
      <c r="D156" s="45"/>
      <c r="E156" s="46"/>
      <c r="F156" s="46"/>
      <c r="G156" s="47"/>
      <c r="H156" s="48"/>
      <c r="I156" s="49"/>
      <c r="J156" s="86"/>
      <c r="K156" s="86"/>
      <c r="L156" s="39"/>
      <c r="M156" s="39"/>
      <c r="N156" s="50"/>
      <c r="O156" s="51"/>
      <c r="P156" s="52"/>
      <c r="Q156" s="38"/>
      <c r="R156" s="512"/>
      <c r="S156" s="512"/>
      <c r="T156" s="41"/>
      <c r="U156" s="41"/>
      <c r="V156" s="41"/>
      <c r="W156" s="41"/>
      <c r="X156" s="42"/>
      <c r="Y156" s="42"/>
      <c r="Z156" s="599"/>
      <c r="AA156" s="53"/>
      <c r="AB156" s="53"/>
      <c r="AC156" s="41"/>
      <c r="AD156" s="41"/>
      <c r="AE156" s="235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/>
      <c r="AP156" s="41"/>
      <c r="AQ156" s="41"/>
      <c r="AR156" s="41"/>
      <c r="AS156" s="41"/>
      <c r="AT156" s="41"/>
      <c r="AU156" s="41"/>
      <c r="AV156" s="41"/>
      <c r="AW156" s="41"/>
      <c r="AX156" s="41"/>
      <c r="AY156" s="41"/>
      <c r="AZ156" s="41"/>
      <c r="BA156" s="41"/>
      <c r="BB156" s="37"/>
      <c r="BC156" s="55"/>
      <c r="BD156" s="515"/>
      <c r="BE156" s="37"/>
      <c r="BF156" s="515"/>
    </row>
    <row r="157" spans="1:97">
      <c r="R157" s="516"/>
      <c r="S157" s="516"/>
      <c r="AA157" s="249">
        <f>U157-W157-Z157</f>
        <v>0</v>
      </c>
      <c r="AB157" s="249"/>
      <c r="AC157" s="250">
        <f>K157-T157</f>
        <v>0</v>
      </c>
      <c r="AD157" s="41"/>
      <c r="AF157" s="56"/>
      <c r="AG157" s="56"/>
      <c r="AH157" s="56"/>
      <c r="AI157" s="56"/>
      <c r="AJ157" s="56"/>
      <c r="AK157" s="56"/>
      <c r="AL157" s="56"/>
      <c r="AM157" s="41"/>
      <c r="AN157" s="56"/>
      <c r="AO157" s="56"/>
      <c r="AP157" s="56"/>
      <c r="AQ157" s="56"/>
      <c r="AR157" s="41"/>
      <c r="AS157" s="56"/>
      <c r="AT157" s="56"/>
      <c r="AU157" s="56"/>
      <c r="AV157" s="56"/>
      <c r="AW157" s="56"/>
      <c r="AX157" s="56"/>
      <c r="AY157" s="56"/>
      <c r="AZ157" s="56"/>
      <c r="BA157" s="41"/>
      <c r="BB157" s="67"/>
      <c r="BC157" s="67"/>
      <c r="BD157" s="515"/>
      <c r="BE157" s="37"/>
      <c r="BF157" s="515"/>
    </row>
    <row r="158" spans="1:97">
      <c r="A158" s="60"/>
      <c r="B158" s="61"/>
      <c r="C158" s="461">
        <f>SUM(C6:C156)</f>
        <v>1998.4032592128738</v>
      </c>
      <c r="D158" s="61"/>
      <c r="E158" s="62"/>
      <c r="F158" s="62"/>
      <c r="G158" s="63"/>
      <c r="H158" s="63"/>
      <c r="I158" s="64">
        <v>0.85</v>
      </c>
      <c r="J158" s="86"/>
      <c r="K158" s="88">
        <f>SUM(K6:K156)</f>
        <v>2039.0848157902244</v>
      </c>
      <c r="L158" s="66"/>
      <c r="M158" s="66"/>
      <c r="N158" s="67"/>
      <c r="O158" s="68">
        <f>P158/(Q158-R158-S158)</f>
        <v>322.80344438368746</v>
      </c>
      <c r="P158" s="65">
        <f>SUM(P6:P156)</f>
        <v>13135194.955416627</v>
      </c>
      <c r="Q158" s="384">
        <f>SUM(Q6:Q157)</f>
        <v>44640</v>
      </c>
      <c r="R158" s="65">
        <f t="shared" ref="R158:W158" si="8">SUM(R6:R156)</f>
        <v>2971</v>
      </c>
      <c r="S158" s="65">
        <f t="shared" si="8"/>
        <v>978</v>
      </c>
      <c r="T158" s="65">
        <f t="shared" si="8"/>
        <v>1998.4032592128738</v>
      </c>
      <c r="U158" s="65">
        <f t="shared" si="8"/>
        <v>1836.5661076724512</v>
      </c>
      <c r="V158" s="408">
        <f t="shared" si="8"/>
        <v>175.18573259112657</v>
      </c>
      <c r="W158" s="465">
        <f t="shared" si="8"/>
        <v>1773.8999999999999</v>
      </c>
      <c r="X158" s="517">
        <f>W158/K158</f>
        <v>0.8699490998428846</v>
      </c>
      <c r="Y158" s="409">
        <f>SUM(Y6:Y156)</f>
        <v>1.1000000000000001</v>
      </c>
      <c r="Z158" s="465">
        <f>SUM(Z6:Z156)</f>
        <v>21.292999999999999</v>
      </c>
      <c r="AA158" s="65">
        <f>SUM(AA6:AA156)</f>
        <v>40.273107672451282</v>
      </c>
      <c r="AB158" s="65">
        <f>SUM(AB6:AB156)</f>
        <v>-13.348581050704029</v>
      </c>
      <c r="AC158" s="65">
        <f>SUM(AC6:AC156)</f>
        <v>40.681556577350619</v>
      </c>
      <c r="AD158" s="41">
        <f>SUM(AD6:AD157)</f>
        <v>3949</v>
      </c>
      <c r="AE158" s="69"/>
      <c r="AF158" s="65">
        <f t="shared" ref="AF158:BF158" si="9">SUM(AF6:AF157)</f>
        <v>79</v>
      </c>
      <c r="AG158" s="65">
        <f t="shared" si="9"/>
        <v>332</v>
      </c>
      <c r="AH158" s="65">
        <f t="shared" si="9"/>
        <v>413</v>
      </c>
      <c r="AI158" s="65">
        <f t="shared" si="9"/>
        <v>94</v>
      </c>
      <c r="AJ158" s="65">
        <f t="shared" si="9"/>
        <v>0</v>
      </c>
      <c r="AK158" s="65">
        <f t="shared" si="9"/>
        <v>0</v>
      </c>
      <c r="AL158" s="65">
        <f t="shared" si="9"/>
        <v>0</v>
      </c>
      <c r="AM158" s="65">
        <f t="shared" si="9"/>
        <v>978</v>
      </c>
      <c r="AN158" s="56">
        <f t="shared" si="9"/>
        <v>346</v>
      </c>
      <c r="AO158" s="56">
        <f t="shared" si="9"/>
        <v>765</v>
      </c>
      <c r="AP158" s="56">
        <f t="shared" si="9"/>
        <v>315</v>
      </c>
      <c r="AQ158" s="56">
        <f t="shared" si="9"/>
        <v>0</v>
      </c>
      <c r="AR158" s="65">
        <f t="shared" si="9"/>
        <v>1426</v>
      </c>
      <c r="AS158" s="65">
        <f t="shared" si="9"/>
        <v>0</v>
      </c>
      <c r="AT158" s="65">
        <f t="shared" si="9"/>
        <v>60</v>
      </c>
      <c r="AU158" s="65">
        <f t="shared" si="9"/>
        <v>1440</v>
      </c>
      <c r="AV158" s="65">
        <f t="shared" si="9"/>
        <v>0</v>
      </c>
      <c r="AW158" s="65">
        <f t="shared" si="9"/>
        <v>0</v>
      </c>
      <c r="AX158" s="65">
        <f t="shared" si="9"/>
        <v>0</v>
      </c>
      <c r="AY158" s="65">
        <f t="shared" si="9"/>
        <v>105</v>
      </c>
      <c r="AZ158" s="65">
        <f t="shared" si="9"/>
        <v>0</v>
      </c>
      <c r="BA158" s="65">
        <f t="shared" si="9"/>
        <v>2971</v>
      </c>
      <c r="BB158" s="56">
        <f t="shared" si="9"/>
        <v>16</v>
      </c>
      <c r="BC158" s="56">
        <f t="shared" si="9"/>
        <v>99</v>
      </c>
      <c r="BD158" s="56">
        <f t="shared" si="9"/>
        <v>0</v>
      </c>
      <c r="BE158" s="56">
        <f t="shared" si="9"/>
        <v>1</v>
      </c>
      <c r="BF158" s="56">
        <f t="shared" si="9"/>
        <v>6</v>
      </c>
      <c r="BG158" s="31"/>
      <c r="BH158" s="31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  <c r="BS158" s="31"/>
      <c r="BT158" s="31"/>
      <c r="BU158" s="31"/>
      <c r="BV158" s="31"/>
      <c r="BW158" s="31"/>
      <c r="BX158" s="31"/>
      <c r="BY158" s="31"/>
      <c r="BZ158" s="31"/>
      <c r="CA158" s="31"/>
      <c r="CB158" s="31"/>
      <c r="CC158" s="31"/>
      <c r="CD158" s="31"/>
      <c r="CE158" s="31"/>
      <c r="CF158" s="31"/>
      <c r="CG158" s="31"/>
      <c r="CH158" s="31"/>
      <c r="CI158" s="31"/>
      <c r="CJ158" s="31"/>
      <c r="CK158" s="31"/>
      <c r="CL158" s="31"/>
      <c r="CM158" s="31"/>
      <c r="CN158" s="31"/>
      <c r="CO158" s="31"/>
      <c r="CP158" s="31"/>
      <c r="CQ158" s="31"/>
      <c r="CR158" s="31"/>
      <c r="CS158" s="31"/>
    </row>
    <row r="159" spans="1:97">
      <c r="A159" s="60"/>
      <c r="B159" s="61"/>
      <c r="C159" s="61"/>
      <c r="D159" s="61"/>
      <c r="E159" s="62"/>
      <c r="F159" s="62"/>
      <c r="G159" s="63"/>
      <c r="H159" s="63"/>
      <c r="I159" s="63"/>
      <c r="J159" s="89"/>
      <c r="K159" s="89"/>
      <c r="L159" s="66"/>
      <c r="M159" s="66"/>
      <c r="N159" s="67"/>
      <c r="O159" s="660"/>
      <c r="P159" s="661"/>
      <c r="Q159" s="63">
        <f>31*1440-Q158</f>
        <v>0</v>
      </c>
      <c r="R159" s="70">
        <f>R158/Q158</f>
        <v>6.655465949820788E-2</v>
      </c>
      <c r="S159" s="70">
        <f>S158/Q158</f>
        <v>2.1908602150537634E-2</v>
      </c>
      <c r="T159" s="395"/>
      <c r="U159" s="395"/>
      <c r="V159" s="397">
        <f>V158/K158</f>
        <v>8.5913901783058147E-2</v>
      </c>
      <c r="W159" s="413" t="s">
        <v>169</v>
      </c>
      <c r="X159" s="518">
        <v>0.85</v>
      </c>
      <c r="Y159" s="410">
        <f>Y158/K158</f>
        <v>5.3945769763074193E-4</v>
      </c>
      <c r="Z159" s="601">
        <f>Z158/K158</f>
        <v>1.0442429777864897E-2</v>
      </c>
      <c r="AA159" s="71">
        <f>AA158/K158</f>
        <v>1.9750579946741398E-2</v>
      </c>
      <c r="AB159" s="71">
        <f>AB158/K158</f>
        <v>-6.5463589093183137E-3</v>
      </c>
      <c r="AC159" s="519">
        <f>AC158/K158</f>
        <v>1.9950889861138483E-2</v>
      </c>
      <c r="AD159" s="398"/>
      <c r="AE159" s="43"/>
      <c r="AF159" s="71">
        <f>AF158/$AD$158*$V$159</f>
        <v>1.7187131529150653E-3</v>
      </c>
      <c r="AG159" s="71">
        <f>AG158/$AD$158*$V$159</f>
        <v>7.2229464147823006E-3</v>
      </c>
      <c r="AH159" s="71">
        <f>AH158/$AD$158*$V$159</f>
        <v>8.9851712930876203E-3</v>
      </c>
      <c r="AI159" s="71">
        <f>AI158/$AD$158*$V$159</f>
        <v>2.0450510933419765E-3</v>
      </c>
      <c r="AJ159" s="71">
        <f t="shared" ref="AJ159:BA159" si="10">AJ158/$AD$158*$V$159</f>
        <v>0</v>
      </c>
      <c r="AK159" s="71">
        <f t="shared" si="10"/>
        <v>0</v>
      </c>
      <c r="AL159" s="71">
        <f t="shared" si="10"/>
        <v>0</v>
      </c>
      <c r="AM159" s="71">
        <f t="shared" si="10"/>
        <v>2.1277233715834606E-2</v>
      </c>
      <c r="AN159" s="71">
        <f t="shared" si="10"/>
        <v>7.5275284925140845E-3</v>
      </c>
      <c r="AO159" s="71">
        <f t="shared" si="10"/>
        <v>1.664323496177247E-2</v>
      </c>
      <c r="AP159" s="71">
        <f t="shared" si="10"/>
        <v>6.8530967489651351E-3</v>
      </c>
      <c r="AQ159" s="71">
        <f t="shared" si="10"/>
        <v>0</v>
      </c>
      <c r="AR159" s="71">
        <f t="shared" si="10"/>
        <v>3.102386020325169E-2</v>
      </c>
      <c r="AS159" s="71">
        <f t="shared" si="10"/>
        <v>0</v>
      </c>
      <c r="AT159" s="71">
        <f t="shared" si="10"/>
        <v>1.3053517617076446E-3</v>
      </c>
      <c r="AU159" s="71">
        <f t="shared" si="10"/>
        <v>3.1328442280983471E-2</v>
      </c>
      <c r="AV159" s="71">
        <f>AV158/$AD$158*$V$159</f>
        <v>0</v>
      </c>
      <c r="AW159" s="71">
        <f>AW158/$AD$158*$V$159</f>
        <v>0</v>
      </c>
      <c r="AX159" s="71">
        <f>AX158/$AD$158*$V$159</f>
        <v>0</v>
      </c>
      <c r="AY159" s="71">
        <f>AY158/$AD$158*$V$159</f>
        <v>2.2843655829883781E-3</v>
      </c>
      <c r="AZ159" s="71">
        <f>AZ158/$AD$158*$V$159</f>
        <v>0</v>
      </c>
      <c r="BA159" s="71">
        <f t="shared" si="10"/>
        <v>6.4636668067223541E-2</v>
      </c>
      <c r="BB159" s="38" t="s">
        <v>168</v>
      </c>
      <c r="BC159" s="38" t="s">
        <v>168</v>
      </c>
      <c r="BD159" s="38" t="s">
        <v>377</v>
      </c>
      <c r="BE159" s="38" t="s">
        <v>377</v>
      </c>
      <c r="BF159" s="38" t="s">
        <v>377</v>
      </c>
      <c r="BG159" s="31"/>
      <c r="BH159" s="31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  <c r="BS159" s="31"/>
      <c r="BT159" s="31"/>
      <c r="BU159" s="31"/>
      <c r="BV159" s="31"/>
      <c r="BW159" s="31"/>
      <c r="BX159" s="31"/>
      <c r="BY159" s="31"/>
      <c r="BZ159" s="31"/>
      <c r="CA159" s="31"/>
      <c r="CB159" s="31"/>
      <c r="CC159" s="31"/>
      <c r="CD159" s="31"/>
      <c r="CE159" s="31"/>
      <c r="CF159" s="31"/>
      <c r="CG159" s="31"/>
      <c r="CH159" s="31"/>
      <c r="CI159" s="31"/>
      <c r="CJ159" s="31"/>
      <c r="CK159" s="31"/>
      <c r="CL159" s="31"/>
      <c r="CM159" s="31"/>
      <c r="CN159" s="31"/>
      <c r="CO159" s="31"/>
      <c r="CP159" s="31"/>
      <c r="CQ159" s="31"/>
      <c r="CR159" s="31"/>
      <c r="CS159" s="31"/>
    </row>
    <row r="160" spans="1:97">
      <c r="A160" s="60"/>
      <c r="B160" s="61"/>
      <c r="C160" s="61"/>
      <c r="D160" s="61"/>
      <c r="E160" s="62"/>
      <c r="F160" s="62"/>
      <c r="G160" s="38"/>
      <c r="H160" s="38"/>
      <c r="I160" s="38"/>
      <c r="J160" s="86"/>
      <c r="K160" s="86"/>
      <c r="L160" s="39"/>
      <c r="M160" s="39"/>
      <c r="N160" s="37"/>
      <c r="O160" s="40"/>
      <c r="P160" s="32"/>
      <c r="Q160" s="38"/>
      <c r="R160" s="41">
        <f>R158-(BA158)</f>
        <v>0</v>
      </c>
      <c r="S160" s="41">
        <f>+S158-AM158</f>
        <v>0</v>
      </c>
      <c r="T160" s="37"/>
      <c r="U160" s="37"/>
      <c r="V160" s="37"/>
      <c r="W160" s="411">
        <f>+W158-'31'!M34/1000</f>
        <v>0</v>
      </c>
      <c r="X160" s="412"/>
      <c r="Y160" s="72">
        <f>+Y158-(SUM(RBP!AG3:AG4))</f>
        <v>0</v>
      </c>
      <c r="Z160" s="599">
        <f>+Z158-'31'!J56/1000</f>
        <v>0</v>
      </c>
      <c r="AA160" s="37"/>
      <c r="AB160" s="37"/>
      <c r="AC160" s="37"/>
      <c r="AD160" s="37"/>
      <c r="AE160" s="43"/>
      <c r="AF160" s="385"/>
      <c r="AG160" s="385"/>
      <c r="AH160" s="385"/>
      <c r="AI160" s="385"/>
      <c r="AJ160" s="81"/>
      <c r="AK160" s="81"/>
      <c r="AL160" s="81"/>
      <c r="AM160" s="81"/>
      <c r="AN160" s="81"/>
      <c r="AO160" s="81"/>
      <c r="AP160" s="81"/>
      <c r="AQ160" s="81"/>
      <c r="AR160" s="81"/>
      <c r="AS160" s="81"/>
      <c r="AT160" s="81"/>
      <c r="AU160" s="81"/>
      <c r="AV160" s="81"/>
      <c r="AW160" s="81"/>
      <c r="AX160" s="81"/>
      <c r="AY160" s="81"/>
      <c r="AZ160" s="81"/>
      <c r="BA160" s="81"/>
      <c r="BB160" s="520">
        <f>BB158/($Q$158/1440)/2</f>
        <v>0.25806451612903225</v>
      </c>
      <c r="BC160" s="520">
        <f>BC158/($Q$158/1440)/2</f>
        <v>1.596774193548387</v>
      </c>
      <c r="BD160" s="520">
        <f>BD158/($Q$158/1440)</f>
        <v>0</v>
      </c>
      <c r="BE160" s="520">
        <f>BE158/($Q$158/1440)</f>
        <v>3.2258064516129031E-2</v>
      </c>
      <c r="BF160" s="520">
        <f>BF158/($Q$158/1440)</f>
        <v>0.19354838709677419</v>
      </c>
    </row>
    <row r="161" spans="1:58">
      <c r="A161" s="73"/>
      <c r="B161" s="74"/>
      <c r="C161" s="74"/>
      <c r="D161" s="74"/>
      <c r="E161" s="75"/>
      <c r="F161" s="75"/>
      <c r="G161" s="76"/>
      <c r="H161" s="76"/>
      <c r="I161" s="76"/>
      <c r="J161" s="90"/>
      <c r="K161" s="90"/>
      <c r="O161" s="77"/>
      <c r="P161" s="78"/>
      <c r="Q161" s="76"/>
      <c r="R161" s="57"/>
      <c r="S161" s="57"/>
      <c r="U161" s="79"/>
      <c r="V161" s="79"/>
      <c r="W161" s="80" t="s">
        <v>121</v>
      </c>
      <c r="X161" s="521">
        <f>W158/U158</f>
        <v>0.9658786539669566</v>
      </c>
      <c r="Y161" s="521"/>
      <c r="Z161" s="568"/>
      <c r="AA161" s="33" t="s">
        <v>381</v>
      </c>
      <c r="AD161" s="87"/>
      <c r="AE161" s="82"/>
      <c r="AF161" s="83"/>
      <c r="AG161" s="83"/>
      <c r="AH161" s="83"/>
      <c r="AI161" s="83"/>
      <c r="AJ161" s="83"/>
      <c r="AK161" s="83"/>
      <c r="AL161" s="83"/>
      <c r="AM161" s="83"/>
      <c r="AN161" s="81"/>
      <c r="AO161" s="81"/>
      <c r="AP161" s="81"/>
      <c r="AQ161" s="81"/>
      <c r="AR161" s="81"/>
      <c r="AS161" s="83"/>
      <c r="AT161" s="83"/>
      <c r="AU161" s="83"/>
      <c r="AV161" s="83"/>
      <c r="AW161" s="83"/>
      <c r="AX161" s="83"/>
      <c r="AY161" s="83"/>
      <c r="AZ161" s="83"/>
      <c r="BA161" s="81"/>
      <c r="BB161" s="31"/>
      <c r="BC161" s="81"/>
      <c r="BD161" s="81"/>
      <c r="BE161" s="31"/>
      <c r="BF161" s="81"/>
    </row>
    <row r="162" spans="1:58">
      <c r="A162" s="73"/>
      <c r="B162" s="74"/>
      <c r="C162" s="74"/>
      <c r="D162" s="74"/>
      <c r="E162" s="75"/>
      <c r="F162" s="75"/>
      <c r="G162" s="76"/>
      <c r="H162" s="76"/>
      <c r="I162" s="76"/>
      <c r="J162" s="90"/>
      <c r="K162" s="90"/>
      <c r="O162" s="77"/>
      <c r="P162" s="78"/>
      <c r="Q162" s="76"/>
      <c r="R162" s="57"/>
      <c r="S162" s="57"/>
      <c r="U162" s="79"/>
      <c r="V162" s="79"/>
      <c r="W162" s="80"/>
      <c r="X162" s="81"/>
      <c r="Y162" s="81"/>
      <c r="Z162" s="568"/>
      <c r="AA162" s="93"/>
      <c r="AB162" s="93"/>
      <c r="AD162" s="87"/>
      <c r="AE162" s="82"/>
      <c r="AF162" s="83"/>
      <c r="AG162" s="83"/>
      <c r="AH162" s="83"/>
      <c r="AI162" s="83"/>
      <c r="AJ162" s="83"/>
      <c r="AK162" s="83"/>
      <c r="AL162" s="83"/>
      <c r="AM162" s="83"/>
      <c r="AN162" s="83"/>
      <c r="AO162" s="81"/>
      <c r="AP162" s="81"/>
      <c r="AQ162" s="81"/>
      <c r="AR162" s="83"/>
      <c r="AS162" s="81"/>
      <c r="AT162" s="81"/>
      <c r="AU162" s="81"/>
      <c r="AV162" s="81"/>
      <c r="AW162" s="81"/>
      <c r="AX162" s="81"/>
      <c r="AY162" s="81"/>
      <c r="AZ162" s="81"/>
      <c r="BA162" s="81"/>
      <c r="BB162" s="31"/>
      <c r="BC162" s="81"/>
      <c r="BD162" s="81"/>
      <c r="BE162" s="31"/>
      <c r="BF162" s="81"/>
    </row>
    <row r="163" spans="1:58">
      <c r="A163" s="73"/>
      <c r="B163" s="74"/>
      <c r="C163" s="74"/>
      <c r="D163" s="74"/>
      <c r="E163" s="75"/>
      <c r="F163" s="75"/>
      <c r="G163" s="76"/>
      <c r="H163" s="76"/>
      <c r="I163" s="76"/>
      <c r="J163" s="90"/>
      <c r="K163" s="90"/>
      <c r="O163" s="77"/>
      <c r="P163" s="78"/>
      <c r="Q163" s="76"/>
      <c r="R163" s="396"/>
      <c r="S163" s="57"/>
      <c r="U163" s="79"/>
      <c r="V163" s="79"/>
      <c r="W163" s="80" t="s">
        <v>144</v>
      </c>
      <c r="X163" s="385">
        <f>+W158+Y158</f>
        <v>1774.9999999999998</v>
      </c>
      <c r="Y163" s="81"/>
      <c r="Z163" s="568"/>
      <c r="AD163" s="87"/>
      <c r="AE163" s="82"/>
      <c r="AF163" s="87"/>
      <c r="AG163" s="87"/>
      <c r="AH163" s="87"/>
      <c r="AI163" s="87"/>
      <c r="AJ163" s="81"/>
      <c r="AK163" s="81"/>
      <c r="AL163" s="81"/>
      <c r="AM163" s="83"/>
      <c r="AN163" s="81"/>
      <c r="AO163" s="81"/>
      <c r="AP163" s="81"/>
      <c r="AQ163" s="81"/>
      <c r="AR163" s="83"/>
      <c r="AS163" s="81"/>
      <c r="AT163" s="81"/>
      <c r="AU163" s="81"/>
      <c r="AV163" s="81"/>
      <c r="AW163" s="81"/>
      <c r="AX163" s="81"/>
      <c r="AY163" s="81"/>
      <c r="AZ163" s="81"/>
      <c r="BA163" s="81"/>
      <c r="BB163" s="31"/>
      <c r="BC163" s="81"/>
      <c r="BD163" s="81"/>
      <c r="BE163" s="31"/>
      <c r="BF163" s="81"/>
    </row>
    <row r="164" spans="1:58">
      <c r="A164" s="73"/>
      <c r="C164" s="74" t="s">
        <v>294</v>
      </c>
      <c r="D164" s="74"/>
      <c r="E164" s="75"/>
      <c r="F164" s="75"/>
      <c r="G164" s="76"/>
      <c r="H164" s="76"/>
      <c r="I164" s="76"/>
      <c r="J164" s="90"/>
      <c r="K164" s="90"/>
      <c r="O164" s="77"/>
      <c r="P164" s="78"/>
      <c r="Q164" s="76"/>
      <c r="R164" s="396"/>
      <c r="S164" s="57"/>
      <c r="U164" s="79"/>
      <c r="V164" s="406"/>
      <c r="W164" s="407"/>
      <c r="X164" s="401"/>
      <c r="Y164" s="407"/>
      <c r="Z164" s="602"/>
      <c r="AD164" s="394"/>
      <c r="AE164" s="82"/>
      <c r="AF164" s="394"/>
      <c r="AG164" s="394"/>
      <c r="AH164" s="394"/>
      <c r="AI164" s="394"/>
      <c r="AJ164" s="81"/>
      <c r="AK164" s="81"/>
      <c r="AL164" s="81"/>
      <c r="AM164" s="81"/>
      <c r="AN164" s="81"/>
      <c r="AO164" s="81"/>
      <c r="AP164" s="81"/>
      <c r="AQ164" s="81"/>
      <c r="AR164" s="81"/>
      <c r="AS164" s="81"/>
      <c r="AT164" s="81"/>
      <c r="AU164" s="81"/>
      <c r="AV164" s="81"/>
      <c r="AW164" s="81"/>
      <c r="AX164" s="81"/>
      <c r="AY164" s="81"/>
      <c r="AZ164" s="81"/>
      <c r="BA164" s="81"/>
      <c r="BB164" s="31"/>
      <c r="BC164" s="81"/>
      <c r="BD164" s="81"/>
      <c r="BE164" s="31"/>
      <c r="BF164" s="81"/>
    </row>
    <row r="165" spans="1:58">
      <c r="A165" s="73"/>
      <c r="B165" s="74"/>
      <c r="C165" s="74" t="s">
        <v>295</v>
      </c>
      <c r="D165" s="74"/>
      <c r="E165" s="75"/>
      <c r="F165" s="75"/>
      <c r="G165" s="76"/>
      <c r="H165" s="76"/>
      <c r="I165" s="76"/>
      <c r="J165" s="90"/>
      <c r="K165" s="90"/>
      <c r="O165" s="77"/>
      <c r="P165" s="78"/>
      <c r="Q165" s="76"/>
      <c r="R165" s="396"/>
      <c r="S165" s="57"/>
      <c r="V165" s="399"/>
      <c r="W165" s="400" t="s">
        <v>302</v>
      </c>
      <c r="X165" s="399"/>
      <c r="Y165" s="399"/>
      <c r="Z165" s="602"/>
      <c r="AE165" s="82"/>
      <c r="AF165" s="57"/>
      <c r="AG165" s="57"/>
      <c r="AH165" s="57"/>
      <c r="AI165" s="57"/>
      <c r="AJ165" s="57"/>
      <c r="AK165" s="57"/>
      <c r="AL165" s="57"/>
      <c r="AM165" s="57"/>
      <c r="AN165" s="57"/>
      <c r="AO165" s="57"/>
      <c r="AP165" s="57"/>
      <c r="AQ165" s="57"/>
      <c r="AS165" s="57"/>
      <c r="AT165" s="57"/>
      <c r="AU165" s="57"/>
      <c r="AV165" s="57"/>
      <c r="AW165" s="57"/>
      <c r="AX165" s="57"/>
      <c r="AY165" s="57"/>
      <c r="AZ165" s="57"/>
      <c r="BA165" s="57"/>
      <c r="BB165" s="31"/>
      <c r="BE165" s="31"/>
    </row>
    <row r="166" spans="1:58">
      <c r="A166" s="73"/>
      <c r="B166" s="74"/>
      <c r="C166" s="74"/>
      <c r="D166" s="74"/>
      <c r="E166" s="75"/>
      <c r="F166" s="75"/>
      <c r="G166" s="76"/>
      <c r="H166" s="76"/>
      <c r="I166" s="76"/>
      <c r="J166" s="90"/>
      <c r="K166" s="90"/>
      <c r="O166" s="77"/>
      <c r="P166" s="78"/>
      <c r="Q166" s="76"/>
      <c r="R166" s="396"/>
      <c r="S166" s="57"/>
      <c r="V166" s="399"/>
      <c r="W166" s="402" t="s">
        <v>290</v>
      </c>
      <c r="X166" s="522">
        <f>Y159</f>
        <v>5.3945769763074193E-4</v>
      </c>
      <c r="Y166" s="403"/>
      <c r="Z166" s="602"/>
      <c r="AE166" s="82"/>
      <c r="AF166" s="57"/>
      <c r="AG166" s="57"/>
      <c r="AH166" s="57"/>
      <c r="AI166" s="57"/>
      <c r="AJ166" s="57"/>
      <c r="AK166" s="57"/>
      <c r="AL166" s="57"/>
      <c r="AM166" s="57"/>
      <c r="AN166" s="57"/>
      <c r="AO166" s="57"/>
      <c r="AP166" s="57"/>
      <c r="AQ166" s="57"/>
      <c r="AS166" s="57"/>
      <c r="AT166" s="57"/>
      <c r="AU166" s="57"/>
      <c r="AV166" s="57"/>
      <c r="AW166" s="57"/>
      <c r="AX166" s="57"/>
      <c r="AY166" s="57"/>
      <c r="AZ166" s="57"/>
      <c r="BA166" s="57"/>
      <c r="BB166" s="31"/>
      <c r="BE166" s="31"/>
    </row>
    <row r="167" spans="1:58">
      <c r="R167" s="93"/>
      <c r="V167" s="399"/>
      <c r="W167" s="402" t="s">
        <v>148</v>
      </c>
      <c r="X167" s="405">
        <f>Z159</f>
        <v>1.0442429777864897E-2</v>
      </c>
      <c r="Y167" s="404"/>
      <c r="Z167" s="603"/>
    </row>
    <row r="168" spans="1:58">
      <c r="R168" s="93"/>
      <c r="V168" s="399"/>
      <c r="W168" s="402" t="s">
        <v>149</v>
      </c>
      <c r="X168" s="405">
        <f>AC159</f>
        <v>1.9950889861138483E-2</v>
      </c>
      <c r="Y168" s="405"/>
      <c r="Z168" s="603"/>
    </row>
    <row r="169" spans="1:58" ht="15" customHeight="1">
      <c r="R169" s="93"/>
      <c r="V169" s="399"/>
      <c r="W169" s="402" t="s">
        <v>150</v>
      </c>
      <c r="X169" s="405">
        <f>AA159</f>
        <v>1.9750579946741398E-2</v>
      </c>
      <c r="Y169" s="404"/>
      <c r="Z169" s="603"/>
    </row>
    <row r="170" spans="1:58">
      <c r="V170" s="399"/>
      <c r="W170" s="402" t="s">
        <v>166</v>
      </c>
      <c r="X170" s="405">
        <f>AB159</f>
        <v>-6.5463589093183137E-3</v>
      </c>
      <c r="Y170" s="404" t="s">
        <v>164</v>
      </c>
      <c r="Z170" s="603"/>
    </row>
    <row r="171" spans="1:58">
      <c r="V171" s="399"/>
      <c r="W171" s="402" t="s">
        <v>202</v>
      </c>
      <c r="X171" s="405">
        <f>AF159</f>
        <v>1.7187131529150653E-3</v>
      </c>
      <c r="Y171" s="404"/>
      <c r="Z171" s="603"/>
    </row>
    <row r="172" spans="1:58">
      <c r="V172" s="399"/>
      <c r="W172" s="402" t="s">
        <v>203</v>
      </c>
      <c r="X172" s="405">
        <f>+AG159</f>
        <v>7.2229464147823006E-3</v>
      </c>
      <c r="Y172" s="404"/>
      <c r="Z172" s="603"/>
    </row>
    <row r="173" spans="1:58">
      <c r="V173" s="399"/>
      <c r="W173" s="402" t="s">
        <v>296</v>
      </c>
      <c r="X173" s="405">
        <f>+AH159</f>
        <v>8.9851712930876203E-3</v>
      </c>
      <c r="Y173" s="404"/>
      <c r="Z173" s="603"/>
    </row>
    <row r="174" spans="1:58">
      <c r="V174" s="399"/>
      <c r="W174" s="402" t="s">
        <v>227</v>
      </c>
      <c r="X174" s="405">
        <f>+AI159</f>
        <v>2.0450510933419765E-3</v>
      </c>
      <c r="Y174" s="404"/>
      <c r="Z174" s="603"/>
    </row>
    <row r="175" spans="1:58">
      <c r="V175" s="399"/>
      <c r="W175" s="402" t="s">
        <v>157</v>
      </c>
      <c r="X175" s="405">
        <f>+AJ159</f>
        <v>0</v>
      </c>
      <c r="Y175" s="404"/>
      <c r="Z175" s="603"/>
    </row>
    <row r="176" spans="1:58">
      <c r="V176" s="399"/>
      <c r="W176" s="402" t="s">
        <v>159</v>
      </c>
      <c r="X176" s="405">
        <f>+AK159</f>
        <v>0</v>
      </c>
      <c r="Y176" s="404"/>
      <c r="Z176" s="603"/>
    </row>
    <row r="177" spans="22:26">
      <c r="V177" s="399"/>
      <c r="W177" s="402" t="s">
        <v>158</v>
      </c>
      <c r="X177" s="405">
        <f>+AL159</f>
        <v>0</v>
      </c>
      <c r="Y177" s="404"/>
      <c r="Z177" s="603"/>
    </row>
    <row r="178" spans="22:26">
      <c r="V178" s="399"/>
      <c r="W178" s="402" t="s">
        <v>151</v>
      </c>
      <c r="X178" s="405">
        <f>+AN159</f>
        <v>7.5275284925140845E-3</v>
      </c>
      <c r="Y178" s="404"/>
      <c r="Z178" s="603"/>
    </row>
    <row r="179" spans="22:26">
      <c r="V179" s="399"/>
      <c r="W179" s="402" t="s">
        <v>161</v>
      </c>
      <c r="X179" s="405">
        <f>+AO159</f>
        <v>1.664323496177247E-2</v>
      </c>
      <c r="Y179" s="404"/>
      <c r="Z179" s="603"/>
    </row>
    <row r="180" spans="22:26">
      <c r="V180" s="399"/>
      <c r="W180" s="402" t="s">
        <v>152</v>
      </c>
      <c r="X180" s="405">
        <f>+AP159</f>
        <v>6.8530967489651351E-3</v>
      </c>
      <c r="Y180" s="404"/>
      <c r="Z180" s="603"/>
    </row>
    <row r="181" spans="22:26">
      <c r="V181" s="399"/>
      <c r="W181" s="402" t="s">
        <v>160</v>
      </c>
      <c r="X181" s="405">
        <f>+AQ159</f>
        <v>0</v>
      </c>
      <c r="Y181" s="404"/>
      <c r="Z181" s="603"/>
    </row>
    <row r="182" spans="22:26">
      <c r="V182" s="399"/>
      <c r="W182" s="402" t="s">
        <v>163</v>
      </c>
      <c r="X182" s="405">
        <f>+AS159</f>
        <v>0</v>
      </c>
      <c r="Y182" s="404"/>
      <c r="Z182" s="603"/>
    </row>
    <row r="183" spans="22:26">
      <c r="V183" s="399"/>
      <c r="W183" s="402" t="s">
        <v>297</v>
      </c>
      <c r="X183" s="405">
        <f>+AT159</f>
        <v>1.3053517617076446E-3</v>
      </c>
      <c r="Y183" s="404"/>
      <c r="Z183" s="603"/>
    </row>
    <row r="184" spans="22:26">
      <c r="V184" s="399"/>
      <c r="W184" s="402" t="s">
        <v>243</v>
      </c>
      <c r="X184" s="405">
        <f>+AU159</f>
        <v>3.1328442280983471E-2</v>
      </c>
      <c r="Y184" s="404"/>
      <c r="Z184" s="603"/>
    </row>
    <row r="185" spans="22:26">
      <c r="V185" s="399"/>
      <c r="W185" s="402" t="s">
        <v>305</v>
      </c>
      <c r="X185" s="405">
        <f>+AW159</f>
        <v>0</v>
      </c>
      <c r="Y185" s="404"/>
      <c r="Z185" s="603"/>
    </row>
    <row r="186" spans="22:26">
      <c r="V186" s="399"/>
      <c r="W186" s="402" t="s">
        <v>306</v>
      </c>
      <c r="X186" s="405">
        <f>+AV159</f>
        <v>0</v>
      </c>
      <c r="Y186" s="404"/>
      <c r="Z186" s="603"/>
    </row>
    <row r="187" spans="22:26">
      <c r="V187" s="399"/>
      <c r="W187" s="399" t="s">
        <v>162</v>
      </c>
      <c r="X187" s="405">
        <f>+AX159+AY159</f>
        <v>2.2843655829883781E-3</v>
      </c>
      <c r="Y187" s="405"/>
      <c r="Z187" s="603"/>
    </row>
    <row r="188" spans="22:26">
      <c r="V188" s="399"/>
      <c r="W188" s="399" t="s">
        <v>304</v>
      </c>
      <c r="X188" s="405">
        <f>+AZ160</f>
        <v>0</v>
      </c>
      <c r="Y188" s="399"/>
      <c r="Z188" s="603"/>
    </row>
    <row r="189" spans="22:26">
      <c r="V189" s="399"/>
      <c r="W189" s="399"/>
      <c r="X189" s="538">
        <f>SUM(X166:X188)</f>
        <v>0.13005090015711537</v>
      </c>
      <c r="Y189" s="399"/>
      <c r="Z189" s="603"/>
    </row>
    <row r="191" spans="22:26">
      <c r="X191" s="93">
        <f>+X189+X158</f>
        <v>1</v>
      </c>
    </row>
  </sheetData>
  <mergeCells count="50">
    <mergeCell ref="BD3:BD5"/>
    <mergeCell ref="BE3:BE5"/>
    <mergeCell ref="BF3:BF5"/>
    <mergeCell ref="AM3:AM5"/>
    <mergeCell ref="BA3:BA5"/>
    <mergeCell ref="AQ4:AQ5"/>
    <mergeCell ref="AT3:AU4"/>
    <mergeCell ref="BB3:BB5"/>
    <mergeCell ref="BC3:BC5"/>
    <mergeCell ref="AN4:AN5"/>
    <mergeCell ref="AO4:AO5"/>
    <mergeCell ref="AP4:AP5"/>
    <mergeCell ref="AR4:AR5"/>
    <mergeCell ref="AN3:AR3"/>
    <mergeCell ref="AS3:AS5"/>
    <mergeCell ref="AV3:AW3"/>
    <mergeCell ref="AX3:AY3"/>
    <mergeCell ref="AZ3:AZ5"/>
    <mergeCell ref="AK4:AK5"/>
    <mergeCell ref="AL4:AL5"/>
    <mergeCell ref="U3:U5"/>
    <mergeCell ref="W3:W5"/>
    <mergeCell ref="X3:X5"/>
    <mergeCell ref="Z3:Z5"/>
    <mergeCell ref="Y3:Y5"/>
    <mergeCell ref="AA3:AA5"/>
    <mergeCell ref="AB3:AB5"/>
    <mergeCell ref="AF4:AH4"/>
    <mergeCell ref="AI4:AI5"/>
    <mergeCell ref="AC3:AC5"/>
    <mergeCell ref="AE3:AE5"/>
    <mergeCell ref="AD3:AD5"/>
    <mergeCell ref="AF3:AL3"/>
    <mergeCell ref="AJ4:AJ5"/>
    <mergeCell ref="A3:A5"/>
    <mergeCell ref="B3:B5"/>
    <mergeCell ref="D3:D5"/>
    <mergeCell ref="E3:E5"/>
    <mergeCell ref="F3:F5"/>
    <mergeCell ref="C3:C5"/>
    <mergeCell ref="V3:V5"/>
    <mergeCell ref="O159:P159"/>
    <mergeCell ref="T3:T5"/>
    <mergeCell ref="P3:P5"/>
    <mergeCell ref="G3:K4"/>
    <mergeCell ref="L3:N4"/>
    <mergeCell ref="O3:O5"/>
    <mergeCell ref="Q3:Q5"/>
    <mergeCell ref="R3:R5"/>
    <mergeCell ref="S3:S5"/>
  </mergeCells>
  <phoneticPr fontId="31" type="noConversion"/>
  <conditionalFormatting sqref="B7">
    <cfRule type="cellIs" dxfId="399" priority="23730" stopIfTrue="1" operator="equal">
      <formula>"Napkin Hs"</formula>
    </cfRule>
  </conditionalFormatting>
  <conditionalFormatting sqref="B8">
    <cfRule type="cellIs" dxfId="398" priority="23334" stopIfTrue="1" operator="equal">
      <formula>"Napkin Hs"</formula>
    </cfRule>
  </conditionalFormatting>
  <conditionalFormatting sqref="B13:B14">
    <cfRule type="cellIs" dxfId="397" priority="22812" stopIfTrue="1" operator="equal">
      <formula>"Napkin Hs"</formula>
    </cfRule>
  </conditionalFormatting>
  <conditionalFormatting sqref="B18:B19">
    <cfRule type="cellIs" dxfId="396" priority="21762" stopIfTrue="1" operator="equal">
      <formula>"Napkin Hs"</formula>
    </cfRule>
  </conditionalFormatting>
  <conditionalFormatting sqref="B23">
    <cfRule type="cellIs" dxfId="395" priority="21149" stopIfTrue="1" operator="equal">
      <formula>"Napkin Hs"</formula>
    </cfRule>
  </conditionalFormatting>
  <conditionalFormatting sqref="B29">
    <cfRule type="cellIs" dxfId="394" priority="20638" stopIfTrue="1" operator="equal">
      <formula>"Napkin Hs"</formula>
    </cfRule>
  </conditionalFormatting>
  <conditionalFormatting sqref="B34">
    <cfRule type="cellIs" dxfId="393" priority="20119" stopIfTrue="1" operator="equal">
      <formula>"Napkin Hs"</formula>
    </cfRule>
  </conditionalFormatting>
  <conditionalFormatting sqref="B36">
    <cfRule type="cellIs" dxfId="392" priority="20252" stopIfTrue="1" operator="equal">
      <formula>"Napkin Hs"</formula>
    </cfRule>
  </conditionalFormatting>
  <conditionalFormatting sqref="B66">
    <cfRule type="cellIs" dxfId="391" priority="25522" stopIfTrue="1" operator="equal">
      <formula>"Napkin Hs"</formula>
    </cfRule>
  </conditionalFormatting>
  <conditionalFormatting sqref="B100">
    <cfRule type="cellIs" dxfId="390" priority="25172" stopIfTrue="1" operator="equal">
      <formula>"Napkin Hs"</formula>
    </cfRule>
  </conditionalFormatting>
  <conditionalFormatting sqref="B24:C24">
    <cfRule type="cellIs" dxfId="389" priority="23678" stopIfTrue="1" operator="equal">
      <formula>"Napkin Hs"</formula>
    </cfRule>
  </conditionalFormatting>
  <conditionalFormatting sqref="B30:C30">
    <cfRule type="cellIs" dxfId="388" priority="20769" stopIfTrue="1" operator="equal">
      <formula>"Napkin Hs"</formula>
    </cfRule>
  </conditionalFormatting>
  <conditionalFormatting sqref="B37:C37">
    <cfRule type="cellIs" dxfId="387" priority="25846" stopIfTrue="1" operator="equal">
      <formula>"Napkin Hs"</formula>
    </cfRule>
    <cfRule type="cellIs" dxfId="386" priority="25852" stopIfTrue="1" operator="equal">
      <formula>"Napkin Hs"</formula>
    </cfRule>
  </conditionalFormatting>
  <conditionalFormatting sqref="B46:C46">
    <cfRule type="cellIs" dxfId="385" priority="18599" stopIfTrue="1" operator="equal">
      <formula>"Napkin Hs"</formula>
    </cfRule>
    <cfRule type="cellIs" dxfId="384" priority="18605" stopIfTrue="1" operator="equal">
      <formula>"Napkin Hs"</formula>
    </cfRule>
    <cfRule type="cellIs" dxfId="383" priority="18647" stopIfTrue="1" operator="equal">
      <formula>"Napkin Hs"</formula>
    </cfRule>
    <cfRule type="cellIs" dxfId="382" priority="18653" stopIfTrue="1" operator="equal">
      <formula>"Napkin Hs"</formula>
    </cfRule>
    <cfRule type="cellIs" dxfId="381" priority="25762" stopIfTrue="1" operator="equal">
      <formula>"Napkin Hs"</formula>
    </cfRule>
    <cfRule type="cellIs" dxfId="380" priority="25768" stopIfTrue="1" operator="equal">
      <formula>"Napkin Hs"</formula>
    </cfRule>
  </conditionalFormatting>
  <conditionalFormatting sqref="C9 C34 C53 C68 C123 C129 C144">
    <cfRule type="cellIs" dxfId="379" priority="26660" stopIfTrue="1" operator="equal">
      <formula>"Napkin Hs"</formula>
    </cfRule>
  </conditionalFormatting>
  <conditionalFormatting sqref="C9">
    <cfRule type="cellIs" dxfId="378" priority="26202" stopIfTrue="1" operator="equal">
      <formula>"Napkin Hs"</formula>
    </cfRule>
  </conditionalFormatting>
  <conditionalFormatting sqref="C129 C144">
    <cfRule type="cellIs" dxfId="377" priority="26236" stopIfTrue="1" operator="equal">
      <formula>"Napkin Hs"</formula>
    </cfRule>
  </conditionalFormatting>
  <conditionalFormatting sqref="C156">
    <cfRule type="cellIs" dxfId="376" priority="245" stopIfTrue="1" operator="equal">
      <formula>"Napkin Hs"</formula>
    </cfRule>
    <cfRule type="cellIs" dxfId="375" priority="247" stopIfTrue="1" operator="equal">
      <formula>"Napkin Hs"</formula>
    </cfRule>
  </conditionalFormatting>
  <conditionalFormatting sqref="C152:C154">
    <cfRule type="cellIs" dxfId="374" priority="24032" stopIfTrue="1" operator="equal">
      <formula>"Napkin Hs"</formula>
    </cfRule>
    <cfRule type="cellIs" dxfId="373" priority="24034" stopIfTrue="1" operator="equal">
      <formula>"Napkin Hs"</formula>
    </cfRule>
  </conditionalFormatting>
  <pageMargins left="0.11811023622047245" right="0.11811023622047245" top="0.98425196850393704" bottom="0.98425196850393704" header="0.51181102362204722" footer="0.51181102362204722"/>
  <pageSetup scale="5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236"/>
  <sheetViews>
    <sheetView zoomScale="90" zoomScaleNormal="90" workbookViewId="0">
      <pane xSplit="6" ySplit="6" topLeftCell="G151" activePane="bottomRight" state="frozen"/>
      <selection activeCell="DM11" sqref="A4:DM11"/>
      <selection pane="topRight" activeCell="DM11" sqref="A4:DM11"/>
      <selection pane="bottomLeft" activeCell="DM11" sqref="A4:DM11"/>
      <selection pane="bottomRight" activeCell="K158" sqref="K158"/>
    </sheetView>
  </sheetViews>
  <sheetFormatPr defaultColWidth="10.28515625" defaultRowHeight="12"/>
  <cols>
    <col min="1" max="1" width="12.28515625" style="33" customWidth="1"/>
    <col min="2" max="2" width="14.140625" style="33" customWidth="1"/>
    <col min="3" max="3" width="10.140625" style="33" customWidth="1"/>
    <col min="4" max="4" width="10.28515625" style="33" customWidth="1"/>
    <col min="5" max="5" width="7.5703125" style="33" bestFit="1" customWidth="1"/>
    <col min="6" max="6" width="7" style="58" customWidth="1"/>
    <col min="7" max="9" width="10.28515625" style="33" customWidth="1"/>
    <col min="10" max="11" width="10.28515625" style="87" customWidth="1"/>
    <col min="12" max="13" width="12.7109375" style="59" customWidth="1"/>
    <col min="14" max="15" width="10.28515625" style="33" customWidth="1"/>
    <col min="16" max="16" width="16.85546875" style="33" bestFit="1" customWidth="1"/>
    <col min="17" max="17" width="12.7109375" style="383" customWidth="1"/>
    <col min="18" max="19" width="10.28515625" style="33" customWidth="1"/>
    <col min="20" max="20" width="10.7109375" style="33" customWidth="1"/>
    <col min="21" max="21" width="10.28515625" style="33" customWidth="1"/>
    <col min="22" max="22" width="12.28515625" style="33" customWidth="1"/>
    <col min="23" max="23" width="13" style="33" customWidth="1"/>
    <col min="24" max="24" width="10.28515625" style="33" customWidth="1"/>
    <col min="25" max="25" width="10.140625" style="33" customWidth="1"/>
    <col min="26" max="28" width="10.28515625" style="33" customWidth="1"/>
    <col min="29" max="29" width="12" style="33" customWidth="1"/>
    <col min="30" max="30" width="11.42578125" style="33" bestFit="1" customWidth="1"/>
    <col min="31" max="31" width="41.42578125" style="33" customWidth="1"/>
    <col min="32" max="38" width="10.28515625" style="33" customWidth="1"/>
    <col min="39" max="39" width="11.7109375" style="33" customWidth="1"/>
    <col min="40" max="41" width="10.28515625" style="33" customWidth="1"/>
    <col min="42" max="43" width="12.42578125" style="33" customWidth="1"/>
    <col min="44" max="44" width="29.7109375" style="33" bestFit="1" customWidth="1"/>
    <col min="45" max="16384" width="10.28515625" style="33"/>
  </cols>
  <sheetData>
    <row r="1" spans="1:58" s="26" customFormat="1" ht="15.75" customHeight="1">
      <c r="A1" s="25" t="s">
        <v>391</v>
      </c>
      <c r="G1" s="27"/>
      <c r="H1" s="27"/>
      <c r="I1" s="27"/>
      <c r="J1" s="84"/>
      <c r="K1" s="84"/>
      <c r="L1" s="28"/>
      <c r="M1" s="28"/>
      <c r="O1" s="27"/>
      <c r="P1" s="29"/>
      <c r="Q1" s="27"/>
      <c r="R1" s="29"/>
      <c r="S1" s="29"/>
      <c r="W1" s="29"/>
      <c r="X1" s="30"/>
      <c r="Y1" s="30"/>
      <c r="Z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</row>
    <row r="2" spans="1:58" s="26" customFormat="1">
      <c r="A2" s="94"/>
      <c r="G2" s="27"/>
      <c r="H2" s="27"/>
      <c r="I2" s="27"/>
      <c r="J2" s="84"/>
      <c r="K2" s="84"/>
      <c r="L2" s="28"/>
      <c r="M2" s="28"/>
      <c r="O2" s="27"/>
      <c r="P2" s="29"/>
      <c r="Q2" s="27"/>
      <c r="R2" s="29"/>
      <c r="S2" s="29"/>
      <c r="W2" s="29"/>
      <c r="X2" s="30"/>
      <c r="Y2" s="30"/>
      <c r="Z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</row>
    <row r="3" spans="1:58" ht="24" customHeight="1">
      <c r="A3" s="662" t="s">
        <v>9</v>
      </c>
      <c r="B3" s="662" t="s">
        <v>10</v>
      </c>
      <c r="C3" s="662" t="s">
        <v>199</v>
      </c>
      <c r="D3" s="662" t="s">
        <v>93</v>
      </c>
      <c r="E3" s="662" t="s">
        <v>94</v>
      </c>
      <c r="F3" s="662" t="s">
        <v>95</v>
      </c>
      <c r="G3" s="667" t="s">
        <v>96</v>
      </c>
      <c r="H3" s="668"/>
      <c r="I3" s="668"/>
      <c r="J3" s="668"/>
      <c r="K3" s="669"/>
      <c r="L3" s="673" t="s">
        <v>97</v>
      </c>
      <c r="M3" s="674"/>
      <c r="N3" s="675"/>
      <c r="O3" s="679" t="s">
        <v>98</v>
      </c>
      <c r="P3" s="664" t="s">
        <v>110</v>
      </c>
      <c r="Q3" s="679" t="s">
        <v>99</v>
      </c>
      <c r="R3" s="681" t="s">
        <v>100</v>
      </c>
      <c r="S3" s="681" t="s">
        <v>101</v>
      </c>
      <c r="T3" s="662" t="s">
        <v>154</v>
      </c>
      <c r="U3" s="662" t="s">
        <v>153</v>
      </c>
      <c r="V3" s="662" t="s">
        <v>155</v>
      </c>
      <c r="W3" s="681" t="s">
        <v>145</v>
      </c>
      <c r="X3" s="690" t="s">
        <v>103</v>
      </c>
      <c r="Y3" s="690" t="s">
        <v>290</v>
      </c>
      <c r="Z3" s="692" t="s">
        <v>104</v>
      </c>
      <c r="AA3" s="662" t="s">
        <v>156</v>
      </c>
      <c r="AB3" s="662" t="s">
        <v>167</v>
      </c>
      <c r="AC3" s="662" t="s">
        <v>165</v>
      </c>
      <c r="AD3" s="662" t="s">
        <v>128</v>
      </c>
      <c r="AE3" s="662" t="s">
        <v>129</v>
      </c>
      <c r="AF3" s="683" t="s">
        <v>130</v>
      </c>
      <c r="AG3" s="683"/>
      <c r="AH3" s="683"/>
      <c r="AI3" s="683"/>
      <c r="AJ3" s="683"/>
      <c r="AK3" s="683"/>
      <c r="AL3" s="683"/>
      <c r="AM3" s="706" t="s">
        <v>131</v>
      </c>
      <c r="AN3" s="715" t="s">
        <v>105</v>
      </c>
      <c r="AO3" s="715"/>
      <c r="AP3" s="715"/>
      <c r="AQ3" s="715"/>
      <c r="AR3" s="715"/>
      <c r="AS3" s="716" t="s">
        <v>106</v>
      </c>
      <c r="AT3" s="711" t="s">
        <v>200</v>
      </c>
      <c r="AU3" s="712"/>
      <c r="AV3" s="718" t="s">
        <v>132</v>
      </c>
      <c r="AW3" s="719"/>
      <c r="AX3" s="685" t="s">
        <v>132</v>
      </c>
      <c r="AY3" s="686"/>
      <c r="AZ3" s="687" t="s">
        <v>304</v>
      </c>
      <c r="BA3" s="709" t="s">
        <v>107</v>
      </c>
      <c r="BB3" s="704" t="s">
        <v>108</v>
      </c>
      <c r="BC3" s="704" t="s">
        <v>109</v>
      </c>
      <c r="BD3" s="698" t="s">
        <v>374</v>
      </c>
      <c r="BE3" s="701" t="s">
        <v>375</v>
      </c>
      <c r="BF3" s="704" t="s">
        <v>376</v>
      </c>
    </row>
    <row r="4" spans="1:58" ht="12" customHeight="1">
      <c r="A4" s="663"/>
      <c r="B4" s="663"/>
      <c r="C4" s="663"/>
      <c r="D4" s="663"/>
      <c r="E4" s="663"/>
      <c r="F4" s="663"/>
      <c r="G4" s="670"/>
      <c r="H4" s="671"/>
      <c r="I4" s="671"/>
      <c r="J4" s="671"/>
      <c r="K4" s="672"/>
      <c r="L4" s="676"/>
      <c r="M4" s="677"/>
      <c r="N4" s="678"/>
      <c r="O4" s="680"/>
      <c r="P4" s="665"/>
      <c r="Q4" s="680"/>
      <c r="R4" s="682"/>
      <c r="S4" s="682"/>
      <c r="T4" s="663"/>
      <c r="U4" s="663"/>
      <c r="V4" s="663"/>
      <c r="W4" s="682"/>
      <c r="X4" s="691"/>
      <c r="Y4" s="691"/>
      <c r="Z4" s="693"/>
      <c r="AA4" s="663"/>
      <c r="AB4" s="663"/>
      <c r="AC4" s="663"/>
      <c r="AD4" s="663"/>
      <c r="AE4" s="663"/>
      <c r="AF4" s="695" t="s">
        <v>133</v>
      </c>
      <c r="AG4" s="696"/>
      <c r="AH4" s="697"/>
      <c r="AI4" s="665" t="s">
        <v>201</v>
      </c>
      <c r="AJ4" s="665" t="s">
        <v>16</v>
      </c>
      <c r="AK4" s="665" t="s">
        <v>134</v>
      </c>
      <c r="AL4" s="665" t="s">
        <v>19</v>
      </c>
      <c r="AM4" s="707"/>
      <c r="AN4" s="710" t="s">
        <v>111</v>
      </c>
      <c r="AO4" s="710" t="s">
        <v>16</v>
      </c>
      <c r="AP4" s="710" t="s">
        <v>112</v>
      </c>
      <c r="AQ4" s="710" t="s">
        <v>19</v>
      </c>
      <c r="AR4" s="709" t="s">
        <v>113</v>
      </c>
      <c r="AS4" s="716"/>
      <c r="AT4" s="713"/>
      <c r="AU4" s="714"/>
      <c r="AV4" s="532" t="s">
        <v>7</v>
      </c>
      <c r="AW4" s="532" t="s">
        <v>135</v>
      </c>
      <c r="AX4" s="533" t="s">
        <v>7</v>
      </c>
      <c r="AY4" s="534" t="s">
        <v>135</v>
      </c>
      <c r="AZ4" s="688"/>
      <c r="BA4" s="709"/>
      <c r="BB4" s="704"/>
      <c r="BC4" s="704"/>
      <c r="BD4" s="699"/>
      <c r="BE4" s="702"/>
      <c r="BF4" s="704"/>
    </row>
    <row r="5" spans="1:58" s="36" customFormat="1" ht="48">
      <c r="A5" s="663"/>
      <c r="B5" s="663"/>
      <c r="C5" s="684"/>
      <c r="D5" s="663"/>
      <c r="E5" s="663"/>
      <c r="F5" s="663"/>
      <c r="G5" s="510" t="s">
        <v>114</v>
      </c>
      <c r="H5" s="509" t="s">
        <v>115</v>
      </c>
      <c r="I5" s="34" t="s">
        <v>116</v>
      </c>
      <c r="J5" s="85" t="s">
        <v>117</v>
      </c>
      <c r="K5" s="85" t="s">
        <v>102</v>
      </c>
      <c r="L5" s="35" t="s">
        <v>118</v>
      </c>
      <c r="M5" s="35" t="s">
        <v>119</v>
      </c>
      <c r="N5" s="509" t="s">
        <v>120</v>
      </c>
      <c r="O5" s="680"/>
      <c r="P5" s="666"/>
      <c r="Q5" s="680"/>
      <c r="R5" s="682"/>
      <c r="S5" s="682"/>
      <c r="T5" s="663"/>
      <c r="U5" s="663"/>
      <c r="V5" s="663"/>
      <c r="W5" s="682"/>
      <c r="X5" s="691"/>
      <c r="Y5" s="694"/>
      <c r="Z5" s="693"/>
      <c r="AA5" s="663"/>
      <c r="AB5" s="684"/>
      <c r="AC5" s="663"/>
      <c r="AD5" s="684"/>
      <c r="AE5" s="663"/>
      <c r="AF5" s="470" t="s">
        <v>291</v>
      </c>
      <c r="AG5" s="536" t="s">
        <v>292</v>
      </c>
      <c r="AH5" s="536" t="s">
        <v>293</v>
      </c>
      <c r="AI5" s="666"/>
      <c r="AJ5" s="666"/>
      <c r="AK5" s="666"/>
      <c r="AL5" s="666"/>
      <c r="AM5" s="708"/>
      <c r="AN5" s="664"/>
      <c r="AO5" s="664"/>
      <c r="AP5" s="664"/>
      <c r="AQ5" s="664"/>
      <c r="AR5" s="681"/>
      <c r="AS5" s="717"/>
      <c r="AT5" s="537" t="s">
        <v>287</v>
      </c>
      <c r="AU5" s="537" t="s">
        <v>288</v>
      </c>
      <c r="AV5" s="535" t="s">
        <v>289</v>
      </c>
      <c r="AW5" s="535" t="s">
        <v>289</v>
      </c>
      <c r="AX5" s="533" t="s">
        <v>18</v>
      </c>
      <c r="AY5" s="533" t="s">
        <v>18</v>
      </c>
      <c r="AZ5" s="689"/>
      <c r="BA5" s="681"/>
      <c r="BB5" s="662"/>
      <c r="BC5" s="662"/>
      <c r="BD5" s="700"/>
      <c r="BE5" s="703"/>
      <c r="BF5" s="705"/>
    </row>
    <row r="6" spans="1:58" ht="12.95" customHeight="1">
      <c r="A6" s="44">
        <f>+Report1!A9</f>
        <v>45992</v>
      </c>
      <c r="B6" s="45" t="s">
        <v>8</v>
      </c>
      <c r="C6" s="459">
        <f>(M6*E6*O6*Q6)/100000000</f>
        <v>58.975300799999999</v>
      </c>
      <c r="D6" s="45" t="s">
        <v>384</v>
      </c>
      <c r="E6" s="46">
        <v>38</v>
      </c>
      <c r="F6" s="46">
        <v>1</v>
      </c>
      <c r="G6" s="47">
        <v>430</v>
      </c>
      <c r="H6" s="48">
        <v>0.12</v>
      </c>
      <c r="I6" s="49">
        <v>0.88</v>
      </c>
      <c r="J6" s="86">
        <f>E6*G6*(1-H6)*1440/1000000*3.4</f>
        <v>70.400563199999993</v>
      </c>
      <c r="K6" s="86">
        <f>(IF(G6&lt;L6,L6,G6)*(1-IF(H6&lt;N6,H6,N6))*E6*O6*Q6)/100000000</f>
        <v>66.071116799999984</v>
      </c>
      <c r="L6" s="39">
        <v>383.81944444444446</v>
      </c>
      <c r="M6" s="39">
        <v>337.76111111111112</v>
      </c>
      <c r="N6" s="50">
        <f>1-(M6/L6)</f>
        <v>0.12</v>
      </c>
      <c r="O6" s="51">
        <f>+'Trim Rwd'!H4</f>
        <v>319.09090909090907</v>
      </c>
      <c r="P6" s="52">
        <f>O6*(Q6-R6-S6)</f>
        <v>456938.18181818177</v>
      </c>
      <c r="Q6" s="51">
        <v>1440</v>
      </c>
      <c r="R6" s="512">
        <v>0</v>
      </c>
      <c r="S6" s="512">
        <v>8</v>
      </c>
      <c r="T6" s="41">
        <f>E6*M6*O6*Q6/100000000</f>
        <v>58.975300799999999</v>
      </c>
      <c r="U6" s="41">
        <f>E6*M6*O6*(Q6-R6-S6)/100000000</f>
        <v>58.64766024</v>
      </c>
      <c r="V6" s="41">
        <f>E6*G6*(1-N6)*O6/100*(R6+S6)/1000000</f>
        <v>0.36706176000000001</v>
      </c>
      <c r="W6" s="41">
        <f>+'1'!K34/1000</f>
        <v>60.009</v>
      </c>
      <c r="X6" s="513">
        <f>SUM(W6:W9)/SUM(K6:K9)</f>
        <v>0.90824861007949564</v>
      </c>
      <c r="Y6" s="214">
        <v>0</v>
      </c>
      <c r="Z6" s="599">
        <f>+'1'!D34/1000</f>
        <v>0.55000000000000004</v>
      </c>
      <c r="AA6" s="53">
        <f>SUM(U6:U9)-SUM(W6:W9)-SUM(Z6:Z9)-SUM(Y6:Y9)</f>
        <v>-1.9113397599999999</v>
      </c>
      <c r="AB6" s="53">
        <f>(SUM(K6:K9)-SUM(W6:W9)-SUM(Y6:Y9)-SUM(Z6:Z9)-SUM(AC6:AC9)-SUM(V6:V9))-AA6</f>
        <v>-3.9421200000000711E-2</v>
      </c>
      <c r="AC6" s="41">
        <f>K6-T6</f>
        <v>7.095815999999985</v>
      </c>
      <c r="AD6" s="41">
        <f>+AM6+BA6</f>
        <v>0</v>
      </c>
      <c r="AE6" s="232" t="s">
        <v>395</v>
      </c>
      <c r="AF6" s="41">
        <v>0</v>
      </c>
      <c r="AG6" s="41"/>
      <c r="AH6" s="41"/>
      <c r="AI6" s="514"/>
      <c r="AJ6" s="41"/>
      <c r="AK6" s="41"/>
      <c r="AL6" s="41"/>
      <c r="AM6" s="41">
        <f>SUM(AF6:AL6)+AT6+AV6+AX6</f>
        <v>0</v>
      </c>
      <c r="AN6" s="41"/>
      <c r="AO6" s="41"/>
      <c r="AP6" s="41"/>
      <c r="AQ6" s="41"/>
      <c r="AR6" s="41">
        <f>SUM(AN6:AQ6)</f>
        <v>0</v>
      </c>
      <c r="AS6" s="41"/>
      <c r="AT6" s="41"/>
      <c r="AU6" s="41"/>
      <c r="AV6" s="41"/>
      <c r="AW6" s="41"/>
      <c r="AX6" s="41"/>
      <c r="AY6" s="41"/>
      <c r="AZ6" s="41"/>
      <c r="BA6" s="41">
        <f>+AR6+AS6+AU6+AW6+AY6+AZ6</f>
        <v>0</v>
      </c>
      <c r="BB6" s="37">
        <v>0</v>
      </c>
      <c r="BC6" s="55"/>
      <c r="BD6" s="55"/>
      <c r="BE6" s="37"/>
      <c r="BF6" s="55"/>
    </row>
    <row r="7" spans="1:58" ht="12.95" customHeight="1">
      <c r="A7" s="44"/>
      <c r="B7" s="45"/>
      <c r="C7" s="459"/>
      <c r="D7" s="45"/>
      <c r="E7" s="46"/>
      <c r="F7" s="46"/>
      <c r="G7" s="511"/>
      <c r="H7" s="48"/>
      <c r="I7" s="49"/>
      <c r="J7" s="86"/>
      <c r="K7" s="86"/>
      <c r="L7" s="39"/>
      <c r="M7" s="39"/>
      <c r="N7" s="50"/>
      <c r="O7" s="51"/>
      <c r="P7" s="52"/>
      <c r="Q7" s="51"/>
      <c r="R7" s="512"/>
      <c r="S7" s="512"/>
      <c r="T7" s="41"/>
      <c r="U7" s="41"/>
      <c r="V7" s="41"/>
      <c r="W7" s="41"/>
      <c r="X7" s="42"/>
      <c r="Y7" s="214"/>
      <c r="Z7" s="599"/>
      <c r="AA7" s="41"/>
      <c r="AB7" s="41"/>
      <c r="AC7" s="41"/>
      <c r="AD7" s="41">
        <f>+AM7+BA7</f>
        <v>2</v>
      </c>
      <c r="AE7" s="232" t="s">
        <v>393</v>
      </c>
      <c r="AF7" s="41"/>
      <c r="AG7" s="41">
        <v>2</v>
      </c>
      <c r="AH7" s="41"/>
      <c r="AI7" s="514"/>
      <c r="AJ7" s="41"/>
      <c r="AK7" s="41"/>
      <c r="AL7" s="41"/>
      <c r="AM7" s="41">
        <f>SUM(AF7:AL7)+AT7+AV7+AX7</f>
        <v>2</v>
      </c>
      <c r="AN7" s="87"/>
      <c r="AO7" s="41"/>
      <c r="AP7" s="41"/>
      <c r="AQ7" s="41"/>
      <c r="AR7" s="41">
        <f>SUM(AN7:AQ7)</f>
        <v>0</v>
      </c>
      <c r="AS7" s="41"/>
      <c r="AT7" s="41"/>
      <c r="AU7" s="41"/>
      <c r="AV7" s="41"/>
      <c r="AW7" s="41"/>
      <c r="AX7" s="41"/>
      <c r="AY7" s="41"/>
      <c r="AZ7" s="41"/>
      <c r="BA7" s="41">
        <f>+AR7+AS7+AU7+AW7+AY7+AZ7</f>
        <v>0</v>
      </c>
      <c r="BB7" s="54"/>
      <c r="BC7" s="55">
        <v>1</v>
      </c>
      <c r="BD7" s="55"/>
      <c r="BE7" s="54"/>
      <c r="BF7" s="55"/>
    </row>
    <row r="8" spans="1:58" ht="12.95" customHeight="1">
      <c r="A8" s="44"/>
      <c r="B8" s="45"/>
      <c r="C8" s="459"/>
      <c r="D8" s="45"/>
      <c r="E8" s="46"/>
      <c r="F8" s="46"/>
      <c r="G8" s="511"/>
      <c r="H8" s="48"/>
      <c r="I8" s="49"/>
      <c r="J8" s="86"/>
      <c r="K8" s="86"/>
      <c r="L8" s="39"/>
      <c r="M8" s="39"/>
      <c r="N8" s="50"/>
      <c r="O8" s="51"/>
      <c r="P8" s="52"/>
      <c r="Q8" s="51"/>
      <c r="R8" s="512"/>
      <c r="S8" s="512"/>
      <c r="T8" s="41"/>
      <c r="U8" s="41"/>
      <c r="V8" s="41"/>
      <c r="W8" s="41"/>
      <c r="X8" s="42"/>
      <c r="Y8" s="214"/>
      <c r="Z8" s="599"/>
      <c r="AA8" s="41"/>
      <c r="AB8" s="41"/>
      <c r="AC8" s="41"/>
      <c r="AD8" s="41">
        <f>+AM8+BA8</f>
        <v>6</v>
      </c>
      <c r="AE8" s="232" t="s">
        <v>226</v>
      </c>
      <c r="AF8" s="37"/>
      <c r="AG8" s="37"/>
      <c r="AH8" s="37">
        <v>6</v>
      </c>
      <c r="AJ8" s="41"/>
      <c r="AK8" s="41"/>
      <c r="AL8" s="41"/>
      <c r="AM8" s="41">
        <f>SUM(AF8:AL8)+AT8+AV8+AX8</f>
        <v>6</v>
      </c>
      <c r="AN8" s="41"/>
      <c r="AO8" s="41"/>
      <c r="AP8" s="41"/>
      <c r="AQ8" s="41"/>
      <c r="AR8" s="41">
        <f>SUM(AN8:AQ8)</f>
        <v>0</v>
      </c>
      <c r="AS8" s="41"/>
      <c r="AT8" s="41"/>
      <c r="AU8" s="41"/>
      <c r="AV8" s="41"/>
      <c r="AW8" s="41"/>
      <c r="AX8" s="41"/>
      <c r="AY8" s="41"/>
      <c r="AZ8" s="41"/>
      <c r="BA8" s="41">
        <f>+AR8+AS8+AU8+AW8+AY8+AZ8</f>
        <v>0</v>
      </c>
      <c r="BB8" s="37"/>
      <c r="BC8" s="515"/>
      <c r="BD8" s="515"/>
      <c r="BE8" s="37"/>
      <c r="BF8" s="515"/>
    </row>
    <row r="9" spans="1:58" ht="12.95" customHeight="1">
      <c r="A9" s="44"/>
      <c r="B9" s="45"/>
      <c r="C9" s="459"/>
      <c r="D9" s="45"/>
      <c r="E9" s="46"/>
      <c r="F9" s="46"/>
      <c r="G9" s="47"/>
      <c r="H9" s="48"/>
      <c r="I9" s="49"/>
      <c r="J9" s="86"/>
      <c r="K9" s="86"/>
      <c r="L9" s="39"/>
      <c r="M9" s="39"/>
      <c r="N9" s="50"/>
      <c r="O9" s="51"/>
      <c r="P9" s="52"/>
      <c r="Q9" s="38"/>
      <c r="R9" s="512"/>
      <c r="S9" s="512"/>
      <c r="T9" s="41"/>
      <c r="U9" s="41"/>
      <c r="V9" s="41"/>
      <c r="W9" s="41"/>
      <c r="X9" s="42"/>
      <c r="Y9" s="214"/>
      <c r="Z9" s="599"/>
      <c r="AA9" s="41"/>
      <c r="AB9" s="41"/>
      <c r="AC9" s="41"/>
      <c r="AD9" s="41"/>
      <c r="AE9" s="584"/>
      <c r="AF9" s="41"/>
      <c r="AG9" s="41"/>
      <c r="AH9" s="41"/>
      <c r="AI9" s="514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54"/>
      <c r="BC9" s="55"/>
      <c r="BD9" s="55"/>
      <c r="BE9" s="54"/>
      <c r="BF9" s="55"/>
    </row>
    <row r="10" spans="1:58" ht="12.95" customHeight="1">
      <c r="A10" s="44">
        <v>45993</v>
      </c>
      <c r="B10" s="45" t="s">
        <v>8</v>
      </c>
      <c r="C10" s="459">
        <f>(M10*E10*O10*Q10)/100000000</f>
        <v>14.3279988</v>
      </c>
      <c r="D10" s="45" t="s">
        <v>384</v>
      </c>
      <c r="E10" s="46">
        <v>38</v>
      </c>
      <c r="F10" s="46">
        <v>1</v>
      </c>
      <c r="G10" s="47">
        <v>430</v>
      </c>
      <c r="H10" s="48">
        <v>0.12</v>
      </c>
      <c r="I10" s="49">
        <v>0.88</v>
      </c>
      <c r="J10" s="86">
        <f>E10*G10*(1-H10)*1440/1000000*3.4</f>
        <v>70.400563199999993</v>
      </c>
      <c r="K10" s="86">
        <f>(IF(G10&lt;L10,L10,G10)*(1-IF(H10&lt;N10,H10,N10))*E10*O10*Q10)/100000000</f>
        <v>16.232678879999998</v>
      </c>
      <c r="L10" s="39">
        <v>380</v>
      </c>
      <c r="M10" s="39">
        <v>334</v>
      </c>
      <c r="N10" s="50">
        <f>1-(M10/L10)</f>
        <v>0.12105263157894741</v>
      </c>
      <c r="O10" s="51">
        <f>+'Trim Rwd'!H7</f>
        <v>318</v>
      </c>
      <c r="P10" s="52">
        <f>O10*(Q10-R10-S10)</f>
        <v>106530</v>
      </c>
      <c r="Q10" s="51">
        <v>355</v>
      </c>
      <c r="R10" s="512">
        <v>0</v>
      </c>
      <c r="S10" s="512">
        <v>20</v>
      </c>
      <c r="T10" s="41">
        <f>E10*M10*O10*Q10/100000000</f>
        <v>14.3279988</v>
      </c>
      <c r="U10" s="41">
        <f>E10*M10*O10*(Q10-R10-S10)/100000000</f>
        <v>13.5207876</v>
      </c>
      <c r="V10" s="41">
        <f>E10*G10*(1-N10)*O10/100*(R10+S10)/1000000</f>
        <v>0.9134232000000001</v>
      </c>
      <c r="W10" s="41">
        <f>+'2'!K7/1000</f>
        <v>18.504000000000001</v>
      </c>
      <c r="X10" s="513">
        <f>SUM(W10:W13)/SUM(K10:K13)</f>
        <v>0.65938127879840291</v>
      </c>
      <c r="Y10" s="214">
        <v>0</v>
      </c>
      <c r="Z10" s="599">
        <v>0</v>
      </c>
      <c r="AA10" s="53">
        <f>SUM(U10:U13)-SUM(W10:W13)-SUM(Z10:Z13)-SUM(Y10:Y13)</f>
        <v>5.3782276000000007</v>
      </c>
      <c r="AB10" s="53">
        <f>(SUM(K10:K13)-SUM(W10:W13)-SUM(Y10:Y13)-SUM(Z10:Z13)-SUM(AC10:AC13)-SUM(V10:V13))-AA10</f>
        <v>-1.1761380000000141</v>
      </c>
      <c r="AC10" s="41">
        <f>K10-T10</f>
        <v>1.9046800799999986</v>
      </c>
      <c r="AD10" s="41">
        <f>+AM10+BA10</f>
        <v>2</v>
      </c>
      <c r="AE10" s="232" t="s">
        <v>392</v>
      </c>
      <c r="AF10" s="41">
        <v>2</v>
      </c>
      <c r="AG10" s="41"/>
      <c r="AH10" s="41"/>
      <c r="AI10" s="514"/>
      <c r="AJ10" s="41"/>
      <c r="AK10" s="41"/>
      <c r="AL10" s="41"/>
      <c r="AM10" s="41">
        <f>SUM(AF10:AL10)+AT10+AV10+AX10</f>
        <v>2</v>
      </c>
      <c r="AN10" s="41"/>
      <c r="AO10" s="41"/>
      <c r="AP10" s="41"/>
      <c r="AQ10" s="41"/>
      <c r="AR10" s="41">
        <f>SUM(AN10:AQ10)</f>
        <v>0</v>
      </c>
      <c r="AS10" s="41"/>
      <c r="AT10" s="41"/>
      <c r="AU10" s="41"/>
      <c r="AV10" s="41"/>
      <c r="AW10" s="41"/>
      <c r="AX10" s="41"/>
      <c r="AY10" s="41"/>
      <c r="AZ10" s="41"/>
      <c r="BA10" s="41">
        <f>+AR10+AS10+AU10+AW10+AY10+AZ10</f>
        <v>0</v>
      </c>
      <c r="BB10" s="37">
        <v>1</v>
      </c>
      <c r="BC10" s="55"/>
      <c r="BD10" s="55"/>
      <c r="BE10" s="37"/>
      <c r="BF10" s="55"/>
    </row>
    <row r="11" spans="1:58" ht="12.95" customHeight="1">
      <c r="A11" s="44"/>
      <c r="B11" s="45" t="s">
        <v>8</v>
      </c>
      <c r="C11" s="459">
        <f>(M11*E11*O11*Q11)/100000000</f>
        <v>1.9839599999999999</v>
      </c>
      <c r="D11" s="45" t="s">
        <v>384</v>
      </c>
      <c r="E11" s="46">
        <v>36</v>
      </c>
      <c r="F11" s="46">
        <v>1</v>
      </c>
      <c r="G11" s="47">
        <v>455</v>
      </c>
      <c r="H11" s="48">
        <v>0.12</v>
      </c>
      <c r="I11" s="49">
        <v>0.88</v>
      </c>
      <c r="J11" s="86">
        <f>E11*G11*(1-H11)*1440/1000000*3.4</f>
        <v>70.572902400000004</v>
      </c>
      <c r="K11" s="86">
        <f>(IF(G11&lt;L11,L11,G11)*(1-IF(H11&lt;N11,H11,N11))*E11*O11*Q11)/100000000</f>
        <v>2.3783759999999998</v>
      </c>
      <c r="L11" s="39">
        <v>380</v>
      </c>
      <c r="M11" s="39">
        <v>334</v>
      </c>
      <c r="N11" s="50">
        <f>1-(M11/L11)</f>
        <v>0.12105263157894741</v>
      </c>
      <c r="O11" s="51">
        <f>+'Trim Rwd'!H8</f>
        <v>330</v>
      </c>
      <c r="P11" s="52">
        <f>O11*(Q11-R11-S11)</f>
        <v>16500</v>
      </c>
      <c r="Q11" s="51">
        <v>50</v>
      </c>
      <c r="R11" s="512">
        <v>0</v>
      </c>
      <c r="S11" s="512">
        <v>0</v>
      </c>
      <c r="T11" s="41">
        <f>E11*M11*O11*Q11/100000000</f>
        <v>1.9839599999999999</v>
      </c>
      <c r="U11" s="41">
        <f>E11*M11*O11*(Q11-R11-S11)/100000000</f>
        <v>1.9839599999999999</v>
      </c>
      <c r="V11" s="41">
        <f>E11*G11*(1-N11)*O11/100*(R11+S11)/1000000</f>
        <v>0</v>
      </c>
      <c r="W11" s="41">
        <f>+'2'!K8/1000</f>
        <v>1.53</v>
      </c>
      <c r="X11" s="42"/>
      <c r="Y11" s="214"/>
      <c r="Z11" s="599">
        <v>0</v>
      </c>
      <c r="AA11" s="41"/>
      <c r="AB11" s="41"/>
      <c r="AC11" s="41">
        <f>K11-T11</f>
        <v>0.39441599999999988</v>
      </c>
      <c r="AD11" s="41">
        <f>+AM11+BA11</f>
        <v>40</v>
      </c>
      <c r="AE11" s="232" t="s">
        <v>440</v>
      </c>
      <c r="AF11" s="41"/>
      <c r="AG11" s="41">
        <v>40</v>
      </c>
      <c r="AH11" s="41"/>
      <c r="AI11" s="514"/>
      <c r="AJ11" s="41"/>
      <c r="AK11" s="41"/>
      <c r="AL11" s="41"/>
      <c r="AM11" s="41">
        <f>SUM(AF11:AL11)+AT11+AV11+AX11</f>
        <v>40</v>
      </c>
      <c r="AN11" s="87"/>
      <c r="AO11" s="41"/>
      <c r="AP11" s="41"/>
      <c r="AQ11" s="41"/>
      <c r="AR11" s="41">
        <f>SUM(AN11:AQ11)</f>
        <v>0</v>
      </c>
      <c r="AS11" s="41"/>
      <c r="AT11" s="41"/>
      <c r="AU11" s="41"/>
      <c r="AV11" s="41"/>
      <c r="AW11" s="41"/>
      <c r="AX11" s="41"/>
      <c r="AY11" s="41"/>
      <c r="AZ11" s="41"/>
      <c r="BA11" s="41">
        <f>+AR11+AS11+AU11+AW11+AY11+AZ11</f>
        <v>0</v>
      </c>
      <c r="BB11" s="54"/>
      <c r="BC11" s="55">
        <v>5</v>
      </c>
      <c r="BD11" s="55"/>
      <c r="BE11" s="54"/>
      <c r="BF11" s="55"/>
    </row>
    <row r="12" spans="1:58" ht="12.95" customHeight="1">
      <c r="A12" s="44"/>
      <c r="B12" s="45" t="s">
        <v>439</v>
      </c>
      <c r="C12" s="459">
        <f>(M12*E12*O12*Q12)/100000000</f>
        <v>41.122619999999998</v>
      </c>
      <c r="D12" s="45" t="s">
        <v>384</v>
      </c>
      <c r="E12" s="46">
        <v>20</v>
      </c>
      <c r="F12" s="46">
        <v>1</v>
      </c>
      <c r="G12" s="47">
        <v>830</v>
      </c>
      <c r="H12" s="48">
        <v>0.14000000000000001</v>
      </c>
      <c r="I12" s="49">
        <v>0.88</v>
      </c>
      <c r="J12" s="86">
        <f>E12*G12*(1-H12)*1440/1000000*3.4</f>
        <v>69.895296000000002</v>
      </c>
      <c r="K12" s="86">
        <f>(IF(G12&lt;L12,L12,G12)*(1-IF(H12&lt;N12,H12,N12))*E12*O12*Q12)/100000000</f>
        <v>48.759678000000001</v>
      </c>
      <c r="L12" s="39">
        <v>700</v>
      </c>
      <c r="M12" s="39">
        <v>602</v>
      </c>
      <c r="N12" s="50">
        <f>1-(M12/L12)</f>
        <v>0.14000000000000001</v>
      </c>
      <c r="O12" s="51">
        <f>+'Trim Rwd'!H9</f>
        <v>330</v>
      </c>
      <c r="P12" s="52">
        <f>O12*(Q12-R12-S12)</f>
        <v>293700</v>
      </c>
      <c r="Q12" s="51">
        <v>1035</v>
      </c>
      <c r="R12" s="512">
        <v>105</v>
      </c>
      <c r="S12" s="512">
        <v>40</v>
      </c>
      <c r="T12" s="41">
        <f>E12*M12*O12*Q12/100000000</f>
        <v>41.122619999999998</v>
      </c>
      <c r="U12" s="41">
        <f>E12*M12*O12*(Q12-R12-S12)/100000000</f>
        <v>35.36148</v>
      </c>
      <c r="V12" s="41">
        <f>E12*G12*(1-N12)*O12/100*(R12+S12)/1000000</f>
        <v>6.8310659999999999</v>
      </c>
      <c r="W12" s="41">
        <f>+'2'!K9/1000</f>
        <v>24.388999999999999</v>
      </c>
      <c r="X12" s="42"/>
      <c r="Y12" s="214"/>
      <c r="Z12" s="599">
        <f>+'2'!D34/1000</f>
        <v>1.0649999999999999</v>
      </c>
      <c r="AA12" s="41"/>
      <c r="AB12" s="41"/>
      <c r="AC12" s="41">
        <f>K12-T12</f>
        <v>7.6370580000000032</v>
      </c>
      <c r="AD12" s="41">
        <f>+AM12+BA12</f>
        <v>18</v>
      </c>
      <c r="AE12" s="232" t="s">
        <v>226</v>
      </c>
      <c r="AF12" s="37"/>
      <c r="AG12" s="37"/>
      <c r="AH12" s="37">
        <v>18</v>
      </c>
      <c r="AJ12" s="41"/>
      <c r="AK12" s="41"/>
      <c r="AL12" s="41"/>
      <c r="AM12" s="41">
        <f>SUM(AF12:AL12)+AT12+AV12+AX12</f>
        <v>18</v>
      </c>
      <c r="AN12" s="41"/>
      <c r="AO12" s="41"/>
      <c r="AP12" s="41"/>
      <c r="AQ12" s="41"/>
      <c r="AR12" s="41">
        <f>SUM(AN12:AQ12)</f>
        <v>0</v>
      </c>
      <c r="AS12" s="41"/>
      <c r="AT12" s="41"/>
      <c r="AU12" s="41"/>
      <c r="AV12" s="41"/>
      <c r="AW12" s="41"/>
      <c r="AX12" s="41"/>
      <c r="AY12" s="41"/>
      <c r="AZ12" s="41"/>
      <c r="BA12" s="41">
        <f>+AR12+AS12+AU12+AW12+AY12+AZ12</f>
        <v>0</v>
      </c>
      <c r="BB12" s="37"/>
      <c r="BC12" s="515"/>
      <c r="BD12" s="515"/>
      <c r="BE12" s="37"/>
      <c r="BF12" s="515"/>
    </row>
    <row r="13" spans="1:58" ht="12.95" customHeight="1">
      <c r="A13" s="44"/>
      <c r="B13" s="45"/>
      <c r="C13" s="459"/>
      <c r="D13" s="45"/>
      <c r="E13" s="46"/>
      <c r="F13" s="46"/>
      <c r="G13" s="511"/>
      <c r="H13" s="48"/>
      <c r="I13" s="49"/>
      <c r="J13" s="86"/>
      <c r="K13" s="86"/>
      <c r="L13" s="39"/>
      <c r="M13" s="39"/>
      <c r="N13" s="50"/>
      <c r="O13" s="51"/>
      <c r="P13" s="52"/>
      <c r="Q13" s="51"/>
      <c r="R13" s="512"/>
      <c r="S13" s="512"/>
      <c r="T13" s="41"/>
      <c r="U13" s="41"/>
      <c r="V13" s="41"/>
      <c r="W13" s="41"/>
      <c r="X13" s="42"/>
      <c r="Y13" s="214"/>
      <c r="Z13" s="599"/>
      <c r="AA13" s="41"/>
      <c r="AB13" s="41"/>
      <c r="AC13" s="41"/>
      <c r="AD13" s="41">
        <f>+AM13+BA13</f>
        <v>105</v>
      </c>
      <c r="AE13" s="235" t="s">
        <v>441</v>
      </c>
      <c r="AF13" s="41"/>
      <c r="AG13" s="41"/>
      <c r="AH13" s="41"/>
      <c r="AI13" s="514"/>
      <c r="AJ13" s="41"/>
      <c r="AK13" s="41"/>
      <c r="AL13" s="41"/>
      <c r="AM13" s="41">
        <f>SUM(AF13:AL13)+AT13+AV13+AX13</f>
        <v>0</v>
      </c>
      <c r="AN13" s="41"/>
      <c r="AO13" s="41"/>
      <c r="AP13" s="41"/>
      <c r="AQ13" s="41"/>
      <c r="AR13" s="41">
        <f>SUM(AN13:AQ13)</f>
        <v>0</v>
      </c>
      <c r="AS13" s="41"/>
      <c r="AT13" s="41"/>
      <c r="AU13" s="41"/>
      <c r="AV13" s="41"/>
      <c r="AW13" s="41"/>
      <c r="AX13" s="41"/>
      <c r="AY13" s="41">
        <v>105</v>
      </c>
      <c r="AZ13" s="41"/>
      <c r="BA13" s="41">
        <f>+AR13+AS13+AU13+AW13+AY13+AZ13</f>
        <v>105</v>
      </c>
      <c r="BB13" s="37"/>
      <c r="BC13" s="515"/>
      <c r="BD13" s="515"/>
      <c r="BE13" s="37">
        <v>1</v>
      </c>
      <c r="BF13" s="515"/>
    </row>
    <row r="14" spans="1:58" ht="12.95" customHeight="1">
      <c r="A14" s="44"/>
      <c r="B14" s="45"/>
      <c r="C14" s="459"/>
      <c r="D14" s="45"/>
      <c r="E14" s="46"/>
      <c r="F14" s="46"/>
      <c r="G14" s="511"/>
      <c r="H14" s="48"/>
      <c r="I14" s="49"/>
      <c r="J14" s="86"/>
      <c r="K14" s="86"/>
      <c r="L14" s="39"/>
      <c r="M14" s="39"/>
      <c r="N14" s="50"/>
      <c r="O14" s="51"/>
      <c r="P14" s="52"/>
      <c r="Q14" s="51"/>
      <c r="R14" s="512"/>
      <c r="S14" s="512"/>
      <c r="T14" s="41"/>
      <c r="U14" s="41"/>
      <c r="V14" s="41"/>
      <c r="W14" s="41"/>
      <c r="X14" s="42"/>
      <c r="Y14" s="214"/>
      <c r="Z14" s="599"/>
      <c r="AA14" s="41"/>
      <c r="AB14" s="41"/>
      <c r="AC14" s="41"/>
      <c r="AD14" s="41"/>
      <c r="AE14" s="232"/>
      <c r="AF14" s="37"/>
      <c r="AG14" s="37"/>
      <c r="AH14" s="37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37"/>
      <c r="BC14" s="515"/>
      <c r="BD14" s="515"/>
      <c r="BE14" s="37"/>
      <c r="BF14" s="515"/>
    </row>
    <row r="15" spans="1:58" ht="12.95" customHeight="1">
      <c r="A15" s="44">
        <v>45994</v>
      </c>
      <c r="B15" s="45" t="s">
        <v>439</v>
      </c>
      <c r="C15" s="459">
        <f>(M15*E15*O15*Q15)/100000000</f>
        <v>46.883760000000002</v>
      </c>
      <c r="D15" s="45" t="s">
        <v>384</v>
      </c>
      <c r="E15" s="46">
        <v>20</v>
      </c>
      <c r="F15" s="46">
        <v>1</v>
      </c>
      <c r="G15" s="47">
        <v>830</v>
      </c>
      <c r="H15" s="48">
        <v>0.14000000000000001</v>
      </c>
      <c r="I15" s="49">
        <v>0.88</v>
      </c>
      <c r="J15" s="86">
        <f>E15*G15*(1-H15)*1440/1000000*3.4</f>
        <v>69.895296000000002</v>
      </c>
      <c r="K15" s="86">
        <f>(IF(G15&lt;L15,L15,G15)*(1-IF(H15&lt;N15,H15,N15))*E15*O15*Q15)/100000000</f>
        <v>55.590744000000001</v>
      </c>
      <c r="L15" s="39">
        <v>700</v>
      </c>
      <c r="M15" s="39">
        <v>602</v>
      </c>
      <c r="N15" s="50">
        <f>1-(M15/L15)</f>
        <v>0.14000000000000001</v>
      </c>
      <c r="O15" s="51">
        <f>+'Trim Rwd'!H11</f>
        <v>330</v>
      </c>
      <c r="P15" s="52">
        <f>O15*(Q15-R15-S15)</f>
        <v>383460</v>
      </c>
      <c r="Q15" s="51">
        <f>1440-260</f>
        <v>1180</v>
      </c>
      <c r="R15" s="512">
        <f>260-260</f>
        <v>0</v>
      </c>
      <c r="S15" s="512">
        <v>18</v>
      </c>
      <c r="T15" s="41">
        <f>E15*M15*O15*Q15/100000000</f>
        <v>46.883760000000002</v>
      </c>
      <c r="U15" s="41">
        <f>E15*M15*O15*(Q15-R15-S15)/100000000</f>
        <v>46.168584000000003</v>
      </c>
      <c r="V15" s="41">
        <f>E15*G15*(1-N15)*O15/100*(R15+S15)/1000000</f>
        <v>0.84799440000000004</v>
      </c>
      <c r="W15" s="41">
        <f>+'3'!K34/1000</f>
        <v>49.814999999999998</v>
      </c>
      <c r="X15" s="513">
        <f>SUM(W15:W18)/SUM(K15:K18)</f>
        <v>0.89610241589858908</v>
      </c>
      <c r="Y15" s="214">
        <v>0</v>
      </c>
      <c r="Z15" s="599">
        <f>+'3'!D34/1000</f>
        <v>1</v>
      </c>
      <c r="AA15" s="53">
        <f>SUM(U15:U18)-SUM(W15:W18)-SUM(Z15:Z18)-SUM(Y15:Y18)</f>
        <v>-4.646415999999995</v>
      </c>
      <c r="AB15" s="53">
        <f>(SUM(K15:K18)-SUM(W15:W18)-SUM(Y15:Y18)-SUM(Z15:Z18)-SUM(AC15:AC18)-SUM(V15:V18))-AA15</f>
        <v>-0.13281840000000056</v>
      </c>
      <c r="AC15" s="41">
        <f>K15-T15</f>
        <v>8.7069839999999985</v>
      </c>
      <c r="AD15" s="41">
        <f>+AM15+BA15</f>
        <v>0</v>
      </c>
      <c r="AE15" s="232" t="s">
        <v>395</v>
      </c>
      <c r="AF15" s="41">
        <v>0</v>
      </c>
      <c r="AG15" s="41"/>
      <c r="AH15" s="41"/>
      <c r="AI15" s="514"/>
      <c r="AJ15" s="41"/>
      <c r="AK15" s="41"/>
      <c r="AL15" s="41"/>
      <c r="AM15" s="41">
        <f>SUM(AF15:AL15)+AT15+AV15+AX15</f>
        <v>0</v>
      </c>
      <c r="AN15" s="41"/>
      <c r="AO15" s="41"/>
      <c r="AP15" s="41"/>
      <c r="AQ15" s="41"/>
      <c r="AR15" s="41">
        <f>SUM(AN15:AQ15)</f>
        <v>0</v>
      </c>
      <c r="AS15" s="41"/>
      <c r="AT15" s="41"/>
      <c r="AU15" s="41"/>
      <c r="AV15" s="41"/>
      <c r="AW15" s="41"/>
      <c r="AX15" s="41"/>
      <c r="AY15" s="41"/>
      <c r="AZ15" s="41"/>
      <c r="BA15" s="41">
        <f>+AR15+AS15+AU15+AW15+AY15+AZ15</f>
        <v>0</v>
      </c>
      <c r="BB15" s="37">
        <v>0</v>
      </c>
      <c r="BC15" s="55"/>
      <c r="BD15" s="55"/>
      <c r="BE15" s="37"/>
      <c r="BF15" s="55"/>
    </row>
    <row r="16" spans="1:58" ht="12.95" customHeight="1">
      <c r="A16" s="44"/>
      <c r="B16" s="45"/>
      <c r="C16" s="459"/>
      <c r="D16" s="45"/>
      <c r="E16" s="46"/>
      <c r="F16" s="46"/>
      <c r="G16" s="47"/>
      <c r="H16" s="48"/>
      <c r="I16" s="49"/>
      <c r="J16" s="86"/>
      <c r="K16" s="86"/>
      <c r="L16" s="39"/>
      <c r="M16" s="39"/>
      <c r="N16" s="50"/>
      <c r="O16" s="51"/>
      <c r="P16" s="52"/>
      <c r="Q16" s="51"/>
      <c r="R16" s="512"/>
      <c r="S16" s="512"/>
      <c r="T16" s="41"/>
      <c r="U16" s="41"/>
      <c r="V16" s="41"/>
      <c r="W16" s="41"/>
      <c r="X16" s="42"/>
      <c r="Y16" s="214"/>
      <c r="Z16" s="599"/>
      <c r="AA16" s="41"/>
      <c r="AB16" s="41"/>
      <c r="AC16" s="41"/>
      <c r="AD16" s="41">
        <f>+AM16+BA16</f>
        <v>7</v>
      </c>
      <c r="AE16" s="232" t="s">
        <v>394</v>
      </c>
      <c r="AF16" s="41"/>
      <c r="AG16" s="41">
        <v>7</v>
      </c>
      <c r="AH16" s="41"/>
      <c r="AI16" s="514"/>
      <c r="AJ16" s="41"/>
      <c r="AK16" s="41"/>
      <c r="AL16" s="41"/>
      <c r="AM16" s="41">
        <f>SUM(AF16:AL16)+AT16+AV16+AX16</f>
        <v>7</v>
      </c>
      <c r="AN16" s="87"/>
      <c r="AO16" s="41"/>
      <c r="AP16" s="41"/>
      <c r="AQ16" s="41"/>
      <c r="AR16" s="41">
        <f>SUM(AN16:AQ16)</f>
        <v>0</v>
      </c>
      <c r="AS16" s="41"/>
      <c r="AT16" s="41"/>
      <c r="AU16" s="41"/>
      <c r="AV16" s="41"/>
      <c r="AW16" s="41"/>
      <c r="AX16" s="41"/>
      <c r="AY16" s="41"/>
      <c r="AZ16" s="41"/>
      <c r="BA16" s="41">
        <f>+AR16+AS16+AU16+AW16+AY16+AZ16</f>
        <v>0</v>
      </c>
      <c r="BB16" s="54"/>
      <c r="BC16" s="55">
        <v>3</v>
      </c>
      <c r="BD16" s="55"/>
      <c r="BE16" s="54"/>
      <c r="BF16" s="55"/>
    </row>
    <row r="17" spans="1:58" ht="12.95" customHeight="1">
      <c r="A17" s="44"/>
      <c r="B17" s="45"/>
      <c r="C17" s="459"/>
      <c r="D17" s="45"/>
      <c r="E17" s="46"/>
      <c r="F17" s="46"/>
      <c r="G17" s="47"/>
      <c r="H17" s="48"/>
      <c r="I17" s="49"/>
      <c r="J17" s="86"/>
      <c r="K17" s="86"/>
      <c r="L17" s="39"/>
      <c r="M17" s="39"/>
      <c r="N17" s="50"/>
      <c r="O17" s="51"/>
      <c r="P17" s="52"/>
      <c r="Q17" s="51"/>
      <c r="R17" s="512"/>
      <c r="S17" s="512"/>
      <c r="T17" s="41"/>
      <c r="U17" s="41"/>
      <c r="V17" s="41"/>
      <c r="W17" s="41"/>
      <c r="X17" s="42"/>
      <c r="Y17" s="214"/>
      <c r="Z17" s="599"/>
      <c r="AA17" s="41"/>
      <c r="AB17" s="41"/>
      <c r="AC17" s="41"/>
      <c r="AD17" s="41">
        <f>+AM17+BA17</f>
        <v>11</v>
      </c>
      <c r="AE17" s="232" t="s">
        <v>226</v>
      </c>
      <c r="AF17" s="37"/>
      <c r="AG17" s="37"/>
      <c r="AH17" s="37">
        <v>11</v>
      </c>
      <c r="AJ17" s="41"/>
      <c r="AK17" s="41"/>
      <c r="AL17" s="41"/>
      <c r="AM17" s="41">
        <f>SUM(AF17:AL17)+AT17+AV17+AX17</f>
        <v>11</v>
      </c>
      <c r="AN17" s="41"/>
      <c r="AO17" s="41"/>
      <c r="AP17" s="41"/>
      <c r="AQ17" s="41"/>
      <c r="AR17" s="41">
        <f>SUM(AN17:AQ17)</f>
        <v>0</v>
      </c>
      <c r="AS17" s="41"/>
      <c r="AT17" s="41"/>
      <c r="AU17" s="41"/>
      <c r="AV17" s="41"/>
      <c r="AW17" s="41"/>
      <c r="AX17" s="41"/>
      <c r="AY17" s="41"/>
      <c r="AZ17" s="41"/>
      <c r="BA17" s="41">
        <f>+AR17+AS17+AU17+AW17+AY17+AZ17</f>
        <v>0</v>
      </c>
      <c r="BB17" s="37"/>
      <c r="BC17" s="515"/>
      <c r="BD17" s="515"/>
      <c r="BE17" s="37"/>
      <c r="BF17" s="515"/>
    </row>
    <row r="18" spans="1:58" ht="12.95" customHeight="1">
      <c r="A18" s="44"/>
      <c r="B18" s="45"/>
      <c r="C18" s="459"/>
      <c r="D18" s="45"/>
      <c r="E18" s="46"/>
      <c r="F18" s="46"/>
      <c r="G18" s="511"/>
      <c r="H18" s="48"/>
      <c r="I18" s="49"/>
      <c r="J18" s="86"/>
      <c r="K18" s="86"/>
      <c r="L18" s="39"/>
      <c r="M18" s="39"/>
      <c r="N18" s="50"/>
      <c r="O18" s="51"/>
      <c r="P18" s="52"/>
      <c r="Q18" s="51"/>
      <c r="R18" s="512"/>
      <c r="S18" s="512"/>
      <c r="T18" s="41"/>
      <c r="U18" s="41"/>
      <c r="V18" s="41"/>
      <c r="W18" s="41"/>
      <c r="X18" s="42"/>
      <c r="Y18" s="214"/>
      <c r="Z18" s="599"/>
      <c r="AA18" s="41"/>
      <c r="AB18" s="41"/>
      <c r="AC18" s="41"/>
      <c r="AD18" s="41">
        <f>+AM18+BA18</f>
        <v>0</v>
      </c>
      <c r="AE18" s="235" t="s">
        <v>457</v>
      </c>
      <c r="AF18" s="41"/>
      <c r="AG18" s="41"/>
      <c r="AH18" s="41"/>
      <c r="AI18" s="514"/>
      <c r="AJ18" s="41"/>
      <c r="AK18" s="41"/>
      <c r="AL18" s="41"/>
      <c r="AM18" s="41">
        <f>SUM(AF18:AL18)+AT18+AV18+AX18</f>
        <v>0</v>
      </c>
      <c r="AN18" s="41"/>
      <c r="AO18" s="41"/>
      <c r="AP18" s="41"/>
      <c r="AQ18" s="41"/>
      <c r="AR18" s="41">
        <f>SUM(AN18:AQ18)</f>
        <v>0</v>
      </c>
      <c r="AS18" s="41"/>
      <c r="AT18" s="41"/>
      <c r="AU18" s="41">
        <f>260-260</f>
        <v>0</v>
      </c>
      <c r="AV18" s="41"/>
      <c r="AW18" s="41"/>
      <c r="AX18" s="41"/>
      <c r="AY18" s="41"/>
      <c r="AZ18" s="41"/>
      <c r="BA18" s="41">
        <f>+AR18+AS18+AU18+AW18+AY18+AZ18</f>
        <v>0</v>
      </c>
      <c r="BB18" s="37"/>
      <c r="BC18" s="515"/>
      <c r="BD18" s="515"/>
      <c r="BE18" s="37"/>
      <c r="BF18" s="515"/>
    </row>
    <row r="19" spans="1:58" ht="12.95" customHeight="1">
      <c r="A19" s="44"/>
      <c r="B19" s="45"/>
      <c r="C19" s="459"/>
      <c r="D19" s="45"/>
      <c r="E19" s="46"/>
      <c r="F19" s="46"/>
      <c r="G19" s="511"/>
      <c r="H19" s="48"/>
      <c r="I19" s="49"/>
      <c r="J19" s="86"/>
      <c r="K19" s="86"/>
      <c r="L19" s="39"/>
      <c r="M19" s="39"/>
      <c r="N19" s="50"/>
      <c r="O19" s="51"/>
      <c r="P19" s="52"/>
      <c r="Q19" s="51"/>
      <c r="R19" s="512"/>
      <c r="S19" s="512"/>
      <c r="T19" s="41"/>
      <c r="U19" s="41"/>
      <c r="V19" s="41"/>
      <c r="W19" s="41"/>
      <c r="X19" s="42"/>
      <c r="Y19" s="214"/>
      <c r="Z19" s="599"/>
      <c r="AA19" s="41"/>
      <c r="AB19" s="41"/>
      <c r="AC19" s="41"/>
      <c r="AD19" s="41"/>
      <c r="AE19" s="232"/>
      <c r="AF19" s="37"/>
      <c r="AG19" s="37"/>
      <c r="AH19" s="37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37"/>
      <c r="BC19" s="515"/>
      <c r="BD19" s="515"/>
      <c r="BE19" s="37"/>
      <c r="BF19" s="515"/>
    </row>
    <row r="20" spans="1:58" ht="12.95" customHeight="1">
      <c r="A20" s="44">
        <v>45995</v>
      </c>
      <c r="B20" s="45" t="s">
        <v>439</v>
      </c>
      <c r="C20" s="459">
        <f>(M20*E20*O20*Q20)/100000000</f>
        <v>10.33032</v>
      </c>
      <c r="D20" s="593" t="s">
        <v>473</v>
      </c>
      <c r="E20" s="46">
        <v>20</v>
      </c>
      <c r="F20" s="46">
        <v>1</v>
      </c>
      <c r="G20" s="47">
        <v>830</v>
      </c>
      <c r="H20" s="48">
        <v>0.14000000000000001</v>
      </c>
      <c r="I20" s="49">
        <v>0.88</v>
      </c>
      <c r="J20" s="86">
        <f>E20*G20*(1-H20)*1440/1000000*3.4</f>
        <v>69.895296000000002</v>
      </c>
      <c r="K20" s="86">
        <f>(IF(G20&lt;L20,L20,G20)*(1-IF(H20&lt;N20,H20,N20))*E20*O20*Q20)/100000000</f>
        <v>12.248808</v>
      </c>
      <c r="L20" s="39">
        <v>700</v>
      </c>
      <c r="M20" s="39">
        <v>602</v>
      </c>
      <c r="N20" s="50">
        <f>1-(M20/L20)</f>
        <v>0.14000000000000001</v>
      </c>
      <c r="O20" s="51">
        <f>+'Trim Rwd'!H13</f>
        <v>330</v>
      </c>
      <c r="P20" s="52">
        <f>O20*(Q20-R20-S20)</f>
        <v>0</v>
      </c>
      <c r="Q20" s="51">
        <f>1440-1180</f>
        <v>260</v>
      </c>
      <c r="R20" s="512">
        <f>1440-1180</f>
        <v>260</v>
      </c>
      <c r="S20" s="512">
        <v>0</v>
      </c>
      <c r="T20" s="41">
        <f>E20*M20*O20*Q20/100000000</f>
        <v>10.33032</v>
      </c>
      <c r="U20" s="41">
        <f>E20*M20*O20*(Q20-R20-S20)/100000000</f>
        <v>0</v>
      </c>
      <c r="V20" s="41">
        <f>E20*G20*(1-N20)*O20/100*(R20+S20)/1000000</f>
        <v>12.248808</v>
      </c>
      <c r="W20" s="41">
        <f>+'4'!K34/1000</f>
        <v>0</v>
      </c>
      <c r="X20" s="513">
        <f>SUM(W20:W23)/SUM(K20:K23)</f>
        <v>0</v>
      </c>
      <c r="Y20" s="214">
        <v>0</v>
      </c>
      <c r="Z20" s="599">
        <v>0</v>
      </c>
      <c r="AA20" s="53">
        <f>SUM(U20:U23)-SUM(W20:W23)-SUM(Z20:Z23)-SUM(Y20:Y23)</f>
        <v>0</v>
      </c>
      <c r="AB20" s="53">
        <f>(SUM(K20:K23)-SUM(W20:W23)-SUM(Y20:Y23)-SUM(Z20:Z23)-SUM(AC20:AC23)-SUM(V20:V23))-AA20</f>
        <v>-1.918488</v>
      </c>
      <c r="AC20" s="41">
        <f>K20-T20</f>
        <v>1.918488</v>
      </c>
      <c r="AD20" s="41">
        <f>+AM20+BA20</f>
        <v>0</v>
      </c>
      <c r="AE20" s="232" t="s">
        <v>395</v>
      </c>
      <c r="AF20" s="41">
        <v>0</v>
      </c>
      <c r="AG20" s="41"/>
      <c r="AH20" s="41"/>
      <c r="AI20" s="514"/>
      <c r="AJ20" s="41"/>
      <c r="AK20" s="41"/>
      <c r="AL20" s="41"/>
      <c r="AM20" s="41">
        <f>SUM(AF20:AL20)+AT20+AV20+AX20</f>
        <v>0</v>
      </c>
      <c r="AN20" s="41"/>
      <c r="AO20" s="41"/>
      <c r="AP20" s="41"/>
      <c r="AQ20" s="41"/>
      <c r="AR20" s="41">
        <f>SUM(AN20:AQ20)</f>
        <v>0</v>
      </c>
      <c r="AS20" s="41"/>
      <c r="AT20" s="41"/>
      <c r="AU20" s="41"/>
      <c r="AV20" s="41"/>
      <c r="AW20" s="41"/>
      <c r="AX20" s="41"/>
      <c r="AY20" s="41"/>
      <c r="AZ20" s="41"/>
      <c r="BA20" s="41">
        <f>+AR20+AS20+AU20+AW20+AY20+AZ20</f>
        <v>0</v>
      </c>
      <c r="BB20" s="37">
        <v>0</v>
      </c>
      <c r="BC20" s="55"/>
      <c r="BD20" s="55"/>
      <c r="BE20" s="37"/>
      <c r="BF20" s="55"/>
    </row>
    <row r="21" spans="1:58" ht="12.95" customHeight="1">
      <c r="A21" s="44"/>
      <c r="B21" s="45"/>
      <c r="C21" s="459"/>
      <c r="D21" s="45"/>
      <c r="E21" s="46"/>
      <c r="F21" s="46"/>
      <c r="G21" s="47"/>
      <c r="H21" s="48"/>
      <c r="I21" s="49"/>
      <c r="J21" s="86"/>
      <c r="K21" s="86"/>
      <c r="L21" s="39"/>
      <c r="M21" s="39"/>
      <c r="N21" s="50"/>
      <c r="O21" s="51"/>
      <c r="P21" s="52"/>
      <c r="Q21" s="51"/>
      <c r="R21" s="512"/>
      <c r="S21" s="512"/>
      <c r="T21" s="41"/>
      <c r="U21" s="41"/>
      <c r="V21" s="41"/>
      <c r="W21" s="41"/>
      <c r="X21" s="42"/>
      <c r="Y21" s="214"/>
      <c r="Z21" s="599"/>
      <c r="AA21" s="41"/>
      <c r="AB21" s="41"/>
      <c r="AC21" s="41"/>
      <c r="AD21" s="41">
        <f>+AM21+BA21</f>
        <v>0</v>
      </c>
      <c r="AE21" s="232" t="s">
        <v>424</v>
      </c>
      <c r="AF21" s="41"/>
      <c r="AG21" s="41">
        <v>0</v>
      </c>
      <c r="AH21" s="41"/>
      <c r="AI21" s="514"/>
      <c r="AJ21" s="41"/>
      <c r="AK21" s="41"/>
      <c r="AL21" s="41"/>
      <c r="AM21" s="41">
        <f>SUM(AF21:AL21)+AT21+AV21+AX21</f>
        <v>0</v>
      </c>
      <c r="AN21" s="87"/>
      <c r="AO21" s="41"/>
      <c r="AP21" s="41"/>
      <c r="AQ21" s="41"/>
      <c r="AR21" s="41">
        <f>SUM(AN21:AQ21)</f>
        <v>0</v>
      </c>
      <c r="AS21" s="41"/>
      <c r="AT21" s="41"/>
      <c r="AU21" s="41"/>
      <c r="AV21" s="41"/>
      <c r="AW21" s="41"/>
      <c r="AX21" s="41"/>
      <c r="AY21" s="41"/>
      <c r="AZ21" s="41"/>
      <c r="BA21" s="41">
        <f>+AR21+AS21+AU21+AW21+AY21+AZ21</f>
        <v>0</v>
      </c>
      <c r="BB21" s="54"/>
      <c r="BC21" s="55">
        <v>0</v>
      </c>
      <c r="BD21" s="55"/>
      <c r="BE21" s="54"/>
      <c r="BF21" s="55"/>
    </row>
    <row r="22" spans="1:58" ht="12.95" customHeight="1">
      <c r="A22" s="44"/>
      <c r="B22" s="45"/>
      <c r="C22" s="459"/>
      <c r="D22" s="45"/>
      <c r="E22" s="46"/>
      <c r="F22" s="46"/>
      <c r="G22" s="47"/>
      <c r="H22" s="48"/>
      <c r="I22" s="49"/>
      <c r="J22" s="86"/>
      <c r="K22" s="86"/>
      <c r="L22" s="39"/>
      <c r="M22" s="39"/>
      <c r="N22" s="50"/>
      <c r="O22" s="51"/>
      <c r="P22" s="52"/>
      <c r="Q22" s="51"/>
      <c r="R22" s="512"/>
      <c r="S22" s="512"/>
      <c r="T22" s="41"/>
      <c r="U22" s="41"/>
      <c r="V22" s="41"/>
      <c r="W22" s="41"/>
      <c r="X22" s="42"/>
      <c r="Y22" s="214"/>
      <c r="Z22" s="599"/>
      <c r="AA22" s="41"/>
      <c r="AB22" s="41"/>
      <c r="AC22" s="41"/>
      <c r="AD22" s="41">
        <f>+AM22+BA22</f>
        <v>0</v>
      </c>
      <c r="AE22" s="232" t="s">
        <v>226</v>
      </c>
      <c r="AF22" s="37"/>
      <c r="AG22" s="37"/>
      <c r="AH22" s="37">
        <v>0</v>
      </c>
      <c r="AJ22" s="41"/>
      <c r="AK22" s="41"/>
      <c r="AL22" s="41"/>
      <c r="AM22" s="41">
        <f>SUM(AF22:AL22)+AT22+AV22+AX22</f>
        <v>0</v>
      </c>
      <c r="AN22" s="41"/>
      <c r="AO22" s="41"/>
      <c r="AP22" s="41"/>
      <c r="AQ22" s="41"/>
      <c r="AR22" s="41">
        <f>SUM(AN22:AQ22)</f>
        <v>0</v>
      </c>
      <c r="AS22" s="41"/>
      <c r="AT22" s="41"/>
      <c r="AU22" s="41"/>
      <c r="AV22" s="41"/>
      <c r="AW22" s="41"/>
      <c r="AX22" s="41"/>
      <c r="AY22" s="41"/>
      <c r="AZ22" s="41"/>
      <c r="BA22" s="41">
        <f>+AR22+AS22+AU22+AW22+AY22+AZ22</f>
        <v>0</v>
      </c>
      <c r="BB22" s="37"/>
      <c r="BC22" s="515"/>
      <c r="BD22" s="515"/>
      <c r="BE22" s="37"/>
      <c r="BF22" s="515"/>
    </row>
    <row r="23" spans="1:58" ht="12.95" customHeight="1">
      <c r="A23" s="44"/>
      <c r="B23" s="45"/>
      <c r="C23" s="459"/>
      <c r="D23" s="45"/>
      <c r="E23" s="46"/>
      <c r="F23" s="46"/>
      <c r="G23" s="511"/>
      <c r="H23" s="48"/>
      <c r="I23" s="49"/>
      <c r="J23" s="86"/>
      <c r="K23" s="86"/>
      <c r="L23" s="39"/>
      <c r="M23" s="39"/>
      <c r="N23" s="50"/>
      <c r="O23" s="51"/>
      <c r="P23" s="52"/>
      <c r="Q23" s="51"/>
      <c r="R23" s="512"/>
      <c r="S23" s="512"/>
      <c r="T23" s="41"/>
      <c r="U23" s="41"/>
      <c r="V23" s="41"/>
      <c r="W23" s="41"/>
      <c r="X23" s="42"/>
      <c r="Y23" s="214"/>
      <c r="Z23" s="599"/>
      <c r="AA23" s="41"/>
      <c r="AB23" s="41"/>
      <c r="AC23" s="41"/>
      <c r="AD23" s="41">
        <f>+AM23+BA23</f>
        <v>0</v>
      </c>
      <c r="AE23" s="235" t="s">
        <v>472</v>
      </c>
      <c r="AF23" s="41"/>
      <c r="AG23" s="41"/>
      <c r="AH23" s="41"/>
      <c r="AI23" s="514"/>
      <c r="AJ23" s="41"/>
      <c r="AK23" s="41"/>
      <c r="AL23" s="41"/>
      <c r="AM23" s="41">
        <f>SUM(AF23:AL23)+AT23+AV23+AX23</f>
        <v>0</v>
      </c>
      <c r="AN23" s="41"/>
      <c r="AO23" s="41"/>
      <c r="AP23" s="41"/>
      <c r="AQ23" s="41"/>
      <c r="AR23" s="41">
        <f>SUM(AN23:AQ23)</f>
        <v>0</v>
      </c>
      <c r="AS23" s="41"/>
      <c r="AT23" s="41"/>
      <c r="AU23" s="41">
        <f>1180-1180</f>
        <v>0</v>
      </c>
      <c r="AV23" s="41"/>
      <c r="AW23" s="41"/>
      <c r="AX23" s="41"/>
      <c r="AY23" s="41"/>
      <c r="AZ23" s="41"/>
      <c r="BA23" s="41">
        <f>+AR23+AS23+AU23+AW23+AY23+AZ23</f>
        <v>0</v>
      </c>
      <c r="BB23" s="37"/>
      <c r="BC23" s="515"/>
      <c r="BD23" s="515"/>
      <c r="BE23" s="37"/>
      <c r="BF23" s="515"/>
    </row>
    <row r="24" spans="1:58" ht="12.95" customHeight="1">
      <c r="A24" s="44"/>
      <c r="B24" s="45"/>
      <c r="C24" s="459"/>
      <c r="D24" s="45"/>
      <c r="E24" s="46"/>
      <c r="F24" s="46"/>
      <c r="G24" s="47"/>
      <c r="H24" s="48"/>
      <c r="I24" s="49"/>
      <c r="J24" s="86"/>
      <c r="K24" s="86"/>
      <c r="L24" s="39"/>
      <c r="M24" s="39"/>
      <c r="N24" s="50"/>
      <c r="O24" s="51"/>
      <c r="P24" s="52"/>
      <c r="Q24" s="38"/>
      <c r="R24" s="512"/>
      <c r="S24" s="512"/>
      <c r="T24" s="41"/>
      <c r="U24" s="41"/>
      <c r="V24" s="41"/>
      <c r="W24" s="41"/>
      <c r="X24" s="42"/>
      <c r="Y24" s="214"/>
      <c r="Z24" s="599"/>
      <c r="AA24" s="41"/>
      <c r="AB24" s="41"/>
      <c r="AC24" s="41"/>
      <c r="AD24" s="41">
        <f>+AM24+BA24</f>
        <v>260</v>
      </c>
      <c r="AE24" s="581" t="s">
        <v>484</v>
      </c>
      <c r="AF24" s="41"/>
      <c r="AG24" s="41"/>
      <c r="AH24" s="41"/>
      <c r="AI24" s="514"/>
      <c r="AJ24" s="41"/>
      <c r="AK24" s="41"/>
      <c r="AL24" s="41"/>
      <c r="AM24" s="41">
        <f>SUM(AF24:AL24)+AT24+AV24+AX24</f>
        <v>0</v>
      </c>
      <c r="AN24" s="41"/>
      <c r="AO24" s="41">
        <v>260</v>
      </c>
      <c r="AP24" s="41"/>
      <c r="AQ24" s="41"/>
      <c r="AR24" s="41">
        <f>SUM(AN24:AQ24)</f>
        <v>260</v>
      </c>
      <c r="AS24" s="41"/>
      <c r="AT24" s="41"/>
      <c r="AU24" s="41"/>
      <c r="AV24" s="41"/>
      <c r="AW24" s="41"/>
      <c r="AX24" s="41"/>
      <c r="AY24" s="41"/>
      <c r="AZ24" s="41"/>
      <c r="BA24" s="41">
        <f>+AR24+AS24+AU24+AW24+AY24+AZ24</f>
        <v>260</v>
      </c>
      <c r="BB24" s="37"/>
      <c r="BC24" s="515"/>
      <c r="BD24" s="515"/>
      <c r="BE24" s="37"/>
      <c r="BF24" s="515"/>
    </row>
    <row r="25" spans="1:58" ht="12.95" customHeight="1">
      <c r="A25" s="44"/>
      <c r="B25" s="45"/>
      <c r="C25" s="459"/>
      <c r="D25" s="45"/>
      <c r="E25" s="46"/>
      <c r="F25" s="46"/>
      <c r="G25" s="511"/>
      <c r="H25" s="48"/>
      <c r="I25" s="49"/>
      <c r="J25" s="86"/>
      <c r="K25" s="86"/>
      <c r="L25" s="39"/>
      <c r="M25" s="39"/>
      <c r="N25" s="50"/>
      <c r="O25" s="51"/>
      <c r="P25" s="52"/>
      <c r="Q25" s="51"/>
      <c r="R25" s="512"/>
      <c r="S25" s="512"/>
      <c r="T25" s="41"/>
      <c r="U25" s="41"/>
      <c r="V25" s="41"/>
      <c r="W25" s="41"/>
      <c r="X25" s="513"/>
      <c r="Y25" s="214"/>
      <c r="Z25" s="599"/>
      <c r="AA25" s="53"/>
      <c r="AB25" s="53"/>
      <c r="AC25" s="41"/>
      <c r="AD25" s="41"/>
      <c r="AE25" s="232"/>
      <c r="AF25" s="41"/>
      <c r="AG25" s="41"/>
      <c r="AH25" s="41"/>
      <c r="AI25" s="514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37"/>
      <c r="BC25" s="55"/>
      <c r="BD25" s="55"/>
      <c r="BE25" s="55"/>
      <c r="BF25" s="55"/>
    </row>
    <row r="26" spans="1:58" ht="12.95" customHeight="1">
      <c r="A26" s="44">
        <v>45996</v>
      </c>
      <c r="B26" s="45" t="s">
        <v>8</v>
      </c>
      <c r="C26" s="459">
        <f>(M26*E26*O26*Q26)/100000000</f>
        <v>53.212860422649335</v>
      </c>
      <c r="D26" s="45" t="s">
        <v>488</v>
      </c>
      <c r="E26" s="46">
        <v>17</v>
      </c>
      <c r="F26" s="46">
        <v>1</v>
      </c>
      <c r="G26" s="47">
        <v>830</v>
      </c>
      <c r="H26" s="48">
        <v>0.14000000000000001</v>
      </c>
      <c r="I26" s="49">
        <v>0.88</v>
      </c>
      <c r="J26" s="86">
        <f>E26*G26*(1-H26)*1440/1000000*3.4</f>
        <v>59.411001599999999</v>
      </c>
      <c r="K26" s="86">
        <f>(IF(G26&lt;L26,L26,G26)*(1-IF(H26&lt;N26,H26,N26))*E26*O26*Q26)/100000000</f>
        <v>55.566760319999979</v>
      </c>
      <c r="L26" s="39">
        <v>794.83982683982686</v>
      </c>
      <c r="M26" s="39">
        <v>683.56225108225101</v>
      </c>
      <c r="N26" s="50">
        <f>1-(M26/L26)</f>
        <v>0.14000000000000012</v>
      </c>
      <c r="O26" s="51">
        <f>+'Trim Rwd'!H15</f>
        <v>318</v>
      </c>
      <c r="P26" s="52">
        <f>O26*(Q26-R26-S26)</f>
        <v>355524</v>
      </c>
      <c r="Q26" s="51">
        <v>1440</v>
      </c>
      <c r="R26" s="512">
        <v>285</v>
      </c>
      <c r="S26" s="512">
        <v>37</v>
      </c>
      <c r="T26" s="41">
        <f>E26*M26*O26*Q26/100000000</f>
        <v>53.212860422649335</v>
      </c>
      <c r="U26" s="41">
        <f>E26*M26*O26*(Q26-R26-S26)/100000000</f>
        <v>41.313873578140253</v>
      </c>
      <c r="V26" s="41">
        <f>E26*G26*(1-N26)*O26/100*(R26+S26)/1000000</f>
        <v>12.425345015999998</v>
      </c>
      <c r="W26" s="41">
        <f>+'5'!K34/1000</f>
        <v>33.343000000000004</v>
      </c>
      <c r="X26" s="513">
        <f>SUM(W26:W29)/SUM(K26:K29)</f>
        <v>0.60005297785912048</v>
      </c>
      <c r="Y26" s="214">
        <v>0</v>
      </c>
      <c r="Z26" s="599">
        <f>+'5'!D34/1000</f>
        <v>0.53800000000000003</v>
      </c>
      <c r="AA26" s="53">
        <f>SUM(U26:U29)-SUM(W26:W29)-SUM(Z26:Z29)-SUM(Y26:Y29)</f>
        <v>7.4328735781402493</v>
      </c>
      <c r="AB26" s="53">
        <f>(SUM(K26:K29)-SUM(W26:W29)-SUM(Y26:Y29)-SUM(Z26:Z29)-SUM(AC26:AC29)-SUM(V26:V29))-AA26</f>
        <v>-0.52635817149091579</v>
      </c>
      <c r="AC26" s="41">
        <f>K26-T26</f>
        <v>2.3538998973506438</v>
      </c>
      <c r="AD26" s="41">
        <f>+AM26+BA26</f>
        <v>2</v>
      </c>
      <c r="AE26" s="232" t="s">
        <v>392</v>
      </c>
      <c r="AF26" s="41">
        <v>2</v>
      </c>
      <c r="AG26" s="41"/>
      <c r="AH26" s="41"/>
      <c r="AI26" s="514"/>
      <c r="AJ26" s="41"/>
      <c r="AK26" s="41"/>
      <c r="AL26" s="41"/>
      <c r="AM26" s="41">
        <f>SUM(AF26:AL26)+AT26+AV26+AX26</f>
        <v>2</v>
      </c>
      <c r="AN26" s="41"/>
      <c r="AO26" s="41"/>
      <c r="AP26" s="41"/>
      <c r="AQ26" s="41"/>
      <c r="AR26" s="41">
        <f>SUM(AN26:AQ26)</f>
        <v>0</v>
      </c>
      <c r="AS26" s="41"/>
      <c r="AT26" s="41"/>
      <c r="AU26" s="41"/>
      <c r="AV26" s="41"/>
      <c r="AW26" s="41"/>
      <c r="AX26" s="41"/>
      <c r="AY26" s="41"/>
      <c r="AZ26" s="41"/>
      <c r="BA26" s="41">
        <f>+AR26+AS26+AU26+AW26+AY26+AZ26</f>
        <v>0</v>
      </c>
      <c r="BB26" s="37">
        <v>1</v>
      </c>
      <c r="BC26" s="55"/>
      <c r="BD26" s="55"/>
      <c r="BE26" s="37"/>
      <c r="BF26" s="55"/>
    </row>
    <row r="27" spans="1:58" ht="12.95" customHeight="1">
      <c r="A27" s="44"/>
      <c r="B27" s="45"/>
      <c r="C27" s="459"/>
      <c r="D27" s="45"/>
      <c r="E27" s="46"/>
      <c r="F27" s="46"/>
      <c r="G27" s="47"/>
      <c r="H27" s="48"/>
      <c r="I27" s="49"/>
      <c r="J27" s="86"/>
      <c r="K27" s="86"/>
      <c r="L27" s="39"/>
      <c r="M27" s="39"/>
      <c r="N27" s="50"/>
      <c r="O27" s="51"/>
      <c r="P27" s="52"/>
      <c r="Q27" s="51"/>
      <c r="R27" s="512"/>
      <c r="S27" s="512"/>
      <c r="T27" s="41"/>
      <c r="U27" s="41"/>
      <c r="V27" s="41"/>
      <c r="W27" s="41"/>
      <c r="X27" s="42"/>
      <c r="Y27" s="214"/>
      <c r="Z27" s="599"/>
      <c r="AA27" s="41"/>
      <c r="AB27" s="41"/>
      <c r="AC27" s="41"/>
      <c r="AD27" s="41">
        <f>+AM27+BA27</f>
        <v>9</v>
      </c>
      <c r="AE27" s="232" t="s">
        <v>489</v>
      </c>
      <c r="AF27" s="41"/>
      <c r="AG27" s="41">
        <v>9</v>
      </c>
      <c r="AH27" s="41"/>
      <c r="AI27" s="514"/>
      <c r="AJ27" s="41"/>
      <c r="AK27" s="41"/>
      <c r="AL27" s="41"/>
      <c r="AM27" s="41">
        <f>SUM(AF27:AL27)+AT27+AV27+AX27</f>
        <v>9</v>
      </c>
      <c r="AN27" s="87"/>
      <c r="AO27" s="41"/>
      <c r="AP27" s="41"/>
      <c r="AQ27" s="41"/>
      <c r="AR27" s="41">
        <f>SUM(AN27:AQ27)</f>
        <v>0</v>
      </c>
      <c r="AS27" s="41"/>
      <c r="AT27" s="41"/>
      <c r="AU27" s="41"/>
      <c r="AV27" s="41"/>
      <c r="AW27" s="41"/>
      <c r="AX27" s="41"/>
      <c r="AY27" s="41"/>
      <c r="AZ27" s="41"/>
      <c r="BA27" s="41">
        <f>+AR27+AS27+AU27+AW27+AY27+AZ27</f>
        <v>0</v>
      </c>
      <c r="BB27" s="54"/>
      <c r="BC27" s="55">
        <v>4</v>
      </c>
      <c r="BD27" s="55"/>
      <c r="BE27" s="54"/>
      <c r="BF27" s="55"/>
    </row>
    <row r="28" spans="1:58" ht="12.95" customHeight="1">
      <c r="A28" s="44"/>
      <c r="B28" s="45"/>
      <c r="C28" s="459"/>
      <c r="D28" s="45"/>
      <c r="E28" s="46"/>
      <c r="F28" s="46"/>
      <c r="G28" s="47"/>
      <c r="H28" s="48"/>
      <c r="I28" s="49"/>
      <c r="J28" s="86"/>
      <c r="K28" s="86"/>
      <c r="L28" s="39"/>
      <c r="M28" s="39"/>
      <c r="N28" s="50"/>
      <c r="O28" s="51"/>
      <c r="P28" s="52"/>
      <c r="Q28" s="51"/>
      <c r="R28" s="512"/>
      <c r="S28" s="512"/>
      <c r="T28" s="41"/>
      <c r="U28" s="41"/>
      <c r="V28" s="41"/>
      <c r="W28" s="41"/>
      <c r="X28" s="42"/>
      <c r="Y28" s="214"/>
      <c r="Z28" s="599"/>
      <c r="AA28" s="41"/>
      <c r="AB28" s="41"/>
      <c r="AC28" s="41"/>
      <c r="AD28" s="41">
        <f>+AM28+BA28</f>
        <v>26</v>
      </c>
      <c r="AE28" s="232" t="s">
        <v>226</v>
      </c>
      <c r="AF28" s="37"/>
      <c r="AG28" s="37"/>
      <c r="AH28" s="37">
        <v>26</v>
      </c>
      <c r="AJ28" s="41"/>
      <c r="AK28" s="41"/>
      <c r="AL28" s="41"/>
      <c r="AM28" s="41">
        <f>SUM(AF28:AL28)+AT28+AV28+AX28</f>
        <v>26</v>
      </c>
      <c r="AN28" s="41"/>
      <c r="AO28" s="41"/>
      <c r="AP28" s="41"/>
      <c r="AQ28" s="41"/>
      <c r="AR28" s="41">
        <f>SUM(AN28:AQ28)</f>
        <v>0</v>
      </c>
      <c r="AS28" s="41"/>
      <c r="AT28" s="41"/>
      <c r="AU28" s="41"/>
      <c r="AV28" s="41"/>
      <c r="AW28" s="41"/>
      <c r="AX28" s="41"/>
      <c r="AY28" s="41"/>
      <c r="AZ28" s="41"/>
      <c r="BA28" s="41">
        <f>+AR28+AS28+AU28+AW28+AY28+AZ28</f>
        <v>0</v>
      </c>
      <c r="BB28" s="37"/>
      <c r="BC28" s="515"/>
      <c r="BD28" s="515"/>
      <c r="BE28" s="37"/>
      <c r="BF28" s="515"/>
    </row>
    <row r="29" spans="1:58" ht="12.95" customHeight="1">
      <c r="A29" s="44"/>
      <c r="B29" s="45"/>
      <c r="C29" s="459"/>
      <c r="D29" s="45"/>
      <c r="E29" s="46"/>
      <c r="F29" s="46"/>
      <c r="G29" s="511"/>
      <c r="H29" s="48"/>
      <c r="I29" s="49"/>
      <c r="J29" s="86"/>
      <c r="K29" s="86"/>
      <c r="L29" s="39"/>
      <c r="M29" s="39"/>
      <c r="N29" s="50"/>
      <c r="O29" s="51"/>
      <c r="P29" s="52"/>
      <c r="Q29" s="51"/>
      <c r="R29" s="512"/>
      <c r="S29" s="512"/>
      <c r="T29" s="41"/>
      <c r="U29" s="41"/>
      <c r="V29" s="41"/>
      <c r="W29" s="41"/>
      <c r="X29" s="42"/>
      <c r="Y29" s="214"/>
      <c r="Z29" s="599"/>
      <c r="AA29" s="41"/>
      <c r="AB29" s="41"/>
      <c r="AC29" s="41"/>
      <c r="AD29" s="41">
        <f>+AM29+BA29</f>
        <v>285</v>
      </c>
      <c r="AE29" s="235" t="s">
        <v>490</v>
      </c>
      <c r="AF29" s="41"/>
      <c r="AG29" s="41"/>
      <c r="AH29" s="41"/>
      <c r="AI29" s="514"/>
      <c r="AJ29" s="41"/>
      <c r="AK29" s="41"/>
      <c r="AL29" s="41"/>
      <c r="AM29" s="41">
        <f>SUM(AF29:AL29)+AT29+AV29+AX29</f>
        <v>0</v>
      </c>
      <c r="AN29" s="41"/>
      <c r="AO29" s="41"/>
      <c r="AP29" s="41">
        <v>285</v>
      </c>
      <c r="AQ29" s="41"/>
      <c r="AR29" s="41">
        <f>SUM(AN29:AQ29)</f>
        <v>285</v>
      </c>
      <c r="AS29" s="41"/>
      <c r="AT29" s="41"/>
      <c r="AU29" s="41"/>
      <c r="AV29" s="41"/>
      <c r="AW29" s="41"/>
      <c r="AX29" s="41"/>
      <c r="AY29" s="41"/>
      <c r="AZ29" s="41"/>
      <c r="BA29" s="41">
        <f>+AR29+AS29+AU29+AW29+AY29+AZ29</f>
        <v>285</v>
      </c>
      <c r="BB29" s="37"/>
      <c r="BC29" s="515"/>
      <c r="BD29" s="515"/>
      <c r="BE29" s="37"/>
      <c r="BF29" s="515"/>
    </row>
    <row r="30" spans="1:58" ht="12.95" customHeight="1">
      <c r="A30" s="44"/>
      <c r="B30" s="45"/>
      <c r="C30" s="459"/>
      <c r="D30" s="45"/>
      <c r="E30" s="46"/>
      <c r="F30" s="46"/>
      <c r="G30" s="47"/>
      <c r="H30" s="48"/>
      <c r="I30" s="49"/>
      <c r="J30" s="86"/>
      <c r="K30" s="86"/>
      <c r="L30" s="39"/>
      <c r="M30" s="39"/>
      <c r="N30" s="50"/>
      <c r="O30" s="51"/>
      <c r="P30" s="52"/>
      <c r="Q30" s="38"/>
      <c r="R30" s="512"/>
      <c r="S30" s="512"/>
      <c r="T30" s="41"/>
      <c r="U30" s="41"/>
      <c r="V30" s="41"/>
      <c r="W30" s="41"/>
      <c r="X30" s="42"/>
      <c r="Y30" s="214"/>
      <c r="Z30" s="599"/>
      <c r="AA30" s="41"/>
      <c r="AB30" s="41"/>
      <c r="AC30" s="41"/>
      <c r="AD30" s="41"/>
      <c r="AE30" s="581"/>
      <c r="AF30" s="41"/>
      <c r="AG30" s="41"/>
      <c r="AH30" s="41"/>
      <c r="AI30" s="514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37"/>
      <c r="BC30" s="515"/>
      <c r="BD30" s="515"/>
      <c r="BE30" s="37"/>
      <c r="BF30" s="515"/>
    </row>
    <row r="31" spans="1:58" ht="12.95" customHeight="1">
      <c r="A31" s="44">
        <v>45997</v>
      </c>
      <c r="B31" s="45" t="s">
        <v>8</v>
      </c>
      <c r="C31" s="459">
        <f>(M31*E31*O31*Q31)/100000000</f>
        <v>3.4310800800000005</v>
      </c>
      <c r="D31" s="45" t="s">
        <v>488</v>
      </c>
      <c r="E31" s="46">
        <v>17</v>
      </c>
      <c r="F31" s="46">
        <v>1</v>
      </c>
      <c r="G31" s="47">
        <v>830</v>
      </c>
      <c r="H31" s="48">
        <v>0.14000000000000001</v>
      </c>
      <c r="I31" s="49">
        <v>0.88</v>
      </c>
      <c r="J31" s="86">
        <f>E31*G31*(1-H31)*1440/1000000*3.4</f>
        <v>59.411001599999999</v>
      </c>
      <c r="K31" s="86">
        <f>(IF(G31&lt;L31,L31,G31)*(1-IF(H31&lt;N31,H31,N31))*E31*O31*Q31)/100000000</f>
        <v>3.47292252</v>
      </c>
      <c r="L31" s="39">
        <v>820</v>
      </c>
      <c r="M31" s="39">
        <f>+L31-L31*0.14</f>
        <v>705.2</v>
      </c>
      <c r="N31" s="50">
        <f>1-(M31/L31)</f>
        <v>0.1399999999999999</v>
      </c>
      <c r="O31" s="51">
        <f>+'Trim Rwd'!H17</f>
        <v>318</v>
      </c>
      <c r="P31" s="52">
        <f>O31*(Q31-R31-S31)</f>
        <v>25440</v>
      </c>
      <c r="Q31" s="51">
        <v>90</v>
      </c>
      <c r="R31" s="512">
        <v>0</v>
      </c>
      <c r="S31" s="512">
        <v>10</v>
      </c>
      <c r="T31" s="41">
        <f>E31*M31*O31*Q31/100000000</f>
        <v>3.4310800800000005</v>
      </c>
      <c r="U31" s="41">
        <f>E31*M31*O31*(Q31-R31-S31)/100000000</f>
        <v>3.0498489600000007</v>
      </c>
      <c r="V31" s="41">
        <f>E31*G31*(1-N31)*O31/100*(R31+S31)/1000000</f>
        <v>0.38588028000000002</v>
      </c>
      <c r="W31" s="41">
        <f>+'6'!K10/1000</f>
        <v>6.641</v>
      </c>
      <c r="X31" s="513">
        <f>SUM(W31:W34)/SUM(K31:K34)</f>
        <v>0.73952524011373999</v>
      </c>
      <c r="Y31" s="214">
        <v>0</v>
      </c>
      <c r="Z31" s="599">
        <v>0</v>
      </c>
      <c r="AA31" s="53">
        <f>SUM(U31:U34)-SUM(W31:W34)-SUM(Z31:Z34)-SUM(Y31:Y34)</f>
        <v>4.5811295555294098</v>
      </c>
      <c r="AB31" s="53">
        <f>(SUM(K31:K34)-SUM(W31:W34)-SUM(Y31:Y34)-SUM(Z31:Z34)-SUM(AC31:AC34)-SUM(V31:V34))-AA31</f>
        <v>-4.6491600000022615E-3</v>
      </c>
      <c r="AC31" s="41">
        <f>K31-T31</f>
        <v>4.1842439999999481E-2</v>
      </c>
      <c r="AD31" s="41">
        <f t="shared" ref="AD31:AD36" si="0">+AM31+BA31</f>
        <v>0</v>
      </c>
      <c r="AE31" s="232" t="s">
        <v>395</v>
      </c>
      <c r="AF31" s="41">
        <v>0</v>
      </c>
      <c r="AG31" s="41"/>
      <c r="AH31" s="41"/>
      <c r="AI31" s="514"/>
      <c r="AJ31" s="41"/>
      <c r="AK31" s="41"/>
      <c r="AL31" s="41"/>
      <c r="AM31" s="41">
        <f t="shared" ref="AM31:AM36" si="1">SUM(AF31:AL31)+AT31+AV31+AX31</f>
        <v>0</v>
      </c>
      <c r="AN31" s="41"/>
      <c r="AO31" s="41"/>
      <c r="AP31" s="41"/>
      <c r="AQ31" s="41"/>
      <c r="AR31" s="41">
        <f t="shared" ref="AR31:AR36" si="2">SUM(AN31:AQ31)</f>
        <v>0</v>
      </c>
      <c r="AS31" s="41"/>
      <c r="AT31" s="41"/>
      <c r="AU31" s="41"/>
      <c r="AV31" s="41"/>
      <c r="AW31" s="41"/>
      <c r="AX31" s="41"/>
      <c r="AY31" s="41"/>
      <c r="AZ31" s="41"/>
      <c r="BA31" s="41">
        <f t="shared" ref="BA31:BA36" si="3">+AR31+AS31+AU31+AW31+AY31+AZ31</f>
        <v>0</v>
      </c>
      <c r="BB31" s="37">
        <v>0</v>
      </c>
      <c r="BC31" s="55"/>
      <c r="BD31" s="55"/>
      <c r="BE31" s="37"/>
      <c r="BF31" s="55"/>
    </row>
    <row r="32" spans="1:58" ht="12.95" customHeight="1">
      <c r="A32" s="44"/>
      <c r="B32" s="45" t="s">
        <v>439</v>
      </c>
      <c r="C32" s="459">
        <f>(M32*E32*O32*Q32)/100000000</f>
        <v>48.49014502058823</v>
      </c>
      <c r="D32" s="45" t="s">
        <v>488</v>
      </c>
      <c r="E32" s="46">
        <v>15.5</v>
      </c>
      <c r="F32" s="46">
        <v>1</v>
      </c>
      <c r="G32" s="47">
        <v>830</v>
      </c>
      <c r="H32" s="48">
        <v>0.14000000000000001</v>
      </c>
      <c r="I32" s="49">
        <v>0.88</v>
      </c>
      <c r="J32" s="86">
        <f>E32*G32*(1-H32)*1440/1000000*3.4</f>
        <v>54.168854400000001</v>
      </c>
      <c r="K32" s="86">
        <f>(IF(G32&lt;L32,L32,G32)*(1-IF(H32&lt;N32,H32,N32))*E32*O32*Q32)/100000000</f>
        <v>48.49014502058823</v>
      </c>
      <c r="L32" s="39">
        <v>830</v>
      </c>
      <c r="M32" s="39">
        <f>+L32-L32*0.14</f>
        <v>713.8</v>
      </c>
      <c r="N32" s="50">
        <f>1-(M32/L32)</f>
        <v>0.14000000000000001</v>
      </c>
      <c r="O32" s="51">
        <f>+'Trim Rwd'!H18</f>
        <v>324.64705882352939</v>
      </c>
      <c r="P32" s="52">
        <f>O32*(Q32-R32-S32)</f>
        <v>377889.17647058819</v>
      </c>
      <c r="Q32" s="51">
        <f>1214+70+66</f>
        <v>1350</v>
      </c>
      <c r="R32" s="512">
        <f>70+66</f>
        <v>136</v>
      </c>
      <c r="S32" s="512">
        <v>50</v>
      </c>
      <c r="T32" s="41">
        <f>E32*M32*O32*Q32/100000000</f>
        <v>48.49014502058823</v>
      </c>
      <c r="U32" s="41">
        <f>E32*M32*O32*(Q32-R32-S32)/100000000</f>
        <v>41.809280595529408</v>
      </c>
      <c r="V32" s="41">
        <f>E32*G32*(1-N32)*O32/100*(R32+S32)/1000000</f>
        <v>6.6808644250588225</v>
      </c>
      <c r="W32" s="41">
        <f>+'6'!K11/1000</f>
        <v>31.786999999999999</v>
      </c>
      <c r="X32" s="42"/>
      <c r="Y32" s="214"/>
      <c r="Z32" s="599">
        <f>+'6'!D34/1000</f>
        <v>1.85</v>
      </c>
      <c r="AA32" s="41"/>
      <c r="AB32" s="41"/>
      <c r="AC32" s="41">
        <f>K32-T32</f>
        <v>0</v>
      </c>
      <c r="AD32" s="41">
        <f t="shared" si="0"/>
        <v>10</v>
      </c>
      <c r="AE32" s="232" t="s">
        <v>454</v>
      </c>
      <c r="AF32" s="41"/>
      <c r="AG32" s="41">
        <v>10</v>
      </c>
      <c r="AH32" s="41"/>
      <c r="AI32" s="514"/>
      <c r="AJ32" s="41"/>
      <c r="AK32" s="41"/>
      <c r="AL32" s="41"/>
      <c r="AM32" s="41">
        <f t="shared" si="1"/>
        <v>10</v>
      </c>
      <c r="AN32" s="87"/>
      <c r="AO32" s="41"/>
      <c r="AP32" s="41"/>
      <c r="AQ32" s="41"/>
      <c r="AR32" s="41">
        <f t="shared" si="2"/>
        <v>0</v>
      </c>
      <c r="AS32" s="41"/>
      <c r="AT32" s="41"/>
      <c r="AU32" s="41"/>
      <c r="AV32" s="41"/>
      <c r="AW32" s="41"/>
      <c r="AX32" s="41"/>
      <c r="AY32" s="41"/>
      <c r="AZ32" s="41"/>
      <c r="BA32" s="41">
        <f t="shared" si="3"/>
        <v>0</v>
      </c>
      <c r="BB32" s="54"/>
      <c r="BC32" s="55">
        <v>2</v>
      </c>
      <c r="BD32" s="55"/>
      <c r="BE32" s="54"/>
      <c r="BF32" s="55"/>
    </row>
    <row r="33" spans="1:58" ht="12.95" customHeight="1">
      <c r="A33" s="44"/>
      <c r="B33" s="45"/>
      <c r="C33" s="459"/>
      <c r="D33" s="45"/>
      <c r="E33" s="46"/>
      <c r="F33" s="46"/>
      <c r="G33" s="47"/>
      <c r="H33" s="48"/>
      <c r="I33" s="49"/>
      <c r="J33" s="86"/>
      <c r="K33" s="86"/>
      <c r="L33" s="39"/>
      <c r="M33" s="39"/>
      <c r="N33" s="50"/>
      <c r="O33" s="51"/>
      <c r="P33" s="52"/>
      <c r="Q33" s="51"/>
      <c r="R33" s="512"/>
      <c r="S33" s="512"/>
      <c r="T33" s="41"/>
      <c r="U33" s="41"/>
      <c r="V33" s="41"/>
      <c r="W33" s="41"/>
      <c r="X33" s="42"/>
      <c r="Y33" s="214"/>
      <c r="Z33" s="599"/>
      <c r="AA33" s="41"/>
      <c r="AB33" s="41"/>
      <c r="AC33" s="41"/>
      <c r="AD33" s="41">
        <f t="shared" si="0"/>
        <v>28</v>
      </c>
      <c r="AE33" s="232" t="s">
        <v>226</v>
      </c>
      <c r="AF33" s="37"/>
      <c r="AG33" s="37"/>
      <c r="AH33" s="37">
        <v>28</v>
      </c>
      <c r="AJ33" s="41"/>
      <c r="AK33" s="41"/>
      <c r="AL33" s="41"/>
      <c r="AM33" s="41">
        <f t="shared" si="1"/>
        <v>28</v>
      </c>
      <c r="AN33" s="41"/>
      <c r="AO33" s="41"/>
      <c r="AP33" s="41"/>
      <c r="AQ33" s="41"/>
      <c r="AR33" s="41">
        <f t="shared" si="2"/>
        <v>0</v>
      </c>
      <c r="AS33" s="41"/>
      <c r="AT33" s="41"/>
      <c r="AU33" s="41"/>
      <c r="AV33" s="41"/>
      <c r="AW33" s="41"/>
      <c r="AX33" s="41"/>
      <c r="AY33" s="41"/>
      <c r="AZ33" s="41"/>
      <c r="BA33" s="41">
        <f t="shared" si="3"/>
        <v>0</v>
      </c>
      <c r="BB33" s="37"/>
      <c r="BC33" s="515"/>
      <c r="BD33" s="515"/>
      <c r="BE33" s="37"/>
      <c r="BF33" s="515"/>
    </row>
    <row r="34" spans="1:58" ht="12.95" customHeight="1">
      <c r="A34" s="44"/>
      <c r="B34" s="45"/>
      <c r="C34" s="459"/>
      <c r="D34" s="45"/>
      <c r="E34" s="46"/>
      <c r="F34" s="46"/>
      <c r="G34" s="511"/>
      <c r="H34" s="48"/>
      <c r="I34" s="49"/>
      <c r="J34" s="86"/>
      <c r="K34" s="86"/>
      <c r="L34" s="39"/>
      <c r="M34" s="39"/>
      <c r="N34" s="50"/>
      <c r="O34" s="51"/>
      <c r="P34" s="52"/>
      <c r="Q34" s="51"/>
      <c r="R34" s="512"/>
      <c r="S34" s="512"/>
      <c r="T34" s="41"/>
      <c r="U34" s="41"/>
      <c r="V34" s="41"/>
      <c r="W34" s="41"/>
      <c r="X34" s="42"/>
      <c r="Y34" s="214"/>
      <c r="Z34" s="599"/>
      <c r="AA34" s="41"/>
      <c r="AB34" s="41"/>
      <c r="AC34" s="41"/>
      <c r="AD34" s="41">
        <f t="shared" si="0"/>
        <v>70</v>
      </c>
      <c r="AE34" s="235" t="s">
        <v>503</v>
      </c>
      <c r="AF34" s="41"/>
      <c r="AG34" s="41"/>
      <c r="AH34" s="41"/>
      <c r="AI34" s="514"/>
      <c r="AJ34" s="41"/>
      <c r="AK34" s="41"/>
      <c r="AL34" s="41"/>
      <c r="AM34" s="41">
        <f t="shared" si="1"/>
        <v>0</v>
      </c>
      <c r="AN34" s="41"/>
      <c r="AO34" s="41">
        <v>70</v>
      </c>
      <c r="AP34" s="41"/>
      <c r="AQ34" s="41"/>
      <c r="AR34" s="41">
        <f t="shared" si="2"/>
        <v>70</v>
      </c>
      <c r="AS34" s="41"/>
      <c r="AT34" s="41"/>
      <c r="AU34" s="41"/>
      <c r="AV34" s="41"/>
      <c r="AW34" s="41"/>
      <c r="AX34" s="41"/>
      <c r="AY34" s="41"/>
      <c r="AZ34" s="41"/>
      <c r="BA34" s="41">
        <f t="shared" si="3"/>
        <v>70</v>
      </c>
      <c r="BB34" s="37"/>
      <c r="BC34" s="515"/>
      <c r="BD34" s="515"/>
      <c r="BE34" s="37"/>
      <c r="BF34" s="515"/>
    </row>
    <row r="35" spans="1:58" ht="12.95" customHeight="1">
      <c r="A35" s="44"/>
      <c r="B35" s="45"/>
      <c r="C35" s="459"/>
      <c r="D35" s="45"/>
      <c r="E35" s="46"/>
      <c r="F35" s="46"/>
      <c r="G35" s="47"/>
      <c r="H35" s="48"/>
      <c r="I35" s="49"/>
      <c r="J35" s="86"/>
      <c r="K35" s="86"/>
      <c r="L35" s="39"/>
      <c r="M35" s="39"/>
      <c r="N35" s="50"/>
      <c r="O35" s="51"/>
      <c r="P35" s="52"/>
      <c r="Q35" s="38"/>
      <c r="R35" s="512"/>
      <c r="S35" s="512"/>
      <c r="T35" s="41"/>
      <c r="U35" s="41"/>
      <c r="V35" s="41"/>
      <c r="W35" s="41"/>
      <c r="X35" s="42"/>
      <c r="Y35" s="214"/>
      <c r="Z35" s="599"/>
      <c r="AA35" s="41"/>
      <c r="AB35" s="41"/>
      <c r="AC35" s="41"/>
      <c r="AD35" s="41">
        <f t="shared" si="0"/>
        <v>66</v>
      </c>
      <c r="AE35" s="235" t="s">
        <v>511</v>
      </c>
      <c r="AF35" s="41"/>
      <c r="AG35" s="41"/>
      <c r="AH35" s="41"/>
      <c r="AI35" s="514"/>
      <c r="AJ35" s="41"/>
      <c r="AK35" s="41"/>
      <c r="AL35" s="41"/>
      <c r="AM35" s="41">
        <f t="shared" si="1"/>
        <v>0</v>
      </c>
      <c r="AN35" s="41">
        <v>66</v>
      </c>
      <c r="AO35" s="41"/>
      <c r="AP35" s="41"/>
      <c r="AQ35" s="41"/>
      <c r="AR35" s="41">
        <f t="shared" si="2"/>
        <v>66</v>
      </c>
      <c r="AS35" s="41"/>
      <c r="AT35" s="41"/>
      <c r="AU35" s="41"/>
      <c r="AV35" s="41"/>
      <c r="AW35" s="41"/>
      <c r="AX35" s="41"/>
      <c r="AY35" s="41"/>
      <c r="AZ35" s="41"/>
      <c r="BA35" s="41">
        <f t="shared" si="3"/>
        <v>66</v>
      </c>
      <c r="BB35" s="37"/>
      <c r="BC35" s="515"/>
      <c r="BD35" s="515"/>
      <c r="BE35" s="37"/>
      <c r="BF35" s="515">
        <v>1</v>
      </c>
    </row>
    <row r="36" spans="1:58" ht="12.95" customHeight="1">
      <c r="A36" s="44"/>
      <c r="B36" s="45"/>
      <c r="C36" s="459"/>
      <c r="D36" s="45"/>
      <c r="E36" s="46"/>
      <c r="F36" s="46"/>
      <c r="G36" s="511"/>
      <c r="H36" s="48"/>
      <c r="I36" s="49"/>
      <c r="J36" s="86"/>
      <c r="K36" s="86"/>
      <c r="L36" s="39"/>
      <c r="M36" s="39"/>
      <c r="N36" s="50"/>
      <c r="O36" s="51"/>
      <c r="P36" s="52"/>
      <c r="Q36" s="51"/>
      <c r="R36" s="512"/>
      <c r="S36" s="512"/>
      <c r="T36" s="41"/>
      <c r="U36" s="41"/>
      <c r="V36" s="41"/>
      <c r="W36" s="41"/>
      <c r="X36" s="42"/>
      <c r="Y36" s="214"/>
      <c r="Z36" s="599"/>
      <c r="AA36" s="41"/>
      <c r="AB36" s="41"/>
      <c r="AC36" s="41"/>
      <c r="AD36" s="41">
        <f t="shared" si="0"/>
        <v>22</v>
      </c>
      <c r="AE36" s="235" t="s">
        <v>499</v>
      </c>
      <c r="AF36" s="41"/>
      <c r="AG36" s="41"/>
      <c r="AH36" s="41"/>
      <c r="AI36" s="514">
        <v>22</v>
      </c>
      <c r="AJ36" s="41"/>
      <c r="AK36" s="41"/>
      <c r="AL36" s="41"/>
      <c r="AM36" s="41">
        <f t="shared" si="1"/>
        <v>22</v>
      </c>
      <c r="AN36" s="41"/>
      <c r="AO36" s="41"/>
      <c r="AP36" s="41"/>
      <c r="AQ36" s="41"/>
      <c r="AR36" s="41">
        <f t="shared" si="2"/>
        <v>0</v>
      </c>
      <c r="AS36" s="41"/>
      <c r="AT36" s="41"/>
      <c r="AU36" s="41"/>
      <c r="AV36" s="41"/>
      <c r="AW36" s="41"/>
      <c r="AX36" s="41"/>
      <c r="AY36" s="41"/>
      <c r="AZ36" s="41"/>
      <c r="BA36" s="41">
        <f t="shared" si="3"/>
        <v>0</v>
      </c>
      <c r="BB36" s="37"/>
      <c r="BC36" s="515"/>
      <c r="BD36" s="515"/>
      <c r="BE36" s="37"/>
      <c r="BF36" s="515"/>
    </row>
    <row r="37" spans="1:58" ht="12.95" customHeight="1">
      <c r="A37" s="44"/>
      <c r="B37" s="45"/>
      <c r="C37" s="459"/>
      <c r="D37" s="45"/>
      <c r="E37" s="46"/>
      <c r="F37" s="46"/>
      <c r="G37" s="511"/>
      <c r="H37" s="48"/>
      <c r="I37" s="49"/>
      <c r="J37" s="86"/>
      <c r="K37" s="86"/>
      <c r="L37" s="39"/>
      <c r="M37" s="39"/>
      <c r="N37" s="50"/>
      <c r="O37" s="51"/>
      <c r="P37" s="52"/>
      <c r="Q37" s="51"/>
      <c r="R37" s="512"/>
      <c r="S37" s="512"/>
      <c r="T37" s="41"/>
      <c r="U37" s="41"/>
      <c r="V37" s="41"/>
      <c r="W37" s="41"/>
      <c r="X37" s="42"/>
      <c r="Y37" s="214"/>
      <c r="Z37" s="599"/>
      <c r="AA37" s="41"/>
      <c r="AB37" s="41"/>
      <c r="AC37" s="41"/>
      <c r="AD37" s="41"/>
      <c r="AE37" s="232"/>
      <c r="AF37" s="41"/>
      <c r="AG37" s="41"/>
      <c r="AH37" s="41"/>
      <c r="AI37" s="514"/>
      <c r="AJ37" s="41"/>
      <c r="AK37" s="41"/>
      <c r="AL37" s="41"/>
      <c r="AM37" s="41"/>
      <c r="AN37" s="87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54"/>
      <c r="BC37" s="55"/>
      <c r="BD37" s="55"/>
      <c r="BE37" s="55"/>
      <c r="BF37" s="55"/>
    </row>
    <row r="38" spans="1:58" ht="12.95" customHeight="1">
      <c r="A38" s="44">
        <v>45998</v>
      </c>
      <c r="B38" s="45" t="s">
        <v>439</v>
      </c>
      <c r="C38" s="459">
        <f>(M38*E38*O38*Q38)/100000000</f>
        <v>51.657968678399989</v>
      </c>
      <c r="D38" s="45" t="s">
        <v>488</v>
      </c>
      <c r="E38" s="46">
        <v>15.5</v>
      </c>
      <c r="F38" s="46">
        <v>1</v>
      </c>
      <c r="G38" s="47">
        <v>830</v>
      </c>
      <c r="H38" s="48">
        <v>0.14000000000000001</v>
      </c>
      <c r="I38" s="49">
        <v>0.88</v>
      </c>
      <c r="J38" s="86">
        <f>E38*G38*(1-H38)*1440/1000000*3.4</f>
        <v>54.168854400000001</v>
      </c>
      <c r="K38" s="86">
        <f>(IF(G38&lt;L38,L38,G38)*(1-IF(H38&lt;N38,H38,N38))*E38*O38*Q38)/100000000</f>
        <v>51.657968678399989</v>
      </c>
      <c r="L38" s="39">
        <v>830</v>
      </c>
      <c r="M38" s="39">
        <f>+L38-L38*0.14</f>
        <v>713.8</v>
      </c>
      <c r="N38" s="50">
        <f>1-(M38/L38)</f>
        <v>0.14000000000000001</v>
      </c>
      <c r="O38" s="51">
        <f>+'Trim Rwd'!H21</f>
        <v>324.24</v>
      </c>
      <c r="P38" s="52">
        <f>O38*(Q38-R38-S38)</f>
        <v>457178.4</v>
      </c>
      <c r="Q38" s="51">
        <v>1440</v>
      </c>
      <c r="R38" s="512">
        <v>0</v>
      </c>
      <c r="S38" s="512">
        <v>30</v>
      </c>
      <c r="T38" s="41">
        <f>E38*M38*O38*Q38/100000000</f>
        <v>51.657968678399989</v>
      </c>
      <c r="U38" s="41">
        <f>E38*M38*O38*(Q38-R38-S38)/100000000</f>
        <v>50.581760997599993</v>
      </c>
      <c r="V38" s="41">
        <f>E38*G38*(1-N38)*O38/100*(R38+S38)/1000000</f>
        <v>1.0762076808000001</v>
      </c>
      <c r="W38" s="41">
        <f>+'7'!K34/1000</f>
        <v>48.44</v>
      </c>
      <c r="X38" s="513">
        <f>SUM(W38:W41)/SUM(K38:K41)</f>
        <v>0.93770624821828241</v>
      </c>
      <c r="Y38" s="214">
        <v>0</v>
      </c>
      <c r="Z38" s="599">
        <f>+'7'!D34/1000</f>
        <v>0.7</v>
      </c>
      <c r="AA38" s="53">
        <f>SUM(U38:U41)-SUM(W38:W41)-SUM(Z38:Z41)-SUM(Y38:Y41)</f>
        <v>1.4417609975999952</v>
      </c>
      <c r="AB38" s="53">
        <f>(SUM(K38:K41)-SUM(W38:W41)-SUM(Y38:Y41)-SUM(Z38:Z41)-SUM(AC38:AC41)-SUM(V38:V41))-AA38</f>
        <v>-4.2188474935755949E-15</v>
      </c>
      <c r="AC38" s="41">
        <f>K38-T38</f>
        <v>0</v>
      </c>
      <c r="AD38" s="41">
        <f>+AM38+BA38</f>
        <v>5</v>
      </c>
      <c r="AE38" s="232" t="s">
        <v>392</v>
      </c>
      <c r="AF38" s="41">
        <v>5</v>
      </c>
      <c r="AG38" s="41"/>
      <c r="AH38" s="41"/>
      <c r="AI38" s="514"/>
      <c r="AJ38" s="41"/>
      <c r="AK38" s="41"/>
      <c r="AL38" s="41"/>
      <c r="AM38" s="41">
        <f>SUM(AF38:AL38)+AT38+AV38+AX38</f>
        <v>5</v>
      </c>
      <c r="AN38" s="41"/>
      <c r="AO38" s="41"/>
      <c r="AP38" s="41"/>
      <c r="AQ38" s="41"/>
      <c r="AR38" s="41">
        <f>SUM(AN38:AQ38)</f>
        <v>0</v>
      </c>
      <c r="AS38" s="41"/>
      <c r="AT38" s="41"/>
      <c r="AU38" s="41"/>
      <c r="AV38" s="41"/>
      <c r="AW38" s="41"/>
      <c r="AX38" s="41"/>
      <c r="AY38" s="41"/>
      <c r="AZ38" s="41"/>
      <c r="BA38" s="41">
        <f>+AR38+AS38+AU38+AW38+AY38+AZ38</f>
        <v>0</v>
      </c>
      <c r="BB38" s="37">
        <v>1</v>
      </c>
      <c r="BC38" s="55"/>
      <c r="BD38" s="55"/>
      <c r="BE38" s="37"/>
      <c r="BF38" s="55"/>
    </row>
    <row r="39" spans="1:58" ht="12.95" customHeight="1">
      <c r="A39" s="44"/>
      <c r="B39" s="45"/>
      <c r="C39" s="459"/>
      <c r="D39" s="45"/>
      <c r="E39" s="46"/>
      <c r="F39" s="46"/>
      <c r="G39" s="47"/>
      <c r="H39" s="48"/>
      <c r="I39" s="49"/>
      <c r="J39" s="86"/>
      <c r="K39" s="86"/>
      <c r="L39" s="39"/>
      <c r="M39" s="39"/>
      <c r="N39" s="50"/>
      <c r="O39" s="51"/>
      <c r="P39" s="52"/>
      <c r="Q39" s="51"/>
      <c r="R39" s="512"/>
      <c r="S39" s="512"/>
      <c r="T39" s="41"/>
      <c r="U39" s="41"/>
      <c r="V39" s="41"/>
      <c r="W39" s="41"/>
      <c r="X39" s="42"/>
      <c r="Y39" s="214"/>
      <c r="Z39" s="599"/>
      <c r="AA39" s="41"/>
      <c r="AB39" s="41"/>
      <c r="AC39" s="41"/>
      <c r="AD39" s="41">
        <f>+AM39+BA39</f>
        <v>7</v>
      </c>
      <c r="AE39" s="232" t="s">
        <v>454</v>
      </c>
      <c r="AF39" s="41"/>
      <c r="AG39" s="41">
        <v>7</v>
      </c>
      <c r="AH39" s="41"/>
      <c r="AI39" s="514"/>
      <c r="AJ39" s="41"/>
      <c r="AK39" s="41"/>
      <c r="AL39" s="41"/>
      <c r="AM39" s="41">
        <f>SUM(AF39:AL39)+AT39+AV39+AX39</f>
        <v>7</v>
      </c>
      <c r="AN39" s="87"/>
      <c r="AO39" s="41"/>
      <c r="AP39" s="41"/>
      <c r="AQ39" s="41"/>
      <c r="AR39" s="41">
        <f>SUM(AN39:AQ39)</f>
        <v>0</v>
      </c>
      <c r="AS39" s="41"/>
      <c r="AT39" s="41"/>
      <c r="AU39" s="41"/>
      <c r="AV39" s="41"/>
      <c r="AW39" s="41"/>
      <c r="AX39" s="41"/>
      <c r="AY39" s="41"/>
      <c r="AZ39" s="41"/>
      <c r="BA39" s="41">
        <f>+AR39+AS39+AU39+AW39+AY39+AZ39</f>
        <v>0</v>
      </c>
      <c r="BB39" s="54"/>
      <c r="BC39" s="55">
        <v>2</v>
      </c>
      <c r="BD39" s="55"/>
      <c r="BE39" s="54"/>
      <c r="BF39" s="55"/>
    </row>
    <row r="40" spans="1:58" ht="12.95" customHeight="1">
      <c r="A40" s="44"/>
      <c r="B40" s="45"/>
      <c r="C40" s="459"/>
      <c r="D40" s="45"/>
      <c r="E40" s="46"/>
      <c r="F40" s="46"/>
      <c r="G40" s="47"/>
      <c r="H40" s="48"/>
      <c r="I40" s="49"/>
      <c r="J40" s="86"/>
      <c r="K40" s="86"/>
      <c r="L40" s="39"/>
      <c r="M40" s="39"/>
      <c r="N40" s="50"/>
      <c r="O40" s="51"/>
      <c r="P40" s="52"/>
      <c r="Q40" s="51"/>
      <c r="R40" s="512"/>
      <c r="S40" s="512"/>
      <c r="T40" s="41"/>
      <c r="U40" s="41"/>
      <c r="V40" s="41"/>
      <c r="W40" s="41"/>
      <c r="X40" s="42"/>
      <c r="Y40" s="214"/>
      <c r="Z40" s="599"/>
      <c r="AA40" s="41"/>
      <c r="AB40" s="41"/>
      <c r="AC40" s="41"/>
      <c r="AD40" s="41">
        <f>+AM40+BA40</f>
        <v>18</v>
      </c>
      <c r="AE40" s="232" t="s">
        <v>226</v>
      </c>
      <c r="AF40" s="37"/>
      <c r="AG40" s="37"/>
      <c r="AH40" s="37">
        <v>18</v>
      </c>
      <c r="AJ40" s="41"/>
      <c r="AK40" s="41"/>
      <c r="AL40" s="41"/>
      <c r="AM40" s="41">
        <f>SUM(AF40:AL40)+AT40+AV40+AX40</f>
        <v>18</v>
      </c>
      <c r="AN40" s="41"/>
      <c r="AO40" s="41"/>
      <c r="AP40" s="41"/>
      <c r="AQ40" s="41"/>
      <c r="AR40" s="41">
        <f>SUM(AN40:AQ40)</f>
        <v>0</v>
      </c>
      <c r="AS40" s="41"/>
      <c r="AT40" s="41"/>
      <c r="AU40" s="41"/>
      <c r="AV40" s="41"/>
      <c r="AW40" s="41"/>
      <c r="AX40" s="41"/>
      <c r="AY40" s="41"/>
      <c r="AZ40" s="41"/>
      <c r="BA40" s="41">
        <f>+AR40+AS40+AU40+AW40+AY40+AZ40</f>
        <v>0</v>
      </c>
      <c r="BB40" s="37"/>
      <c r="BC40" s="515"/>
      <c r="BD40" s="515"/>
      <c r="BE40" s="37"/>
      <c r="BF40" s="515"/>
    </row>
    <row r="41" spans="1:58" ht="12.95" customHeight="1">
      <c r="A41" s="44"/>
      <c r="B41" s="45"/>
      <c r="C41" s="459"/>
      <c r="D41" s="45"/>
      <c r="E41" s="46"/>
      <c r="F41" s="46"/>
      <c r="G41" s="511"/>
      <c r="H41" s="48"/>
      <c r="I41" s="49"/>
      <c r="J41" s="86"/>
      <c r="K41" s="86"/>
      <c r="L41" s="39"/>
      <c r="M41" s="39"/>
      <c r="N41" s="50"/>
      <c r="O41" s="51"/>
      <c r="P41" s="52"/>
      <c r="Q41" s="51"/>
      <c r="R41" s="512"/>
      <c r="S41" s="512"/>
      <c r="T41" s="41"/>
      <c r="U41" s="41"/>
      <c r="V41" s="41"/>
      <c r="W41" s="41"/>
      <c r="X41" s="513"/>
      <c r="Y41" s="214"/>
      <c r="Z41" s="599"/>
      <c r="AA41" s="53"/>
      <c r="AB41" s="53"/>
      <c r="AC41" s="41"/>
      <c r="AD41" s="41"/>
      <c r="AE41" s="232"/>
      <c r="AF41" s="41"/>
      <c r="AG41" s="41"/>
      <c r="AH41" s="41"/>
      <c r="AI41" s="514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37"/>
      <c r="BC41" s="55"/>
      <c r="BD41" s="55"/>
      <c r="BE41" s="55"/>
      <c r="BF41" s="55"/>
    </row>
    <row r="42" spans="1:58" ht="12.95" customHeight="1">
      <c r="A42" s="44">
        <v>45999</v>
      </c>
      <c r="B42" s="45" t="s">
        <v>439</v>
      </c>
      <c r="C42" s="459">
        <f>(M42*E42*O42*Q42)/100000000</f>
        <v>51.7444171826087</v>
      </c>
      <c r="D42" s="45" t="s">
        <v>488</v>
      </c>
      <c r="E42" s="46">
        <v>15.5</v>
      </c>
      <c r="F42" s="46">
        <v>1</v>
      </c>
      <c r="G42" s="47">
        <v>830</v>
      </c>
      <c r="H42" s="48">
        <v>0.14000000000000001</v>
      </c>
      <c r="I42" s="49">
        <v>0.88</v>
      </c>
      <c r="J42" s="86">
        <f>E42*G42*(1-H42)*1440/1000000*3.4</f>
        <v>54.168854400000001</v>
      </c>
      <c r="K42" s="86">
        <f>(IF(G42&lt;L42,L42,G42)*(1-IF(H42&lt;N42,H42,N42))*E42*O42*Q42)/100000000</f>
        <v>51.7444171826087</v>
      </c>
      <c r="L42" s="39">
        <v>830</v>
      </c>
      <c r="M42" s="39">
        <f>+L42-L42*0.14</f>
        <v>713.8</v>
      </c>
      <c r="N42" s="50">
        <f>1-(M42/L42)</f>
        <v>0.14000000000000001</v>
      </c>
      <c r="O42" s="51">
        <f>+'Trim Rwd'!H25</f>
        <v>324.78260869565219</v>
      </c>
      <c r="P42" s="52">
        <f>O42*(Q42-R42-S42)</f>
        <v>435858.26086956525</v>
      </c>
      <c r="Q42" s="51">
        <v>1440</v>
      </c>
      <c r="R42" s="512">
        <v>70</v>
      </c>
      <c r="S42" s="512">
        <v>28</v>
      </c>
      <c r="T42" s="41">
        <f>E42*M42*O42*Q42/100000000</f>
        <v>51.7444171826087</v>
      </c>
      <c r="U42" s="41">
        <f>E42*M42*O42*(Q42-R42-S42)/100000000</f>
        <v>48.222922124347832</v>
      </c>
      <c r="V42" s="41">
        <f>E42*G42*(1-N42)*O42/100*(R42+S42)/1000000</f>
        <v>3.5214950582608697</v>
      </c>
      <c r="W42" s="41">
        <f>+'8'!K34/1000</f>
        <v>45.993000000000002</v>
      </c>
      <c r="X42" s="513">
        <f>SUM(W42:W45)/SUM(K42:K45)</f>
        <v>0.88884951274430912</v>
      </c>
      <c r="Y42" s="214">
        <v>0</v>
      </c>
      <c r="Z42" s="599">
        <f>+'8'!D34/1000</f>
        <v>0.88</v>
      </c>
      <c r="AA42" s="53">
        <f>SUM(U42:U45)-SUM(W42:W45)-SUM(Z42:Z45)-SUM(Y42:Y45)</f>
        <v>1.3499221243478301</v>
      </c>
      <c r="AB42" s="53">
        <f>(SUM(K42:K45)-SUM(W42:W45)-SUM(Y42:Y45)-SUM(Z42:Z45)-SUM(AC42:AC45)-SUM(V42:V45))-AA42</f>
        <v>-1.7763568394002505E-15</v>
      </c>
      <c r="AC42" s="41">
        <f>K42-T42</f>
        <v>0</v>
      </c>
      <c r="AD42" s="41">
        <f>+AM42+BA42</f>
        <v>3</v>
      </c>
      <c r="AE42" s="232" t="s">
        <v>392</v>
      </c>
      <c r="AF42" s="41">
        <v>3</v>
      </c>
      <c r="AG42" s="41"/>
      <c r="AH42" s="41"/>
      <c r="AI42" s="514"/>
      <c r="AJ42" s="41"/>
      <c r="AK42" s="41"/>
      <c r="AL42" s="41"/>
      <c r="AM42" s="41">
        <f>SUM(AF42:AL42)+AT42+AV42+AX42</f>
        <v>3</v>
      </c>
      <c r="AN42" s="41"/>
      <c r="AO42" s="41"/>
      <c r="AP42" s="41"/>
      <c r="AQ42" s="41"/>
      <c r="AR42" s="41">
        <f>SUM(AN42:AQ42)</f>
        <v>0</v>
      </c>
      <c r="AS42" s="41"/>
      <c r="AT42" s="41"/>
      <c r="AU42" s="41"/>
      <c r="AV42" s="41"/>
      <c r="AW42" s="41"/>
      <c r="AX42" s="41"/>
      <c r="AY42" s="41"/>
      <c r="AZ42" s="41"/>
      <c r="BA42" s="41">
        <f>+AR42+AS42+AU42+AW42+AY42+AZ42</f>
        <v>0</v>
      </c>
      <c r="BB42" s="37">
        <v>1</v>
      </c>
      <c r="BC42" s="55"/>
      <c r="BD42" s="55"/>
      <c r="BE42" s="37"/>
      <c r="BF42" s="55"/>
    </row>
    <row r="43" spans="1:58" ht="12.95" customHeight="1">
      <c r="A43" s="44"/>
      <c r="B43" s="45"/>
      <c r="C43" s="459"/>
      <c r="D43" s="45"/>
      <c r="E43" s="46"/>
      <c r="F43" s="46"/>
      <c r="G43" s="47"/>
      <c r="H43" s="48"/>
      <c r="I43" s="49"/>
      <c r="J43" s="86"/>
      <c r="K43" s="86"/>
      <c r="L43" s="39"/>
      <c r="M43" s="39"/>
      <c r="N43" s="50"/>
      <c r="O43" s="51"/>
      <c r="P43" s="52"/>
      <c r="Q43" s="51"/>
      <c r="R43" s="512"/>
      <c r="S43" s="512"/>
      <c r="T43" s="41"/>
      <c r="U43" s="41"/>
      <c r="V43" s="41"/>
      <c r="W43" s="41"/>
      <c r="X43" s="42"/>
      <c r="Y43" s="214"/>
      <c r="Z43" s="599"/>
      <c r="AA43" s="41"/>
      <c r="AB43" s="41"/>
      <c r="AC43" s="41"/>
      <c r="AD43" s="41">
        <f>+AM43+BA43</f>
        <v>11</v>
      </c>
      <c r="AE43" s="232" t="s">
        <v>394</v>
      </c>
      <c r="AF43" s="41"/>
      <c r="AG43" s="41">
        <v>11</v>
      </c>
      <c r="AH43" s="41"/>
      <c r="AI43" s="514"/>
      <c r="AJ43" s="41"/>
      <c r="AK43" s="41"/>
      <c r="AL43" s="41"/>
      <c r="AM43" s="41">
        <f>SUM(AF43:AL43)+AT43+AV43+AX43</f>
        <v>11</v>
      </c>
      <c r="AN43" s="87"/>
      <c r="AO43" s="41"/>
      <c r="AP43" s="41"/>
      <c r="AQ43" s="41"/>
      <c r="AR43" s="41">
        <f>SUM(AN43:AQ43)</f>
        <v>0</v>
      </c>
      <c r="AS43" s="41"/>
      <c r="AT43" s="41"/>
      <c r="AU43" s="41"/>
      <c r="AV43" s="41"/>
      <c r="AW43" s="41"/>
      <c r="AX43" s="41"/>
      <c r="AY43" s="41"/>
      <c r="AZ43" s="41"/>
      <c r="BA43" s="41">
        <f>+AR43+AS43+AU43+AW43+AY43+AZ43</f>
        <v>0</v>
      </c>
      <c r="BB43" s="54"/>
      <c r="BC43" s="55">
        <v>3</v>
      </c>
      <c r="BD43" s="55"/>
      <c r="BE43" s="54"/>
      <c r="BF43" s="55"/>
    </row>
    <row r="44" spans="1:58" ht="12.95" customHeight="1">
      <c r="A44" s="44"/>
      <c r="B44" s="45"/>
      <c r="C44" s="459"/>
      <c r="D44" s="45"/>
      <c r="E44" s="46"/>
      <c r="F44" s="46"/>
      <c r="G44" s="47"/>
      <c r="H44" s="48"/>
      <c r="I44" s="49"/>
      <c r="J44" s="86"/>
      <c r="K44" s="86"/>
      <c r="L44" s="39"/>
      <c r="M44" s="39"/>
      <c r="N44" s="50"/>
      <c r="O44" s="51"/>
      <c r="P44" s="52"/>
      <c r="Q44" s="51"/>
      <c r="R44" s="512"/>
      <c r="S44" s="512"/>
      <c r="T44" s="41"/>
      <c r="U44" s="41"/>
      <c r="V44" s="41"/>
      <c r="W44" s="41"/>
      <c r="X44" s="42"/>
      <c r="Y44" s="214"/>
      <c r="Z44" s="599"/>
      <c r="AA44" s="41"/>
      <c r="AB44" s="41"/>
      <c r="AC44" s="41"/>
      <c r="AD44" s="41">
        <f>+AM44+BA44</f>
        <v>14</v>
      </c>
      <c r="AE44" s="232" t="s">
        <v>226</v>
      </c>
      <c r="AF44" s="37"/>
      <c r="AG44" s="37"/>
      <c r="AH44" s="37">
        <v>14</v>
      </c>
      <c r="AJ44" s="41"/>
      <c r="AK44" s="41"/>
      <c r="AL44" s="41"/>
      <c r="AM44" s="41">
        <f>SUM(AF44:AL44)+AT44+AV44+AX44</f>
        <v>14</v>
      </c>
      <c r="AN44" s="41"/>
      <c r="AO44" s="41"/>
      <c r="AP44" s="41"/>
      <c r="AQ44" s="41"/>
      <c r="AR44" s="41">
        <f>SUM(AN44:AQ44)</f>
        <v>0</v>
      </c>
      <c r="AS44" s="41"/>
      <c r="AT44" s="41"/>
      <c r="AU44" s="41"/>
      <c r="AV44" s="41"/>
      <c r="AW44" s="41"/>
      <c r="AX44" s="41"/>
      <c r="AY44" s="41"/>
      <c r="AZ44" s="41"/>
      <c r="BA44" s="41">
        <f>+AR44+AS44+AU44+AW44+AY44+AZ44</f>
        <v>0</v>
      </c>
      <c r="BB44" s="37"/>
      <c r="BC44" s="515"/>
      <c r="BD44" s="515"/>
      <c r="BE44" s="37"/>
      <c r="BF44" s="515"/>
    </row>
    <row r="45" spans="1:58" ht="12.95" customHeight="1">
      <c r="A45" s="44"/>
      <c r="B45" s="45"/>
      <c r="C45" s="459"/>
      <c r="D45" s="45"/>
      <c r="E45" s="46"/>
      <c r="F45" s="46"/>
      <c r="G45" s="511"/>
      <c r="H45" s="48"/>
      <c r="I45" s="49"/>
      <c r="J45" s="86"/>
      <c r="K45" s="86"/>
      <c r="L45" s="39"/>
      <c r="M45" s="39"/>
      <c r="N45" s="50"/>
      <c r="O45" s="51"/>
      <c r="P45" s="52"/>
      <c r="Q45" s="51"/>
      <c r="R45" s="512"/>
      <c r="S45" s="512"/>
      <c r="T45" s="41"/>
      <c r="U45" s="41"/>
      <c r="V45" s="41"/>
      <c r="W45" s="41"/>
      <c r="X45" s="513"/>
      <c r="Y45" s="214"/>
      <c r="Z45" s="599"/>
      <c r="AA45" s="53"/>
      <c r="AB45" s="53"/>
      <c r="AC45" s="41"/>
      <c r="AD45" s="41">
        <f>+AM45+BA45</f>
        <v>70</v>
      </c>
      <c r="AE45" s="232" t="s">
        <v>523</v>
      </c>
      <c r="AF45" s="41"/>
      <c r="AG45" s="41"/>
      <c r="AH45" s="41"/>
      <c r="AI45" s="514"/>
      <c r="AJ45" s="41"/>
      <c r="AK45" s="41"/>
      <c r="AL45" s="41"/>
      <c r="AM45" s="41">
        <f>SUM(AF45:AL45)+AT45+AV45+AX45</f>
        <v>0</v>
      </c>
      <c r="AN45" s="41">
        <v>70</v>
      </c>
      <c r="AO45" s="41"/>
      <c r="AP45" s="41"/>
      <c r="AQ45" s="41"/>
      <c r="AR45" s="41">
        <f>SUM(AN45:AQ45)</f>
        <v>70</v>
      </c>
      <c r="AS45" s="41"/>
      <c r="AT45" s="41"/>
      <c r="AU45" s="41"/>
      <c r="AV45" s="41"/>
      <c r="AW45" s="41"/>
      <c r="AX45" s="41"/>
      <c r="AY45" s="41"/>
      <c r="AZ45" s="41"/>
      <c r="BA45" s="41">
        <f>+AR45+AS45+AU45+AW45+AY45+AZ45</f>
        <v>70</v>
      </c>
      <c r="BB45" s="37"/>
      <c r="BC45" s="515"/>
      <c r="BD45" s="515"/>
      <c r="BE45" s="37"/>
      <c r="BF45" s="515">
        <v>1</v>
      </c>
    </row>
    <row r="46" spans="1:58" ht="12.95" customHeight="1">
      <c r="A46" s="44"/>
      <c r="B46" s="45"/>
      <c r="C46" s="459"/>
      <c r="D46" s="45"/>
      <c r="E46" s="46"/>
      <c r="F46" s="46"/>
      <c r="G46" s="511"/>
      <c r="H46" s="48"/>
      <c r="I46" s="49"/>
      <c r="J46" s="86"/>
      <c r="K46" s="86"/>
      <c r="L46" s="39"/>
      <c r="M46" s="39"/>
      <c r="N46" s="50"/>
      <c r="O46" s="51"/>
      <c r="P46" s="52"/>
      <c r="Q46" s="51"/>
      <c r="R46" s="512"/>
      <c r="S46" s="512"/>
      <c r="T46" s="41"/>
      <c r="U46" s="41"/>
      <c r="V46" s="41"/>
      <c r="W46" s="41"/>
      <c r="X46" s="42"/>
      <c r="Y46" s="214"/>
      <c r="Z46" s="599"/>
      <c r="AA46" s="41"/>
      <c r="AB46" s="41"/>
      <c r="AC46" s="41"/>
      <c r="AD46" s="41"/>
      <c r="AE46" s="232"/>
      <c r="AF46" s="41"/>
      <c r="AG46" s="41"/>
      <c r="AH46" s="41"/>
      <c r="AI46" s="514"/>
      <c r="AJ46" s="41"/>
      <c r="AK46" s="41"/>
      <c r="AL46" s="41"/>
      <c r="AM46" s="41"/>
      <c r="AN46" s="87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54"/>
      <c r="BC46" s="55"/>
      <c r="BD46" s="55"/>
      <c r="BE46" s="55"/>
      <c r="BF46" s="55"/>
    </row>
    <row r="47" spans="1:58" ht="12.95" customHeight="1">
      <c r="A47" s="44">
        <v>46000</v>
      </c>
      <c r="B47" s="45" t="s">
        <v>439</v>
      </c>
      <c r="C47" s="459">
        <f>(M47*E47*O47*Q47)/100000000</f>
        <v>21.723967649999999</v>
      </c>
      <c r="D47" s="45" t="s">
        <v>488</v>
      </c>
      <c r="E47" s="46">
        <v>15.5</v>
      </c>
      <c r="F47" s="46">
        <v>1</v>
      </c>
      <c r="G47" s="47">
        <v>830</v>
      </c>
      <c r="H47" s="48">
        <v>0.14000000000000001</v>
      </c>
      <c r="I47" s="49">
        <v>0.88</v>
      </c>
      <c r="J47" s="86">
        <f>E47*G47*(1-H47)*1440/1000000*3.4</f>
        <v>54.168854400000001</v>
      </c>
      <c r="K47" s="86">
        <f>(IF(G47&lt;L47,L47,G47)*(1-IF(H47&lt;N47,H47,N47))*E47*O47*Q47)/100000000</f>
        <v>21.723967649999999</v>
      </c>
      <c r="L47" s="39">
        <v>830</v>
      </c>
      <c r="M47" s="39">
        <f>+L47-L47*0.14</f>
        <v>713.8</v>
      </c>
      <c r="N47" s="50">
        <f>1-(M47/L47)</f>
        <v>0.14000000000000001</v>
      </c>
      <c r="O47" s="51">
        <f>+'Trim Rwd'!H28</f>
        <v>330</v>
      </c>
      <c r="P47" s="52">
        <f>O47*(Q47-R47-S47)</f>
        <v>193050</v>
      </c>
      <c r="Q47" s="51">
        <v>595</v>
      </c>
      <c r="R47" s="512">
        <v>0</v>
      </c>
      <c r="S47" s="512">
        <v>10</v>
      </c>
      <c r="T47" s="41">
        <f>E47*M47*O47*Q47/100000000</f>
        <v>21.723967649999999</v>
      </c>
      <c r="U47" s="41">
        <f>E47*M47*O47*(Q47-R47-S47)/100000000</f>
        <v>21.358858949999998</v>
      </c>
      <c r="V47" s="41">
        <f>E47*G47*(1-N47)*O47/100*(R47+S47)/1000000</f>
        <v>0.36510870000000001</v>
      </c>
      <c r="W47" s="41">
        <f>+'9'!K11/1000</f>
        <v>22.992999999999999</v>
      </c>
      <c r="X47" s="513">
        <f>SUM(W47:W50)/SUM(K47:K50)</f>
        <v>0.90604789250483475</v>
      </c>
      <c r="Y47" s="214">
        <v>0</v>
      </c>
      <c r="Z47" s="599">
        <v>0</v>
      </c>
      <c r="AA47" s="53">
        <f>SUM(U47:U50)-SUM(W47:W50)-SUM(Z47:Z50)-SUM(Y47:Y50)</f>
        <v>2.4044503800000019</v>
      </c>
      <c r="AB47" s="53">
        <f>(SUM(K47:K50)-SUM(W47:W50)-SUM(Y47:Y50)-SUM(Z47:Z50)-SUM(AC47:AC50)-SUM(V47:V50))-AA47</f>
        <v>0</v>
      </c>
      <c r="AC47" s="41">
        <f>K47-T47</f>
        <v>0</v>
      </c>
      <c r="AD47" s="41">
        <f>+AM47+BA47</f>
        <v>2</v>
      </c>
      <c r="AE47" s="232" t="s">
        <v>392</v>
      </c>
      <c r="AF47" s="41">
        <v>2</v>
      </c>
      <c r="AG47" s="41"/>
      <c r="AH47" s="41"/>
      <c r="AI47" s="514"/>
      <c r="AJ47" s="41"/>
      <c r="AK47" s="41"/>
      <c r="AL47" s="41"/>
      <c r="AM47" s="41">
        <f>SUM(AF47:AL47)+AT47+AV47+AX47</f>
        <v>2</v>
      </c>
      <c r="AN47" s="41"/>
      <c r="AO47" s="41"/>
      <c r="AP47" s="41"/>
      <c r="AQ47" s="41"/>
      <c r="AR47" s="41">
        <f>SUM(AN47:AQ47)</f>
        <v>0</v>
      </c>
      <c r="AS47" s="41"/>
      <c r="AT47" s="41"/>
      <c r="AU47" s="41"/>
      <c r="AV47" s="41"/>
      <c r="AW47" s="41"/>
      <c r="AX47" s="41"/>
      <c r="AY47" s="41"/>
      <c r="AZ47" s="41"/>
      <c r="BA47" s="41">
        <f>+AR47+AS47+AU47+AW47+AY47+AZ47</f>
        <v>0</v>
      </c>
      <c r="BB47" s="37">
        <v>1</v>
      </c>
      <c r="BC47" s="55"/>
      <c r="BD47" s="55"/>
      <c r="BE47" s="37"/>
      <c r="BF47" s="55"/>
    </row>
    <row r="48" spans="1:58" ht="12.95" customHeight="1">
      <c r="A48" s="44"/>
      <c r="B48" s="45" t="s">
        <v>439</v>
      </c>
      <c r="C48" s="459">
        <f>(M48*E48*O48*Q48)/100000000</f>
        <v>6.9864959499999992</v>
      </c>
      <c r="D48" s="45" t="s">
        <v>488</v>
      </c>
      <c r="E48" s="46">
        <v>17</v>
      </c>
      <c r="F48" s="46">
        <v>1</v>
      </c>
      <c r="G48" s="47">
        <v>830</v>
      </c>
      <c r="H48" s="48">
        <v>0.14000000000000001</v>
      </c>
      <c r="I48" s="49">
        <v>0.88</v>
      </c>
      <c r="J48" s="86">
        <f>E48*G48*(1-H48)*1440/1000000*3.4</f>
        <v>59.411001599999999</v>
      </c>
      <c r="K48" s="86">
        <f>(IF(G48&lt;L48,L48,G48)*(1-IF(H48&lt;N48,H48,N48))*E48*O48*Q48)/100000000</f>
        <v>6.9864959499999992</v>
      </c>
      <c r="L48" s="39">
        <v>830</v>
      </c>
      <c r="M48" s="39">
        <f>+L48-L48*0.14</f>
        <v>713.8</v>
      </c>
      <c r="N48" s="50">
        <f>1-(M48/L48)</f>
        <v>0.14000000000000001</v>
      </c>
      <c r="O48" s="51">
        <f>+'Trim Rwd'!H29</f>
        <v>329</v>
      </c>
      <c r="P48" s="52">
        <f>O48*(Q48-R48-S48)</f>
        <v>55930</v>
      </c>
      <c r="Q48" s="51">
        <v>175</v>
      </c>
      <c r="R48" s="512">
        <v>0</v>
      </c>
      <c r="S48" s="512">
        <v>5</v>
      </c>
      <c r="T48" s="41">
        <f>E48*M48*O48*Q48/100000000</f>
        <v>6.9864959499999992</v>
      </c>
      <c r="U48" s="41">
        <f>E48*M48*O48*(Q48-R48-S48)/100000000</f>
        <v>6.786881779999999</v>
      </c>
      <c r="V48" s="41">
        <f>E48*G48*(1-N48)*O48/100*(R48+S48)/1000000</f>
        <v>0.19961417000000001</v>
      </c>
      <c r="W48" s="41">
        <f>+'9'!K12/1000</f>
        <v>6.5720000000000001</v>
      </c>
      <c r="X48" s="42"/>
      <c r="Y48" s="214"/>
      <c r="Z48" s="599">
        <v>0</v>
      </c>
      <c r="AA48" s="41"/>
      <c r="AB48" s="41"/>
      <c r="AC48" s="41"/>
      <c r="AD48" s="41">
        <f>+AM48+BA48</f>
        <v>9</v>
      </c>
      <c r="AE48" s="232" t="s">
        <v>394</v>
      </c>
      <c r="AF48" s="41"/>
      <c r="AG48" s="41">
        <v>9</v>
      </c>
      <c r="AH48" s="41"/>
      <c r="AI48" s="514"/>
      <c r="AJ48" s="41"/>
      <c r="AK48" s="41"/>
      <c r="AL48" s="41"/>
      <c r="AM48" s="41">
        <f>SUM(AF48:AL48)+AT48+AV48+AX48</f>
        <v>9</v>
      </c>
      <c r="AN48" s="87"/>
      <c r="AO48" s="41"/>
      <c r="AP48" s="41"/>
      <c r="AQ48" s="41"/>
      <c r="AR48" s="41">
        <f>SUM(AN48:AQ48)</f>
        <v>0</v>
      </c>
      <c r="AS48" s="41"/>
      <c r="AT48" s="41"/>
      <c r="AU48" s="41"/>
      <c r="AV48" s="41"/>
      <c r="AW48" s="41"/>
      <c r="AX48" s="41"/>
      <c r="AY48" s="41"/>
      <c r="AZ48" s="41"/>
      <c r="BA48" s="41">
        <f>+AR48+AS48+AU48+AW48+AY48+AZ48</f>
        <v>0</v>
      </c>
      <c r="BB48" s="54"/>
      <c r="BC48" s="55">
        <v>3</v>
      </c>
      <c r="BD48" s="55"/>
      <c r="BE48" s="54"/>
      <c r="BF48" s="55"/>
    </row>
    <row r="49" spans="1:58" ht="12.95" customHeight="1">
      <c r="A49" s="44"/>
      <c r="B49" s="45" t="s">
        <v>439</v>
      </c>
      <c r="C49" s="459">
        <f>(M49*E49*O49*Q49)/100000000</f>
        <v>17.684216549999999</v>
      </c>
      <c r="D49" s="45" t="s">
        <v>488</v>
      </c>
      <c r="E49" s="46">
        <v>16.5</v>
      </c>
      <c r="F49" s="46">
        <v>1</v>
      </c>
      <c r="G49" s="47">
        <v>830</v>
      </c>
      <c r="H49" s="48">
        <v>0.14000000000000001</v>
      </c>
      <c r="I49" s="49">
        <v>0.88</v>
      </c>
      <c r="J49" s="86">
        <f>E49*G49*(1-H49)*1440/1000000*3.4</f>
        <v>57.663619199999999</v>
      </c>
      <c r="K49" s="86">
        <f>(IF(G49&lt;L49,L49,G49)*(1-IF(H49&lt;N49,H49,N49))*E49*O49*Q49)/100000000</f>
        <v>17.684216549999999</v>
      </c>
      <c r="L49" s="39">
        <v>830</v>
      </c>
      <c r="M49" s="39">
        <f>+L49-L49*0.14</f>
        <v>713.8</v>
      </c>
      <c r="N49" s="50">
        <f>1-(M49/L49)</f>
        <v>0.14000000000000001</v>
      </c>
      <c r="O49" s="51">
        <f>+'Trim Rwd'!H30</f>
        <v>330</v>
      </c>
      <c r="P49" s="52">
        <f>O49*(Q49-R49-S49)</f>
        <v>146850</v>
      </c>
      <c r="Q49" s="51">
        <v>455</v>
      </c>
      <c r="R49" s="512">
        <v>0</v>
      </c>
      <c r="S49" s="512">
        <v>10</v>
      </c>
      <c r="T49" s="41">
        <f>E49*M49*O49*Q49/100000000</f>
        <v>17.684216549999999</v>
      </c>
      <c r="U49" s="41">
        <f>E49*M49*O49*(Q49-R49-S49)/100000000</f>
        <v>17.295552449999999</v>
      </c>
      <c r="V49" s="41">
        <f>E49*G49*(1-N49)*O49/100*(R49+S49)/1000000</f>
        <v>0.38866409999999996</v>
      </c>
      <c r="W49" s="41">
        <f>+'9'!K13/1000</f>
        <v>18.88</v>
      </c>
      <c r="X49" s="42"/>
      <c r="Y49" s="214"/>
      <c r="Z49" s="599">
        <v>0</v>
      </c>
      <c r="AA49" s="41"/>
      <c r="AB49" s="41"/>
      <c r="AC49" s="41"/>
      <c r="AD49" s="41">
        <f>+AM49+BA49</f>
        <v>9</v>
      </c>
      <c r="AE49" s="232" t="s">
        <v>226</v>
      </c>
      <c r="AF49" s="37"/>
      <c r="AG49" s="37"/>
      <c r="AH49" s="37">
        <v>9</v>
      </c>
      <c r="AJ49" s="41"/>
      <c r="AK49" s="41"/>
      <c r="AL49" s="41"/>
      <c r="AM49" s="41">
        <f>SUM(AF49:AL49)+AT49+AV49+AX49</f>
        <v>9</v>
      </c>
      <c r="AN49" s="41"/>
      <c r="AO49" s="41"/>
      <c r="AP49" s="41"/>
      <c r="AQ49" s="41"/>
      <c r="AR49" s="41">
        <f>SUM(AN49:AQ49)</f>
        <v>0</v>
      </c>
      <c r="AS49" s="41"/>
      <c r="AT49" s="41"/>
      <c r="AU49" s="41"/>
      <c r="AV49" s="41"/>
      <c r="AW49" s="41"/>
      <c r="AX49" s="41"/>
      <c r="AY49" s="41"/>
      <c r="AZ49" s="41"/>
      <c r="BA49" s="41">
        <f>+AR49+AS49+AU49+AW49+AY49+AZ49</f>
        <v>0</v>
      </c>
      <c r="BB49" s="37"/>
      <c r="BC49" s="515"/>
      <c r="BD49" s="515"/>
      <c r="BE49" s="37"/>
      <c r="BF49" s="515"/>
    </row>
    <row r="50" spans="1:58" ht="12.95" customHeight="1">
      <c r="A50" s="44"/>
      <c r="B50" s="45" t="s">
        <v>439</v>
      </c>
      <c r="C50" s="459">
        <f>(M50*E50*O50*Q50)/100000000</f>
        <v>10.128822</v>
      </c>
      <c r="D50" s="45" t="s">
        <v>488</v>
      </c>
      <c r="E50" s="46">
        <v>20</v>
      </c>
      <c r="F50" s="46">
        <v>1</v>
      </c>
      <c r="G50" s="47">
        <v>830</v>
      </c>
      <c r="H50" s="48">
        <v>0.14000000000000001</v>
      </c>
      <c r="I50" s="49">
        <v>0.88</v>
      </c>
      <c r="J50" s="86">
        <f>E50*G50*(1-H50)*1440/1000000*3.4</f>
        <v>69.895296000000002</v>
      </c>
      <c r="K50" s="86">
        <f>(IF(G50&lt;L50,L50,G50)*(1-IF(H50&lt;N50,H50,N50))*E50*O50*Q50)/100000000</f>
        <v>10.128822</v>
      </c>
      <c r="L50" s="39">
        <v>830</v>
      </c>
      <c r="M50" s="39">
        <f>+L50-L50*0.14</f>
        <v>713.8</v>
      </c>
      <c r="N50" s="50">
        <f>1-(M50/L50)</f>
        <v>0.14000000000000001</v>
      </c>
      <c r="O50" s="51">
        <f>+'Trim Rwd'!H31</f>
        <v>330</v>
      </c>
      <c r="P50" s="52">
        <f>O50*(Q50-R50-S50)</f>
        <v>68970</v>
      </c>
      <c r="Q50" s="51">
        <v>215</v>
      </c>
      <c r="R50" s="512">
        <v>0</v>
      </c>
      <c r="S50" s="512">
        <v>6</v>
      </c>
      <c r="T50" s="41">
        <f>E50*M50*O50*Q50/100000000</f>
        <v>10.128822</v>
      </c>
      <c r="U50" s="41">
        <f>E50*M50*O50*(Q50-R50-S50)/100000000</f>
        <v>9.8461572000000004</v>
      </c>
      <c r="V50" s="41">
        <f>E50*G50*(1-N50)*O50/100*(R50+S50)/1000000</f>
        <v>0.28266480000000005</v>
      </c>
      <c r="W50" s="41">
        <f>+'9'!K14/1000</f>
        <v>2.7679999999999998</v>
      </c>
      <c r="X50" s="513"/>
      <c r="Y50" s="214"/>
      <c r="Z50" s="599">
        <f>+'9'!D34/1000</f>
        <v>1.67</v>
      </c>
      <c r="AA50" s="53"/>
      <c r="AB50" s="53"/>
      <c r="AC50" s="41"/>
      <c r="AD50" s="41">
        <f>+AM50+BA50</f>
        <v>11</v>
      </c>
      <c r="AE50" s="232" t="s">
        <v>531</v>
      </c>
      <c r="AF50" s="41"/>
      <c r="AG50" s="41"/>
      <c r="AH50" s="41"/>
      <c r="AI50" s="514">
        <v>11</v>
      </c>
      <c r="AJ50" s="41"/>
      <c r="AK50" s="41"/>
      <c r="AL50" s="41"/>
      <c r="AM50" s="41">
        <f>SUM(AF50:AL50)+AT50+AV50+AX50</f>
        <v>11</v>
      </c>
      <c r="AN50" s="41"/>
      <c r="AO50" s="41"/>
      <c r="AP50" s="41"/>
      <c r="AQ50" s="41"/>
      <c r="AR50" s="41">
        <f>SUM(AN50:AQ50)</f>
        <v>0</v>
      </c>
      <c r="AS50" s="41"/>
      <c r="AT50" s="41"/>
      <c r="AU50" s="41"/>
      <c r="AV50" s="41"/>
      <c r="AW50" s="41"/>
      <c r="AX50" s="41"/>
      <c r="AY50" s="41"/>
      <c r="AZ50" s="41"/>
      <c r="BA50" s="41">
        <f>+AR50+AS50+AU50+AW50+AY50+AZ50</f>
        <v>0</v>
      </c>
      <c r="BB50" s="37"/>
      <c r="BC50" s="515"/>
      <c r="BD50" s="515"/>
      <c r="BE50" s="37"/>
      <c r="BF50" s="515">
        <v>1</v>
      </c>
    </row>
    <row r="51" spans="1:58" ht="12.95" customHeight="1">
      <c r="A51" s="44"/>
      <c r="B51" s="45"/>
      <c r="C51" s="459"/>
      <c r="D51" s="45"/>
      <c r="E51" s="46"/>
      <c r="F51" s="46"/>
      <c r="G51" s="47"/>
      <c r="H51" s="48"/>
      <c r="I51" s="49"/>
      <c r="J51" s="86"/>
      <c r="K51" s="86"/>
      <c r="L51" s="39"/>
      <c r="M51" s="39"/>
      <c r="N51" s="50"/>
      <c r="O51" s="51"/>
      <c r="P51" s="52"/>
      <c r="Q51" s="51"/>
      <c r="R51" s="512"/>
      <c r="S51" s="512"/>
      <c r="T51" s="41"/>
      <c r="U51" s="41"/>
      <c r="V51" s="41"/>
      <c r="W51" s="41"/>
      <c r="X51" s="42"/>
      <c r="Y51" s="214"/>
      <c r="Z51" s="599"/>
      <c r="AA51" s="41"/>
      <c r="AB51" s="41"/>
      <c r="AC51" s="41"/>
      <c r="AD51" s="41"/>
      <c r="AE51" s="232"/>
      <c r="AF51" s="41"/>
      <c r="AG51" s="41"/>
      <c r="AH51" s="41"/>
      <c r="AI51" s="514"/>
      <c r="AJ51" s="41"/>
      <c r="AK51" s="41"/>
      <c r="AL51" s="41"/>
      <c r="AM51" s="41"/>
      <c r="AN51" s="87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54"/>
      <c r="BC51" s="55"/>
      <c r="BD51" s="55"/>
      <c r="BE51" s="55"/>
      <c r="BF51" s="55"/>
    </row>
    <row r="52" spans="1:58" ht="12.95" customHeight="1">
      <c r="A52" s="44">
        <v>46001</v>
      </c>
      <c r="B52" s="45" t="s">
        <v>439</v>
      </c>
      <c r="C52" s="459">
        <f>(M52*E52*O52*Q52)/100000000</f>
        <v>67.839551999999998</v>
      </c>
      <c r="D52" s="45" t="s">
        <v>488</v>
      </c>
      <c r="E52" s="46">
        <v>20</v>
      </c>
      <c r="F52" s="46">
        <v>1</v>
      </c>
      <c r="G52" s="47">
        <v>830</v>
      </c>
      <c r="H52" s="48">
        <v>0.14000000000000001</v>
      </c>
      <c r="I52" s="49">
        <v>0.88</v>
      </c>
      <c r="J52" s="86">
        <f>E52*G52*(1-H52)*1440/1000000*3.4</f>
        <v>69.895296000000002</v>
      </c>
      <c r="K52" s="86">
        <f>(IF(G52&lt;L52,L52,G52)*(1-IF(H52&lt;N52,H52,N52))*E52*O52*Q52)/100000000</f>
        <v>67.839551999999998</v>
      </c>
      <c r="L52" s="39">
        <v>830</v>
      </c>
      <c r="M52" s="39">
        <f>+L52-L52*0.14</f>
        <v>713.8</v>
      </c>
      <c r="N52" s="50">
        <f>1-(M52/L52)</f>
        <v>0.14000000000000001</v>
      </c>
      <c r="O52" s="51">
        <f>+'Trim Rwd'!H33</f>
        <v>330</v>
      </c>
      <c r="P52" s="52">
        <f>O52*(Q52-R52-S52)</f>
        <v>429000</v>
      </c>
      <c r="Q52" s="51">
        <v>1440</v>
      </c>
      <c r="R52" s="512">
        <v>85</v>
      </c>
      <c r="S52" s="512">
        <v>55</v>
      </c>
      <c r="T52" s="41">
        <f>E52*M52*O52*Q52/100000000</f>
        <v>67.839551999999998</v>
      </c>
      <c r="U52" s="41">
        <f>E52*M52*O52*(Q52-R52-S52)/100000000</f>
        <v>61.244039999999998</v>
      </c>
      <c r="V52" s="41">
        <f>E52*G52*(1-N52)*O52/100*(R52+S52)/1000000</f>
        <v>6.5955120000000003</v>
      </c>
      <c r="W52" s="41">
        <f>+'10'!K34/1000</f>
        <v>56.856000000000002</v>
      </c>
      <c r="X52" s="513">
        <f>SUM(W52:W55)/SUM(K52:K55)</f>
        <v>0.83809515723217043</v>
      </c>
      <c r="Y52" s="214">
        <v>0</v>
      </c>
      <c r="Z52" s="599">
        <f>+'10'!D34/1000</f>
        <v>3.3</v>
      </c>
      <c r="AA52" s="53">
        <f>SUM(U52:U55)-SUM(W52:W55)-SUM(Z52:Z55)-SUM(Y52:Y55)</f>
        <v>1.0880399999999968</v>
      </c>
      <c r="AB52" s="53">
        <f>(SUM(K52:K55)-SUM(W52:W55)-SUM(Y52:Y55)-SUM(Z52:Z55)-SUM(AC52:AC55)-SUM(V52:V55))-AA52</f>
        <v>0</v>
      </c>
      <c r="AC52" s="41">
        <f>K52-T52</f>
        <v>0</v>
      </c>
      <c r="AD52" s="41">
        <f>+AM52+BA52</f>
        <v>0</v>
      </c>
      <c r="AE52" s="232" t="s">
        <v>395</v>
      </c>
      <c r="AF52" s="41">
        <v>0</v>
      </c>
      <c r="AG52" s="41"/>
      <c r="AH52" s="41"/>
      <c r="AI52" s="514"/>
      <c r="AJ52" s="41"/>
      <c r="AK52" s="41"/>
      <c r="AL52" s="41"/>
      <c r="AM52" s="41">
        <f>SUM(AF52:AL52)+AT52+AV52+AX52</f>
        <v>0</v>
      </c>
      <c r="AN52" s="41"/>
      <c r="AO52" s="41"/>
      <c r="AP52" s="41"/>
      <c r="AQ52" s="41"/>
      <c r="AR52" s="41">
        <f>SUM(AN52:AQ52)</f>
        <v>0</v>
      </c>
      <c r="AS52" s="41"/>
      <c r="AT52" s="41"/>
      <c r="AU52" s="41"/>
      <c r="AV52" s="41"/>
      <c r="AW52" s="41"/>
      <c r="AX52" s="41"/>
      <c r="AY52" s="41"/>
      <c r="AZ52" s="41"/>
      <c r="BA52" s="41">
        <f>+AR52+AS52+AU52+AW52+AY52+AZ52</f>
        <v>0</v>
      </c>
      <c r="BB52" s="37">
        <v>0</v>
      </c>
      <c r="BC52" s="55"/>
      <c r="BD52" s="55"/>
      <c r="BE52" s="37"/>
      <c r="BF52" s="55"/>
    </row>
    <row r="53" spans="1:58" ht="12.95" customHeight="1">
      <c r="A53" s="44"/>
      <c r="B53" s="45"/>
      <c r="C53" s="459"/>
      <c r="D53" s="45"/>
      <c r="E53" s="46"/>
      <c r="F53" s="46"/>
      <c r="G53" s="47"/>
      <c r="H53" s="48"/>
      <c r="I53" s="49"/>
      <c r="J53" s="86"/>
      <c r="K53" s="86"/>
      <c r="L53" s="39"/>
      <c r="M53" s="39"/>
      <c r="N53" s="50"/>
      <c r="O53" s="51"/>
      <c r="P53" s="52"/>
      <c r="Q53" s="51"/>
      <c r="R53" s="512"/>
      <c r="S53" s="512"/>
      <c r="T53" s="41"/>
      <c r="U53" s="41"/>
      <c r="V53" s="41"/>
      <c r="W53" s="41"/>
      <c r="X53" s="42"/>
      <c r="Y53" s="214"/>
      <c r="Z53" s="599"/>
      <c r="AA53" s="41"/>
      <c r="AB53" s="41"/>
      <c r="AC53" s="41"/>
      <c r="AD53" s="41">
        <f>+AM53+BA53</f>
        <v>29</v>
      </c>
      <c r="AE53" s="232" t="s">
        <v>440</v>
      </c>
      <c r="AF53" s="41"/>
      <c r="AG53" s="41">
        <v>29</v>
      </c>
      <c r="AH53" s="41"/>
      <c r="AI53" s="514"/>
      <c r="AJ53" s="41"/>
      <c r="AK53" s="41"/>
      <c r="AL53" s="41"/>
      <c r="AM53" s="41">
        <f>SUM(AF53:AL53)+AT53+AV53+AX53</f>
        <v>29</v>
      </c>
      <c r="AN53" s="87"/>
      <c r="AO53" s="41"/>
      <c r="AP53" s="41"/>
      <c r="AQ53" s="41"/>
      <c r="AR53" s="41">
        <f>SUM(AN53:AQ53)</f>
        <v>0</v>
      </c>
      <c r="AS53" s="41"/>
      <c r="AT53" s="41"/>
      <c r="AU53" s="41"/>
      <c r="AV53" s="41"/>
      <c r="AW53" s="41"/>
      <c r="AX53" s="41"/>
      <c r="AY53" s="41"/>
      <c r="AZ53" s="41"/>
      <c r="BA53" s="41">
        <f>+AR53+AS53+AU53+AW53+AY53+AZ53</f>
        <v>0</v>
      </c>
      <c r="BB53" s="54"/>
      <c r="BC53" s="55">
        <v>5</v>
      </c>
      <c r="BD53" s="55"/>
      <c r="BE53" s="54"/>
      <c r="BF53" s="55"/>
    </row>
    <row r="54" spans="1:58" ht="12.95" customHeight="1">
      <c r="A54" s="44"/>
      <c r="B54" s="45"/>
      <c r="C54" s="459"/>
      <c r="D54" s="45"/>
      <c r="E54" s="46"/>
      <c r="F54" s="46"/>
      <c r="G54" s="47"/>
      <c r="H54" s="48"/>
      <c r="I54" s="49"/>
      <c r="J54" s="86"/>
      <c r="K54" s="86"/>
      <c r="L54" s="39"/>
      <c r="M54" s="39"/>
      <c r="N54" s="50"/>
      <c r="O54" s="51"/>
      <c r="P54" s="52"/>
      <c r="Q54" s="51"/>
      <c r="R54" s="512"/>
      <c r="S54" s="512"/>
      <c r="T54" s="41"/>
      <c r="U54" s="41"/>
      <c r="V54" s="41"/>
      <c r="W54" s="41"/>
      <c r="X54" s="42"/>
      <c r="Y54" s="214"/>
      <c r="Z54" s="599"/>
      <c r="AA54" s="41"/>
      <c r="AB54" s="41"/>
      <c r="AC54" s="41"/>
      <c r="AD54" s="41">
        <f>+AM54+BA54</f>
        <v>26</v>
      </c>
      <c r="AE54" s="232" t="s">
        <v>226</v>
      </c>
      <c r="AF54" s="37"/>
      <c r="AG54" s="37"/>
      <c r="AH54" s="37">
        <v>26</v>
      </c>
      <c r="AJ54" s="41"/>
      <c r="AK54" s="41"/>
      <c r="AL54" s="41"/>
      <c r="AM54" s="41">
        <f>SUM(AF54:AL54)+AT54+AV54+AX54</f>
        <v>26</v>
      </c>
      <c r="AN54" s="41"/>
      <c r="AO54" s="41"/>
      <c r="AP54" s="41"/>
      <c r="AQ54" s="41"/>
      <c r="AR54" s="41">
        <f>SUM(AN54:AQ54)</f>
        <v>0</v>
      </c>
      <c r="AS54" s="41"/>
      <c r="AT54" s="41"/>
      <c r="AU54" s="41"/>
      <c r="AV54" s="41"/>
      <c r="AW54" s="41"/>
      <c r="AX54" s="41"/>
      <c r="AY54" s="41"/>
      <c r="AZ54" s="41"/>
      <c r="BA54" s="41">
        <f>+AR54+AS54+AU54+AW54+AY54+AZ54</f>
        <v>0</v>
      </c>
      <c r="BB54" s="37"/>
      <c r="BC54" s="515"/>
      <c r="BD54" s="515"/>
      <c r="BE54" s="37"/>
      <c r="BF54" s="515"/>
    </row>
    <row r="55" spans="1:58" ht="12.95" customHeight="1">
      <c r="A55" s="44"/>
      <c r="B55" s="45"/>
      <c r="C55" s="459"/>
      <c r="D55" s="45"/>
      <c r="E55" s="46"/>
      <c r="F55" s="46"/>
      <c r="G55" s="47"/>
      <c r="H55" s="48"/>
      <c r="I55" s="49"/>
      <c r="J55" s="86"/>
      <c r="K55" s="86"/>
      <c r="L55" s="39"/>
      <c r="M55" s="39"/>
      <c r="N55" s="50"/>
      <c r="O55" s="51"/>
      <c r="P55" s="52"/>
      <c r="Q55" s="51"/>
      <c r="R55" s="512"/>
      <c r="S55" s="512"/>
      <c r="T55" s="41"/>
      <c r="U55" s="41"/>
      <c r="V55" s="41"/>
      <c r="W55" s="41"/>
      <c r="X55" s="513"/>
      <c r="Y55" s="214"/>
      <c r="Z55" s="599"/>
      <c r="AA55" s="53"/>
      <c r="AB55" s="53"/>
      <c r="AC55" s="41"/>
      <c r="AD55" s="41">
        <f>+AM55+BA55</f>
        <v>85</v>
      </c>
      <c r="AE55" s="235" t="s">
        <v>545</v>
      </c>
      <c r="AF55" s="41"/>
      <c r="AG55" s="41"/>
      <c r="AH55" s="41"/>
      <c r="AI55" s="514"/>
      <c r="AJ55" s="41"/>
      <c r="AK55" s="41"/>
      <c r="AL55" s="41"/>
      <c r="AM55" s="41">
        <f>SUM(AF55:AL55)+AT55+AV55+AX55</f>
        <v>0</v>
      </c>
      <c r="AN55" s="41">
        <v>85</v>
      </c>
      <c r="AO55" s="41"/>
      <c r="AP55" s="41"/>
      <c r="AQ55" s="41"/>
      <c r="AR55" s="41">
        <f>SUM(AN55:AQ55)</f>
        <v>85</v>
      </c>
      <c r="AS55" s="41"/>
      <c r="AT55" s="41"/>
      <c r="AU55" s="41"/>
      <c r="AV55" s="41"/>
      <c r="AW55" s="41"/>
      <c r="AX55" s="41"/>
      <c r="AY55" s="41"/>
      <c r="AZ55" s="41"/>
      <c r="BA55" s="41">
        <f>+AR55+AS55+AU55+AW55+AY55+AZ55</f>
        <v>85</v>
      </c>
      <c r="BB55" s="37"/>
      <c r="BC55" s="515"/>
      <c r="BD55" s="515"/>
      <c r="BE55" s="37"/>
      <c r="BF55" s="515">
        <v>1</v>
      </c>
    </row>
    <row r="56" spans="1:58" ht="12.95" customHeight="1">
      <c r="A56" s="44"/>
      <c r="B56" s="45"/>
      <c r="C56" s="459"/>
      <c r="D56" s="45"/>
      <c r="E56" s="46"/>
      <c r="F56" s="46"/>
      <c r="G56" s="47"/>
      <c r="H56" s="48"/>
      <c r="I56" s="49"/>
      <c r="J56" s="86"/>
      <c r="K56" s="86"/>
      <c r="L56" s="39"/>
      <c r="M56" s="39"/>
      <c r="N56" s="50"/>
      <c r="O56" s="51"/>
      <c r="P56" s="52"/>
      <c r="Q56" s="51"/>
      <c r="R56" s="512"/>
      <c r="S56" s="512"/>
      <c r="T56" s="41"/>
      <c r="U56" s="41"/>
      <c r="V56" s="41"/>
      <c r="W56" s="41"/>
      <c r="X56" s="42"/>
      <c r="Y56" s="214"/>
      <c r="Z56" s="599"/>
      <c r="AA56" s="41"/>
      <c r="AB56" s="41"/>
      <c r="AC56" s="41"/>
      <c r="AD56" s="41"/>
      <c r="AE56" s="232"/>
      <c r="AF56" s="41"/>
      <c r="AG56" s="41"/>
      <c r="AH56" s="41"/>
      <c r="AI56" s="514"/>
      <c r="AJ56" s="41"/>
      <c r="AK56" s="41"/>
      <c r="AL56" s="41"/>
      <c r="AM56" s="41"/>
      <c r="AN56" s="87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54"/>
      <c r="BC56" s="55"/>
      <c r="BD56" s="55"/>
      <c r="BE56" s="55"/>
      <c r="BF56" s="55"/>
    </row>
    <row r="57" spans="1:58" ht="12.95" customHeight="1">
      <c r="A57" s="44">
        <v>46002</v>
      </c>
      <c r="B57" s="45" t="s">
        <v>439</v>
      </c>
      <c r="C57" s="459">
        <f>(M57*E57*O57*Q57)/100000000</f>
        <v>67.839551999999998</v>
      </c>
      <c r="D57" s="45" t="s">
        <v>488</v>
      </c>
      <c r="E57" s="46">
        <v>20</v>
      </c>
      <c r="F57" s="46">
        <v>1</v>
      </c>
      <c r="G57" s="47">
        <v>830</v>
      </c>
      <c r="H57" s="48">
        <v>0.14000000000000001</v>
      </c>
      <c r="I57" s="49">
        <v>0.88</v>
      </c>
      <c r="J57" s="86">
        <f>E57*G57*(1-H57)*1440/1000000*3.4</f>
        <v>69.895296000000002</v>
      </c>
      <c r="K57" s="86">
        <f>(IF(G57&lt;L57,L57,G57)*(1-IF(H57&lt;N57,H57,N57))*E57*O57*Q57)/100000000</f>
        <v>67.839551999999998</v>
      </c>
      <c r="L57" s="39">
        <v>830</v>
      </c>
      <c r="M57" s="39">
        <v>713.8</v>
      </c>
      <c r="N57" s="50">
        <f>1-(M57/L57)</f>
        <v>0.14000000000000001</v>
      </c>
      <c r="O57" s="51">
        <f>+'Trim Rwd'!H35</f>
        <v>330</v>
      </c>
      <c r="P57" s="52">
        <f>O57*(Q57-R57-S57)</f>
        <v>346830</v>
      </c>
      <c r="Q57" s="51">
        <v>1440</v>
      </c>
      <c r="R57" s="512">
        <f>145+225</f>
        <v>370</v>
      </c>
      <c r="S57" s="512">
        <v>19</v>
      </c>
      <c r="T57" s="41">
        <f>E57*M57*O57*Q57/100000000</f>
        <v>67.839551999999998</v>
      </c>
      <c r="U57" s="41">
        <f>E57*M57*O57*(Q57-R57-S57)/100000000</f>
        <v>49.513450800000001</v>
      </c>
      <c r="V57" s="41">
        <f>E57*G57*(1-N57)*O57/100*(R57+S57)/1000000</f>
        <v>18.326101200000004</v>
      </c>
      <c r="W57" s="41">
        <f>+'11'!K14/1000</f>
        <v>47.02</v>
      </c>
      <c r="X57" s="513">
        <f>SUM(W57:W60)/SUM(K57:K60)</f>
        <v>0.69310599220938263</v>
      </c>
      <c r="Y57" s="214">
        <v>0</v>
      </c>
      <c r="Z57" s="599">
        <v>0</v>
      </c>
      <c r="AA57" s="53">
        <f>SUM(U57:U60)-SUM(W57:W60)-SUM(Z57:Z60)-SUM(Y57:Y60)</f>
        <v>2.493450799999998</v>
      </c>
      <c r="AB57" s="53">
        <f>(SUM(K57:K60)-SUM(W57:W60)-SUM(Y57:Y60)-SUM(Z57:Z60)-SUM(AC57:AC60)-SUM(V57:V60))-AA57</f>
        <v>-7.1054273576010019E-15</v>
      </c>
      <c r="AC57" s="41">
        <f>K57-T57</f>
        <v>0</v>
      </c>
      <c r="AD57" s="41">
        <f>+AM57+BA57</f>
        <v>6</v>
      </c>
      <c r="AE57" s="232" t="s">
        <v>392</v>
      </c>
      <c r="AF57" s="41">
        <v>6</v>
      </c>
      <c r="AG57" s="41"/>
      <c r="AH57" s="41"/>
      <c r="AI57" s="514"/>
      <c r="AJ57" s="41"/>
      <c r="AK57" s="41"/>
      <c r="AL57" s="41"/>
      <c r="AM57" s="41">
        <f>SUM(AF57:AL57)+AT57+AV57+AX57</f>
        <v>6</v>
      </c>
      <c r="AN57" s="41"/>
      <c r="AO57" s="41"/>
      <c r="AP57" s="41"/>
      <c r="AQ57" s="41"/>
      <c r="AR57" s="41">
        <f>SUM(AN57:AQ57)</f>
        <v>0</v>
      </c>
      <c r="AS57" s="41"/>
      <c r="AT57" s="41"/>
      <c r="AU57" s="41"/>
      <c r="AV57" s="41"/>
      <c r="AW57" s="41"/>
      <c r="AX57" s="41"/>
      <c r="AY57" s="41"/>
      <c r="AZ57" s="41"/>
      <c r="BA57" s="41">
        <f>+AR57+AS57+AU57+AW57+AY57+AZ57</f>
        <v>0</v>
      </c>
      <c r="BB57" s="37">
        <v>0</v>
      </c>
      <c r="BC57" s="55"/>
      <c r="BD57" s="55"/>
      <c r="BE57" s="37"/>
      <c r="BF57" s="55"/>
    </row>
    <row r="58" spans="1:58" ht="12.95" customHeight="1">
      <c r="A58" s="44"/>
      <c r="B58" s="45"/>
      <c r="C58" s="459"/>
      <c r="D58" s="45"/>
      <c r="E58" s="46"/>
      <c r="F58" s="46"/>
      <c r="G58" s="47"/>
      <c r="H58" s="48"/>
      <c r="I58" s="49"/>
      <c r="J58" s="86"/>
      <c r="K58" s="86"/>
      <c r="L58" s="39"/>
      <c r="M58" s="39"/>
      <c r="N58" s="50"/>
      <c r="O58" s="51"/>
      <c r="P58" s="52"/>
      <c r="Q58" s="51"/>
      <c r="R58" s="512"/>
      <c r="S58" s="512"/>
      <c r="T58" s="41"/>
      <c r="U58" s="41"/>
      <c r="V58" s="41"/>
      <c r="W58" s="41"/>
      <c r="X58" s="42"/>
      <c r="Y58" s="214"/>
      <c r="Z58" s="599"/>
      <c r="AA58" s="41"/>
      <c r="AB58" s="41"/>
      <c r="AC58" s="41"/>
      <c r="AD58" s="41">
        <f>+AM58+BA58</f>
        <v>2</v>
      </c>
      <c r="AE58" s="232" t="s">
        <v>393</v>
      </c>
      <c r="AF58" s="41"/>
      <c r="AG58" s="41">
        <v>2</v>
      </c>
      <c r="AH58" s="41"/>
      <c r="AI58" s="514"/>
      <c r="AJ58" s="41"/>
      <c r="AK58" s="41"/>
      <c r="AL58" s="41"/>
      <c r="AM58" s="41">
        <f>SUM(AF58:AL58)+AT58+AV58+AX58</f>
        <v>2</v>
      </c>
      <c r="AN58" s="87"/>
      <c r="AO58" s="41"/>
      <c r="AP58" s="41"/>
      <c r="AQ58" s="41"/>
      <c r="AR58" s="41">
        <f>SUM(AN58:AQ58)</f>
        <v>0</v>
      </c>
      <c r="AS58" s="41"/>
      <c r="AT58" s="41"/>
      <c r="AU58" s="41"/>
      <c r="AV58" s="41"/>
      <c r="AW58" s="41"/>
      <c r="AX58" s="41"/>
      <c r="AY58" s="41"/>
      <c r="AZ58" s="41"/>
      <c r="BA58" s="41">
        <f>+AR58+AS58+AU58+AW58+AY58+AZ58</f>
        <v>0</v>
      </c>
      <c r="BB58" s="54"/>
      <c r="BC58" s="55">
        <v>5</v>
      </c>
      <c r="BD58" s="55"/>
      <c r="BE58" s="54"/>
      <c r="BF58" s="55"/>
    </row>
    <row r="59" spans="1:58" ht="12.95" customHeight="1">
      <c r="A59" s="44"/>
      <c r="B59" s="45"/>
      <c r="C59" s="459"/>
      <c r="D59" s="45"/>
      <c r="E59" s="46"/>
      <c r="F59" s="46"/>
      <c r="G59" s="47"/>
      <c r="H59" s="48"/>
      <c r="I59" s="49"/>
      <c r="J59" s="86"/>
      <c r="K59" s="86"/>
      <c r="L59" s="39"/>
      <c r="M59" s="39"/>
      <c r="N59" s="50"/>
      <c r="O59" s="51"/>
      <c r="P59" s="52"/>
      <c r="Q59" s="51"/>
      <c r="R59" s="512"/>
      <c r="S59" s="512"/>
      <c r="T59" s="41"/>
      <c r="U59" s="41"/>
      <c r="V59" s="41"/>
      <c r="W59" s="41"/>
      <c r="X59" s="42"/>
      <c r="Y59" s="214"/>
      <c r="Z59" s="599"/>
      <c r="AA59" s="41"/>
      <c r="AB59" s="41"/>
      <c r="AC59" s="41"/>
      <c r="AD59" s="41">
        <f>+AM59+BA59</f>
        <v>11</v>
      </c>
      <c r="AE59" s="232" t="s">
        <v>226</v>
      </c>
      <c r="AF59" s="37"/>
      <c r="AG59" s="37"/>
      <c r="AH59" s="37">
        <v>11</v>
      </c>
      <c r="AJ59" s="41"/>
      <c r="AK59" s="41"/>
      <c r="AL59" s="41"/>
      <c r="AM59" s="41">
        <f>SUM(AF59:AL59)+AT59+AV59+AX59</f>
        <v>11</v>
      </c>
      <c r="AN59" s="41"/>
      <c r="AO59" s="41"/>
      <c r="AP59" s="41"/>
      <c r="AQ59" s="41"/>
      <c r="AR59" s="41">
        <f>SUM(AN59:AQ59)</f>
        <v>0</v>
      </c>
      <c r="AS59" s="41"/>
      <c r="AT59" s="41"/>
      <c r="AU59" s="41"/>
      <c r="AV59" s="41"/>
      <c r="AW59" s="41"/>
      <c r="AX59" s="41"/>
      <c r="AY59" s="41"/>
      <c r="AZ59" s="41"/>
      <c r="BA59" s="41">
        <f>+AR59+AS59+AU59+AW59+AY59+AZ59</f>
        <v>0</v>
      </c>
      <c r="BB59" s="37"/>
      <c r="BC59" s="515"/>
      <c r="BD59" s="515"/>
      <c r="BE59" s="37"/>
      <c r="BF59" s="515"/>
    </row>
    <row r="60" spans="1:58" ht="12.95" customHeight="1">
      <c r="A60" s="44"/>
      <c r="B60" s="45"/>
      <c r="C60" s="459"/>
      <c r="D60" s="45"/>
      <c r="E60" s="46"/>
      <c r="F60" s="46"/>
      <c r="G60" s="47"/>
      <c r="H60" s="48"/>
      <c r="I60" s="49"/>
      <c r="J60" s="86"/>
      <c r="K60" s="86"/>
      <c r="L60" s="39"/>
      <c r="M60" s="39"/>
      <c r="N60" s="50"/>
      <c r="O60" s="51"/>
      <c r="P60" s="52"/>
      <c r="Q60" s="51"/>
      <c r="R60" s="512"/>
      <c r="S60" s="512"/>
      <c r="T60" s="41"/>
      <c r="U60" s="41"/>
      <c r="V60" s="41"/>
      <c r="W60" s="41"/>
      <c r="X60" s="513"/>
      <c r="Y60" s="214"/>
      <c r="Z60" s="599"/>
      <c r="AA60" s="53"/>
      <c r="AB60" s="53"/>
      <c r="AC60" s="41"/>
      <c r="AD60" s="41">
        <f>+AM60+BA60</f>
        <v>370</v>
      </c>
      <c r="AE60" s="235" t="s">
        <v>554</v>
      </c>
      <c r="AF60" s="41"/>
      <c r="AG60" s="41"/>
      <c r="AH60" s="41"/>
      <c r="AI60" s="514"/>
      <c r="AJ60" s="41"/>
      <c r="AK60" s="41"/>
      <c r="AL60" s="41"/>
      <c r="AM60" s="41">
        <f>SUM(AF60:AL60)+AT60+AV60+AX60</f>
        <v>0</v>
      </c>
      <c r="AN60" s="41"/>
      <c r="AO60" s="41">
        <f>145+225</f>
        <v>370</v>
      </c>
      <c r="AP60" s="41"/>
      <c r="AQ60" s="41"/>
      <c r="AR60" s="41">
        <f>SUM(AN60:AQ60)</f>
        <v>370</v>
      </c>
      <c r="AS60" s="41"/>
      <c r="AT60" s="41"/>
      <c r="AU60" s="41"/>
      <c r="AV60" s="41"/>
      <c r="AW60" s="41"/>
      <c r="AX60" s="41"/>
      <c r="AY60" s="41"/>
      <c r="AZ60" s="41"/>
      <c r="BA60" s="41">
        <f>+AR60+AS60+AU60+AW60+AY60+AZ60</f>
        <v>370</v>
      </c>
      <c r="BB60" s="37"/>
      <c r="BC60" s="515"/>
      <c r="BD60" s="515"/>
      <c r="BE60" s="37"/>
      <c r="BF60" s="515">
        <v>1</v>
      </c>
    </row>
    <row r="61" spans="1:58" ht="12.95" customHeight="1">
      <c r="A61" s="44"/>
      <c r="B61" s="45"/>
      <c r="C61" s="459"/>
      <c r="D61" s="45"/>
      <c r="E61" s="46"/>
      <c r="F61" s="46"/>
      <c r="G61" s="47"/>
      <c r="H61" s="48"/>
      <c r="I61" s="49"/>
      <c r="J61" s="86"/>
      <c r="K61" s="86"/>
      <c r="L61" s="39"/>
      <c r="M61" s="39"/>
      <c r="N61" s="50"/>
      <c r="O61" s="51"/>
      <c r="P61" s="52"/>
      <c r="Q61" s="51"/>
      <c r="R61" s="512"/>
      <c r="S61" s="512"/>
      <c r="T61" s="41"/>
      <c r="U61" s="41"/>
      <c r="V61" s="41"/>
      <c r="W61" s="41"/>
      <c r="X61" s="42"/>
      <c r="Y61" s="214"/>
      <c r="Z61" s="599"/>
      <c r="AA61" s="41"/>
      <c r="AB61" s="41"/>
      <c r="AC61" s="41"/>
      <c r="AD61" s="41"/>
      <c r="AE61" s="232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37"/>
      <c r="BC61" s="55"/>
      <c r="BD61" s="55"/>
      <c r="BE61" s="55"/>
      <c r="BF61" s="55"/>
    </row>
    <row r="62" spans="1:58" ht="12.95" customHeight="1">
      <c r="A62" s="44">
        <v>46003</v>
      </c>
      <c r="B62" s="45" t="s">
        <v>439</v>
      </c>
      <c r="C62" s="459">
        <f>(M62*E62*O62*Q62)/100000000</f>
        <v>66.948729600000007</v>
      </c>
      <c r="D62" s="45" t="s">
        <v>488</v>
      </c>
      <c r="E62" s="46">
        <v>20</v>
      </c>
      <c r="F62" s="46">
        <v>1</v>
      </c>
      <c r="G62" s="47">
        <v>830</v>
      </c>
      <c r="H62" s="48">
        <v>0.14000000000000001</v>
      </c>
      <c r="I62" s="49">
        <v>0.88</v>
      </c>
      <c r="J62" s="86">
        <f>E62*G62*(1-H62)*1440/1000000*3.4</f>
        <v>69.895296000000002</v>
      </c>
      <c r="K62" s="86">
        <f>(IF(G62&lt;L62,L62,G62)*(1-IF(H62&lt;N62,H62,N62))*E62*O62*Q62)/100000000</f>
        <v>66.948729600000007</v>
      </c>
      <c r="L62" s="39">
        <v>830</v>
      </c>
      <c r="M62" s="39">
        <v>713.8</v>
      </c>
      <c r="N62" s="50">
        <f>1-(M62/L62)</f>
        <v>0.14000000000000001</v>
      </c>
      <c r="O62" s="51">
        <f>+'Trim Rwd'!H37</f>
        <v>325.66666666666669</v>
      </c>
      <c r="P62" s="52">
        <f>O62*(Q62-R62-S62)</f>
        <v>451374</v>
      </c>
      <c r="Q62" s="51">
        <v>1440</v>
      </c>
      <c r="R62" s="512">
        <v>0</v>
      </c>
      <c r="S62" s="512">
        <v>54</v>
      </c>
      <c r="T62" s="41">
        <f>E62*M62*O62*Q62/100000000</f>
        <v>66.948729600000007</v>
      </c>
      <c r="U62" s="41">
        <f>E62*M62*O62*(Q62-R62-S62)/100000000</f>
        <v>64.438152240000008</v>
      </c>
      <c r="V62" s="41">
        <f>E62*G62*(1-N62)*O62/100*(R62+S62)/1000000</f>
        <v>2.5105773600000005</v>
      </c>
      <c r="W62" s="41">
        <f>+'12'!K34/1000</f>
        <v>59.353000000000002</v>
      </c>
      <c r="X62" s="513">
        <f>SUM(W62:W65)/SUM(K62:K65)</f>
        <v>0.88654408163706211</v>
      </c>
      <c r="Y62" s="214">
        <v>0</v>
      </c>
      <c r="Z62" s="599">
        <f>+'12'!D34/1000</f>
        <v>0.82</v>
      </c>
      <c r="AA62" s="53">
        <f>SUM(U62:U65)-SUM(W62:W65)-SUM(Z62:Z65)-SUM(Y62:Y65)</f>
        <v>4.2651522400000061</v>
      </c>
      <c r="AB62" s="53">
        <f>(SUM(K62:K65)-SUM(W62:W65)-SUM(Y62:Y65)-SUM(Z62:Z65)-SUM(AC62:AC65)-SUM(V62:V65))-AA62</f>
        <v>0</v>
      </c>
      <c r="AC62" s="41">
        <f>K62-T62</f>
        <v>0</v>
      </c>
      <c r="AD62" s="41">
        <f>+AM62+BA62</f>
        <v>5</v>
      </c>
      <c r="AE62" s="232" t="s">
        <v>392</v>
      </c>
      <c r="AF62" s="41">
        <v>5</v>
      </c>
      <c r="AG62" s="41"/>
      <c r="AH62" s="41"/>
      <c r="AI62" s="514"/>
      <c r="AJ62" s="41"/>
      <c r="AK62" s="41"/>
      <c r="AL62" s="41"/>
      <c r="AM62" s="41">
        <f>SUM(AF62:AL62)+AT62+AV62+AX62</f>
        <v>5</v>
      </c>
      <c r="AN62" s="41"/>
      <c r="AO62" s="41"/>
      <c r="AP62" s="41"/>
      <c r="AQ62" s="41"/>
      <c r="AR62" s="41">
        <f>SUM(AN62:AQ62)</f>
        <v>0</v>
      </c>
      <c r="AS62" s="41"/>
      <c r="AT62" s="41"/>
      <c r="AU62" s="41"/>
      <c r="AV62" s="41"/>
      <c r="AW62" s="41"/>
      <c r="AX62" s="41"/>
      <c r="AY62" s="41"/>
      <c r="AZ62" s="41"/>
      <c r="BA62" s="41">
        <f>+AR62+AS62+AU62+AW62+AY62+AZ62</f>
        <v>0</v>
      </c>
      <c r="BB62" s="37">
        <v>1</v>
      </c>
      <c r="BC62" s="55"/>
      <c r="BD62" s="55"/>
      <c r="BE62" s="37"/>
      <c r="BF62" s="55"/>
    </row>
    <row r="63" spans="1:58" ht="12.95" customHeight="1">
      <c r="A63" s="44"/>
      <c r="B63" s="45"/>
      <c r="C63" s="459"/>
      <c r="D63" s="45"/>
      <c r="E63" s="46"/>
      <c r="F63" s="46"/>
      <c r="G63" s="47"/>
      <c r="H63" s="48"/>
      <c r="I63" s="49"/>
      <c r="J63" s="86"/>
      <c r="K63" s="86"/>
      <c r="L63" s="39"/>
      <c r="M63" s="39"/>
      <c r="N63" s="50"/>
      <c r="O63" s="51"/>
      <c r="P63" s="52"/>
      <c r="Q63" s="51"/>
      <c r="R63" s="512"/>
      <c r="S63" s="512"/>
      <c r="T63" s="41"/>
      <c r="U63" s="41"/>
      <c r="V63" s="41"/>
      <c r="W63" s="41"/>
      <c r="X63" s="42"/>
      <c r="Y63" s="214"/>
      <c r="Z63" s="599"/>
      <c r="AA63" s="41"/>
      <c r="AB63" s="41"/>
      <c r="AC63" s="41"/>
      <c r="AD63" s="41">
        <f>+AM63+BA63</f>
        <v>20</v>
      </c>
      <c r="AE63" s="232" t="s">
        <v>394</v>
      </c>
      <c r="AF63" s="41"/>
      <c r="AG63" s="41">
        <v>20</v>
      </c>
      <c r="AH63" s="41"/>
      <c r="AI63" s="514"/>
      <c r="AJ63" s="41"/>
      <c r="AK63" s="41"/>
      <c r="AL63" s="41"/>
      <c r="AM63" s="41">
        <f>SUM(AF63:AL63)+AT63+AV63+AX63</f>
        <v>20</v>
      </c>
      <c r="AN63" s="87"/>
      <c r="AO63" s="41"/>
      <c r="AP63" s="41"/>
      <c r="AQ63" s="41"/>
      <c r="AR63" s="41">
        <f>SUM(AN63:AQ63)</f>
        <v>0</v>
      </c>
      <c r="AS63" s="41"/>
      <c r="AT63" s="41"/>
      <c r="AU63" s="41"/>
      <c r="AV63" s="41"/>
      <c r="AW63" s="41"/>
      <c r="AX63" s="41"/>
      <c r="AY63" s="41"/>
      <c r="AZ63" s="41"/>
      <c r="BA63" s="41">
        <f>+AR63+AS63+AU63+AW63+AY63+AZ63</f>
        <v>0</v>
      </c>
      <c r="BB63" s="54"/>
      <c r="BC63" s="55">
        <v>3</v>
      </c>
      <c r="BD63" s="55"/>
      <c r="BE63" s="54"/>
      <c r="BF63" s="55"/>
    </row>
    <row r="64" spans="1:58" ht="12.95" customHeight="1">
      <c r="A64" s="44"/>
      <c r="B64" s="45"/>
      <c r="C64" s="459"/>
      <c r="D64" s="45"/>
      <c r="E64" s="46"/>
      <c r="F64" s="46"/>
      <c r="G64" s="47"/>
      <c r="H64" s="48"/>
      <c r="I64" s="49"/>
      <c r="J64" s="86"/>
      <c r="K64" s="86"/>
      <c r="L64" s="39"/>
      <c r="M64" s="39"/>
      <c r="N64" s="50"/>
      <c r="O64" s="51"/>
      <c r="P64" s="52"/>
      <c r="Q64" s="51"/>
      <c r="R64" s="512"/>
      <c r="S64" s="512"/>
      <c r="T64" s="41"/>
      <c r="U64" s="41"/>
      <c r="V64" s="41"/>
      <c r="W64" s="41"/>
      <c r="X64" s="42"/>
      <c r="Y64" s="214"/>
      <c r="Z64" s="599"/>
      <c r="AA64" s="41"/>
      <c r="AB64" s="41"/>
      <c r="AC64" s="41"/>
      <c r="AD64" s="41">
        <f>+AM64+BA64</f>
        <v>19</v>
      </c>
      <c r="AE64" s="232" t="s">
        <v>226</v>
      </c>
      <c r="AF64" s="37"/>
      <c r="AG64" s="37"/>
      <c r="AH64" s="37">
        <v>19</v>
      </c>
      <c r="AJ64" s="41"/>
      <c r="AK64" s="41"/>
      <c r="AL64" s="41"/>
      <c r="AM64" s="41">
        <f>SUM(AF64:AL64)+AT64+AV64+AX64</f>
        <v>19</v>
      </c>
      <c r="AN64" s="41"/>
      <c r="AO64" s="41"/>
      <c r="AP64" s="41"/>
      <c r="AQ64" s="41"/>
      <c r="AR64" s="41">
        <f>SUM(AN64:AQ64)</f>
        <v>0</v>
      </c>
      <c r="AS64" s="41"/>
      <c r="AT64" s="41"/>
      <c r="AU64" s="41"/>
      <c r="AV64" s="41"/>
      <c r="AW64" s="41"/>
      <c r="AX64" s="41"/>
      <c r="AY64" s="41"/>
      <c r="AZ64" s="41"/>
      <c r="BA64" s="41">
        <f>+AR64+AS64+AU64+AW64+AY64+AZ64</f>
        <v>0</v>
      </c>
      <c r="BB64" s="37"/>
      <c r="BC64" s="515"/>
      <c r="BD64" s="515"/>
      <c r="BE64" s="37"/>
      <c r="BF64" s="515"/>
    </row>
    <row r="65" spans="1:58" ht="12.95" customHeight="1">
      <c r="A65" s="44"/>
      <c r="B65" s="45"/>
      <c r="C65" s="459"/>
      <c r="D65" s="45"/>
      <c r="E65" s="46"/>
      <c r="F65" s="46"/>
      <c r="G65" s="47"/>
      <c r="H65" s="48"/>
      <c r="I65" s="49"/>
      <c r="J65" s="86"/>
      <c r="K65" s="86"/>
      <c r="L65" s="39"/>
      <c r="M65" s="39"/>
      <c r="N65" s="50"/>
      <c r="O65" s="51"/>
      <c r="P65" s="52"/>
      <c r="Q65" s="51"/>
      <c r="R65" s="512"/>
      <c r="S65" s="512"/>
      <c r="T65" s="41"/>
      <c r="U65" s="41"/>
      <c r="V65" s="41"/>
      <c r="W65" s="41"/>
      <c r="X65" s="42"/>
      <c r="Y65" s="214"/>
      <c r="Z65" s="599"/>
      <c r="AA65" s="41"/>
      <c r="AB65" s="41"/>
      <c r="AC65" s="41"/>
      <c r="AD65" s="41">
        <f>+AM65+BA65</f>
        <v>10</v>
      </c>
      <c r="AE65" s="232" t="s">
        <v>531</v>
      </c>
      <c r="AF65" s="41"/>
      <c r="AG65" s="41"/>
      <c r="AH65" s="41"/>
      <c r="AI65" s="514">
        <v>10</v>
      </c>
      <c r="AJ65" s="41"/>
      <c r="AK65" s="41"/>
      <c r="AL65" s="41"/>
      <c r="AM65" s="41">
        <f>SUM(AF65:AL65)+AT65+AV65+AX65</f>
        <v>10</v>
      </c>
      <c r="AN65" s="41"/>
      <c r="AO65" s="41"/>
      <c r="AP65" s="41"/>
      <c r="AQ65" s="41"/>
      <c r="AR65" s="41">
        <f>SUM(AN65:AQ65)</f>
        <v>0</v>
      </c>
      <c r="AS65" s="41"/>
      <c r="AT65" s="41"/>
      <c r="AU65" s="41"/>
      <c r="AV65" s="41"/>
      <c r="AW65" s="41"/>
      <c r="AX65" s="41"/>
      <c r="AY65" s="41"/>
      <c r="AZ65" s="41"/>
      <c r="BA65" s="41">
        <f>+AR65+AS65+AU65+AW65+AY65+AZ65</f>
        <v>0</v>
      </c>
      <c r="BB65" s="37"/>
      <c r="BC65" s="515"/>
      <c r="BD65" s="515"/>
      <c r="BE65" s="37"/>
      <c r="BF65" s="515"/>
    </row>
    <row r="66" spans="1:58" ht="12.95" customHeight="1">
      <c r="A66" s="44"/>
      <c r="B66" s="45"/>
      <c r="C66" s="459"/>
      <c r="D66" s="45"/>
      <c r="E66" s="46"/>
      <c r="F66" s="46"/>
      <c r="G66" s="47"/>
      <c r="H66" s="48"/>
      <c r="I66" s="49"/>
      <c r="J66" s="86"/>
      <c r="K66" s="86"/>
      <c r="L66" s="39"/>
      <c r="M66" s="39"/>
      <c r="N66" s="50"/>
      <c r="O66" s="51"/>
      <c r="P66" s="52"/>
      <c r="Q66" s="51"/>
      <c r="R66" s="512"/>
      <c r="S66" s="512"/>
      <c r="T66" s="41"/>
      <c r="U66" s="41"/>
      <c r="V66" s="41"/>
      <c r="W66" s="41"/>
      <c r="X66" s="42"/>
      <c r="Y66" s="214"/>
      <c r="Z66" s="599"/>
      <c r="AA66" s="41"/>
      <c r="AB66" s="41"/>
      <c r="AC66" s="41"/>
      <c r="AD66" s="41"/>
      <c r="AE66" s="232"/>
      <c r="AF66" s="37"/>
      <c r="AG66" s="37"/>
      <c r="AH66" s="37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37"/>
      <c r="BC66" s="515"/>
      <c r="BD66" s="55"/>
      <c r="BE66" s="55"/>
      <c r="BF66" s="55"/>
    </row>
    <row r="67" spans="1:58" ht="12.95" customHeight="1">
      <c r="A67" s="44">
        <v>46004</v>
      </c>
      <c r="B67" s="45" t="s">
        <v>439</v>
      </c>
      <c r="C67" s="459">
        <f>(M67*E67*O67*Q67)/100000000</f>
        <v>68.198111999999995</v>
      </c>
      <c r="D67" s="45" t="s">
        <v>488</v>
      </c>
      <c r="E67" s="46">
        <v>20</v>
      </c>
      <c r="F67" s="46">
        <v>1</v>
      </c>
      <c r="G67" s="47">
        <v>830</v>
      </c>
      <c r="H67" s="48">
        <v>0.1</v>
      </c>
      <c r="I67" s="49">
        <v>0.88</v>
      </c>
      <c r="J67" s="86">
        <f>E67*G67*(1-H67)*1440/1000000*3.4</f>
        <v>73.146240000000006</v>
      </c>
      <c r="K67" s="86">
        <f>(IF(G67&lt;L67,L67,G67)*(1-IF(H67&lt;N67,H67,N67))*E67*O67*Q67)/100000000</f>
        <v>68.198111999999995</v>
      </c>
      <c r="L67" s="39">
        <v>830</v>
      </c>
      <c r="M67" s="39">
        <v>747</v>
      </c>
      <c r="N67" s="50">
        <f>1-(M67/L67)</f>
        <v>9.9999999999999978E-2</v>
      </c>
      <c r="O67" s="51">
        <f>+'Trim Rwd'!H40</f>
        <v>317</v>
      </c>
      <c r="P67" s="52">
        <f>O67*(Q67-R67-S67)</f>
        <v>426048</v>
      </c>
      <c r="Q67" s="51">
        <v>1440</v>
      </c>
      <c r="R67" s="512">
        <v>30</v>
      </c>
      <c r="S67" s="512">
        <v>66</v>
      </c>
      <c r="T67" s="41">
        <f>E67*M67*O67*Q67/100000000</f>
        <v>68.198111999999995</v>
      </c>
      <c r="U67" s="41">
        <f>E67*M67*O67*(Q67-R67-S67)/100000000</f>
        <v>63.651571199999999</v>
      </c>
      <c r="V67" s="41">
        <f>E67*G67*(1-N67)*O67/100*(R67+S67)/1000000</f>
        <v>4.5465408000000007</v>
      </c>
      <c r="W67" s="41">
        <f>+'13'!K34/1000</f>
        <v>57.131999999999998</v>
      </c>
      <c r="X67" s="513">
        <f>SUM(W67:W70)/SUM(K67:K70)</f>
        <v>0.83773580124916069</v>
      </c>
      <c r="Y67" s="214">
        <v>0</v>
      </c>
      <c r="Z67" s="599">
        <f>+'13'!D34/1000</f>
        <v>0.442</v>
      </c>
      <c r="AA67" s="53">
        <f>SUM(U67:U70)-SUM(W67:W70)-SUM(Z67:Z70)-SUM(Y67:Y70)</f>
        <v>6.0775712000000013</v>
      </c>
      <c r="AB67" s="53">
        <f>(SUM(K67:K70)-SUM(W67:W70)-SUM(Y67:Y70)-SUM(Z67:Z70)-SUM(AC67:AC70)-SUM(V67:V70))-AA67</f>
        <v>0</v>
      </c>
      <c r="AC67" s="41">
        <f>K67-T67</f>
        <v>0</v>
      </c>
      <c r="AD67" s="41">
        <f>+AM67+BA67</f>
        <v>4</v>
      </c>
      <c r="AE67" s="232" t="s">
        <v>392</v>
      </c>
      <c r="AF67" s="41">
        <v>4</v>
      </c>
      <c r="AG67" s="41"/>
      <c r="AH67" s="41"/>
      <c r="AI67" s="514"/>
      <c r="AJ67" s="41"/>
      <c r="AK67" s="41"/>
      <c r="AL67" s="41"/>
      <c r="AM67" s="41">
        <f>SUM(AF67:AL67)+AT67+AV67+AX67</f>
        <v>4</v>
      </c>
      <c r="AN67" s="41"/>
      <c r="AO67" s="41"/>
      <c r="AP67" s="41"/>
      <c r="AQ67" s="41"/>
      <c r="AR67" s="41">
        <f>SUM(AN67:AQ67)</f>
        <v>0</v>
      </c>
      <c r="AS67" s="41"/>
      <c r="AT67" s="41"/>
      <c r="AU67" s="41"/>
      <c r="AV67" s="41"/>
      <c r="AW67" s="41"/>
      <c r="AX67" s="41"/>
      <c r="AY67" s="41"/>
      <c r="AZ67" s="41"/>
      <c r="BA67" s="41">
        <f>+AR67+AS67+AU67+AW67+AY67+AZ67</f>
        <v>0</v>
      </c>
      <c r="BB67" s="37">
        <v>1</v>
      </c>
      <c r="BC67" s="55"/>
      <c r="BD67" s="55"/>
      <c r="BE67" s="37"/>
      <c r="BF67" s="55"/>
    </row>
    <row r="68" spans="1:58" ht="12.95" customHeight="1">
      <c r="A68" s="44"/>
      <c r="B68" s="45"/>
      <c r="C68" s="459"/>
      <c r="D68" s="45"/>
      <c r="E68" s="46"/>
      <c r="F68" s="46"/>
      <c r="G68" s="47"/>
      <c r="H68" s="48"/>
      <c r="I68" s="49"/>
      <c r="J68" s="86"/>
      <c r="K68" s="86"/>
      <c r="L68" s="39"/>
      <c r="M68" s="39"/>
      <c r="N68" s="50"/>
      <c r="O68" s="51"/>
      <c r="P68" s="52"/>
      <c r="Q68" s="51"/>
      <c r="R68" s="512"/>
      <c r="S68" s="512"/>
      <c r="T68" s="41"/>
      <c r="U68" s="41"/>
      <c r="V68" s="41"/>
      <c r="W68" s="41"/>
      <c r="X68" s="42"/>
      <c r="Y68" s="214"/>
      <c r="Z68" s="599"/>
      <c r="AA68" s="41"/>
      <c r="AB68" s="41"/>
      <c r="AC68" s="41"/>
      <c r="AD68" s="41">
        <f>+AM68+BA68</f>
        <v>15</v>
      </c>
      <c r="AE68" s="232" t="s">
        <v>394</v>
      </c>
      <c r="AF68" s="41"/>
      <c r="AG68" s="41">
        <v>15</v>
      </c>
      <c r="AH68" s="41"/>
      <c r="AI68" s="514"/>
      <c r="AJ68" s="41"/>
      <c r="AK68" s="41"/>
      <c r="AL68" s="41"/>
      <c r="AM68" s="41">
        <f>SUM(AF68:AL68)+AT68+AV68+AX68</f>
        <v>15</v>
      </c>
      <c r="AN68" s="87"/>
      <c r="AO68" s="41"/>
      <c r="AP68" s="41"/>
      <c r="AQ68" s="41"/>
      <c r="AR68" s="41">
        <f>SUM(AN68:AQ68)</f>
        <v>0</v>
      </c>
      <c r="AS68" s="41"/>
      <c r="AT68" s="41"/>
      <c r="AU68" s="41"/>
      <c r="AV68" s="41"/>
      <c r="AW68" s="41"/>
      <c r="AX68" s="41"/>
      <c r="AY68" s="41"/>
      <c r="AZ68" s="41"/>
      <c r="BA68" s="41">
        <f>+AR68+AS68+AU68+AW68+AY68+AZ68</f>
        <v>0</v>
      </c>
      <c r="BB68" s="54"/>
      <c r="BC68" s="55">
        <v>3</v>
      </c>
      <c r="BD68" s="55"/>
      <c r="BE68" s="54"/>
      <c r="BF68" s="55"/>
    </row>
    <row r="69" spans="1:58" ht="12.95" customHeight="1">
      <c r="A69" s="44"/>
      <c r="B69" s="45"/>
      <c r="C69" s="459"/>
      <c r="D69" s="45"/>
      <c r="E69" s="46"/>
      <c r="F69" s="46"/>
      <c r="G69" s="47"/>
      <c r="H69" s="48"/>
      <c r="I69" s="49"/>
      <c r="J69" s="86"/>
      <c r="K69" s="86"/>
      <c r="L69" s="39"/>
      <c r="M69" s="39"/>
      <c r="N69" s="50"/>
      <c r="O69" s="51"/>
      <c r="P69" s="52"/>
      <c r="Q69" s="51"/>
      <c r="R69" s="512"/>
      <c r="S69" s="512"/>
      <c r="T69" s="41"/>
      <c r="U69" s="41"/>
      <c r="V69" s="41"/>
      <c r="W69" s="41"/>
      <c r="X69" s="42"/>
      <c r="Y69" s="214"/>
      <c r="Z69" s="599"/>
      <c r="AA69" s="41"/>
      <c r="AB69" s="41"/>
      <c r="AC69" s="41"/>
      <c r="AD69" s="41">
        <f>+AM69+BA69</f>
        <v>17</v>
      </c>
      <c r="AE69" s="232" t="s">
        <v>226</v>
      </c>
      <c r="AF69" s="37"/>
      <c r="AG69" s="37"/>
      <c r="AH69" s="37">
        <v>17</v>
      </c>
      <c r="AJ69" s="41"/>
      <c r="AK69" s="41"/>
      <c r="AL69" s="41"/>
      <c r="AM69" s="41">
        <f>SUM(AF69:AL69)+AT69+AV69+AX69</f>
        <v>17</v>
      </c>
      <c r="AN69" s="41"/>
      <c r="AO69" s="41"/>
      <c r="AP69" s="41"/>
      <c r="AQ69" s="41"/>
      <c r="AR69" s="41">
        <f>SUM(AN69:AQ69)</f>
        <v>0</v>
      </c>
      <c r="AS69" s="41"/>
      <c r="AT69" s="41"/>
      <c r="AU69" s="41"/>
      <c r="AV69" s="41"/>
      <c r="AW69" s="41"/>
      <c r="AX69" s="41"/>
      <c r="AY69" s="41"/>
      <c r="AZ69" s="41"/>
      <c r="BA69" s="41">
        <f>+AR69+AS69+AU69+AW69+AY69+AZ69</f>
        <v>0</v>
      </c>
      <c r="BB69" s="37"/>
      <c r="BC69" s="515"/>
      <c r="BD69" s="515"/>
      <c r="BE69" s="37"/>
      <c r="BF69" s="515"/>
    </row>
    <row r="70" spans="1:58" ht="12.95" customHeight="1">
      <c r="A70" s="44"/>
      <c r="B70" s="45"/>
      <c r="C70" s="459"/>
      <c r="D70" s="45"/>
      <c r="E70" s="46"/>
      <c r="F70" s="46"/>
      <c r="G70" s="47"/>
      <c r="H70" s="48"/>
      <c r="I70" s="49"/>
      <c r="J70" s="86"/>
      <c r="K70" s="86"/>
      <c r="L70" s="39"/>
      <c r="M70" s="39"/>
      <c r="N70" s="50"/>
      <c r="O70" s="51"/>
      <c r="P70" s="52"/>
      <c r="Q70" s="51"/>
      <c r="R70" s="512"/>
      <c r="S70" s="512"/>
      <c r="T70" s="41"/>
      <c r="U70" s="41"/>
      <c r="V70" s="41"/>
      <c r="W70" s="41"/>
      <c r="X70" s="42"/>
      <c r="Y70" s="214"/>
      <c r="Z70" s="599"/>
      <c r="AA70" s="41"/>
      <c r="AB70" s="41"/>
      <c r="AC70" s="41"/>
      <c r="AD70" s="41">
        <f>+AM70+BA70</f>
        <v>30</v>
      </c>
      <c r="AE70" s="235" t="s">
        <v>560</v>
      </c>
      <c r="AF70" s="41"/>
      <c r="AG70" s="41"/>
      <c r="AH70" s="41"/>
      <c r="AI70" s="514"/>
      <c r="AJ70" s="41"/>
      <c r="AK70" s="41"/>
      <c r="AL70" s="41"/>
      <c r="AM70" s="41">
        <f>SUM(AF70:AL70)+AT70+AV70+AX70</f>
        <v>0</v>
      </c>
      <c r="AN70" s="41"/>
      <c r="AO70" s="41"/>
      <c r="AP70" s="41">
        <v>30</v>
      </c>
      <c r="AQ70" s="41"/>
      <c r="AR70" s="41">
        <f>SUM(AN70:AQ70)</f>
        <v>30</v>
      </c>
      <c r="AS70" s="41"/>
      <c r="AT70" s="41"/>
      <c r="AU70" s="41"/>
      <c r="AV70" s="41"/>
      <c r="AW70" s="41"/>
      <c r="AX70" s="41"/>
      <c r="AY70" s="41"/>
      <c r="AZ70" s="41"/>
      <c r="BA70" s="41">
        <f>+AR70+AS70+AU70+AW70+AY70+AZ70</f>
        <v>30</v>
      </c>
      <c r="BB70" s="37"/>
      <c r="BC70" s="515"/>
      <c r="BD70" s="515"/>
      <c r="BE70" s="37"/>
      <c r="BF70" s="515"/>
    </row>
    <row r="71" spans="1:58" ht="12.95" customHeight="1">
      <c r="A71" s="44"/>
      <c r="B71" s="45"/>
      <c r="C71" s="459"/>
      <c r="D71" s="45"/>
      <c r="E71" s="46"/>
      <c r="F71" s="46"/>
      <c r="G71" s="47"/>
      <c r="H71" s="48"/>
      <c r="I71" s="49"/>
      <c r="J71" s="86"/>
      <c r="K71" s="86"/>
      <c r="L71" s="39"/>
      <c r="M71" s="39"/>
      <c r="N71" s="50"/>
      <c r="O71" s="51"/>
      <c r="P71" s="52"/>
      <c r="Q71" s="51"/>
      <c r="R71" s="512"/>
      <c r="S71" s="512"/>
      <c r="T71" s="41"/>
      <c r="U71" s="41"/>
      <c r="V71" s="41"/>
      <c r="W71" s="41"/>
      <c r="X71" s="42"/>
      <c r="Y71" s="214"/>
      <c r="Z71" s="599"/>
      <c r="AA71" s="41"/>
      <c r="AB71" s="41"/>
      <c r="AC71" s="41"/>
      <c r="AD71" s="41">
        <f>+AM71+BA71</f>
        <v>30</v>
      </c>
      <c r="AE71" s="235" t="s">
        <v>563</v>
      </c>
      <c r="AF71" s="37">
        <v>30</v>
      </c>
      <c r="AG71" s="37"/>
      <c r="AH71" s="37"/>
      <c r="AJ71" s="41"/>
      <c r="AK71" s="41"/>
      <c r="AL71" s="41"/>
      <c r="AM71" s="41">
        <f>SUM(AF71:AL71)+AT71+AV71+AX71</f>
        <v>30</v>
      </c>
      <c r="AN71" s="41"/>
      <c r="AO71" s="41"/>
      <c r="AP71" s="41"/>
      <c r="AQ71" s="41"/>
      <c r="AR71" s="41">
        <f>SUM(AN71:AQ71)</f>
        <v>0</v>
      </c>
      <c r="AS71" s="41"/>
      <c r="AT71" s="41"/>
      <c r="AU71" s="41"/>
      <c r="AV71" s="41"/>
      <c r="AW71" s="41"/>
      <c r="AX71" s="41"/>
      <c r="AY71" s="41"/>
      <c r="AZ71" s="41"/>
      <c r="BA71" s="41">
        <f>+AR71+AS71+AU71+AW71+AY71+AZ71</f>
        <v>0</v>
      </c>
      <c r="BB71" s="37"/>
      <c r="BC71" s="515"/>
      <c r="BD71" s="515"/>
      <c r="BE71" s="37"/>
      <c r="BF71" s="515"/>
    </row>
    <row r="72" spans="1:58" ht="12.95" customHeight="1">
      <c r="A72" s="44"/>
      <c r="B72" s="45"/>
      <c r="C72" s="459"/>
      <c r="D72" s="45"/>
      <c r="E72" s="46"/>
      <c r="F72" s="46"/>
      <c r="G72" s="47"/>
      <c r="H72" s="48"/>
      <c r="I72" s="49"/>
      <c r="J72" s="86"/>
      <c r="K72" s="86"/>
      <c r="L72" s="39"/>
      <c r="M72" s="39"/>
      <c r="N72" s="50"/>
      <c r="O72" s="51"/>
      <c r="P72" s="52"/>
      <c r="Q72" s="51"/>
      <c r="R72" s="512"/>
      <c r="S72" s="512"/>
      <c r="T72" s="41"/>
      <c r="U72" s="41"/>
      <c r="V72" s="41"/>
      <c r="W72" s="41"/>
      <c r="X72" s="42"/>
      <c r="Y72" s="214"/>
      <c r="Z72" s="599"/>
      <c r="AA72" s="41"/>
      <c r="AB72" s="41"/>
      <c r="AC72" s="41"/>
      <c r="AD72" s="41"/>
      <c r="AE72" s="232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37"/>
      <c r="BC72" s="55"/>
      <c r="BD72" s="55"/>
      <c r="BE72" s="55"/>
      <c r="BF72" s="55"/>
    </row>
    <row r="73" spans="1:58" ht="12.95" customHeight="1">
      <c r="A73" s="44">
        <v>46005</v>
      </c>
      <c r="B73" s="45" t="s">
        <v>439</v>
      </c>
      <c r="C73" s="459">
        <f>(M73*E73*O73*Q73)/100000000</f>
        <v>68.589821886792464</v>
      </c>
      <c r="D73" s="45" t="s">
        <v>488</v>
      </c>
      <c r="E73" s="46">
        <v>20</v>
      </c>
      <c r="F73" s="46">
        <v>1</v>
      </c>
      <c r="G73" s="47">
        <v>830</v>
      </c>
      <c r="H73" s="48">
        <v>0.1</v>
      </c>
      <c r="I73" s="49">
        <v>0.88</v>
      </c>
      <c r="J73" s="86">
        <f>E73*G73*(1-H73)*1440/1000000*3.4</f>
        <v>73.146240000000006</v>
      </c>
      <c r="K73" s="86">
        <f>(IF(G73&lt;L73,L73,G73)*(1-IF(H73&lt;N73,H73,N73))*E73*O73*Q73)/100000000</f>
        <v>68.589821886792464</v>
      </c>
      <c r="L73" s="39">
        <v>830</v>
      </c>
      <c r="M73" s="39">
        <v>747</v>
      </c>
      <c r="N73" s="50">
        <f>1-(M73/L73)</f>
        <v>9.9999999999999978E-2</v>
      </c>
      <c r="O73" s="51">
        <f>+'Trim Rwd'!H42</f>
        <v>318.82075471698113</v>
      </c>
      <c r="P73" s="52">
        <f>O73*(Q73-R73-S73)</f>
        <v>449218.44339622639</v>
      </c>
      <c r="Q73" s="51">
        <v>1440</v>
      </c>
      <c r="R73" s="512">
        <v>0</v>
      </c>
      <c r="S73" s="512">
        <v>31</v>
      </c>
      <c r="T73" s="41">
        <f>E73*M73*O73*Q73/100000000</f>
        <v>68.589821886792464</v>
      </c>
      <c r="U73" s="41">
        <f>E73*M73*O73*(Q73-R73-S73)/100000000</f>
        <v>67.113235443396221</v>
      </c>
      <c r="V73" s="41">
        <f>E73*G73*(1-N73)*O73/100*(R73+S73)/1000000</f>
        <v>1.4765864433962266</v>
      </c>
      <c r="W73" s="41">
        <f>+'14'!K34/1000</f>
        <v>66.549000000000007</v>
      </c>
      <c r="X73" s="513">
        <f>SUM(W73:W76)/SUM(K73:K76)</f>
        <v>0.97024599524167254</v>
      </c>
      <c r="Y73" s="214">
        <v>0</v>
      </c>
      <c r="Z73" s="599">
        <f>+'14'!D34/1000</f>
        <v>0.23</v>
      </c>
      <c r="AA73" s="53">
        <f>SUM(U73:U76)-SUM(W73:W76)-SUM(Z73:Z76)-SUM(Y73:Y76)</f>
        <v>0.33423544339621403</v>
      </c>
      <c r="AB73" s="53">
        <f>(SUM(K73:K76)-SUM(W73:W76)-SUM(Y73:Y76)-SUM(Z73:Z76)-SUM(AC73:AC76)-SUM(V73:V76))-AA73</f>
        <v>1.6875389974302379E-14</v>
      </c>
      <c r="AC73" s="41">
        <f>K73-T73</f>
        <v>0</v>
      </c>
      <c r="AD73" s="41">
        <f>+AM73+BA73</f>
        <v>0</v>
      </c>
      <c r="AE73" s="232" t="s">
        <v>395</v>
      </c>
      <c r="AF73" s="41">
        <v>0</v>
      </c>
      <c r="AG73" s="41"/>
      <c r="AH73" s="41"/>
      <c r="AI73" s="514"/>
      <c r="AJ73" s="41"/>
      <c r="AK73" s="41"/>
      <c r="AL73" s="41"/>
      <c r="AM73" s="41">
        <f>SUM(AF73:AL73)+AT73+AV73+AX73</f>
        <v>0</v>
      </c>
      <c r="AN73" s="41"/>
      <c r="AO73" s="41"/>
      <c r="AP73" s="41"/>
      <c r="AQ73" s="41"/>
      <c r="AR73" s="41">
        <f>SUM(AN73:AQ73)</f>
        <v>0</v>
      </c>
      <c r="AS73" s="41"/>
      <c r="AT73" s="41"/>
      <c r="AU73" s="41"/>
      <c r="AV73" s="41"/>
      <c r="AW73" s="41"/>
      <c r="AX73" s="41"/>
      <c r="AY73" s="41"/>
      <c r="AZ73" s="41"/>
      <c r="BA73" s="41">
        <f>+AR73+AS73+AU73+AW73+AY73+AZ73</f>
        <v>0</v>
      </c>
      <c r="BB73" s="37">
        <v>0</v>
      </c>
      <c r="BC73" s="55"/>
      <c r="BD73" s="55"/>
      <c r="BE73" s="37"/>
      <c r="BF73" s="55"/>
    </row>
    <row r="74" spans="1:58" ht="12.95" customHeight="1">
      <c r="A74" s="44"/>
      <c r="B74" s="45"/>
      <c r="C74" s="459"/>
      <c r="D74" s="45"/>
      <c r="E74" s="46"/>
      <c r="F74" s="46"/>
      <c r="G74" s="47"/>
      <c r="H74" s="48"/>
      <c r="I74" s="49"/>
      <c r="J74" s="86"/>
      <c r="K74" s="86"/>
      <c r="L74" s="39"/>
      <c r="M74" s="39"/>
      <c r="N74" s="50"/>
      <c r="O74" s="51"/>
      <c r="P74" s="52"/>
      <c r="Q74" s="51"/>
      <c r="R74" s="512"/>
      <c r="S74" s="512"/>
      <c r="T74" s="41"/>
      <c r="U74" s="41"/>
      <c r="V74" s="41"/>
      <c r="W74" s="41"/>
      <c r="X74" s="42"/>
      <c r="Y74" s="214"/>
      <c r="Z74" s="599"/>
      <c r="AA74" s="41"/>
      <c r="AB74" s="41"/>
      <c r="AC74" s="41"/>
      <c r="AD74" s="41">
        <f>+AM74+BA74</f>
        <v>18</v>
      </c>
      <c r="AE74" s="232" t="s">
        <v>489</v>
      </c>
      <c r="AF74" s="41"/>
      <c r="AG74" s="41">
        <v>18</v>
      </c>
      <c r="AH74" s="41"/>
      <c r="AI74" s="514"/>
      <c r="AJ74" s="41"/>
      <c r="AK74" s="41"/>
      <c r="AL74" s="41"/>
      <c r="AM74" s="41">
        <f>SUM(AF74:AL74)+AT74+AV74+AX74</f>
        <v>18</v>
      </c>
      <c r="AN74" s="87"/>
      <c r="AO74" s="41"/>
      <c r="AP74" s="41"/>
      <c r="AQ74" s="41"/>
      <c r="AR74" s="41">
        <f>SUM(AN74:AQ74)</f>
        <v>0</v>
      </c>
      <c r="AS74" s="41"/>
      <c r="AT74" s="41"/>
      <c r="AU74" s="41"/>
      <c r="AV74" s="41"/>
      <c r="AW74" s="41"/>
      <c r="AX74" s="41"/>
      <c r="AY74" s="41"/>
      <c r="AZ74" s="41"/>
      <c r="BA74" s="41">
        <f>+AR74+AS74+AU74+AW74+AY74+AZ74</f>
        <v>0</v>
      </c>
      <c r="BB74" s="54"/>
      <c r="BC74" s="55">
        <v>4</v>
      </c>
      <c r="BD74" s="55"/>
      <c r="BE74" s="54"/>
      <c r="BF74" s="55"/>
    </row>
    <row r="75" spans="1:58" ht="12.95" customHeight="1">
      <c r="A75" s="44"/>
      <c r="B75" s="45"/>
      <c r="C75" s="459"/>
      <c r="D75" s="45"/>
      <c r="E75" s="46"/>
      <c r="F75" s="46"/>
      <c r="G75" s="47"/>
      <c r="H75" s="48"/>
      <c r="I75" s="49"/>
      <c r="J75" s="86"/>
      <c r="K75" s="86"/>
      <c r="L75" s="39"/>
      <c r="M75" s="39"/>
      <c r="N75" s="50"/>
      <c r="O75" s="51"/>
      <c r="P75" s="52"/>
      <c r="Q75" s="51"/>
      <c r="R75" s="512"/>
      <c r="S75" s="512"/>
      <c r="T75" s="41"/>
      <c r="U75" s="41"/>
      <c r="V75" s="41"/>
      <c r="W75" s="41"/>
      <c r="X75" s="42"/>
      <c r="Y75" s="214"/>
      <c r="Z75" s="599"/>
      <c r="AA75" s="41"/>
      <c r="AB75" s="41"/>
      <c r="AC75" s="41"/>
      <c r="AD75" s="41">
        <f>+AM75+BA75</f>
        <v>13</v>
      </c>
      <c r="AE75" s="232" t="s">
        <v>226</v>
      </c>
      <c r="AF75" s="37"/>
      <c r="AG75" s="37"/>
      <c r="AH75" s="37">
        <v>13</v>
      </c>
      <c r="AJ75" s="41"/>
      <c r="AK75" s="41"/>
      <c r="AL75" s="41"/>
      <c r="AM75" s="41">
        <f>SUM(AF75:AL75)+AT75+AV75+AX75</f>
        <v>13</v>
      </c>
      <c r="AN75" s="41"/>
      <c r="AO75" s="41"/>
      <c r="AP75" s="41"/>
      <c r="AQ75" s="41"/>
      <c r="AR75" s="41">
        <f>SUM(AN75:AQ75)</f>
        <v>0</v>
      </c>
      <c r="AS75" s="41"/>
      <c r="AT75" s="41"/>
      <c r="AU75" s="41"/>
      <c r="AV75" s="41"/>
      <c r="AW75" s="41"/>
      <c r="AX75" s="41"/>
      <c r="AY75" s="41"/>
      <c r="AZ75" s="41"/>
      <c r="BA75" s="41">
        <f>+AR75+AS75+AU75+AW75+AY75+AZ75</f>
        <v>0</v>
      </c>
      <c r="BB75" s="37"/>
      <c r="BC75" s="515"/>
      <c r="BD75" s="515"/>
      <c r="BE75" s="37"/>
      <c r="BF75" s="515"/>
    </row>
    <row r="76" spans="1:58" ht="12.95" customHeight="1">
      <c r="A76" s="44"/>
      <c r="B76" s="45"/>
      <c r="C76" s="459"/>
      <c r="D76" s="45"/>
      <c r="E76" s="46"/>
      <c r="F76" s="46"/>
      <c r="G76" s="47"/>
      <c r="H76" s="48"/>
      <c r="I76" s="49"/>
      <c r="J76" s="86"/>
      <c r="K76" s="86"/>
      <c r="L76" s="39"/>
      <c r="M76" s="39"/>
      <c r="N76" s="50"/>
      <c r="O76" s="51"/>
      <c r="P76" s="52"/>
      <c r="Q76" s="51"/>
      <c r="R76" s="512"/>
      <c r="S76" s="512"/>
      <c r="T76" s="41"/>
      <c r="U76" s="41"/>
      <c r="V76" s="41"/>
      <c r="W76" s="41"/>
      <c r="X76" s="42"/>
      <c r="Y76" s="214"/>
      <c r="Z76" s="599"/>
      <c r="AA76" s="41"/>
      <c r="AB76" s="41"/>
      <c r="AC76" s="41"/>
      <c r="AD76" s="41"/>
      <c r="AE76" s="235"/>
      <c r="AF76" s="41"/>
      <c r="AG76" s="41"/>
      <c r="AH76" s="41"/>
      <c r="AI76" s="514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37"/>
      <c r="BC76" s="515"/>
      <c r="BD76" s="515"/>
      <c r="BE76" s="37"/>
      <c r="BF76" s="515"/>
    </row>
    <row r="77" spans="1:58" ht="12.95" customHeight="1">
      <c r="A77" s="44">
        <v>46006</v>
      </c>
      <c r="B77" s="45" t="s">
        <v>439</v>
      </c>
      <c r="C77" s="459">
        <f>(M77*E77*O77*Q77)/100000000</f>
        <v>69.273792</v>
      </c>
      <c r="D77" s="45" t="s">
        <v>488</v>
      </c>
      <c r="E77" s="46">
        <v>20</v>
      </c>
      <c r="F77" s="46">
        <v>1</v>
      </c>
      <c r="G77" s="47">
        <v>830</v>
      </c>
      <c r="H77" s="48">
        <v>0.1</v>
      </c>
      <c r="I77" s="49">
        <v>0.88</v>
      </c>
      <c r="J77" s="86">
        <f>E77*G77*(1-H77)*1440/1000000*3.4</f>
        <v>73.146240000000006</v>
      </c>
      <c r="K77" s="86">
        <f>(IF(G77&lt;L77,L77,G77)*(1-IF(H77&lt;N77,H77,N77))*E77*O77*Q77)/100000000</f>
        <v>69.273792</v>
      </c>
      <c r="L77" s="39">
        <v>830</v>
      </c>
      <c r="M77" s="39">
        <v>747</v>
      </c>
      <c r="N77" s="50">
        <f>1-(M77/L77)</f>
        <v>9.9999999999999978E-2</v>
      </c>
      <c r="O77" s="51">
        <f>+'Trim Rwd'!H46</f>
        <v>322</v>
      </c>
      <c r="P77" s="52">
        <f>O77*(Q77-R77-S77)</f>
        <v>454664</v>
      </c>
      <c r="Q77" s="51">
        <v>1440</v>
      </c>
      <c r="R77" s="512">
        <v>0</v>
      </c>
      <c r="S77" s="512">
        <v>28</v>
      </c>
      <c r="T77" s="41">
        <f>E77*M77*O77*Q77/100000000</f>
        <v>69.273792</v>
      </c>
      <c r="U77" s="41">
        <f>E77*M77*O77*(Q77-R77-S77)/100000000</f>
        <v>67.926801600000005</v>
      </c>
      <c r="V77" s="41">
        <f>E77*G77*(1-N77)*O77/100*(R77+S77)/1000000</f>
        <v>1.3469904000000001</v>
      </c>
      <c r="W77" s="41">
        <f>+'15'!K34/1000</f>
        <v>67.039000000000001</v>
      </c>
      <c r="X77" s="513">
        <f>SUM(W77:W80)/SUM(K77:K80)</f>
        <v>0.96773971894017297</v>
      </c>
      <c r="Y77" s="214">
        <v>0</v>
      </c>
      <c r="Z77" s="599">
        <f>+'15'!D34/1000</f>
        <v>0.2</v>
      </c>
      <c r="AA77" s="53">
        <f>SUM(U77:U80)-SUM(W77:W80)-SUM(Z77:Z80)-SUM(Y77:Y80)</f>
        <v>0.68780160000000312</v>
      </c>
      <c r="AB77" s="53">
        <f>(SUM(K77:K80)-SUM(W77:W80)-SUM(Y77:Y80)-SUM(Z77:Z80)-SUM(AC77:AC80)-SUM(V77:V80))-AA77</f>
        <v>-4.6629367034256575E-15</v>
      </c>
      <c r="AC77" s="41">
        <f>K77-T77</f>
        <v>0</v>
      </c>
      <c r="AD77" s="41">
        <f>+AM77+BA77</f>
        <v>0</v>
      </c>
      <c r="AE77" s="232" t="s">
        <v>395</v>
      </c>
      <c r="AF77" s="41">
        <v>0</v>
      </c>
      <c r="AG77" s="41"/>
      <c r="AH77" s="41"/>
      <c r="AI77" s="514"/>
      <c r="AJ77" s="41"/>
      <c r="AK77" s="41"/>
      <c r="AL77" s="41"/>
      <c r="AM77" s="41">
        <f>SUM(AF77:AL77)+AT77+AV77+AX77</f>
        <v>0</v>
      </c>
      <c r="AN77" s="41"/>
      <c r="AO77" s="41"/>
      <c r="AP77" s="41"/>
      <c r="AQ77" s="41"/>
      <c r="AR77" s="41">
        <f>SUM(AN77:AQ77)</f>
        <v>0</v>
      </c>
      <c r="AS77" s="41"/>
      <c r="AT77" s="41"/>
      <c r="AU77" s="41"/>
      <c r="AV77" s="41"/>
      <c r="AW77" s="41"/>
      <c r="AX77" s="41"/>
      <c r="AY77" s="41"/>
      <c r="AZ77" s="41"/>
      <c r="BA77" s="41">
        <f>+AR77+AS77+AU77+AW77+AY77+AZ77</f>
        <v>0</v>
      </c>
      <c r="BB77" s="37">
        <v>0</v>
      </c>
      <c r="BC77" s="55"/>
      <c r="BD77" s="55"/>
      <c r="BE77" s="37"/>
      <c r="BF77" s="55"/>
    </row>
    <row r="78" spans="1:58" ht="12.95" customHeight="1">
      <c r="A78" s="44"/>
      <c r="B78" s="45"/>
      <c r="C78" s="459"/>
      <c r="D78" s="45"/>
      <c r="E78" s="46"/>
      <c r="F78" s="46"/>
      <c r="G78" s="47"/>
      <c r="H78" s="48"/>
      <c r="I78" s="49"/>
      <c r="J78" s="86"/>
      <c r="K78" s="86"/>
      <c r="L78" s="39"/>
      <c r="M78" s="39"/>
      <c r="N78" s="50"/>
      <c r="O78" s="51"/>
      <c r="P78" s="52"/>
      <c r="Q78" s="51"/>
      <c r="R78" s="512"/>
      <c r="S78" s="512"/>
      <c r="T78" s="41"/>
      <c r="U78" s="41"/>
      <c r="V78" s="41"/>
      <c r="W78" s="41"/>
      <c r="X78" s="42"/>
      <c r="Y78" s="214"/>
      <c r="Z78" s="599"/>
      <c r="AA78" s="41"/>
      <c r="AB78" s="41"/>
      <c r="AC78" s="41"/>
      <c r="AD78" s="41">
        <f>+AM78+BA78</f>
        <v>17</v>
      </c>
      <c r="AE78" s="232" t="s">
        <v>489</v>
      </c>
      <c r="AF78" s="41"/>
      <c r="AG78" s="41">
        <v>17</v>
      </c>
      <c r="AH78" s="41"/>
      <c r="AI78" s="514"/>
      <c r="AJ78" s="41"/>
      <c r="AK78" s="41"/>
      <c r="AL78" s="41"/>
      <c r="AM78" s="41">
        <f>SUM(AF78:AL78)+AT78+AV78+AX78</f>
        <v>17</v>
      </c>
      <c r="AN78" s="87"/>
      <c r="AO78" s="41"/>
      <c r="AP78" s="41"/>
      <c r="AQ78" s="41"/>
      <c r="AR78" s="41">
        <f>SUM(AN78:AQ78)</f>
        <v>0</v>
      </c>
      <c r="AS78" s="41"/>
      <c r="AT78" s="41"/>
      <c r="AU78" s="41"/>
      <c r="AV78" s="41"/>
      <c r="AW78" s="41"/>
      <c r="AX78" s="41"/>
      <c r="AY78" s="41"/>
      <c r="AZ78" s="41"/>
      <c r="BA78" s="41">
        <f>+AR78+AS78+AU78+AW78+AY78+AZ78</f>
        <v>0</v>
      </c>
      <c r="BB78" s="54"/>
      <c r="BC78" s="55">
        <v>4</v>
      </c>
      <c r="BD78" s="55"/>
      <c r="BE78" s="54"/>
      <c r="BF78" s="55"/>
    </row>
    <row r="79" spans="1:58" ht="12.95" customHeight="1">
      <c r="A79" s="44"/>
      <c r="B79" s="45"/>
      <c r="C79" s="459"/>
      <c r="D79" s="45"/>
      <c r="E79" s="46"/>
      <c r="F79" s="46"/>
      <c r="G79" s="47"/>
      <c r="H79" s="48"/>
      <c r="I79" s="49"/>
      <c r="J79" s="86"/>
      <c r="K79" s="86"/>
      <c r="L79" s="39"/>
      <c r="M79" s="39"/>
      <c r="N79" s="50"/>
      <c r="O79" s="51"/>
      <c r="P79" s="52"/>
      <c r="Q79" s="51"/>
      <c r="R79" s="512"/>
      <c r="S79" s="512"/>
      <c r="T79" s="41"/>
      <c r="U79" s="41"/>
      <c r="V79" s="41"/>
      <c r="W79" s="41"/>
      <c r="X79" s="42"/>
      <c r="Y79" s="214"/>
      <c r="Z79" s="599"/>
      <c r="AA79" s="41"/>
      <c r="AB79" s="41"/>
      <c r="AC79" s="41"/>
      <c r="AD79" s="41">
        <f>+AM79+BA79</f>
        <v>11</v>
      </c>
      <c r="AE79" s="232" t="s">
        <v>226</v>
      </c>
      <c r="AF79" s="37"/>
      <c r="AG79" s="37"/>
      <c r="AH79" s="37">
        <v>11</v>
      </c>
      <c r="AJ79" s="41"/>
      <c r="AK79" s="41"/>
      <c r="AL79" s="41"/>
      <c r="AM79" s="41">
        <f>SUM(AF79:AL79)+AT79+AV79+AX79</f>
        <v>11</v>
      </c>
      <c r="AN79" s="41"/>
      <c r="AO79" s="41"/>
      <c r="AP79" s="41"/>
      <c r="AQ79" s="41"/>
      <c r="AR79" s="41">
        <f>SUM(AN79:AQ79)</f>
        <v>0</v>
      </c>
      <c r="AS79" s="41"/>
      <c r="AT79" s="41"/>
      <c r="AU79" s="41"/>
      <c r="AV79" s="41"/>
      <c r="AW79" s="41"/>
      <c r="AX79" s="41"/>
      <c r="AY79" s="41"/>
      <c r="AZ79" s="41"/>
      <c r="BA79" s="41">
        <f>+AR79+AS79+AU79+AW79+AY79+AZ79</f>
        <v>0</v>
      </c>
      <c r="BB79" s="37"/>
      <c r="BC79" s="515"/>
      <c r="BD79" s="515"/>
      <c r="BE79" s="37"/>
      <c r="BF79" s="515"/>
    </row>
    <row r="80" spans="1:58" ht="12.95" customHeight="1">
      <c r="A80" s="44"/>
      <c r="B80" s="45"/>
      <c r="C80" s="459"/>
      <c r="D80" s="45"/>
      <c r="E80" s="46"/>
      <c r="F80" s="46"/>
      <c r="G80" s="47"/>
      <c r="H80" s="48"/>
      <c r="I80" s="49"/>
      <c r="J80" s="86"/>
      <c r="K80" s="86"/>
      <c r="L80" s="39"/>
      <c r="M80" s="39"/>
      <c r="N80" s="50"/>
      <c r="O80" s="51"/>
      <c r="P80" s="52"/>
      <c r="Q80" s="51"/>
      <c r="R80" s="512"/>
      <c r="S80" s="512"/>
      <c r="T80" s="41"/>
      <c r="U80" s="41"/>
      <c r="V80" s="41"/>
      <c r="W80" s="41"/>
      <c r="X80" s="42"/>
      <c r="Y80" s="214"/>
      <c r="Z80" s="599"/>
      <c r="AA80" s="41"/>
      <c r="AB80" s="41"/>
      <c r="AC80" s="41"/>
      <c r="AD80" s="41"/>
      <c r="AE80" s="235"/>
      <c r="AF80" s="41"/>
      <c r="AG80" s="41"/>
      <c r="AH80" s="41"/>
      <c r="AI80" s="514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37"/>
      <c r="BC80" s="515"/>
      <c r="BD80" s="515"/>
      <c r="BE80" s="37"/>
      <c r="BF80" s="515"/>
    </row>
    <row r="81" spans="1:58" ht="12.95" customHeight="1">
      <c r="A81" s="44">
        <v>46007</v>
      </c>
      <c r="B81" s="45" t="s">
        <v>439</v>
      </c>
      <c r="C81" s="459">
        <f>(M81*E81*O81*Q81)/100000000</f>
        <v>31.975868571428567</v>
      </c>
      <c r="D81" s="45" t="s">
        <v>488</v>
      </c>
      <c r="E81" s="46">
        <v>20</v>
      </c>
      <c r="F81" s="46">
        <v>1</v>
      </c>
      <c r="G81" s="47">
        <v>830</v>
      </c>
      <c r="H81" s="48">
        <v>0.1</v>
      </c>
      <c r="I81" s="49">
        <v>0.88</v>
      </c>
      <c r="J81" s="86">
        <f>E81*G81*(1-H81)*1440/1000000*3.4</f>
        <v>73.146240000000006</v>
      </c>
      <c r="K81" s="86">
        <f>(IF(G81&lt;L81,L81,G81)*(1-IF(H81&lt;N81,H81,N81))*E81*O81*Q81)/100000000</f>
        <v>31.975868571428567</v>
      </c>
      <c r="L81" s="39">
        <v>830</v>
      </c>
      <c r="M81" s="39">
        <v>747</v>
      </c>
      <c r="N81" s="50">
        <f>1-(M81/L81)</f>
        <v>9.9999999999999978E-2</v>
      </c>
      <c r="O81" s="51">
        <f>+'Trim Rwd'!H50</f>
        <v>324.28571428571428</v>
      </c>
      <c r="P81" s="52">
        <f>O81*(Q81-R81-S81)</f>
        <v>209164.28571428571</v>
      </c>
      <c r="Q81" s="51">
        <v>660</v>
      </c>
      <c r="R81" s="512">
        <v>0</v>
      </c>
      <c r="S81" s="512">
        <v>15</v>
      </c>
      <c r="T81" s="41">
        <f>E81*M81*O81*Q81/100000000</f>
        <v>31.975868571428567</v>
      </c>
      <c r="U81" s="41">
        <f>E81*M81*O81*(Q81-R81-S81)/100000000</f>
        <v>31.249144285714284</v>
      </c>
      <c r="V81" s="41">
        <f>E81*G81*(1-N81)*O81/100*(R81+S81)/1000000</f>
        <v>0.72672428571428571</v>
      </c>
      <c r="W81" s="41">
        <f>+'16'!K14/1000</f>
        <v>37.481999999999999</v>
      </c>
      <c r="X81" s="513">
        <f>SUM(W81:W84)/SUM(K81:K84)</f>
        <v>0.98089677729809377</v>
      </c>
      <c r="Y81" s="214">
        <v>0</v>
      </c>
      <c r="Z81" s="599">
        <f>+'16'!D34/1000</f>
        <v>1.4079999999999999</v>
      </c>
      <c r="AA81" s="41">
        <f>SUM(U81:U84)-SUM(W81:W84)-SUM(Z81:Z84)-SUM(Y81:Y84)</f>
        <v>-1.5690873942857153</v>
      </c>
      <c r="AB81" s="41">
        <f>(SUM(K81:K84)-SUM(W81:W84)-SUM(Y81:Y84)-SUM(Z81:Z84)-SUM(AC81:AC84)-SUM(V81:V84))-AA81</f>
        <v>-1.1990408665951691E-14</v>
      </c>
      <c r="AC81" s="41">
        <f>K81-T81</f>
        <v>0</v>
      </c>
      <c r="AD81" s="41">
        <f>+AM81+BA81</f>
        <v>2</v>
      </c>
      <c r="AE81" s="235" t="s">
        <v>392</v>
      </c>
      <c r="AF81" s="37">
        <v>2</v>
      </c>
      <c r="AG81" s="37"/>
      <c r="AH81" s="37"/>
      <c r="AJ81" s="41"/>
      <c r="AK81" s="41"/>
      <c r="AL81" s="41"/>
      <c r="AM81" s="41">
        <f>SUM(AF81:AL81)+AT81+AV81+AX81</f>
        <v>2</v>
      </c>
      <c r="AN81" s="41"/>
      <c r="AO81" s="41"/>
      <c r="AP81" s="41"/>
      <c r="AQ81" s="41"/>
      <c r="AR81" s="41">
        <f>SUM(AN81:AQ81)</f>
        <v>0</v>
      </c>
      <c r="AS81" s="41"/>
      <c r="AT81" s="41"/>
      <c r="AU81" s="41"/>
      <c r="AV81" s="41"/>
      <c r="AW81" s="41"/>
      <c r="AX81" s="41"/>
      <c r="AY81" s="41"/>
      <c r="AZ81" s="41"/>
      <c r="BA81" s="41">
        <f>+AR81+AS81+AU81+AW81+AY81+AZ81</f>
        <v>0</v>
      </c>
      <c r="BB81" s="37">
        <v>1</v>
      </c>
      <c r="BC81" s="515"/>
      <c r="BD81" s="515"/>
      <c r="BE81" s="37"/>
      <c r="BF81" s="515"/>
    </row>
    <row r="82" spans="1:58" ht="12.95" customHeight="1">
      <c r="A82" s="44"/>
      <c r="B82" s="45" t="s">
        <v>439</v>
      </c>
      <c r="C82" s="459">
        <f>(M82*E82*O82*Q82)/100000000</f>
        <v>32.069606399999998</v>
      </c>
      <c r="D82" s="45" t="s">
        <v>488</v>
      </c>
      <c r="E82" s="46">
        <v>18</v>
      </c>
      <c r="F82" s="46">
        <v>1</v>
      </c>
      <c r="G82" s="47">
        <v>830</v>
      </c>
      <c r="H82" s="48">
        <v>0.14000000000000001</v>
      </c>
      <c r="I82" s="49">
        <v>0.88</v>
      </c>
      <c r="J82" s="86">
        <f>E82*G82*(1-H82)*1440/1000000*3.4</f>
        <v>62.905766399999997</v>
      </c>
      <c r="K82" s="86">
        <f>(IF(G82&lt;L82,L82,G82)*(1-IF(H82&lt;N82,H82,N82))*E82*O82*Q82)/100000000</f>
        <v>32.069606399999998</v>
      </c>
      <c r="L82" s="39">
        <v>830</v>
      </c>
      <c r="M82" s="39">
        <f>+L82-L82*0.14</f>
        <v>713.8</v>
      </c>
      <c r="N82" s="50">
        <f>1-(M82/L82)</f>
        <v>0.14000000000000001</v>
      </c>
      <c r="O82" s="51">
        <f>+'Trim Rwd'!H52</f>
        <v>320</v>
      </c>
      <c r="P82" s="52">
        <f>O82*(Q82-R82-S82)</f>
        <v>244480</v>
      </c>
      <c r="Q82" s="51">
        <v>780</v>
      </c>
      <c r="R82" s="512">
        <v>0</v>
      </c>
      <c r="S82" s="512">
        <v>16</v>
      </c>
      <c r="T82" s="41">
        <f>E82*M82*O82*Q82/100000000</f>
        <v>32.069606399999998</v>
      </c>
      <c r="U82" s="41">
        <f>E82*M82*O82*(Q82-R82-S82)/100000000</f>
        <v>31.41176832</v>
      </c>
      <c r="V82" s="41">
        <f>E82*G82*(1-N82)*O82/100*(R82+S82)/1000000</f>
        <v>0.65783807999999999</v>
      </c>
      <c r="W82" s="41">
        <f>+'16'!K15/1000</f>
        <v>25.34</v>
      </c>
      <c r="X82" s="42"/>
      <c r="Y82" s="214"/>
      <c r="Z82" s="599"/>
      <c r="AA82" s="53"/>
      <c r="AB82" s="53"/>
      <c r="AC82" s="41">
        <f>K82-T82</f>
        <v>0</v>
      </c>
      <c r="AD82" s="41">
        <f>+AM82+BA82</f>
        <v>14</v>
      </c>
      <c r="AE82" s="235" t="s">
        <v>394</v>
      </c>
      <c r="AF82" s="41"/>
      <c r="AG82" s="41">
        <v>14</v>
      </c>
      <c r="AH82" s="41"/>
      <c r="AI82" s="41"/>
      <c r="AJ82" s="41"/>
      <c r="AK82" s="41"/>
      <c r="AL82" s="41"/>
      <c r="AM82" s="41">
        <f>SUM(AF82:AL82)+AT82+AV82+AX82</f>
        <v>14</v>
      </c>
      <c r="AN82" s="41"/>
      <c r="AO82" s="41"/>
      <c r="AP82" s="41"/>
      <c r="AQ82" s="41"/>
      <c r="AR82" s="41">
        <f>SUM(AN82:AQ82)</f>
        <v>0</v>
      </c>
      <c r="AS82" s="41"/>
      <c r="AT82" s="41"/>
      <c r="AU82" s="41"/>
      <c r="AV82" s="41"/>
      <c r="AW82" s="41"/>
      <c r="AX82" s="41"/>
      <c r="AY82" s="41"/>
      <c r="AZ82" s="41"/>
      <c r="BA82" s="41">
        <f>+AR82+AS82+AU82+AW82+AY82+AZ82</f>
        <v>0</v>
      </c>
      <c r="BB82" s="37"/>
      <c r="BC82" s="55">
        <v>3</v>
      </c>
      <c r="BD82" s="55"/>
      <c r="BE82" s="55"/>
      <c r="BF82" s="55"/>
    </row>
    <row r="83" spans="1:58" ht="12.95" customHeight="1">
      <c r="A83" s="44"/>
      <c r="B83" s="45"/>
      <c r="C83" s="459"/>
      <c r="D83" s="45"/>
      <c r="E83" s="46"/>
      <c r="F83" s="46"/>
      <c r="G83" s="47"/>
      <c r="H83" s="48"/>
      <c r="I83" s="49"/>
      <c r="J83" s="86"/>
      <c r="K83" s="86"/>
      <c r="L83" s="39"/>
      <c r="M83" s="39"/>
      <c r="N83" s="50"/>
      <c r="O83" s="51"/>
      <c r="P83" s="52"/>
      <c r="Q83" s="51"/>
      <c r="R83" s="512"/>
      <c r="S83" s="512"/>
      <c r="T83" s="41"/>
      <c r="U83" s="41"/>
      <c r="V83" s="41"/>
      <c r="W83" s="41"/>
      <c r="X83" s="42"/>
      <c r="Y83" s="214"/>
      <c r="Z83" s="599"/>
      <c r="AA83" s="53"/>
      <c r="AB83" s="53"/>
      <c r="AC83" s="41"/>
      <c r="AD83" s="41">
        <f>+AM83+BA83</f>
        <v>12</v>
      </c>
      <c r="AE83" s="232" t="s">
        <v>226</v>
      </c>
      <c r="AF83" s="41"/>
      <c r="AG83" s="41"/>
      <c r="AH83" s="41">
        <v>12</v>
      </c>
      <c r="AI83" s="514"/>
      <c r="AJ83" s="41"/>
      <c r="AK83" s="41"/>
      <c r="AL83" s="41"/>
      <c r="AM83" s="41">
        <f>SUM(AF83:AL83)+AT83+AV83+AX83</f>
        <v>12</v>
      </c>
      <c r="AN83" s="41"/>
      <c r="AO83" s="41"/>
      <c r="AP83" s="41"/>
      <c r="AQ83" s="41"/>
      <c r="AR83" s="41">
        <f>SUM(AN83:AQ83)</f>
        <v>0</v>
      </c>
      <c r="AS83" s="41"/>
      <c r="AT83" s="41"/>
      <c r="AU83" s="41"/>
      <c r="AV83" s="41"/>
      <c r="AW83" s="41"/>
      <c r="AX83" s="41"/>
      <c r="AY83" s="41"/>
      <c r="AZ83" s="41"/>
      <c r="BA83" s="41">
        <f>+AR83+AS83+AU83+AW83+AY83+AZ83</f>
        <v>0</v>
      </c>
      <c r="BB83" s="37"/>
      <c r="BC83" s="55"/>
      <c r="BD83" s="55"/>
      <c r="BE83" s="55"/>
      <c r="BF83" s="55"/>
    </row>
    <row r="84" spans="1:58" ht="12.95" customHeight="1">
      <c r="A84" s="44"/>
      <c r="B84" s="45"/>
      <c r="C84" s="459"/>
      <c r="D84" s="45"/>
      <c r="E84" s="46"/>
      <c r="F84" s="46"/>
      <c r="G84" s="47"/>
      <c r="H84" s="48"/>
      <c r="I84" s="49"/>
      <c r="J84" s="86"/>
      <c r="K84" s="86"/>
      <c r="L84" s="39"/>
      <c r="M84" s="39"/>
      <c r="N84" s="50"/>
      <c r="O84" s="51"/>
      <c r="P84" s="52"/>
      <c r="Q84" s="51"/>
      <c r="R84" s="512"/>
      <c r="S84" s="512"/>
      <c r="T84" s="41"/>
      <c r="U84" s="41"/>
      <c r="V84" s="41"/>
      <c r="W84" s="41"/>
      <c r="X84" s="42"/>
      <c r="Y84" s="214"/>
      <c r="Z84" s="599"/>
      <c r="AA84" s="41"/>
      <c r="AB84" s="41"/>
      <c r="AC84" s="41"/>
      <c r="AD84" s="41">
        <f>+AM84+BA84</f>
        <v>3</v>
      </c>
      <c r="AE84" s="232" t="s">
        <v>201</v>
      </c>
      <c r="AF84" s="41"/>
      <c r="AG84" s="41"/>
      <c r="AH84" s="41"/>
      <c r="AI84" s="514">
        <v>3</v>
      </c>
      <c r="AJ84" s="41"/>
      <c r="AK84" s="41"/>
      <c r="AL84" s="41"/>
      <c r="AM84" s="41">
        <f>SUM(AF84:AL84)+AT84+AV84+AX84</f>
        <v>3</v>
      </c>
      <c r="AN84" s="87"/>
      <c r="AO84" s="41"/>
      <c r="AP84" s="41"/>
      <c r="AQ84" s="41"/>
      <c r="AR84" s="41">
        <f>SUM(AN84:AQ84)</f>
        <v>0</v>
      </c>
      <c r="AS84" s="41"/>
      <c r="AT84" s="41"/>
      <c r="AU84" s="41"/>
      <c r="AV84" s="41"/>
      <c r="AW84" s="41"/>
      <c r="AX84" s="41"/>
      <c r="AY84" s="41"/>
      <c r="AZ84" s="41"/>
      <c r="BA84" s="41">
        <f>+AR84+AS84+AU84+AW84+AY84+AZ84</f>
        <v>0</v>
      </c>
      <c r="BB84" s="54"/>
      <c r="BC84" s="55"/>
      <c r="BD84" s="55"/>
      <c r="BE84" s="55"/>
      <c r="BF84" s="55"/>
    </row>
    <row r="85" spans="1:58" ht="12.95" customHeight="1">
      <c r="A85" s="44"/>
      <c r="B85" s="45"/>
      <c r="C85" s="459"/>
      <c r="D85" s="45"/>
      <c r="E85" s="46"/>
      <c r="F85" s="46"/>
      <c r="G85" s="47"/>
      <c r="H85" s="48"/>
      <c r="I85" s="49"/>
      <c r="J85" s="86"/>
      <c r="K85" s="86"/>
      <c r="L85" s="39"/>
      <c r="M85" s="39"/>
      <c r="N85" s="50"/>
      <c r="O85" s="51"/>
      <c r="P85" s="52"/>
      <c r="Q85" s="51"/>
      <c r="R85" s="512"/>
      <c r="S85" s="512"/>
      <c r="T85" s="41"/>
      <c r="U85" s="41"/>
      <c r="V85" s="41"/>
      <c r="W85" s="41"/>
      <c r="X85" s="42"/>
      <c r="Y85" s="214"/>
      <c r="Z85" s="599"/>
      <c r="AA85" s="41"/>
      <c r="AB85" s="41"/>
      <c r="AC85" s="41"/>
      <c r="AD85" s="41"/>
      <c r="AE85" s="232"/>
      <c r="AF85" s="37"/>
      <c r="AG85" s="37"/>
      <c r="AH85" s="37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37"/>
      <c r="BC85" s="515"/>
      <c r="BD85" s="55"/>
      <c r="BE85" s="55"/>
      <c r="BF85" s="55"/>
    </row>
    <row r="86" spans="1:58" ht="12.95" customHeight="1">
      <c r="A86" s="44">
        <v>46008</v>
      </c>
      <c r="B86" s="45" t="s">
        <v>439</v>
      </c>
      <c r="C86" s="459">
        <f>(M86*E86*O86*Q86)/100000000</f>
        <v>21.379737599999999</v>
      </c>
      <c r="D86" s="45" t="s">
        <v>488</v>
      </c>
      <c r="E86" s="46">
        <v>18</v>
      </c>
      <c r="F86" s="46">
        <v>1</v>
      </c>
      <c r="G86" s="47">
        <v>830</v>
      </c>
      <c r="H86" s="48">
        <v>0.14000000000000001</v>
      </c>
      <c r="I86" s="49">
        <v>0.88</v>
      </c>
      <c r="J86" s="86">
        <f>E86*G86*(1-H86)*1440/1000000*3.4</f>
        <v>62.905766399999997</v>
      </c>
      <c r="K86" s="86">
        <f>(IF(G86&lt;L86,L86,G86)*(1-IF(H86&lt;N86,H86,N86))*E86*O86*Q86)/100000000</f>
        <v>21.379737599999999</v>
      </c>
      <c r="L86" s="39">
        <v>830</v>
      </c>
      <c r="M86" s="39">
        <f>+L86-L86*0.14</f>
        <v>713.8</v>
      </c>
      <c r="N86" s="50">
        <f>1-(M86/L86)</f>
        <v>0.14000000000000001</v>
      </c>
      <c r="O86" s="51">
        <f>+'Trim Rwd'!H54</f>
        <v>320</v>
      </c>
      <c r="P86" s="52">
        <f>O86*(Q86-R86-S86)</f>
        <v>163520</v>
      </c>
      <c r="Q86" s="51">
        <v>520</v>
      </c>
      <c r="R86" s="512">
        <v>0</v>
      </c>
      <c r="S86" s="512">
        <v>9</v>
      </c>
      <c r="T86" s="41">
        <f>E86*M86*O86*Q86/100000000</f>
        <v>21.379737599999999</v>
      </c>
      <c r="U86" s="41">
        <f>E86*M86*O86*(Q86-R86-S86)/100000000</f>
        <v>21.009703680000001</v>
      </c>
      <c r="V86" s="41">
        <f>E86*G86*(1-N86)*O86/100*(R86+S86)/1000000</f>
        <v>0.37003391999999996</v>
      </c>
      <c r="W86" s="41">
        <f>+'17'!K15/1000</f>
        <v>25.317</v>
      </c>
      <c r="X86" s="513">
        <f>SUM(W86:W89)/SUM(K86:K89)</f>
        <v>0.9745832458766398</v>
      </c>
      <c r="Y86" s="214">
        <v>0</v>
      </c>
      <c r="Z86" s="599">
        <v>0</v>
      </c>
      <c r="AA86" s="53">
        <f>SUM(U86:U89)-SUM(W86:W89)-SUM(Z86:Z89)-SUM(Y86:Y89)</f>
        <v>0.68980915999999581</v>
      </c>
      <c r="AB86" s="53">
        <f>(SUM(K86:K89)-SUM(W86:W89)-SUM(Y86:Y89)-SUM(Z86:Z89)-SUM(AC86:AC89)-SUM(V86:V89))-AA86</f>
        <v>-7.6605388699135801E-15</v>
      </c>
      <c r="AC86" s="41">
        <f>K86-T86</f>
        <v>0</v>
      </c>
      <c r="AD86" s="41">
        <f>+AM86+BA86</f>
        <v>1</v>
      </c>
      <c r="AE86" s="232" t="s">
        <v>392</v>
      </c>
      <c r="AF86" s="41">
        <v>1</v>
      </c>
      <c r="AG86" s="41"/>
      <c r="AH86" s="41"/>
      <c r="AI86" s="514"/>
      <c r="AJ86" s="41"/>
      <c r="AK86" s="41"/>
      <c r="AL86" s="41"/>
      <c r="AM86" s="41">
        <f>SUM(AF86:AL86)+AT86+AV86+AX86</f>
        <v>1</v>
      </c>
      <c r="AN86" s="41"/>
      <c r="AO86" s="41"/>
      <c r="AP86" s="41"/>
      <c r="AQ86" s="41"/>
      <c r="AR86" s="41">
        <f>SUM(AN86:AQ86)</f>
        <v>0</v>
      </c>
      <c r="AS86" s="41"/>
      <c r="AT86" s="41"/>
      <c r="AU86" s="41"/>
      <c r="AV86" s="41"/>
      <c r="AW86" s="41"/>
      <c r="AX86" s="41"/>
      <c r="AY86" s="41"/>
      <c r="AZ86" s="41"/>
      <c r="BA86" s="41">
        <f>+AR86+AS86+AU86+AW86+AY86+AZ86</f>
        <v>0</v>
      </c>
      <c r="BB86" s="37">
        <v>1</v>
      </c>
      <c r="BC86" s="55"/>
      <c r="BD86" s="55"/>
      <c r="BE86" s="37"/>
      <c r="BF86" s="55"/>
    </row>
    <row r="87" spans="1:58" ht="12.95" customHeight="1">
      <c r="A87" s="44"/>
      <c r="B87" s="45" t="s">
        <v>8</v>
      </c>
      <c r="C87" s="459">
        <f>(M87*E87*O87*Q87)/100000000</f>
        <v>35.500985759999992</v>
      </c>
      <c r="D87" s="45" t="s">
        <v>488</v>
      </c>
      <c r="E87" s="46">
        <v>17</v>
      </c>
      <c r="F87" s="46">
        <v>1</v>
      </c>
      <c r="G87" s="47">
        <v>830</v>
      </c>
      <c r="H87" s="48">
        <v>0.14000000000000001</v>
      </c>
      <c r="I87" s="49">
        <v>0.88</v>
      </c>
      <c r="J87" s="86">
        <f>E87*G87*(1-H87)*1440/1000000*3.4</f>
        <v>59.411001599999999</v>
      </c>
      <c r="K87" s="86">
        <f>(IF(G87&lt;L87,L87,G87)*(1-IF(H87&lt;N87,H87,N87))*E87*O87*Q87)/100000000</f>
        <v>35.500985759999992</v>
      </c>
      <c r="L87" s="39">
        <v>830</v>
      </c>
      <c r="M87" s="39">
        <f>+L87-L87*0.14</f>
        <v>713.8</v>
      </c>
      <c r="N87" s="50">
        <f>1-(M87/L87)</f>
        <v>0.14000000000000001</v>
      </c>
      <c r="O87" s="51">
        <f>+'Trim Rwd'!H55</f>
        <v>318</v>
      </c>
      <c r="P87" s="52">
        <f>O87*(Q87-R87-S87)</f>
        <v>289380</v>
      </c>
      <c r="Q87" s="51">
        <v>920</v>
      </c>
      <c r="R87" s="512">
        <v>0</v>
      </c>
      <c r="S87" s="512">
        <v>10</v>
      </c>
      <c r="T87" s="41">
        <f>E87*M87*O87*Q87/100000000</f>
        <v>35.500985759999992</v>
      </c>
      <c r="U87" s="41">
        <f>E87*M87*O87*(Q87-R87-S87)/100000000</f>
        <v>35.115105479999997</v>
      </c>
      <c r="V87" s="41">
        <f>E87*G87*(1-N87)*O87/100*(R87+S87)/1000000</f>
        <v>0.38588028000000002</v>
      </c>
      <c r="W87" s="41">
        <f>+'17'!K10/1000</f>
        <v>30.117999999999999</v>
      </c>
      <c r="X87" s="42"/>
      <c r="Y87" s="214"/>
      <c r="Z87" s="599"/>
      <c r="AA87" s="41"/>
      <c r="AB87" s="41"/>
      <c r="AC87" s="41">
        <f>K87-T87</f>
        <v>0</v>
      </c>
      <c r="AD87" s="41">
        <f>+AM87+BA87</f>
        <v>10</v>
      </c>
      <c r="AE87" s="232" t="s">
        <v>394</v>
      </c>
      <c r="AF87" s="41"/>
      <c r="AG87" s="41">
        <v>10</v>
      </c>
      <c r="AH87" s="41"/>
      <c r="AI87" s="514"/>
      <c r="AJ87" s="41"/>
      <c r="AK87" s="41"/>
      <c r="AL87" s="41"/>
      <c r="AM87" s="41">
        <f>SUM(AF87:AL87)+AT87+AV87+AX87</f>
        <v>10</v>
      </c>
      <c r="AN87" s="87"/>
      <c r="AO87" s="41"/>
      <c r="AP87" s="41"/>
      <c r="AQ87" s="41"/>
      <c r="AR87" s="41">
        <f>SUM(AN87:AQ87)</f>
        <v>0</v>
      </c>
      <c r="AS87" s="41"/>
      <c r="AT87" s="41"/>
      <c r="AU87" s="41"/>
      <c r="AV87" s="41"/>
      <c r="AW87" s="41"/>
      <c r="AX87" s="41"/>
      <c r="AY87" s="41"/>
      <c r="AZ87" s="41"/>
      <c r="BA87" s="41">
        <f>+AR87+AS87+AU87+AW87+AY87+AZ87</f>
        <v>0</v>
      </c>
      <c r="BB87" s="54"/>
      <c r="BC87" s="55">
        <v>3</v>
      </c>
      <c r="BD87" s="55"/>
      <c r="BE87" s="54"/>
      <c r="BF87" s="55"/>
    </row>
    <row r="88" spans="1:58" ht="12.95" customHeight="1">
      <c r="A88" s="44"/>
      <c r="B88" s="45"/>
      <c r="C88" s="459"/>
      <c r="D88" s="45"/>
      <c r="E88" s="46"/>
      <c r="F88" s="46"/>
      <c r="G88" s="47"/>
      <c r="H88" s="48"/>
      <c r="I88" s="49"/>
      <c r="J88" s="86"/>
      <c r="K88" s="86"/>
      <c r="L88" s="39"/>
      <c r="M88" s="39"/>
      <c r="N88" s="50"/>
      <c r="O88" s="51"/>
      <c r="P88" s="52"/>
      <c r="Q88" s="51"/>
      <c r="R88" s="512"/>
      <c r="S88" s="512"/>
      <c r="T88" s="41"/>
      <c r="U88" s="41"/>
      <c r="V88" s="41"/>
      <c r="W88" s="41"/>
      <c r="X88" s="42"/>
      <c r="Y88" s="214"/>
      <c r="Z88" s="599"/>
      <c r="AA88" s="41"/>
      <c r="AB88" s="41"/>
      <c r="AC88" s="41"/>
      <c r="AD88" s="41">
        <f>+AM88+BA88</f>
        <v>8</v>
      </c>
      <c r="AE88" s="232" t="s">
        <v>226</v>
      </c>
      <c r="AF88" s="37"/>
      <c r="AG88" s="37"/>
      <c r="AH88" s="37">
        <v>8</v>
      </c>
      <c r="AJ88" s="41"/>
      <c r="AK88" s="41"/>
      <c r="AL88" s="41"/>
      <c r="AM88" s="41">
        <f>SUM(AF88:AL88)+AT88+AV88+AX88</f>
        <v>8</v>
      </c>
      <c r="AN88" s="41"/>
      <c r="AO88" s="41"/>
      <c r="AP88" s="41"/>
      <c r="AQ88" s="41"/>
      <c r="AR88" s="41">
        <f>SUM(AN88:AQ88)</f>
        <v>0</v>
      </c>
      <c r="AS88" s="41"/>
      <c r="AT88" s="41"/>
      <c r="AU88" s="41"/>
      <c r="AV88" s="41"/>
      <c r="AW88" s="41"/>
      <c r="AX88" s="41"/>
      <c r="AY88" s="41"/>
      <c r="AZ88" s="41"/>
      <c r="BA88" s="41">
        <f>+AR88+AS88+AU88+AW88+AY88+AZ88</f>
        <v>0</v>
      </c>
      <c r="BB88" s="37"/>
      <c r="BC88" s="515"/>
      <c r="BD88" s="515"/>
      <c r="BE88" s="37"/>
      <c r="BF88" s="515"/>
    </row>
    <row r="89" spans="1:58" ht="12.95" customHeight="1">
      <c r="A89" s="44"/>
      <c r="B89" s="45"/>
      <c r="C89" s="459"/>
      <c r="D89" s="45"/>
      <c r="E89" s="46"/>
      <c r="F89" s="46"/>
      <c r="G89" s="47"/>
      <c r="H89" s="48"/>
      <c r="I89" s="49"/>
      <c r="J89" s="86"/>
      <c r="K89" s="86"/>
      <c r="L89" s="39"/>
      <c r="M89" s="39"/>
      <c r="N89" s="50"/>
      <c r="O89" s="51"/>
      <c r="P89" s="52"/>
      <c r="Q89" s="51"/>
      <c r="R89" s="512"/>
      <c r="S89" s="512"/>
      <c r="T89" s="41"/>
      <c r="U89" s="41"/>
      <c r="V89" s="41"/>
      <c r="W89" s="41"/>
      <c r="X89" s="42"/>
      <c r="Y89" s="214"/>
      <c r="Z89" s="599"/>
      <c r="AA89" s="41"/>
      <c r="AB89" s="41"/>
      <c r="AC89" s="41"/>
      <c r="AD89" s="41"/>
      <c r="AE89" s="235"/>
      <c r="AF89" s="41"/>
      <c r="AG89" s="41"/>
      <c r="AH89" s="41"/>
      <c r="AI89" s="514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37"/>
      <c r="BC89" s="515"/>
      <c r="BD89" s="515"/>
      <c r="BE89" s="37"/>
      <c r="BF89" s="515"/>
    </row>
    <row r="90" spans="1:58" ht="12.95" customHeight="1">
      <c r="A90" s="44">
        <v>46009</v>
      </c>
      <c r="B90" s="45" t="s">
        <v>8</v>
      </c>
      <c r="C90" s="459">
        <f>(M90*E90*O90*Q90)/100000000</f>
        <v>30.137249867999998</v>
      </c>
      <c r="D90" s="45" t="s">
        <v>488</v>
      </c>
      <c r="E90" s="46">
        <v>17</v>
      </c>
      <c r="F90" s="46">
        <v>1</v>
      </c>
      <c r="G90" s="47">
        <v>830</v>
      </c>
      <c r="H90" s="48">
        <v>0.14000000000000001</v>
      </c>
      <c r="I90" s="49">
        <v>0.88</v>
      </c>
      <c r="J90" s="86">
        <f>E90*G90*(1-H90)*1440/1000000*3.4</f>
        <v>59.411001599999999</v>
      </c>
      <c r="K90" s="86">
        <f>(IF(G90&lt;L90,L90,G90)*(1-IF(H90&lt;N90,H90,N90))*E90*O90*Q90)/100000000</f>
        <v>30.137249867999998</v>
      </c>
      <c r="L90" s="39">
        <v>830</v>
      </c>
      <c r="M90" s="39">
        <f>+L90-L90*0.14</f>
        <v>713.8</v>
      </c>
      <c r="N90" s="50">
        <f>1-(M90/L90)</f>
        <v>0.14000000000000001</v>
      </c>
      <c r="O90" s="51">
        <f>+'Trim Rwd'!H57</f>
        <v>318</v>
      </c>
      <c r="P90" s="52">
        <f>O90*(Q90-R90-S90)</f>
        <v>244860</v>
      </c>
      <c r="Q90" s="51">
        <v>781</v>
      </c>
      <c r="R90" s="512">
        <v>0</v>
      </c>
      <c r="S90" s="512">
        <v>11</v>
      </c>
      <c r="T90" s="41">
        <f>E90*M90*O90*Q90/100000000</f>
        <v>30.137249867999998</v>
      </c>
      <c r="U90" s="41">
        <f>E90*M90*O90*(Q90-R90-S90)/100000000</f>
        <v>29.712781559999996</v>
      </c>
      <c r="V90" s="41">
        <f>E90*G90*(1-N90)*O90/100*(R90+S90)/1000000</f>
        <v>0.42446830800000007</v>
      </c>
      <c r="W90" s="41">
        <f>+'18'!K10/1000</f>
        <v>29.06</v>
      </c>
      <c r="X90" s="513">
        <f>SUM(W90:W93)/SUM(K90:K93)</f>
        <v>0.84073810964757945</v>
      </c>
      <c r="Y90" s="214">
        <v>0</v>
      </c>
      <c r="Z90" s="599">
        <v>0</v>
      </c>
      <c r="AA90" s="41">
        <f>SUM(U90:U93)-SUM(W90:W93)-SUM(Z90:Z93)-SUM(Y90:Y93)</f>
        <v>4.2500314099999974</v>
      </c>
      <c r="AB90" s="41">
        <f>(SUM(K90:K93)-SUM(W90:W93)-SUM(Y90:Y93)-SUM(Z90:Z93)-SUM(AC90:AC93)-SUM(V90:V93))-AA90</f>
        <v>0</v>
      </c>
      <c r="AC90" s="41">
        <f>K90-T90</f>
        <v>0</v>
      </c>
      <c r="AD90" s="41">
        <f>+AM90+BA90</f>
        <v>0</v>
      </c>
      <c r="AE90" s="235" t="s">
        <v>395</v>
      </c>
      <c r="AF90" s="37">
        <v>0</v>
      </c>
      <c r="AG90" s="37"/>
      <c r="AH90" s="37"/>
      <c r="AJ90" s="41"/>
      <c r="AK90" s="41"/>
      <c r="AL90" s="41"/>
      <c r="AM90" s="41">
        <f>SUM(AF90:AL90)+AT90+AV90+AX90</f>
        <v>0</v>
      </c>
      <c r="AN90" s="41"/>
      <c r="AO90" s="41"/>
      <c r="AP90" s="41"/>
      <c r="AQ90" s="41"/>
      <c r="AR90" s="41">
        <f>SUM(AN90:AQ90)</f>
        <v>0</v>
      </c>
      <c r="AS90" s="41"/>
      <c r="AT90" s="41"/>
      <c r="AU90" s="41"/>
      <c r="AV90" s="41"/>
      <c r="AW90" s="41"/>
      <c r="AX90" s="41"/>
      <c r="AY90" s="41"/>
      <c r="AZ90" s="41"/>
      <c r="BA90" s="41">
        <f>+AR90+AS90+AU90+AW90+AY90+AZ90</f>
        <v>0</v>
      </c>
      <c r="BB90" s="37">
        <v>0</v>
      </c>
      <c r="BC90" s="515"/>
      <c r="BD90" s="515"/>
      <c r="BE90" s="37"/>
      <c r="BF90" s="515"/>
    </row>
    <row r="91" spans="1:58" ht="12.95" customHeight="1">
      <c r="A91" s="44"/>
      <c r="B91" s="3" t="s">
        <v>439</v>
      </c>
      <c r="C91" s="459">
        <f>(M91*E91*O91*Q91)/100000000</f>
        <v>14.96281836</v>
      </c>
      <c r="D91" s="45" t="s">
        <v>488</v>
      </c>
      <c r="E91" s="46">
        <v>15.5</v>
      </c>
      <c r="F91" s="46">
        <v>1</v>
      </c>
      <c r="G91" s="47">
        <v>830</v>
      </c>
      <c r="H91" s="48">
        <v>0.14000000000000001</v>
      </c>
      <c r="I91" s="49">
        <v>0.88</v>
      </c>
      <c r="J91" s="86">
        <f>E91*G91*(1-H91)*1440/1000000*3.4</f>
        <v>54.168854400000001</v>
      </c>
      <c r="K91" s="86">
        <f>(IF(G91&lt;L91,L91,G91)*(1-IF(H91&lt;N91,H91,N91))*E91*O91*Q91)/100000000</f>
        <v>14.96281836</v>
      </c>
      <c r="L91" s="39">
        <v>830</v>
      </c>
      <c r="M91" s="39">
        <f>+L91-L91*0.14</f>
        <v>713.8</v>
      </c>
      <c r="N91" s="50">
        <f>1-(M91/L91)</f>
        <v>0.14000000000000001</v>
      </c>
      <c r="O91" s="51">
        <f>+'Trim Rwd'!H58</f>
        <v>322</v>
      </c>
      <c r="P91" s="52">
        <f>O91*(Q91-R91-S91)</f>
        <v>110768</v>
      </c>
      <c r="Q91" s="38">
        <f>355+65</f>
        <v>420</v>
      </c>
      <c r="R91" s="512">
        <v>65</v>
      </c>
      <c r="S91" s="512">
        <v>11</v>
      </c>
      <c r="T91" s="41">
        <f>E91*M91*O91*Q91/100000000</f>
        <v>14.96281836</v>
      </c>
      <c r="U91" s="41">
        <f>E91*M91*O91*(Q91-R91-S91)/100000000</f>
        <v>12.255260752</v>
      </c>
      <c r="V91" s="41">
        <f>E91*G91*(1-N91)*O91/100*(R91+S91)/1000000</f>
        <v>2.7075576080000001</v>
      </c>
      <c r="W91" s="41">
        <f>+'18'!K11/1000</f>
        <v>10.276999999999999</v>
      </c>
      <c r="X91" s="42"/>
      <c r="Y91" s="214"/>
      <c r="Z91" s="599">
        <f>+'18'!D34/1000</f>
        <v>0.97899999999999998</v>
      </c>
      <c r="AA91" s="53"/>
      <c r="AB91" s="53"/>
      <c r="AC91" s="41">
        <f>K91-T91</f>
        <v>0</v>
      </c>
      <c r="AD91" s="41">
        <f>+AM91+BA91</f>
        <v>11</v>
      </c>
      <c r="AE91" s="24" t="s">
        <v>394</v>
      </c>
      <c r="AF91" s="41"/>
      <c r="AG91" s="41">
        <v>11</v>
      </c>
      <c r="AH91" s="41"/>
      <c r="AI91" s="41"/>
      <c r="AJ91" s="41"/>
      <c r="AK91" s="41"/>
      <c r="AL91" s="41"/>
      <c r="AM91" s="41">
        <f>SUM(AF91:AL91)+AT91+AV91+AX91</f>
        <v>11</v>
      </c>
      <c r="AN91" s="41"/>
      <c r="AO91" s="41"/>
      <c r="AP91" s="41"/>
      <c r="AQ91" s="41"/>
      <c r="AR91" s="41">
        <f>SUM(AN91:AQ91)</f>
        <v>0</v>
      </c>
      <c r="AS91" s="41"/>
      <c r="AT91" s="41"/>
      <c r="AU91" s="41"/>
      <c r="AV91" s="41"/>
      <c r="AW91" s="41"/>
      <c r="AX91" s="41"/>
      <c r="AY91" s="41"/>
      <c r="AZ91" s="41"/>
      <c r="BA91" s="41">
        <f>+AR91+AS91+AU91+AW91+AY91+AZ91</f>
        <v>0</v>
      </c>
      <c r="BB91" s="37"/>
      <c r="BC91" s="55">
        <v>3</v>
      </c>
      <c r="BD91" s="55"/>
      <c r="BE91" s="55"/>
      <c r="BF91" s="55"/>
    </row>
    <row r="92" spans="1:58" ht="12.95" customHeight="1">
      <c r="A92" s="44"/>
      <c r="B92" s="45" t="s">
        <v>8</v>
      </c>
      <c r="C92" s="459">
        <f>(M92*E92*O92*Q92)/100000000</f>
        <v>9.3675471619999975</v>
      </c>
      <c r="D92" s="45" t="s">
        <v>488</v>
      </c>
      <c r="E92" s="46">
        <v>17</v>
      </c>
      <c r="F92" s="46">
        <v>1</v>
      </c>
      <c r="G92" s="47">
        <v>830</v>
      </c>
      <c r="H92" s="48">
        <v>0.14000000000000001</v>
      </c>
      <c r="I92" s="49">
        <v>0.88</v>
      </c>
      <c r="J92" s="86">
        <f>E92*G92*(1-H92)*1440/1000000*3.4</f>
        <v>59.411001599999999</v>
      </c>
      <c r="K92" s="86">
        <f>(IF(G92&lt;L92,L92,G92)*(1-IF(H92&lt;N92,H92,N92))*E92*O92*Q92)/100000000</f>
        <v>9.3675471619999975</v>
      </c>
      <c r="L92" s="39">
        <v>830</v>
      </c>
      <c r="M92" s="39">
        <f>+L92-L92*0.14</f>
        <v>713.8</v>
      </c>
      <c r="N92" s="50">
        <f>1-(M92/L92)</f>
        <v>0.14000000000000001</v>
      </c>
      <c r="O92" s="51">
        <f>+'Trim Rwd'!H59</f>
        <v>323</v>
      </c>
      <c r="P92" s="52">
        <f>O92*(Q92-R92-S92)</f>
        <v>74613</v>
      </c>
      <c r="Q92" s="51">
        <v>239</v>
      </c>
      <c r="R92" s="512">
        <v>0</v>
      </c>
      <c r="S92" s="512">
        <v>8</v>
      </c>
      <c r="T92" s="41">
        <f>E92*M92*O92*Q92/100000000</f>
        <v>9.3675471619999975</v>
      </c>
      <c r="U92" s="41">
        <f>E92*M92*O92*(Q92-R92-S92)/100000000</f>
        <v>9.0539890979999988</v>
      </c>
      <c r="V92" s="41">
        <f>E92*G92*(1-N92)*O92/100*(R92+S92)/1000000</f>
        <v>0.31355806400000003</v>
      </c>
      <c r="W92" s="41">
        <f>+'18'!K16/1000</f>
        <v>6.4560000000000004</v>
      </c>
      <c r="X92" s="42"/>
      <c r="Y92" s="214"/>
      <c r="Z92" s="599"/>
      <c r="AA92" s="53"/>
      <c r="AB92" s="53"/>
      <c r="AC92" s="41">
        <f>K92-T92</f>
        <v>0</v>
      </c>
      <c r="AD92" s="41">
        <f>+AM92+BA92</f>
        <v>11</v>
      </c>
      <c r="AE92" s="232" t="s">
        <v>226</v>
      </c>
      <c r="AF92" s="41"/>
      <c r="AG92" s="41"/>
      <c r="AH92" s="41">
        <v>11</v>
      </c>
      <c r="AI92" s="514"/>
      <c r="AJ92" s="41"/>
      <c r="AK92" s="41"/>
      <c r="AL92" s="41"/>
      <c r="AM92" s="41">
        <f>SUM(AF92:AL92)+AT92+AV92+AX92</f>
        <v>11</v>
      </c>
      <c r="AN92" s="41"/>
      <c r="AO92" s="41"/>
      <c r="AP92" s="41"/>
      <c r="AQ92" s="41"/>
      <c r="AR92" s="41">
        <f>SUM(AN92:AQ92)</f>
        <v>0</v>
      </c>
      <c r="AS92" s="41"/>
      <c r="AT92" s="41"/>
      <c r="AU92" s="41"/>
      <c r="AV92" s="41"/>
      <c r="AW92" s="41"/>
      <c r="AX92" s="41"/>
      <c r="AY92" s="41"/>
      <c r="AZ92" s="41"/>
      <c r="BA92" s="41">
        <f>+AR92+AS92+AU92+AW92+AY92+AZ92</f>
        <v>0</v>
      </c>
      <c r="BB92" s="37"/>
      <c r="BC92" s="55"/>
      <c r="BD92" s="55"/>
      <c r="BE92" s="55"/>
      <c r="BF92" s="55"/>
    </row>
    <row r="93" spans="1:58" ht="12.95" customHeight="1">
      <c r="A93" s="44"/>
      <c r="B93" s="45"/>
      <c r="C93" s="459"/>
      <c r="D93" s="45"/>
      <c r="E93" s="46"/>
      <c r="F93" s="46"/>
      <c r="G93" s="47"/>
      <c r="H93" s="48"/>
      <c r="I93" s="49"/>
      <c r="J93" s="86"/>
      <c r="K93" s="86"/>
      <c r="L93" s="39"/>
      <c r="M93" s="39"/>
      <c r="N93" s="50"/>
      <c r="O93" s="51"/>
      <c r="P93" s="52"/>
      <c r="Q93" s="51"/>
      <c r="R93" s="512"/>
      <c r="S93" s="512"/>
      <c r="T93" s="41"/>
      <c r="U93" s="41"/>
      <c r="V93" s="41"/>
      <c r="W93" s="41"/>
      <c r="X93" s="42"/>
      <c r="Y93" s="214"/>
      <c r="Z93" s="599"/>
      <c r="AA93" s="41"/>
      <c r="AB93" s="41"/>
      <c r="AC93" s="41"/>
      <c r="AD93" s="41">
        <f>+AM93+BA93</f>
        <v>8</v>
      </c>
      <c r="AE93" s="232" t="s">
        <v>531</v>
      </c>
      <c r="AF93" s="41"/>
      <c r="AG93" s="41"/>
      <c r="AH93" s="41"/>
      <c r="AI93" s="514">
        <v>8</v>
      </c>
      <c r="AJ93" s="41"/>
      <c r="AK93" s="41"/>
      <c r="AL93" s="41"/>
      <c r="AM93" s="41">
        <f>SUM(AF93:AL93)+AT93+AV93+AX93</f>
        <v>8</v>
      </c>
      <c r="AN93" s="87"/>
      <c r="AO93" s="41"/>
      <c r="AP93" s="41"/>
      <c r="AQ93" s="41"/>
      <c r="AR93" s="41">
        <f>SUM(AN93:AQ93)</f>
        <v>0</v>
      </c>
      <c r="AS93" s="41"/>
      <c r="AT93" s="41"/>
      <c r="AU93" s="41"/>
      <c r="AV93" s="41"/>
      <c r="AW93" s="41"/>
      <c r="AX93" s="41"/>
      <c r="AY93" s="41"/>
      <c r="AZ93" s="41"/>
      <c r="BA93" s="41">
        <f>+AR93+AS93+AU93+AW93+AY93+AZ93</f>
        <v>0</v>
      </c>
      <c r="BB93" s="54"/>
      <c r="BC93" s="55"/>
      <c r="BD93" s="55"/>
      <c r="BE93" s="55"/>
      <c r="BF93" s="55"/>
    </row>
    <row r="94" spans="1:58" ht="12.95" customHeight="1">
      <c r="A94" s="44"/>
      <c r="B94" s="45"/>
      <c r="C94" s="459"/>
      <c r="D94" s="45"/>
      <c r="E94" s="46"/>
      <c r="F94" s="46"/>
      <c r="G94" s="47"/>
      <c r="H94" s="48"/>
      <c r="I94" s="49"/>
      <c r="J94" s="86"/>
      <c r="K94" s="86"/>
      <c r="L94" s="39"/>
      <c r="M94" s="39"/>
      <c r="N94" s="50"/>
      <c r="O94" s="51"/>
      <c r="P94" s="52"/>
      <c r="Q94" s="51"/>
      <c r="R94" s="512"/>
      <c r="S94" s="512"/>
      <c r="T94" s="41"/>
      <c r="U94" s="41"/>
      <c r="V94" s="41"/>
      <c r="W94" s="41"/>
      <c r="X94" s="42"/>
      <c r="Y94" s="214"/>
      <c r="Z94" s="599"/>
      <c r="AA94" s="41"/>
      <c r="AB94" s="41"/>
      <c r="AC94" s="41"/>
      <c r="AD94" s="41">
        <f>+AM94+BA94</f>
        <v>65</v>
      </c>
      <c r="AE94" s="232" t="s">
        <v>585</v>
      </c>
      <c r="AF94" s="37"/>
      <c r="AG94" s="37"/>
      <c r="AH94" s="37"/>
      <c r="AJ94" s="41"/>
      <c r="AK94" s="41"/>
      <c r="AL94" s="41"/>
      <c r="AM94" s="41">
        <f>SUM(AF94:AL94)+AT94+AV94+AX94</f>
        <v>0</v>
      </c>
      <c r="AN94" s="41">
        <v>65</v>
      </c>
      <c r="AO94" s="41"/>
      <c r="AP94" s="41"/>
      <c r="AQ94" s="41"/>
      <c r="AR94" s="41">
        <f>SUM(AN94:AQ94)</f>
        <v>65</v>
      </c>
      <c r="AS94" s="41"/>
      <c r="AT94" s="41"/>
      <c r="AU94" s="41"/>
      <c r="AV94" s="41"/>
      <c r="AW94" s="41"/>
      <c r="AX94" s="41"/>
      <c r="AY94" s="41"/>
      <c r="AZ94" s="41"/>
      <c r="BA94" s="41">
        <f>+AR94+AS94+AU94+AW94+AY94+AZ94</f>
        <v>65</v>
      </c>
      <c r="BB94" s="37"/>
      <c r="BC94" s="515"/>
      <c r="BD94" s="55"/>
      <c r="BE94" s="55"/>
      <c r="BF94" s="55">
        <v>1</v>
      </c>
    </row>
    <row r="95" spans="1:58" ht="12.95" customHeight="1">
      <c r="A95" s="44"/>
      <c r="B95" s="45"/>
      <c r="C95" s="459"/>
      <c r="D95" s="45"/>
      <c r="E95" s="46"/>
      <c r="F95" s="46"/>
      <c r="G95" s="47"/>
      <c r="H95" s="48"/>
      <c r="I95" s="49"/>
      <c r="J95" s="86"/>
      <c r="K95" s="86"/>
      <c r="L95" s="39"/>
      <c r="M95" s="39"/>
      <c r="N95" s="50"/>
      <c r="O95" s="51"/>
      <c r="P95" s="52"/>
      <c r="Q95" s="51"/>
      <c r="R95" s="512"/>
      <c r="S95" s="512"/>
      <c r="T95" s="41"/>
      <c r="U95" s="41"/>
      <c r="V95" s="41"/>
      <c r="W95" s="41"/>
      <c r="X95" s="42"/>
      <c r="Y95" s="42"/>
      <c r="Z95" s="599"/>
      <c r="AA95" s="53"/>
      <c r="AB95" s="53"/>
      <c r="AC95" s="41"/>
      <c r="AD95" s="41"/>
      <c r="AE95" s="24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  <c r="BB95" s="37"/>
      <c r="BC95" s="55"/>
      <c r="BD95" s="515"/>
      <c r="BE95" s="37"/>
      <c r="BF95" s="515"/>
    </row>
    <row r="96" spans="1:58" ht="12.95" customHeight="1">
      <c r="A96" s="44">
        <v>46010</v>
      </c>
      <c r="B96" s="45" t="s">
        <v>8</v>
      </c>
      <c r="C96" s="459">
        <f>(M96*E96*O96*Q96)/100000000</f>
        <v>0.60521317500000005</v>
      </c>
      <c r="D96" s="45" t="s">
        <v>488</v>
      </c>
      <c r="E96" s="46">
        <v>17.5</v>
      </c>
      <c r="F96" s="46">
        <v>1</v>
      </c>
      <c r="G96" s="47">
        <v>830</v>
      </c>
      <c r="H96" s="48">
        <v>0.14000000000000001</v>
      </c>
      <c r="I96" s="49">
        <v>0.88</v>
      </c>
      <c r="J96" s="86">
        <f>E96*G96*(1-H96)*1440/1000000*3.4</f>
        <v>61.158384000000005</v>
      </c>
      <c r="K96" s="86">
        <f>(IF(G96&lt;L96,L96,G96)*(1-IF(H96&lt;N96,H96,N96))*E96*O96*Q96)/100000000</f>
        <v>0.60521317500000005</v>
      </c>
      <c r="L96" s="39">
        <v>830</v>
      </c>
      <c r="M96" s="39">
        <f>+L96-L96*0.14</f>
        <v>713.8</v>
      </c>
      <c r="N96" s="50">
        <f>1-(M96/L96)</f>
        <v>0.14000000000000001</v>
      </c>
      <c r="O96" s="51">
        <f>+'Trim Rwd'!H61</f>
        <v>323</v>
      </c>
      <c r="P96" s="52">
        <f>O96*(Q96-R96-S96)</f>
        <v>4845</v>
      </c>
      <c r="Q96" s="51">
        <v>15</v>
      </c>
      <c r="R96" s="512">
        <v>0</v>
      </c>
      <c r="S96" s="512">
        <v>0</v>
      </c>
      <c r="T96" s="41">
        <f>E96*M96*O96*Q96/100000000</f>
        <v>0.60521317500000005</v>
      </c>
      <c r="U96" s="41">
        <f>E96*M96*O96*(Q96-R96-S96)/100000000</f>
        <v>0.60521317500000005</v>
      </c>
      <c r="V96" s="41">
        <f>E96*G96*(1-N96)*O96/100*(R96+S96)/1000000</f>
        <v>0</v>
      </c>
      <c r="W96" s="41">
        <f>+'19'!K16/1000</f>
        <v>5.0810000000000004</v>
      </c>
      <c r="X96" s="513">
        <f>SUM(W96:W99)/SUM(K96:K99)</f>
        <v>0.94601799680450205</v>
      </c>
      <c r="Y96" s="214">
        <v>0</v>
      </c>
      <c r="Z96" s="599">
        <v>0</v>
      </c>
      <c r="AA96" s="53">
        <f>SUM(U96:U99)-SUM(W96:W99)-SUM(Z96:Z99)-SUM(Y96:Y99)</f>
        <v>2.6256403750000032</v>
      </c>
      <c r="AB96" s="53">
        <f>(SUM(K96:K99)-SUM(W96:W99)-SUM(Y96:Y99)-SUM(Z96:Z99)-SUM(AC96:AC99)-SUM(V96:V99))-AA96</f>
        <v>0</v>
      </c>
      <c r="AC96" s="41">
        <f>K96-T96</f>
        <v>0</v>
      </c>
      <c r="AD96" s="41">
        <f>+AM96+BA96</f>
        <v>0</v>
      </c>
      <c r="AE96" s="232" t="s">
        <v>395</v>
      </c>
      <c r="AF96" s="41">
        <v>0</v>
      </c>
      <c r="AG96" s="41"/>
      <c r="AH96" s="41"/>
      <c r="AI96" s="41"/>
      <c r="AJ96" s="41"/>
      <c r="AK96" s="41"/>
      <c r="AL96" s="41"/>
      <c r="AM96" s="41">
        <f>SUM(AF96:AL96)+AT96+AV96+AX96</f>
        <v>0</v>
      </c>
      <c r="AN96" s="41"/>
      <c r="AO96" s="41"/>
      <c r="AP96" s="41"/>
      <c r="AQ96" s="41"/>
      <c r="AR96" s="41">
        <f>SUM(AN96:AQ96)</f>
        <v>0</v>
      </c>
      <c r="AS96" s="41"/>
      <c r="AT96" s="41"/>
      <c r="AU96" s="41"/>
      <c r="AV96" s="41"/>
      <c r="AW96" s="41"/>
      <c r="AX96" s="41"/>
      <c r="AY96" s="41"/>
      <c r="AZ96" s="41"/>
      <c r="BA96" s="41">
        <f>+AR96+AS96+AU96+AW96+AY96+AZ96</f>
        <v>0</v>
      </c>
      <c r="BB96" s="37">
        <v>0</v>
      </c>
      <c r="BC96" s="55"/>
      <c r="BD96" s="55"/>
      <c r="BE96" s="55"/>
      <c r="BF96" s="55"/>
    </row>
    <row r="97" spans="1:58" ht="12.95" customHeight="1">
      <c r="A97" s="44"/>
      <c r="B97" s="45" t="s">
        <v>8</v>
      </c>
      <c r="C97" s="459">
        <f>(M97*E97*O97*Q97)/100000000</f>
        <v>71.160863399999997</v>
      </c>
      <c r="D97" s="45" t="s">
        <v>488</v>
      </c>
      <c r="E97" s="46">
        <v>22</v>
      </c>
      <c r="F97" s="46">
        <v>1</v>
      </c>
      <c r="G97" s="47">
        <v>830</v>
      </c>
      <c r="H97" s="48">
        <v>0.14000000000000001</v>
      </c>
      <c r="I97" s="49">
        <v>0.88</v>
      </c>
      <c r="J97" s="86">
        <f>E97*G97*(1-H97)*1440/1000000*3.4</f>
        <v>76.884825599999999</v>
      </c>
      <c r="K97" s="86">
        <f>(IF(G97&lt;L97,L97,G97)*(1-IF(H97&lt;N97,H97,N97))*E97*O97*Q97)/100000000</f>
        <v>71.160863399999997</v>
      </c>
      <c r="L97" s="39">
        <v>830</v>
      </c>
      <c r="M97" s="39">
        <f>+L97-L97*0.14</f>
        <v>713.8</v>
      </c>
      <c r="N97" s="50">
        <f>1-(M97/L97)</f>
        <v>0.14000000000000001</v>
      </c>
      <c r="O97" s="51">
        <f>+'Trim Rwd'!H62</f>
        <v>318</v>
      </c>
      <c r="P97" s="52">
        <f>O97*(Q97-R97-S97)</f>
        <v>445200</v>
      </c>
      <c r="Q97" s="51">
        <v>1425</v>
      </c>
      <c r="R97" s="512">
        <v>0</v>
      </c>
      <c r="S97" s="512">
        <v>25</v>
      </c>
      <c r="T97" s="41">
        <f>E97*M97*O97*Q97/100000000</f>
        <v>71.160863399999997</v>
      </c>
      <c r="U97" s="41">
        <f>E97*M97*O97*(Q97-R97-S97)/100000000</f>
        <v>69.912427199999996</v>
      </c>
      <c r="V97" s="41">
        <f>E97*G97*(1-N97)*O97/100*(R97+S97)/1000000</f>
        <v>1.2484362</v>
      </c>
      <c r="W97" s="41">
        <f>+'19'!K17/1000</f>
        <v>62.811</v>
      </c>
      <c r="X97" s="42"/>
      <c r="Y97" s="214"/>
      <c r="Z97" s="599">
        <v>0</v>
      </c>
      <c r="AA97" s="41"/>
      <c r="AB97" s="41"/>
      <c r="AC97" s="41">
        <f>K97-T97</f>
        <v>0</v>
      </c>
      <c r="AD97" s="41">
        <f>+AM97+BA97</f>
        <v>9</v>
      </c>
      <c r="AE97" s="232" t="s">
        <v>454</v>
      </c>
      <c r="AF97" s="41"/>
      <c r="AG97" s="41">
        <v>9</v>
      </c>
      <c r="AH97" s="41"/>
      <c r="AI97" s="41"/>
      <c r="AJ97" s="41"/>
      <c r="AK97" s="41"/>
      <c r="AL97" s="41"/>
      <c r="AM97" s="41">
        <f>SUM(AF97:AL97)+AT97+AV97+AX97</f>
        <v>9</v>
      </c>
      <c r="AN97" s="41"/>
      <c r="AO97" s="41"/>
      <c r="AP97" s="41"/>
      <c r="AQ97" s="41"/>
      <c r="AR97" s="41">
        <f>SUM(AN97:AQ97)</f>
        <v>0</v>
      </c>
      <c r="AS97" s="41"/>
      <c r="AT97" s="41"/>
      <c r="AU97" s="41"/>
      <c r="AV97" s="41"/>
      <c r="AW97" s="41"/>
      <c r="AX97" s="41"/>
      <c r="AY97" s="41"/>
      <c r="AZ97" s="41"/>
      <c r="BA97" s="41">
        <f>+AR97+AS97+AU97+AW97+AY97+AZ97</f>
        <v>0</v>
      </c>
      <c r="BB97" s="37"/>
      <c r="BC97" s="55">
        <v>2</v>
      </c>
      <c r="BD97" s="55"/>
      <c r="BE97" s="55"/>
      <c r="BF97" s="55"/>
    </row>
    <row r="98" spans="1:58" ht="12.95" customHeight="1">
      <c r="A98" s="44"/>
      <c r="B98" s="45"/>
      <c r="C98" s="459"/>
      <c r="D98" s="45"/>
      <c r="E98" s="46"/>
      <c r="F98" s="46"/>
      <c r="G98" s="47"/>
      <c r="H98" s="48"/>
      <c r="I98" s="49"/>
      <c r="J98" s="86"/>
      <c r="K98" s="86"/>
      <c r="L98" s="39"/>
      <c r="M98" s="39"/>
      <c r="N98" s="50"/>
      <c r="O98" s="51"/>
      <c r="P98" s="52"/>
      <c r="Q98" s="51"/>
      <c r="R98" s="512"/>
      <c r="S98" s="512"/>
      <c r="T98" s="41"/>
      <c r="U98" s="41"/>
      <c r="V98" s="41"/>
      <c r="W98" s="41"/>
      <c r="X98" s="42"/>
      <c r="Y98" s="214"/>
      <c r="Z98" s="599"/>
      <c r="AA98" s="53"/>
      <c r="AB98" s="53"/>
      <c r="AC98" s="41"/>
      <c r="AD98" s="41">
        <f>+AM98+BA98</f>
        <v>11</v>
      </c>
      <c r="AE98" s="232" t="s">
        <v>226</v>
      </c>
      <c r="AF98" s="41"/>
      <c r="AG98" s="41"/>
      <c r="AH98" s="41">
        <v>11</v>
      </c>
      <c r="AI98" s="514"/>
      <c r="AJ98" s="41"/>
      <c r="AK98" s="41"/>
      <c r="AL98" s="41"/>
      <c r="AM98" s="41">
        <f>SUM(AF98:AL98)+AT98+AV98+AX98</f>
        <v>11</v>
      </c>
      <c r="AN98" s="41"/>
      <c r="AO98" s="41"/>
      <c r="AP98" s="41"/>
      <c r="AQ98" s="41"/>
      <c r="AR98" s="41">
        <f>SUM(AN98:AQ98)</f>
        <v>0</v>
      </c>
      <c r="AS98" s="41"/>
      <c r="AT98" s="41"/>
      <c r="AU98" s="41"/>
      <c r="AV98" s="41"/>
      <c r="AW98" s="41"/>
      <c r="AX98" s="41"/>
      <c r="AY98" s="41"/>
      <c r="AZ98" s="41"/>
      <c r="BA98" s="41">
        <f>+AR98+AS98+AU98+AW98+AY98+AZ98</f>
        <v>0</v>
      </c>
      <c r="BB98" s="37"/>
      <c r="BC98" s="55"/>
      <c r="BD98" s="55"/>
      <c r="BE98" s="55"/>
      <c r="BF98" s="55"/>
    </row>
    <row r="99" spans="1:58" ht="12.95" customHeight="1">
      <c r="A99" s="44"/>
      <c r="B99" s="45"/>
      <c r="C99" s="459"/>
      <c r="D99" s="45"/>
      <c r="E99" s="46"/>
      <c r="F99" s="46"/>
      <c r="G99" s="47"/>
      <c r="H99" s="48"/>
      <c r="I99" s="49"/>
      <c r="J99" s="86"/>
      <c r="K99" s="86"/>
      <c r="L99" s="39"/>
      <c r="M99" s="39"/>
      <c r="N99" s="50"/>
      <c r="O99" s="51"/>
      <c r="P99" s="52"/>
      <c r="Q99" s="51"/>
      <c r="R99" s="512"/>
      <c r="S99" s="512"/>
      <c r="T99" s="41"/>
      <c r="U99" s="41"/>
      <c r="V99" s="41"/>
      <c r="W99" s="41"/>
      <c r="X99" s="42"/>
      <c r="Y99" s="214"/>
      <c r="Z99" s="599"/>
      <c r="AA99" s="41"/>
      <c r="AB99" s="41"/>
      <c r="AC99" s="41"/>
      <c r="AD99" s="41">
        <f>+AM99+BA99</f>
        <v>5</v>
      </c>
      <c r="AE99" s="232" t="s">
        <v>531</v>
      </c>
      <c r="AF99" s="41"/>
      <c r="AG99" s="41"/>
      <c r="AH99" s="41"/>
      <c r="AI99" s="514">
        <v>5</v>
      </c>
      <c r="AJ99" s="41"/>
      <c r="AK99" s="41"/>
      <c r="AL99" s="41"/>
      <c r="AM99" s="41">
        <f>SUM(AF99:AL99)+AT99+AV99+AX99</f>
        <v>5</v>
      </c>
      <c r="AN99" s="87"/>
      <c r="AO99" s="41"/>
      <c r="AP99" s="41"/>
      <c r="AQ99" s="41"/>
      <c r="AR99" s="41">
        <f>SUM(AN99:AQ99)</f>
        <v>0</v>
      </c>
      <c r="AS99" s="41"/>
      <c r="AT99" s="41"/>
      <c r="AU99" s="41"/>
      <c r="AV99" s="41"/>
      <c r="AW99" s="41"/>
      <c r="AX99" s="41"/>
      <c r="AY99" s="41"/>
      <c r="AZ99" s="41"/>
      <c r="BA99" s="41">
        <f>+AR99+AS99+AU99+AW99+AY99+AZ99</f>
        <v>0</v>
      </c>
      <c r="BB99" s="54"/>
      <c r="BC99" s="55"/>
      <c r="BD99" s="55"/>
      <c r="BE99" s="55"/>
      <c r="BF99" s="55"/>
    </row>
    <row r="100" spans="1:58" ht="12.95" customHeight="1">
      <c r="A100" s="44"/>
      <c r="B100" s="45"/>
      <c r="C100" s="459"/>
      <c r="D100" s="45"/>
      <c r="E100" s="46"/>
      <c r="F100" s="46"/>
      <c r="G100" s="47"/>
      <c r="H100" s="48"/>
      <c r="I100" s="49"/>
      <c r="J100" s="86"/>
      <c r="K100" s="86"/>
      <c r="L100" s="39"/>
      <c r="M100" s="39"/>
      <c r="N100" s="50"/>
      <c r="O100" s="51"/>
      <c r="P100" s="52"/>
      <c r="Q100" s="51"/>
      <c r="R100" s="512"/>
      <c r="S100" s="512"/>
      <c r="T100" s="41"/>
      <c r="U100" s="41"/>
      <c r="V100" s="41"/>
      <c r="W100" s="41"/>
      <c r="X100" s="42"/>
      <c r="Y100" s="214"/>
      <c r="Z100" s="599"/>
      <c r="AA100" s="41"/>
      <c r="AB100" s="41"/>
      <c r="AC100" s="41"/>
      <c r="AD100" s="41"/>
      <c r="AE100" s="232"/>
      <c r="AF100" s="37"/>
      <c r="AG100" s="37"/>
      <c r="AH100" s="37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37"/>
      <c r="BC100" s="515"/>
      <c r="BD100" s="55"/>
      <c r="BE100" s="55"/>
      <c r="BF100" s="55"/>
    </row>
    <row r="101" spans="1:58" ht="12.95" customHeight="1">
      <c r="A101" s="44">
        <v>46011</v>
      </c>
      <c r="B101" s="45" t="s">
        <v>8</v>
      </c>
      <c r="C101" s="459">
        <f>(M101*E101*O101*Q101)/100000000</f>
        <v>33.139212480000005</v>
      </c>
      <c r="D101" s="45" t="s">
        <v>488</v>
      </c>
      <c r="E101" s="46">
        <v>22</v>
      </c>
      <c r="F101" s="46">
        <v>1</v>
      </c>
      <c r="G101" s="47">
        <v>760</v>
      </c>
      <c r="H101" s="48">
        <v>0.14000000000000001</v>
      </c>
      <c r="I101" s="49">
        <v>0.88</v>
      </c>
      <c r="J101" s="86">
        <f>E101*G101*(1-H101)*1440/1000000*3.4</f>
        <v>70.400563199999993</v>
      </c>
      <c r="K101" s="86">
        <f>(IF(G101&lt;L101,L101,G101)*(1-IF(H101&lt;N101,H101,N101))*E101*O101*Q101)/100000000</f>
        <v>33.139212480000005</v>
      </c>
      <c r="L101" s="39">
        <v>810</v>
      </c>
      <c r="M101" s="39">
        <f>+L101-L101*0.14</f>
        <v>696.6</v>
      </c>
      <c r="N101" s="50">
        <f>1-(M101/L101)</f>
        <v>0.14000000000000001</v>
      </c>
      <c r="O101" s="51">
        <f>+'Trim Rwd'!H64</f>
        <v>318</v>
      </c>
      <c r="P101" s="52">
        <f>O101*(Q101-R101-S101)</f>
        <v>213378</v>
      </c>
      <c r="Q101" s="51">
        <v>680</v>
      </c>
      <c r="R101" s="512">
        <v>0</v>
      </c>
      <c r="S101" s="512">
        <v>9</v>
      </c>
      <c r="T101" s="41">
        <f>E101*M101*O101*Q101/100000000</f>
        <v>33.139212480000005</v>
      </c>
      <c r="U101" s="41">
        <f>E101*M101*O101*(Q101-R101-S101)/100000000</f>
        <v>32.700605256000003</v>
      </c>
      <c r="V101" s="41">
        <f>E101*G101*(1-N101)*O101/100*(R101+S101)/1000000</f>
        <v>0.41153270400000003</v>
      </c>
      <c r="W101" s="41">
        <f>+'20'!K17/1000</f>
        <v>37.39</v>
      </c>
      <c r="X101" s="513">
        <f>SUM(W101:W104)/SUM(K101:K104)</f>
        <v>0.96876695342168484</v>
      </c>
      <c r="Y101" s="214">
        <v>0</v>
      </c>
      <c r="Z101" s="599">
        <v>0</v>
      </c>
      <c r="AA101" s="41">
        <f>SUM(U101:U104)-SUM(W101:W104)-SUM(Z101:Z104)-SUM(Y101:Y104)</f>
        <v>1.2551077560000152</v>
      </c>
      <c r="AB101" s="41">
        <f>(SUM(K101:K104)-SUM(W101:W104)-SUM(Y101:Y104)-SUM(Z101:Z104)-SUM(AC101:AC104)-SUM(V101:V104))-AA101</f>
        <v>5.3228339999990215E-2</v>
      </c>
      <c r="AC101" s="41">
        <f>K101-T101</f>
        <v>0</v>
      </c>
      <c r="AD101" s="41">
        <f>+AM101+BA101</f>
        <v>0</v>
      </c>
      <c r="AE101" s="232" t="s">
        <v>395</v>
      </c>
      <c r="AF101" s="41">
        <v>0</v>
      </c>
      <c r="AG101" s="41"/>
      <c r="AH101" s="41"/>
      <c r="AI101" s="41"/>
      <c r="AJ101" s="41"/>
      <c r="AK101" s="41"/>
      <c r="AL101" s="41"/>
      <c r="AM101" s="41">
        <f>SUM(AF101:AL101)+AT101+AV101+AX101</f>
        <v>0</v>
      </c>
      <c r="AN101" s="41"/>
      <c r="AO101" s="41"/>
      <c r="AP101" s="41"/>
      <c r="AQ101" s="41"/>
      <c r="AR101" s="41">
        <f>SUM(AN101:AQ101)</f>
        <v>0</v>
      </c>
      <c r="AS101" s="41"/>
      <c r="AT101" s="41"/>
      <c r="AU101" s="41"/>
      <c r="AV101" s="41"/>
      <c r="AW101" s="41"/>
      <c r="AX101" s="41"/>
      <c r="AY101" s="41"/>
      <c r="AZ101" s="41"/>
      <c r="BA101" s="41">
        <f>+AR101+AS101+AU101+AW101+AY101+AZ101</f>
        <v>0</v>
      </c>
      <c r="BB101" s="37">
        <v>0</v>
      </c>
      <c r="BC101" s="55"/>
      <c r="BD101" s="55"/>
      <c r="BE101" s="55"/>
      <c r="BF101" s="55"/>
    </row>
    <row r="102" spans="1:58" ht="12.95" customHeight="1">
      <c r="A102" s="44"/>
      <c r="B102" s="45" t="s">
        <v>8</v>
      </c>
      <c r="C102" s="459">
        <f>(M102*E102*O102*Q102)/100000000</f>
        <v>36.440989199999997</v>
      </c>
      <c r="D102" s="45" t="s">
        <v>488</v>
      </c>
      <c r="E102" s="46">
        <v>31.5</v>
      </c>
      <c r="F102" s="46">
        <v>1</v>
      </c>
      <c r="G102" s="47">
        <v>520</v>
      </c>
      <c r="H102" s="48">
        <v>0.12</v>
      </c>
      <c r="I102" s="49">
        <v>0.88</v>
      </c>
      <c r="J102" s="86">
        <f>E102*G102*(1-H102)*1440/1000000*3.4</f>
        <v>70.572902400000004</v>
      </c>
      <c r="K102" s="86">
        <f>(IF(G102&lt;L102,L102,G102)*(1-IF(H102&lt;N102,H102,N102))*E102*O102*Q102)/100000000</f>
        <v>36.440989199999997</v>
      </c>
      <c r="L102" s="39">
        <v>550</v>
      </c>
      <c r="M102" s="39">
        <f>+L102-L102*0.12</f>
        <v>484</v>
      </c>
      <c r="N102" s="50">
        <f>1-(M102/L102)</f>
        <v>0.12</v>
      </c>
      <c r="O102" s="51">
        <f>+'Trim Rwd'!H65</f>
        <v>314.5</v>
      </c>
      <c r="P102" s="52">
        <f>O102*(Q102-R102-S102)</f>
        <v>235875</v>
      </c>
      <c r="Q102" s="51">
        <v>760</v>
      </c>
      <c r="R102" s="512">
        <v>0</v>
      </c>
      <c r="S102" s="512">
        <v>10</v>
      </c>
      <c r="T102" s="41">
        <f>E102*M102*O102*Q102/100000000</f>
        <v>36.440989199999997</v>
      </c>
      <c r="U102" s="41">
        <f>E102*M102*O102*(Q102-R102-S102)/100000000</f>
        <v>35.961502500000002</v>
      </c>
      <c r="V102" s="41">
        <f>E102*G102*(1-N102)*O102/100*(R102+S102)/1000000</f>
        <v>0.45333287999999999</v>
      </c>
      <c r="W102" s="41">
        <f>+'20'!K18/1000</f>
        <v>30.016999999999999</v>
      </c>
      <c r="X102" s="42"/>
      <c r="Y102" s="214"/>
      <c r="Z102" s="599">
        <v>0</v>
      </c>
      <c r="AA102" s="53"/>
      <c r="AB102" s="53"/>
      <c r="AC102" s="41">
        <f>K102-T102</f>
        <v>0</v>
      </c>
      <c r="AD102" s="41">
        <f>+AM102+BA102</f>
        <v>7</v>
      </c>
      <c r="AE102" s="235" t="s">
        <v>394</v>
      </c>
      <c r="AF102" s="41"/>
      <c r="AG102" s="41">
        <v>7</v>
      </c>
      <c r="AH102" s="41"/>
      <c r="AI102" s="41"/>
      <c r="AJ102" s="41"/>
      <c r="AK102" s="41"/>
      <c r="AL102" s="41"/>
      <c r="AM102" s="41">
        <f>SUM(AF102:AL102)+AT102+AV102+AX102</f>
        <v>7</v>
      </c>
      <c r="AN102" s="41"/>
      <c r="AO102" s="41"/>
      <c r="AP102" s="41"/>
      <c r="AQ102" s="41"/>
      <c r="AR102" s="41">
        <f>SUM(AN102:AQ102)</f>
        <v>0</v>
      </c>
      <c r="AS102" s="41"/>
      <c r="AT102" s="41"/>
      <c r="AU102" s="41"/>
      <c r="AV102" s="41"/>
      <c r="AW102" s="41"/>
      <c r="AX102" s="41"/>
      <c r="AY102" s="41"/>
      <c r="AZ102" s="41"/>
      <c r="BA102" s="41">
        <f>+AR102+AS102+AU102+AW102+AY102+AZ102</f>
        <v>0</v>
      </c>
      <c r="BB102" s="37"/>
      <c r="BC102" s="55">
        <v>3</v>
      </c>
      <c r="BD102" s="55"/>
      <c r="BE102" s="55"/>
      <c r="BF102" s="55"/>
    </row>
    <row r="103" spans="1:58" ht="12.95" customHeight="1">
      <c r="A103" s="44"/>
      <c r="B103" s="45"/>
      <c r="C103" s="459"/>
      <c r="D103" s="45"/>
      <c r="E103" s="46"/>
      <c r="F103" s="46"/>
      <c r="G103" s="47"/>
      <c r="H103" s="48"/>
      <c r="I103" s="49"/>
      <c r="J103" s="86"/>
      <c r="K103" s="86"/>
      <c r="L103" s="39"/>
      <c r="M103" s="39"/>
      <c r="N103" s="50"/>
      <c r="O103" s="51"/>
      <c r="P103" s="52"/>
      <c r="Q103" s="51"/>
      <c r="R103" s="512"/>
      <c r="S103" s="512"/>
      <c r="T103" s="41"/>
      <c r="U103" s="41"/>
      <c r="V103" s="41"/>
      <c r="W103" s="41"/>
      <c r="X103" s="42"/>
      <c r="Y103" s="214"/>
      <c r="Z103" s="599"/>
      <c r="AA103" s="53"/>
      <c r="AB103" s="53"/>
      <c r="AC103" s="41"/>
      <c r="AD103" s="41">
        <f>+AM103+BA103</f>
        <v>7</v>
      </c>
      <c r="AE103" s="232" t="s">
        <v>226</v>
      </c>
      <c r="AF103" s="41"/>
      <c r="AG103" s="41"/>
      <c r="AH103" s="41">
        <v>7</v>
      </c>
      <c r="AI103" s="41"/>
      <c r="AJ103" s="41"/>
      <c r="AK103" s="41"/>
      <c r="AL103" s="41"/>
      <c r="AM103" s="41">
        <f>SUM(AF103:AL103)+AT103+AV103+AX103</f>
        <v>7</v>
      </c>
      <c r="AN103" s="41"/>
      <c r="AO103" s="41"/>
      <c r="AP103" s="41"/>
      <c r="AQ103" s="41"/>
      <c r="AR103" s="41">
        <f>SUM(AN103:AQ103)</f>
        <v>0</v>
      </c>
      <c r="AS103" s="41"/>
      <c r="AT103" s="41"/>
      <c r="AU103" s="41"/>
      <c r="AV103" s="41"/>
      <c r="AW103" s="41"/>
      <c r="AX103" s="41"/>
      <c r="AY103" s="41"/>
      <c r="AZ103" s="41"/>
      <c r="BA103" s="41">
        <f>+AR103+AS103+AU103+AW103+AY103+AZ103</f>
        <v>0</v>
      </c>
      <c r="BB103" s="37"/>
      <c r="BC103" s="55"/>
      <c r="BD103" s="55"/>
      <c r="BE103" s="55"/>
      <c r="BF103" s="55"/>
    </row>
    <row r="104" spans="1:58" ht="12.95" customHeight="1">
      <c r="A104" s="44"/>
      <c r="B104" s="45"/>
      <c r="C104" s="459"/>
      <c r="D104" s="45"/>
      <c r="E104" s="46"/>
      <c r="F104" s="46"/>
      <c r="G104" s="47"/>
      <c r="H104" s="48"/>
      <c r="I104" s="49"/>
      <c r="J104" s="86"/>
      <c r="K104" s="86"/>
      <c r="L104" s="39"/>
      <c r="M104" s="39"/>
      <c r="N104" s="50"/>
      <c r="O104" s="51"/>
      <c r="P104" s="52"/>
      <c r="Q104" s="51"/>
      <c r="R104" s="512"/>
      <c r="S104" s="512"/>
      <c r="T104" s="41"/>
      <c r="U104" s="41"/>
      <c r="V104" s="41"/>
      <c r="W104" s="41"/>
      <c r="X104" s="42"/>
      <c r="Y104" s="214"/>
      <c r="Z104" s="599"/>
      <c r="AA104" s="53"/>
      <c r="AB104" s="53"/>
      <c r="AC104" s="41"/>
      <c r="AD104" s="41">
        <f>+AM104+BA104</f>
        <v>5</v>
      </c>
      <c r="AE104" s="232" t="s">
        <v>531</v>
      </c>
      <c r="AF104" s="41"/>
      <c r="AG104" s="41"/>
      <c r="AH104" s="41"/>
      <c r="AI104" s="514">
        <v>5</v>
      </c>
      <c r="AJ104" s="41"/>
      <c r="AK104" s="41"/>
      <c r="AL104" s="41"/>
      <c r="AM104" s="41">
        <f>SUM(AF104:AL104)+AT104+AV104+AX104</f>
        <v>5</v>
      </c>
      <c r="AN104" s="41"/>
      <c r="AO104" s="41"/>
      <c r="AP104" s="41"/>
      <c r="AQ104" s="41"/>
      <c r="AR104" s="41">
        <f>SUM(AN104:AQ104)</f>
        <v>0</v>
      </c>
      <c r="AS104" s="41"/>
      <c r="AT104" s="41"/>
      <c r="AU104" s="41"/>
      <c r="AV104" s="41"/>
      <c r="AW104" s="41"/>
      <c r="AX104" s="41"/>
      <c r="AY104" s="41"/>
      <c r="AZ104" s="41"/>
      <c r="BA104" s="41">
        <f>+AR104+AS104+AU104+AW104+AY104+AZ104</f>
        <v>0</v>
      </c>
      <c r="BB104" s="37"/>
      <c r="BC104" s="55"/>
      <c r="BD104" s="55"/>
      <c r="BE104" s="55"/>
      <c r="BF104" s="55"/>
    </row>
    <row r="105" spans="1:58" ht="12.95" customHeight="1">
      <c r="A105" s="44"/>
      <c r="B105" s="45"/>
      <c r="C105" s="459"/>
      <c r="D105" s="45"/>
      <c r="E105" s="46"/>
      <c r="F105" s="46"/>
      <c r="G105" s="511"/>
      <c r="H105" s="48"/>
      <c r="I105" s="49"/>
      <c r="J105" s="86"/>
      <c r="K105" s="86"/>
      <c r="L105" s="39"/>
      <c r="M105" s="39"/>
      <c r="N105" s="50"/>
      <c r="O105" s="51"/>
      <c r="P105" s="52"/>
      <c r="Q105" s="51"/>
      <c r="R105" s="512"/>
      <c r="S105" s="512"/>
      <c r="T105" s="41"/>
      <c r="U105" s="41"/>
      <c r="V105" s="41"/>
      <c r="W105" s="41"/>
      <c r="X105" s="42"/>
      <c r="Y105" s="214"/>
      <c r="Z105" s="599"/>
      <c r="AA105" s="41"/>
      <c r="AB105" s="41"/>
      <c r="AC105" s="41"/>
      <c r="AD105" s="41"/>
      <c r="AE105" s="232"/>
      <c r="AF105" s="41"/>
      <c r="AG105" s="41"/>
      <c r="AH105" s="41"/>
      <c r="AI105" s="514"/>
      <c r="AJ105" s="41"/>
      <c r="AK105" s="41"/>
      <c r="AL105" s="41"/>
      <c r="AM105" s="41"/>
      <c r="AN105" s="87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54"/>
      <c r="BC105" s="55"/>
      <c r="BD105" s="55"/>
      <c r="BE105" s="55"/>
      <c r="BF105" s="55"/>
    </row>
    <row r="106" spans="1:58" ht="12.95" customHeight="1">
      <c r="A106" s="44">
        <v>46012</v>
      </c>
      <c r="B106" s="45" t="s">
        <v>8</v>
      </c>
      <c r="C106" s="459">
        <f>(M106*E106*O106*Q106)/100000000</f>
        <v>71.149700159999995</v>
      </c>
      <c r="D106" s="45" t="s">
        <v>488</v>
      </c>
      <c r="E106" s="46">
        <v>31.5</v>
      </c>
      <c r="F106" s="46">
        <v>1</v>
      </c>
      <c r="G106" s="511">
        <v>520</v>
      </c>
      <c r="H106" s="48">
        <v>0.12</v>
      </c>
      <c r="I106" s="49">
        <v>0.88</v>
      </c>
      <c r="J106" s="86">
        <f>E106*G106*(1-H106)*1440/1000000*3.4</f>
        <v>70.572902400000004</v>
      </c>
      <c r="K106" s="86">
        <f>(IF(G106&lt;L106,L106,G106)*(1-IF(H106&lt;N106,H106,N106))*E106*O106*Q106)/100000000</f>
        <v>71.149700159999995</v>
      </c>
      <c r="L106" s="39">
        <v>550</v>
      </c>
      <c r="M106" s="39">
        <f>+L106-L106*0.12</f>
        <v>484</v>
      </c>
      <c r="N106" s="50">
        <f>1-(M106/L106)</f>
        <v>0.12</v>
      </c>
      <c r="O106" s="51">
        <f>+'Trim Rwd'!H67</f>
        <v>324.08181818181816</v>
      </c>
      <c r="P106" s="52">
        <f>O106*(Q106-R106-S106)</f>
        <v>454686.79090909089</v>
      </c>
      <c r="Q106" s="51">
        <v>1440</v>
      </c>
      <c r="R106" s="512">
        <v>0</v>
      </c>
      <c r="S106" s="512">
        <v>37</v>
      </c>
      <c r="T106" s="41">
        <f>E106*M106*O106*Q106/100000000</f>
        <v>71.149700159999995</v>
      </c>
      <c r="U106" s="41">
        <f>E106*M106*O106*(Q106-R106-S106)/100000000</f>
        <v>69.321548141999983</v>
      </c>
      <c r="V106" s="41">
        <f>E106*G106*(1-N106)*O106/100*(R106+S106)/1000000</f>
        <v>1.7284346352</v>
      </c>
      <c r="W106" s="41">
        <f>+'21'!K34/1000</f>
        <v>67.566999999999993</v>
      </c>
      <c r="X106" s="42">
        <f>SUM(W106:W109)/SUM(K106:K109)</f>
        <v>0.94964560424087108</v>
      </c>
      <c r="Y106" s="214">
        <v>0</v>
      </c>
      <c r="Z106" s="599">
        <f>+'21'!D34/1000</f>
        <v>1.45</v>
      </c>
      <c r="AA106" s="41">
        <f>SUM(U106:U109)-SUM(W106:W109)-SUM(Z106:Z109)-SUM(Y106:Y109)</f>
        <v>0.30454814199999025</v>
      </c>
      <c r="AB106" s="41">
        <f>(SUM(K106:K109)-SUM(W106:W109)-SUM(Y106:Y109)-SUM(Z106:Z109)-SUM(AC106:AC109)-SUM(V106:V109))-AA106</f>
        <v>9.9717382800011301E-2</v>
      </c>
      <c r="AC106" s="41">
        <f>K106-T106</f>
        <v>0</v>
      </c>
      <c r="AD106" s="41">
        <f>+AM106+BA106</f>
        <v>4</v>
      </c>
      <c r="AE106" s="232" t="s">
        <v>392</v>
      </c>
      <c r="AF106" s="37">
        <v>4</v>
      </c>
      <c r="AG106" s="37"/>
      <c r="AH106" s="37"/>
      <c r="AJ106" s="41"/>
      <c r="AK106" s="41"/>
      <c r="AL106" s="41"/>
      <c r="AM106" s="41">
        <f>SUM(AF106:AL106)+AT106+AV106+AX106</f>
        <v>4</v>
      </c>
      <c r="AN106" s="41"/>
      <c r="AO106" s="41"/>
      <c r="AP106" s="41"/>
      <c r="AQ106" s="41"/>
      <c r="AR106" s="41">
        <f>SUM(AN106:AQ106)</f>
        <v>0</v>
      </c>
      <c r="AS106" s="41"/>
      <c r="AT106" s="41"/>
      <c r="AU106" s="41"/>
      <c r="AV106" s="41"/>
      <c r="AW106" s="41"/>
      <c r="AX106" s="41"/>
      <c r="AY106" s="41"/>
      <c r="AZ106" s="41"/>
      <c r="BA106" s="41">
        <f>+AR106+AS106+AU106+AW106+AY106+AZ106</f>
        <v>0</v>
      </c>
      <c r="BB106" s="37">
        <v>1</v>
      </c>
      <c r="BC106" s="515"/>
      <c r="BD106" s="55"/>
      <c r="BE106" s="55"/>
      <c r="BF106" s="55"/>
    </row>
    <row r="107" spans="1:58" ht="12.95" customHeight="1">
      <c r="A107" s="44"/>
      <c r="B107" s="45"/>
      <c r="C107" s="459"/>
      <c r="D107" s="45"/>
      <c r="E107" s="46"/>
      <c r="F107" s="46"/>
      <c r="G107" s="47"/>
      <c r="H107" s="48"/>
      <c r="I107" s="49"/>
      <c r="J107" s="86"/>
      <c r="K107" s="86"/>
      <c r="L107" s="39"/>
      <c r="M107" s="39"/>
      <c r="N107" s="50"/>
      <c r="O107" s="51"/>
      <c r="P107" s="52"/>
      <c r="Q107" s="51"/>
      <c r="R107" s="512"/>
      <c r="S107" s="512"/>
      <c r="T107" s="41"/>
      <c r="U107" s="41"/>
      <c r="V107" s="41"/>
      <c r="W107" s="41"/>
      <c r="X107" s="42"/>
      <c r="Y107" s="214"/>
      <c r="Z107" s="599"/>
      <c r="AA107" s="41"/>
      <c r="AB107" s="41"/>
      <c r="AC107" s="41"/>
      <c r="AD107" s="41">
        <f>+AM107+BA107</f>
        <v>20</v>
      </c>
      <c r="AE107" s="232" t="s">
        <v>489</v>
      </c>
      <c r="AF107" s="41"/>
      <c r="AG107" s="41">
        <v>20</v>
      </c>
      <c r="AH107" s="41"/>
      <c r="AI107" s="41"/>
      <c r="AJ107" s="41"/>
      <c r="AK107" s="41"/>
      <c r="AL107" s="41"/>
      <c r="AM107" s="41">
        <f>SUM(AF107:AL107)+AT107+AV107+AX107</f>
        <v>20</v>
      </c>
      <c r="AN107" s="41"/>
      <c r="AO107" s="41"/>
      <c r="AP107" s="41"/>
      <c r="AQ107" s="41"/>
      <c r="AR107" s="41">
        <f>SUM(AN107:AQ107)</f>
        <v>0</v>
      </c>
      <c r="AS107" s="41"/>
      <c r="AT107" s="41"/>
      <c r="AU107" s="41"/>
      <c r="AV107" s="41"/>
      <c r="AW107" s="41"/>
      <c r="AX107" s="41"/>
      <c r="AY107" s="41"/>
      <c r="AZ107" s="41"/>
      <c r="BA107" s="41">
        <f>+AR107+AS107+AU107+AW107+AY107+AZ107</f>
        <v>0</v>
      </c>
      <c r="BB107" s="37"/>
      <c r="BC107" s="55">
        <v>4</v>
      </c>
      <c r="BD107" s="55"/>
      <c r="BE107" s="55"/>
      <c r="BF107" s="55"/>
    </row>
    <row r="108" spans="1:58" ht="12.95" customHeight="1">
      <c r="A108" s="44"/>
      <c r="B108" s="45"/>
      <c r="C108" s="459"/>
      <c r="D108" s="45"/>
      <c r="E108" s="46"/>
      <c r="F108" s="46"/>
      <c r="G108" s="511"/>
      <c r="H108" s="48"/>
      <c r="I108" s="49"/>
      <c r="J108" s="86"/>
      <c r="K108" s="86"/>
      <c r="L108" s="39"/>
      <c r="M108" s="39"/>
      <c r="N108" s="50"/>
      <c r="O108" s="51"/>
      <c r="P108" s="52"/>
      <c r="Q108" s="51"/>
      <c r="R108" s="512"/>
      <c r="S108" s="512"/>
      <c r="T108" s="41"/>
      <c r="U108" s="41"/>
      <c r="V108" s="41"/>
      <c r="W108" s="41"/>
      <c r="X108" s="513"/>
      <c r="Y108" s="214"/>
      <c r="Z108" s="599"/>
      <c r="AA108" s="53"/>
      <c r="AB108" s="53"/>
      <c r="AC108" s="41"/>
      <c r="AD108" s="41">
        <f>+AM108+BA108</f>
        <v>13</v>
      </c>
      <c r="AE108" s="232" t="s">
        <v>226</v>
      </c>
      <c r="AF108" s="41"/>
      <c r="AG108" s="41"/>
      <c r="AH108" s="41">
        <v>13</v>
      </c>
      <c r="AI108" s="514"/>
      <c r="AJ108" s="41"/>
      <c r="AK108" s="41"/>
      <c r="AL108" s="41"/>
      <c r="AM108" s="41">
        <f>SUM(AF108:AL108)+AT108+AV108+AX108</f>
        <v>13</v>
      </c>
      <c r="AN108" s="41"/>
      <c r="AO108" s="41"/>
      <c r="AP108" s="41"/>
      <c r="AQ108" s="41"/>
      <c r="AR108" s="41">
        <f>SUM(AN108:AQ108)</f>
        <v>0</v>
      </c>
      <c r="AS108" s="41"/>
      <c r="AT108" s="41"/>
      <c r="AU108" s="41"/>
      <c r="AV108" s="41"/>
      <c r="AW108" s="41"/>
      <c r="AX108" s="41"/>
      <c r="AY108" s="41"/>
      <c r="AZ108" s="41"/>
      <c r="BA108" s="41">
        <f>+AR108+AS108+AU108+AW108+AY108+AZ108</f>
        <v>0</v>
      </c>
      <c r="BB108" s="37"/>
      <c r="BC108" s="55"/>
      <c r="BD108" s="55"/>
      <c r="BE108" s="55"/>
      <c r="BF108" s="55"/>
    </row>
    <row r="109" spans="1:58" ht="12.95" customHeight="1">
      <c r="A109" s="44"/>
      <c r="B109" s="45"/>
      <c r="C109" s="459"/>
      <c r="D109" s="45"/>
      <c r="E109" s="46"/>
      <c r="F109" s="46"/>
      <c r="G109" s="511"/>
      <c r="H109" s="48"/>
      <c r="I109" s="49"/>
      <c r="J109" s="86"/>
      <c r="K109" s="86"/>
      <c r="L109" s="39"/>
      <c r="M109" s="39"/>
      <c r="N109" s="50"/>
      <c r="O109" s="51"/>
      <c r="P109" s="52"/>
      <c r="Q109" s="51"/>
      <c r="R109" s="512"/>
      <c r="S109" s="512"/>
      <c r="T109" s="41"/>
      <c r="U109" s="41"/>
      <c r="V109" s="41"/>
      <c r="W109" s="41"/>
      <c r="X109" s="42"/>
      <c r="Y109" s="214"/>
      <c r="Z109" s="599"/>
      <c r="AA109" s="41"/>
      <c r="AB109" s="41"/>
      <c r="AC109" s="41"/>
      <c r="AD109" s="41"/>
      <c r="AE109" s="232"/>
      <c r="AF109" s="41"/>
      <c r="AG109" s="41"/>
      <c r="AH109" s="41"/>
      <c r="AI109" s="514"/>
      <c r="AJ109" s="41"/>
      <c r="AK109" s="41"/>
      <c r="AL109" s="41"/>
      <c r="AM109" s="41"/>
      <c r="AN109" s="87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A109" s="41"/>
      <c r="BB109" s="54"/>
      <c r="BC109" s="55"/>
      <c r="BD109" s="55"/>
      <c r="BE109" s="55"/>
      <c r="BF109" s="55"/>
    </row>
    <row r="110" spans="1:58" ht="12.95" customHeight="1">
      <c r="A110" s="44">
        <v>46013</v>
      </c>
      <c r="B110" s="45" t="s">
        <v>8</v>
      </c>
      <c r="C110" s="459">
        <f>(M110*E110*O110*Q110)/100000000</f>
        <v>10.069220700000001</v>
      </c>
      <c r="D110" s="45" t="s">
        <v>488</v>
      </c>
      <c r="E110" s="46">
        <v>31.5</v>
      </c>
      <c r="F110" s="46">
        <v>1</v>
      </c>
      <c r="G110" s="511">
        <v>520</v>
      </c>
      <c r="H110" s="48">
        <v>0.12</v>
      </c>
      <c r="I110" s="49">
        <v>0.88</v>
      </c>
      <c r="J110" s="86">
        <f>E110*G110*(1-H110)*1440/1000000*3.4</f>
        <v>70.572902400000004</v>
      </c>
      <c r="K110" s="86">
        <f>(IF(G110&lt;L110,L110,G110)*(1-IF(H110&lt;N110,H110,N110))*E110*O110*Q110)/100000000</f>
        <v>10.069220700000001</v>
      </c>
      <c r="L110" s="39">
        <v>550</v>
      </c>
      <c r="M110" s="39">
        <f>+L110-L110*0.12</f>
        <v>484</v>
      </c>
      <c r="N110" s="50">
        <f>1-(M110/L110)</f>
        <v>0.12</v>
      </c>
      <c r="O110" s="51">
        <f>+'Trim Rwd'!H70</f>
        <v>314.5</v>
      </c>
      <c r="P110" s="52">
        <f>O110*(Q110-R110-S110)</f>
        <v>64787</v>
      </c>
      <c r="Q110" s="51">
        <v>210</v>
      </c>
      <c r="R110" s="512">
        <v>0</v>
      </c>
      <c r="S110" s="512">
        <v>4</v>
      </c>
      <c r="T110" s="41">
        <f>E110*M110*O110*Q110/100000000</f>
        <v>10.069220700000001</v>
      </c>
      <c r="U110" s="41">
        <f>E110*M110*O110*(Q110-R110-S110)/100000000</f>
        <v>9.8774260199999997</v>
      </c>
      <c r="V110" s="41">
        <f>E110*G110*(1-N110)*O110/100*(R110+S110)/1000000</f>
        <v>0.181333152</v>
      </c>
      <c r="W110" s="41">
        <f>+'22'!K18/1000</f>
        <v>10.815</v>
      </c>
      <c r="X110" s="42">
        <f>SUM(W110:W113)/SUM(K110:K113)</f>
        <v>0.96153220552770924</v>
      </c>
      <c r="Y110" s="214">
        <v>0</v>
      </c>
      <c r="Z110" s="599">
        <f>+'22'!D7/1000</f>
        <v>0.6</v>
      </c>
      <c r="AA110" s="41">
        <f>SUM(U110:U113)-SUM(W110:W113)-SUM(Z110:Z113)-SUM(Y110:Y113)</f>
        <v>1.491909500000014</v>
      </c>
      <c r="AB110" s="41">
        <f>(SUM(K110:K113)-SUM(W110:W113)-SUM(Y110:Y113)-SUM(Z110:Z113)-SUM(AC110:AC113)-SUM(V110:V113))-AA110</f>
        <v>7.7298363999979802E-2</v>
      </c>
      <c r="AC110" s="41">
        <f>K110-T110</f>
        <v>0</v>
      </c>
      <c r="AD110" s="41">
        <f>+AM110+BA110</f>
        <v>0</v>
      </c>
      <c r="AE110" s="232" t="s">
        <v>395</v>
      </c>
      <c r="AF110" s="37">
        <v>0</v>
      </c>
      <c r="AG110" s="37"/>
      <c r="AH110" s="37"/>
      <c r="AJ110" s="41"/>
      <c r="AK110" s="41"/>
      <c r="AL110" s="41"/>
      <c r="AM110" s="41">
        <f>SUM(AF110:AL110)+AT110+AV110+AX110</f>
        <v>0</v>
      </c>
      <c r="AN110" s="41"/>
      <c r="AO110" s="41"/>
      <c r="AP110" s="41"/>
      <c r="AQ110" s="41"/>
      <c r="AR110" s="41">
        <f>SUM(AN110:AQ110)</f>
        <v>0</v>
      </c>
      <c r="AS110" s="41"/>
      <c r="AT110" s="41"/>
      <c r="AU110" s="41"/>
      <c r="AV110" s="41"/>
      <c r="AW110" s="41"/>
      <c r="AX110" s="41"/>
      <c r="AY110" s="41"/>
      <c r="AZ110" s="41"/>
      <c r="BA110" s="41">
        <f>+AR110+AS110+AU110+AW110+AY110+AZ110</f>
        <v>0</v>
      </c>
      <c r="BB110" s="37">
        <v>0</v>
      </c>
      <c r="BC110" s="515"/>
      <c r="BD110" s="55"/>
      <c r="BE110" s="55"/>
      <c r="BF110" s="55"/>
    </row>
    <row r="111" spans="1:58" ht="12.95" customHeight="1">
      <c r="A111" s="44"/>
      <c r="B111" s="45" t="s">
        <v>8</v>
      </c>
      <c r="C111" s="459">
        <f>(M111*E111*O111*Q111)/100000000</f>
        <v>9.6521215999999992</v>
      </c>
      <c r="D111" s="45" t="s">
        <v>488</v>
      </c>
      <c r="E111" s="46">
        <v>32</v>
      </c>
      <c r="F111" s="46">
        <v>1</v>
      </c>
      <c r="G111" s="511">
        <v>510</v>
      </c>
      <c r="H111" s="48">
        <v>0.12</v>
      </c>
      <c r="I111" s="49">
        <v>0.88</v>
      </c>
      <c r="J111" s="86">
        <f>E111*G111*(1-H111)*1440/1000000*3.4</f>
        <v>70.314393599999988</v>
      </c>
      <c r="K111" s="86">
        <f>(IF(G111&lt;L111,L111,G111)*(1-IF(H111&lt;N111,H111,N111))*E111*O111*Q111)/100000000</f>
        <v>9.6521215999999992</v>
      </c>
      <c r="L111" s="39">
        <v>550</v>
      </c>
      <c r="M111" s="39">
        <f>+L111-L111*0.12</f>
        <v>484</v>
      </c>
      <c r="N111" s="50">
        <f>1-(M111/L111)</f>
        <v>0.12</v>
      </c>
      <c r="O111" s="51">
        <f>+'Trim Rwd'!H71</f>
        <v>328</v>
      </c>
      <c r="P111" s="52">
        <f>O111*(Q111-R111-S111)</f>
        <v>61008</v>
      </c>
      <c r="Q111" s="51">
        <v>190</v>
      </c>
      <c r="R111" s="512">
        <v>0</v>
      </c>
      <c r="S111" s="512">
        <v>4</v>
      </c>
      <c r="T111" s="41">
        <f>E111*M111*O111*Q111/100000000</f>
        <v>9.6521215999999992</v>
      </c>
      <c r="U111" s="41">
        <f>E111*M111*O111*(Q111-R111-S111)/100000000</f>
        <v>9.4489190399999998</v>
      </c>
      <c r="V111" s="41">
        <f>E111*G111*(1-N111)*O111/100*(R111+S111)/1000000</f>
        <v>0.18842419199999999</v>
      </c>
      <c r="W111" s="41">
        <f>+'22'!K19/1000</f>
        <v>12.436999999999999</v>
      </c>
      <c r="X111" s="42"/>
      <c r="Y111" s="214"/>
      <c r="Z111" s="599"/>
      <c r="AA111" s="41"/>
      <c r="AB111" s="41"/>
      <c r="AC111" s="41">
        <f>K111-T111</f>
        <v>0</v>
      </c>
      <c r="AD111" s="41">
        <f>+AM111+BA111</f>
        <v>2</v>
      </c>
      <c r="AE111" s="232" t="s">
        <v>393</v>
      </c>
      <c r="AF111" s="41"/>
      <c r="AG111" s="41">
        <v>2</v>
      </c>
      <c r="AH111" s="41"/>
      <c r="AI111" s="41"/>
      <c r="AJ111" s="41"/>
      <c r="AK111" s="41"/>
      <c r="AL111" s="41"/>
      <c r="AM111" s="41">
        <f>SUM(AF111:AL111)+AT111+AV111+AX111</f>
        <v>2</v>
      </c>
      <c r="AN111" s="41"/>
      <c r="AO111" s="41"/>
      <c r="AP111" s="41"/>
      <c r="AQ111" s="41"/>
      <c r="AR111" s="41">
        <f>SUM(AN111:AQ111)</f>
        <v>0</v>
      </c>
      <c r="AS111" s="41"/>
      <c r="AT111" s="41"/>
      <c r="AU111" s="41"/>
      <c r="AV111" s="41"/>
      <c r="AW111" s="41"/>
      <c r="AX111" s="41"/>
      <c r="AY111" s="41"/>
      <c r="AZ111" s="41"/>
      <c r="BA111" s="41">
        <f>+AR111+AS111+AU111+AW111+AY111+AZ111</f>
        <v>0</v>
      </c>
      <c r="BB111" s="37"/>
      <c r="BC111" s="55">
        <v>1</v>
      </c>
      <c r="BD111" s="55"/>
      <c r="BE111" s="55"/>
      <c r="BF111" s="55"/>
    </row>
    <row r="112" spans="1:58" ht="12.95" customHeight="1">
      <c r="A112" s="44"/>
      <c r="B112" s="45" t="s">
        <v>8</v>
      </c>
      <c r="C112" s="459">
        <f>(M112*E112*O112*Q112)/100000000</f>
        <v>10.328317999999999</v>
      </c>
      <c r="D112" s="45" t="s">
        <v>488</v>
      </c>
      <c r="E112" s="46">
        <v>33.5</v>
      </c>
      <c r="F112" s="46">
        <v>1</v>
      </c>
      <c r="G112" s="511">
        <v>485</v>
      </c>
      <c r="H112" s="48">
        <v>0.12</v>
      </c>
      <c r="I112" s="49">
        <v>0.88</v>
      </c>
      <c r="J112" s="86">
        <f>E112*G112*(1-H112)*1440/1000000*3.4</f>
        <v>70.002028800000005</v>
      </c>
      <c r="K112" s="86">
        <f>(IF(G112&lt;L112,L112,G112)*(1-IF(H112&lt;N112,H112,N112))*E112*O112*Q112)/100000000</f>
        <v>10.328317999999999</v>
      </c>
      <c r="L112" s="39">
        <v>550</v>
      </c>
      <c r="M112" s="39">
        <f>+L112-L112*0.12</f>
        <v>484</v>
      </c>
      <c r="N112" s="50">
        <f>1-(M112/L112)</f>
        <v>0.12</v>
      </c>
      <c r="O112" s="51">
        <f>+'Trim Rwd'!H72</f>
        <v>318.5</v>
      </c>
      <c r="P112" s="52">
        <f>O112*(Q112-R112-S112)</f>
        <v>62426</v>
      </c>
      <c r="Q112" s="51">
        <v>200</v>
      </c>
      <c r="R112" s="512">
        <v>0</v>
      </c>
      <c r="S112" s="512">
        <v>4</v>
      </c>
      <c r="T112" s="41">
        <f>E112*M112*O112*Q112/100000000</f>
        <v>10.328317999999999</v>
      </c>
      <c r="U112" s="41">
        <f>E112*M112*O112*(Q112-R112-S112)/100000000</f>
        <v>10.121751639999999</v>
      </c>
      <c r="V112" s="41">
        <f>E112*G112*(1-N112)*O112/100*(R112+S112)/1000000</f>
        <v>0.18215397199999997</v>
      </c>
      <c r="W112" s="41">
        <f>+'22'!K20/1000</f>
        <v>9.5449999999999999</v>
      </c>
      <c r="X112" s="513"/>
      <c r="Y112" s="214"/>
      <c r="Z112" s="599"/>
      <c r="AA112" s="53"/>
      <c r="AB112" s="53"/>
      <c r="AC112" s="41">
        <f>K112-T112</f>
        <v>0</v>
      </c>
      <c r="AD112" s="41">
        <f>+AM112+BA112</f>
        <v>9</v>
      </c>
      <c r="AE112" s="232" t="s">
        <v>226</v>
      </c>
      <c r="AF112" s="41"/>
      <c r="AG112" s="41"/>
      <c r="AH112" s="41">
        <v>9</v>
      </c>
      <c r="AI112" s="514"/>
      <c r="AJ112" s="41"/>
      <c r="AK112" s="41"/>
      <c r="AL112" s="41"/>
      <c r="AM112" s="41">
        <f>SUM(AF112:AL112)+AT112+AV112+AX112</f>
        <v>9</v>
      </c>
      <c r="AN112" s="41"/>
      <c r="AO112" s="41"/>
      <c r="AP112" s="41"/>
      <c r="AQ112" s="41"/>
      <c r="AR112" s="41">
        <f>SUM(AN112:AQ112)</f>
        <v>0</v>
      </c>
      <c r="AS112" s="41"/>
      <c r="AT112" s="41"/>
      <c r="AU112" s="41"/>
      <c r="AV112" s="41"/>
      <c r="AW112" s="41"/>
      <c r="AX112" s="41"/>
      <c r="AY112" s="41"/>
      <c r="AZ112" s="41"/>
      <c r="BA112" s="41">
        <f>+AR112+AS112+AU112+AW112+AY112+AZ112</f>
        <v>0</v>
      </c>
      <c r="BB112" s="37"/>
      <c r="BC112" s="55"/>
      <c r="BD112" s="55"/>
      <c r="BE112" s="55"/>
      <c r="BF112" s="55"/>
    </row>
    <row r="113" spans="1:58" ht="12.95" customHeight="1">
      <c r="A113" s="44"/>
      <c r="B113" s="45" t="s">
        <v>8</v>
      </c>
      <c r="C113" s="459">
        <f>(M113*E113*O113*Q113)/100000000</f>
        <v>45.616031999999997</v>
      </c>
      <c r="D113" s="45" t="s">
        <v>488</v>
      </c>
      <c r="E113" s="46">
        <v>34</v>
      </c>
      <c r="F113" s="46">
        <v>1</v>
      </c>
      <c r="G113" s="511">
        <v>480</v>
      </c>
      <c r="H113" s="48">
        <v>0.12</v>
      </c>
      <c r="I113" s="49">
        <v>0.88</v>
      </c>
      <c r="J113" s="86">
        <f>E113*G113*(1-H113)*1440/1000000*3.4</f>
        <v>70.314393599999988</v>
      </c>
      <c r="K113" s="86">
        <f>(IF(G113&lt;L113,L113,G113)*(1-IF(H113&lt;N113,H113,N113))*E113*O113*Q113)/100000000</f>
        <v>45.616031999999997</v>
      </c>
      <c r="L113" s="39">
        <v>550</v>
      </c>
      <c r="M113" s="39">
        <f>+L113-L113*0.12</f>
        <v>484</v>
      </c>
      <c r="N113" s="50">
        <f>1-(M113/L113)</f>
        <v>0.12</v>
      </c>
      <c r="O113" s="51">
        <f>+'Trim Rwd'!H73</f>
        <v>330</v>
      </c>
      <c r="P113" s="52">
        <f>O113*(Q113-R113-S113)</f>
        <v>275880</v>
      </c>
      <c r="Q113" s="51">
        <v>840</v>
      </c>
      <c r="R113" s="512">
        <v>0</v>
      </c>
      <c r="S113" s="512">
        <v>4</v>
      </c>
      <c r="T113" s="41">
        <f>E113*M113*O113*Q113/100000000</f>
        <v>45.616031999999997</v>
      </c>
      <c r="U113" s="41">
        <f>E113*M113*O113*(Q113-R113-S113)/100000000</f>
        <v>45.398812800000002</v>
      </c>
      <c r="V113" s="41">
        <f>E113*G113*(1-N113)*O113/100*(R113+S113)/1000000</f>
        <v>0.18957311999999998</v>
      </c>
      <c r="W113" s="41">
        <f>+'22'!K21/1000</f>
        <v>39.957999999999998</v>
      </c>
      <c r="X113" s="42"/>
      <c r="Y113" s="214"/>
      <c r="Z113" s="599"/>
      <c r="AA113" s="41"/>
      <c r="AB113" s="41"/>
      <c r="AC113" s="41">
        <f>K113-T113</f>
        <v>0</v>
      </c>
      <c r="AD113" s="41">
        <f>+AM113+BA113</f>
        <v>5</v>
      </c>
      <c r="AE113" s="235" t="s">
        <v>531</v>
      </c>
      <c r="AF113" s="41"/>
      <c r="AG113" s="41"/>
      <c r="AH113" s="41"/>
      <c r="AI113" s="514">
        <v>5</v>
      </c>
      <c r="AJ113" s="41"/>
      <c r="AK113" s="41"/>
      <c r="AL113" s="41"/>
      <c r="AM113" s="41">
        <f>SUM(AF113:AL113)+AT113+AV113+AX113</f>
        <v>5</v>
      </c>
      <c r="AN113" s="41"/>
      <c r="AO113" s="41"/>
      <c r="AP113" s="41"/>
      <c r="AQ113" s="41"/>
      <c r="AR113" s="41">
        <f>SUM(AN113:AQ113)</f>
        <v>0</v>
      </c>
      <c r="AS113" s="41"/>
      <c r="AT113" s="41"/>
      <c r="AU113" s="41"/>
      <c r="AV113" s="41"/>
      <c r="AW113" s="41"/>
      <c r="AX113" s="41"/>
      <c r="AY113" s="41"/>
      <c r="AZ113" s="41"/>
      <c r="BA113" s="41">
        <f>+AR113+AS113+AU113+AW113+AY113+AZ113</f>
        <v>0</v>
      </c>
      <c r="BB113" s="37"/>
      <c r="BC113" s="515"/>
      <c r="BD113" s="515"/>
      <c r="BE113" s="37"/>
      <c r="BF113" s="515"/>
    </row>
    <row r="114" spans="1:58" ht="12.95" customHeight="1">
      <c r="A114" s="44"/>
      <c r="B114" s="45"/>
      <c r="C114" s="459"/>
      <c r="D114" s="45"/>
      <c r="E114" s="46"/>
      <c r="F114" s="46"/>
      <c r="G114" s="511"/>
      <c r="H114" s="48"/>
      <c r="I114" s="49"/>
      <c r="J114" s="86"/>
      <c r="K114" s="86"/>
      <c r="L114" s="39"/>
      <c r="M114" s="39"/>
      <c r="N114" s="50"/>
      <c r="O114" s="51"/>
      <c r="P114" s="52"/>
      <c r="Q114" s="51"/>
      <c r="R114" s="512"/>
      <c r="S114" s="512"/>
      <c r="T114" s="41"/>
      <c r="U114" s="41"/>
      <c r="V114" s="41"/>
      <c r="W114" s="41"/>
      <c r="X114" s="42"/>
      <c r="Y114" s="214"/>
      <c r="Z114" s="599"/>
      <c r="AA114" s="41"/>
      <c r="AB114" s="41"/>
      <c r="AC114" s="41"/>
      <c r="AD114" s="41"/>
      <c r="AE114" s="232"/>
      <c r="AF114" s="41"/>
      <c r="AG114" s="41"/>
      <c r="AH114" s="41"/>
      <c r="AI114" s="514"/>
      <c r="AJ114" s="41"/>
      <c r="AK114" s="41"/>
      <c r="AL114" s="41"/>
      <c r="AM114" s="41"/>
      <c r="AN114" s="87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54"/>
      <c r="BC114" s="55"/>
      <c r="BD114" s="55"/>
      <c r="BE114" s="55"/>
      <c r="BF114" s="55"/>
    </row>
    <row r="115" spans="1:58" ht="12.95" customHeight="1">
      <c r="A115" s="44">
        <v>46014</v>
      </c>
      <c r="B115" s="45" t="s">
        <v>8</v>
      </c>
      <c r="C115" s="459">
        <f>(M115*E115*O115*Q115)/100000000</f>
        <v>78.11824258723405</v>
      </c>
      <c r="D115" s="45" t="s">
        <v>488</v>
      </c>
      <c r="E115" s="46">
        <v>34</v>
      </c>
      <c r="F115" s="46">
        <v>1</v>
      </c>
      <c r="G115" s="511">
        <v>480</v>
      </c>
      <c r="H115" s="48">
        <v>0.12</v>
      </c>
      <c r="I115" s="49">
        <v>0.88</v>
      </c>
      <c r="J115" s="86">
        <f>E115*G115*(1-H115)*1440/1000000*3.4</f>
        <v>70.314393599999988</v>
      </c>
      <c r="K115" s="86">
        <f>(IF(G115&lt;L115,L115,G115)*(1-IF(H115&lt;N115,H115,N115))*E115*O115*Q115)/100000000</f>
        <v>78.11824258723405</v>
      </c>
      <c r="L115" s="39">
        <v>550</v>
      </c>
      <c r="M115" s="39">
        <f>+L115-L115*0.12</f>
        <v>484</v>
      </c>
      <c r="N115" s="50">
        <f>1-(M115/L115)</f>
        <v>0.12</v>
      </c>
      <c r="O115" s="51">
        <f>+'Trim Rwd'!H75</f>
        <v>329.65957446808511</v>
      </c>
      <c r="P115" s="52">
        <f>O115*(Q115-R115-S115)</f>
        <v>468446.25531914894</v>
      </c>
      <c r="Q115" s="51">
        <v>1440</v>
      </c>
      <c r="R115" s="512">
        <v>0</v>
      </c>
      <c r="S115" s="512">
        <v>19</v>
      </c>
      <c r="T115" s="41">
        <f>E115*M115*O115*Q115/100000000</f>
        <v>78.11824258723405</v>
      </c>
      <c r="U115" s="41">
        <f>E115*M115*O115*(Q115-R115-S115)/100000000</f>
        <v>77.087515775319162</v>
      </c>
      <c r="V115" s="41">
        <f>E115*G115*(1-N115)*O115/100*(R115+S115)/1000000</f>
        <v>0.89954339948936179</v>
      </c>
      <c r="W115" s="41">
        <f>+'23'!K21/1000</f>
        <v>75.751999999999995</v>
      </c>
      <c r="X115" s="42">
        <f>SUM(W115:W118)/SUM(K115:K118)</f>
        <v>0.96970947490796799</v>
      </c>
      <c r="Y115" s="214">
        <v>0</v>
      </c>
      <c r="Z115" s="599">
        <f>+'23'!D25/1000</f>
        <v>0.22</v>
      </c>
      <c r="AA115" s="41">
        <f>SUM(U115:U118)-SUM(W115:W118)-SUM(Z115:Z118)-SUM(Y115:Y118)</f>
        <v>1.1155157753191662</v>
      </c>
      <c r="AB115" s="41">
        <f>(SUM(K115:K118)-SUM(W115:W118)-SUM(Y115:Y118)-SUM(Z115:Z118)-SUM(AC115:AC118)-SUM(V115:V118))-AA115</f>
        <v>0.13118341242552667</v>
      </c>
      <c r="AC115" s="41">
        <f>K115-T115</f>
        <v>0</v>
      </c>
      <c r="AD115" s="41">
        <f>+AM115+BA115</f>
        <v>0</v>
      </c>
      <c r="AE115" s="232" t="s">
        <v>395</v>
      </c>
      <c r="AF115" s="37">
        <v>0</v>
      </c>
      <c r="AG115" s="37"/>
      <c r="AH115" s="37"/>
      <c r="AJ115" s="41"/>
      <c r="AK115" s="41"/>
      <c r="AL115" s="41"/>
      <c r="AM115" s="41">
        <f>SUM(AF115:AL115)+AT115+AV115+AX115</f>
        <v>0</v>
      </c>
      <c r="AN115" s="41"/>
      <c r="AO115" s="41"/>
      <c r="AP115" s="41"/>
      <c r="AQ115" s="41"/>
      <c r="AR115" s="41">
        <f>SUM(AN115:AQ115)</f>
        <v>0</v>
      </c>
      <c r="AS115" s="41"/>
      <c r="AT115" s="41"/>
      <c r="AU115" s="41"/>
      <c r="AV115" s="41"/>
      <c r="AW115" s="41"/>
      <c r="AX115" s="41"/>
      <c r="AY115" s="41"/>
      <c r="AZ115" s="41"/>
      <c r="BA115" s="41">
        <f>+AR115+AS115+AU115+AW115+AY115+AZ115</f>
        <v>0</v>
      </c>
      <c r="BB115" s="37">
        <v>1</v>
      </c>
      <c r="BC115" s="515"/>
      <c r="BD115" s="55"/>
      <c r="BE115" s="55"/>
      <c r="BF115" s="55"/>
    </row>
    <row r="116" spans="1:58" ht="12.95" customHeight="1">
      <c r="A116" s="44"/>
      <c r="B116" s="45"/>
      <c r="C116" s="459"/>
      <c r="D116" s="45"/>
      <c r="E116" s="46"/>
      <c r="F116" s="46"/>
      <c r="G116" s="47"/>
      <c r="H116" s="48"/>
      <c r="I116" s="49"/>
      <c r="J116" s="86"/>
      <c r="K116" s="86"/>
      <c r="L116" s="39"/>
      <c r="M116" s="39"/>
      <c r="N116" s="50"/>
      <c r="O116" s="51"/>
      <c r="P116" s="52"/>
      <c r="Q116" s="51"/>
      <c r="R116" s="512"/>
      <c r="S116" s="512"/>
      <c r="T116" s="41"/>
      <c r="U116" s="41"/>
      <c r="V116" s="41"/>
      <c r="W116" s="41"/>
      <c r="X116" s="42"/>
      <c r="Y116" s="214"/>
      <c r="Z116" s="599"/>
      <c r="AA116" s="41"/>
      <c r="AB116" s="41"/>
      <c r="AC116" s="41"/>
      <c r="AD116" s="41">
        <f>+AM116+BA116</f>
        <v>5</v>
      </c>
      <c r="AE116" s="232" t="s">
        <v>393</v>
      </c>
      <c r="AF116" s="41"/>
      <c r="AG116" s="41">
        <v>5</v>
      </c>
      <c r="AH116" s="41"/>
      <c r="AI116" s="41"/>
      <c r="AJ116" s="41"/>
      <c r="AK116" s="41"/>
      <c r="AL116" s="41"/>
      <c r="AM116" s="41">
        <f>SUM(AF116:AL116)+AT116+AV116+AX116</f>
        <v>5</v>
      </c>
      <c r="AN116" s="41"/>
      <c r="AO116" s="41"/>
      <c r="AP116" s="41"/>
      <c r="AQ116" s="41"/>
      <c r="AR116" s="41">
        <f>SUM(AN116:AQ116)</f>
        <v>0</v>
      </c>
      <c r="AS116" s="41"/>
      <c r="AT116" s="41"/>
      <c r="AU116" s="41"/>
      <c r="AV116" s="41"/>
      <c r="AW116" s="41"/>
      <c r="AX116" s="41"/>
      <c r="AY116" s="41"/>
      <c r="AZ116" s="41"/>
      <c r="BA116" s="41">
        <f>+AR116+AS116+AU116+AW116+AY116+AZ116</f>
        <v>0</v>
      </c>
      <c r="BB116" s="37"/>
      <c r="BC116" s="55">
        <v>4</v>
      </c>
      <c r="BD116" s="55"/>
      <c r="BE116" s="55"/>
      <c r="BF116" s="55"/>
    </row>
    <row r="117" spans="1:58" ht="12.95" customHeight="1">
      <c r="A117" s="44"/>
      <c r="B117" s="45"/>
      <c r="C117" s="459"/>
      <c r="D117" s="45"/>
      <c r="E117" s="46"/>
      <c r="F117" s="46"/>
      <c r="G117" s="511"/>
      <c r="H117" s="48"/>
      <c r="I117" s="49"/>
      <c r="J117" s="86"/>
      <c r="K117" s="86"/>
      <c r="L117" s="39"/>
      <c r="M117" s="39"/>
      <c r="N117" s="50"/>
      <c r="O117" s="51"/>
      <c r="P117" s="52"/>
      <c r="Q117" s="51"/>
      <c r="R117" s="512"/>
      <c r="S117" s="512"/>
      <c r="T117" s="41"/>
      <c r="U117" s="41"/>
      <c r="V117" s="41"/>
      <c r="W117" s="41"/>
      <c r="X117" s="513"/>
      <c r="Y117" s="214"/>
      <c r="Z117" s="599"/>
      <c r="AA117" s="53"/>
      <c r="AB117" s="53"/>
      <c r="AC117" s="41"/>
      <c r="AD117" s="41">
        <f>+AM117+BA117</f>
        <v>14</v>
      </c>
      <c r="AE117" s="232" t="s">
        <v>226</v>
      </c>
      <c r="AF117" s="41"/>
      <c r="AG117" s="41"/>
      <c r="AH117" s="41">
        <v>14</v>
      </c>
      <c r="AI117" s="514"/>
      <c r="AJ117" s="41"/>
      <c r="AK117" s="41"/>
      <c r="AL117" s="41"/>
      <c r="AM117" s="41">
        <f>SUM(AF117:AL117)+AT117+AV117+AX117</f>
        <v>14</v>
      </c>
      <c r="AN117" s="41"/>
      <c r="AO117" s="41"/>
      <c r="AP117" s="41"/>
      <c r="AQ117" s="41"/>
      <c r="AR117" s="41">
        <f>SUM(AN117:AQ117)</f>
        <v>0</v>
      </c>
      <c r="AS117" s="41"/>
      <c r="AT117" s="41"/>
      <c r="AU117" s="41"/>
      <c r="AV117" s="41"/>
      <c r="AW117" s="41"/>
      <c r="AX117" s="41"/>
      <c r="AY117" s="41"/>
      <c r="AZ117" s="41"/>
      <c r="BA117" s="41">
        <f>+AR117+AS117+AU117+AW117+AY117+AZ117</f>
        <v>0</v>
      </c>
      <c r="BB117" s="37"/>
      <c r="BC117" s="55"/>
      <c r="BD117" s="55"/>
      <c r="BE117" s="55"/>
      <c r="BF117" s="55"/>
    </row>
    <row r="118" spans="1:58" ht="12.95" customHeight="1">
      <c r="A118" s="44"/>
      <c r="B118" s="45"/>
      <c r="C118" s="459"/>
      <c r="D118" s="45"/>
      <c r="E118" s="46"/>
      <c r="F118" s="46"/>
      <c r="G118" s="511"/>
      <c r="H118" s="48"/>
      <c r="I118" s="49"/>
      <c r="J118" s="86"/>
      <c r="K118" s="86"/>
      <c r="L118" s="39"/>
      <c r="M118" s="39"/>
      <c r="N118" s="50"/>
      <c r="O118" s="51"/>
      <c r="P118" s="52"/>
      <c r="Q118" s="51"/>
      <c r="R118" s="512"/>
      <c r="S118" s="512"/>
      <c r="T118" s="41"/>
      <c r="U118" s="41"/>
      <c r="V118" s="41"/>
      <c r="W118" s="41"/>
      <c r="X118" s="42"/>
      <c r="Y118" s="214"/>
      <c r="Z118" s="599"/>
      <c r="AA118" s="41"/>
      <c r="AB118" s="41"/>
      <c r="AC118" s="41"/>
      <c r="AD118" s="41"/>
      <c r="AE118" s="235"/>
      <c r="AF118" s="41"/>
      <c r="AG118" s="41"/>
      <c r="AH118" s="41"/>
      <c r="AI118" s="514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  <c r="BA118" s="41"/>
      <c r="BB118" s="37"/>
      <c r="BC118" s="515"/>
      <c r="BD118" s="515"/>
      <c r="BE118" s="37"/>
      <c r="BF118" s="515"/>
    </row>
    <row r="119" spans="1:58" ht="12.95" customHeight="1">
      <c r="A119" s="44">
        <v>46015</v>
      </c>
      <c r="B119" s="45" t="s">
        <v>8</v>
      </c>
      <c r="C119" s="459">
        <f>(M119*E119*O119*Q119)/100000000</f>
        <v>32.443004000000002</v>
      </c>
      <c r="D119" s="45" t="s">
        <v>488</v>
      </c>
      <c r="E119" s="46">
        <v>34</v>
      </c>
      <c r="F119" s="46">
        <v>1</v>
      </c>
      <c r="G119" s="511">
        <v>480</v>
      </c>
      <c r="H119" s="48">
        <v>0.12</v>
      </c>
      <c r="I119" s="49">
        <v>0.88</v>
      </c>
      <c r="J119" s="86">
        <f>E119*G119*(1-H119)*1440/1000000*3.4</f>
        <v>70.314393599999988</v>
      </c>
      <c r="K119" s="86">
        <f>(IF(G119&lt;L119,L119,G119)*(1-IF(H119&lt;N119,H119,N119))*E119*O119*Q119)/100000000</f>
        <v>32.443004000000002</v>
      </c>
      <c r="L119" s="39">
        <v>550</v>
      </c>
      <c r="M119" s="39">
        <v>484</v>
      </c>
      <c r="N119" s="50">
        <f>1-(M119/L119)</f>
        <v>0.12</v>
      </c>
      <c r="O119" s="51">
        <f>+'Trim Rwd'!H79</f>
        <v>328.58333333333331</v>
      </c>
      <c r="P119" s="52">
        <f>O119*(Q119-R119-S119)</f>
        <v>194521.33333333331</v>
      </c>
      <c r="Q119" s="51">
        <v>600</v>
      </c>
      <c r="R119" s="512">
        <v>0</v>
      </c>
      <c r="S119" s="512">
        <v>8</v>
      </c>
      <c r="T119" s="41">
        <f>E119*M119*O119*Q119/100000000</f>
        <v>32.443004000000002</v>
      </c>
      <c r="U119" s="41">
        <f>E119*M119*O119*(Q119-R119-S119)/100000000</f>
        <v>32.010430613333327</v>
      </c>
      <c r="V119" s="41">
        <f>E119*G119*(1-N119)*O119/100*(R119+S119)/1000000</f>
        <v>0.37751859199999993</v>
      </c>
      <c r="W119" s="41">
        <f>+'24'!K21/1000</f>
        <v>39.567</v>
      </c>
      <c r="X119" s="42">
        <f>SUM(W119:W122)/SUM(K119:K122)</f>
        <v>0.98974383239487884</v>
      </c>
      <c r="Y119" s="214">
        <v>0</v>
      </c>
      <c r="Z119" s="599">
        <f>+'24'!D7/1000</f>
        <v>0.3</v>
      </c>
      <c r="AA119" s="41">
        <f>SUM(U119:U122)-SUM(W119:W122)-SUM(Z119:Z122)-SUM(Y119:Y122)</f>
        <v>-0.47152449866668461</v>
      </c>
      <c r="AB119" s="41">
        <f>(SUM(K119:K122)-SUM(W119:W122)-SUM(Y119:Y122)-SUM(Z119:Z122)-SUM(AC119:AC122)-SUM(V119:V122))-AA119</f>
        <v>0.12343017866668204</v>
      </c>
      <c r="AC119" s="41">
        <f>K119-T119</f>
        <v>0</v>
      </c>
      <c r="AD119" s="41">
        <f>+AM119+BA119</f>
        <v>2</v>
      </c>
      <c r="AE119" s="232" t="s">
        <v>395</v>
      </c>
      <c r="AF119" s="37">
        <v>2</v>
      </c>
      <c r="AG119" s="37"/>
      <c r="AH119" s="37"/>
      <c r="AJ119" s="41"/>
      <c r="AK119" s="41"/>
      <c r="AL119" s="41"/>
      <c r="AM119" s="41">
        <f>SUM(AF119:AL119)+AT119+AV119+AX119</f>
        <v>2</v>
      </c>
      <c r="AN119" s="41"/>
      <c r="AO119" s="41"/>
      <c r="AP119" s="41"/>
      <c r="AQ119" s="41"/>
      <c r="AR119" s="41">
        <f>SUM(AN119:AQ119)</f>
        <v>0</v>
      </c>
      <c r="AS119" s="41"/>
      <c r="AT119" s="41"/>
      <c r="AU119" s="41"/>
      <c r="AV119" s="41"/>
      <c r="AW119" s="41"/>
      <c r="AX119" s="41"/>
      <c r="AY119" s="41"/>
      <c r="AZ119" s="41"/>
      <c r="BA119" s="41">
        <f>+AR119+AS119+AU119+AW119+AY119+AZ119</f>
        <v>0</v>
      </c>
      <c r="BB119" s="37">
        <v>1</v>
      </c>
      <c r="BC119" s="515"/>
      <c r="BD119" s="55"/>
      <c r="BE119" s="55"/>
      <c r="BF119" s="55"/>
    </row>
    <row r="120" spans="1:58" ht="12.95" customHeight="1">
      <c r="A120" s="44"/>
      <c r="B120" s="45" t="s">
        <v>8</v>
      </c>
      <c r="C120" s="459">
        <f>(M120*E120*O120*Q120)/100000000</f>
        <v>43.486744224000006</v>
      </c>
      <c r="D120" s="45" t="s">
        <v>488</v>
      </c>
      <c r="E120" s="46">
        <v>35.35</v>
      </c>
      <c r="F120" s="46">
        <v>1</v>
      </c>
      <c r="G120" s="511">
        <v>460</v>
      </c>
      <c r="H120" s="48">
        <v>0.12</v>
      </c>
      <c r="I120" s="49">
        <v>0.88</v>
      </c>
      <c r="J120" s="86">
        <f>E120*G120*(1-H120)*1440/1000000*3.4</f>
        <v>70.060193279999993</v>
      </c>
      <c r="K120" s="86">
        <f>(IF(G120&lt;L120,L120,G120)*(1-IF(H120&lt;N120,H120,N120))*E120*O120*Q120)/100000000</f>
        <v>43.486744224000006</v>
      </c>
      <c r="L120" s="39">
        <v>530</v>
      </c>
      <c r="M120" s="39">
        <v>466.4</v>
      </c>
      <c r="N120" s="50">
        <f>1-(M120/L120)</f>
        <v>0.12</v>
      </c>
      <c r="O120" s="51">
        <f>+'Trim Rwd'!H82</f>
        <v>314</v>
      </c>
      <c r="P120" s="52">
        <f>O120*(Q120-R120-S120)</f>
        <v>260620</v>
      </c>
      <c r="Q120" s="51">
        <v>840</v>
      </c>
      <c r="R120" s="512">
        <v>0</v>
      </c>
      <c r="S120" s="512">
        <v>10</v>
      </c>
      <c r="T120" s="41">
        <f>E120*M120*O120*Q120/100000000</f>
        <v>43.486744224000006</v>
      </c>
      <c r="U120" s="41">
        <f>E120*M120*O120*(Q120-R120-S120)/100000000</f>
        <v>42.969044887999999</v>
      </c>
      <c r="V120" s="41">
        <f>E120*G120*(1-N120)*O120/100*(R120+S120)/1000000</f>
        <v>0.44932395200000003</v>
      </c>
      <c r="W120" s="41">
        <f>+'24'!K22/1000</f>
        <v>35.584000000000003</v>
      </c>
      <c r="X120" s="42"/>
      <c r="Y120" s="214"/>
      <c r="Z120" s="599"/>
      <c r="AA120" s="41"/>
      <c r="AB120" s="41"/>
      <c r="AC120" s="41">
        <f>K120-T120</f>
        <v>0</v>
      </c>
      <c r="AD120" s="41">
        <f>+AM120+BA120</f>
        <v>2</v>
      </c>
      <c r="AE120" s="232" t="s">
        <v>393</v>
      </c>
      <c r="AF120" s="41"/>
      <c r="AG120" s="41">
        <v>2</v>
      </c>
      <c r="AH120" s="41"/>
      <c r="AI120" s="41"/>
      <c r="AJ120" s="41"/>
      <c r="AK120" s="41"/>
      <c r="AL120" s="41"/>
      <c r="AM120" s="41">
        <f>SUM(AF120:AL120)+AT120+AV120+AX120</f>
        <v>2</v>
      </c>
      <c r="AN120" s="41"/>
      <c r="AO120" s="41"/>
      <c r="AP120" s="41"/>
      <c r="AQ120" s="41"/>
      <c r="AR120" s="41">
        <f>SUM(AN120:AQ120)</f>
        <v>0</v>
      </c>
      <c r="AS120" s="41"/>
      <c r="AT120" s="41"/>
      <c r="AU120" s="41"/>
      <c r="AV120" s="41"/>
      <c r="AW120" s="41"/>
      <c r="AX120" s="41"/>
      <c r="AY120" s="41"/>
      <c r="AZ120" s="41"/>
      <c r="BA120" s="41">
        <f>+AR120+AS120+AU120+AW120+AY120+AZ120</f>
        <v>0</v>
      </c>
      <c r="BB120" s="37"/>
      <c r="BC120" s="55">
        <v>4</v>
      </c>
      <c r="BD120" s="55"/>
      <c r="BE120" s="55"/>
      <c r="BF120" s="55"/>
    </row>
    <row r="121" spans="1:58" ht="12.95" customHeight="1">
      <c r="A121" s="44"/>
      <c r="B121" s="45"/>
      <c r="C121" s="459"/>
      <c r="D121" s="45"/>
      <c r="E121" s="46"/>
      <c r="F121" s="46"/>
      <c r="G121" s="511"/>
      <c r="H121" s="48"/>
      <c r="I121" s="49"/>
      <c r="J121" s="86"/>
      <c r="K121" s="86"/>
      <c r="L121" s="39"/>
      <c r="M121" s="39"/>
      <c r="N121" s="50"/>
      <c r="O121" s="51"/>
      <c r="P121" s="52"/>
      <c r="Q121" s="51"/>
      <c r="R121" s="512"/>
      <c r="S121" s="512"/>
      <c r="T121" s="41"/>
      <c r="U121" s="41"/>
      <c r="V121" s="41"/>
      <c r="W121" s="41"/>
      <c r="X121" s="513"/>
      <c r="Y121" s="214"/>
      <c r="Z121" s="599"/>
      <c r="AA121" s="53"/>
      <c r="AB121" s="53"/>
      <c r="AC121" s="41"/>
      <c r="AD121" s="41">
        <f>+AM121+BA121</f>
        <v>9</v>
      </c>
      <c r="AE121" s="232" t="s">
        <v>226</v>
      </c>
      <c r="AF121" s="41"/>
      <c r="AG121" s="41"/>
      <c r="AH121" s="41">
        <v>9</v>
      </c>
      <c r="AI121" s="514"/>
      <c r="AJ121" s="41"/>
      <c r="AK121" s="41"/>
      <c r="AL121" s="41"/>
      <c r="AM121" s="41">
        <f>SUM(AF121:AL121)+AT121+AV121+AX121</f>
        <v>9</v>
      </c>
      <c r="AN121" s="41"/>
      <c r="AO121" s="41"/>
      <c r="AP121" s="41"/>
      <c r="AQ121" s="41"/>
      <c r="AR121" s="41">
        <f>SUM(AN121:AQ121)</f>
        <v>0</v>
      </c>
      <c r="AS121" s="41"/>
      <c r="AT121" s="41"/>
      <c r="AU121" s="41"/>
      <c r="AV121" s="41"/>
      <c r="AW121" s="41"/>
      <c r="AX121" s="41"/>
      <c r="AY121" s="41"/>
      <c r="AZ121" s="41"/>
      <c r="BA121" s="41">
        <f>+AR121+AS121+AU121+AW121+AY121+AZ121</f>
        <v>0</v>
      </c>
      <c r="BB121" s="37"/>
      <c r="BC121" s="55"/>
      <c r="BD121" s="55"/>
      <c r="BE121" s="55"/>
      <c r="BF121" s="55"/>
    </row>
    <row r="122" spans="1:58" ht="12.95" customHeight="1">
      <c r="A122" s="44"/>
      <c r="B122" s="45"/>
      <c r="C122" s="459"/>
      <c r="D122" s="45"/>
      <c r="E122" s="46"/>
      <c r="F122" s="46"/>
      <c r="G122" s="511"/>
      <c r="H122" s="48"/>
      <c r="I122" s="49"/>
      <c r="J122" s="86"/>
      <c r="K122" s="86"/>
      <c r="L122" s="39"/>
      <c r="M122" s="39"/>
      <c r="N122" s="50"/>
      <c r="O122" s="51"/>
      <c r="P122" s="52"/>
      <c r="Q122" s="51"/>
      <c r="R122" s="512"/>
      <c r="S122" s="512"/>
      <c r="T122" s="41"/>
      <c r="U122" s="41"/>
      <c r="V122" s="41"/>
      <c r="W122" s="41"/>
      <c r="X122" s="513"/>
      <c r="Y122" s="214"/>
      <c r="Z122" s="599"/>
      <c r="AA122" s="53"/>
      <c r="AB122" s="53"/>
      <c r="AC122" s="41"/>
      <c r="AD122" s="41">
        <f>+AM122+BA122</f>
        <v>5</v>
      </c>
      <c r="AE122" s="232" t="s">
        <v>531</v>
      </c>
      <c r="AF122" s="41"/>
      <c r="AG122" s="41"/>
      <c r="AH122" s="41"/>
      <c r="AI122" s="514">
        <v>5</v>
      </c>
      <c r="AJ122" s="41"/>
      <c r="AK122" s="41"/>
      <c r="AL122" s="41"/>
      <c r="AM122" s="41">
        <f>SUM(AF122:AL122)+AT122+AV122+AX122</f>
        <v>5</v>
      </c>
      <c r="AN122" s="41"/>
      <c r="AO122" s="41"/>
      <c r="AP122" s="41"/>
      <c r="AQ122" s="41"/>
      <c r="AR122" s="41">
        <f>SUM(AN122:AQ122)</f>
        <v>0</v>
      </c>
      <c r="AS122" s="41"/>
      <c r="AT122" s="41"/>
      <c r="AU122" s="41"/>
      <c r="AV122" s="41"/>
      <c r="AW122" s="41"/>
      <c r="AX122" s="41"/>
      <c r="AY122" s="41"/>
      <c r="AZ122" s="41"/>
      <c r="BA122" s="41">
        <f>+AR122+AS122+AU122+AW122+AY122+AZ122</f>
        <v>0</v>
      </c>
      <c r="BB122" s="37"/>
      <c r="BC122" s="55"/>
      <c r="BD122" s="55"/>
      <c r="BE122" s="55"/>
      <c r="BF122" s="55"/>
    </row>
    <row r="123" spans="1:58" ht="12.95" customHeight="1">
      <c r="A123" s="44"/>
      <c r="B123" s="3"/>
      <c r="C123" s="459"/>
      <c r="D123" s="45"/>
      <c r="E123" s="46"/>
      <c r="F123" s="46"/>
      <c r="G123" s="47"/>
      <c r="H123" s="48"/>
      <c r="I123" s="49"/>
      <c r="J123" s="86"/>
      <c r="K123" s="86"/>
      <c r="L123" s="39"/>
      <c r="M123" s="39"/>
      <c r="N123" s="50"/>
      <c r="O123" s="51"/>
      <c r="P123" s="52"/>
      <c r="Q123" s="38"/>
      <c r="R123" s="512"/>
      <c r="S123" s="512"/>
      <c r="T123" s="41"/>
      <c r="U123" s="41"/>
      <c r="V123" s="41"/>
      <c r="W123" s="41"/>
      <c r="X123" s="42"/>
      <c r="Y123" s="42"/>
      <c r="Z123" s="599"/>
      <c r="AA123" s="53"/>
      <c r="AB123" s="53"/>
      <c r="AC123" s="41"/>
      <c r="AD123" s="41"/>
      <c r="AE123" s="235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/>
      <c r="AP123" s="41"/>
      <c r="AQ123" s="41"/>
      <c r="AR123" s="41"/>
      <c r="AS123" s="41"/>
      <c r="AT123" s="41"/>
      <c r="AU123" s="41"/>
      <c r="AV123" s="41"/>
      <c r="AW123" s="41"/>
      <c r="AX123" s="41"/>
      <c r="AY123" s="41"/>
      <c r="AZ123" s="41"/>
      <c r="BA123" s="41"/>
      <c r="BB123" s="37"/>
      <c r="BC123" s="55"/>
      <c r="BD123" s="55"/>
      <c r="BE123" s="55"/>
      <c r="BF123" s="55"/>
    </row>
    <row r="124" spans="1:58" ht="12.95" customHeight="1">
      <c r="A124" s="44">
        <v>46016</v>
      </c>
      <c r="B124" s="45" t="s">
        <v>8</v>
      </c>
      <c r="C124" s="459">
        <f>(M124*E124*O124*Q124)/100000000</f>
        <v>49.910023680000002</v>
      </c>
      <c r="D124" s="45" t="s">
        <v>488</v>
      </c>
      <c r="E124" s="46">
        <v>35.5</v>
      </c>
      <c r="F124" s="46">
        <v>1</v>
      </c>
      <c r="G124" s="511">
        <v>460</v>
      </c>
      <c r="H124" s="48">
        <v>0.12</v>
      </c>
      <c r="I124" s="49">
        <v>0.88</v>
      </c>
      <c r="J124" s="86">
        <f>E124*G124*(1-H124)*1440/1000000*3.4</f>
        <v>70.357478400000005</v>
      </c>
      <c r="K124" s="86">
        <f>(IF(G124&lt;L124,L124,G124)*(1-IF(H124&lt;N124,H124,N124))*E124*O124*Q124)/100000000</f>
        <v>49.910023680000002</v>
      </c>
      <c r="L124" s="39">
        <v>530</v>
      </c>
      <c r="M124" s="39">
        <v>466.4</v>
      </c>
      <c r="N124" s="50">
        <f>1-(M124/L124)</f>
        <v>0.12</v>
      </c>
      <c r="O124" s="51">
        <f>+'Trim Rwd'!H84</f>
        <v>314</v>
      </c>
      <c r="P124" s="52">
        <f>O124*(Q124-R124-S124)</f>
        <v>298300</v>
      </c>
      <c r="Q124" s="51">
        <v>960</v>
      </c>
      <c r="R124" s="512">
        <v>0</v>
      </c>
      <c r="S124" s="512">
        <v>10</v>
      </c>
      <c r="T124" s="41">
        <f>E124*M124*O124*Q124/100000000</f>
        <v>49.910023680000002</v>
      </c>
      <c r="U124" s="41">
        <f>E124*M124*O124*(Q124-R124-S124)/100000000</f>
        <v>49.3901276</v>
      </c>
      <c r="V124" s="41">
        <f>E124*G124*(1-N124)*O124/100*(R124+S124)/1000000</f>
        <v>0.45123055999999995</v>
      </c>
      <c r="W124" s="41">
        <f>+'25'!K22/1000</f>
        <v>62.482999999999997</v>
      </c>
      <c r="X124" s="42">
        <f>SUM(W124:W127)/SUM(K124:K127)</f>
        <v>0.95414717162492968</v>
      </c>
      <c r="Y124" s="214">
        <v>0</v>
      </c>
      <c r="Z124" s="599">
        <v>0</v>
      </c>
      <c r="AA124" s="41">
        <f>SUM(U124:U127)-SUM(W124:W127)-SUM(Z124:Z127)-SUM(Y124:Y127)</f>
        <v>2.6556712800000071</v>
      </c>
      <c r="AB124" s="41">
        <f>(SUM(K124:K127)-SUM(W124:W127)-SUM(Y124:Y127)-SUM(Z124:Z127)-SUM(AC124:AC127)-SUM(V124:V127))-AA124</f>
        <v>0.11571031999999715</v>
      </c>
      <c r="AC124" s="41">
        <f>K124-T124</f>
        <v>0</v>
      </c>
      <c r="AD124" s="41">
        <f>+AM124+BA124</f>
        <v>2</v>
      </c>
      <c r="AE124" s="232" t="s">
        <v>395</v>
      </c>
      <c r="AF124" s="37">
        <v>2</v>
      </c>
      <c r="AG124" s="37"/>
      <c r="AH124" s="37"/>
      <c r="AJ124" s="41"/>
      <c r="AK124" s="41"/>
      <c r="AL124" s="41"/>
      <c r="AM124" s="41">
        <f>SUM(AF124:AL124)+AT124+AV124+AX124</f>
        <v>2</v>
      </c>
      <c r="AN124" s="41"/>
      <c r="AO124" s="41"/>
      <c r="AP124" s="41"/>
      <c r="AQ124" s="41"/>
      <c r="AR124" s="41">
        <f>SUM(AN124:AQ124)</f>
        <v>0</v>
      </c>
      <c r="AS124" s="41"/>
      <c r="AT124" s="41"/>
      <c r="AU124" s="41"/>
      <c r="AV124" s="41"/>
      <c r="AW124" s="41"/>
      <c r="AX124" s="41"/>
      <c r="AY124" s="41"/>
      <c r="AZ124" s="41"/>
      <c r="BA124" s="41">
        <f>+AR124+AS124+AU124+AW124+AY124+AZ124</f>
        <v>0</v>
      </c>
      <c r="BB124" s="37">
        <v>1</v>
      </c>
      <c r="BC124" s="515"/>
      <c r="BD124" s="55"/>
      <c r="BE124" s="55"/>
      <c r="BF124" s="55"/>
    </row>
    <row r="125" spans="1:58" ht="12.95" customHeight="1">
      <c r="A125" s="44"/>
      <c r="B125" s="45" t="s">
        <v>8</v>
      </c>
      <c r="C125" s="459">
        <f>(M125*E125*O125*Q125)/100000000</f>
        <v>26.595993599999996</v>
      </c>
      <c r="D125" s="45" t="s">
        <v>488</v>
      </c>
      <c r="E125" s="46">
        <v>36</v>
      </c>
      <c r="F125" s="46">
        <v>1</v>
      </c>
      <c r="G125" s="511">
        <v>455</v>
      </c>
      <c r="H125" s="48">
        <v>0.12</v>
      </c>
      <c r="I125" s="49">
        <v>0.88</v>
      </c>
      <c r="J125" s="86">
        <f>E125*G125*(1-H125)*1440/1000000*3.4</f>
        <v>70.572902400000004</v>
      </c>
      <c r="K125" s="86">
        <f>(IF(G125&lt;L125,L125,G125)*(1-IF(H125&lt;N125,H125,N125))*E125*O125*Q125)/100000000</f>
        <v>26.595993599999996</v>
      </c>
      <c r="L125" s="39">
        <v>530</v>
      </c>
      <c r="M125" s="39">
        <v>466.4</v>
      </c>
      <c r="N125" s="50">
        <f>1-(M125/L125)</f>
        <v>0.12</v>
      </c>
      <c r="O125" s="51">
        <f>+'Trim Rwd'!H85</f>
        <v>330</v>
      </c>
      <c r="P125" s="52">
        <f>O125*(Q125-R125-S125)</f>
        <v>156420</v>
      </c>
      <c r="Q125" s="51">
        <v>480</v>
      </c>
      <c r="R125" s="512">
        <v>0</v>
      </c>
      <c r="S125" s="512">
        <v>6</v>
      </c>
      <c r="T125" s="41">
        <f>E125*M125*O125*Q125/100000000</f>
        <v>26.595993599999996</v>
      </c>
      <c r="U125" s="41">
        <f>E125*M125*O125*(Q125-R125-S125)/100000000</f>
        <v>26.263543679999994</v>
      </c>
      <c r="V125" s="41">
        <f>E125*G125*(1-N125)*O125/100*(R125+S125)/1000000</f>
        <v>0.28540512000000001</v>
      </c>
      <c r="W125" s="41">
        <f>+'25'!K23/1000</f>
        <v>10.515000000000001</v>
      </c>
      <c r="X125" s="42"/>
      <c r="Y125" s="214"/>
      <c r="Z125" s="599"/>
      <c r="AA125" s="41"/>
      <c r="AB125" s="41"/>
      <c r="AC125" s="41">
        <f>K125-T125</f>
        <v>0</v>
      </c>
      <c r="AD125" s="41">
        <f>+AM125+BA125</f>
        <v>5</v>
      </c>
      <c r="AE125" s="232" t="s">
        <v>393</v>
      </c>
      <c r="AF125" s="41"/>
      <c r="AG125" s="41">
        <v>5</v>
      </c>
      <c r="AH125" s="41"/>
      <c r="AI125" s="41"/>
      <c r="AJ125" s="41"/>
      <c r="AK125" s="41"/>
      <c r="AL125" s="41"/>
      <c r="AM125" s="41">
        <f>SUM(AF125:AL125)+AT125+AV125+AX125</f>
        <v>5</v>
      </c>
      <c r="AN125" s="41"/>
      <c r="AO125" s="41"/>
      <c r="AP125" s="41"/>
      <c r="AQ125" s="41"/>
      <c r="AR125" s="41">
        <f>SUM(AN125:AQ125)</f>
        <v>0</v>
      </c>
      <c r="AS125" s="41"/>
      <c r="AT125" s="41"/>
      <c r="AU125" s="41"/>
      <c r="AV125" s="41"/>
      <c r="AW125" s="41"/>
      <c r="AX125" s="41"/>
      <c r="AY125" s="41"/>
      <c r="AZ125" s="41"/>
      <c r="BA125" s="41">
        <f>+AR125+AS125+AU125+AW125+AY125+AZ125</f>
        <v>0</v>
      </c>
      <c r="BB125" s="37"/>
      <c r="BC125" s="55">
        <v>4</v>
      </c>
      <c r="BD125" s="55"/>
      <c r="BE125" s="55"/>
      <c r="BF125" s="55"/>
    </row>
    <row r="126" spans="1:58" ht="12.95" customHeight="1">
      <c r="A126" s="44"/>
      <c r="B126" s="45"/>
      <c r="C126" s="459"/>
      <c r="D126" s="45"/>
      <c r="E126" s="46"/>
      <c r="F126" s="46"/>
      <c r="G126" s="511"/>
      <c r="H126" s="48"/>
      <c r="I126" s="49"/>
      <c r="J126" s="86"/>
      <c r="K126" s="86"/>
      <c r="L126" s="39"/>
      <c r="M126" s="39"/>
      <c r="N126" s="50"/>
      <c r="O126" s="51"/>
      <c r="P126" s="52"/>
      <c r="Q126" s="51"/>
      <c r="R126" s="512"/>
      <c r="S126" s="512"/>
      <c r="T126" s="41"/>
      <c r="U126" s="41"/>
      <c r="V126" s="41"/>
      <c r="W126" s="41"/>
      <c r="X126" s="513"/>
      <c r="Y126" s="214"/>
      <c r="Z126" s="599"/>
      <c r="AA126" s="53"/>
      <c r="AB126" s="53"/>
      <c r="AC126" s="41"/>
      <c r="AD126" s="41">
        <f>+AM126+BA126</f>
        <v>9</v>
      </c>
      <c r="AE126" s="232" t="s">
        <v>226</v>
      </c>
      <c r="AF126" s="41"/>
      <c r="AG126" s="41"/>
      <c r="AH126" s="41">
        <v>9</v>
      </c>
      <c r="AI126" s="514"/>
      <c r="AJ126" s="41"/>
      <c r="AK126" s="41"/>
      <c r="AL126" s="41"/>
      <c r="AM126" s="41">
        <f>SUM(AF126:AL126)+AT126+AV126+AX126</f>
        <v>9</v>
      </c>
      <c r="AN126" s="41"/>
      <c r="AO126" s="41"/>
      <c r="AP126" s="41"/>
      <c r="AQ126" s="41"/>
      <c r="AR126" s="41">
        <f>SUM(AN126:AQ126)</f>
        <v>0</v>
      </c>
      <c r="AS126" s="41"/>
      <c r="AT126" s="41"/>
      <c r="AU126" s="41"/>
      <c r="AV126" s="41"/>
      <c r="AW126" s="41"/>
      <c r="AX126" s="41"/>
      <c r="AY126" s="41"/>
      <c r="AZ126" s="41"/>
      <c r="BA126" s="41">
        <f>+AR126+AS126+AU126+AW126+AY126+AZ126</f>
        <v>0</v>
      </c>
      <c r="BB126" s="37"/>
      <c r="BC126" s="55"/>
      <c r="BD126" s="55"/>
      <c r="BE126" s="55"/>
      <c r="BF126" s="55"/>
    </row>
    <row r="127" spans="1:58" ht="12.95" customHeight="1">
      <c r="A127" s="44"/>
      <c r="B127" s="45"/>
      <c r="C127" s="459"/>
      <c r="D127" s="45"/>
      <c r="E127" s="46"/>
      <c r="F127" s="46"/>
      <c r="G127" s="511"/>
      <c r="H127" s="48"/>
      <c r="I127" s="49"/>
      <c r="J127" s="86"/>
      <c r="K127" s="86"/>
      <c r="L127" s="39"/>
      <c r="M127" s="39"/>
      <c r="N127" s="50"/>
      <c r="O127" s="51"/>
      <c r="P127" s="52"/>
      <c r="Q127" s="51"/>
      <c r="R127" s="512"/>
      <c r="S127" s="512"/>
      <c r="T127" s="41"/>
      <c r="U127" s="41"/>
      <c r="V127" s="41"/>
      <c r="W127" s="41"/>
      <c r="X127" s="513"/>
      <c r="Y127" s="214"/>
      <c r="Z127" s="599"/>
      <c r="AA127" s="53"/>
      <c r="AB127" s="53"/>
      <c r="AC127" s="41"/>
      <c r="AD127" s="41"/>
      <c r="AE127" s="232"/>
      <c r="AF127" s="41"/>
      <c r="AG127" s="41"/>
      <c r="AH127" s="41"/>
      <c r="AI127" s="514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1"/>
      <c r="AW127" s="41"/>
      <c r="AX127" s="41"/>
      <c r="AY127" s="41"/>
      <c r="AZ127" s="41"/>
      <c r="BA127" s="41"/>
      <c r="BB127" s="37"/>
      <c r="BC127" s="55"/>
      <c r="BD127" s="55"/>
      <c r="BE127" s="55"/>
      <c r="BF127" s="55"/>
    </row>
    <row r="128" spans="1:58" ht="12.95" customHeight="1">
      <c r="A128" s="44">
        <v>46017</v>
      </c>
      <c r="B128" s="3" t="s">
        <v>8</v>
      </c>
      <c r="C128" s="459">
        <f>(M128*E128*O128*Q128)/100000000</f>
        <v>45.434822399999987</v>
      </c>
      <c r="D128" s="45" t="s">
        <v>488</v>
      </c>
      <c r="E128" s="46">
        <v>36</v>
      </c>
      <c r="F128" s="46">
        <v>1</v>
      </c>
      <c r="G128" s="47">
        <v>455</v>
      </c>
      <c r="H128" s="48">
        <v>0.12</v>
      </c>
      <c r="I128" s="49">
        <v>0.88</v>
      </c>
      <c r="J128" s="86">
        <f>E128*G128*(1-H128)*1440/1000000*3.4</f>
        <v>70.572902400000004</v>
      </c>
      <c r="K128" s="86">
        <f>(IF(G128&lt;L128,L128,G128)*(1-IF(H128&lt;N128,H128,N128))*E128*O128*Q128)/100000000</f>
        <v>45.434822399999987</v>
      </c>
      <c r="L128" s="39">
        <v>530</v>
      </c>
      <c r="M128" s="39">
        <v>466.4</v>
      </c>
      <c r="N128" s="50">
        <f>1-(M128/L128)</f>
        <v>0.12</v>
      </c>
      <c r="O128" s="51">
        <f>+'Trim Rwd'!H87</f>
        <v>330</v>
      </c>
      <c r="P128" s="52">
        <f>O128*(Q128-R128-S128)</f>
        <v>267630</v>
      </c>
      <c r="Q128" s="38">
        <v>820</v>
      </c>
      <c r="R128" s="512">
        <v>0</v>
      </c>
      <c r="S128" s="512">
        <v>9</v>
      </c>
      <c r="T128" s="41">
        <f>E128*M128*O128*Q128/100000000</f>
        <v>45.434822399999987</v>
      </c>
      <c r="U128" s="41">
        <f>E128*M128*O128*(Q128-R128-S128)/100000000</f>
        <v>44.936147519999992</v>
      </c>
      <c r="V128" s="41">
        <f>E128*G128*(1-N128)*O128/100*(R128+S128)/1000000</f>
        <v>0.42810767999999999</v>
      </c>
      <c r="W128" s="41">
        <f>+'26'!K23/1000</f>
        <v>53.097999999999999</v>
      </c>
      <c r="X128" s="42">
        <f>SUM(W128:W131)/SUM(K128:K131)</f>
        <v>0.9786274103675231</v>
      </c>
      <c r="Y128" s="214">
        <v>0</v>
      </c>
      <c r="Z128" s="599">
        <f>+'26'!D34/1000</f>
        <v>0.65</v>
      </c>
      <c r="AA128" s="53">
        <f>SUM(U128:U131)-SUM(W128:W131)-SUM(Z128:Z131)-SUM(Y128:Y131)</f>
        <v>0.34376953600000204</v>
      </c>
      <c r="AB128" s="53">
        <f>(SUM(K128:K131)-SUM(W128:W131)-SUM(Y128:Y131)-SUM(Z128:Z131)-SUM(AC128:AC131)-SUM(V128:V131))-AA128</f>
        <v>0.1131028799999847</v>
      </c>
      <c r="AC128" s="41">
        <f>K128-T128</f>
        <v>0</v>
      </c>
      <c r="AD128" s="41">
        <f>+AM128+BA128</f>
        <v>0</v>
      </c>
      <c r="AE128" s="235" t="s">
        <v>395</v>
      </c>
      <c r="AF128" s="41">
        <v>0</v>
      </c>
      <c r="AG128" s="41"/>
      <c r="AH128" s="41"/>
      <c r="AI128" s="41"/>
      <c r="AJ128" s="41"/>
      <c r="AK128" s="41"/>
      <c r="AL128" s="41"/>
      <c r="AM128" s="41">
        <f>SUM(AF128:AL128)+AT128+AV128+AX128</f>
        <v>0</v>
      </c>
      <c r="AN128" s="41"/>
      <c r="AO128" s="41"/>
      <c r="AP128" s="41"/>
      <c r="AQ128" s="41"/>
      <c r="AR128" s="41">
        <f>SUM(AN128:AQ128)</f>
        <v>0</v>
      </c>
      <c r="AS128" s="41"/>
      <c r="AT128" s="41"/>
      <c r="AU128" s="41"/>
      <c r="AV128" s="41"/>
      <c r="AW128" s="41"/>
      <c r="AX128" s="41"/>
      <c r="AY128" s="41"/>
      <c r="AZ128" s="41"/>
      <c r="BA128" s="41">
        <f>+AR128+AS128+AU128+AW128+AY128+AZ128</f>
        <v>0</v>
      </c>
      <c r="BB128" s="37">
        <v>0</v>
      </c>
      <c r="BC128" s="55"/>
      <c r="BD128" s="515"/>
      <c r="BE128" s="37"/>
      <c r="BF128" s="515"/>
    </row>
    <row r="129" spans="1:58" ht="12.95" customHeight="1">
      <c r="A129" s="44"/>
      <c r="B129" s="45" t="s">
        <v>8</v>
      </c>
      <c r="C129" s="459">
        <f>(M129*E129*O129*Q129)/100000000</f>
        <v>34.943061120000003</v>
      </c>
      <c r="D129" s="45" t="s">
        <v>488</v>
      </c>
      <c r="E129" s="46">
        <v>38</v>
      </c>
      <c r="F129" s="46">
        <v>1</v>
      </c>
      <c r="G129" s="47">
        <v>430</v>
      </c>
      <c r="H129" s="48">
        <v>0.12</v>
      </c>
      <c r="I129" s="49">
        <v>0.88</v>
      </c>
      <c r="J129" s="86">
        <f>E129*G129*(1-H129)*1440/1000000*3.4</f>
        <v>70.400563199999993</v>
      </c>
      <c r="K129" s="86">
        <f>(IF(G129&lt;L129,L129,G129)*(1-IF(H129&lt;N129,H129,N129))*E129*O129*Q129)/100000000</f>
        <v>34.943061120000003</v>
      </c>
      <c r="L129" s="39">
        <v>530</v>
      </c>
      <c r="M129" s="39">
        <v>466.4</v>
      </c>
      <c r="N129" s="50">
        <f>1-(M129/L129)</f>
        <v>0.12</v>
      </c>
      <c r="O129" s="51">
        <f>+'Trim Rwd'!H88</f>
        <v>318</v>
      </c>
      <c r="P129" s="52">
        <f>O129*(Q129-R129-S129)</f>
        <v>195888</v>
      </c>
      <c r="Q129" s="51">
        <v>620</v>
      </c>
      <c r="R129" s="512">
        <v>0</v>
      </c>
      <c r="S129" s="512">
        <v>4</v>
      </c>
      <c r="T129" s="41">
        <f>E129*M129*O129*Q129/100000000</f>
        <v>34.943061120000003</v>
      </c>
      <c r="U129" s="41">
        <f>E129*M129*O129*(Q129-R129-S129)/100000000</f>
        <v>34.717622016000007</v>
      </c>
      <c r="V129" s="41">
        <f>E129*G129*(1-N129)*O129/100*(R129+S129)/1000000</f>
        <v>0.18290342400000004</v>
      </c>
      <c r="W129" s="41">
        <f>+'26'!K24/1000</f>
        <v>25.562000000000001</v>
      </c>
      <c r="X129" s="42"/>
      <c r="Y129" s="214"/>
      <c r="Z129" s="599"/>
      <c r="AA129" s="53"/>
      <c r="AB129" s="53"/>
      <c r="AC129" s="41">
        <f>K129-T129</f>
        <v>0</v>
      </c>
      <c r="AD129" s="41">
        <f>+AM129+BA129</f>
        <v>4</v>
      </c>
      <c r="AE129" t="s">
        <v>454</v>
      </c>
      <c r="AF129" s="41"/>
      <c r="AG129" s="41">
        <v>4</v>
      </c>
      <c r="AH129" s="41"/>
      <c r="AI129" s="41"/>
      <c r="AJ129" s="41"/>
      <c r="AK129" s="41"/>
      <c r="AL129" s="41"/>
      <c r="AM129" s="41">
        <f>SUM(AF129:AL129)+AT129+AV129+AX129</f>
        <v>4</v>
      </c>
      <c r="AN129" s="41"/>
      <c r="AO129" s="41"/>
      <c r="AP129" s="41"/>
      <c r="AQ129" s="41"/>
      <c r="AR129" s="41">
        <f>SUM(AN129:AQ129)</f>
        <v>0</v>
      </c>
      <c r="AS129" s="41"/>
      <c r="AT129" s="41"/>
      <c r="AU129" s="41"/>
      <c r="AV129" s="41"/>
      <c r="AW129" s="41"/>
      <c r="AX129" s="41"/>
      <c r="AY129" s="41"/>
      <c r="AZ129" s="41"/>
      <c r="BA129" s="41">
        <f>+AR129+AS129+AU129+AW129+AY129+AZ129</f>
        <v>0</v>
      </c>
      <c r="BB129" s="37"/>
      <c r="BC129" s="55">
        <v>2</v>
      </c>
      <c r="BD129" s="55"/>
      <c r="BE129" s="55"/>
      <c r="BF129" s="55"/>
    </row>
    <row r="130" spans="1:58" ht="12.95" customHeight="1">
      <c r="A130" s="44"/>
      <c r="B130" s="45"/>
      <c r="C130" s="459"/>
      <c r="D130" s="45"/>
      <c r="E130" s="46"/>
      <c r="F130" s="46"/>
      <c r="G130" s="511"/>
      <c r="H130" s="48"/>
      <c r="I130" s="49"/>
      <c r="J130" s="86"/>
      <c r="K130" s="86"/>
      <c r="L130" s="39"/>
      <c r="M130" s="39"/>
      <c r="N130" s="50"/>
      <c r="O130" s="51"/>
      <c r="P130" s="52"/>
      <c r="Q130" s="51"/>
      <c r="R130" s="512"/>
      <c r="S130" s="512"/>
      <c r="T130" s="41"/>
      <c r="U130" s="41"/>
      <c r="V130" s="41"/>
      <c r="W130" s="41"/>
      <c r="X130" s="513"/>
      <c r="Y130" s="214"/>
      <c r="Z130" s="599"/>
      <c r="AA130" s="53"/>
      <c r="AB130" s="53"/>
      <c r="AC130" s="41"/>
      <c r="AD130" s="41">
        <f>+AM130+BA130</f>
        <v>9</v>
      </c>
      <c r="AE130" s="232" t="s">
        <v>226</v>
      </c>
      <c r="AF130" s="41"/>
      <c r="AG130" s="41"/>
      <c r="AH130" s="41">
        <v>9</v>
      </c>
      <c r="AI130" s="514"/>
      <c r="AJ130" s="41"/>
      <c r="AK130" s="41"/>
      <c r="AL130" s="41"/>
      <c r="AM130" s="41">
        <f>SUM(AF130:AL130)+AT130+AV130+AX130</f>
        <v>9</v>
      </c>
      <c r="AN130" s="41"/>
      <c r="AO130" s="41"/>
      <c r="AP130" s="41"/>
      <c r="AQ130" s="41"/>
      <c r="AR130" s="41">
        <f>SUM(AN130:AQ130)</f>
        <v>0</v>
      </c>
      <c r="AS130" s="41"/>
      <c r="AT130" s="41"/>
      <c r="AU130" s="41"/>
      <c r="AV130" s="41"/>
      <c r="AW130" s="41"/>
      <c r="AX130" s="41"/>
      <c r="AY130" s="41"/>
      <c r="AZ130" s="41"/>
      <c r="BA130" s="41">
        <f>+AR130+AS130+AU130+AW130+AY130+AZ130</f>
        <v>0</v>
      </c>
      <c r="BB130" s="37"/>
      <c r="BC130" s="55"/>
      <c r="BD130" s="55"/>
      <c r="BE130" s="55"/>
      <c r="BF130" s="55"/>
    </row>
    <row r="131" spans="1:58" ht="12.95" customHeight="1">
      <c r="A131" s="44"/>
      <c r="B131" s="45"/>
      <c r="C131" s="459"/>
      <c r="D131" s="45"/>
      <c r="E131" s="46"/>
      <c r="F131" s="46"/>
      <c r="G131" s="511"/>
      <c r="H131" s="48"/>
      <c r="I131" s="49"/>
      <c r="J131" s="86"/>
      <c r="K131" s="86"/>
      <c r="L131" s="39"/>
      <c r="M131" s="39"/>
      <c r="N131" s="50"/>
      <c r="O131" s="51"/>
      <c r="P131" s="52"/>
      <c r="Q131" s="51"/>
      <c r="R131" s="512"/>
      <c r="S131" s="512"/>
      <c r="T131" s="41"/>
      <c r="U131" s="41"/>
      <c r="V131" s="41"/>
      <c r="W131" s="41"/>
      <c r="X131" s="513"/>
      <c r="Y131" s="214"/>
      <c r="Z131" s="599"/>
      <c r="AA131" s="41"/>
      <c r="AB131" s="41"/>
      <c r="AC131" s="41"/>
      <c r="AD131" s="41"/>
      <c r="AE131" s="232"/>
      <c r="AF131" s="41"/>
      <c r="AG131" s="41"/>
      <c r="AH131" s="41"/>
      <c r="AI131" s="514"/>
      <c r="AJ131" s="41"/>
      <c r="AK131" s="41"/>
      <c r="AL131" s="41"/>
      <c r="AM131" s="41"/>
      <c r="AN131" s="87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41"/>
      <c r="BA131" s="41"/>
      <c r="BB131" s="54"/>
      <c r="BC131" s="55"/>
      <c r="BD131" s="55"/>
      <c r="BE131" s="55"/>
      <c r="BF131" s="55"/>
    </row>
    <row r="132" spans="1:58" ht="12.95" customHeight="1">
      <c r="A132" s="44">
        <v>46018</v>
      </c>
      <c r="B132" s="45" t="s">
        <v>8</v>
      </c>
      <c r="C132" s="459">
        <f>(M132*E132*O132*Q132)/100000000</f>
        <v>81.158077440000014</v>
      </c>
      <c r="D132" s="45" t="s">
        <v>488</v>
      </c>
      <c r="E132" s="46">
        <v>38</v>
      </c>
      <c r="F132" s="46">
        <v>1</v>
      </c>
      <c r="G132" s="511">
        <v>430</v>
      </c>
      <c r="H132" s="48">
        <v>0.12</v>
      </c>
      <c r="I132" s="49">
        <v>0.88</v>
      </c>
      <c r="J132" s="86">
        <f>E132*G132*(1-H132)*1440/1000000*3.4</f>
        <v>70.400563199999993</v>
      </c>
      <c r="K132" s="86">
        <f>(IF(G132&lt;L132,L132,G132)*(1-IF(H132&lt;N132,H132,N132))*E132*O132*Q132)/100000000</f>
        <v>81.158077440000014</v>
      </c>
      <c r="L132" s="39">
        <v>530</v>
      </c>
      <c r="M132" s="39">
        <v>466.4</v>
      </c>
      <c r="N132" s="50">
        <f>1-(M132/L132)</f>
        <v>0.12</v>
      </c>
      <c r="O132" s="51">
        <f>+'Trim Rwd'!H90</f>
        <v>318</v>
      </c>
      <c r="P132" s="52">
        <f>O132*(Q132-R132-S132)</f>
        <v>453468</v>
      </c>
      <c r="Q132" s="51">
        <v>1440</v>
      </c>
      <c r="R132" s="512">
        <v>0</v>
      </c>
      <c r="S132" s="512">
        <v>14</v>
      </c>
      <c r="T132" s="41">
        <f>E132*M132*O132*Q132/100000000</f>
        <v>81.158077440000014</v>
      </c>
      <c r="U132" s="41">
        <f>E132*M132*O132*(Q132-R132-S132)/100000000</f>
        <v>80.369040576000003</v>
      </c>
      <c r="V132" s="41">
        <f>E132*G132*(1-N132)*O132/100*(R132+S132)/1000000</f>
        <v>0.64016198400000002</v>
      </c>
      <c r="W132" s="41">
        <f>+'27'!K34/1000</f>
        <v>75.625</v>
      </c>
      <c r="X132" s="42">
        <f>SUM(W132:W135)/SUM(K132:K135)</f>
        <v>0.93182345350540607</v>
      </c>
      <c r="Y132" s="214">
        <v>0</v>
      </c>
      <c r="Z132" s="41">
        <f>+'27'!D34/1000</f>
        <v>0.75</v>
      </c>
      <c r="AA132" s="41">
        <f>SUM(U132:U135)-SUM(W132:W135)-SUM(Z132:Z135)-SUM(Y132:Y135)</f>
        <v>3.9940405760000033</v>
      </c>
      <c r="AB132" s="41">
        <f>(SUM(K132:K135)-SUM(W132:W135)-SUM(Y132:Y135)-SUM(Z132:Z135)-SUM(AC132:AC135)-SUM(V132:V135))-AA132</f>
        <v>0.14887488000001081</v>
      </c>
      <c r="AC132" s="41">
        <f>K132-T132</f>
        <v>0</v>
      </c>
      <c r="AD132" s="41">
        <f>+AM132+BA132</f>
        <v>0</v>
      </c>
      <c r="AE132" s="232" t="s">
        <v>395</v>
      </c>
      <c r="AF132" s="37">
        <v>0</v>
      </c>
      <c r="AG132" s="37"/>
      <c r="AH132" s="37"/>
      <c r="AJ132" s="41"/>
      <c r="AK132" s="41"/>
      <c r="AL132" s="41"/>
      <c r="AM132" s="41">
        <f>SUM(AF132:AL132)+AT132+AV132+AX132</f>
        <v>0</v>
      </c>
      <c r="AN132" s="41"/>
      <c r="AO132" s="41"/>
      <c r="AP132" s="41"/>
      <c r="AQ132" s="41"/>
      <c r="AR132" s="41">
        <f>SUM(AN132:AQ132)</f>
        <v>0</v>
      </c>
      <c r="AS132" s="41"/>
      <c r="AT132" s="41"/>
      <c r="AU132" s="41"/>
      <c r="AV132" s="41"/>
      <c r="AW132" s="41"/>
      <c r="AX132" s="41"/>
      <c r="AY132" s="41"/>
      <c r="AZ132" s="41"/>
      <c r="BA132" s="41">
        <f>+AR132+AS132+AU132+AW132+AY132+AZ132</f>
        <v>0</v>
      </c>
      <c r="BB132" s="37">
        <v>0</v>
      </c>
      <c r="BC132" s="515"/>
      <c r="BD132" s="55"/>
      <c r="BE132" s="55"/>
      <c r="BF132" s="55"/>
    </row>
    <row r="133" spans="1:58" ht="12.95" customHeight="1">
      <c r="A133" s="44"/>
      <c r="B133" s="45"/>
      <c r="C133" s="459"/>
      <c r="D133" s="45"/>
      <c r="E133" s="46"/>
      <c r="F133" s="46"/>
      <c r="G133" s="511"/>
      <c r="H133" s="48"/>
      <c r="I133" s="49"/>
      <c r="J133" s="86"/>
      <c r="K133" s="86"/>
      <c r="L133" s="39"/>
      <c r="M133" s="39"/>
      <c r="N133" s="50"/>
      <c r="O133" s="51"/>
      <c r="P133" s="52"/>
      <c r="Q133" s="51"/>
      <c r="R133" s="512"/>
      <c r="S133" s="512"/>
      <c r="T133" s="41"/>
      <c r="U133" s="41"/>
      <c r="V133" s="41"/>
      <c r="W133" s="41"/>
      <c r="X133" s="42"/>
      <c r="Y133" s="214"/>
      <c r="Z133" s="599"/>
      <c r="AA133" s="41"/>
      <c r="AB133" s="41"/>
      <c r="AC133" s="41"/>
      <c r="AD133" s="41">
        <f>+AM133+BA133</f>
        <v>0</v>
      </c>
      <c r="AE133" s="232" t="s">
        <v>424</v>
      </c>
      <c r="AF133" s="41"/>
      <c r="AG133" s="41">
        <v>0</v>
      </c>
      <c r="AH133" s="41"/>
      <c r="AI133" s="41"/>
      <c r="AJ133" s="41"/>
      <c r="AK133" s="41"/>
      <c r="AL133" s="41"/>
      <c r="AM133" s="41">
        <f>SUM(AF133:AL133)+AT133+AV133+AX133</f>
        <v>0</v>
      </c>
      <c r="AN133" s="41"/>
      <c r="AO133" s="41"/>
      <c r="AP133" s="41"/>
      <c r="AQ133" s="41"/>
      <c r="AR133" s="41">
        <f>SUM(AN133:AQ133)</f>
        <v>0</v>
      </c>
      <c r="AS133" s="41"/>
      <c r="AT133" s="41"/>
      <c r="AU133" s="41"/>
      <c r="AV133" s="41"/>
      <c r="AW133" s="41"/>
      <c r="AX133" s="41"/>
      <c r="AY133" s="41"/>
      <c r="AZ133" s="41"/>
      <c r="BA133" s="41">
        <f>+AR133+AS133+AU133+AW133+AY133+AZ133</f>
        <v>0</v>
      </c>
      <c r="BB133" s="37"/>
      <c r="BC133" s="55">
        <v>0</v>
      </c>
      <c r="BD133" s="55"/>
      <c r="BE133" s="55"/>
      <c r="BF133" s="55"/>
    </row>
    <row r="134" spans="1:58" ht="12.95" customHeight="1">
      <c r="A134" s="44"/>
      <c r="B134" s="45"/>
      <c r="C134" s="459"/>
      <c r="D134" s="45"/>
      <c r="E134" s="46"/>
      <c r="F134" s="46"/>
      <c r="G134" s="511"/>
      <c r="H134" s="48"/>
      <c r="I134" s="49"/>
      <c r="J134" s="86"/>
      <c r="K134" s="86"/>
      <c r="L134" s="39"/>
      <c r="M134" s="39"/>
      <c r="N134" s="50"/>
      <c r="O134" s="51"/>
      <c r="P134" s="52"/>
      <c r="Q134" s="51"/>
      <c r="R134" s="512"/>
      <c r="S134" s="512"/>
      <c r="T134" s="41"/>
      <c r="U134" s="41"/>
      <c r="V134" s="41"/>
      <c r="W134" s="41"/>
      <c r="X134" s="513"/>
      <c r="Y134" s="214"/>
      <c r="Z134" s="599"/>
      <c r="AA134" s="53"/>
      <c r="AB134" s="53"/>
      <c r="AC134" s="41"/>
      <c r="AD134" s="41">
        <f>+AM134+BA134</f>
        <v>14</v>
      </c>
      <c r="AE134" s="232" t="s">
        <v>226</v>
      </c>
      <c r="AF134" s="41"/>
      <c r="AG134" s="41"/>
      <c r="AH134" s="41">
        <v>14</v>
      </c>
      <c r="AI134" s="514"/>
      <c r="AJ134" s="41"/>
      <c r="AK134" s="41"/>
      <c r="AL134" s="41"/>
      <c r="AM134" s="41">
        <f>SUM(AF134:AL134)+AT134+AV134+AX134</f>
        <v>14</v>
      </c>
      <c r="AN134" s="41"/>
      <c r="AO134" s="41"/>
      <c r="AP134" s="41"/>
      <c r="AQ134" s="41"/>
      <c r="AR134" s="41">
        <f>SUM(AN134:AQ134)</f>
        <v>0</v>
      </c>
      <c r="AS134" s="41"/>
      <c r="AT134" s="41"/>
      <c r="AU134" s="41"/>
      <c r="AV134" s="41"/>
      <c r="AW134" s="41"/>
      <c r="AX134" s="41"/>
      <c r="AY134" s="41"/>
      <c r="AZ134" s="41"/>
      <c r="BA134" s="41">
        <f>+AR134+AS134+AU134+AW134+AY134+AZ134</f>
        <v>0</v>
      </c>
      <c r="BB134" s="37"/>
      <c r="BC134" s="55"/>
      <c r="BD134" s="55"/>
      <c r="BE134" s="55"/>
      <c r="BF134" s="55"/>
    </row>
    <row r="135" spans="1:58" ht="12.95" customHeight="1">
      <c r="A135" s="44"/>
      <c r="B135" s="45"/>
      <c r="C135" s="459"/>
      <c r="D135" s="45"/>
      <c r="E135" s="46"/>
      <c r="F135" s="46"/>
      <c r="G135" s="511"/>
      <c r="H135" s="48"/>
      <c r="I135" s="49"/>
      <c r="J135" s="86"/>
      <c r="K135" s="86"/>
      <c r="L135" s="39"/>
      <c r="M135" s="39"/>
      <c r="N135" s="50"/>
      <c r="O135" s="51"/>
      <c r="P135" s="52"/>
      <c r="Q135" s="51"/>
      <c r="R135" s="512"/>
      <c r="S135" s="512"/>
      <c r="T135" s="41"/>
      <c r="U135" s="41"/>
      <c r="V135" s="41"/>
      <c r="W135" s="41"/>
      <c r="X135" s="513"/>
      <c r="Y135" s="214"/>
      <c r="Z135" s="599"/>
      <c r="AA135" s="53"/>
      <c r="AB135" s="53"/>
      <c r="AC135" s="41"/>
      <c r="AD135" s="41"/>
      <c r="AE135" s="232"/>
      <c r="AF135" s="41"/>
      <c r="AG135" s="41"/>
      <c r="AH135" s="41"/>
      <c r="AI135" s="514"/>
      <c r="AJ135" s="41"/>
      <c r="AK135" s="41"/>
      <c r="AL135" s="41"/>
      <c r="AM135" s="41"/>
      <c r="AN135" s="41"/>
      <c r="AO135" s="41"/>
      <c r="AP135" s="41"/>
      <c r="AQ135" s="41"/>
      <c r="AR135" s="41"/>
      <c r="AS135" s="41"/>
      <c r="AT135" s="41"/>
      <c r="AU135" s="41"/>
      <c r="AV135" s="41"/>
      <c r="AW135" s="41"/>
      <c r="AX135" s="41"/>
      <c r="AY135" s="41"/>
      <c r="AZ135" s="41"/>
      <c r="BA135" s="41"/>
      <c r="BB135" s="37"/>
      <c r="BC135" s="55"/>
      <c r="BD135" s="55"/>
      <c r="BE135" s="55"/>
      <c r="BF135" s="55"/>
    </row>
    <row r="136" spans="1:58" ht="12.95" customHeight="1">
      <c r="A136" s="44">
        <v>46019</v>
      </c>
      <c r="B136" s="45" t="s">
        <v>8</v>
      </c>
      <c r="C136" s="459">
        <f>(M136*E136*O136*Q136)/100000000</f>
        <v>74.059935839999994</v>
      </c>
      <c r="D136" s="45" t="s">
        <v>488</v>
      </c>
      <c r="E136" s="46">
        <v>38</v>
      </c>
      <c r="F136" s="46">
        <v>1</v>
      </c>
      <c r="G136" s="511">
        <v>430</v>
      </c>
      <c r="H136" s="48">
        <v>0.12</v>
      </c>
      <c r="I136" s="49">
        <v>0.88</v>
      </c>
      <c r="J136" s="86">
        <f>E136*G136*(1-H136)*1440/1000000*3.4</f>
        <v>70.400563199999993</v>
      </c>
      <c r="K136" s="86">
        <f>(IF(G136&lt;L136,L136,G136)*(1-IF(H136&lt;N136,H136,N136))*E136*O136*Q136)/100000000</f>
        <v>74.059935839999994</v>
      </c>
      <c r="L136" s="39">
        <v>483.64583333333331</v>
      </c>
      <c r="M136" s="39">
        <v>425.60833333333335</v>
      </c>
      <c r="N136" s="50">
        <f>1-(M136/L136)</f>
        <v>0.11999999999999988</v>
      </c>
      <c r="O136" s="51">
        <f>+'Trim Rwd'!H92</f>
        <v>318</v>
      </c>
      <c r="P136" s="52">
        <f>O136*(Q136-R136-S136)</f>
        <v>451560</v>
      </c>
      <c r="Q136" s="51">
        <v>1440</v>
      </c>
      <c r="R136" s="512">
        <v>0</v>
      </c>
      <c r="S136" s="512">
        <v>20</v>
      </c>
      <c r="T136" s="41">
        <f>E136*M136*O136*Q136/100000000</f>
        <v>74.059935839999994</v>
      </c>
      <c r="U136" s="41">
        <f>E136*M136*O136*(Q136-R136-S136)/100000000</f>
        <v>73.03132561999999</v>
      </c>
      <c r="V136" s="41">
        <f>E136*G136*(1-N136)*O136/100*(R136+S136)/1000000</f>
        <v>0.91451712000000007</v>
      </c>
      <c r="W136" s="41">
        <f>+'28'!K34/1000</f>
        <v>70.376999999999995</v>
      </c>
      <c r="X136" s="42">
        <f>SUM(W136:W139)/SUM(K136:K139)</f>
        <v>0.95027087455278569</v>
      </c>
      <c r="Y136" s="214">
        <v>0</v>
      </c>
      <c r="Z136" s="41">
        <f>+'28'!D34/1000</f>
        <v>0</v>
      </c>
      <c r="AA136" s="41">
        <f>SUM(U136:U139)-SUM(W136:W139)-SUM(Z136:Z139)-SUM(Y136:Y139)</f>
        <v>2.6543256199999945</v>
      </c>
      <c r="AB136" s="41">
        <f>(SUM(K136:K139)-SUM(W136:W139)-SUM(Y136:Y139)-SUM(Z136:Z139)-SUM(AC136:AC139)-SUM(V136:V139))-AA136</f>
        <v>0.11409310000000428</v>
      </c>
      <c r="AC136" s="41">
        <f>K136-T136</f>
        <v>0</v>
      </c>
      <c r="AD136" s="41">
        <f>+AM136+BA136</f>
        <v>0</v>
      </c>
      <c r="AE136" s="232" t="s">
        <v>395</v>
      </c>
      <c r="AF136" s="37">
        <v>0</v>
      </c>
      <c r="AG136" s="37"/>
      <c r="AH136" s="37"/>
      <c r="AJ136" s="41"/>
      <c r="AK136" s="41"/>
      <c r="AL136" s="41"/>
      <c r="AM136" s="41">
        <f>SUM(AF136:AL136)+AT136+AV136+AX136</f>
        <v>0</v>
      </c>
      <c r="AN136" s="41"/>
      <c r="AO136" s="41"/>
      <c r="AP136" s="41"/>
      <c r="AQ136" s="41"/>
      <c r="AR136" s="41">
        <f>SUM(AN136:AQ136)</f>
        <v>0</v>
      </c>
      <c r="AS136" s="41"/>
      <c r="AT136" s="41"/>
      <c r="AU136" s="41"/>
      <c r="AV136" s="41"/>
      <c r="AW136" s="41"/>
      <c r="AX136" s="41"/>
      <c r="AY136" s="41"/>
      <c r="AZ136" s="41"/>
      <c r="BA136" s="41">
        <f>+AR136+AS136+AU136+AW136+AY136+AZ136</f>
        <v>0</v>
      </c>
      <c r="BB136" s="37">
        <v>0</v>
      </c>
      <c r="BC136" s="515"/>
      <c r="BD136" s="55"/>
      <c r="BE136" s="55"/>
      <c r="BF136" s="55"/>
    </row>
    <row r="137" spans="1:58" ht="12.95" customHeight="1">
      <c r="A137" s="44"/>
      <c r="B137" s="45"/>
      <c r="C137" s="459"/>
      <c r="D137" s="45"/>
      <c r="E137" s="46"/>
      <c r="F137" s="46"/>
      <c r="G137" s="511"/>
      <c r="H137" s="48"/>
      <c r="I137" s="49"/>
      <c r="J137" s="86"/>
      <c r="K137" s="86"/>
      <c r="L137" s="39"/>
      <c r="M137" s="39"/>
      <c r="N137" s="50"/>
      <c r="O137" s="51"/>
      <c r="P137" s="52"/>
      <c r="Q137" s="51"/>
      <c r="R137" s="512"/>
      <c r="S137" s="512"/>
      <c r="T137" s="41"/>
      <c r="U137" s="41"/>
      <c r="V137" s="41"/>
      <c r="W137" s="41"/>
      <c r="X137" s="42"/>
      <c r="Y137" s="214"/>
      <c r="Z137" s="599"/>
      <c r="AA137" s="41"/>
      <c r="AB137" s="41"/>
      <c r="AC137" s="41"/>
      <c r="AD137" s="41">
        <f>+AM137+BA137</f>
        <v>5</v>
      </c>
      <c r="AE137" s="232" t="s">
        <v>393</v>
      </c>
      <c r="AF137" s="41"/>
      <c r="AG137" s="41">
        <v>5</v>
      </c>
      <c r="AH137" s="41"/>
      <c r="AI137" s="41"/>
      <c r="AJ137" s="41"/>
      <c r="AK137" s="41"/>
      <c r="AL137" s="41"/>
      <c r="AM137" s="41">
        <f>SUM(AF137:AL137)+AT137+AV137+AX137</f>
        <v>5</v>
      </c>
      <c r="AN137" s="41"/>
      <c r="AO137" s="41"/>
      <c r="AP137" s="41"/>
      <c r="AQ137" s="41"/>
      <c r="AR137" s="41">
        <f>SUM(AN137:AQ137)</f>
        <v>0</v>
      </c>
      <c r="AS137" s="41"/>
      <c r="AT137" s="41"/>
      <c r="AU137" s="41"/>
      <c r="AV137" s="41"/>
      <c r="AW137" s="41"/>
      <c r="AX137" s="41"/>
      <c r="AY137" s="41"/>
      <c r="AZ137" s="41"/>
      <c r="BA137" s="41">
        <f>+AR137+AS137+AU137+AW137+AY137+AZ137</f>
        <v>0</v>
      </c>
      <c r="BB137" s="37"/>
      <c r="BC137" s="55">
        <v>1</v>
      </c>
      <c r="BD137" s="55"/>
      <c r="BE137" s="55"/>
      <c r="BF137" s="55"/>
    </row>
    <row r="138" spans="1:58" ht="12.95" customHeight="1">
      <c r="A138" s="44"/>
      <c r="B138" s="45"/>
      <c r="C138" s="459"/>
      <c r="D138" s="45"/>
      <c r="E138" s="46"/>
      <c r="F138" s="46"/>
      <c r="G138" s="511"/>
      <c r="H138" s="48"/>
      <c r="I138" s="49"/>
      <c r="J138" s="86"/>
      <c r="K138" s="86"/>
      <c r="L138" s="39"/>
      <c r="M138" s="39"/>
      <c r="N138" s="50"/>
      <c r="O138" s="51"/>
      <c r="P138" s="52"/>
      <c r="Q138" s="51"/>
      <c r="R138" s="512"/>
      <c r="S138" s="512"/>
      <c r="T138" s="41"/>
      <c r="U138" s="41"/>
      <c r="V138" s="41"/>
      <c r="W138" s="41"/>
      <c r="X138" s="513"/>
      <c r="Y138" s="214"/>
      <c r="Z138" s="599"/>
      <c r="AA138" s="53"/>
      <c r="AB138" s="53"/>
      <c r="AC138" s="41"/>
      <c r="AD138" s="41">
        <f>+AM138+BA138</f>
        <v>15</v>
      </c>
      <c r="AE138" s="232" t="s">
        <v>226</v>
      </c>
      <c r="AF138" s="41"/>
      <c r="AG138" s="41"/>
      <c r="AH138" s="41">
        <v>15</v>
      </c>
      <c r="AI138" s="514"/>
      <c r="AJ138" s="41"/>
      <c r="AK138" s="41"/>
      <c r="AL138" s="41"/>
      <c r="AM138" s="41">
        <f>SUM(AF138:AL138)+AT138+AV138+AX138</f>
        <v>15</v>
      </c>
      <c r="AN138" s="41"/>
      <c r="AO138" s="41"/>
      <c r="AP138" s="41"/>
      <c r="AQ138" s="41"/>
      <c r="AR138" s="41">
        <f>SUM(AN138:AQ138)</f>
        <v>0</v>
      </c>
      <c r="AS138" s="41"/>
      <c r="AT138" s="41"/>
      <c r="AU138" s="41"/>
      <c r="AV138" s="41"/>
      <c r="AW138" s="41"/>
      <c r="AX138" s="41"/>
      <c r="AY138" s="41"/>
      <c r="AZ138" s="41"/>
      <c r="BA138" s="41">
        <f>+AR138+AS138+AU138+AW138+AY138+AZ138</f>
        <v>0</v>
      </c>
      <c r="BB138" s="37"/>
      <c r="BC138" s="55"/>
      <c r="BD138" s="55"/>
      <c r="BE138" s="55"/>
      <c r="BF138" s="55"/>
    </row>
    <row r="139" spans="1:58" ht="12.95" customHeight="1">
      <c r="A139" s="44"/>
      <c r="B139" s="45"/>
      <c r="C139" s="459"/>
      <c r="D139" s="45"/>
      <c r="E139" s="46"/>
      <c r="F139" s="46"/>
      <c r="G139" s="511"/>
      <c r="H139" s="48"/>
      <c r="I139" s="49"/>
      <c r="J139" s="86"/>
      <c r="K139" s="86"/>
      <c r="L139" s="39"/>
      <c r="M139" s="39"/>
      <c r="N139" s="50"/>
      <c r="O139" s="51"/>
      <c r="P139" s="52"/>
      <c r="Q139" s="51"/>
      <c r="R139" s="512"/>
      <c r="S139" s="512"/>
      <c r="T139" s="41"/>
      <c r="U139" s="41"/>
      <c r="V139" s="41"/>
      <c r="W139" s="41"/>
      <c r="X139" s="513"/>
      <c r="Y139" s="214"/>
      <c r="Z139" s="599"/>
      <c r="AA139" s="53"/>
      <c r="AB139" s="53"/>
      <c r="AC139" s="41"/>
      <c r="AD139" s="41"/>
      <c r="AE139" s="232"/>
      <c r="AF139" s="41"/>
      <c r="AG139" s="41"/>
      <c r="AH139" s="41"/>
      <c r="AI139" s="514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  <c r="BB139" s="37"/>
      <c r="BC139" s="55"/>
      <c r="BD139" s="55"/>
      <c r="BE139" s="55"/>
      <c r="BF139" s="55"/>
    </row>
    <row r="140" spans="1:58" ht="12.95" customHeight="1">
      <c r="A140" s="44">
        <v>46020</v>
      </c>
      <c r="B140" s="45" t="s">
        <v>8</v>
      </c>
      <c r="C140" s="459">
        <f>(M140*E140*O140*Q140)/100000000</f>
        <v>3.0596687999999999</v>
      </c>
      <c r="D140" s="45" t="s">
        <v>488</v>
      </c>
      <c r="E140" s="46">
        <v>38</v>
      </c>
      <c r="F140" s="46">
        <v>1</v>
      </c>
      <c r="G140" s="511">
        <v>430</v>
      </c>
      <c r="H140" s="48">
        <v>0.12</v>
      </c>
      <c r="I140" s="49">
        <v>0.88</v>
      </c>
      <c r="J140" s="86">
        <f>E140*G140*(1-H140)*1440/1000000*3.4</f>
        <v>70.400563199999993</v>
      </c>
      <c r="K140" s="86">
        <f>(IF(G140&lt;L140,L140,G140)*(1-IF(H140&lt;N140,H140,N140))*E140*O140*Q140)/100000000</f>
        <v>3.0625689600000001</v>
      </c>
      <c r="L140" s="39">
        <v>480</v>
      </c>
      <c r="M140" s="39">
        <v>422</v>
      </c>
      <c r="N140" s="50">
        <f>1-(M140/L140)</f>
        <v>0.12083333333333335</v>
      </c>
      <c r="O140" s="51">
        <f>+'Trim Rwd'!H94</f>
        <v>318</v>
      </c>
      <c r="P140" s="52">
        <f>O140*(Q140-R140-S140)</f>
        <v>17490</v>
      </c>
      <c r="Q140" s="51">
        <v>60</v>
      </c>
      <c r="R140" s="512">
        <v>0</v>
      </c>
      <c r="S140" s="512">
        <v>5</v>
      </c>
      <c r="T140" s="41">
        <f>E140*M140*O140*Q140/100000000</f>
        <v>3.0596687999999999</v>
      </c>
      <c r="U140" s="41">
        <f>E140*M140*O140*(Q140-R140-S140)/100000000</f>
        <v>2.8046964000000001</v>
      </c>
      <c r="V140" s="41">
        <f>E140*G140*(1-N140)*O140/100*(R140+S140)/1000000</f>
        <v>0.22841277499999998</v>
      </c>
      <c r="W140" s="41">
        <f>+'29'!K24/1000</f>
        <v>19.939</v>
      </c>
      <c r="X140" s="42">
        <f>SUM(W140:W143)/SUM(K140:K143)</f>
        <v>0.96221890045814207</v>
      </c>
      <c r="Y140" s="214">
        <v>0</v>
      </c>
      <c r="Z140" s="41">
        <f>+'29'!D7/1000</f>
        <v>0.70599999999999996</v>
      </c>
      <c r="AA140" s="41">
        <f>SUM(U140:U143)-SUM(W140:W143)-SUM(Z140:Z143)-SUM(Y140:Y143)</f>
        <v>-5.3094756000000078</v>
      </c>
      <c r="AB140" s="41">
        <f>(SUM(K140:K143)-SUM(W140:W143)-SUM(Y140:Y143)-SUM(Z140:Z143)-SUM(AC140:AC143)-SUM(V140:V143))-AA140</f>
        <v>2.6559624999993758E-2</v>
      </c>
      <c r="AC140" s="41">
        <f>K140-T140</f>
        <v>2.9001600000002625E-3</v>
      </c>
      <c r="AD140" s="41">
        <f>+AM140+BA140</f>
        <v>3</v>
      </c>
      <c r="AE140" s="232" t="s">
        <v>392</v>
      </c>
      <c r="AF140" s="37">
        <v>3</v>
      </c>
      <c r="AG140" s="37"/>
      <c r="AH140" s="37"/>
      <c r="AJ140" s="41"/>
      <c r="AK140" s="41"/>
      <c r="AL140" s="41"/>
      <c r="AM140" s="41">
        <f t="shared" ref="AM140:AM146" si="4">SUM(AF140:AL140)+AT140+AV140+AX140</f>
        <v>3</v>
      </c>
      <c r="AN140" s="41"/>
      <c r="AO140" s="41"/>
      <c r="AP140" s="41"/>
      <c r="AQ140" s="41"/>
      <c r="AR140" s="41">
        <f t="shared" ref="AR140:AR146" si="5">SUM(AN140:AQ140)</f>
        <v>0</v>
      </c>
      <c r="AS140" s="41"/>
      <c r="AT140" s="41"/>
      <c r="AU140" s="41"/>
      <c r="AV140" s="41"/>
      <c r="AW140" s="41"/>
      <c r="AX140" s="41"/>
      <c r="AY140" s="41"/>
      <c r="AZ140" s="41"/>
      <c r="BA140" s="41">
        <f t="shared" ref="BA140:BA146" si="6">+AR140+AS140+AU140+AW140+AY140+AZ140</f>
        <v>0</v>
      </c>
      <c r="BB140" s="37">
        <v>1</v>
      </c>
      <c r="BC140" s="515"/>
      <c r="BD140" s="55"/>
      <c r="BE140" s="55"/>
      <c r="BF140" s="55"/>
    </row>
    <row r="141" spans="1:58" ht="12.95" customHeight="1">
      <c r="A141" s="44"/>
      <c r="B141" s="45" t="s">
        <v>439</v>
      </c>
      <c r="C141" s="459">
        <f>(M141*E141*O141*Q141)/100000000</f>
        <v>48.995231999999987</v>
      </c>
      <c r="D141" s="45" t="s">
        <v>384</v>
      </c>
      <c r="E141" s="46">
        <v>16</v>
      </c>
      <c r="F141" s="46">
        <v>1</v>
      </c>
      <c r="G141" s="511">
        <v>830</v>
      </c>
      <c r="H141" s="48">
        <v>0.14000000000000001</v>
      </c>
      <c r="I141" s="49">
        <v>0.88</v>
      </c>
      <c r="J141" s="86">
        <f>E141*G141*(1-H141)*1440/1000000*3.4</f>
        <v>55.916236799999993</v>
      </c>
      <c r="K141" s="86">
        <f>(IF(G141&lt;L141,L141,G141)*(1-IF(H141&lt;N141,H141,N141))*E141*O141*Q141)/100000000</f>
        <v>48.995231999999987</v>
      </c>
      <c r="L141" s="39">
        <v>830</v>
      </c>
      <c r="M141" s="39">
        <f>+L141-L141*0.14</f>
        <v>713.8</v>
      </c>
      <c r="N141" s="50">
        <f>1-(M141/L141)</f>
        <v>0.14000000000000001</v>
      </c>
      <c r="O141" s="51">
        <f>+'Trim Rwd'!H95</f>
        <v>325</v>
      </c>
      <c r="P141" s="52">
        <f>O141*(Q141-R141-S141)</f>
        <v>375375</v>
      </c>
      <c r="Q141" s="51">
        <f>1380-60</f>
        <v>1320</v>
      </c>
      <c r="R141" s="512">
        <v>125</v>
      </c>
      <c r="S141" s="512">
        <f>100-60</f>
        <v>40</v>
      </c>
      <c r="T141" s="41">
        <f>E141*M141*O141*Q141/100000000</f>
        <v>48.995231999999987</v>
      </c>
      <c r="U141" s="41">
        <f>E141*M141*O141*(Q141-R141-S141)/100000000</f>
        <v>42.870827999999996</v>
      </c>
      <c r="V141" s="41">
        <f>E141*G141*(1-N141)*O141/100*(R141+S141)/1000000</f>
        <v>6.1244040000000002</v>
      </c>
      <c r="W141" s="41">
        <f>+'29'!K25/1000</f>
        <v>30.152000000000001</v>
      </c>
      <c r="X141" s="42"/>
      <c r="Y141" s="214"/>
      <c r="Z141" s="599">
        <f>+('29'!D16+'29'!D25)/1000</f>
        <v>0.188</v>
      </c>
      <c r="AA141" s="41"/>
      <c r="AB141" s="41"/>
      <c r="AC141" s="41">
        <f>K141-T141</f>
        <v>0</v>
      </c>
      <c r="AD141" s="41">
        <f t="shared" ref="AD141:AD146" si="7">+AM141+BA141</f>
        <v>14</v>
      </c>
      <c r="AE141" s="232" t="s">
        <v>680</v>
      </c>
      <c r="AF141" s="41"/>
      <c r="AG141" s="41">
        <v>14</v>
      </c>
      <c r="AH141" s="41"/>
      <c r="AI141" s="41"/>
      <c r="AJ141" s="41"/>
      <c r="AK141" s="41"/>
      <c r="AL141" s="41"/>
      <c r="AM141" s="41">
        <f t="shared" si="4"/>
        <v>14</v>
      </c>
      <c r="AN141" s="41"/>
      <c r="AO141" s="41"/>
      <c r="AP141" s="41"/>
      <c r="AQ141" s="41"/>
      <c r="AR141" s="41">
        <f t="shared" si="5"/>
        <v>0</v>
      </c>
      <c r="AS141" s="41"/>
      <c r="AT141" s="41"/>
      <c r="AU141" s="41"/>
      <c r="AV141" s="41"/>
      <c r="AW141" s="41"/>
      <c r="AX141" s="41"/>
      <c r="AY141" s="41"/>
      <c r="AZ141" s="41"/>
      <c r="BA141" s="41">
        <f t="shared" si="6"/>
        <v>0</v>
      </c>
      <c r="BB141" s="37"/>
      <c r="BC141" s="55">
        <v>6</v>
      </c>
      <c r="BD141" s="55"/>
      <c r="BE141" s="55"/>
      <c r="BF141" s="55"/>
    </row>
    <row r="142" spans="1:58" ht="12.95" customHeight="1">
      <c r="A142" s="44"/>
      <c r="B142" s="45"/>
      <c r="C142" s="459"/>
      <c r="D142" s="45"/>
      <c r="E142" s="46"/>
      <c r="F142" s="46"/>
      <c r="G142" s="511"/>
      <c r="H142" s="48"/>
      <c r="I142" s="49"/>
      <c r="J142" s="86"/>
      <c r="K142" s="86"/>
      <c r="L142" s="39"/>
      <c r="M142" s="39"/>
      <c r="N142" s="50"/>
      <c r="O142" s="51"/>
      <c r="P142" s="52"/>
      <c r="Q142" s="51"/>
      <c r="R142" s="512"/>
      <c r="S142" s="512"/>
      <c r="T142" s="41"/>
      <c r="U142" s="41"/>
      <c r="V142" s="41"/>
      <c r="W142" s="41"/>
      <c r="X142" s="513"/>
      <c r="Y142" s="214"/>
      <c r="Z142" s="599"/>
      <c r="AA142" s="53"/>
      <c r="AB142" s="53"/>
      <c r="AC142" s="41"/>
      <c r="AD142" s="41">
        <f t="shared" si="7"/>
        <v>18</v>
      </c>
      <c r="AE142" s="232" t="s">
        <v>226</v>
      </c>
      <c r="AF142" s="41"/>
      <c r="AG142" s="41"/>
      <c r="AH142" s="41">
        <v>18</v>
      </c>
      <c r="AI142" s="514"/>
      <c r="AJ142" s="41"/>
      <c r="AK142" s="41"/>
      <c r="AL142" s="41"/>
      <c r="AM142" s="41">
        <f t="shared" si="4"/>
        <v>18</v>
      </c>
      <c r="AN142" s="41"/>
      <c r="AO142" s="41"/>
      <c r="AP142" s="41"/>
      <c r="AQ142" s="41"/>
      <c r="AR142" s="41">
        <f t="shared" si="5"/>
        <v>0</v>
      </c>
      <c r="AS142" s="41"/>
      <c r="AT142" s="41"/>
      <c r="AU142" s="41"/>
      <c r="AV142" s="41"/>
      <c r="AW142" s="41"/>
      <c r="AX142" s="41"/>
      <c r="AY142" s="41"/>
      <c r="AZ142" s="41"/>
      <c r="BA142" s="41">
        <f t="shared" si="6"/>
        <v>0</v>
      </c>
      <c r="BB142" s="37"/>
      <c r="BC142" s="55"/>
      <c r="BD142" s="55"/>
      <c r="BE142" s="55"/>
      <c r="BF142" s="55"/>
    </row>
    <row r="143" spans="1:58" ht="12.95" customHeight="1">
      <c r="A143" s="44"/>
      <c r="B143" s="45"/>
      <c r="C143" s="459"/>
      <c r="D143" s="45"/>
      <c r="E143" s="46"/>
      <c r="F143" s="46"/>
      <c r="G143" s="511"/>
      <c r="H143" s="48"/>
      <c r="I143" s="49"/>
      <c r="J143" s="86"/>
      <c r="K143" s="86"/>
      <c r="L143" s="39"/>
      <c r="M143" s="39"/>
      <c r="N143" s="50"/>
      <c r="O143" s="51"/>
      <c r="P143" s="52"/>
      <c r="Q143" s="51"/>
      <c r="R143" s="512"/>
      <c r="S143" s="512"/>
      <c r="T143" s="41"/>
      <c r="U143" s="41"/>
      <c r="V143" s="41"/>
      <c r="W143" s="41"/>
      <c r="X143" s="513"/>
      <c r="Y143" s="214"/>
      <c r="Z143" s="599"/>
      <c r="AA143" s="53"/>
      <c r="AB143" s="53"/>
      <c r="AC143" s="41"/>
      <c r="AD143" s="41">
        <f t="shared" si="7"/>
        <v>10</v>
      </c>
      <c r="AE143" s="235" t="s">
        <v>668</v>
      </c>
      <c r="AF143" s="41"/>
      <c r="AG143" s="41"/>
      <c r="AH143" s="41"/>
      <c r="AI143" s="514">
        <v>10</v>
      </c>
      <c r="AJ143" s="41"/>
      <c r="AK143" s="41"/>
      <c r="AL143" s="41"/>
      <c r="AM143" s="41">
        <f t="shared" si="4"/>
        <v>10</v>
      </c>
      <c r="AN143" s="41"/>
      <c r="AO143" s="41"/>
      <c r="AP143" s="41"/>
      <c r="AQ143" s="41"/>
      <c r="AR143" s="41">
        <f t="shared" si="5"/>
        <v>0</v>
      </c>
      <c r="AS143" s="41"/>
      <c r="AT143" s="41"/>
      <c r="AU143" s="41"/>
      <c r="AV143" s="41"/>
      <c r="AW143" s="41"/>
      <c r="AX143" s="41"/>
      <c r="AY143" s="41"/>
      <c r="AZ143" s="41"/>
      <c r="BA143" s="41">
        <f t="shared" si="6"/>
        <v>0</v>
      </c>
      <c r="BB143" s="37"/>
      <c r="BC143" s="55"/>
      <c r="BD143" s="55"/>
      <c r="BE143" s="55"/>
      <c r="BF143" s="55"/>
    </row>
    <row r="144" spans="1:58" ht="12.95" customHeight="1">
      <c r="A144" s="44"/>
      <c r="B144" s="45"/>
      <c r="C144" s="459"/>
      <c r="D144" s="45"/>
      <c r="E144" s="46"/>
      <c r="F144" s="46"/>
      <c r="G144" s="511"/>
      <c r="H144" s="48"/>
      <c r="I144" s="49"/>
      <c r="J144" s="86"/>
      <c r="K144" s="86"/>
      <c r="L144" s="39"/>
      <c r="M144" s="39"/>
      <c r="N144" s="50"/>
      <c r="O144" s="51"/>
      <c r="P144" s="52"/>
      <c r="Q144" s="51"/>
      <c r="R144" s="512"/>
      <c r="S144" s="512"/>
      <c r="T144" s="41"/>
      <c r="U144" s="41"/>
      <c r="V144" s="41"/>
      <c r="W144" s="41"/>
      <c r="X144" s="513"/>
      <c r="Y144" s="214"/>
      <c r="Z144" s="599"/>
      <c r="AA144" s="53"/>
      <c r="AB144" s="53"/>
      <c r="AC144" s="41"/>
      <c r="AD144" s="41">
        <f t="shared" si="7"/>
        <v>0</v>
      </c>
      <c r="AE144" s="235" t="s">
        <v>681</v>
      </c>
      <c r="AF144" s="41"/>
      <c r="AG144" s="41"/>
      <c r="AH144" s="41"/>
      <c r="AI144" s="514"/>
      <c r="AJ144" s="41"/>
      <c r="AK144" s="41"/>
      <c r="AL144" s="41"/>
      <c r="AM144" s="41">
        <f t="shared" si="4"/>
        <v>0</v>
      </c>
      <c r="AN144" s="41"/>
      <c r="AO144" s="41"/>
      <c r="AP144" s="41"/>
      <c r="AQ144" s="41"/>
      <c r="AR144" s="41">
        <f t="shared" si="5"/>
        <v>0</v>
      </c>
      <c r="AS144" s="41"/>
      <c r="AT144" s="41">
        <f>60-60</f>
        <v>0</v>
      </c>
      <c r="AU144" s="41"/>
      <c r="AV144" s="41"/>
      <c r="AW144" s="41"/>
      <c r="AX144" s="41"/>
      <c r="AY144" s="41"/>
      <c r="AZ144" s="41"/>
      <c r="BA144" s="41">
        <f t="shared" si="6"/>
        <v>0</v>
      </c>
      <c r="BB144" s="37"/>
      <c r="BC144" s="55"/>
      <c r="BD144" s="55"/>
      <c r="BE144" s="55"/>
      <c r="BF144" s="55"/>
    </row>
    <row r="145" spans="1:97" ht="12.95" customHeight="1">
      <c r="A145" s="44"/>
      <c r="B145" s="45"/>
      <c r="C145" s="459"/>
      <c r="D145" s="45"/>
      <c r="E145" s="46"/>
      <c r="F145" s="46"/>
      <c r="G145" s="511"/>
      <c r="H145" s="48"/>
      <c r="I145" s="49"/>
      <c r="J145" s="86"/>
      <c r="K145" s="86"/>
      <c r="L145" s="39"/>
      <c r="M145" s="39"/>
      <c r="N145" s="50"/>
      <c r="O145" s="51"/>
      <c r="P145" s="52"/>
      <c r="Q145" s="51"/>
      <c r="R145" s="512"/>
      <c r="S145" s="512"/>
      <c r="T145" s="41"/>
      <c r="U145" s="41"/>
      <c r="V145" s="41"/>
      <c r="W145" s="41"/>
      <c r="X145" s="513"/>
      <c r="Y145" s="214"/>
      <c r="Z145" s="599"/>
      <c r="AA145" s="53"/>
      <c r="AB145" s="53"/>
      <c r="AC145" s="41"/>
      <c r="AD145" s="41">
        <f t="shared" si="7"/>
        <v>65</v>
      </c>
      <c r="AE145" s="235" t="s">
        <v>687</v>
      </c>
      <c r="AF145" s="41"/>
      <c r="AG145" s="41"/>
      <c r="AH145" s="41"/>
      <c r="AI145" s="514"/>
      <c r="AJ145" s="41"/>
      <c r="AK145" s="41"/>
      <c r="AL145" s="41"/>
      <c r="AM145" s="41">
        <f t="shared" si="4"/>
        <v>0</v>
      </c>
      <c r="AN145" s="41"/>
      <c r="AO145" s="41">
        <v>65</v>
      </c>
      <c r="AP145" s="41"/>
      <c r="AQ145" s="41"/>
      <c r="AR145" s="41">
        <f t="shared" si="5"/>
        <v>65</v>
      </c>
      <c r="AS145" s="41"/>
      <c r="AT145" s="41"/>
      <c r="AU145" s="41"/>
      <c r="AV145" s="41"/>
      <c r="AW145" s="41"/>
      <c r="AX145" s="41"/>
      <c r="AY145" s="41"/>
      <c r="AZ145" s="41"/>
      <c r="BA145" s="41">
        <f t="shared" si="6"/>
        <v>65</v>
      </c>
      <c r="BB145" s="37"/>
      <c r="BC145" s="55"/>
      <c r="BD145" s="55"/>
      <c r="BE145" s="55"/>
      <c r="BF145" s="55"/>
    </row>
    <row r="146" spans="1:97" ht="12.95" customHeight="1">
      <c r="A146" s="44"/>
      <c r="B146" s="45"/>
      <c r="C146" s="459"/>
      <c r="D146" s="45"/>
      <c r="E146" s="46"/>
      <c r="F146" s="46"/>
      <c r="G146" s="511"/>
      <c r="H146" s="48"/>
      <c r="I146" s="49"/>
      <c r="J146" s="86"/>
      <c r="K146" s="86"/>
      <c r="L146" s="39"/>
      <c r="M146" s="39"/>
      <c r="N146" s="50"/>
      <c r="O146" s="51"/>
      <c r="P146" s="52"/>
      <c r="Q146" s="51"/>
      <c r="R146" s="512"/>
      <c r="S146" s="512"/>
      <c r="T146" s="41"/>
      <c r="U146" s="41"/>
      <c r="V146" s="41"/>
      <c r="W146" s="41"/>
      <c r="X146" s="42"/>
      <c r="Y146" s="214"/>
      <c r="Z146" s="599"/>
      <c r="AA146" s="41"/>
      <c r="AB146" s="41"/>
      <c r="AC146" s="41"/>
      <c r="AD146" s="41">
        <f t="shared" si="7"/>
        <v>60</v>
      </c>
      <c r="AE146" s="235" t="s">
        <v>685</v>
      </c>
      <c r="AF146" s="41"/>
      <c r="AG146" s="41"/>
      <c r="AH146" s="41"/>
      <c r="AI146" s="514"/>
      <c r="AJ146" s="41"/>
      <c r="AK146" s="41"/>
      <c r="AL146" s="41"/>
      <c r="AM146" s="41">
        <f t="shared" si="4"/>
        <v>0</v>
      </c>
      <c r="AN146" s="41">
        <v>60</v>
      </c>
      <c r="AO146" s="41"/>
      <c r="AP146" s="41"/>
      <c r="AQ146" s="41"/>
      <c r="AR146" s="41">
        <f t="shared" si="5"/>
        <v>60</v>
      </c>
      <c r="AS146" s="41"/>
      <c r="AT146" s="41"/>
      <c r="AU146" s="41"/>
      <c r="AV146" s="41"/>
      <c r="AW146" s="41"/>
      <c r="AX146" s="41"/>
      <c r="AY146" s="41"/>
      <c r="AZ146" s="41"/>
      <c r="BA146" s="41">
        <f t="shared" si="6"/>
        <v>60</v>
      </c>
      <c r="BB146" s="37"/>
      <c r="BC146" s="55"/>
      <c r="BD146" s="55"/>
      <c r="BE146" s="55"/>
      <c r="BF146" s="55"/>
    </row>
    <row r="147" spans="1:97" ht="12.95" customHeight="1">
      <c r="A147" s="44"/>
      <c r="B147" s="45"/>
      <c r="C147" s="459"/>
      <c r="D147" s="45"/>
      <c r="E147" s="46"/>
      <c r="F147" s="46"/>
      <c r="G147" s="511"/>
      <c r="H147" s="48"/>
      <c r="I147" s="49"/>
      <c r="J147" s="86"/>
      <c r="K147" s="86"/>
      <c r="L147" s="39"/>
      <c r="M147" s="39"/>
      <c r="N147" s="50"/>
      <c r="O147" s="51"/>
      <c r="P147" s="52"/>
      <c r="Q147" s="51"/>
      <c r="R147" s="512"/>
      <c r="S147" s="512"/>
      <c r="T147" s="41"/>
      <c r="U147" s="41"/>
      <c r="V147" s="41"/>
      <c r="W147" s="41"/>
      <c r="X147" s="42"/>
      <c r="Y147" s="214"/>
      <c r="Z147" s="599"/>
      <c r="AA147" s="41"/>
      <c r="AB147" s="41"/>
      <c r="AC147" s="41"/>
      <c r="AD147" s="41"/>
      <c r="AE147" s="232"/>
      <c r="AF147" s="37"/>
      <c r="AG147" s="37"/>
      <c r="AH147" s="37"/>
      <c r="AJ147" s="41"/>
      <c r="AK147" s="41"/>
      <c r="AL147" s="41"/>
      <c r="AM147" s="41"/>
      <c r="AN147" s="41"/>
      <c r="AO147" s="41"/>
      <c r="AP147" s="41"/>
      <c r="AQ147" s="41"/>
      <c r="AR147" s="41"/>
      <c r="AS147" s="41"/>
      <c r="AT147" s="41"/>
      <c r="AU147" s="41"/>
      <c r="AV147" s="41"/>
      <c r="AW147" s="41"/>
      <c r="AX147" s="41"/>
      <c r="AY147" s="41"/>
      <c r="AZ147" s="41"/>
      <c r="BA147" s="41"/>
      <c r="BB147" s="37"/>
      <c r="BC147" s="515"/>
      <c r="BD147" s="55"/>
      <c r="BE147" s="55"/>
      <c r="BF147" s="55"/>
    </row>
    <row r="148" spans="1:97" ht="12.95" customHeight="1">
      <c r="A148" s="44">
        <v>46021</v>
      </c>
      <c r="B148" s="45" t="s">
        <v>439</v>
      </c>
      <c r="C148" s="459">
        <f>(M148*E148*O148*Q148)/100000000</f>
        <v>26.710494455172416</v>
      </c>
      <c r="D148" s="45" t="s">
        <v>384</v>
      </c>
      <c r="E148" s="46">
        <v>16</v>
      </c>
      <c r="F148" s="46">
        <v>1</v>
      </c>
      <c r="G148" s="511">
        <v>830</v>
      </c>
      <c r="H148" s="48">
        <v>0.14000000000000001</v>
      </c>
      <c r="I148" s="49">
        <v>0.88</v>
      </c>
      <c r="J148" s="86">
        <f>E148*G148*(1-H148)*1440/1000000*3.4</f>
        <v>55.916236799999993</v>
      </c>
      <c r="K148" s="86">
        <f>(IF(G148&lt;L148,L148,G148)*(1-IF(H148&lt;N148,H148,N148))*E148*O148*Q148)/100000000</f>
        <v>26.710494455172416</v>
      </c>
      <c r="L148" s="39">
        <v>830</v>
      </c>
      <c r="M148" s="39">
        <v>713.8</v>
      </c>
      <c r="N148" s="50">
        <f>1-(M148/L148)</f>
        <v>0.14000000000000001</v>
      </c>
      <c r="O148" s="51">
        <f>+'Trim Rwd'!H98</f>
        <v>324.82758620689657</v>
      </c>
      <c r="P148" s="52">
        <f>O148*(Q148-R148-S148)</f>
        <v>226404.8275862069</v>
      </c>
      <c r="Q148" s="51">
        <v>720</v>
      </c>
      <c r="R148" s="512">
        <v>0</v>
      </c>
      <c r="S148" s="512">
        <v>23</v>
      </c>
      <c r="T148" s="41">
        <f>E148*M148*O148*Q148/100000000</f>
        <v>26.710494455172416</v>
      </c>
      <c r="U148" s="41">
        <f>E148*M148*O148*(Q148-R148-S148)/100000000</f>
        <v>25.857242548965516</v>
      </c>
      <c r="V148" s="41">
        <f>E148*G148*(1-N148)*O148/100*(R148+S148)/1000000</f>
        <v>0.8532519062068965</v>
      </c>
      <c r="W148" s="41">
        <f>+'30'!K25/1000</f>
        <v>24.05</v>
      </c>
      <c r="X148" s="42">
        <f>SUM(W148:W151)/SUM(K148:K151)</f>
        <v>0.97153986567971995</v>
      </c>
      <c r="Y148" s="214">
        <v>0</v>
      </c>
      <c r="Z148" s="41">
        <f>+('30'!D7+'30'!D16)/1000</f>
        <v>0.19700000000000001</v>
      </c>
      <c r="AA148" s="41">
        <f>SUM(U148:U151)-SUM(W148:W151)-SUM(Z148:Z151)-SUM(Y148:Y151)</f>
        <v>-0.48550366403448508</v>
      </c>
      <c r="AB148" s="41">
        <f>(SUM(K148:K151)-SUM(W148:W151)-SUM(Y148:Y151)-SUM(Z148:Z151)-SUM(AC148:AC151)-SUM(V148:V151))-AA148</f>
        <v>-4.9960036108132044E-15</v>
      </c>
      <c r="AC148" s="41">
        <f>K148-T148</f>
        <v>0</v>
      </c>
      <c r="AD148" s="41">
        <f>+AM148+BA148</f>
        <v>6</v>
      </c>
      <c r="AE148" s="232" t="s">
        <v>701</v>
      </c>
      <c r="AF148" s="37">
        <v>6</v>
      </c>
      <c r="AG148" s="37"/>
      <c r="AH148" s="37"/>
      <c r="AJ148" s="41"/>
      <c r="AK148" s="41"/>
      <c r="AL148" s="41"/>
      <c r="AM148" s="41">
        <f>SUM(AF148:AL148)+AT148+AV148+AX148</f>
        <v>6</v>
      </c>
      <c r="AN148" s="41"/>
      <c r="AO148" s="41"/>
      <c r="AP148" s="41"/>
      <c r="AQ148" s="41"/>
      <c r="AR148" s="41">
        <f>SUM(AN148:AQ148)</f>
        <v>0</v>
      </c>
      <c r="AS148" s="41"/>
      <c r="AT148" s="41"/>
      <c r="AU148" s="41"/>
      <c r="AV148" s="41"/>
      <c r="AW148" s="41"/>
      <c r="AX148" s="41"/>
      <c r="AY148" s="41"/>
      <c r="AZ148" s="41"/>
      <c r="BA148" s="41">
        <f>+AR148+AS148+AU148+AW148+AY148+AZ148</f>
        <v>0</v>
      </c>
      <c r="BB148" s="37">
        <v>1</v>
      </c>
      <c r="BC148" s="515"/>
      <c r="BD148" s="55"/>
      <c r="BE148" s="55"/>
      <c r="BF148" s="55"/>
    </row>
    <row r="149" spans="1:97" ht="12.95" customHeight="1">
      <c r="A149" s="44"/>
      <c r="B149" s="45" t="s">
        <v>439</v>
      </c>
      <c r="C149" s="459">
        <f>(M149*E149*O149*Q149)/100000000</f>
        <v>27.390219119999994</v>
      </c>
      <c r="D149" s="45" t="s">
        <v>384</v>
      </c>
      <c r="E149" s="46">
        <v>16.5</v>
      </c>
      <c r="F149" s="46">
        <v>1</v>
      </c>
      <c r="G149" s="511">
        <v>830</v>
      </c>
      <c r="H149" s="48">
        <v>0.14000000000000001</v>
      </c>
      <c r="I149" s="49">
        <v>0.88</v>
      </c>
      <c r="J149" s="86">
        <f>E149*G149*(1-H149)*1440/1000000*3.4</f>
        <v>57.663619199999999</v>
      </c>
      <c r="K149" s="86">
        <f>(IF(G149&lt;L149,L149,G149)*(1-IF(H149&lt;N149,H149,N149))*E149*O149*Q149)/100000000</f>
        <v>27.390219119999994</v>
      </c>
      <c r="L149" s="39">
        <v>830</v>
      </c>
      <c r="M149" s="39">
        <v>713.8</v>
      </c>
      <c r="N149" s="50">
        <f>1-(M149/L149)</f>
        <v>0.14000000000000001</v>
      </c>
      <c r="O149" s="51">
        <f>+'Trim Rwd'!H100</f>
        <v>323</v>
      </c>
      <c r="P149" s="52">
        <f>O149*(Q149-R149-S149)</f>
        <v>225131</v>
      </c>
      <c r="Q149" s="51">
        <v>720</v>
      </c>
      <c r="R149" s="512">
        <v>0</v>
      </c>
      <c r="S149" s="512">
        <v>23</v>
      </c>
      <c r="T149" s="41">
        <f>E149*M149*O149*Q149/100000000</f>
        <v>27.390219119999994</v>
      </c>
      <c r="U149" s="41">
        <f>E149*M149*O149*(Q149-R149-S149)/100000000</f>
        <v>26.515253786999999</v>
      </c>
      <c r="V149" s="41">
        <f>E149*G149*(1-N149)*O149/100*(R149+S149)/1000000</f>
        <v>0.87496533300000001</v>
      </c>
      <c r="W149" s="41">
        <f>+'30'!K26/1000</f>
        <v>28.510999999999999</v>
      </c>
      <c r="X149" s="42"/>
      <c r="Y149" s="214"/>
      <c r="Z149" s="599">
        <f>+'30'!D25/1000</f>
        <v>0.1</v>
      </c>
      <c r="AA149" s="41"/>
      <c r="AB149" s="41"/>
      <c r="AC149" s="41">
        <f>K149-T149</f>
        <v>0</v>
      </c>
      <c r="AD149" s="41">
        <f>+AM149+BA149</f>
        <v>21</v>
      </c>
      <c r="AE149" s="232" t="s">
        <v>680</v>
      </c>
      <c r="AF149" s="41"/>
      <c r="AG149" s="41">
        <v>21</v>
      </c>
      <c r="AH149" s="41"/>
      <c r="AI149" s="41"/>
      <c r="AJ149" s="41"/>
      <c r="AK149" s="41"/>
      <c r="AL149" s="41"/>
      <c r="AM149" s="41">
        <f>SUM(AF149:AL149)+AT149+AV149+AX149</f>
        <v>21</v>
      </c>
      <c r="AN149" s="41"/>
      <c r="AO149" s="41"/>
      <c r="AP149" s="41"/>
      <c r="AQ149" s="41"/>
      <c r="AR149" s="41">
        <f>SUM(AN149:AQ149)</f>
        <v>0</v>
      </c>
      <c r="AS149" s="41"/>
      <c r="AT149" s="41"/>
      <c r="AU149" s="41"/>
      <c r="AV149" s="41"/>
      <c r="AW149" s="41"/>
      <c r="AX149" s="41"/>
      <c r="AY149" s="41"/>
      <c r="AZ149" s="41"/>
      <c r="BA149" s="41">
        <f>+AR149+AS149+AU149+AW149+AY149+AZ149</f>
        <v>0</v>
      </c>
      <c r="BB149" s="37"/>
      <c r="BC149" s="55">
        <v>6</v>
      </c>
      <c r="BD149" s="55"/>
      <c r="BE149" s="55"/>
      <c r="BF149" s="55"/>
    </row>
    <row r="150" spans="1:97" ht="12.95" customHeight="1">
      <c r="A150" s="44"/>
      <c r="B150" s="45"/>
      <c r="C150" s="459"/>
      <c r="D150" s="45"/>
      <c r="E150" s="46"/>
      <c r="F150" s="46"/>
      <c r="G150" s="511"/>
      <c r="H150" s="48"/>
      <c r="I150" s="49"/>
      <c r="J150" s="86"/>
      <c r="K150" s="86"/>
      <c r="L150" s="39"/>
      <c r="M150" s="39"/>
      <c r="N150" s="50"/>
      <c r="O150" s="51"/>
      <c r="P150" s="52"/>
      <c r="Q150" s="51"/>
      <c r="R150" s="512"/>
      <c r="S150" s="512"/>
      <c r="T150" s="41"/>
      <c r="U150" s="41"/>
      <c r="V150" s="41"/>
      <c r="W150" s="41"/>
      <c r="X150" s="513"/>
      <c r="Y150" s="214"/>
      <c r="Z150" s="599"/>
      <c r="AA150" s="53"/>
      <c r="AB150" s="53"/>
      <c r="AC150" s="41"/>
      <c r="AD150" s="41">
        <f>+AM150+BA150</f>
        <v>19</v>
      </c>
      <c r="AE150" s="232" t="s">
        <v>226</v>
      </c>
      <c r="AF150" s="41"/>
      <c r="AG150" s="41"/>
      <c r="AH150" s="41">
        <v>19</v>
      </c>
      <c r="AI150" s="514"/>
      <c r="AJ150" s="41"/>
      <c r="AK150" s="41"/>
      <c r="AL150" s="41"/>
      <c r="AM150" s="41">
        <f>SUM(AF150:AL150)+AT150+AV150+AX150</f>
        <v>19</v>
      </c>
      <c r="AN150" s="41"/>
      <c r="AO150" s="41"/>
      <c r="AP150" s="41"/>
      <c r="AQ150" s="41"/>
      <c r="AR150" s="41">
        <f>SUM(AN150:AQ150)</f>
        <v>0</v>
      </c>
      <c r="AS150" s="41"/>
      <c r="AT150" s="41"/>
      <c r="AU150" s="41"/>
      <c r="AV150" s="41"/>
      <c r="AW150" s="41"/>
      <c r="AX150" s="41"/>
      <c r="AY150" s="41"/>
      <c r="AZ150" s="41"/>
      <c r="BA150" s="41">
        <f>+AR150+AS150+AU150+AW150+AY150+AZ150</f>
        <v>0</v>
      </c>
      <c r="BB150" s="37"/>
      <c r="BC150" s="55"/>
      <c r="BD150" s="55"/>
      <c r="BE150" s="55"/>
      <c r="BF150" s="55"/>
    </row>
    <row r="151" spans="1:97" ht="12.95" customHeight="1">
      <c r="A151" s="44"/>
      <c r="B151" s="45"/>
      <c r="C151" s="459"/>
      <c r="D151" s="45"/>
      <c r="E151" s="46"/>
      <c r="F151" s="46"/>
      <c r="G151" s="511"/>
      <c r="H151" s="48"/>
      <c r="I151" s="49"/>
      <c r="J151" s="86"/>
      <c r="K151" s="86"/>
      <c r="L151" s="39"/>
      <c r="M151" s="39"/>
      <c r="N151" s="50"/>
      <c r="O151" s="51"/>
      <c r="P151" s="52"/>
      <c r="Q151" s="51"/>
      <c r="R151" s="512"/>
      <c r="S151" s="512"/>
      <c r="T151" s="41"/>
      <c r="U151" s="41"/>
      <c r="V151" s="41"/>
      <c r="W151" s="41"/>
      <c r="X151" s="42"/>
      <c r="Y151" s="214"/>
      <c r="Z151" s="599"/>
      <c r="AA151" s="41"/>
      <c r="AB151" s="41"/>
      <c r="AC151" s="41"/>
      <c r="AD151" s="41"/>
      <c r="AE151" s="232"/>
      <c r="AF151" s="37"/>
      <c r="AG151" s="37"/>
      <c r="AH151" s="37"/>
      <c r="AI151" s="514"/>
      <c r="AJ151" s="41"/>
      <c r="AK151" s="41"/>
      <c r="AL151" s="41"/>
      <c r="AM151" s="41"/>
      <c r="AN151" s="41"/>
      <c r="AO151" s="41"/>
      <c r="AP151" s="41"/>
      <c r="AQ151" s="41"/>
      <c r="AR151" s="41"/>
      <c r="AS151" s="41"/>
      <c r="AT151" s="41"/>
      <c r="AU151" s="41"/>
      <c r="AV151" s="41"/>
      <c r="AW151" s="41"/>
      <c r="AX151" s="41"/>
      <c r="AY151" s="41"/>
      <c r="AZ151" s="41"/>
      <c r="BA151" s="41"/>
      <c r="BB151" s="37"/>
      <c r="BC151" s="515"/>
      <c r="BD151" s="55"/>
      <c r="BE151" s="55"/>
      <c r="BF151" s="55"/>
    </row>
    <row r="152" spans="1:97" ht="12.95" customHeight="1">
      <c r="A152" s="44">
        <v>46387</v>
      </c>
      <c r="B152" s="45" t="s">
        <v>439</v>
      </c>
      <c r="C152" s="459">
        <f>(M152*E152*O152*Q152)/100000000</f>
        <v>13.238605908</v>
      </c>
      <c r="D152" s="45" t="s">
        <v>384</v>
      </c>
      <c r="E152" s="46">
        <v>16.5</v>
      </c>
      <c r="F152" s="46">
        <v>1</v>
      </c>
      <c r="G152" s="511">
        <v>830</v>
      </c>
      <c r="H152" s="48">
        <v>0.14000000000000001</v>
      </c>
      <c r="I152" s="49">
        <v>0.88</v>
      </c>
      <c r="J152" s="86">
        <f>E152*G152*(1-H152)*1440/1000000*3.4</f>
        <v>57.663619199999999</v>
      </c>
      <c r="K152" s="86">
        <f>(IF(G152&lt;L152,L152,G152)*(1-IF(H152&lt;N152,H152,N152))*E152*O152*Q152)/100000000</f>
        <v>13.238605908</v>
      </c>
      <c r="L152" s="39">
        <v>830</v>
      </c>
      <c r="M152" s="39">
        <v>713.8</v>
      </c>
      <c r="N152" s="50">
        <f>1-(M152/L152)</f>
        <v>0.14000000000000001</v>
      </c>
      <c r="O152" s="51">
        <f>+'Trim Rwd'!H105</f>
        <v>323</v>
      </c>
      <c r="P152" s="52">
        <f>O152*(Q152-R152-S152)</f>
        <v>110789</v>
      </c>
      <c r="Q152" s="51">
        <v>348</v>
      </c>
      <c r="R152" s="512">
        <v>0</v>
      </c>
      <c r="S152" s="512">
        <v>5</v>
      </c>
      <c r="T152" s="41">
        <f>E152*M152*O152*Q152/100000000</f>
        <v>13.238605908</v>
      </c>
      <c r="U152" s="41">
        <f>E152*M152*O152*(Q152-R152-S152)/100000000</f>
        <v>13.048396052999999</v>
      </c>
      <c r="V152" s="41">
        <f>E152*G152*(1-N152)*O152/100*(R152+S152)/1000000</f>
        <v>0.19020985499999998</v>
      </c>
      <c r="W152" s="41">
        <f>+'31'!K26/1000</f>
        <v>10.287000000000001</v>
      </c>
      <c r="X152" s="42">
        <f>SUM(W152:W155)/SUM(K152:K155)</f>
        <v>1.0004635914833877</v>
      </c>
      <c r="Y152" s="214">
        <f>+SUM(RBP!$AG$3:$AG$4)</f>
        <v>1.1000000000000001</v>
      </c>
      <c r="Z152" s="41">
        <v>0</v>
      </c>
      <c r="AA152" s="41">
        <f>SUM(U152:U155)-SUM(W152:W155)-SUM(Z152:Z155)-SUM(Y152:Y155)</f>
        <v>-2.6262573390000044</v>
      </c>
      <c r="AB152" s="41">
        <f>(SUM(K152:K155)-SUM(W152:W155)-SUM(Y152:Y155)-SUM(Z152:Z155)-SUM(AC152:AC155)-SUM(V152:V155))-AA152</f>
        <v>0</v>
      </c>
      <c r="AC152" s="41">
        <f>K152-T152</f>
        <v>0</v>
      </c>
      <c r="AD152" s="41">
        <f>+AM152+BA152</f>
        <v>0</v>
      </c>
      <c r="AE152" s="232" t="s">
        <v>395</v>
      </c>
      <c r="AF152" s="37">
        <v>0</v>
      </c>
      <c r="AG152" s="37"/>
      <c r="AH152" s="37"/>
      <c r="AJ152" s="41"/>
      <c r="AK152" s="41"/>
      <c r="AL152" s="41"/>
      <c r="AM152" s="41">
        <f>SUM(AF152:AL152)+AT152+AV152+AX152</f>
        <v>0</v>
      </c>
      <c r="AN152" s="41"/>
      <c r="AO152" s="41"/>
      <c r="AP152" s="41"/>
      <c r="AQ152" s="41"/>
      <c r="AR152" s="41">
        <f>SUM(AN152:AQ152)</f>
        <v>0</v>
      </c>
      <c r="AS152" s="41"/>
      <c r="AT152" s="41"/>
      <c r="AU152" s="41"/>
      <c r="AV152" s="41"/>
      <c r="AW152" s="41"/>
      <c r="AX152" s="41"/>
      <c r="AY152" s="41"/>
      <c r="AZ152" s="41"/>
      <c r="BA152" s="41">
        <f>+AR152+AS152+AU152+AW152+AY152+AZ152</f>
        <v>0</v>
      </c>
      <c r="BB152" s="37">
        <v>0</v>
      </c>
      <c r="BC152" s="515"/>
      <c r="BD152" s="55"/>
      <c r="BE152" s="55"/>
      <c r="BF152" s="55"/>
    </row>
    <row r="153" spans="1:97" ht="12.95" customHeight="1">
      <c r="A153" s="44"/>
      <c r="B153" s="45" t="s">
        <v>439</v>
      </c>
      <c r="C153" s="459">
        <f>(M153*E153*O153*Q153)/100000000</f>
        <v>32.710998527999998</v>
      </c>
      <c r="D153" s="45" t="s">
        <v>384</v>
      </c>
      <c r="E153" s="46">
        <v>17</v>
      </c>
      <c r="F153" s="46">
        <v>1</v>
      </c>
      <c r="G153" s="511">
        <v>830</v>
      </c>
      <c r="H153" s="48">
        <v>0.14000000000000001</v>
      </c>
      <c r="I153" s="49">
        <v>0.88</v>
      </c>
      <c r="J153" s="86">
        <f>E153*G153*(1-H153)*1440/1000000*3.4</f>
        <v>59.411001599999999</v>
      </c>
      <c r="K153" s="86">
        <f>(IF(G153&lt;L153,L153,G153)*(1-IF(H153&lt;N153,H153,N153))*E153*O153*Q153)/100000000</f>
        <v>32.710998527999998</v>
      </c>
      <c r="L153" s="39">
        <v>830</v>
      </c>
      <c r="M153" s="39">
        <v>713.8</v>
      </c>
      <c r="N153" s="50">
        <f>1-(M153/L153)</f>
        <v>0.14000000000000001</v>
      </c>
      <c r="O153" s="51">
        <f>+'Trim Rwd'!H106</f>
        <v>324</v>
      </c>
      <c r="P153" s="52">
        <f>O153*(Q153-R153-S153)</f>
        <v>264708</v>
      </c>
      <c r="Q153" s="51">
        <v>832</v>
      </c>
      <c r="R153" s="512">
        <v>0</v>
      </c>
      <c r="S153" s="512">
        <v>15</v>
      </c>
      <c r="T153" s="41">
        <f>E153*M153*O153*Q153/100000000</f>
        <v>32.710998527999998</v>
      </c>
      <c r="U153" s="41">
        <f>E153*M153*O153*(Q153-R153-S153)/100000000</f>
        <v>32.121256967999997</v>
      </c>
      <c r="V153" s="41">
        <f>E153*G153*(1-N153)*O153/100*(R153+S153)/1000000</f>
        <v>0.58974155999999989</v>
      </c>
      <c r="W153" s="41">
        <f>+'31'!K27/1000</f>
        <v>42.773000000000003</v>
      </c>
      <c r="X153" s="42"/>
      <c r="Y153" s="214"/>
      <c r="Z153" s="599">
        <f>+'31'!D25/1000</f>
        <v>0.5</v>
      </c>
      <c r="AA153" s="41"/>
      <c r="AB153" s="41"/>
      <c r="AC153" s="41">
        <f>K153-T153</f>
        <v>0</v>
      </c>
      <c r="AD153" s="41">
        <f>+AM153+BA153</f>
        <v>7</v>
      </c>
      <c r="AE153" s="232" t="s">
        <v>440</v>
      </c>
      <c r="AF153" s="41"/>
      <c r="AG153" s="41">
        <v>7</v>
      </c>
      <c r="AH153" s="41"/>
      <c r="AI153" s="41"/>
      <c r="AJ153" s="41"/>
      <c r="AK153" s="41"/>
      <c r="AL153" s="41"/>
      <c r="AM153" s="41">
        <f>SUM(AF153:AL153)+AT153+AV153+AX153</f>
        <v>7</v>
      </c>
      <c r="AN153" s="41"/>
      <c r="AO153" s="41"/>
      <c r="AP153" s="41"/>
      <c r="AQ153" s="41"/>
      <c r="AR153" s="41">
        <f>SUM(AN153:AQ153)</f>
        <v>0</v>
      </c>
      <c r="AS153" s="41"/>
      <c r="AT153" s="41"/>
      <c r="AU153" s="41"/>
      <c r="AV153" s="41"/>
      <c r="AW153" s="41"/>
      <c r="AX153" s="41"/>
      <c r="AY153" s="41"/>
      <c r="AZ153" s="41"/>
      <c r="BA153" s="41">
        <f>+AR153+AS153+AU153+AW153+AY153+AZ153</f>
        <v>0</v>
      </c>
      <c r="BB153" s="37"/>
      <c r="BC153" s="55">
        <v>5</v>
      </c>
      <c r="BD153" s="55"/>
      <c r="BE153" s="55"/>
      <c r="BF153" s="55"/>
    </row>
    <row r="154" spans="1:97" ht="12.95" customHeight="1">
      <c r="A154" s="44"/>
      <c r="B154" s="45" t="s">
        <v>439</v>
      </c>
      <c r="C154" s="459">
        <f>(M154*E154*O154*Q154)/100000000</f>
        <v>11.42479728</v>
      </c>
      <c r="D154" s="45" t="s">
        <v>384</v>
      </c>
      <c r="E154" s="46">
        <v>19</v>
      </c>
      <c r="F154" s="46">
        <v>1</v>
      </c>
      <c r="G154" s="511">
        <v>830</v>
      </c>
      <c r="H154" s="48">
        <v>0.14000000000000001</v>
      </c>
      <c r="I154" s="49">
        <v>0.88</v>
      </c>
      <c r="J154" s="86">
        <f>E154*G154*(1-H154)*1440/1000000*3.4</f>
        <v>66.400531200000003</v>
      </c>
      <c r="K154" s="86">
        <f>(IF(G154&lt;L154,L154,G154)*(1-IF(H154&lt;N154,H154,N154))*E154*O154*Q154)/100000000</f>
        <v>11.42479728</v>
      </c>
      <c r="L154" s="39">
        <v>830</v>
      </c>
      <c r="M154" s="39">
        <v>713.8</v>
      </c>
      <c r="N154" s="50">
        <f>1-(M154/L154)</f>
        <v>0.14000000000000001</v>
      </c>
      <c r="O154" s="51">
        <f>+'Trim Rwd'!H107</f>
        <v>324</v>
      </c>
      <c r="P154" s="52">
        <f>O154*(Q154-R154-S154)</f>
        <v>82620</v>
      </c>
      <c r="Q154" s="51">
        <v>260</v>
      </c>
      <c r="R154" s="512">
        <v>0</v>
      </c>
      <c r="S154" s="512">
        <v>5</v>
      </c>
      <c r="T154" s="41">
        <f>E154*M154*O154*Q154/100000000</f>
        <v>11.42479728</v>
      </c>
      <c r="U154" s="41">
        <f>E154*M154*O154*(Q154-R154-S154)/100000000</f>
        <v>11.205089640000001</v>
      </c>
      <c r="V154" s="41">
        <f>E154*G154*(1-N154)*O154/100*(R154+S154)/1000000</f>
        <v>0.21970763999999998</v>
      </c>
      <c r="W154" s="41">
        <f>+'31'!K28/1000</f>
        <v>4.3410000000000002</v>
      </c>
      <c r="X154" s="513"/>
      <c r="Y154" s="214"/>
      <c r="Z154" s="599"/>
      <c r="AA154" s="53"/>
      <c r="AB154" s="53"/>
      <c r="AC154" s="41">
        <f>K154-T154</f>
        <v>0</v>
      </c>
      <c r="AD154" s="41">
        <f>+AM154+BA154</f>
        <v>8</v>
      </c>
      <c r="AE154" s="232" t="s">
        <v>226</v>
      </c>
      <c r="AF154" s="41"/>
      <c r="AG154" s="41"/>
      <c r="AH154" s="41">
        <v>8</v>
      </c>
      <c r="AI154" s="514"/>
      <c r="AJ154" s="41"/>
      <c r="AK154" s="41"/>
      <c r="AL154" s="41"/>
      <c r="AM154" s="41">
        <f>SUM(AF154:AL154)+AT154+AV154+AX154</f>
        <v>8</v>
      </c>
      <c r="AN154" s="41"/>
      <c r="AO154" s="41"/>
      <c r="AP154" s="41"/>
      <c r="AQ154" s="41"/>
      <c r="AR154" s="41">
        <f>SUM(AN154:AQ154)</f>
        <v>0</v>
      </c>
      <c r="AS154" s="41"/>
      <c r="AT154" s="41"/>
      <c r="AU154" s="41"/>
      <c r="AV154" s="41"/>
      <c r="AW154" s="41"/>
      <c r="AX154" s="41"/>
      <c r="AY154" s="41"/>
      <c r="AZ154" s="41"/>
      <c r="BA154" s="41">
        <f>+AR154+AS154+AU154+AW154+AY154+AZ154</f>
        <v>0</v>
      </c>
      <c r="BB154" s="37"/>
      <c r="BC154" s="55"/>
      <c r="BD154" s="55"/>
      <c r="BE154" s="55"/>
      <c r="BF154" s="55"/>
    </row>
    <row r="155" spans="1:97" ht="12.95" customHeight="1">
      <c r="A155" s="44"/>
      <c r="B155" s="45"/>
      <c r="C155" s="459"/>
      <c r="D155" s="45"/>
      <c r="E155" s="46"/>
      <c r="F155" s="46"/>
      <c r="G155" s="511"/>
      <c r="H155" s="48"/>
      <c r="I155" s="49"/>
      <c r="J155" s="86"/>
      <c r="K155" s="86"/>
      <c r="L155" s="39"/>
      <c r="M155" s="39"/>
      <c r="N155" s="50"/>
      <c r="O155" s="51"/>
      <c r="P155" s="52"/>
      <c r="Q155" s="51"/>
      <c r="R155" s="512"/>
      <c r="S155" s="512"/>
      <c r="T155" s="41"/>
      <c r="U155" s="41"/>
      <c r="V155" s="41"/>
      <c r="W155" s="41"/>
      <c r="X155" s="42"/>
      <c r="Y155" s="214"/>
      <c r="Z155" s="599"/>
      <c r="AA155" s="41"/>
      <c r="AB155" s="41"/>
      <c r="AC155" s="41"/>
      <c r="AD155" s="41">
        <f>+AM155+BA155</f>
        <v>10</v>
      </c>
      <c r="AE155" s="232" t="s">
        <v>531</v>
      </c>
      <c r="AF155" s="37"/>
      <c r="AG155" s="37"/>
      <c r="AH155" s="37"/>
      <c r="AI155" s="33">
        <v>10</v>
      </c>
      <c r="AJ155" s="41"/>
      <c r="AK155" s="41"/>
      <c r="AL155" s="41"/>
      <c r="AM155" s="41">
        <f>SUM(AF155:AL155)+AT155+AV155+AX155</f>
        <v>10</v>
      </c>
      <c r="AN155" s="41"/>
      <c r="AO155" s="41"/>
      <c r="AP155" s="41"/>
      <c r="AQ155" s="41"/>
      <c r="AR155" s="41">
        <f>SUM(AN155:AQ155)</f>
        <v>0</v>
      </c>
      <c r="AS155" s="41"/>
      <c r="AT155" s="41"/>
      <c r="AU155" s="41"/>
      <c r="AV155" s="41"/>
      <c r="AW155" s="41"/>
      <c r="AX155" s="41"/>
      <c r="AY155" s="41"/>
      <c r="AZ155" s="41"/>
      <c r="BA155" s="41">
        <f>+AR155+AS155+AU155+AW155+AY155+AZ155</f>
        <v>0</v>
      </c>
      <c r="BB155" s="37"/>
      <c r="BC155" s="55"/>
      <c r="BD155" s="55"/>
      <c r="BE155" s="55"/>
      <c r="BF155" s="55"/>
    </row>
    <row r="156" spans="1:97" ht="12.95" customHeight="1">
      <c r="A156" s="44"/>
      <c r="B156" s="3"/>
      <c r="C156" s="459"/>
      <c r="D156" s="45"/>
      <c r="E156" s="46"/>
      <c r="F156" s="46"/>
      <c r="G156" s="47"/>
      <c r="H156" s="48"/>
      <c r="I156" s="49"/>
      <c r="J156" s="86"/>
      <c r="K156" s="86"/>
      <c r="L156" s="39"/>
      <c r="M156" s="39"/>
      <c r="N156" s="50"/>
      <c r="O156" s="51"/>
      <c r="P156" s="52"/>
      <c r="Q156" s="38"/>
      <c r="R156" s="512"/>
      <c r="S156" s="512"/>
      <c r="T156" s="41"/>
      <c r="U156" s="41"/>
      <c r="V156" s="41"/>
      <c r="W156" s="41"/>
      <c r="X156" s="42"/>
      <c r="Y156" s="42"/>
      <c r="Z156" s="599"/>
      <c r="AA156" s="53"/>
      <c r="AB156" s="53"/>
      <c r="AC156" s="41"/>
      <c r="AD156" s="41"/>
      <c r="AE156" s="235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/>
      <c r="AP156" s="41"/>
      <c r="AQ156" s="41"/>
      <c r="AR156" s="41"/>
      <c r="AS156" s="41"/>
      <c r="AT156" s="41"/>
      <c r="AU156" s="41"/>
      <c r="AV156" s="41"/>
      <c r="AW156" s="41"/>
      <c r="AX156" s="41"/>
      <c r="AY156" s="41"/>
      <c r="AZ156" s="41"/>
      <c r="BA156" s="41"/>
      <c r="BB156" s="37"/>
      <c r="BC156" s="55"/>
      <c r="BD156" s="515"/>
      <c r="BE156" s="37"/>
      <c r="BF156" s="515"/>
    </row>
    <row r="157" spans="1:97" ht="12.75" customHeight="1">
      <c r="R157" s="516"/>
      <c r="S157" s="516"/>
      <c r="AA157" s="249">
        <f>U157-W157-Z157</f>
        <v>0</v>
      </c>
      <c r="AB157" s="249"/>
      <c r="AC157" s="250">
        <f>K157-T157</f>
        <v>0</v>
      </c>
      <c r="AD157" s="41"/>
      <c r="AF157" s="56"/>
      <c r="AG157" s="56"/>
      <c r="AH157" s="56"/>
      <c r="AI157" s="56"/>
      <c r="AJ157" s="56"/>
      <c r="AK157" s="56"/>
      <c r="AL157" s="56"/>
      <c r="AM157" s="41">
        <f>SUM(AF157:AL157)</f>
        <v>0</v>
      </c>
      <c r="AN157" s="56"/>
      <c r="AO157" s="56"/>
      <c r="AP157" s="56"/>
      <c r="AQ157" s="56"/>
      <c r="AR157" s="41">
        <f>SUM(AN157:AQ157)</f>
        <v>0</v>
      </c>
      <c r="AS157" s="56"/>
      <c r="AT157" s="56"/>
      <c r="AU157" s="56"/>
      <c r="AV157" s="56"/>
      <c r="AW157" s="56"/>
      <c r="AX157" s="56"/>
      <c r="AY157" s="56"/>
      <c r="AZ157" s="56"/>
      <c r="BA157" s="41"/>
      <c r="BB157" s="67"/>
      <c r="BC157" s="67"/>
      <c r="BD157" s="515"/>
      <c r="BE157" s="37"/>
      <c r="BF157" s="515"/>
    </row>
    <row r="158" spans="1:97" ht="12.75" customHeight="1">
      <c r="A158" s="60"/>
      <c r="B158" s="61"/>
      <c r="C158" s="461">
        <f>SUM(C6:C156)</f>
        <v>1940.6088980398738</v>
      </c>
      <c r="D158" s="61"/>
      <c r="E158" s="62"/>
      <c r="F158" s="62"/>
      <c r="G158" s="63"/>
      <c r="H158" s="63"/>
      <c r="I158" s="64">
        <v>0.85</v>
      </c>
      <c r="J158" s="86"/>
      <c r="K158" s="88">
        <f>SUM(K6:K156)</f>
        <v>1970.664982617224</v>
      </c>
      <c r="L158" s="66"/>
      <c r="M158" s="66"/>
      <c r="N158" s="67"/>
      <c r="O158" s="68">
        <f>P158/(Q158-R158-S158)</f>
        <v>322.80344438368746</v>
      </c>
      <c r="P158" s="65">
        <f>SUM(P6:P156)</f>
        <v>13135194.955416627</v>
      </c>
      <c r="Q158" s="384">
        <f>SUM(Q6:Q157)</f>
        <v>43140</v>
      </c>
      <c r="R158" s="65">
        <f t="shared" ref="R158:W158" si="8">SUM(R6:R156)</f>
        <v>1531</v>
      </c>
      <c r="S158" s="65">
        <f t="shared" si="8"/>
        <v>918</v>
      </c>
      <c r="T158" s="65">
        <f t="shared" si="8"/>
        <v>1940.6088980398738</v>
      </c>
      <c r="U158" s="65">
        <f t="shared" si="8"/>
        <v>1838.1883803933458</v>
      </c>
      <c r="V158" s="408">
        <f t="shared" si="8"/>
        <v>105.21519209512645</v>
      </c>
      <c r="W158" s="465">
        <f t="shared" si="8"/>
        <v>1773.8999999999999</v>
      </c>
      <c r="X158" s="517">
        <f>W158/K158</f>
        <v>0.90015300198012238</v>
      </c>
      <c r="Y158" s="409">
        <f>SUM(Y6:Y156)</f>
        <v>1.1000000000000001</v>
      </c>
      <c r="Z158" s="465">
        <f>SUM(Z6:Z156)</f>
        <v>21.292999999999999</v>
      </c>
      <c r="AA158" s="65">
        <f>SUM(AA6:AA156)</f>
        <v>41.895380393346002</v>
      </c>
      <c r="AB158" s="65">
        <f>SUM(AB6:AB156)</f>
        <v>-2.7946744485987778</v>
      </c>
      <c r="AC158" s="65">
        <f>SUM(AC6:AC156)</f>
        <v>30.056084577350628</v>
      </c>
      <c r="AD158" s="41">
        <f>SUM(AD6:AD157)</f>
        <v>2449</v>
      </c>
      <c r="AE158" s="69"/>
      <c r="AF158" s="65">
        <f t="shared" ref="AF158:BF158" si="9">SUM(AF6:AF157)</f>
        <v>79</v>
      </c>
      <c r="AG158" s="65">
        <f t="shared" si="9"/>
        <v>332</v>
      </c>
      <c r="AH158" s="65">
        <f t="shared" si="9"/>
        <v>413</v>
      </c>
      <c r="AI158" s="65">
        <f t="shared" si="9"/>
        <v>94</v>
      </c>
      <c r="AJ158" s="65">
        <f t="shared" si="9"/>
        <v>0</v>
      </c>
      <c r="AK158" s="65">
        <f t="shared" si="9"/>
        <v>0</v>
      </c>
      <c r="AL158" s="65">
        <f t="shared" si="9"/>
        <v>0</v>
      </c>
      <c r="AM158" s="65">
        <f t="shared" si="9"/>
        <v>918</v>
      </c>
      <c r="AN158" s="56">
        <f t="shared" si="9"/>
        <v>346</v>
      </c>
      <c r="AO158" s="56">
        <f t="shared" si="9"/>
        <v>765</v>
      </c>
      <c r="AP158" s="56">
        <f t="shared" si="9"/>
        <v>315</v>
      </c>
      <c r="AQ158" s="56">
        <f t="shared" si="9"/>
        <v>0</v>
      </c>
      <c r="AR158" s="65">
        <f t="shared" si="9"/>
        <v>1426</v>
      </c>
      <c r="AS158" s="65">
        <f t="shared" si="9"/>
        <v>0</v>
      </c>
      <c r="AT158" s="65">
        <f t="shared" si="9"/>
        <v>0</v>
      </c>
      <c r="AU158" s="65">
        <f t="shared" si="9"/>
        <v>0</v>
      </c>
      <c r="AV158" s="65">
        <f t="shared" si="9"/>
        <v>0</v>
      </c>
      <c r="AW158" s="65">
        <f t="shared" si="9"/>
        <v>0</v>
      </c>
      <c r="AX158" s="65">
        <f t="shared" si="9"/>
        <v>0</v>
      </c>
      <c r="AY158" s="65">
        <f t="shared" si="9"/>
        <v>105</v>
      </c>
      <c r="AZ158" s="65">
        <f t="shared" si="9"/>
        <v>0</v>
      </c>
      <c r="BA158" s="65">
        <f t="shared" si="9"/>
        <v>1531</v>
      </c>
      <c r="BB158" s="56">
        <f t="shared" si="9"/>
        <v>15</v>
      </c>
      <c r="BC158" s="56">
        <f t="shared" si="9"/>
        <v>98</v>
      </c>
      <c r="BD158" s="56">
        <f t="shared" si="9"/>
        <v>0</v>
      </c>
      <c r="BE158" s="56">
        <f t="shared" si="9"/>
        <v>1</v>
      </c>
      <c r="BF158" s="56">
        <f t="shared" si="9"/>
        <v>6</v>
      </c>
      <c r="BG158" s="31"/>
      <c r="BH158" s="31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  <c r="BS158" s="31"/>
      <c r="BT158" s="31"/>
      <c r="BU158" s="31"/>
      <c r="BV158" s="31"/>
      <c r="BW158" s="31"/>
      <c r="BX158" s="31"/>
      <c r="BY158" s="31"/>
      <c r="BZ158" s="31"/>
      <c r="CA158" s="31"/>
      <c r="CB158" s="31"/>
      <c r="CC158" s="31"/>
      <c r="CD158" s="31"/>
      <c r="CE158" s="31"/>
      <c r="CF158" s="31"/>
      <c r="CG158" s="31"/>
      <c r="CH158" s="31"/>
      <c r="CI158" s="31"/>
      <c r="CJ158" s="31"/>
      <c r="CK158" s="31"/>
      <c r="CL158" s="31"/>
      <c r="CM158" s="31"/>
      <c r="CN158" s="31"/>
      <c r="CO158" s="31"/>
      <c r="CP158" s="31"/>
      <c r="CQ158" s="31"/>
      <c r="CR158" s="31"/>
      <c r="CS158" s="31"/>
    </row>
    <row r="159" spans="1:97" ht="12.75" customHeight="1">
      <c r="A159" s="60"/>
      <c r="B159" s="61"/>
      <c r="C159" s="61"/>
      <c r="D159" s="61"/>
      <c r="E159" s="62"/>
      <c r="F159" s="62"/>
      <c r="G159" s="63"/>
      <c r="H159" s="63"/>
      <c r="I159" s="63"/>
      <c r="J159" s="89"/>
      <c r="K159" s="89"/>
      <c r="L159" s="66"/>
      <c r="M159" s="66"/>
      <c r="N159" s="67"/>
      <c r="O159" s="660"/>
      <c r="P159" s="661"/>
      <c r="Q159" s="63">
        <f>31*1440-Q158</f>
        <v>1500</v>
      </c>
      <c r="R159" s="70">
        <f>R158/Q158</f>
        <v>3.5489105238757535E-2</v>
      </c>
      <c r="S159" s="70">
        <f>S158/Q158</f>
        <v>2.1279554937413073E-2</v>
      </c>
      <c r="T159" s="395"/>
      <c r="U159" s="395"/>
      <c r="V159" s="397">
        <f>V158/K158</f>
        <v>5.3390704672384756E-2</v>
      </c>
      <c r="W159" s="413" t="s">
        <v>169</v>
      </c>
      <c r="X159" s="518">
        <v>0.85</v>
      </c>
      <c r="Y159" s="410">
        <f>Y158/K158</f>
        <v>5.5818721583975126E-4</v>
      </c>
      <c r="Z159" s="71">
        <f>Z158/K158</f>
        <v>1.0804982169887111E-2</v>
      </c>
      <c r="AA159" s="71">
        <f>AA158/K158</f>
        <v>2.1259514307553733E-2</v>
      </c>
      <c r="AB159" s="71">
        <f>AB158/K158</f>
        <v>-1.4181377724016761E-3</v>
      </c>
      <c r="AC159" s="519">
        <f>AC158/K158</f>
        <v>1.525174742661403E-2</v>
      </c>
      <c r="AD159" s="398"/>
      <c r="AE159" s="43"/>
      <c r="AF159" s="71">
        <f>AF158/$AD$158*$V$159</f>
        <v>1.7222807958833792E-3</v>
      </c>
      <c r="AG159" s="71">
        <f>AG158/$AD$158*$V$159</f>
        <v>7.2379395472567335E-3</v>
      </c>
      <c r="AH159" s="71">
        <f>AH158/$AD$158*$V$159</f>
        <v>9.003822388605514E-3</v>
      </c>
      <c r="AI159" s="71">
        <f>AI158/$AD$158*$V$159</f>
        <v>2.0492961368738941E-3</v>
      </c>
      <c r="AJ159" s="71">
        <f t="shared" ref="AJ159:BA159" si="10">AJ158/$AD$158*$V$159</f>
        <v>0</v>
      </c>
      <c r="AK159" s="71">
        <f t="shared" si="10"/>
        <v>0</v>
      </c>
      <c r="AL159" s="71">
        <f t="shared" si="10"/>
        <v>0</v>
      </c>
      <c r="AM159" s="71">
        <f t="shared" si="10"/>
        <v>2.0013338868619519E-2</v>
      </c>
      <c r="AN159" s="71">
        <f t="shared" si="10"/>
        <v>7.5431538655145467E-3</v>
      </c>
      <c r="AO159" s="71">
        <f t="shared" si="10"/>
        <v>1.6677782390516267E-2</v>
      </c>
      <c r="AP159" s="71">
        <f t="shared" si="10"/>
        <v>6.8673221608008166E-3</v>
      </c>
      <c r="AQ159" s="71">
        <f t="shared" si="10"/>
        <v>0</v>
      </c>
      <c r="AR159" s="71">
        <f t="shared" si="10"/>
        <v>3.1088258416831629E-2</v>
      </c>
      <c r="AS159" s="71">
        <f t="shared" si="10"/>
        <v>0</v>
      </c>
      <c r="AT159" s="71">
        <f t="shared" si="10"/>
        <v>0</v>
      </c>
      <c r="AU159" s="71">
        <f t="shared" si="10"/>
        <v>0</v>
      </c>
      <c r="AV159" s="71">
        <f>AV158/$AD$158*$V$159</f>
        <v>0</v>
      </c>
      <c r="AW159" s="71">
        <f>AW158/$AD$158*$V$159</f>
        <v>0</v>
      </c>
      <c r="AX159" s="71">
        <f>AX158/$AD$158*$V$159</f>
        <v>0</v>
      </c>
      <c r="AY159" s="71">
        <f>AY158/$AD$158*$V$159</f>
        <v>2.2891073869336052E-3</v>
      </c>
      <c r="AZ159" s="71">
        <f>AZ158/$AD$158*$V$159</f>
        <v>0</v>
      </c>
      <c r="BA159" s="71">
        <f t="shared" si="10"/>
        <v>3.3377365803765234E-2</v>
      </c>
      <c r="BB159" s="38" t="s">
        <v>168</v>
      </c>
      <c r="BC159" s="38" t="s">
        <v>168</v>
      </c>
      <c r="BD159" s="38" t="s">
        <v>377</v>
      </c>
      <c r="BE159" s="38" t="s">
        <v>377</v>
      </c>
      <c r="BF159" s="38" t="s">
        <v>377</v>
      </c>
      <c r="BG159" s="31"/>
      <c r="BH159" s="31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  <c r="BS159" s="31"/>
      <c r="BT159" s="31"/>
      <c r="BU159" s="31"/>
      <c r="BV159" s="31"/>
      <c r="BW159" s="31"/>
      <c r="BX159" s="31"/>
      <c r="BY159" s="31"/>
      <c r="BZ159" s="31"/>
      <c r="CA159" s="31"/>
      <c r="CB159" s="31"/>
      <c r="CC159" s="31"/>
      <c r="CD159" s="31"/>
      <c r="CE159" s="31"/>
      <c r="CF159" s="31"/>
      <c r="CG159" s="31"/>
      <c r="CH159" s="31"/>
      <c r="CI159" s="31"/>
      <c r="CJ159" s="31"/>
      <c r="CK159" s="31"/>
      <c r="CL159" s="31"/>
      <c r="CM159" s="31"/>
      <c r="CN159" s="31"/>
      <c r="CO159" s="31"/>
      <c r="CP159" s="31"/>
      <c r="CQ159" s="31"/>
      <c r="CR159" s="31"/>
      <c r="CS159" s="31"/>
    </row>
    <row r="160" spans="1:97" ht="12.75" customHeight="1">
      <c r="A160" s="60"/>
      <c r="B160" s="61"/>
      <c r="C160" s="61"/>
      <c r="D160" s="61"/>
      <c r="E160" s="62"/>
      <c r="F160" s="62"/>
      <c r="G160" s="38"/>
      <c r="H160" s="38"/>
      <c r="I160" s="38"/>
      <c r="J160" s="86"/>
      <c r="K160" s="86"/>
      <c r="L160" s="39"/>
      <c r="M160" s="39"/>
      <c r="N160" s="37"/>
      <c r="O160" s="40"/>
      <c r="P160" s="32"/>
      <c r="Q160" s="38"/>
      <c r="R160" s="41">
        <f>R158-(BA158)</f>
        <v>0</v>
      </c>
      <c r="S160" s="41">
        <f>+S158-AM158</f>
        <v>0</v>
      </c>
      <c r="T160" s="37"/>
      <c r="U160" s="37"/>
      <c r="V160" s="37"/>
      <c r="W160" s="411">
        <f>+W158-'31'!M34/1000</f>
        <v>0</v>
      </c>
      <c r="X160" s="412"/>
      <c r="Y160" s="72">
        <f>+Y158-(SUM(RBP!AG3:AG4))</f>
        <v>0</v>
      </c>
      <c r="Z160" s="41">
        <f>+Z158-'31'!J56/1000</f>
        <v>0</v>
      </c>
      <c r="AA160" s="37"/>
      <c r="AB160" s="37"/>
      <c r="AC160" s="37"/>
      <c r="AD160" s="37"/>
      <c r="AE160" s="43"/>
      <c r="AF160" s="385"/>
      <c r="AG160" s="385"/>
      <c r="AH160" s="385"/>
      <c r="AI160" s="385"/>
      <c r="AJ160" s="81"/>
      <c r="AK160" s="81"/>
      <c r="AL160" s="81"/>
      <c r="AM160" s="81"/>
      <c r="AN160" s="81"/>
      <c r="AO160" s="81"/>
      <c r="AP160" s="81"/>
      <c r="AQ160" s="81"/>
      <c r="AR160" s="81"/>
      <c r="AS160" s="81"/>
      <c r="AT160" s="565">
        <v>60</v>
      </c>
      <c r="AU160" s="565">
        <v>1440</v>
      </c>
      <c r="AV160" s="565">
        <v>0</v>
      </c>
      <c r="AW160" s="565">
        <v>0</v>
      </c>
      <c r="AX160" s="565">
        <v>0</v>
      </c>
      <c r="AY160" s="565">
        <v>105</v>
      </c>
      <c r="AZ160" s="565">
        <v>0</v>
      </c>
      <c r="BA160" s="81"/>
      <c r="BB160" s="520">
        <f>BB158/($Q$158/1440)/2</f>
        <v>0.25034770514603616</v>
      </c>
      <c r="BC160" s="520">
        <f>BC158/($Q$158/1440)/2</f>
        <v>1.635605006954103</v>
      </c>
      <c r="BD160" s="520">
        <f>BD158/($Q$158/1440)</f>
        <v>0</v>
      </c>
      <c r="BE160" s="520">
        <f>BE158/($Q$158/1440)</f>
        <v>3.3379694019471488E-2</v>
      </c>
      <c r="BF160" s="520">
        <f>BF158/($Q$158/1440)</f>
        <v>0.20027816411682894</v>
      </c>
    </row>
    <row r="161" spans="1:58" ht="12.75" customHeight="1">
      <c r="A161" s="73"/>
      <c r="B161" s="74"/>
      <c r="C161" s="74"/>
      <c r="D161" s="74"/>
      <c r="E161" s="75"/>
      <c r="F161" s="75"/>
      <c r="G161" s="76"/>
      <c r="H161" s="76"/>
      <c r="I161" s="76"/>
      <c r="J161" s="90"/>
      <c r="K161" s="90"/>
      <c r="O161" s="77"/>
      <c r="P161" s="78"/>
      <c r="Q161" s="76"/>
      <c r="R161" s="57"/>
      <c r="S161" s="57"/>
      <c r="U161" s="79"/>
      <c r="V161" s="79"/>
      <c r="W161" s="80" t="s">
        <v>121</v>
      </c>
      <c r="X161" s="521">
        <f>W158/U158</f>
        <v>0.96502622849808828</v>
      </c>
      <c r="Y161" s="521"/>
      <c r="Z161" s="568"/>
      <c r="AA161" s="33" t="s">
        <v>381</v>
      </c>
      <c r="AD161" s="87"/>
      <c r="AE161" s="82"/>
      <c r="AF161" s="83"/>
      <c r="AG161" s="83"/>
      <c r="AH161" s="83"/>
      <c r="AI161" s="83"/>
      <c r="AJ161" s="83"/>
      <c r="AK161" s="83"/>
      <c r="AL161" s="83"/>
      <c r="AM161" s="83"/>
      <c r="AN161" s="81"/>
      <c r="AO161" s="81"/>
      <c r="AP161" s="81"/>
      <c r="AQ161" s="81"/>
      <c r="AR161" s="81"/>
      <c r="AS161" s="83"/>
      <c r="AT161" s="83"/>
      <c r="AU161" s="83"/>
      <c r="AV161" s="83"/>
      <c r="AW161" s="83"/>
      <c r="AX161" s="83"/>
      <c r="AY161" s="83"/>
      <c r="AZ161" s="83"/>
      <c r="BA161" s="81"/>
      <c r="BB161" s="31"/>
      <c r="BC161" s="81"/>
      <c r="BD161" s="81"/>
      <c r="BE161" s="31"/>
      <c r="BF161" s="81"/>
    </row>
    <row r="162" spans="1:58" ht="12.75" customHeight="1">
      <c r="A162" s="73"/>
      <c r="B162" s="74"/>
      <c r="C162" s="74"/>
      <c r="D162" s="74"/>
      <c r="E162" s="75"/>
      <c r="F162" s="75"/>
      <c r="G162" s="76"/>
      <c r="H162" s="76"/>
      <c r="I162" s="76"/>
      <c r="J162" s="90"/>
      <c r="K162" s="90"/>
      <c r="O162" s="77"/>
      <c r="P162" s="78"/>
      <c r="Q162" s="76"/>
      <c r="R162" s="57"/>
      <c r="S162" s="57"/>
      <c r="U162" s="79"/>
      <c r="V162" s="79"/>
      <c r="W162" s="80"/>
      <c r="X162" s="81"/>
      <c r="Y162" s="81"/>
      <c r="Z162" s="57"/>
      <c r="AA162" s="93"/>
      <c r="AB162" s="93"/>
      <c r="AD162" s="87"/>
      <c r="AE162" s="82"/>
      <c r="AF162" s="83"/>
      <c r="AG162" s="83"/>
      <c r="AH162" s="83"/>
      <c r="AI162" s="83"/>
      <c r="AJ162" s="83"/>
      <c r="AK162" s="83"/>
      <c r="AL162" s="83"/>
      <c r="AM162" s="83"/>
      <c r="AN162" s="83"/>
      <c r="AO162" s="81"/>
      <c r="AP162" s="81"/>
      <c r="AQ162" s="81"/>
      <c r="AR162" s="83"/>
      <c r="AS162" s="81"/>
      <c r="AT162" s="81"/>
      <c r="AU162" s="81"/>
      <c r="AV162" s="81"/>
      <c r="AW162" s="81"/>
      <c r="AX162" s="81"/>
      <c r="AY162" s="81"/>
      <c r="AZ162" s="81"/>
      <c r="BA162" s="81"/>
      <c r="BB162" s="31"/>
      <c r="BC162" s="81"/>
      <c r="BD162" s="81"/>
      <c r="BE162" s="31"/>
      <c r="BF162" s="81"/>
    </row>
    <row r="163" spans="1:58" ht="12.75" customHeight="1">
      <c r="A163" s="73"/>
      <c r="B163" s="74"/>
      <c r="C163" s="74"/>
      <c r="D163" s="74"/>
      <c r="E163" s="75"/>
      <c r="F163" s="75"/>
      <c r="G163" s="76"/>
      <c r="H163" s="76"/>
      <c r="I163" s="76"/>
      <c r="J163" s="90"/>
      <c r="K163" s="90"/>
      <c r="O163" s="77"/>
      <c r="P163" s="78"/>
      <c r="Q163" s="76"/>
      <c r="R163" s="396"/>
      <c r="S163" s="57"/>
      <c r="U163" s="79"/>
      <c r="V163" s="79"/>
      <c r="W163" s="80" t="s">
        <v>144</v>
      </c>
      <c r="X163" s="385">
        <f>+W158+Y158</f>
        <v>1774.9999999999998</v>
      </c>
      <c r="Y163" s="81"/>
      <c r="Z163" s="57"/>
      <c r="AD163" s="87"/>
      <c r="AE163" s="82"/>
      <c r="AF163" s="87"/>
      <c r="AG163" s="87"/>
      <c r="AH163" s="87"/>
      <c r="AI163" s="87"/>
      <c r="AJ163" s="81"/>
      <c r="AK163" s="81"/>
      <c r="AL163" s="81"/>
      <c r="AM163" s="83"/>
      <c r="AN163" s="81"/>
      <c r="AO163" s="81"/>
      <c r="AP163" s="81"/>
      <c r="AQ163" s="81"/>
      <c r="AR163" s="83"/>
      <c r="AS163" s="81"/>
      <c r="AT163" s="81"/>
      <c r="AU163" s="81"/>
      <c r="AV163" s="81"/>
      <c r="AW163" s="81"/>
      <c r="AX163" s="81"/>
      <c r="AY163" s="81"/>
      <c r="AZ163" s="81"/>
      <c r="BA163" s="81"/>
      <c r="BB163" s="31"/>
      <c r="BC163" s="81"/>
      <c r="BD163" s="81"/>
      <c r="BE163" s="31"/>
      <c r="BF163" s="81"/>
    </row>
    <row r="164" spans="1:58" ht="12.75" customHeight="1">
      <c r="A164" s="73"/>
      <c r="C164" s="74" t="s">
        <v>294</v>
      </c>
      <c r="D164" s="74"/>
      <c r="E164" s="75"/>
      <c r="F164" s="75"/>
      <c r="G164" s="76"/>
      <c r="H164" s="76"/>
      <c r="I164" s="76"/>
      <c r="J164" s="90"/>
      <c r="K164" s="90"/>
      <c r="O164" s="77"/>
      <c r="P164" s="78"/>
      <c r="Q164" s="76"/>
      <c r="R164" s="396"/>
      <c r="S164" s="57"/>
      <c r="U164" s="79"/>
      <c r="V164" s="406"/>
      <c r="W164" s="407"/>
      <c r="X164" s="401"/>
      <c r="Y164" s="407"/>
      <c r="Z164" s="401"/>
      <c r="AD164" s="394"/>
      <c r="AE164" s="82"/>
      <c r="AF164" s="394"/>
      <c r="AG164" s="394"/>
      <c r="AH164" s="394"/>
      <c r="AI164" s="394"/>
      <c r="AJ164" s="81"/>
      <c r="AK164" s="81"/>
      <c r="AL164" s="81"/>
      <c r="AM164" s="81"/>
      <c r="AN164" s="81"/>
      <c r="AO164" s="81"/>
      <c r="AP164" s="81"/>
      <c r="AQ164" s="81"/>
      <c r="AR164" s="81"/>
      <c r="AS164" s="81"/>
      <c r="AT164" s="81"/>
      <c r="AU164" s="81"/>
      <c r="AV164" s="81"/>
      <c r="AW164" s="81"/>
      <c r="AX164" s="81"/>
      <c r="AY164" s="81"/>
      <c r="AZ164" s="81"/>
      <c r="BA164" s="81"/>
      <c r="BB164" s="31"/>
      <c r="BC164" s="81"/>
      <c r="BD164" s="81"/>
      <c r="BE164" s="31"/>
      <c r="BF164" s="81"/>
    </row>
    <row r="165" spans="1:58" ht="12.75" customHeight="1">
      <c r="A165" s="73"/>
      <c r="B165" s="74"/>
      <c r="C165" s="74" t="s">
        <v>295</v>
      </c>
      <c r="D165" s="74"/>
      <c r="E165" s="75"/>
      <c r="F165" s="75"/>
      <c r="G165" s="76"/>
      <c r="H165" s="76"/>
      <c r="I165" s="76"/>
      <c r="J165" s="90"/>
      <c r="K165" s="90"/>
      <c r="O165" s="77"/>
      <c r="P165" s="78"/>
      <c r="Q165" s="76"/>
      <c r="R165" s="396"/>
      <c r="S165" s="57"/>
      <c r="V165" s="399"/>
      <c r="W165" s="400" t="s">
        <v>302</v>
      </c>
      <c r="X165" s="399"/>
      <c r="Y165" s="399"/>
      <c r="Z165" s="401"/>
      <c r="AE165" s="82"/>
      <c r="AF165" s="57"/>
      <c r="AG165" s="57"/>
      <c r="AH165" s="57"/>
      <c r="AI165" s="57"/>
      <c r="AJ165" s="57"/>
      <c r="AK165" s="57"/>
      <c r="AL165" s="57"/>
      <c r="AM165" s="57"/>
      <c r="AN165" s="57"/>
      <c r="AO165" s="57"/>
      <c r="AP165" s="57"/>
      <c r="AQ165" s="57"/>
      <c r="AS165" s="57"/>
      <c r="AT165" s="57"/>
      <c r="AU165" s="57"/>
      <c r="AV165" s="57"/>
      <c r="AW165" s="57"/>
      <c r="AX165" s="57"/>
      <c r="AY165" s="57"/>
      <c r="AZ165" s="57"/>
      <c r="BA165" s="57"/>
      <c r="BB165" s="31"/>
      <c r="BE165" s="31"/>
    </row>
    <row r="166" spans="1:58" ht="12.75" customHeight="1">
      <c r="A166" s="73"/>
      <c r="B166" s="74"/>
      <c r="C166" s="74"/>
      <c r="D166" s="74"/>
      <c r="E166" s="75"/>
      <c r="F166" s="75"/>
      <c r="G166" s="76"/>
      <c r="H166" s="76"/>
      <c r="I166" s="76"/>
      <c r="J166" s="90"/>
      <c r="K166" s="90"/>
      <c r="O166" s="77"/>
      <c r="P166" s="78"/>
      <c r="Q166" s="76"/>
      <c r="R166" s="396"/>
      <c r="S166" s="57"/>
      <c r="V166" s="399"/>
      <c r="W166" s="402" t="s">
        <v>290</v>
      </c>
      <c r="X166" s="522">
        <f>Y159</f>
        <v>5.5818721583975126E-4</v>
      </c>
      <c r="Y166" s="403"/>
      <c r="Z166" s="401"/>
      <c r="AE166" s="82"/>
      <c r="AF166" s="57"/>
      <c r="AG166" s="57"/>
      <c r="AH166" s="57"/>
      <c r="AI166" s="57"/>
      <c r="AJ166" s="57"/>
      <c r="AK166" s="57"/>
      <c r="AL166" s="57"/>
      <c r="AM166" s="57"/>
      <c r="AN166" s="57"/>
      <c r="AO166" s="57"/>
      <c r="AP166" s="57"/>
      <c r="AQ166" s="57"/>
      <c r="AS166" s="57"/>
      <c r="AT166" s="57"/>
      <c r="AU166" s="57"/>
      <c r="AV166" s="57"/>
      <c r="AW166" s="57"/>
      <c r="AX166" s="57"/>
      <c r="AY166" s="57"/>
      <c r="AZ166" s="57"/>
      <c r="BA166" s="57"/>
      <c r="BB166" s="31"/>
      <c r="BE166" s="31"/>
    </row>
    <row r="167" spans="1:58" ht="12.75" customHeight="1">
      <c r="R167" s="93"/>
      <c r="V167" s="399"/>
      <c r="W167" s="402" t="s">
        <v>148</v>
      </c>
      <c r="X167" s="405">
        <f>Z159</f>
        <v>1.0804982169887111E-2</v>
      </c>
      <c r="Y167" s="404"/>
      <c r="Z167" s="399"/>
    </row>
    <row r="168" spans="1:58" ht="12.75" customHeight="1">
      <c r="R168" s="93"/>
      <c r="V168" s="399"/>
      <c r="W168" s="402" t="s">
        <v>149</v>
      </c>
      <c r="X168" s="405">
        <f>AC159</f>
        <v>1.525174742661403E-2</v>
      </c>
      <c r="Y168" s="405"/>
      <c r="Z168" s="399"/>
    </row>
    <row r="169" spans="1:58" ht="12.75" customHeight="1">
      <c r="R169" s="93"/>
      <c r="V169" s="399"/>
      <c r="W169" s="402" t="s">
        <v>150</v>
      </c>
      <c r="X169" s="405">
        <f>AA159</f>
        <v>2.1259514307553733E-2</v>
      </c>
      <c r="Y169" s="404"/>
      <c r="Z169" s="399"/>
    </row>
    <row r="170" spans="1:58" ht="12.75" customHeight="1">
      <c r="V170" s="399"/>
      <c r="W170" s="402" t="s">
        <v>166</v>
      </c>
      <c r="X170" s="405">
        <f>AB159</f>
        <v>-1.4181377724016761E-3</v>
      </c>
      <c r="Y170" s="404" t="s">
        <v>164</v>
      </c>
      <c r="Z170" s="399"/>
    </row>
    <row r="171" spans="1:58" ht="12.75" customHeight="1">
      <c r="V171" s="399"/>
      <c r="W171" s="402" t="s">
        <v>202</v>
      </c>
      <c r="X171" s="405">
        <f>AF159</f>
        <v>1.7222807958833792E-3</v>
      </c>
      <c r="Y171" s="404"/>
      <c r="Z171" s="399"/>
    </row>
    <row r="172" spans="1:58" ht="12.75" customHeight="1">
      <c r="V172" s="399"/>
      <c r="W172" s="402" t="s">
        <v>203</v>
      </c>
      <c r="X172" s="405">
        <f>+AG159</f>
        <v>7.2379395472567335E-3</v>
      </c>
      <c r="Y172" s="404"/>
      <c r="Z172" s="399"/>
    </row>
    <row r="173" spans="1:58" ht="12.75" customHeight="1">
      <c r="V173" s="399"/>
      <c r="W173" s="402" t="s">
        <v>296</v>
      </c>
      <c r="X173" s="405">
        <f>+AH159</f>
        <v>9.003822388605514E-3</v>
      </c>
      <c r="Y173" s="404"/>
      <c r="Z173" s="399"/>
    </row>
    <row r="174" spans="1:58" ht="12.75" customHeight="1">
      <c r="V174" s="399"/>
      <c r="W174" s="402" t="s">
        <v>227</v>
      </c>
      <c r="X174" s="405">
        <f>+AI159</f>
        <v>2.0492961368738941E-3</v>
      </c>
      <c r="Y174" s="404"/>
      <c r="Z174" s="399"/>
    </row>
    <row r="175" spans="1:58" ht="12.75" customHeight="1">
      <c r="V175" s="399"/>
      <c r="W175" s="402" t="s">
        <v>157</v>
      </c>
      <c r="X175" s="405">
        <f>+AJ159</f>
        <v>0</v>
      </c>
      <c r="Y175" s="404"/>
      <c r="Z175" s="399"/>
    </row>
    <row r="176" spans="1:58" ht="12.75" customHeight="1">
      <c r="V176" s="399"/>
      <c r="W176" s="402" t="s">
        <v>159</v>
      </c>
      <c r="X176" s="405">
        <f>+AK159</f>
        <v>0</v>
      </c>
      <c r="Y176" s="404"/>
      <c r="Z176" s="399"/>
    </row>
    <row r="177" spans="22:26" ht="12.75" customHeight="1">
      <c r="V177" s="399"/>
      <c r="W177" s="402" t="s">
        <v>158</v>
      </c>
      <c r="X177" s="405">
        <f>+AL159</f>
        <v>0</v>
      </c>
      <c r="Y177" s="404"/>
      <c r="Z177" s="399"/>
    </row>
    <row r="178" spans="22:26" ht="12.75" customHeight="1">
      <c r="V178" s="399"/>
      <c r="W178" s="402" t="s">
        <v>151</v>
      </c>
      <c r="X178" s="405">
        <f>+AN159</f>
        <v>7.5431538655145467E-3</v>
      </c>
      <c r="Y178" s="404"/>
      <c r="Z178" s="399"/>
    </row>
    <row r="179" spans="22:26" ht="12.75" customHeight="1">
      <c r="V179" s="399"/>
      <c r="W179" s="402" t="s">
        <v>161</v>
      </c>
      <c r="X179" s="405">
        <f>+AO159</f>
        <v>1.6677782390516267E-2</v>
      </c>
      <c r="Y179" s="404"/>
      <c r="Z179" s="399"/>
    </row>
    <row r="180" spans="22:26" ht="12.75" customHeight="1">
      <c r="V180" s="399"/>
      <c r="W180" s="402" t="s">
        <v>152</v>
      </c>
      <c r="X180" s="405">
        <f>+AP159</f>
        <v>6.8673221608008166E-3</v>
      </c>
      <c r="Y180" s="404"/>
      <c r="Z180" s="399"/>
    </row>
    <row r="181" spans="22:26" ht="12.75" customHeight="1">
      <c r="V181" s="399"/>
      <c r="W181" s="402" t="s">
        <v>160</v>
      </c>
      <c r="X181" s="405">
        <f>+AQ159</f>
        <v>0</v>
      </c>
      <c r="Y181" s="404"/>
      <c r="Z181" s="399"/>
    </row>
    <row r="182" spans="22:26" ht="12.75" customHeight="1">
      <c r="V182" s="399"/>
      <c r="W182" s="402" t="s">
        <v>163</v>
      </c>
      <c r="X182" s="405">
        <f>+AS159</f>
        <v>0</v>
      </c>
      <c r="Y182" s="404"/>
      <c r="Z182" s="399"/>
    </row>
    <row r="183" spans="22:26" ht="12.75" customHeight="1">
      <c r="V183" s="399"/>
      <c r="W183" s="402" t="s">
        <v>297</v>
      </c>
      <c r="X183" s="405">
        <f>+AT159</f>
        <v>0</v>
      </c>
      <c r="Y183" s="404"/>
      <c r="Z183" s="399"/>
    </row>
    <row r="184" spans="22:26" ht="12.75" customHeight="1">
      <c r="V184" s="399"/>
      <c r="W184" s="402" t="s">
        <v>243</v>
      </c>
      <c r="X184" s="405">
        <f>+AU159</f>
        <v>0</v>
      </c>
      <c r="Y184" s="404"/>
      <c r="Z184" s="399"/>
    </row>
    <row r="185" spans="22:26" ht="12.75" customHeight="1">
      <c r="V185" s="399"/>
      <c r="W185" s="402" t="s">
        <v>305</v>
      </c>
      <c r="X185" s="405">
        <f>+AW159</f>
        <v>0</v>
      </c>
      <c r="Y185" s="404"/>
      <c r="Z185" s="399"/>
    </row>
    <row r="186" spans="22:26" ht="12.75" customHeight="1">
      <c r="V186" s="399"/>
      <c r="W186" s="402" t="s">
        <v>306</v>
      </c>
      <c r="X186" s="405">
        <f>+AV159</f>
        <v>0</v>
      </c>
      <c r="Y186" s="404"/>
      <c r="Z186" s="399"/>
    </row>
    <row r="187" spans="22:26" ht="12.75" customHeight="1">
      <c r="V187" s="399"/>
      <c r="W187" s="399" t="s">
        <v>162</v>
      </c>
      <c r="X187" s="405">
        <f>+AX159+AY159</f>
        <v>2.2891073869336052E-3</v>
      </c>
      <c r="Y187" s="405"/>
      <c r="Z187" s="399"/>
    </row>
    <row r="188" spans="22:26" ht="12.75" customHeight="1">
      <c r="V188" s="399"/>
      <c r="W188" s="399" t="s">
        <v>304</v>
      </c>
      <c r="X188" s="405">
        <f>+AZ160</f>
        <v>0</v>
      </c>
      <c r="Y188" s="399"/>
      <c r="Z188" s="399"/>
    </row>
    <row r="189" spans="22:26" ht="12.75" customHeight="1">
      <c r="V189" s="399"/>
      <c r="W189" s="399"/>
      <c r="X189" s="538">
        <f>SUM(X166:X188)</f>
        <v>9.9846998019877689E-2</v>
      </c>
      <c r="Y189" s="399"/>
      <c r="Z189" s="399"/>
    </row>
    <row r="190" spans="22:26" ht="12.75" customHeight="1"/>
    <row r="191" spans="22:26" ht="12.75" customHeight="1">
      <c r="X191" s="93">
        <f>+X189+X158</f>
        <v>1</v>
      </c>
    </row>
    <row r="192" spans="22:26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</sheetData>
  <mergeCells count="50">
    <mergeCell ref="X3:X5"/>
    <mergeCell ref="G3:K4"/>
    <mergeCell ref="L3:N4"/>
    <mergeCell ref="O3:O5"/>
    <mergeCell ref="P3:P5"/>
    <mergeCell ref="Q3:Q5"/>
    <mergeCell ref="R3:R5"/>
    <mergeCell ref="T3:T5"/>
    <mergeCell ref="U3:U5"/>
    <mergeCell ref="F3:F5"/>
    <mergeCell ref="A3:A5"/>
    <mergeCell ref="B3:B5"/>
    <mergeCell ref="C3:C5"/>
    <mergeCell ref="D3:D5"/>
    <mergeCell ref="E3:E5"/>
    <mergeCell ref="AZ3:AZ5"/>
    <mergeCell ref="AR4:AR5"/>
    <mergeCell ref="BD3:BD5"/>
    <mergeCell ref="BE3:BE5"/>
    <mergeCell ref="BF3:BF5"/>
    <mergeCell ref="BA3:BA5"/>
    <mergeCell ref="BB3:BB5"/>
    <mergeCell ref="BC3:BC5"/>
    <mergeCell ref="AT3:AU4"/>
    <mergeCell ref="AV3:AW3"/>
    <mergeCell ref="AX3:AY3"/>
    <mergeCell ref="AM3:AM5"/>
    <mergeCell ref="AN3:AR3"/>
    <mergeCell ref="AS3:AS5"/>
    <mergeCell ref="AF4:AH4"/>
    <mergeCell ref="AI4:AI5"/>
    <mergeCell ref="AJ4:AJ5"/>
    <mergeCell ref="AK4:AK5"/>
    <mergeCell ref="AQ4:AQ5"/>
    <mergeCell ref="O159:P159"/>
    <mergeCell ref="AL4:AL5"/>
    <mergeCell ref="AN4:AN5"/>
    <mergeCell ref="AO4:AO5"/>
    <mergeCell ref="AP4:AP5"/>
    <mergeCell ref="Y3:Y5"/>
    <mergeCell ref="Z3:Z5"/>
    <mergeCell ref="AA3:AA5"/>
    <mergeCell ref="AB3:AB5"/>
    <mergeCell ref="AC3:AC5"/>
    <mergeCell ref="AD3:AD5"/>
    <mergeCell ref="S3:S5"/>
    <mergeCell ref="V3:V5"/>
    <mergeCell ref="W3:W5"/>
    <mergeCell ref="AE3:AE5"/>
    <mergeCell ref="AF3:AL3"/>
  </mergeCells>
  <conditionalFormatting sqref="C159 B157:B159 C157">
    <cfRule type="cellIs" dxfId="372" priority="29007" stopIfTrue="1" operator="equal">
      <formula>"Towel"</formula>
    </cfRule>
    <cfRule type="cellIs" dxfId="371" priority="29008" stopIfTrue="1" operator="equal">
      <formula>"Napkin Hs"</formula>
    </cfRule>
  </conditionalFormatting>
  <conditionalFormatting sqref="C6">
    <cfRule type="cellIs" dxfId="370" priority="22019" stopIfTrue="1" operator="equal">
      <formula>"Napkin Hs"</formula>
    </cfRule>
  </conditionalFormatting>
  <conditionalFormatting sqref="C9">
    <cfRule type="cellIs" dxfId="369" priority="22952" stopIfTrue="1" operator="equal">
      <formula>"Napkin Hs"</formula>
    </cfRule>
  </conditionalFormatting>
  <conditionalFormatting sqref="C8">
    <cfRule type="cellIs" dxfId="368" priority="22840" stopIfTrue="1" operator="equal">
      <formula>"Napkin Hs"</formula>
    </cfRule>
  </conditionalFormatting>
  <conditionalFormatting sqref="C8">
    <cfRule type="cellIs" dxfId="367" priority="22838" stopIfTrue="1" operator="equal">
      <formula>"Napkin Hs"</formula>
    </cfRule>
  </conditionalFormatting>
  <conditionalFormatting sqref="B8">
    <cfRule type="cellIs" dxfId="366" priority="22741" stopIfTrue="1" operator="equal">
      <formula>"Napkin Hs"</formula>
    </cfRule>
  </conditionalFormatting>
  <conditionalFormatting sqref="C6">
    <cfRule type="cellIs" dxfId="365" priority="22175" stopIfTrue="1" operator="equal">
      <formula>"Napkin Hs"</formula>
    </cfRule>
  </conditionalFormatting>
  <conditionalFormatting sqref="C6">
    <cfRule type="cellIs" dxfId="364" priority="22109" stopIfTrue="1" operator="equal">
      <formula>"Napkin Hs"</formula>
    </cfRule>
  </conditionalFormatting>
  <conditionalFormatting sqref="C6">
    <cfRule type="cellIs" dxfId="363" priority="22079" stopIfTrue="1" operator="equal">
      <formula>"Napkin Hs"</formula>
    </cfRule>
  </conditionalFormatting>
  <conditionalFormatting sqref="C6">
    <cfRule type="cellIs" dxfId="362" priority="22067" stopIfTrue="1" operator="equal">
      <formula>"Napkin Hs"</formula>
    </cfRule>
  </conditionalFormatting>
  <conditionalFormatting sqref="C6">
    <cfRule type="cellIs" dxfId="361" priority="22055" stopIfTrue="1" operator="equal">
      <formula>"Napkin Hs"</formula>
    </cfRule>
  </conditionalFormatting>
  <conditionalFormatting sqref="C13:C14">
    <cfRule type="cellIs" dxfId="360" priority="21949" stopIfTrue="1" operator="equal">
      <formula>"Napkin Hs"</formula>
    </cfRule>
  </conditionalFormatting>
  <conditionalFormatting sqref="C13:C14">
    <cfRule type="cellIs" dxfId="359" priority="21947" stopIfTrue="1" operator="equal">
      <formula>"Napkin Hs"</formula>
    </cfRule>
  </conditionalFormatting>
  <conditionalFormatting sqref="B13:B14">
    <cfRule type="cellIs" dxfId="358" priority="21850" stopIfTrue="1" operator="equal">
      <formula>"Napkin Hs"</formula>
    </cfRule>
  </conditionalFormatting>
  <conditionalFormatting sqref="C10">
    <cfRule type="cellIs" dxfId="357" priority="21544" stopIfTrue="1" operator="equal">
      <formula>"Napkin Hs"</formula>
    </cfRule>
  </conditionalFormatting>
  <conditionalFormatting sqref="C10">
    <cfRule type="cellIs" dxfId="356" priority="21478" stopIfTrue="1" operator="equal">
      <formula>"Napkin Hs"</formula>
    </cfRule>
  </conditionalFormatting>
  <conditionalFormatting sqref="C10">
    <cfRule type="cellIs" dxfId="355" priority="21448" stopIfTrue="1" operator="equal">
      <formula>"Napkin Hs"</formula>
    </cfRule>
  </conditionalFormatting>
  <conditionalFormatting sqref="C10">
    <cfRule type="cellIs" dxfId="354" priority="21436" stopIfTrue="1" operator="equal">
      <formula>"Napkin Hs"</formula>
    </cfRule>
  </conditionalFormatting>
  <conditionalFormatting sqref="C10">
    <cfRule type="cellIs" dxfId="353" priority="21424" stopIfTrue="1" operator="equal">
      <formula>"Napkin Hs"</formula>
    </cfRule>
  </conditionalFormatting>
  <conditionalFormatting sqref="C10">
    <cfRule type="cellIs" dxfId="352" priority="21388" stopIfTrue="1" operator="equal">
      <formula>"Napkin Hs"</formula>
    </cfRule>
  </conditionalFormatting>
  <conditionalFormatting sqref="C11:C12">
    <cfRule type="cellIs" dxfId="351" priority="21382" stopIfTrue="1" operator="equal">
      <formula>"Napkin Hs"</formula>
    </cfRule>
  </conditionalFormatting>
  <conditionalFormatting sqref="C11:C12">
    <cfRule type="cellIs" dxfId="350" priority="21316" stopIfTrue="1" operator="equal">
      <formula>"Napkin Hs"</formula>
    </cfRule>
  </conditionalFormatting>
  <conditionalFormatting sqref="C11:C12">
    <cfRule type="cellIs" dxfId="349" priority="21286" stopIfTrue="1" operator="equal">
      <formula>"Napkin Hs"</formula>
    </cfRule>
  </conditionalFormatting>
  <conditionalFormatting sqref="C11:C12">
    <cfRule type="cellIs" dxfId="348" priority="21274" stopIfTrue="1" operator="equal">
      <formula>"Napkin Hs"</formula>
    </cfRule>
  </conditionalFormatting>
  <conditionalFormatting sqref="C11:C12">
    <cfRule type="cellIs" dxfId="347" priority="21262" stopIfTrue="1" operator="equal">
      <formula>"Napkin Hs"</formula>
    </cfRule>
  </conditionalFormatting>
  <conditionalFormatting sqref="C11:C12">
    <cfRule type="cellIs" dxfId="346" priority="21226" stopIfTrue="1" operator="equal">
      <formula>"Napkin Hs"</formula>
    </cfRule>
  </conditionalFormatting>
  <conditionalFormatting sqref="C18:C19">
    <cfRule type="cellIs" dxfId="345" priority="20733" stopIfTrue="1" operator="equal">
      <formula>"Napkin Hs"</formula>
    </cfRule>
  </conditionalFormatting>
  <conditionalFormatting sqref="C18:C19">
    <cfRule type="cellIs" dxfId="344" priority="20731" stopIfTrue="1" operator="equal">
      <formula>"Napkin Hs"</formula>
    </cfRule>
  </conditionalFormatting>
  <conditionalFormatting sqref="B18:B19">
    <cfRule type="cellIs" dxfId="343" priority="20634" stopIfTrue="1" operator="equal">
      <formula>"Napkin Hs"</formula>
    </cfRule>
  </conditionalFormatting>
  <conditionalFormatting sqref="C16:C17">
    <cfRule type="cellIs" dxfId="342" priority="20630" stopIfTrue="1" operator="equal">
      <formula>"Napkin Hs"</formula>
    </cfRule>
  </conditionalFormatting>
  <conditionalFormatting sqref="C16:C17">
    <cfRule type="cellIs" dxfId="341" priority="20564" stopIfTrue="1" operator="equal">
      <formula>"Napkin Hs"</formula>
    </cfRule>
  </conditionalFormatting>
  <conditionalFormatting sqref="C16:C17">
    <cfRule type="cellIs" dxfId="340" priority="20534" stopIfTrue="1" operator="equal">
      <formula>"Napkin Hs"</formula>
    </cfRule>
  </conditionalFormatting>
  <conditionalFormatting sqref="C16:C17">
    <cfRule type="cellIs" dxfId="339" priority="20522" stopIfTrue="1" operator="equal">
      <formula>"Napkin Hs"</formula>
    </cfRule>
  </conditionalFormatting>
  <conditionalFormatting sqref="C16:C17">
    <cfRule type="cellIs" dxfId="338" priority="20510" stopIfTrue="1" operator="equal">
      <formula>"Napkin Hs"</formula>
    </cfRule>
  </conditionalFormatting>
  <conditionalFormatting sqref="C16:C17">
    <cfRule type="cellIs" dxfId="337" priority="20474" stopIfTrue="1" operator="equal">
      <formula>"Napkin Hs"</formula>
    </cfRule>
  </conditionalFormatting>
  <conditionalFormatting sqref="C15">
    <cfRule type="cellIs" dxfId="336" priority="20468" stopIfTrue="1" operator="equal">
      <formula>"Napkin Hs"</formula>
    </cfRule>
  </conditionalFormatting>
  <conditionalFormatting sqref="C15">
    <cfRule type="cellIs" dxfId="335" priority="20402" stopIfTrue="1" operator="equal">
      <formula>"Napkin Hs"</formula>
    </cfRule>
  </conditionalFormatting>
  <conditionalFormatting sqref="C15">
    <cfRule type="cellIs" dxfId="334" priority="20372" stopIfTrue="1" operator="equal">
      <formula>"Napkin Hs"</formula>
    </cfRule>
  </conditionalFormatting>
  <conditionalFormatting sqref="C15">
    <cfRule type="cellIs" dxfId="333" priority="20360" stopIfTrue="1" operator="equal">
      <formula>"Napkin Hs"</formula>
    </cfRule>
  </conditionalFormatting>
  <conditionalFormatting sqref="C15">
    <cfRule type="cellIs" dxfId="332" priority="20348" stopIfTrue="1" operator="equal">
      <formula>"Napkin Hs"</formula>
    </cfRule>
  </conditionalFormatting>
  <conditionalFormatting sqref="C15">
    <cfRule type="cellIs" dxfId="331" priority="20312" stopIfTrue="1" operator="equal">
      <formula>"Napkin Hs"</formula>
    </cfRule>
  </conditionalFormatting>
  <conditionalFormatting sqref="C24">
    <cfRule type="cellIs" dxfId="330" priority="19585" stopIfTrue="1" operator="equal">
      <formula>"Napkin Hs"</formula>
    </cfRule>
  </conditionalFormatting>
  <conditionalFormatting sqref="C23">
    <cfRule type="cellIs" dxfId="329" priority="19555" stopIfTrue="1" operator="equal">
      <formula>"Napkin Hs"</formula>
    </cfRule>
  </conditionalFormatting>
  <conditionalFormatting sqref="C23">
    <cfRule type="cellIs" dxfId="328" priority="19553" stopIfTrue="1" operator="equal">
      <formula>"Napkin Hs"</formula>
    </cfRule>
  </conditionalFormatting>
  <conditionalFormatting sqref="B23">
    <cfRule type="cellIs" dxfId="327" priority="19456" stopIfTrue="1" operator="equal">
      <formula>"Napkin Hs"</formula>
    </cfRule>
  </conditionalFormatting>
  <conditionalFormatting sqref="C21:C22">
    <cfRule type="cellIs" dxfId="326" priority="19452" stopIfTrue="1" operator="equal">
      <formula>"Napkin Hs"</formula>
    </cfRule>
  </conditionalFormatting>
  <conditionalFormatting sqref="C21:C22">
    <cfRule type="cellIs" dxfId="325" priority="19386" stopIfTrue="1" operator="equal">
      <formula>"Napkin Hs"</formula>
    </cfRule>
  </conditionalFormatting>
  <conditionalFormatting sqref="C21:C22">
    <cfRule type="cellIs" dxfId="324" priority="19356" stopIfTrue="1" operator="equal">
      <formula>"Napkin Hs"</formula>
    </cfRule>
  </conditionalFormatting>
  <conditionalFormatting sqref="C21:C22">
    <cfRule type="cellIs" dxfId="323" priority="19344" stopIfTrue="1" operator="equal">
      <formula>"Napkin Hs"</formula>
    </cfRule>
  </conditionalFormatting>
  <conditionalFormatting sqref="C21:C22">
    <cfRule type="cellIs" dxfId="322" priority="19332" stopIfTrue="1" operator="equal">
      <formula>"Napkin Hs"</formula>
    </cfRule>
  </conditionalFormatting>
  <conditionalFormatting sqref="C21:C22">
    <cfRule type="cellIs" dxfId="321" priority="19296" stopIfTrue="1" operator="equal">
      <formula>"Napkin Hs"</formula>
    </cfRule>
  </conditionalFormatting>
  <conditionalFormatting sqref="C20">
    <cfRule type="cellIs" dxfId="320" priority="19290" stopIfTrue="1" operator="equal">
      <formula>"Napkin Hs"</formula>
    </cfRule>
  </conditionalFormatting>
  <conditionalFormatting sqref="C20">
    <cfRule type="cellIs" dxfId="319" priority="19224" stopIfTrue="1" operator="equal">
      <formula>"Napkin Hs"</formula>
    </cfRule>
  </conditionalFormatting>
  <conditionalFormatting sqref="C20">
    <cfRule type="cellIs" dxfId="318" priority="19194" stopIfTrue="1" operator="equal">
      <formula>"Napkin Hs"</formula>
    </cfRule>
  </conditionalFormatting>
  <conditionalFormatting sqref="C20">
    <cfRule type="cellIs" dxfId="317" priority="19182" stopIfTrue="1" operator="equal">
      <formula>"Napkin Hs"</formula>
    </cfRule>
  </conditionalFormatting>
  <conditionalFormatting sqref="C20">
    <cfRule type="cellIs" dxfId="316" priority="19170" stopIfTrue="1" operator="equal">
      <formula>"Napkin Hs"</formula>
    </cfRule>
  </conditionalFormatting>
  <conditionalFormatting sqref="C20">
    <cfRule type="cellIs" dxfId="315" priority="19134" stopIfTrue="1" operator="equal">
      <formula>"Napkin Hs"</formula>
    </cfRule>
  </conditionalFormatting>
  <conditionalFormatting sqref="C30">
    <cfRule type="cellIs" dxfId="314" priority="19074" stopIfTrue="1" operator="equal">
      <formula>"Napkin Hs"</formula>
    </cfRule>
  </conditionalFormatting>
  <conditionalFormatting sqref="C29">
    <cfRule type="cellIs" dxfId="313" priority="19044" stopIfTrue="1" operator="equal">
      <formula>"Napkin Hs"</formula>
    </cfRule>
  </conditionalFormatting>
  <conditionalFormatting sqref="C29">
    <cfRule type="cellIs" dxfId="312" priority="19042" stopIfTrue="1" operator="equal">
      <formula>"Napkin Hs"</formula>
    </cfRule>
  </conditionalFormatting>
  <conditionalFormatting sqref="B29">
    <cfRule type="cellIs" dxfId="311" priority="18945" stopIfTrue="1" operator="equal">
      <formula>"Napkin Hs"</formula>
    </cfRule>
  </conditionalFormatting>
  <conditionalFormatting sqref="C27:C28">
    <cfRule type="cellIs" dxfId="310" priority="18941" stopIfTrue="1" operator="equal">
      <formula>"Napkin Hs"</formula>
    </cfRule>
  </conditionalFormatting>
  <conditionalFormatting sqref="C27:C28">
    <cfRule type="cellIs" dxfId="309" priority="18875" stopIfTrue="1" operator="equal">
      <formula>"Napkin Hs"</formula>
    </cfRule>
  </conditionalFormatting>
  <conditionalFormatting sqref="C27:C28">
    <cfRule type="cellIs" dxfId="308" priority="18845" stopIfTrue="1" operator="equal">
      <formula>"Napkin Hs"</formula>
    </cfRule>
  </conditionalFormatting>
  <conditionalFormatting sqref="C27:C28">
    <cfRule type="cellIs" dxfId="307" priority="18833" stopIfTrue="1" operator="equal">
      <formula>"Napkin Hs"</formula>
    </cfRule>
  </conditionalFormatting>
  <conditionalFormatting sqref="C27:C28">
    <cfRule type="cellIs" dxfId="306" priority="18821" stopIfTrue="1" operator="equal">
      <formula>"Napkin Hs"</formula>
    </cfRule>
  </conditionalFormatting>
  <conditionalFormatting sqref="C27:C28">
    <cfRule type="cellIs" dxfId="305" priority="18785" stopIfTrue="1" operator="equal">
      <formula>"Napkin Hs"</formula>
    </cfRule>
  </conditionalFormatting>
  <conditionalFormatting sqref="C26">
    <cfRule type="cellIs" dxfId="304" priority="18779" stopIfTrue="1" operator="equal">
      <formula>"Napkin Hs"</formula>
    </cfRule>
  </conditionalFormatting>
  <conditionalFormatting sqref="C26">
    <cfRule type="cellIs" dxfId="303" priority="18713" stopIfTrue="1" operator="equal">
      <formula>"Napkin Hs"</formula>
    </cfRule>
  </conditionalFormatting>
  <conditionalFormatting sqref="C26">
    <cfRule type="cellIs" dxfId="302" priority="18683" stopIfTrue="1" operator="equal">
      <formula>"Napkin Hs"</formula>
    </cfRule>
  </conditionalFormatting>
  <conditionalFormatting sqref="C26">
    <cfRule type="cellIs" dxfId="301" priority="18671" stopIfTrue="1" operator="equal">
      <formula>"Napkin Hs"</formula>
    </cfRule>
  </conditionalFormatting>
  <conditionalFormatting sqref="C26">
    <cfRule type="cellIs" dxfId="300" priority="18659" stopIfTrue="1" operator="equal">
      <formula>"Napkin Hs"</formula>
    </cfRule>
  </conditionalFormatting>
  <conditionalFormatting sqref="C26">
    <cfRule type="cellIs" dxfId="299" priority="18623" stopIfTrue="1" operator="equal">
      <formula>"Napkin Hs"</formula>
    </cfRule>
  </conditionalFormatting>
  <conditionalFormatting sqref="C33">
    <cfRule type="cellIs" dxfId="298" priority="16885" stopIfTrue="1" operator="equal">
      <formula>"Napkin Hs"</formula>
    </cfRule>
  </conditionalFormatting>
  <conditionalFormatting sqref="C40">
    <cfRule type="cellIs" dxfId="297" priority="17692" stopIfTrue="1" operator="equal">
      <formula>"Napkin Hs"</formula>
    </cfRule>
  </conditionalFormatting>
  <conditionalFormatting sqref="C40">
    <cfRule type="cellIs" dxfId="296" priority="17686" stopIfTrue="1" operator="equal">
      <formula>"Napkin Hs"</formula>
    </cfRule>
  </conditionalFormatting>
  <conditionalFormatting sqref="C40">
    <cfRule type="cellIs" dxfId="295" priority="17620" stopIfTrue="1" operator="equal">
      <formula>"Napkin Hs"</formula>
    </cfRule>
  </conditionalFormatting>
  <conditionalFormatting sqref="C40">
    <cfRule type="cellIs" dxfId="294" priority="17590" stopIfTrue="1" operator="equal">
      <formula>"Napkin Hs"</formula>
    </cfRule>
  </conditionalFormatting>
  <conditionalFormatting sqref="C40">
    <cfRule type="cellIs" dxfId="293" priority="17578" stopIfTrue="1" operator="equal">
      <formula>"Napkin Hs"</formula>
    </cfRule>
  </conditionalFormatting>
  <conditionalFormatting sqref="C40">
    <cfRule type="cellIs" dxfId="292" priority="17566" stopIfTrue="1" operator="equal">
      <formula>"Napkin Hs"</formula>
    </cfRule>
  </conditionalFormatting>
  <conditionalFormatting sqref="C40">
    <cfRule type="cellIs" dxfId="291" priority="17530" stopIfTrue="1" operator="equal">
      <formula>"Napkin Hs"</formula>
    </cfRule>
  </conditionalFormatting>
  <conditionalFormatting sqref="C39">
    <cfRule type="cellIs" dxfId="290" priority="16275" stopIfTrue="1" operator="equal">
      <formula>"Napkin Hs"</formula>
    </cfRule>
  </conditionalFormatting>
  <conditionalFormatting sqref="C39">
    <cfRule type="cellIs" dxfId="289" priority="16209" stopIfTrue="1" operator="equal">
      <formula>"Napkin Hs"</formula>
    </cfRule>
  </conditionalFormatting>
  <conditionalFormatting sqref="C39">
    <cfRule type="cellIs" dxfId="288" priority="16179" stopIfTrue="1" operator="equal">
      <formula>"Napkin Hs"</formula>
    </cfRule>
  </conditionalFormatting>
  <conditionalFormatting sqref="C39">
    <cfRule type="cellIs" dxfId="287" priority="16167" stopIfTrue="1" operator="equal">
      <formula>"Napkin Hs"</formula>
    </cfRule>
  </conditionalFormatting>
  <conditionalFormatting sqref="C39">
    <cfRule type="cellIs" dxfId="286" priority="16155" stopIfTrue="1" operator="equal">
      <formula>"Napkin Hs"</formula>
    </cfRule>
  </conditionalFormatting>
  <conditionalFormatting sqref="C39">
    <cfRule type="cellIs" dxfId="285" priority="16119" stopIfTrue="1" operator="equal">
      <formula>"Napkin Hs"</formula>
    </cfRule>
  </conditionalFormatting>
  <conditionalFormatting sqref="C38">
    <cfRule type="cellIs" dxfId="284" priority="16051" stopIfTrue="1" operator="equal">
      <formula>"Napkin Hs"</formula>
    </cfRule>
  </conditionalFormatting>
  <conditionalFormatting sqref="C38">
    <cfRule type="cellIs" dxfId="283" priority="15985" stopIfTrue="1" operator="equal">
      <formula>"Napkin Hs"</formula>
    </cfRule>
  </conditionalFormatting>
  <conditionalFormatting sqref="C38">
    <cfRule type="cellIs" dxfId="282" priority="15955" stopIfTrue="1" operator="equal">
      <formula>"Napkin Hs"</formula>
    </cfRule>
  </conditionalFormatting>
  <conditionalFormatting sqref="C38">
    <cfRule type="cellIs" dxfId="281" priority="15943" stopIfTrue="1" operator="equal">
      <formula>"Napkin Hs"</formula>
    </cfRule>
  </conditionalFormatting>
  <conditionalFormatting sqref="C38">
    <cfRule type="cellIs" dxfId="280" priority="15931" stopIfTrue="1" operator="equal">
      <formula>"Napkin Hs"</formula>
    </cfRule>
  </conditionalFormatting>
  <conditionalFormatting sqref="C38">
    <cfRule type="cellIs" dxfId="279" priority="15895" stopIfTrue="1" operator="equal">
      <formula>"Napkin Hs"</formula>
    </cfRule>
  </conditionalFormatting>
  <conditionalFormatting sqref="C34">
    <cfRule type="cellIs" dxfId="278" priority="17076" stopIfTrue="1" operator="equal">
      <formula>"Napkin Hs"</formula>
    </cfRule>
  </conditionalFormatting>
  <conditionalFormatting sqref="C33">
    <cfRule type="cellIs" dxfId="277" priority="17040" stopIfTrue="1" operator="equal">
      <formula>"Napkin Hs"</formula>
    </cfRule>
  </conditionalFormatting>
  <conditionalFormatting sqref="C35">
    <cfRule type="cellIs" dxfId="276" priority="17018" stopIfTrue="1" operator="equal">
      <formula>"Napkin Hs"</formula>
    </cfRule>
  </conditionalFormatting>
  <conditionalFormatting sqref="C34">
    <cfRule type="cellIs" dxfId="275" priority="16988" stopIfTrue="1" operator="equal">
      <formula>"Napkin Hs"</formula>
    </cfRule>
  </conditionalFormatting>
  <conditionalFormatting sqref="C34">
    <cfRule type="cellIs" dxfId="274" priority="16986" stopIfTrue="1" operator="equal">
      <formula>"Napkin Hs"</formula>
    </cfRule>
  </conditionalFormatting>
  <conditionalFormatting sqref="B34">
    <cfRule type="cellIs" dxfId="273" priority="16889" stopIfTrue="1" operator="equal">
      <formula>"Napkin Hs"</formula>
    </cfRule>
  </conditionalFormatting>
  <conditionalFormatting sqref="C33">
    <cfRule type="cellIs" dxfId="272" priority="16819" stopIfTrue="1" operator="equal">
      <formula>"Napkin Hs"</formula>
    </cfRule>
  </conditionalFormatting>
  <conditionalFormatting sqref="C33">
    <cfRule type="cellIs" dxfId="271" priority="16789" stopIfTrue="1" operator="equal">
      <formula>"Napkin Hs"</formula>
    </cfRule>
  </conditionalFormatting>
  <conditionalFormatting sqref="C33">
    <cfRule type="cellIs" dxfId="270" priority="16777" stopIfTrue="1" operator="equal">
      <formula>"Napkin Hs"</formula>
    </cfRule>
  </conditionalFormatting>
  <conditionalFormatting sqref="C33">
    <cfRule type="cellIs" dxfId="269" priority="16765" stopIfTrue="1" operator="equal">
      <formula>"Napkin Hs"</formula>
    </cfRule>
  </conditionalFormatting>
  <conditionalFormatting sqref="C33">
    <cfRule type="cellIs" dxfId="268" priority="16729" stopIfTrue="1" operator="equal">
      <formula>"Napkin Hs"</formula>
    </cfRule>
  </conditionalFormatting>
  <conditionalFormatting sqref="C31">
    <cfRule type="cellIs" dxfId="267" priority="16723" stopIfTrue="1" operator="equal">
      <formula>"Napkin Hs"</formula>
    </cfRule>
  </conditionalFormatting>
  <conditionalFormatting sqref="C31">
    <cfRule type="cellIs" dxfId="266" priority="16657" stopIfTrue="1" operator="equal">
      <formula>"Napkin Hs"</formula>
    </cfRule>
  </conditionalFormatting>
  <conditionalFormatting sqref="C31">
    <cfRule type="cellIs" dxfId="265" priority="16627" stopIfTrue="1" operator="equal">
      <formula>"Napkin Hs"</formula>
    </cfRule>
  </conditionalFormatting>
  <conditionalFormatting sqref="C31">
    <cfRule type="cellIs" dxfId="264" priority="16615" stopIfTrue="1" operator="equal">
      <formula>"Napkin Hs"</formula>
    </cfRule>
  </conditionalFormatting>
  <conditionalFormatting sqref="C31">
    <cfRule type="cellIs" dxfId="263" priority="16603" stopIfTrue="1" operator="equal">
      <formula>"Napkin Hs"</formula>
    </cfRule>
  </conditionalFormatting>
  <conditionalFormatting sqref="C31">
    <cfRule type="cellIs" dxfId="262" priority="16567" stopIfTrue="1" operator="equal">
      <formula>"Napkin Hs"</formula>
    </cfRule>
  </conditionalFormatting>
  <conditionalFormatting sqref="C32">
    <cfRule type="cellIs" dxfId="261" priority="16499" stopIfTrue="1" operator="equal">
      <formula>"Napkin Hs"</formula>
    </cfRule>
  </conditionalFormatting>
  <conditionalFormatting sqref="C32">
    <cfRule type="cellIs" dxfId="260" priority="16433" stopIfTrue="1" operator="equal">
      <formula>"Napkin Hs"</formula>
    </cfRule>
  </conditionalFormatting>
  <conditionalFormatting sqref="C32">
    <cfRule type="cellIs" dxfId="259" priority="16403" stopIfTrue="1" operator="equal">
      <formula>"Napkin Hs"</formula>
    </cfRule>
  </conditionalFormatting>
  <conditionalFormatting sqref="C32">
    <cfRule type="cellIs" dxfId="258" priority="16391" stopIfTrue="1" operator="equal">
      <formula>"Napkin Hs"</formula>
    </cfRule>
  </conditionalFormatting>
  <conditionalFormatting sqref="C32">
    <cfRule type="cellIs" dxfId="257" priority="16379" stopIfTrue="1" operator="equal">
      <formula>"Napkin Hs"</formula>
    </cfRule>
  </conditionalFormatting>
  <conditionalFormatting sqref="C32">
    <cfRule type="cellIs" dxfId="256" priority="16343" stopIfTrue="1" operator="equal">
      <formula>"Napkin Hs"</formula>
    </cfRule>
  </conditionalFormatting>
  <conditionalFormatting sqref="C44">
    <cfRule type="cellIs" dxfId="255" priority="15681" stopIfTrue="1" operator="equal">
      <formula>"Napkin Hs"</formula>
    </cfRule>
  </conditionalFormatting>
  <conditionalFormatting sqref="C44">
    <cfRule type="cellIs" dxfId="254" priority="15675" stopIfTrue="1" operator="equal">
      <formula>"Napkin Hs"</formula>
    </cfRule>
  </conditionalFormatting>
  <conditionalFormatting sqref="C44">
    <cfRule type="cellIs" dxfId="253" priority="15609" stopIfTrue="1" operator="equal">
      <formula>"Napkin Hs"</formula>
    </cfRule>
  </conditionalFormatting>
  <conditionalFormatting sqref="C44">
    <cfRule type="cellIs" dxfId="252" priority="15579" stopIfTrue="1" operator="equal">
      <formula>"Napkin Hs"</formula>
    </cfRule>
  </conditionalFormatting>
  <conditionalFormatting sqref="C44">
    <cfRule type="cellIs" dxfId="251" priority="15567" stopIfTrue="1" operator="equal">
      <formula>"Napkin Hs"</formula>
    </cfRule>
  </conditionalFormatting>
  <conditionalFormatting sqref="C44">
    <cfRule type="cellIs" dxfId="250" priority="15555" stopIfTrue="1" operator="equal">
      <formula>"Napkin Hs"</formula>
    </cfRule>
  </conditionalFormatting>
  <conditionalFormatting sqref="C44">
    <cfRule type="cellIs" dxfId="249" priority="15519" stopIfTrue="1" operator="equal">
      <formula>"Napkin Hs"</formula>
    </cfRule>
  </conditionalFormatting>
  <conditionalFormatting sqref="C43">
    <cfRule type="cellIs" dxfId="248" priority="15505" stopIfTrue="1" operator="equal">
      <formula>"Napkin Hs"</formula>
    </cfRule>
  </conditionalFormatting>
  <conditionalFormatting sqref="C43">
    <cfRule type="cellIs" dxfId="247" priority="15439" stopIfTrue="1" operator="equal">
      <formula>"Napkin Hs"</formula>
    </cfRule>
  </conditionalFormatting>
  <conditionalFormatting sqref="C43">
    <cfRule type="cellIs" dxfId="246" priority="15409" stopIfTrue="1" operator="equal">
      <formula>"Napkin Hs"</formula>
    </cfRule>
  </conditionalFormatting>
  <conditionalFormatting sqref="C43">
    <cfRule type="cellIs" dxfId="245" priority="15397" stopIfTrue="1" operator="equal">
      <formula>"Napkin Hs"</formula>
    </cfRule>
  </conditionalFormatting>
  <conditionalFormatting sqref="C43">
    <cfRule type="cellIs" dxfId="244" priority="15385" stopIfTrue="1" operator="equal">
      <formula>"Napkin Hs"</formula>
    </cfRule>
  </conditionalFormatting>
  <conditionalFormatting sqref="C43">
    <cfRule type="cellIs" dxfId="243" priority="15349" stopIfTrue="1" operator="equal">
      <formula>"Napkin Hs"</formula>
    </cfRule>
  </conditionalFormatting>
  <conditionalFormatting sqref="C42">
    <cfRule type="cellIs" dxfId="242" priority="15281" stopIfTrue="1" operator="equal">
      <formula>"Napkin Hs"</formula>
    </cfRule>
  </conditionalFormatting>
  <conditionalFormatting sqref="C42">
    <cfRule type="cellIs" dxfId="241" priority="15215" stopIfTrue="1" operator="equal">
      <formula>"Napkin Hs"</formula>
    </cfRule>
  </conditionalFormatting>
  <conditionalFormatting sqref="C42">
    <cfRule type="cellIs" dxfId="240" priority="15185" stopIfTrue="1" operator="equal">
      <formula>"Napkin Hs"</formula>
    </cfRule>
  </conditionalFormatting>
  <conditionalFormatting sqref="C42">
    <cfRule type="cellIs" dxfId="239" priority="15173" stopIfTrue="1" operator="equal">
      <formula>"Napkin Hs"</formula>
    </cfRule>
  </conditionalFormatting>
  <conditionalFormatting sqref="C42">
    <cfRule type="cellIs" dxfId="238" priority="15161" stopIfTrue="1" operator="equal">
      <formula>"Napkin Hs"</formula>
    </cfRule>
  </conditionalFormatting>
  <conditionalFormatting sqref="C42">
    <cfRule type="cellIs" dxfId="237" priority="15125" stopIfTrue="1" operator="equal">
      <formula>"Napkin Hs"</formula>
    </cfRule>
  </conditionalFormatting>
  <conditionalFormatting sqref="C49">
    <cfRule type="cellIs" dxfId="236" priority="14919" stopIfTrue="1" operator="equal">
      <formula>"Napkin Hs"</formula>
    </cfRule>
  </conditionalFormatting>
  <conditionalFormatting sqref="C49">
    <cfRule type="cellIs" dxfId="235" priority="14913" stopIfTrue="1" operator="equal">
      <formula>"Napkin Hs"</formula>
    </cfRule>
  </conditionalFormatting>
  <conditionalFormatting sqref="C49">
    <cfRule type="cellIs" dxfId="234" priority="14847" stopIfTrue="1" operator="equal">
      <formula>"Napkin Hs"</formula>
    </cfRule>
  </conditionalFormatting>
  <conditionalFormatting sqref="C49">
    <cfRule type="cellIs" dxfId="233" priority="14817" stopIfTrue="1" operator="equal">
      <formula>"Napkin Hs"</formula>
    </cfRule>
  </conditionalFormatting>
  <conditionalFormatting sqref="C49">
    <cfRule type="cellIs" dxfId="232" priority="14805" stopIfTrue="1" operator="equal">
      <formula>"Napkin Hs"</formula>
    </cfRule>
  </conditionalFormatting>
  <conditionalFormatting sqref="C49">
    <cfRule type="cellIs" dxfId="231" priority="14793" stopIfTrue="1" operator="equal">
      <formula>"Napkin Hs"</formula>
    </cfRule>
  </conditionalFormatting>
  <conditionalFormatting sqref="C49">
    <cfRule type="cellIs" dxfId="230" priority="14757" stopIfTrue="1" operator="equal">
      <formula>"Napkin Hs"</formula>
    </cfRule>
  </conditionalFormatting>
  <conditionalFormatting sqref="C48">
    <cfRule type="cellIs" dxfId="229" priority="14743" stopIfTrue="1" operator="equal">
      <formula>"Napkin Hs"</formula>
    </cfRule>
  </conditionalFormatting>
  <conditionalFormatting sqref="C48">
    <cfRule type="cellIs" dxfId="228" priority="14677" stopIfTrue="1" operator="equal">
      <formula>"Napkin Hs"</formula>
    </cfRule>
  </conditionalFormatting>
  <conditionalFormatting sqref="C48">
    <cfRule type="cellIs" dxfId="227" priority="14647" stopIfTrue="1" operator="equal">
      <formula>"Napkin Hs"</formula>
    </cfRule>
  </conditionalFormatting>
  <conditionalFormatting sqref="C48">
    <cfRule type="cellIs" dxfId="226" priority="14635" stopIfTrue="1" operator="equal">
      <formula>"Napkin Hs"</formula>
    </cfRule>
  </conditionalFormatting>
  <conditionalFormatting sqref="C48">
    <cfRule type="cellIs" dxfId="225" priority="14623" stopIfTrue="1" operator="equal">
      <formula>"Napkin Hs"</formula>
    </cfRule>
  </conditionalFormatting>
  <conditionalFormatting sqref="C48">
    <cfRule type="cellIs" dxfId="224" priority="14587" stopIfTrue="1" operator="equal">
      <formula>"Napkin Hs"</formula>
    </cfRule>
  </conditionalFormatting>
  <conditionalFormatting sqref="C47:C51">
    <cfRule type="cellIs" dxfId="223" priority="14519" stopIfTrue="1" operator="equal">
      <formula>"Napkin Hs"</formula>
    </cfRule>
  </conditionalFormatting>
  <conditionalFormatting sqref="C47:C51">
    <cfRule type="cellIs" dxfId="222" priority="14453" stopIfTrue="1" operator="equal">
      <formula>"Napkin Hs"</formula>
    </cfRule>
  </conditionalFormatting>
  <conditionalFormatting sqref="C47:C51">
    <cfRule type="cellIs" dxfId="221" priority="14423" stopIfTrue="1" operator="equal">
      <formula>"Napkin Hs"</formula>
    </cfRule>
  </conditionalFormatting>
  <conditionalFormatting sqref="C47:C51">
    <cfRule type="cellIs" dxfId="220" priority="14411" stopIfTrue="1" operator="equal">
      <formula>"Napkin Hs"</formula>
    </cfRule>
  </conditionalFormatting>
  <conditionalFormatting sqref="C47:C51">
    <cfRule type="cellIs" dxfId="219" priority="14399" stopIfTrue="1" operator="equal">
      <formula>"Napkin Hs"</formula>
    </cfRule>
  </conditionalFormatting>
  <conditionalFormatting sqref="C47:C51">
    <cfRule type="cellIs" dxfId="218" priority="14363" stopIfTrue="1" operator="equal">
      <formula>"Napkin Hs"</formula>
    </cfRule>
  </conditionalFormatting>
  <conditionalFormatting sqref="C53">
    <cfRule type="cellIs" dxfId="217" priority="14303" stopIfTrue="1" operator="equal">
      <formula>"Napkin Hs"</formula>
    </cfRule>
  </conditionalFormatting>
  <conditionalFormatting sqref="C54">
    <cfRule type="cellIs" dxfId="216" priority="14139" stopIfTrue="1" operator="equal">
      <formula>"Napkin Hs"</formula>
    </cfRule>
  </conditionalFormatting>
  <conditionalFormatting sqref="C54">
    <cfRule type="cellIs" dxfId="215" priority="14133" stopIfTrue="1" operator="equal">
      <formula>"Napkin Hs"</formula>
    </cfRule>
  </conditionalFormatting>
  <conditionalFormatting sqref="C54">
    <cfRule type="cellIs" dxfId="214" priority="14067" stopIfTrue="1" operator="equal">
      <formula>"Napkin Hs"</formula>
    </cfRule>
  </conditionalFormatting>
  <conditionalFormatting sqref="C54">
    <cfRule type="cellIs" dxfId="213" priority="14037" stopIfTrue="1" operator="equal">
      <formula>"Napkin Hs"</formula>
    </cfRule>
  </conditionalFormatting>
  <conditionalFormatting sqref="C54">
    <cfRule type="cellIs" dxfId="212" priority="14025" stopIfTrue="1" operator="equal">
      <formula>"Napkin Hs"</formula>
    </cfRule>
  </conditionalFormatting>
  <conditionalFormatting sqref="C54">
    <cfRule type="cellIs" dxfId="211" priority="14013" stopIfTrue="1" operator="equal">
      <formula>"Napkin Hs"</formula>
    </cfRule>
  </conditionalFormatting>
  <conditionalFormatting sqref="C54">
    <cfRule type="cellIs" dxfId="210" priority="13977" stopIfTrue="1" operator="equal">
      <formula>"Napkin Hs"</formula>
    </cfRule>
  </conditionalFormatting>
  <conditionalFormatting sqref="C53">
    <cfRule type="cellIs" dxfId="209" priority="13963" stopIfTrue="1" operator="equal">
      <formula>"Napkin Hs"</formula>
    </cfRule>
  </conditionalFormatting>
  <conditionalFormatting sqref="C53">
    <cfRule type="cellIs" dxfId="208" priority="13897" stopIfTrue="1" operator="equal">
      <formula>"Napkin Hs"</formula>
    </cfRule>
  </conditionalFormatting>
  <conditionalFormatting sqref="C53">
    <cfRule type="cellIs" dxfId="207" priority="13867" stopIfTrue="1" operator="equal">
      <formula>"Napkin Hs"</formula>
    </cfRule>
  </conditionalFormatting>
  <conditionalFormatting sqref="C53">
    <cfRule type="cellIs" dxfId="206" priority="13855" stopIfTrue="1" operator="equal">
      <formula>"Napkin Hs"</formula>
    </cfRule>
  </conditionalFormatting>
  <conditionalFormatting sqref="C53">
    <cfRule type="cellIs" dxfId="205" priority="13843" stopIfTrue="1" operator="equal">
      <formula>"Napkin Hs"</formula>
    </cfRule>
  </conditionalFormatting>
  <conditionalFormatting sqref="C53">
    <cfRule type="cellIs" dxfId="204" priority="13807" stopIfTrue="1" operator="equal">
      <formula>"Napkin Hs"</formula>
    </cfRule>
  </conditionalFormatting>
  <conditionalFormatting sqref="C53:C56">
    <cfRule type="cellIs" dxfId="203" priority="13739" stopIfTrue="1" operator="equal">
      <formula>"Napkin Hs"</formula>
    </cfRule>
  </conditionalFormatting>
  <conditionalFormatting sqref="C53:C56">
    <cfRule type="cellIs" dxfId="202" priority="13673" stopIfTrue="1" operator="equal">
      <formula>"Napkin Hs"</formula>
    </cfRule>
  </conditionalFormatting>
  <conditionalFormatting sqref="C53:C56">
    <cfRule type="cellIs" dxfId="201" priority="13643" stopIfTrue="1" operator="equal">
      <formula>"Napkin Hs"</formula>
    </cfRule>
  </conditionalFormatting>
  <conditionalFormatting sqref="C53:C56">
    <cfRule type="cellIs" dxfId="200" priority="13631" stopIfTrue="1" operator="equal">
      <formula>"Napkin Hs"</formula>
    </cfRule>
  </conditionalFormatting>
  <conditionalFormatting sqref="C53:C56">
    <cfRule type="cellIs" dxfId="199" priority="13619" stopIfTrue="1" operator="equal">
      <formula>"Napkin Hs"</formula>
    </cfRule>
  </conditionalFormatting>
  <conditionalFormatting sqref="C53:C56">
    <cfRule type="cellIs" dxfId="198" priority="13583" stopIfTrue="1" operator="equal">
      <formula>"Napkin Hs"</formula>
    </cfRule>
  </conditionalFormatting>
  <conditionalFormatting sqref="C52">
    <cfRule type="cellIs" dxfId="197" priority="13449" stopIfTrue="1" operator="equal">
      <formula>"Napkin Hs"</formula>
    </cfRule>
  </conditionalFormatting>
  <conditionalFormatting sqref="C52">
    <cfRule type="cellIs" dxfId="196" priority="13383" stopIfTrue="1" operator="equal">
      <formula>"Napkin Hs"</formula>
    </cfRule>
  </conditionalFormatting>
  <conditionalFormatting sqref="C52">
    <cfRule type="cellIs" dxfId="195" priority="13353" stopIfTrue="1" operator="equal">
      <formula>"Napkin Hs"</formula>
    </cfRule>
  </conditionalFormatting>
  <conditionalFormatting sqref="C52">
    <cfRule type="cellIs" dxfId="194" priority="13341" stopIfTrue="1" operator="equal">
      <formula>"Napkin Hs"</formula>
    </cfRule>
  </conditionalFormatting>
  <conditionalFormatting sqref="C52">
    <cfRule type="cellIs" dxfId="193" priority="13329" stopIfTrue="1" operator="equal">
      <formula>"Napkin Hs"</formula>
    </cfRule>
  </conditionalFormatting>
  <conditionalFormatting sqref="C52">
    <cfRule type="cellIs" dxfId="192" priority="13293" stopIfTrue="1" operator="equal">
      <formula>"Napkin Hs"</formula>
    </cfRule>
  </conditionalFormatting>
  <conditionalFormatting sqref="C58">
    <cfRule type="cellIs" dxfId="191" priority="13223" stopIfTrue="1" operator="equal">
      <formula>"Napkin Hs"</formula>
    </cfRule>
  </conditionalFormatting>
  <conditionalFormatting sqref="C59">
    <cfRule type="cellIs" dxfId="190" priority="13129" stopIfTrue="1" operator="equal">
      <formula>"Napkin Hs"</formula>
    </cfRule>
  </conditionalFormatting>
  <conditionalFormatting sqref="C59">
    <cfRule type="cellIs" dxfId="189" priority="13123" stopIfTrue="1" operator="equal">
      <formula>"Napkin Hs"</formula>
    </cfRule>
  </conditionalFormatting>
  <conditionalFormatting sqref="C59">
    <cfRule type="cellIs" dxfId="188" priority="13057" stopIfTrue="1" operator="equal">
      <formula>"Napkin Hs"</formula>
    </cfRule>
  </conditionalFormatting>
  <conditionalFormatting sqref="C59">
    <cfRule type="cellIs" dxfId="187" priority="13027" stopIfTrue="1" operator="equal">
      <formula>"Napkin Hs"</formula>
    </cfRule>
  </conditionalFormatting>
  <conditionalFormatting sqref="C59">
    <cfRule type="cellIs" dxfId="186" priority="13015" stopIfTrue="1" operator="equal">
      <formula>"Napkin Hs"</formula>
    </cfRule>
  </conditionalFormatting>
  <conditionalFormatting sqref="C59">
    <cfRule type="cellIs" dxfId="185" priority="13003" stopIfTrue="1" operator="equal">
      <formula>"Napkin Hs"</formula>
    </cfRule>
  </conditionalFormatting>
  <conditionalFormatting sqref="C59">
    <cfRule type="cellIs" dxfId="184" priority="12967" stopIfTrue="1" operator="equal">
      <formula>"Napkin Hs"</formula>
    </cfRule>
  </conditionalFormatting>
  <conditionalFormatting sqref="C58">
    <cfRule type="cellIs" dxfId="183" priority="12953" stopIfTrue="1" operator="equal">
      <formula>"Napkin Hs"</formula>
    </cfRule>
  </conditionalFormatting>
  <conditionalFormatting sqref="C58">
    <cfRule type="cellIs" dxfId="182" priority="12887" stopIfTrue="1" operator="equal">
      <formula>"Napkin Hs"</formula>
    </cfRule>
  </conditionalFormatting>
  <conditionalFormatting sqref="C58">
    <cfRule type="cellIs" dxfId="181" priority="12857" stopIfTrue="1" operator="equal">
      <formula>"Napkin Hs"</formula>
    </cfRule>
  </conditionalFormatting>
  <conditionalFormatting sqref="C58">
    <cfRule type="cellIs" dxfId="180" priority="12845" stopIfTrue="1" operator="equal">
      <formula>"Napkin Hs"</formula>
    </cfRule>
  </conditionalFormatting>
  <conditionalFormatting sqref="C58">
    <cfRule type="cellIs" dxfId="179" priority="12833" stopIfTrue="1" operator="equal">
      <formula>"Napkin Hs"</formula>
    </cfRule>
  </conditionalFormatting>
  <conditionalFormatting sqref="C58">
    <cfRule type="cellIs" dxfId="178" priority="12797" stopIfTrue="1" operator="equal">
      <formula>"Napkin Hs"</formula>
    </cfRule>
  </conditionalFormatting>
  <conditionalFormatting sqref="C58:C60">
    <cfRule type="cellIs" dxfId="177" priority="12729" stopIfTrue="1" operator="equal">
      <formula>"Napkin Hs"</formula>
    </cfRule>
  </conditionalFormatting>
  <conditionalFormatting sqref="C58:C60">
    <cfRule type="cellIs" dxfId="176" priority="12663" stopIfTrue="1" operator="equal">
      <formula>"Napkin Hs"</formula>
    </cfRule>
  </conditionalFormatting>
  <conditionalFormatting sqref="C58:C60">
    <cfRule type="cellIs" dxfId="175" priority="12633" stopIfTrue="1" operator="equal">
      <formula>"Napkin Hs"</formula>
    </cfRule>
  </conditionalFormatting>
  <conditionalFormatting sqref="C58:C60">
    <cfRule type="cellIs" dxfId="174" priority="12621" stopIfTrue="1" operator="equal">
      <formula>"Napkin Hs"</formula>
    </cfRule>
  </conditionalFormatting>
  <conditionalFormatting sqref="C58:C60">
    <cfRule type="cellIs" dxfId="173" priority="12609" stopIfTrue="1" operator="equal">
      <formula>"Napkin Hs"</formula>
    </cfRule>
  </conditionalFormatting>
  <conditionalFormatting sqref="C58:C60">
    <cfRule type="cellIs" dxfId="172" priority="12573" stopIfTrue="1" operator="equal">
      <formula>"Napkin Hs"</formula>
    </cfRule>
  </conditionalFormatting>
  <conditionalFormatting sqref="C57">
    <cfRule type="cellIs" dxfId="171" priority="12439" stopIfTrue="1" operator="equal">
      <formula>"Napkin Hs"</formula>
    </cfRule>
  </conditionalFormatting>
  <conditionalFormatting sqref="C57">
    <cfRule type="cellIs" dxfId="170" priority="12373" stopIfTrue="1" operator="equal">
      <formula>"Napkin Hs"</formula>
    </cfRule>
  </conditionalFormatting>
  <conditionalFormatting sqref="C57">
    <cfRule type="cellIs" dxfId="169" priority="12343" stopIfTrue="1" operator="equal">
      <formula>"Napkin Hs"</formula>
    </cfRule>
  </conditionalFormatting>
  <conditionalFormatting sqref="C57">
    <cfRule type="cellIs" dxfId="168" priority="12331" stopIfTrue="1" operator="equal">
      <formula>"Napkin Hs"</formula>
    </cfRule>
  </conditionalFormatting>
  <conditionalFormatting sqref="C57">
    <cfRule type="cellIs" dxfId="167" priority="12319" stopIfTrue="1" operator="equal">
      <formula>"Napkin Hs"</formula>
    </cfRule>
  </conditionalFormatting>
  <conditionalFormatting sqref="C57">
    <cfRule type="cellIs" dxfId="166" priority="12283" stopIfTrue="1" operator="equal">
      <formula>"Napkin Hs"</formula>
    </cfRule>
  </conditionalFormatting>
  <conditionalFormatting sqref="C63">
    <cfRule type="cellIs" dxfId="165" priority="12175" stopIfTrue="1" operator="equal">
      <formula>"Napkin Hs"</formula>
    </cfRule>
  </conditionalFormatting>
  <conditionalFormatting sqref="C64">
    <cfRule type="cellIs" dxfId="164" priority="12121" stopIfTrue="1" operator="equal">
      <formula>"Napkin Hs"</formula>
    </cfRule>
  </conditionalFormatting>
  <conditionalFormatting sqref="C64">
    <cfRule type="cellIs" dxfId="163" priority="12115" stopIfTrue="1" operator="equal">
      <formula>"Napkin Hs"</formula>
    </cfRule>
  </conditionalFormatting>
  <conditionalFormatting sqref="C64">
    <cfRule type="cellIs" dxfId="162" priority="12049" stopIfTrue="1" operator="equal">
      <formula>"Napkin Hs"</formula>
    </cfRule>
  </conditionalFormatting>
  <conditionalFormatting sqref="C64">
    <cfRule type="cellIs" dxfId="161" priority="12019" stopIfTrue="1" operator="equal">
      <formula>"Napkin Hs"</formula>
    </cfRule>
  </conditionalFormatting>
  <conditionalFormatting sqref="C64">
    <cfRule type="cellIs" dxfId="160" priority="12007" stopIfTrue="1" operator="equal">
      <formula>"Napkin Hs"</formula>
    </cfRule>
  </conditionalFormatting>
  <conditionalFormatting sqref="C64">
    <cfRule type="cellIs" dxfId="159" priority="11995" stopIfTrue="1" operator="equal">
      <formula>"Napkin Hs"</formula>
    </cfRule>
  </conditionalFormatting>
  <conditionalFormatting sqref="C64">
    <cfRule type="cellIs" dxfId="158" priority="11959" stopIfTrue="1" operator="equal">
      <formula>"Napkin Hs"</formula>
    </cfRule>
  </conditionalFormatting>
  <conditionalFormatting sqref="C63">
    <cfRule type="cellIs" dxfId="157" priority="11945" stopIfTrue="1" operator="equal">
      <formula>"Napkin Hs"</formula>
    </cfRule>
  </conditionalFormatting>
  <conditionalFormatting sqref="C63">
    <cfRule type="cellIs" dxfId="156" priority="11879" stopIfTrue="1" operator="equal">
      <formula>"Napkin Hs"</formula>
    </cfRule>
  </conditionalFormatting>
  <conditionalFormatting sqref="C63">
    <cfRule type="cellIs" dxfId="155" priority="11849" stopIfTrue="1" operator="equal">
      <formula>"Napkin Hs"</formula>
    </cfRule>
  </conditionalFormatting>
  <conditionalFormatting sqref="C63">
    <cfRule type="cellIs" dxfId="154" priority="11837" stopIfTrue="1" operator="equal">
      <formula>"Napkin Hs"</formula>
    </cfRule>
  </conditionalFormatting>
  <conditionalFormatting sqref="C63">
    <cfRule type="cellIs" dxfId="153" priority="11825" stopIfTrue="1" operator="equal">
      <formula>"Napkin Hs"</formula>
    </cfRule>
  </conditionalFormatting>
  <conditionalFormatting sqref="C63">
    <cfRule type="cellIs" dxfId="152" priority="11789" stopIfTrue="1" operator="equal">
      <formula>"Napkin Hs"</formula>
    </cfRule>
  </conditionalFormatting>
  <conditionalFormatting sqref="C63:C64">
    <cfRule type="cellIs" dxfId="151" priority="11721" stopIfTrue="1" operator="equal">
      <formula>"Napkin Hs"</formula>
    </cfRule>
  </conditionalFormatting>
  <conditionalFormatting sqref="C63:C64">
    <cfRule type="cellIs" dxfId="150" priority="11655" stopIfTrue="1" operator="equal">
      <formula>"Napkin Hs"</formula>
    </cfRule>
  </conditionalFormatting>
  <conditionalFormatting sqref="C63:C64">
    <cfRule type="cellIs" dxfId="149" priority="11625" stopIfTrue="1" operator="equal">
      <formula>"Napkin Hs"</formula>
    </cfRule>
  </conditionalFormatting>
  <conditionalFormatting sqref="C63:C64">
    <cfRule type="cellIs" dxfId="148" priority="11613" stopIfTrue="1" operator="equal">
      <formula>"Napkin Hs"</formula>
    </cfRule>
  </conditionalFormatting>
  <conditionalFormatting sqref="C63:C64">
    <cfRule type="cellIs" dxfId="147" priority="11601" stopIfTrue="1" operator="equal">
      <formula>"Napkin Hs"</formula>
    </cfRule>
  </conditionalFormatting>
  <conditionalFormatting sqref="C63:C64">
    <cfRule type="cellIs" dxfId="146" priority="11565" stopIfTrue="1" operator="equal">
      <formula>"Napkin Hs"</formula>
    </cfRule>
  </conditionalFormatting>
  <conditionalFormatting sqref="C62">
    <cfRule type="cellIs" dxfId="145" priority="11431" stopIfTrue="1" operator="equal">
      <formula>"Napkin Hs"</formula>
    </cfRule>
  </conditionalFormatting>
  <conditionalFormatting sqref="C62">
    <cfRule type="cellIs" dxfId="144" priority="11365" stopIfTrue="1" operator="equal">
      <formula>"Napkin Hs"</formula>
    </cfRule>
  </conditionalFormatting>
  <conditionalFormatting sqref="C62">
    <cfRule type="cellIs" dxfId="143" priority="11335" stopIfTrue="1" operator="equal">
      <formula>"Napkin Hs"</formula>
    </cfRule>
  </conditionalFormatting>
  <conditionalFormatting sqref="C62">
    <cfRule type="cellIs" dxfId="142" priority="11323" stopIfTrue="1" operator="equal">
      <formula>"Napkin Hs"</formula>
    </cfRule>
  </conditionalFormatting>
  <conditionalFormatting sqref="C62">
    <cfRule type="cellIs" dxfId="141" priority="11311" stopIfTrue="1" operator="equal">
      <formula>"Napkin Hs"</formula>
    </cfRule>
  </conditionalFormatting>
  <conditionalFormatting sqref="C62">
    <cfRule type="cellIs" dxfId="140" priority="11275" stopIfTrue="1" operator="equal">
      <formula>"Napkin Hs"</formula>
    </cfRule>
  </conditionalFormatting>
  <conditionalFormatting sqref="C68">
    <cfRule type="cellIs" dxfId="139" priority="8105" stopIfTrue="1" operator="equal">
      <formula>"Napkin Hs"</formula>
    </cfRule>
  </conditionalFormatting>
  <conditionalFormatting sqref="C68">
    <cfRule type="cellIs" dxfId="138" priority="8039" stopIfTrue="1" operator="equal">
      <formula>"Napkin Hs"</formula>
    </cfRule>
  </conditionalFormatting>
  <conditionalFormatting sqref="C69">
    <cfRule type="cellIs" dxfId="137" priority="7985" stopIfTrue="1" operator="equal">
      <formula>"Napkin Hs"</formula>
    </cfRule>
  </conditionalFormatting>
  <conditionalFormatting sqref="C69">
    <cfRule type="cellIs" dxfId="136" priority="7979" stopIfTrue="1" operator="equal">
      <formula>"Napkin Hs"</formula>
    </cfRule>
  </conditionalFormatting>
  <conditionalFormatting sqref="C69">
    <cfRule type="cellIs" dxfId="135" priority="7913" stopIfTrue="1" operator="equal">
      <formula>"Napkin Hs"</formula>
    </cfRule>
  </conditionalFormatting>
  <conditionalFormatting sqref="C69">
    <cfRule type="cellIs" dxfId="134" priority="7883" stopIfTrue="1" operator="equal">
      <formula>"Napkin Hs"</formula>
    </cfRule>
  </conditionalFormatting>
  <conditionalFormatting sqref="C69">
    <cfRule type="cellIs" dxfId="133" priority="7871" stopIfTrue="1" operator="equal">
      <formula>"Napkin Hs"</formula>
    </cfRule>
  </conditionalFormatting>
  <conditionalFormatting sqref="C69">
    <cfRule type="cellIs" dxfId="132" priority="7859" stopIfTrue="1" operator="equal">
      <formula>"Napkin Hs"</formula>
    </cfRule>
  </conditionalFormatting>
  <conditionalFormatting sqref="C69">
    <cfRule type="cellIs" dxfId="131" priority="7823" stopIfTrue="1" operator="equal">
      <formula>"Napkin Hs"</formula>
    </cfRule>
  </conditionalFormatting>
  <conditionalFormatting sqref="C68">
    <cfRule type="cellIs" dxfId="130" priority="7809" stopIfTrue="1" operator="equal">
      <formula>"Napkin Hs"</formula>
    </cfRule>
  </conditionalFormatting>
  <conditionalFormatting sqref="C68">
    <cfRule type="cellIs" dxfId="129" priority="7743" stopIfTrue="1" operator="equal">
      <formula>"Napkin Hs"</formula>
    </cfRule>
  </conditionalFormatting>
  <conditionalFormatting sqref="C68">
    <cfRule type="cellIs" dxfId="128" priority="7713" stopIfTrue="1" operator="equal">
      <formula>"Napkin Hs"</formula>
    </cfRule>
  </conditionalFormatting>
  <conditionalFormatting sqref="C68">
    <cfRule type="cellIs" dxfId="127" priority="7701" stopIfTrue="1" operator="equal">
      <formula>"Napkin Hs"</formula>
    </cfRule>
  </conditionalFormatting>
  <conditionalFormatting sqref="C68">
    <cfRule type="cellIs" dxfId="126" priority="7689" stopIfTrue="1" operator="equal">
      <formula>"Napkin Hs"</formula>
    </cfRule>
  </conditionalFormatting>
  <conditionalFormatting sqref="C68">
    <cfRule type="cellIs" dxfId="125" priority="7653" stopIfTrue="1" operator="equal">
      <formula>"Napkin Hs"</formula>
    </cfRule>
  </conditionalFormatting>
  <conditionalFormatting sqref="C68:C69">
    <cfRule type="cellIs" dxfId="124" priority="7585" stopIfTrue="1" operator="equal">
      <formula>"Napkin Hs"</formula>
    </cfRule>
  </conditionalFormatting>
  <conditionalFormatting sqref="C68:C69">
    <cfRule type="cellIs" dxfId="123" priority="7519" stopIfTrue="1" operator="equal">
      <formula>"Napkin Hs"</formula>
    </cfRule>
  </conditionalFormatting>
  <conditionalFormatting sqref="C68:C69">
    <cfRule type="cellIs" dxfId="122" priority="7489" stopIfTrue="1" operator="equal">
      <formula>"Napkin Hs"</formula>
    </cfRule>
  </conditionalFormatting>
  <conditionalFormatting sqref="C68:C69">
    <cfRule type="cellIs" dxfId="121" priority="7477" stopIfTrue="1" operator="equal">
      <formula>"Napkin Hs"</formula>
    </cfRule>
  </conditionalFormatting>
  <conditionalFormatting sqref="C68:C69">
    <cfRule type="cellIs" dxfId="120" priority="7465" stopIfTrue="1" operator="equal">
      <formula>"Napkin Hs"</formula>
    </cfRule>
  </conditionalFormatting>
  <conditionalFormatting sqref="C68:C69">
    <cfRule type="cellIs" dxfId="119" priority="7429" stopIfTrue="1" operator="equal">
      <formula>"Napkin Hs"</formula>
    </cfRule>
  </conditionalFormatting>
  <conditionalFormatting sqref="C67">
    <cfRule type="cellIs" dxfId="118" priority="7295" stopIfTrue="1" operator="equal">
      <formula>"Napkin Hs"</formula>
    </cfRule>
  </conditionalFormatting>
  <conditionalFormatting sqref="C67">
    <cfRule type="cellIs" dxfId="117" priority="7229" stopIfTrue="1" operator="equal">
      <formula>"Napkin Hs"</formula>
    </cfRule>
  </conditionalFormatting>
  <conditionalFormatting sqref="C67">
    <cfRule type="cellIs" dxfId="116" priority="7199" stopIfTrue="1" operator="equal">
      <formula>"Napkin Hs"</formula>
    </cfRule>
  </conditionalFormatting>
  <conditionalFormatting sqref="C67">
    <cfRule type="cellIs" dxfId="115" priority="7187" stopIfTrue="1" operator="equal">
      <formula>"Napkin Hs"</formula>
    </cfRule>
  </conditionalFormatting>
  <conditionalFormatting sqref="C67">
    <cfRule type="cellIs" dxfId="114" priority="7175" stopIfTrue="1" operator="equal">
      <formula>"Napkin Hs"</formula>
    </cfRule>
  </conditionalFormatting>
  <conditionalFormatting sqref="C67">
    <cfRule type="cellIs" dxfId="113" priority="7139" stopIfTrue="1" operator="equal">
      <formula>"Napkin Hs"</formula>
    </cfRule>
  </conditionalFormatting>
  <conditionalFormatting sqref="C74">
    <cfRule type="cellIs" dxfId="112" priority="7079" stopIfTrue="1" operator="equal">
      <formula>"Napkin Hs"</formula>
    </cfRule>
  </conditionalFormatting>
  <conditionalFormatting sqref="C74">
    <cfRule type="cellIs" dxfId="111" priority="7031" stopIfTrue="1" operator="equal">
      <formula>"Napkin Hs"</formula>
    </cfRule>
  </conditionalFormatting>
  <conditionalFormatting sqref="C75">
    <cfRule type="cellIs" dxfId="110" priority="6977" stopIfTrue="1" operator="equal">
      <formula>"Napkin Hs"</formula>
    </cfRule>
  </conditionalFormatting>
  <conditionalFormatting sqref="C75">
    <cfRule type="cellIs" dxfId="109" priority="6971" stopIfTrue="1" operator="equal">
      <formula>"Napkin Hs"</formula>
    </cfRule>
  </conditionalFormatting>
  <conditionalFormatting sqref="C75">
    <cfRule type="cellIs" dxfId="108" priority="6905" stopIfTrue="1" operator="equal">
      <formula>"Napkin Hs"</formula>
    </cfRule>
  </conditionalFormatting>
  <conditionalFormatting sqref="C75">
    <cfRule type="cellIs" dxfId="107" priority="6875" stopIfTrue="1" operator="equal">
      <formula>"Napkin Hs"</formula>
    </cfRule>
  </conditionalFormatting>
  <conditionalFormatting sqref="C75">
    <cfRule type="cellIs" dxfId="106" priority="6863" stopIfTrue="1" operator="equal">
      <formula>"Napkin Hs"</formula>
    </cfRule>
  </conditionalFormatting>
  <conditionalFormatting sqref="C75">
    <cfRule type="cellIs" dxfId="105" priority="6851" stopIfTrue="1" operator="equal">
      <formula>"Napkin Hs"</formula>
    </cfRule>
  </conditionalFormatting>
  <conditionalFormatting sqref="C75">
    <cfRule type="cellIs" dxfId="104" priority="6815" stopIfTrue="1" operator="equal">
      <formula>"Napkin Hs"</formula>
    </cfRule>
  </conditionalFormatting>
  <conditionalFormatting sqref="C74">
    <cfRule type="cellIs" dxfId="103" priority="6801" stopIfTrue="1" operator="equal">
      <formula>"Napkin Hs"</formula>
    </cfRule>
  </conditionalFormatting>
  <conditionalFormatting sqref="C74">
    <cfRule type="cellIs" dxfId="102" priority="6735" stopIfTrue="1" operator="equal">
      <formula>"Napkin Hs"</formula>
    </cfRule>
  </conditionalFormatting>
  <conditionalFormatting sqref="C74">
    <cfRule type="cellIs" dxfId="101" priority="6705" stopIfTrue="1" operator="equal">
      <formula>"Napkin Hs"</formula>
    </cfRule>
  </conditionalFormatting>
  <conditionalFormatting sqref="C74">
    <cfRule type="cellIs" dxfId="100" priority="6693" stopIfTrue="1" operator="equal">
      <formula>"Napkin Hs"</formula>
    </cfRule>
  </conditionalFormatting>
  <conditionalFormatting sqref="C74">
    <cfRule type="cellIs" dxfId="99" priority="6681" stopIfTrue="1" operator="equal">
      <formula>"Napkin Hs"</formula>
    </cfRule>
  </conditionalFormatting>
  <conditionalFormatting sqref="C74">
    <cfRule type="cellIs" dxfId="98" priority="6645" stopIfTrue="1" operator="equal">
      <formula>"Napkin Hs"</formula>
    </cfRule>
  </conditionalFormatting>
  <conditionalFormatting sqref="C74:C75">
    <cfRule type="cellIs" dxfId="97" priority="6577" stopIfTrue="1" operator="equal">
      <formula>"Napkin Hs"</formula>
    </cfRule>
  </conditionalFormatting>
  <conditionalFormatting sqref="C74:C75">
    <cfRule type="cellIs" dxfId="96" priority="6511" stopIfTrue="1" operator="equal">
      <formula>"Napkin Hs"</formula>
    </cfRule>
  </conditionalFormatting>
  <conditionalFormatting sqref="C74:C75">
    <cfRule type="cellIs" dxfId="95" priority="6481" stopIfTrue="1" operator="equal">
      <formula>"Napkin Hs"</formula>
    </cfRule>
  </conditionalFormatting>
  <conditionalFormatting sqref="C74:C75">
    <cfRule type="cellIs" dxfId="94" priority="6469" stopIfTrue="1" operator="equal">
      <formula>"Napkin Hs"</formula>
    </cfRule>
  </conditionalFormatting>
  <conditionalFormatting sqref="C74:C75">
    <cfRule type="cellIs" dxfId="93" priority="6457" stopIfTrue="1" operator="equal">
      <formula>"Napkin Hs"</formula>
    </cfRule>
  </conditionalFormatting>
  <conditionalFormatting sqref="C74:C75">
    <cfRule type="cellIs" dxfId="92" priority="6421" stopIfTrue="1" operator="equal">
      <formula>"Napkin Hs"</formula>
    </cfRule>
  </conditionalFormatting>
  <conditionalFormatting sqref="C73">
    <cfRule type="cellIs" dxfId="91" priority="6287" stopIfTrue="1" operator="equal">
      <formula>"Napkin Hs"</formula>
    </cfRule>
  </conditionalFormatting>
  <conditionalFormatting sqref="C73">
    <cfRule type="cellIs" dxfId="90" priority="6221" stopIfTrue="1" operator="equal">
      <formula>"Napkin Hs"</formula>
    </cfRule>
  </conditionalFormatting>
  <conditionalFormatting sqref="C73">
    <cfRule type="cellIs" dxfId="89" priority="6191" stopIfTrue="1" operator="equal">
      <formula>"Napkin Hs"</formula>
    </cfRule>
  </conditionalFormatting>
  <conditionalFormatting sqref="C73">
    <cfRule type="cellIs" dxfId="88" priority="6179" stopIfTrue="1" operator="equal">
      <formula>"Napkin Hs"</formula>
    </cfRule>
  </conditionalFormatting>
  <conditionalFormatting sqref="C73">
    <cfRule type="cellIs" dxfId="87" priority="6167" stopIfTrue="1" operator="equal">
      <formula>"Napkin Hs"</formula>
    </cfRule>
  </conditionalFormatting>
  <conditionalFormatting sqref="C73">
    <cfRule type="cellIs" dxfId="86" priority="6131" stopIfTrue="1" operator="equal">
      <formula>"Napkin Hs"</formula>
    </cfRule>
  </conditionalFormatting>
  <conditionalFormatting sqref="C82">
    <cfRule type="cellIs" dxfId="85" priority="6071" stopIfTrue="1" operator="equal">
      <formula>"Napkin Hs"</formula>
    </cfRule>
  </conditionalFormatting>
  <conditionalFormatting sqref="C78">
    <cfRule type="cellIs" dxfId="84" priority="5985" stopIfTrue="1" operator="equal">
      <formula>"Napkin Hs"</formula>
    </cfRule>
  </conditionalFormatting>
  <conditionalFormatting sqref="C78">
    <cfRule type="cellIs" dxfId="83" priority="5937" stopIfTrue="1" operator="equal">
      <formula>"Napkin Hs"</formula>
    </cfRule>
  </conditionalFormatting>
  <conditionalFormatting sqref="C79">
    <cfRule type="cellIs" dxfId="82" priority="5883" stopIfTrue="1" operator="equal">
      <formula>"Napkin Hs"</formula>
    </cfRule>
  </conditionalFormatting>
  <conditionalFormatting sqref="C79">
    <cfRule type="cellIs" dxfId="81" priority="5877" stopIfTrue="1" operator="equal">
      <formula>"Napkin Hs"</formula>
    </cfRule>
  </conditionalFormatting>
  <conditionalFormatting sqref="C79">
    <cfRule type="cellIs" dxfId="80" priority="5811" stopIfTrue="1" operator="equal">
      <formula>"Napkin Hs"</formula>
    </cfRule>
  </conditionalFormatting>
  <conditionalFormatting sqref="C79">
    <cfRule type="cellIs" dxfId="79" priority="5781" stopIfTrue="1" operator="equal">
      <formula>"Napkin Hs"</formula>
    </cfRule>
  </conditionalFormatting>
  <conditionalFormatting sqref="C79">
    <cfRule type="cellIs" dxfId="78" priority="5769" stopIfTrue="1" operator="equal">
      <formula>"Napkin Hs"</formula>
    </cfRule>
  </conditionalFormatting>
  <conditionalFormatting sqref="C79">
    <cfRule type="cellIs" dxfId="77" priority="5757" stopIfTrue="1" operator="equal">
      <formula>"Napkin Hs"</formula>
    </cfRule>
  </conditionalFormatting>
  <conditionalFormatting sqref="C79">
    <cfRule type="cellIs" dxfId="76" priority="5721" stopIfTrue="1" operator="equal">
      <formula>"Napkin Hs"</formula>
    </cfRule>
  </conditionalFormatting>
  <conditionalFormatting sqref="C78">
    <cfRule type="cellIs" dxfId="75" priority="5707" stopIfTrue="1" operator="equal">
      <formula>"Napkin Hs"</formula>
    </cfRule>
  </conditionalFormatting>
  <conditionalFormatting sqref="C78">
    <cfRule type="cellIs" dxfId="74" priority="5641" stopIfTrue="1" operator="equal">
      <formula>"Napkin Hs"</formula>
    </cfRule>
  </conditionalFormatting>
  <conditionalFormatting sqref="C78">
    <cfRule type="cellIs" dxfId="73" priority="5611" stopIfTrue="1" operator="equal">
      <formula>"Napkin Hs"</formula>
    </cfRule>
  </conditionalFormatting>
  <conditionalFormatting sqref="C78">
    <cfRule type="cellIs" dxfId="72" priority="5599" stopIfTrue="1" operator="equal">
      <formula>"Napkin Hs"</formula>
    </cfRule>
  </conditionalFormatting>
  <conditionalFormatting sqref="C78">
    <cfRule type="cellIs" dxfId="71" priority="5587" stopIfTrue="1" operator="equal">
      <formula>"Napkin Hs"</formula>
    </cfRule>
  </conditionalFormatting>
  <conditionalFormatting sqref="C78">
    <cfRule type="cellIs" dxfId="70" priority="5551" stopIfTrue="1" operator="equal">
      <formula>"Napkin Hs"</formula>
    </cfRule>
  </conditionalFormatting>
  <conditionalFormatting sqref="C78:C79">
    <cfRule type="cellIs" dxfId="69" priority="5483" stopIfTrue="1" operator="equal">
      <formula>"Napkin Hs"</formula>
    </cfRule>
  </conditionalFormatting>
  <conditionalFormatting sqref="C78:C79">
    <cfRule type="cellIs" dxfId="68" priority="5417" stopIfTrue="1" operator="equal">
      <formula>"Napkin Hs"</formula>
    </cfRule>
  </conditionalFormatting>
  <conditionalFormatting sqref="C78:C79">
    <cfRule type="cellIs" dxfId="67" priority="5387" stopIfTrue="1" operator="equal">
      <formula>"Napkin Hs"</formula>
    </cfRule>
  </conditionalFormatting>
  <conditionalFormatting sqref="C78:C79">
    <cfRule type="cellIs" dxfId="66" priority="5375" stopIfTrue="1" operator="equal">
      <formula>"Napkin Hs"</formula>
    </cfRule>
  </conditionalFormatting>
  <conditionalFormatting sqref="C78:C79">
    <cfRule type="cellIs" dxfId="65" priority="5363" stopIfTrue="1" operator="equal">
      <formula>"Napkin Hs"</formula>
    </cfRule>
  </conditionalFormatting>
  <conditionalFormatting sqref="C78:C79">
    <cfRule type="cellIs" dxfId="64" priority="5327" stopIfTrue="1" operator="equal">
      <formula>"Napkin Hs"</formula>
    </cfRule>
  </conditionalFormatting>
  <conditionalFormatting sqref="C77">
    <cfRule type="cellIs" dxfId="63" priority="5193" stopIfTrue="1" operator="equal">
      <formula>"Napkin Hs"</formula>
    </cfRule>
  </conditionalFormatting>
  <conditionalFormatting sqref="C77">
    <cfRule type="cellIs" dxfId="62" priority="5127" stopIfTrue="1" operator="equal">
      <formula>"Napkin Hs"</formula>
    </cfRule>
  </conditionalFormatting>
  <conditionalFormatting sqref="C77">
    <cfRule type="cellIs" dxfId="61" priority="5097" stopIfTrue="1" operator="equal">
      <formula>"Napkin Hs"</formula>
    </cfRule>
  </conditionalFormatting>
  <conditionalFormatting sqref="C77">
    <cfRule type="cellIs" dxfId="60" priority="5085" stopIfTrue="1" operator="equal">
      <formula>"Napkin Hs"</formula>
    </cfRule>
  </conditionalFormatting>
  <conditionalFormatting sqref="C77">
    <cfRule type="cellIs" dxfId="59" priority="5073" stopIfTrue="1" operator="equal">
      <formula>"Napkin Hs"</formula>
    </cfRule>
  </conditionalFormatting>
  <conditionalFormatting sqref="C77">
    <cfRule type="cellIs" dxfId="58" priority="5037" stopIfTrue="1" operator="equal">
      <formula>"Napkin Hs"</formula>
    </cfRule>
  </conditionalFormatting>
  <conditionalFormatting sqref="C91">
    <cfRule type="cellIs" dxfId="57" priority="3673" stopIfTrue="1" operator="equal">
      <formula>"Napkin Hs"</formula>
    </cfRule>
  </conditionalFormatting>
  <conditionalFormatting sqref="C88">
    <cfRule type="cellIs" dxfId="56" priority="3523" stopIfTrue="1" operator="equal">
      <formula>"Napkin Hs"</formula>
    </cfRule>
  </conditionalFormatting>
  <conditionalFormatting sqref="C88">
    <cfRule type="cellIs" dxfId="55" priority="3517" stopIfTrue="1" operator="equal">
      <formula>"Napkin Hs"</formula>
    </cfRule>
  </conditionalFormatting>
  <conditionalFormatting sqref="C88">
    <cfRule type="cellIs" dxfId="54" priority="3451" stopIfTrue="1" operator="equal">
      <formula>"Napkin Hs"</formula>
    </cfRule>
  </conditionalFormatting>
  <conditionalFormatting sqref="C88">
    <cfRule type="cellIs" dxfId="53" priority="3421" stopIfTrue="1" operator="equal">
      <formula>"Napkin Hs"</formula>
    </cfRule>
  </conditionalFormatting>
  <conditionalFormatting sqref="C88">
    <cfRule type="cellIs" dxfId="52" priority="3409" stopIfTrue="1" operator="equal">
      <formula>"Napkin Hs"</formula>
    </cfRule>
  </conditionalFormatting>
  <conditionalFormatting sqref="C88">
    <cfRule type="cellIs" dxfId="51" priority="3397" stopIfTrue="1" operator="equal">
      <formula>"Napkin Hs"</formula>
    </cfRule>
  </conditionalFormatting>
  <conditionalFormatting sqref="C88">
    <cfRule type="cellIs" dxfId="50" priority="3361" stopIfTrue="1" operator="equal">
      <formula>"Napkin Hs"</formula>
    </cfRule>
  </conditionalFormatting>
  <conditionalFormatting sqref="C88">
    <cfRule type="cellIs" dxfId="49" priority="3347" stopIfTrue="1" operator="equal">
      <formula>"Napkin Hs"</formula>
    </cfRule>
  </conditionalFormatting>
  <conditionalFormatting sqref="C88">
    <cfRule type="cellIs" dxfId="48" priority="3281" stopIfTrue="1" operator="equal">
      <formula>"Napkin Hs"</formula>
    </cfRule>
  </conditionalFormatting>
  <conditionalFormatting sqref="C88">
    <cfRule type="cellIs" dxfId="47" priority="3251" stopIfTrue="1" operator="equal">
      <formula>"Napkin Hs"</formula>
    </cfRule>
  </conditionalFormatting>
  <conditionalFormatting sqref="C88">
    <cfRule type="cellIs" dxfId="46" priority="3239" stopIfTrue="1" operator="equal">
      <formula>"Napkin Hs"</formula>
    </cfRule>
  </conditionalFormatting>
  <conditionalFormatting sqref="C88">
    <cfRule type="cellIs" dxfId="45" priority="3227" stopIfTrue="1" operator="equal">
      <formula>"Napkin Hs"</formula>
    </cfRule>
  </conditionalFormatting>
  <conditionalFormatting sqref="C88">
    <cfRule type="cellIs" dxfId="44" priority="3191" stopIfTrue="1" operator="equal">
      <formula>"Napkin Hs"</formula>
    </cfRule>
  </conditionalFormatting>
  <conditionalFormatting sqref="C86">
    <cfRule type="cellIs" dxfId="43" priority="2987" stopIfTrue="1" operator="equal">
      <formula>"Napkin Hs"</formula>
    </cfRule>
  </conditionalFormatting>
  <conditionalFormatting sqref="C86">
    <cfRule type="cellIs" dxfId="42" priority="2921" stopIfTrue="1" operator="equal">
      <formula>"Napkin Hs"</formula>
    </cfRule>
  </conditionalFormatting>
  <conditionalFormatting sqref="C86">
    <cfRule type="cellIs" dxfId="41" priority="2891" stopIfTrue="1" operator="equal">
      <formula>"Napkin Hs"</formula>
    </cfRule>
  </conditionalFormatting>
  <conditionalFormatting sqref="C86">
    <cfRule type="cellIs" dxfId="40" priority="2879" stopIfTrue="1" operator="equal">
      <formula>"Napkin Hs"</formula>
    </cfRule>
  </conditionalFormatting>
  <conditionalFormatting sqref="C86">
    <cfRule type="cellIs" dxfId="39" priority="2867" stopIfTrue="1" operator="equal">
      <formula>"Napkin Hs"</formula>
    </cfRule>
  </conditionalFormatting>
  <conditionalFormatting sqref="C86">
    <cfRule type="cellIs" dxfId="38" priority="2831" stopIfTrue="1" operator="equal">
      <formula>"Napkin Hs"</formula>
    </cfRule>
  </conditionalFormatting>
  <conditionalFormatting sqref="C87">
    <cfRule type="cellIs" dxfId="37" priority="2627" stopIfTrue="1" operator="equal">
      <formula>"Napkin Hs"</formula>
    </cfRule>
  </conditionalFormatting>
  <conditionalFormatting sqref="C87">
    <cfRule type="cellIs" dxfId="36" priority="2561" stopIfTrue="1" operator="equal">
      <formula>"Napkin Hs"</formula>
    </cfRule>
  </conditionalFormatting>
  <conditionalFormatting sqref="C87">
    <cfRule type="cellIs" dxfId="35" priority="2531" stopIfTrue="1" operator="equal">
      <formula>"Napkin Hs"</formula>
    </cfRule>
  </conditionalFormatting>
  <conditionalFormatting sqref="C87">
    <cfRule type="cellIs" dxfId="34" priority="2519" stopIfTrue="1" operator="equal">
      <formula>"Napkin Hs"</formula>
    </cfRule>
  </conditionalFormatting>
  <conditionalFormatting sqref="C87">
    <cfRule type="cellIs" dxfId="33" priority="2507" stopIfTrue="1" operator="equal">
      <formula>"Napkin Hs"</formula>
    </cfRule>
  </conditionalFormatting>
  <conditionalFormatting sqref="C87">
    <cfRule type="cellIs" dxfId="32" priority="2471" stopIfTrue="1" operator="equal">
      <formula>"Napkin Hs"</formula>
    </cfRule>
  </conditionalFormatting>
  <conditionalFormatting sqref="C123">
    <cfRule type="cellIs" dxfId="31" priority="2147" stopIfTrue="1" operator="equal">
      <formula>"Napkin Hs"</formula>
    </cfRule>
  </conditionalFormatting>
  <conditionalFormatting sqref="C128:C129">
    <cfRule type="cellIs" dxfId="30" priority="2043" stopIfTrue="1" operator="equal">
      <formula>"Napkin Hs"</formula>
    </cfRule>
  </conditionalFormatting>
  <conditionalFormatting sqref="C137">
    <cfRule type="cellIs" dxfId="29" priority="1869" stopIfTrue="1" operator="equal">
      <formula>"Napkin Hs"</formula>
    </cfRule>
  </conditionalFormatting>
  <conditionalFormatting sqref="C136">
    <cfRule type="cellIs" dxfId="28" priority="1767" stopIfTrue="1" operator="equal">
      <formula>"Napkin Hs"</formula>
    </cfRule>
  </conditionalFormatting>
  <conditionalFormatting sqref="C133">
    <cfRule type="cellIs" dxfId="27" priority="1737" stopIfTrue="1" operator="equal">
      <formula>"Napkin Hs"</formula>
    </cfRule>
  </conditionalFormatting>
  <conditionalFormatting sqref="C132">
    <cfRule type="cellIs" dxfId="26" priority="1707" stopIfTrue="1" operator="equal">
      <formula>"Napkin Hs"</formula>
    </cfRule>
  </conditionalFormatting>
  <conditionalFormatting sqref="C144">
    <cfRule type="cellIs" dxfId="25" priority="831" stopIfTrue="1" operator="equal">
      <formula>"Napkin Hs"</formula>
    </cfRule>
  </conditionalFormatting>
  <conditionalFormatting sqref="C144">
    <cfRule type="cellIs" dxfId="24" priority="829" stopIfTrue="1" operator="equal">
      <formula>"Napkin Hs"</formula>
    </cfRule>
  </conditionalFormatting>
  <conditionalFormatting sqref="C156">
    <cfRule type="cellIs" dxfId="23" priority="119" stopIfTrue="1" operator="equal">
      <formula>"Napkin Hs"</formula>
    </cfRule>
    <cfRule type="cellIs" dxfId="22" priority="121" stopIfTrue="1" operator="equal">
      <formula>"Napkin Hs"</formula>
    </cfRule>
  </conditionalFormatting>
  <conditionalFormatting sqref="C152:C154">
    <cfRule type="cellIs" dxfId="21" priority="156" stopIfTrue="1" operator="equal">
      <formula>"Napkin Hs"</formula>
    </cfRule>
    <cfRule type="cellIs" dxfId="20" priority="158" stopIfTrue="1" operator="equal">
      <formula>"Napkin Hs"</formula>
    </cfRule>
  </conditionalFormatting>
  <pageMargins left="0.11811023622047245" right="0.11811023622047245" top="0.98425196850393704" bottom="0.98425196850393704" header="0.51181102362204722" footer="0.51181102362204722"/>
  <pageSetup scale="5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XFA45"/>
  <sheetViews>
    <sheetView zoomScale="85" workbookViewId="0">
      <pane xSplit="5" ySplit="8" topLeftCell="IS9" activePane="bottomRight" state="frozen"/>
      <selection activeCell="DM11" sqref="A4:DM11"/>
      <selection pane="topRight" activeCell="DM11" sqref="A4:DM11"/>
      <selection pane="bottomLeft" activeCell="DM11" sqref="A4:DM11"/>
      <selection pane="bottomRight" activeCell="D18" sqref="D18"/>
    </sheetView>
  </sheetViews>
  <sheetFormatPr defaultColWidth="10.42578125" defaultRowHeight="15" customHeight="1"/>
  <cols>
    <col min="1" max="1" width="8.140625" style="262" customWidth="1"/>
    <col min="2" max="2" width="13.5703125" style="262" customWidth="1"/>
    <col min="3" max="3" width="12.5703125" style="263" customWidth="1"/>
    <col min="4" max="4" width="11.140625" style="263" customWidth="1"/>
    <col min="5" max="5" width="11" style="264" customWidth="1"/>
    <col min="6" max="17" width="12.42578125" style="539" customWidth="1"/>
    <col min="18" max="20" width="12.42578125" style="539" hidden="1" customWidth="1"/>
    <col min="21" max="23" width="12.42578125" style="539" customWidth="1"/>
    <col min="24" max="32" width="12.42578125" style="539" hidden="1" customWidth="1"/>
    <col min="33" max="41" width="12.42578125" style="539" customWidth="1"/>
    <col min="42" max="47" width="12.42578125" style="539" hidden="1" customWidth="1"/>
    <col min="48" max="86" width="12.42578125" style="539" customWidth="1"/>
    <col min="87" max="104" width="12.42578125" style="539" hidden="1" customWidth="1"/>
    <col min="105" max="107" width="12.42578125" style="539" customWidth="1"/>
    <col min="108" max="128" width="12.42578125" style="539" hidden="1" customWidth="1"/>
    <col min="129" max="140" width="12.42578125" style="539" customWidth="1"/>
    <col min="141" max="188" width="12.42578125" style="539" hidden="1" customWidth="1"/>
    <col min="189" max="206" width="12.42578125" style="539" customWidth="1"/>
    <col min="207" max="221" width="12.42578125" style="539" hidden="1" customWidth="1"/>
    <col min="222" max="224" width="12.42578125" style="539" customWidth="1"/>
    <col min="225" max="227" width="12.42578125" style="539" hidden="1" customWidth="1"/>
    <col min="228" max="242" width="12.42578125" style="539" customWidth="1"/>
    <col min="243" max="248" width="12.42578125" style="539" hidden="1" customWidth="1"/>
    <col min="249" max="254" width="12.42578125" style="539" customWidth="1"/>
    <col min="255" max="257" width="12.42578125" style="539" hidden="1" customWidth="1"/>
    <col min="258" max="260" width="12.42578125" style="539" customWidth="1"/>
    <col min="261" max="266" width="12.42578125" style="539" hidden="1" customWidth="1"/>
    <col min="267" max="269" width="9.28515625" style="539" customWidth="1"/>
    <col min="270" max="281" width="12.28515625" style="539" customWidth="1"/>
    <col min="282" max="284" width="5.5703125" style="539" customWidth="1"/>
    <col min="285" max="300" width="5.5703125" style="539" hidden="1" customWidth="1"/>
    <col min="301" max="301" width="8.7109375" style="539" hidden="1" customWidth="1"/>
    <col min="302" max="302" width="7.7109375" style="539" hidden="1" customWidth="1"/>
    <col min="303" max="303" width="21" style="539" bestFit="1" customWidth="1"/>
    <col min="304" max="304" width="19.85546875" style="539" bestFit="1" customWidth="1"/>
    <col min="305" max="16384" width="10.42578125" style="262"/>
  </cols>
  <sheetData>
    <row r="1" spans="1:305" ht="15" customHeight="1">
      <c r="A1" s="258"/>
      <c r="B1" s="259"/>
      <c r="C1" s="260"/>
      <c r="D1" s="260"/>
      <c r="E1" s="261"/>
    </row>
    <row r="2" spans="1:305" ht="15" customHeight="1">
      <c r="A2" s="258"/>
    </row>
    <row r="3" spans="1:305" ht="15" customHeight="1">
      <c r="A3" s="266"/>
    </row>
    <row r="4" spans="1:305" ht="15" customHeight="1">
      <c r="A4" s="508" t="s">
        <v>366</v>
      </c>
    </row>
    <row r="5" spans="1:305" ht="15" customHeight="1" thickBot="1">
      <c r="F5" s="729" t="s">
        <v>307</v>
      </c>
      <c r="G5" s="730"/>
      <c r="H5" s="730"/>
      <c r="I5" s="730"/>
      <c r="J5" s="730"/>
      <c r="K5" s="730"/>
      <c r="L5" s="730"/>
      <c r="M5" s="730"/>
      <c r="N5" s="730"/>
      <c r="O5" s="730"/>
      <c r="P5" s="730"/>
      <c r="Q5" s="730"/>
      <c r="R5" s="730"/>
      <c r="S5" s="730"/>
      <c r="T5" s="730"/>
      <c r="U5" s="730"/>
      <c r="V5" s="730"/>
      <c r="W5" s="730"/>
      <c r="X5" s="730"/>
      <c r="Y5" s="730"/>
      <c r="Z5" s="730"/>
      <c r="AA5" s="730"/>
      <c r="AB5" s="730"/>
      <c r="AC5" s="730"/>
      <c r="AD5" s="730"/>
      <c r="AE5" s="730"/>
      <c r="AF5" s="730"/>
      <c r="AG5" s="730"/>
      <c r="AH5" s="730"/>
      <c r="AI5" s="730"/>
      <c r="AJ5" s="730"/>
      <c r="AK5" s="730"/>
      <c r="AL5" s="730"/>
      <c r="AM5" s="730"/>
      <c r="AN5" s="730"/>
      <c r="AO5" s="730"/>
      <c r="AP5" s="730"/>
      <c r="AQ5" s="730"/>
      <c r="AR5" s="730"/>
      <c r="AS5" s="730"/>
      <c r="AT5" s="730"/>
      <c r="AU5" s="730"/>
      <c r="AV5" s="730"/>
      <c r="AW5" s="730"/>
      <c r="AX5" s="730"/>
      <c r="AY5" s="730"/>
      <c r="AZ5" s="730"/>
      <c r="BA5" s="730"/>
      <c r="BB5" s="730"/>
      <c r="BC5" s="730"/>
      <c r="BD5" s="730"/>
      <c r="BE5" s="730"/>
      <c r="BF5" s="730"/>
      <c r="BG5" s="730"/>
      <c r="BH5" s="730"/>
      <c r="BI5" s="730"/>
      <c r="BJ5" s="730"/>
      <c r="BK5" s="730"/>
      <c r="BL5" s="730"/>
      <c r="BM5" s="730"/>
      <c r="BN5" s="730"/>
      <c r="BO5" s="730"/>
      <c r="BP5" s="730"/>
      <c r="BQ5" s="730"/>
      <c r="BR5" s="730"/>
      <c r="BS5" s="730"/>
      <c r="BT5" s="730"/>
      <c r="BU5" s="730"/>
      <c r="BV5" s="730"/>
      <c r="BW5" s="730"/>
      <c r="BX5" s="730"/>
      <c r="BY5" s="730"/>
      <c r="BZ5" s="730"/>
      <c r="CA5" s="730"/>
      <c r="CB5" s="730"/>
      <c r="CC5" s="730"/>
      <c r="CD5" s="730"/>
      <c r="CE5" s="730"/>
      <c r="CF5" s="730"/>
      <c r="CG5" s="730"/>
      <c r="CH5" s="730"/>
      <c r="CI5" s="730"/>
      <c r="CJ5" s="730"/>
      <c r="CK5" s="730"/>
      <c r="CL5" s="730"/>
      <c r="CM5" s="730"/>
      <c r="CN5" s="730"/>
      <c r="CO5" s="730"/>
      <c r="CP5" s="730"/>
      <c r="CQ5" s="730"/>
      <c r="CR5" s="730"/>
      <c r="CS5" s="730"/>
      <c r="CT5" s="730"/>
      <c r="CU5" s="730"/>
      <c r="CV5" s="730"/>
      <c r="CW5" s="730"/>
      <c r="CX5" s="730"/>
      <c r="CY5" s="730"/>
      <c r="CZ5" s="730"/>
      <c r="DA5" s="730"/>
      <c r="DB5" s="730"/>
      <c r="DC5" s="730"/>
      <c r="DD5" s="730"/>
      <c r="DE5" s="730"/>
      <c r="DF5" s="730"/>
      <c r="DG5" s="730"/>
      <c r="DH5" s="730"/>
      <c r="DI5" s="730"/>
      <c r="DJ5" s="730"/>
      <c r="DK5" s="730"/>
      <c r="DL5" s="730"/>
      <c r="DM5" s="730"/>
      <c r="DN5" s="730"/>
      <c r="DO5" s="730"/>
      <c r="DP5" s="730"/>
      <c r="DQ5" s="730"/>
      <c r="DR5" s="730"/>
      <c r="DS5" s="730"/>
      <c r="DT5" s="730"/>
      <c r="DU5" s="730"/>
      <c r="DV5" s="730"/>
      <c r="DW5" s="730"/>
      <c r="DX5" s="730"/>
      <c r="DY5" s="730"/>
      <c r="DZ5" s="730"/>
      <c r="EA5" s="730"/>
      <c r="EB5" s="730"/>
      <c r="EC5" s="730"/>
      <c r="ED5" s="730"/>
      <c r="EE5" s="730"/>
      <c r="EF5" s="730"/>
      <c r="EG5" s="730"/>
      <c r="EH5" s="730"/>
      <c r="EI5" s="730"/>
      <c r="EJ5" s="730"/>
      <c r="EK5" s="730"/>
      <c r="EL5" s="730"/>
      <c r="EM5" s="730"/>
      <c r="EN5" s="730"/>
      <c r="EO5" s="730"/>
      <c r="EP5" s="730"/>
      <c r="EQ5" s="730"/>
      <c r="ER5" s="730"/>
      <c r="ES5" s="730"/>
      <c r="ET5" s="730"/>
      <c r="EU5" s="730"/>
      <c r="EV5" s="730"/>
      <c r="EW5" s="730"/>
      <c r="EX5" s="730"/>
      <c r="EY5" s="730"/>
      <c r="EZ5" s="730"/>
      <c r="FA5" s="730"/>
      <c r="FB5" s="730"/>
      <c r="FC5" s="730"/>
      <c r="FD5" s="730"/>
      <c r="FE5" s="730"/>
      <c r="FF5" s="730"/>
      <c r="FG5" s="730"/>
      <c r="FH5" s="730"/>
      <c r="FI5" s="730"/>
      <c r="FJ5" s="730"/>
      <c r="FK5" s="730"/>
      <c r="FL5" s="730"/>
      <c r="FM5" s="730"/>
      <c r="FN5" s="730"/>
      <c r="FO5" s="730"/>
      <c r="FP5" s="730"/>
      <c r="FQ5" s="730"/>
      <c r="FR5" s="730"/>
      <c r="FS5" s="730"/>
      <c r="FT5" s="730"/>
      <c r="FU5" s="730"/>
      <c r="FV5" s="730"/>
      <c r="FW5" s="730"/>
      <c r="FX5" s="730"/>
      <c r="FY5" s="730"/>
      <c r="FZ5" s="730"/>
      <c r="GA5" s="730"/>
      <c r="GB5" s="730"/>
      <c r="GC5" s="731"/>
      <c r="GD5" s="729" t="s">
        <v>308</v>
      </c>
      <c r="GE5" s="730"/>
      <c r="GF5" s="730"/>
      <c r="GG5" s="730"/>
      <c r="GH5" s="730"/>
      <c r="GI5" s="730"/>
      <c r="GJ5" s="730"/>
      <c r="GK5" s="730"/>
      <c r="GL5" s="730"/>
      <c r="GM5" s="730"/>
      <c r="GN5" s="730"/>
      <c r="GO5" s="730"/>
      <c r="GP5" s="730"/>
      <c r="GQ5" s="730"/>
      <c r="GR5" s="730"/>
      <c r="GS5" s="730"/>
      <c r="GT5" s="730"/>
      <c r="GU5" s="730"/>
      <c r="GV5" s="730"/>
      <c r="GW5" s="730"/>
      <c r="GX5" s="730"/>
      <c r="GY5" s="730"/>
      <c r="GZ5" s="730"/>
      <c r="HA5" s="730"/>
      <c r="HB5" s="730"/>
      <c r="HC5" s="730"/>
      <c r="HD5" s="730"/>
      <c r="HE5" s="730"/>
      <c r="HF5" s="730"/>
      <c r="HG5" s="730"/>
      <c r="HH5" s="730"/>
      <c r="HI5" s="730"/>
      <c r="HJ5" s="730"/>
      <c r="HK5" s="730"/>
      <c r="HL5" s="730"/>
      <c r="HM5" s="730"/>
      <c r="HN5" s="730"/>
      <c r="HO5" s="730"/>
      <c r="HP5" s="730"/>
      <c r="HQ5" s="730"/>
      <c r="HR5" s="730"/>
      <c r="HS5" s="730"/>
      <c r="HT5" s="730"/>
      <c r="HU5" s="730"/>
      <c r="HV5" s="730"/>
      <c r="HW5" s="730"/>
      <c r="HX5" s="730"/>
      <c r="HY5" s="730"/>
      <c r="HZ5" s="730"/>
      <c r="IA5" s="730"/>
      <c r="IB5" s="730"/>
      <c r="IC5" s="730"/>
      <c r="ID5" s="730"/>
      <c r="IE5" s="730"/>
      <c r="IF5" s="730"/>
      <c r="IG5" s="730"/>
      <c r="IH5" s="730"/>
      <c r="II5" s="730"/>
      <c r="IJ5" s="730"/>
      <c r="IK5" s="730"/>
      <c r="IL5" s="730"/>
      <c r="IM5" s="730"/>
      <c r="IN5" s="730"/>
      <c r="IO5" s="730"/>
      <c r="IP5" s="730"/>
      <c r="IQ5" s="730"/>
      <c r="IR5" s="730"/>
      <c r="IS5" s="730"/>
      <c r="IT5" s="730"/>
      <c r="IU5" s="730"/>
      <c r="IV5" s="730"/>
      <c r="IW5" s="730"/>
      <c r="IX5" s="730"/>
      <c r="IY5" s="730"/>
      <c r="IZ5" s="730"/>
      <c r="JA5" s="730"/>
      <c r="JB5" s="730"/>
      <c r="JC5" s="730"/>
      <c r="JD5" s="730"/>
      <c r="JE5" s="730"/>
      <c r="JF5" s="730"/>
      <c r="JG5" s="730"/>
      <c r="JH5" s="730"/>
      <c r="JI5" s="730"/>
      <c r="JJ5" s="730"/>
      <c r="JK5" s="730"/>
      <c r="JL5" s="730"/>
      <c r="JM5" s="730"/>
      <c r="JN5" s="730"/>
      <c r="JO5" s="730"/>
      <c r="JP5" s="730"/>
      <c r="JQ5" s="730"/>
      <c r="JR5" s="730"/>
      <c r="JS5" s="730"/>
      <c r="JT5" s="730"/>
      <c r="JU5" s="730"/>
      <c r="JV5" s="730"/>
      <c r="JW5" s="730"/>
      <c r="JX5" s="730"/>
      <c r="JY5" s="730"/>
      <c r="JZ5" s="730"/>
      <c r="KA5" s="730"/>
      <c r="KB5" s="730"/>
      <c r="KC5" s="730"/>
      <c r="KD5" s="730"/>
      <c r="KE5" s="730"/>
      <c r="KF5" s="730"/>
      <c r="KG5" s="730"/>
      <c r="KH5" s="730"/>
      <c r="KI5" s="730"/>
      <c r="KJ5" s="730"/>
      <c r="KK5" s="730"/>
      <c r="KL5" s="730"/>
      <c r="KM5" s="730"/>
      <c r="KN5" s="730"/>
      <c r="KO5" s="730"/>
      <c r="KP5" s="731"/>
      <c r="KQ5" s="732" t="s">
        <v>309</v>
      </c>
      <c r="KR5" s="732" t="s">
        <v>308</v>
      </c>
    </row>
    <row r="6" spans="1:305" ht="31.5" customHeight="1">
      <c r="A6" s="737" t="s">
        <v>31</v>
      </c>
      <c r="B6" s="740" t="s">
        <v>5</v>
      </c>
      <c r="C6" s="740" t="s">
        <v>6</v>
      </c>
      <c r="D6" s="746" t="s">
        <v>46</v>
      </c>
      <c r="E6" s="743" t="s">
        <v>44</v>
      </c>
      <c r="F6" s="720" t="s">
        <v>310</v>
      </c>
      <c r="G6" s="733"/>
      <c r="H6" s="721"/>
      <c r="I6" s="720" t="s">
        <v>311</v>
      </c>
      <c r="J6" s="733"/>
      <c r="K6" s="721"/>
      <c r="L6" s="720" t="s">
        <v>312</v>
      </c>
      <c r="M6" s="733"/>
      <c r="N6" s="721"/>
      <c r="O6" s="720" t="s">
        <v>313</v>
      </c>
      <c r="P6" s="733"/>
      <c r="Q6" s="721"/>
      <c r="R6" s="720" t="s">
        <v>314</v>
      </c>
      <c r="S6" s="733"/>
      <c r="T6" s="721"/>
      <c r="U6" s="720" t="s">
        <v>315</v>
      </c>
      <c r="V6" s="733"/>
      <c r="W6" s="721"/>
      <c r="X6" s="720" t="s">
        <v>316</v>
      </c>
      <c r="Y6" s="733"/>
      <c r="Z6" s="721"/>
      <c r="AA6" s="720" t="s">
        <v>317</v>
      </c>
      <c r="AB6" s="733"/>
      <c r="AC6" s="721"/>
      <c r="AD6" s="720" t="s">
        <v>318</v>
      </c>
      <c r="AE6" s="733"/>
      <c r="AF6" s="721"/>
      <c r="AG6" s="720" t="s">
        <v>319</v>
      </c>
      <c r="AH6" s="733"/>
      <c r="AI6" s="721"/>
      <c r="AJ6" s="720" t="s">
        <v>320</v>
      </c>
      <c r="AK6" s="733"/>
      <c r="AL6" s="721"/>
      <c r="AM6" s="720" t="s">
        <v>321</v>
      </c>
      <c r="AN6" s="733"/>
      <c r="AO6" s="721"/>
      <c r="AP6" s="720" t="s">
        <v>322</v>
      </c>
      <c r="AQ6" s="733"/>
      <c r="AR6" s="721"/>
      <c r="AS6" s="720" t="s">
        <v>323</v>
      </c>
      <c r="AT6" s="733"/>
      <c r="AU6" s="721"/>
      <c r="AV6" s="720" t="s">
        <v>324</v>
      </c>
      <c r="AW6" s="733"/>
      <c r="AX6" s="721"/>
      <c r="AY6" s="723" t="s">
        <v>325</v>
      </c>
      <c r="AZ6" s="724"/>
      <c r="BA6" s="724"/>
      <c r="BB6" s="723" t="s">
        <v>326</v>
      </c>
      <c r="BC6" s="724"/>
      <c r="BD6" s="725"/>
      <c r="BE6" s="723" t="s">
        <v>327</v>
      </c>
      <c r="BF6" s="724"/>
      <c r="BG6" s="724"/>
      <c r="BH6" s="723" t="s">
        <v>328</v>
      </c>
      <c r="BI6" s="724"/>
      <c r="BJ6" s="725"/>
      <c r="BK6" s="723" t="s">
        <v>329</v>
      </c>
      <c r="BL6" s="724"/>
      <c r="BM6" s="724"/>
      <c r="BN6" s="723" t="s">
        <v>330</v>
      </c>
      <c r="BO6" s="724"/>
      <c r="BP6" s="725"/>
      <c r="BQ6" s="723" t="s">
        <v>331</v>
      </c>
      <c r="BR6" s="724"/>
      <c r="BS6" s="724"/>
      <c r="BT6" s="723" t="s">
        <v>332</v>
      </c>
      <c r="BU6" s="724"/>
      <c r="BV6" s="725"/>
      <c r="BW6" s="723" t="s">
        <v>333</v>
      </c>
      <c r="BX6" s="724"/>
      <c r="BY6" s="724"/>
      <c r="BZ6" s="723" t="s">
        <v>334</v>
      </c>
      <c r="CA6" s="724"/>
      <c r="CB6" s="725"/>
      <c r="CC6" s="723" t="s">
        <v>335</v>
      </c>
      <c r="CD6" s="724"/>
      <c r="CE6" s="724"/>
      <c r="CF6" s="723" t="s">
        <v>336</v>
      </c>
      <c r="CG6" s="724"/>
      <c r="CH6" s="725"/>
      <c r="CI6" s="723" t="s">
        <v>337</v>
      </c>
      <c r="CJ6" s="724"/>
      <c r="CK6" s="724"/>
      <c r="CL6" s="723" t="s">
        <v>338</v>
      </c>
      <c r="CM6" s="724"/>
      <c r="CN6" s="725"/>
      <c r="CO6" s="723" t="s">
        <v>339</v>
      </c>
      <c r="CP6" s="724"/>
      <c r="CQ6" s="724"/>
      <c r="CR6" s="723" t="s">
        <v>340</v>
      </c>
      <c r="CS6" s="724"/>
      <c r="CT6" s="725"/>
      <c r="CU6" s="723" t="s">
        <v>232</v>
      </c>
      <c r="CV6" s="724"/>
      <c r="CW6" s="724"/>
      <c r="CX6" s="723" t="s">
        <v>341</v>
      </c>
      <c r="CY6" s="724"/>
      <c r="CZ6" s="725"/>
      <c r="DA6" s="723" t="s">
        <v>342</v>
      </c>
      <c r="DB6" s="724"/>
      <c r="DC6" s="724"/>
      <c r="DD6" s="723" t="s">
        <v>343</v>
      </c>
      <c r="DE6" s="724"/>
      <c r="DF6" s="725"/>
      <c r="DG6" s="723" t="s">
        <v>344</v>
      </c>
      <c r="DH6" s="724"/>
      <c r="DI6" s="724"/>
      <c r="DJ6" s="723" t="s">
        <v>345</v>
      </c>
      <c r="DK6" s="724"/>
      <c r="DL6" s="725"/>
      <c r="DM6" s="723" t="s">
        <v>346</v>
      </c>
      <c r="DN6" s="724"/>
      <c r="DO6" s="724"/>
      <c r="DP6" s="723" t="s">
        <v>347</v>
      </c>
      <c r="DQ6" s="724"/>
      <c r="DR6" s="725"/>
      <c r="DS6" s="723" t="s">
        <v>348</v>
      </c>
      <c r="DT6" s="724"/>
      <c r="DU6" s="724"/>
      <c r="DV6" s="723" t="s">
        <v>349</v>
      </c>
      <c r="DW6" s="724"/>
      <c r="DX6" s="725"/>
      <c r="DY6" s="723" t="s">
        <v>350</v>
      </c>
      <c r="DZ6" s="724"/>
      <c r="EA6" s="724"/>
      <c r="EB6" s="723" t="s">
        <v>372</v>
      </c>
      <c r="EC6" s="724"/>
      <c r="ED6" s="725"/>
      <c r="EE6" s="728" t="s">
        <v>515</v>
      </c>
      <c r="EF6" s="724"/>
      <c r="EG6" s="724"/>
      <c r="EH6" s="723" t="s">
        <v>517</v>
      </c>
      <c r="EI6" s="724"/>
      <c r="EJ6" s="725"/>
      <c r="EK6" s="723"/>
      <c r="EL6" s="724"/>
      <c r="EM6" s="724"/>
      <c r="EN6" s="723"/>
      <c r="EO6" s="724"/>
      <c r="EP6" s="725"/>
      <c r="EQ6" s="723"/>
      <c r="ER6" s="724"/>
      <c r="ES6" s="724"/>
      <c r="ET6" s="723"/>
      <c r="EU6" s="724"/>
      <c r="EV6" s="725"/>
      <c r="EW6" s="723"/>
      <c r="EX6" s="724"/>
      <c r="EY6" s="724"/>
      <c r="EZ6" s="723"/>
      <c r="FA6" s="724"/>
      <c r="FB6" s="725"/>
      <c r="FC6" s="723"/>
      <c r="FD6" s="724"/>
      <c r="FE6" s="724"/>
      <c r="FF6" s="723"/>
      <c r="FG6" s="724"/>
      <c r="FH6" s="725"/>
      <c r="FI6" s="723"/>
      <c r="FJ6" s="724"/>
      <c r="FK6" s="724"/>
      <c r="FL6" s="723"/>
      <c r="FM6" s="724"/>
      <c r="FN6" s="725"/>
      <c r="FO6" s="723"/>
      <c r="FP6" s="724"/>
      <c r="FQ6" s="724"/>
      <c r="FR6" s="723"/>
      <c r="FS6" s="724"/>
      <c r="FT6" s="725"/>
      <c r="FU6" s="723"/>
      <c r="FV6" s="724"/>
      <c r="FW6" s="724"/>
      <c r="FX6" s="723"/>
      <c r="FY6" s="724"/>
      <c r="FZ6" s="725"/>
      <c r="GA6" s="723"/>
      <c r="GB6" s="724"/>
      <c r="GC6" s="724"/>
      <c r="GD6" s="723" t="s">
        <v>351</v>
      </c>
      <c r="GE6" s="724"/>
      <c r="GF6" s="725"/>
      <c r="GG6" s="726" t="s">
        <v>303</v>
      </c>
      <c r="GH6" s="727"/>
      <c r="GI6" s="727"/>
      <c r="GJ6" s="723" t="s">
        <v>352</v>
      </c>
      <c r="GK6" s="724"/>
      <c r="GL6" s="725"/>
      <c r="GM6" s="723" t="s">
        <v>353</v>
      </c>
      <c r="GN6" s="724"/>
      <c r="GO6" s="724"/>
      <c r="GP6" s="723" t="s">
        <v>354</v>
      </c>
      <c r="GQ6" s="724"/>
      <c r="GR6" s="725"/>
      <c r="GS6" s="723" t="s">
        <v>355</v>
      </c>
      <c r="GT6" s="724"/>
      <c r="GU6" s="724"/>
      <c r="GV6" s="723" t="s">
        <v>356</v>
      </c>
      <c r="GW6" s="724"/>
      <c r="GX6" s="725"/>
      <c r="GY6" s="723" t="s">
        <v>357</v>
      </c>
      <c r="GZ6" s="724"/>
      <c r="HA6" s="724"/>
      <c r="HB6" s="723" t="s">
        <v>334</v>
      </c>
      <c r="HC6" s="724"/>
      <c r="HD6" s="725"/>
      <c r="HE6" s="723" t="s">
        <v>349</v>
      </c>
      <c r="HF6" s="724"/>
      <c r="HG6" s="724"/>
      <c r="HH6" s="723" t="s">
        <v>348</v>
      </c>
      <c r="HI6" s="724"/>
      <c r="HJ6" s="725"/>
      <c r="HK6" s="723" t="s">
        <v>330</v>
      </c>
      <c r="HL6" s="724"/>
      <c r="HM6" s="724"/>
      <c r="HN6" s="723" t="s">
        <v>233</v>
      </c>
      <c r="HO6" s="724"/>
      <c r="HP6" s="725"/>
      <c r="HQ6" s="723" t="s">
        <v>232</v>
      </c>
      <c r="HR6" s="724"/>
      <c r="HS6" s="724"/>
      <c r="HT6" s="723" t="s">
        <v>358</v>
      </c>
      <c r="HU6" s="724"/>
      <c r="HV6" s="725"/>
      <c r="HW6" s="723" t="s">
        <v>359</v>
      </c>
      <c r="HX6" s="724"/>
      <c r="HY6" s="724"/>
      <c r="HZ6" s="723" t="s">
        <v>360</v>
      </c>
      <c r="IA6" s="724"/>
      <c r="IB6" s="725"/>
      <c r="IC6" s="723" t="s">
        <v>361</v>
      </c>
      <c r="ID6" s="724"/>
      <c r="IE6" s="724"/>
      <c r="IF6" s="722" t="s">
        <v>336</v>
      </c>
      <c r="IG6" s="722"/>
      <c r="IH6" s="722"/>
      <c r="II6" s="723" t="s">
        <v>339</v>
      </c>
      <c r="IJ6" s="724"/>
      <c r="IK6" s="725"/>
      <c r="IL6" s="723" t="s">
        <v>340</v>
      </c>
      <c r="IM6" s="724"/>
      <c r="IN6" s="724"/>
      <c r="IO6" s="723" t="s">
        <v>335</v>
      </c>
      <c r="IP6" s="724"/>
      <c r="IQ6" s="725"/>
      <c r="IR6" s="723" t="s">
        <v>362</v>
      </c>
      <c r="IS6" s="724"/>
      <c r="IT6" s="724"/>
      <c r="IU6" s="723" t="s">
        <v>342</v>
      </c>
      <c r="IV6" s="724"/>
      <c r="IW6" s="725"/>
      <c r="IX6" s="723" t="s">
        <v>363</v>
      </c>
      <c r="IY6" s="724"/>
      <c r="IZ6" s="724"/>
      <c r="JA6" s="723" t="s">
        <v>185</v>
      </c>
      <c r="JB6" s="724"/>
      <c r="JC6" s="725"/>
      <c r="JD6" s="723" t="s">
        <v>364</v>
      </c>
      <c r="JE6" s="724"/>
      <c r="JF6" s="724"/>
      <c r="JG6" s="723" t="s">
        <v>380</v>
      </c>
      <c r="JH6" s="724"/>
      <c r="JI6" s="725"/>
      <c r="JJ6" s="723" t="s">
        <v>516</v>
      </c>
      <c r="JK6" s="724"/>
      <c r="JL6" s="724"/>
      <c r="JM6" s="723" t="s">
        <v>385</v>
      </c>
      <c r="JN6" s="724"/>
      <c r="JO6" s="724"/>
      <c r="JP6" s="723"/>
      <c r="JQ6" s="724"/>
      <c r="JR6" s="724"/>
      <c r="JS6" s="723"/>
      <c r="JT6" s="724"/>
      <c r="JU6" s="724"/>
      <c r="JV6" s="723"/>
      <c r="JW6" s="724"/>
      <c r="JX6" s="724"/>
      <c r="JY6" s="723"/>
      <c r="JZ6" s="724"/>
      <c r="KA6" s="725"/>
      <c r="KB6" s="723"/>
      <c r="KC6" s="724"/>
      <c r="KD6" s="724"/>
      <c r="KE6" s="723"/>
      <c r="KF6" s="724"/>
      <c r="KG6" s="725"/>
      <c r="KH6" s="723"/>
      <c r="KI6" s="724"/>
      <c r="KJ6" s="724"/>
      <c r="KK6" s="723"/>
      <c r="KL6" s="724"/>
      <c r="KM6" s="725"/>
      <c r="KN6" s="722"/>
      <c r="KO6" s="722"/>
      <c r="KP6" s="722"/>
      <c r="KQ6" s="732"/>
      <c r="KR6" s="732"/>
    </row>
    <row r="7" spans="1:305" ht="15" customHeight="1">
      <c r="A7" s="738"/>
      <c r="B7" s="741"/>
      <c r="C7" s="741"/>
      <c r="D7" s="747"/>
      <c r="E7" s="744"/>
      <c r="F7" s="720" t="s">
        <v>136</v>
      </c>
      <c r="G7" s="721"/>
      <c r="H7" s="540" t="s">
        <v>365</v>
      </c>
      <c r="I7" s="720" t="s">
        <v>136</v>
      </c>
      <c r="J7" s="721"/>
      <c r="K7" s="540" t="s">
        <v>365</v>
      </c>
      <c r="L7" s="720" t="s">
        <v>136</v>
      </c>
      <c r="M7" s="721"/>
      <c r="N7" s="540" t="s">
        <v>365</v>
      </c>
      <c r="O7" s="720" t="s">
        <v>136</v>
      </c>
      <c r="P7" s="721"/>
      <c r="Q7" s="540" t="s">
        <v>365</v>
      </c>
      <c r="R7" s="720" t="s">
        <v>136</v>
      </c>
      <c r="S7" s="721"/>
      <c r="T7" s="540" t="s">
        <v>365</v>
      </c>
      <c r="U7" s="720" t="s">
        <v>136</v>
      </c>
      <c r="V7" s="721"/>
      <c r="W7" s="540" t="s">
        <v>365</v>
      </c>
      <c r="X7" s="720" t="s">
        <v>136</v>
      </c>
      <c r="Y7" s="721"/>
      <c r="Z7" s="540" t="s">
        <v>365</v>
      </c>
      <c r="AA7" s="720" t="s">
        <v>136</v>
      </c>
      <c r="AB7" s="721"/>
      <c r="AC7" s="540" t="s">
        <v>365</v>
      </c>
      <c r="AD7" s="720" t="s">
        <v>136</v>
      </c>
      <c r="AE7" s="721"/>
      <c r="AF7" s="540" t="s">
        <v>365</v>
      </c>
      <c r="AG7" s="720" t="s">
        <v>136</v>
      </c>
      <c r="AH7" s="721"/>
      <c r="AI7" s="540" t="s">
        <v>365</v>
      </c>
      <c r="AJ7" s="720" t="s">
        <v>136</v>
      </c>
      <c r="AK7" s="721"/>
      <c r="AL7" s="540" t="s">
        <v>365</v>
      </c>
      <c r="AM7" s="720" t="s">
        <v>136</v>
      </c>
      <c r="AN7" s="721"/>
      <c r="AO7" s="540" t="s">
        <v>365</v>
      </c>
      <c r="AP7" s="720" t="s">
        <v>136</v>
      </c>
      <c r="AQ7" s="721"/>
      <c r="AR7" s="540" t="s">
        <v>365</v>
      </c>
      <c r="AS7" s="720" t="s">
        <v>136</v>
      </c>
      <c r="AT7" s="721"/>
      <c r="AU7" s="540" t="s">
        <v>365</v>
      </c>
      <c r="AV7" s="720" t="s">
        <v>136</v>
      </c>
      <c r="AW7" s="721"/>
      <c r="AX7" s="540" t="s">
        <v>365</v>
      </c>
      <c r="AY7" s="720" t="s">
        <v>136</v>
      </c>
      <c r="AZ7" s="721"/>
      <c r="BA7" s="540" t="s">
        <v>365</v>
      </c>
      <c r="BB7" s="720" t="s">
        <v>136</v>
      </c>
      <c r="BC7" s="721"/>
      <c r="BD7" s="540" t="s">
        <v>365</v>
      </c>
      <c r="BE7" s="720" t="s">
        <v>136</v>
      </c>
      <c r="BF7" s="721"/>
      <c r="BG7" s="540" t="s">
        <v>365</v>
      </c>
      <c r="BH7" s="720" t="s">
        <v>136</v>
      </c>
      <c r="BI7" s="721"/>
      <c r="BJ7" s="540" t="s">
        <v>365</v>
      </c>
      <c r="BK7" s="720" t="s">
        <v>136</v>
      </c>
      <c r="BL7" s="721"/>
      <c r="BM7" s="540" t="s">
        <v>365</v>
      </c>
      <c r="BN7" s="720" t="s">
        <v>136</v>
      </c>
      <c r="BO7" s="721"/>
      <c r="BP7" s="540" t="s">
        <v>365</v>
      </c>
      <c r="BQ7" s="720" t="s">
        <v>136</v>
      </c>
      <c r="BR7" s="721"/>
      <c r="BS7" s="540" t="s">
        <v>365</v>
      </c>
      <c r="BT7" s="720" t="s">
        <v>136</v>
      </c>
      <c r="BU7" s="721"/>
      <c r="BV7" s="540" t="s">
        <v>365</v>
      </c>
      <c r="BW7" s="720" t="s">
        <v>136</v>
      </c>
      <c r="BX7" s="721"/>
      <c r="BY7" s="540" t="s">
        <v>365</v>
      </c>
      <c r="BZ7" s="720" t="s">
        <v>136</v>
      </c>
      <c r="CA7" s="721"/>
      <c r="CB7" s="540" t="s">
        <v>365</v>
      </c>
      <c r="CC7" s="720" t="s">
        <v>136</v>
      </c>
      <c r="CD7" s="721"/>
      <c r="CE7" s="540" t="s">
        <v>365</v>
      </c>
      <c r="CF7" s="720" t="s">
        <v>136</v>
      </c>
      <c r="CG7" s="721"/>
      <c r="CH7" s="540" t="s">
        <v>365</v>
      </c>
      <c r="CI7" s="720" t="s">
        <v>136</v>
      </c>
      <c r="CJ7" s="721"/>
      <c r="CK7" s="540" t="s">
        <v>365</v>
      </c>
      <c r="CL7" s="720" t="s">
        <v>136</v>
      </c>
      <c r="CM7" s="721"/>
      <c r="CN7" s="540" t="s">
        <v>365</v>
      </c>
      <c r="CO7" s="720" t="s">
        <v>136</v>
      </c>
      <c r="CP7" s="721"/>
      <c r="CQ7" s="540" t="s">
        <v>365</v>
      </c>
      <c r="CR7" s="720" t="s">
        <v>136</v>
      </c>
      <c r="CS7" s="721"/>
      <c r="CT7" s="540" t="s">
        <v>365</v>
      </c>
      <c r="CU7" s="720" t="s">
        <v>136</v>
      </c>
      <c r="CV7" s="721"/>
      <c r="CW7" s="540" t="s">
        <v>365</v>
      </c>
      <c r="CX7" s="720" t="s">
        <v>136</v>
      </c>
      <c r="CY7" s="721"/>
      <c r="CZ7" s="540" t="s">
        <v>365</v>
      </c>
      <c r="DA7" s="720" t="s">
        <v>136</v>
      </c>
      <c r="DB7" s="721"/>
      <c r="DC7" s="540" t="s">
        <v>365</v>
      </c>
      <c r="DD7" s="720" t="s">
        <v>136</v>
      </c>
      <c r="DE7" s="721"/>
      <c r="DF7" s="540" t="s">
        <v>365</v>
      </c>
      <c r="DG7" s="720" t="s">
        <v>136</v>
      </c>
      <c r="DH7" s="721"/>
      <c r="DI7" s="540" t="s">
        <v>365</v>
      </c>
      <c r="DJ7" s="720" t="s">
        <v>136</v>
      </c>
      <c r="DK7" s="721"/>
      <c r="DL7" s="540" t="s">
        <v>365</v>
      </c>
      <c r="DM7" s="720" t="s">
        <v>136</v>
      </c>
      <c r="DN7" s="721"/>
      <c r="DO7" s="540" t="s">
        <v>365</v>
      </c>
      <c r="DP7" s="720" t="s">
        <v>136</v>
      </c>
      <c r="DQ7" s="721"/>
      <c r="DR7" s="540" t="s">
        <v>365</v>
      </c>
      <c r="DS7" s="720" t="s">
        <v>136</v>
      </c>
      <c r="DT7" s="721"/>
      <c r="DU7" s="540" t="s">
        <v>365</v>
      </c>
      <c r="DV7" s="720" t="s">
        <v>136</v>
      </c>
      <c r="DW7" s="721"/>
      <c r="DX7" s="540" t="s">
        <v>365</v>
      </c>
      <c r="DY7" s="720" t="s">
        <v>136</v>
      </c>
      <c r="DZ7" s="721"/>
      <c r="EA7" s="540" t="s">
        <v>365</v>
      </c>
      <c r="EB7" s="720" t="s">
        <v>136</v>
      </c>
      <c r="EC7" s="721"/>
      <c r="ED7" s="540" t="s">
        <v>365</v>
      </c>
      <c r="EE7" s="720" t="s">
        <v>136</v>
      </c>
      <c r="EF7" s="721"/>
      <c r="EG7" s="540" t="s">
        <v>365</v>
      </c>
      <c r="EH7" s="720" t="s">
        <v>136</v>
      </c>
      <c r="EI7" s="721"/>
      <c r="EJ7" s="540" t="s">
        <v>365</v>
      </c>
      <c r="EK7" s="720" t="s">
        <v>136</v>
      </c>
      <c r="EL7" s="721"/>
      <c r="EM7" s="540" t="s">
        <v>365</v>
      </c>
      <c r="EN7" s="720" t="s">
        <v>136</v>
      </c>
      <c r="EO7" s="721"/>
      <c r="EP7" s="540" t="s">
        <v>365</v>
      </c>
      <c r="EQ7" s="720" t="s">
        <v>136</v>
      </c>
      <c r="ER7" s="721"/>
      <c r="ES7" s="540" t="s">
        <v>365</v>
      </c>
      <c r="ET7" s="720" t="s">
        <v>136</v>
      </c>
      <c r="EU7" s="721"/>
      <c r="EV7" s="540" t="s">
        <v>365</v>
      </c>
      <c r="EW7" s="720" t="s">
        <v>136</v>
      </c>
      <c r="EX7" s="721"/>
      <c r="EY7" s="540" t="s">
        <v>365</v>
      </c>
      <c r="EZ7" s="720" t="s">
        <v>136</v>
      </c>
      <c r="FA7" s="721"/>
      <c r="FB7" s="540" t="s">
        <v>365</v>
      </c>
      <c r="FC7" s="720" t="s">
        <v>136</v>
      </c>
      <c r="FD7" s="721"/>
      <c r="FE7" s="540" t="s">
        <v>365</v>
      </c>
      <c r="FF7" s="720" t="s">
        <v>136</v>
      </c>
      <c r="FG7" s="721"/>
      <c r="FH7" s="540" t="s">
        <v>365</v>
      </c>
      <c r="FI7" s="720" t="s">
        <v>136</v>
      </c>
      <c r="FJ7" s="721"/>
      <c r="FK7" s="540" t="s">
        <v>365</v>
      </c>
      <c r="FL7" s="720" t="s">
        <v>136</v>
      </c>
      <c r="FM7" s="721"/>
      <c r="FN7" s="540" t="s">
        <v>365</v>
      </c>
      <c r="FO7" s="720" t="s">
        <v>136</v>
      </c>
      <c r="FP7" s="721"/>
      <c r="FQ7" s="540" t="s">
        <v>365</v>
      </c>
      <c r="FR7" s="720" t="s">
        <v>136</v>
      </c>
      <c r="FS7" s="721"/>
      <c r="FT7" s="540" t="s">
        <v>365</v>
      </c>
      <c r="FU7" s="720" t="s">
        <v>136</v>
      </c>
      <c r="FV7" s="721"/>
      <c r="FW7" s="540" t="s">
        <v>365</v>
      </c>
      <c r="FX7" s="720" t="s">
        <v>136</v>
      </c>
      <c r="FY7" s="721"/>
      <c r="FZ7" s="540" t="s">
        <v>365</v>
      </c>
      <c r="GA7" s="720" t="s">
        <v>136</v>
      </c>
      <c r="GB7" s="721"/>
      <c r="GC7" s="540" t="s">
        <v>365</v>
      </c>
      <c r="GD7" s="720" t="s">
        <v>136</v>
      </c>
      <c r="GE7" s="721"/>
      <c r="GF7" s="540" t="s">
        <v>365</v>
      </c>
      <c r="GG7" s="720" t="s">
        <v>136</v>
      </c>
      <c r="GH7" s="721"/>
      <c r="GI7" s="540" t="s">
        <v>365</v>
      </c>
      <c r="GJ7" s="720" t="s">
        <v>136</v>
      </c>
      <c r="GK7" s="721"/>
      <c r="GL7" s="540" t="s">
        <v>365</v>
      </c>
      <c r="GM7" s="720" t="s">
        <v>136</v>
      </c>
      <c r="GN7" s="721"/>
      <c r="GO7" s="540" t="s">
        <v>365</v>
      </c>
      <c r="GP7" s="720" t="s">
        <v>136</v>
      </c>
      <c r="GQ7" s="721"/>
      <c r="GR7" s="540" t="s">
        <v>365</v>
      </c>
      <c r="GS7" s="720" t="s">
        <v>136</v>
      </c>
      <c r="GT7" s="721"/>
      <c r="GU7" s="540" t="s">
        <v>365</v>
      </c>
      <c r="GV7" s="720" t="s">
        <v>136</v>
      </c>
      <c r="GW7" s="721"/>
      <c r="GX7" s="540" t="s">
        <v>365</v>
      </c>
      <c r="GY7" s="720" t="s">
        <v>136</v>
      </c>
      <c r="GZ7" s="721"/>
      <c r="HA7" s="540" t="s">
        <v>365</v>
      </c>
      <c r="HB7" s="720" t="s">
        <v>136</v>
      </c>
      <c r="HC7" s="721"/>
      <c r="HD7" s="540" t="s">
        <v>365</v>
      </c>
      <c r="HE7" s="720" t="s">
        <v>136</v>
      </c>
      <c r="HF7" s="721"/>
      <c r="HG7" s="540" t="s">
        <v>365</v>
      </c>
      <c r="HH7" s="720" t="s">
        <v>136</v>
      </c>
      <c r="HI7" s="721"/>
      <c r="HJ7" s="540" t="s">
        <v>365</v>
      </c>
      <c r="HK7" s="720" t="s">
        <v>136</v>
      </c>
      <c r="HL7" s="721"/>
      <c r="HM7" s="540" t="s">
        <v>365</v>
      </c>
      <c r="HN7" s="720" t="s">
        <v>136</v>
      </c>
      <c r="HO7" s="721"/>
      <c r="HP7" s="540" t="s">
        <v>365</v>
      </c>
      <c r="HQ7" s="720" t="s">
        <v>136</v>
      </c>
      <c r="HR7" s="721"/>
      <c r="HS7" s="540" t="s">
        <v>365</v>
      </c>
      <c r="HT7" s="720" t="s">
        <v>136</v>
      </c>
      <c r="HU7" s="721"/>
      <c r="HV7" s="540" t="s">
        <v>365</v>
      </c>
      <c r="HW7" s="720" t="s">
        <v>136</v>
      </c>
      <c r="HX7" s="721"/>
      <c r="HY7" s="540" t="s">
        <v>365</v>
      </c>
      <c r="HZ7" s="720" t="s">
        <v>136</v>
      </c>
      <c r="IA7" s="721"/>
      <c r="IB7" s="540" t="s">
        <v>365</v>
      </c>
      <c r="IC7" s="720" t="s">
        <v>136</v>
      </c>
      <c r="ID7" s="721"/>
      <c r="IE7" s="540" t="s">
        <v>365</v>
      </c>
      <c r="IF7" s="722" t="s">
        <v>136</v>
      </c>
      <c r="IG7" s="722"/>
      <c r="IH7" s="541" t="s">
        <v>365</v>
      </c>
      <c r="II7" s="720" t="s">
        <v>136</v>
      </c>
      <c r="IJ7" s="721"/>
      <c r="IK7" s="540" t="s">
        <v>365</v>
      </c>
      <c r="IL7" s="720" t="s">
        <v>136</v>
      </c>
      <c r="IM7" s="721"/>
      <c r="IN7" s="540" t="s">
        <v>365</v>
      </c>
      <c r="IO7" s="720" t="s">
        <v>136</v>
      </c>
      <c r="IP7" s="721"/>
      <c r="IQ7" s="540" t="s">
        <v>365</v>
      </c>
      <c r="IR7" s="720" t="s">
        <v>136</v>
      </c>
      <c r="IS7" s="721"/>
      <c r="IT7" s="540" t="s">
        <v>365</v>
      </c>
      <c r="IU7" s="720" t="s">
        <v>136</v>
      </c>
      <c r="IV7" s="721"/>
      <c r="IW7" s="540" t="s">
        <v>365</v>
      </c>
      <c r="IX7" s="720" t="s">
        <v>136</v>
      </c>
      <c r="IY7" s="721"/>
      <c r="IZ7" s="540" t="s">
        <v>365</v>
      </c>
      <c r="JA7" s="720" t="s">
        <v>136</v>
      </c>
      <c r="JB7" s="721"/>
      <c r="JC7" s="540" t="s">
        <v>365</v>
      </c>
      <c r="JD7" s="720" t="s">
        <v>136</v>
      </c>
      <c r="JE7" s="721"/>
      <c r="JF7" s="540" t="s">
        <v>365</v>
      </c>
      <c r="JG7" s="720" t="s">
        <v>136</v>
      </c>
      <c r="JH7" s="721"/>
      <c r="JI7" s="540" t="s">
        <v>365</v>
      </c>
      <c r="JJ7" s="720" t="s">
        <v>136</v>
      </c>
      <c r="JK7" s="721"/>
      <c r="JL7" s="540" t="s">
        <v>365</v>
      </c>
      <c r="JM7" s="720" t="s">
        <v>136</v>
      </c>
      <c r="JN7" s="721"/>
      <c r="JO7" s="540" t="s">
        <v>365</v>
      </c>
      <c r="JP7" s="720" t="s">
        <v>136</v>
      </c>
      <c r="JQ7" s="721"/>
      <c r="JR7" s="540" t="s">
        <v>365</v>
      </c>
      <c r="JS7" s="720" t="s">
        <v>136</v>
      </c>
      <c r="JT7" s="721"/>
      <c r="JU7" s="540" t="s">
        <v>365</v>
      </c>
      <c r="JV7" s="720" t="s">
        <v>136</v>
      </c>
      <c r="JW7" s="721"/>
      <c r="JX7" s="540" t="s">
        <v>365</v>
      </c>
      <c r="JY7" s="720" t="s">
        <v>136</v>
      </c>
      <c r="JZ7" s="721"/>
      <c r="KA7" s="540" t="s">
        <v>365</v>
      </c>
      <c r="KB7" s="720" t="s">
        <v>136</v>
      </c>
      <c r="KC7" s="721"/>
      <c r="KD7" s="540" t="s">
        <v>365</v>
      </c>
      <c r="KE7" s="720" t="s">
        <v>136</v>
      </c>
      <c r="KF7" s="721"/>
      <c r="KG7" s="540" t="s">
        <v>365</v>
      </c>
      <c r="KH7" s="720" t="s">
        <v>136</v>
      </c>
      <c r="KI7" s="721"/>
      <c r="KJ7" s="540" t="s">
        <v>365</v>
      </c>
      <c r="KK7" s="720" t="s">
        <v>136</v>
      </c>
      <c r="KL7" s="721"/>
      <c r="KM7" s="540" t="s">
        <v>365</v>
      </c>
      <c r="KN7" s="722" t="s">
        <v>136</v>
      </c>
      <c r="KO7" s="722"/>
      <c r="KP7" s="541" t="s">
        <v>365</v>
      </c>
      <c r="KQ7" s="732"/>
      <c r="KR7" s="732"/>
    </row>
    <row r="8" spans="1:305" ht="15" customHeight="1" thickBot="1">
      <c r="A8" s="739"/>
      <c r="B8" s="742"/>
      <c r="C8" s="742"/>
      <c r="D8" s="748"/>
      <c r="E8" s="745"/>
      <c r="F8" s="542" t="s">
        <v>137</v>
      </c>
      <c r="G8" s="542" t="s">
        <v>45</v>
      </c>
      <c r="H8" s="543"/>
      <c r="I8" s="542" t="s">
        <v>137</v>
      </c>
      <c r="J8" s="542" t="s">
        <v>45</v>
      </c>
      <c r="K8" s="543"/>
      <c r="L8" s="542" t="s">
        <v>137</v>
      </c>
      <c r="M8" s="542" t="s">
        <v>45</v>
      </c>
      <c r="N8" s="543"/>
      <c r="O8" s="542" t="s">
        <v>137</v>
      </c>
      <c r="P8" s="542" t="s">
        <v>45</v>
      </c>
      <c r="Q8" s="543"/>
      <c r="R8" s="542" t="s">
        <v>137</v>
      </c>
      <c r="S8" s="542" t="s">
        <v>45</v>
      </c>
      <c r="T8" s="543"/>
      <c r="U8" s="542" t="s">
        <v>137</v>
      </c>
      <c r="V8" s="542" t="s">
        <v>45</v>
      </c>
      <c r="W8" s="543"/>
      <c r="X8" s="542" t="s">
        <v>137</v>
      </c>
      <c r="Y8" s="542" t="s">
        <v>45</v>
      </c>
      <c r="Z8" s="543"/>
      <c r="AA8" s="542" t="s">
        <v>137</v>
      </c>
      <c r="AB8" s="542" t="s">
        <v>45</v>
      </c>
      <c r="AC8" s="543"/>
      <c r="AD8" s="542" t="s">
        <v>137</v>
      </c>
      <c r="AE8" s="542" t="s">
        <v>45</v>
      </c>
      <c r="AF8" s="543"/>
      <c r="AG8" s="542" t="s">
        <v>137</v>
      </c>
      <c r="AH8" s="542" t="s">
        <v>45</v>
      </c>
      <c r="AI8" s="543"/>
      <c r="AJ8" s="542" t="s">
        <v>137</v>
      </c>
      <c r="AK8" s="542" t="s">
        <v>45</v>
      </c>
      <c r="AL8" s="543"/>
      <c r="AM8" s="542" t="s">
        <v>137</v>
      </c>
      <c r="AN8" s="542" t="s">
        <v>45</v>
      </c>
      <c r="AO8" s="543"/>
      <c r="AP8" s="542" t="s">
        <v>137</v>
      </c>
      <c r="AQ8" s="542" t="s">
        <v>45</v>
      </c>
      <c r="AR8" s="543"/>
      <c r="AS8" s="542" t="s">
        <v>137</v>
      </c>
      <c r="AT8" s="542" t="s">
        <v>45</v>
      </c>
      <c r="AU8" s="543"/>
      <c r="AV8" s="542" t="s">
        <v>137</v>
      </c>
      <c r="AW8" s="542" t="s">
        <v>45</v>
      </c>
      <c r="AX8" s="543"/>
      <c r="AY8" s="542" t="s">
        <v>137</v>
      </c>
      <c r="AZ8" s="542" t="s">
        <v>45</v>
      </c>
      <c r="BA8" s="543"/>
      <c r="BB8" s="542" t="s">
        <v>137</v>
      </c>
      <c r="BC8" s="542" t="s">
        <v>45</v>
      </c>
      <c r="BD8" s="543"/>
      <c r="BE8" s="542" t="s">
        <v>137</v>
      </c>
      <c r="BF8" s="542" t="s">
        <v>45</v>
      </c>
      <c r="BG8" s="543"/>
      <c r="BH8" s="542" t="s">
        <v>137</v>
      </c>
      <c r="BI8" s="542" t="s">
        <v>45</v>
      </c>
      <c r="BJ8" s="543"/>
      <c r="BK8" s="542" t="s">
        <v>137</v>
      </c>
      <c r="BL8" s="542" t="s">
        <v>45</v>
      </c>
      <c r="BM8" s="543"/>
      <c r="BN8" s="542" t="s">
        <v>137</v>
      </c>
      <c r="BO8" s="542" t="s">
        <v>45</v>
      </c>
      <c r="BP8" s="543"/>
      <c r="BQ8" s="542" t="s">
        <v>137</v>
      </c>
      <c r="BR8" s="542" t="s">
        <v>45</v>
      </c>
      <c r="BS8" s="543"/>
      <c r="BT8" s="542" t="s">
        <v>137</v>
      </c>
      <c r="BU8" s="542" t="s">
        <v>45</v>
      </c>
      <c r="BV8" s="543"/>
      <c r="BW8" s="542" t="s">
        <v>137</v>
      </c>
      <c r="BX8" s="542" t="s">
        <v>45</v>
      </c>
      <c r="BY8" s="543"/>
      <c r="BZ8" s="542" t="s">
        <v>137</v>
      </c>
      <c r="CA8" s="542" t="s">
        <v>45</v>
      </c>
      <c r="CB8" s="543"/>
      <c r="CC8" s="542" t="s">
        <v>137</v>
      </c>
      <c r="CD8" s="542" t="s">
        <v>45</v>
      </c>
      <c r="CE8" s="543"/>
      <c r="CF8" s="542" t="s">
        <v>137</v>
      </c>
      <c r="CG8" s="542" t="s">
        <v>45</v>
      </c>
      <c r="CH8" s="543"/>
      <c r="CI8" s="542" t="s">
        <v>137</v>
      </c>
      <c r="CJ8" s="542" t="s">
        <v>45</v>
      </c>
      <c r="CK8" s="543"/>
      <c r="CL8" s="542" t="s">
        <v>137</v>
      </c>
      <c r="CM8" s="542" t="s">
        <v>45</v>
      </c>
      <c r="CN8" s="543"/>
      <c r="CO8" s="542" t="s">
        <v>137</v>
      </c>
      <c r="CP8" s="542" t="s">
        <v>45</v>
      </c>
      <c r="CQ8" s="543"/>
      <c r="CR8" s="542" t="s">
        <v>137</v>
      </c>
      <c r="CS8" s="542" t="s">
        <v>45</v>
      </c>
      <c r="CT8" s="543"/>
      <c r="CU8" s="542" t="s">
        <v>137</v>
      </c>
      <c r="CV8" s="542" t="s">
        <v>45</v>
      </c>
      <c r="CW8" s="543"/>
      <c r="CX8" s="542" t="s">
        <v>137</v>
      </c>
      <c r="CY8" s="542" t="s">
        <v>45</v>
      </c>
      <c r="CZ8" s="543"/>
      <c r="DA8" s="542" t="s">
        <v>137</v>
      </c>
      <c r="DB8" s="542" t="s">
        <v>45</v>
      </c>
      <c r="DC8" s="543"/>
      <c r="DD8" s="542" t="s">
        <v>137</v>
      </c>
      <c r="DE8" s="542" t="s">
        <v>45</v>
      </c>
      <c r="DF8" s="543"/>
      <c r="DG8" s="542" t="s">
        <v>137</v>
      </c>
      <c r="DH8" s="542" t="s">
        <v>45</v>
      </c>
      <c r="DI8" s="543"/>
      <c r="DJ8" s="542" t="s">
        <v>137</v>
      </c>
      <c r="DK8" s="542" t="s">
        <v>45</v>
      </c>
      <c r="DL8" s="543"/>
      <c r="DM8" s="542" t="s">
        <v>137</v>
      </c>
      <c r="DN8" s="542" t="s">
        <v>45</v>
      </c>
      <c r="DO8" s="543"/>
      <c r="DP8" s="542" t="s">
        <v>137</v>
      </c>
      <c r="DQ8" s="542" t="s">
        <v>45</v>
      </c>
      <c r="DR8" s="543"/>
      <c r="DS8" s="542" t="s">
        <v>137</v>
      </c>
      <c r="DT8" s="542" t="s">
        <v>45</v>
      </c>
      <c r="DU8" s="543"/>
      <c r="DV8" s="542" t="s">
        <v>137</v>
      </c>
      <c r="DW8" s="542" t="s">
        <v>45</v>
      </c>
      <c r="DX8" s="543"/>
      <c r="DY8" s="542" t="s">
        <v>137</v>
      </c>
      <c r="DZ8" s="542" t="s">
        <v>45</v>
      </c>
      <c r="EA8" s="543"/>
      <c r="EB8" s="542" t="s">
        <v>137</v>
      </c>
      <c r="EC8" s="542" t="s">
        <v>45</v>
      </c>
      <c r="ED8" s="540"/>
      <c r="EE8" s="542" t="s">
        <v>137</v>
      </c>
      <c r="EF8" s="542" t="s">
        <v>45</v>
      </c>
      <c r="EG8" s="543"/>
      <c r="EH8" s="542" t="s">
        <v>137</v>
      </c>
      <c r="EI8" s="542" t="s">
        <v>45</v>
      </c>
      <c r="EJ8" s="543"/>
      <c r="EK8" s="542" t="s">
        <v>137</v>
      </c>
      <c r="EL8" s="542" t="s">
        <v>45</v>
      </c>
      <c r="EM8" s="543"/>
      <c r="EN8" s="542" t="s">
        <v>137</v>
      </c>
      <c r="EO8" s="542" t="s">
        <v>45</v>
      </c>
      <c r="EP8" s="543"/>
      <c r="EQ8" s="542" t="s">
        <v>137</v>
      </c>
      <c r="ER8" s="542" t="s">
        <v>45</v>
      </c>
      <c r="ES8" s="543"/>
      <c r="ET8" s="542" t="s">
        <v>137</v>
      </c>
      <c r="EU8" s="542" t="s">
        <v>45</v>
      </c>
      <c r="EV8" s="543"/>
      <c r="EW8" s="542" t="s">
        <v>137</v>
      </c>
      <c r="EX8" s="542" t="s">
        <v>45</v>
      </c>
      <c r="EY8" s="543"/>
      <c r="EZ8" s="542" t="s">
        <v>137</v>
      </c>
      <c r="FA8" s="542" t="s">
        <v>45</v>
      </c>
      <c r="FB8" s="543"/>
      <c r="FC8" s="542" t="s">
        <v>137</v>
      </c>
      <c r="FD8" s="542" t="s">
        <v>45</v>
      </c>
      <c r="FE8" s="543"/>
      <c r="FF8" s="542" t="s">
        <v>137</v>
      </c>
      <c r="FG8" s="542" t="s">
        <v>45</v>
      </c>
      <c r="FH8" s="543"/>
      <c r="FI8" s="542" t="s">
        <v>137</v>
      </c>
      <c r="FJ8" s="542" t="s">
        <v>45</v>
      </c>
      <c r="FK8" s="543"/>
      <c r="FL8" s="542" t="s">
        <v>137</v>
      </c>
      <c r="FM8" s="542" t="s">
        <v>45</v>
      </c>
      <c r="FN8" s="543"/>
      <c r="FO8" s="542" t="s">
        <v>137</v>
      </c>
      <c r="FP8" s="542" t="s">
        <v>45</v>
      </c>
      <c r="FQ8" s="543"/>
      <c r="FR8" s="542" t="s">
        <v>137</v>
      </c>
      <c r="FS8" s="542" t="s">
        <v>45</v>
      </c>
      <c r="FT8" s="543"/>
      <c r="FU8" s="542" t="s">
        <v>137</v>
      </c>
      <c r="FV8" s="542" t="s">
        <v>45</v>
      </c>
      <c r="FW8" s="543"/>
      <c r="FX8" s="542" t="s">
        <v>137</v>
      </c>
      <c r="FY8" s="542" t="s">
        <v>45</v>
      </c>
      <c r="FZ8" s="543"/>
      <c r="GA8" s="542" t="s">
        <v>137</v>
      </c>
      <c r="GB8" s="542" t="s">
        <v>45</v>
      </c>
      <c r="GC8" s="543"/>
      <c r="GD8" s="542" t="s">
        <v>137</v>
      </c>
      <c r="GE8" s="542" t="s">
        <v>45</v>
      </c>
      <c r="GF8" s="543"/>
      <c r="GG8" s="542" t="s">
        <v>137</v>
      </c>
      <c r="GH8" s="542" t="s">
        <v>45</v>
      </c>
      <c r="GI8" s="543"/>
      <c r="GJ8" s="542" t="s">
        <v>137</v>
      </c>
      <c r="GK8" s="542" t="s">
        <v>45</v>
      </c>
      <c r="GL8" s="543"/>
      <c r="GM8" s="542" t="s">
        <v>137</v>
      </c>
      <c r="GN8" s="542" t="s">
        <v>45</v>
      </c>
      <c r="GO8" s="543"/>
      <c r="GP8" s="542" t="s">
        <v>137</v>
      </c>
      <c r="GQ8" s="542" t="s">
        <v>45</v>
      </c>
      <c r="GR8" s="543"/>
      <c r="GS8" s="542" t="s">
        <v>137</v>
      </c>
      <c r="GT8" s="542" t="s">
        <v>45</v>
      </c>
      <c r="GU8" s="543"/>
      <c r="GV8" s="542" t="s">
        <v>137</v>
      </c>
      <c r="GW8" s="542" t="s">
        <v>45</v>
      </c>
      <c r="GX8" s="543"/>
      <c r="GY8" s="542" t="s">
        <v>137</v>
      </c>
      <c r="GZ8" s="542" t="s">
        <v>45</v>
      </c>
      <c r="HA8" s="543"/>
      <c r="HB8" s="542" t="s">
        <v>137</v>
      </c>
      <c r="HC8" s="542" t="s">
        <v>45</v>
      </c>
      <c r="HD8" s="543"/>
      <c r="HE8" s="542" t="s">
        <v>137</v>
      </c>
      <c r="HF8" s="542" t="s">
        <v>45</v>
      </c>
      <c r="HG8" s="543"/>
      <c r="HH8" s="542" t="s">
        <v>137</v>
      </c>
      <c r="HI8" s="542" t="s">
        <v>45</v>
      </c>
      <c r="HJ8" s="543"/>
      <c r="HK8" s="542" t="s">
        <v>137</v>
      </c>
      <c r="HL8" s="542" t="s">
        <v>45</v>
      </c>
      <c r="HM8" s="543"/>
      <c r="HN8" s="542" t="s">
        <v>137</v>
      </c>
      <c r="HO8" s="542" t="s">
        <v>45</v>
      </c>
      <c r="HP8" s="543"/>
      <c r="HQ8" s="542" t="s">
        <v>137</v>
      </c>
      <c r="HR8" s="542" t="s">
        <v>45</v>
      </c>
      <c r="HS8" s="543"/>
      <c r="HT8" s="542" t="s">
        <v>137</v>
      </c>
      <c r="HU8" s="542" t="s">
        <v>45</v>
      </c>
      <c r="HV8" s="543"/>
      <c r="HW8" s="542" t="s">
        <v>137</v>
      </c>
      <c r="HX8" s="542" t="s">
        <v>45</v>
      </c>
      <c r="HY8" s="543"/>
      <c r="HZ8" s="542" t="s">
        <v>137</v>
      </c>
      <c r="IA8" s="542" t="s">
        <v>45</v>
      </c>
      <c r="IB8" s="543"/>
      <c r="IC8" s="542" t="s">
        <v>137</v>
      </c>
      <c r="ID8" s="542" t="s">
        <v>45</v>
      </c>
      <c r="IE8" s="543"/>
      <c r="IF8" s="542" t="s">
        <v>137</v>
      </c>
      <c r="IG8" s="542" t="s">
        <v>45</v>
      </c>
      <c r="IH8" s="543"/>
      <c r="II8" s="542" t="s">
        <v>137</v>
      </c>
      <c r="IJ8" s="542" t="s">
        <v>45</v>
      </c>
      <c r="IK8" s="543"/>
      <c r="IL8" s="542" t="s">
        <v>137</v>
      </c>
      <c r="IM8" s="542" t="s">
        <v>45</v>
      </c>
      <c r="IN8" s="543"/>
      <c r="IO8" s="542" t="s">
        <v>137</v>
      </c>
      <c r="IP8" s="542" t="s">
        <v>45</v>
      </c>
      <c r="IQ8" s="543"/>
      <c r="IR8" s="542" t="s">
        <v>137</v>
      </c>
      <c r="IS8" s="542" t="s">
        <v>45</v>
      </c>
      <c r="IT8" s="543"/>
      <c r="IU8" s="542" t="s">
        <v>137</v>
      </c>
      <c r="IV8" s="542" t="s">
        <v>45</v>
      </c>
      <c r="IW8" s="543"/>
      <c r="IX8" s="542" t="s">
        <v>137</v>
      </c>
      <c r="IY8" s="542" t="s">
        <v>45</v>
      </c>
      <c r="IZ8" s="543"/>
      <c r="JA8" s="542" t="s">
        <v>137</v>
      </c>
      <c r="JB8" s="542" t="s">
        <v>45</v>
      </c>
      <c r="JC8" s="543"/>
      <c r="JD8" s="542" t="s">
        <v>137</v>
      </c>
      <c r="JE8" s="542" t="s">
        <v>45</v>
      </c>
      <c r="JF8" s="543"/>
      <c r="JG8" s="542" t="s">
        <v>137</v>
      </c>
      <c r="JH8" s="542" t="s">
        <v>45</v>
      </c>
      <c r="JI8" s="543" t="s">
        <v>383</v>
      </c>
      <c r="JJ8" s="542" t="s">
        <v>137</v>
      </c>
      <c r="JK8" s="542" t="s">
        <v>45</v>
      </c>
      <c r="JL8" s="543" t="s">
        <v>383</v>
      </c>
      <c r="JM8" s="542" t="s">
        <v>137</v>
      </c>
      <c r="JN8" s="542" t="s">
        <v>45</v>
      </c>
      <c r="JO8" s="543" t="s">
        <v>383</v>
      </c>
      <c r="JP8" s="542" t="s">
        <v>137</v>
      </c>
      <c r="JQ8" s="542" t="s">
        <v>45</v>
      </c>
      <c r="JR8" s="543" t="s">
        <v>383</v>
      </c>
      <c r="JS8" s="542" t="s">
        <v>137</v>
      </c>
      <c r="JT8" s="542" t="s">
        <v>45</v>
      </c>
      <c r="JU8" s="543" t="s">
        <v>383</v>
      </c>
      <c r="JV8" s="542" t="s">
        <v>137</v>
      </c>
      <c r="JW8" s="542" t="s">
        <v>45</v>
      </c>
      <c r="JX8" s="543" t="s">
        <v>383</v>
      </c>
      <c r="JY8" s="542" t="s">
        <v>137</v>
      </c>
      <c r="JZ8" s="542" t="s">
        <v>45</v>
      </c>
      <c r="KA8" s="543" t="s">
        <v>383</v>
      </c>
      <c r="KB8" s="542" t="s">
        <v>137</v>
      </c>
      <c r="KC8" s="542" t="s">
        <v>45</v>
      </c>
      <c r="KD8" s="543" t="s">
        <v>383</v>
      </c>
      <c r="KE8" s="542" t="s">
        <v>137</v>
      </c>
      <c r="KF8" s="542" t="s">
        <v>45</v>
      </c>
      <c r="KG8" s="543" t="s">
        <v>383</v>
      </c>
      <c r="KH8" s="542" t="s">
        <v>137</v>
      </c>
      <c r="KI8" s="542" t="s">
        <v>45</v>
      </c>
      <c r="KJ8" s="543" t="s">
        <v>383</v>
      </c>
      <c r="KK8" s="542" t="s">
        <v>137</v>
      </c>
      <c r="KL8" s="542" t="s">
        <v>45</v>
      </c>
      <c r="KM8" s="543" t="s">
        <v>383</v>
      </c>
      <c r="KN8" s="542" t="s">
        <v>137</v>
      </c>
      <c r="KO8" s="542" t="s">
        <v>45</v>
      </c>
      <c r="KP8" s="543" t="s">
        <v>383</v>
      </c>
      <c r="KQ8" s="732"/>
      <c r="KR8" s="732"/>
    </row>
    <row r="9" spans="1:305" ht="15" customHeight="1">
      <c r="A9" s="267">
        <f>+Report1!A9</f>
        <v>45992</v>
      </c>
      <c r="B9" s="268" t="str">
        <f>+Report1!B9</f>
        <v>Towel</v>
      </c>
      <c r="C9" s="268">
        <f>+Report1!C9</f>
        <v>38</v>
      </c>
      <c r="D9" s="269">
        <f>+Report1!P9</f>
        <v>60.457999999999998</v>
      </c>
      <c r="E9" s="270">
        <f>+Report1!R9</f>
        <v>60.009</v>
      </c>
      <c r="F9" s="544">
        <v>279.06976744186045</v>
      </c>
      <c r="G9" s="545">
        <f t="shared" ref="G9:G39" si="0">+F9/$E9</f>
        <v>4.650465220914537</v>
      </c>
      <c r="H9" s="546">
        <f>+F9*$H$8</f>
        <v>0</v>
      </c>
      <c r="I9" s="544"/>
      <c r="J9" s="545">
        <f t="shared" ref="J9:J39" si="1">+I9/$E9</f>
        <v>0</v>
      </c>
      <c r="K9" s="546">
        <f>+I9*$H$8</f>
        <v>0</v>
      </c>
      <c r="L9" s="544"/>
      <c r="M9" s="545">
        <f t="shared" ref="M9:M39" si="2">+L9/$E9</f>
        <v>0</v>
      </c>
      <c r="N9" s="546">
        <f>+L9*$H$8</f>
        <v>0</v>
      </c>
      <c r="O9" s="544">
        <v>8.9999999999999716</v>
      </c>
      <c r="P9" s="545">
        <f t="shared" ref="P9:P39" si="3">+O9/$E9</f>
        <v>0.14997750337449336</v>
      </c>
      <c r="Q9" s="546">
        <f>+O9*$H$8</f>
        <v>0</v>
      </c>
      <c r="R9" s="544"/>
      <c r="S9" s="545">
        <f t="shared" ref="S9:S39" si="4">+R9/$E9</f>
        <v>0</v>
      </c>
      <c r="T9" s="546">
        <f>+R9*$H$8</f>
        <v>0</v>
      </c>
      <c r="U9" s="544">
        <v>10.250000000000014</v>
      </c>
      <c r="V9" s="545">
        <f t="shared" ref="V9:V39" si="5">+U9/$E9</f>
        <v>0.17080771217650709</v>
      </c>
      <c r="W9" s="546">
        <f>+U9*$H$8</f>
        <v>0</v>
      </c>
      <c r="X9" s="544"/>
      <c r="Y9" s="545">
        <f t="shared" ref="Y9:Y39" si="6">+X9/$E9</f>
        <v>0</v>
      </c>
      <c r="Z9" s="546">
        <f>+X9*$H$8</f>
        <v>0</v>
      </c>
      <c r="AA9" s="544"/>
      <c r="AB9" s="545">
        <f t="shared" ref="AB9:AB39" si="7">+AA9/$E9</f>
        <v>0</v>
      </c>
      <c r="AC9" s="546">
        <f>+AA9*$H$8</f>
        <v>0</v>
      </c>
      <c r="AD9" s="544"/>
      <c r="AE9" s="545">
        <f t="shared" ref="AE9:AE39" si="8">+AD9/$E9</f>
        <v>0</v>
      </c>
      <c r="AF9" s="546">
        <f>+AD9*$H$8</f>
        <v>0</v>
      </c>
      <c r="AG9" s="544"/>
      <c r="AH9" s="545">
        <f t="shared" ref="AH9:AH39" si="9">+AG9/$E9</f>
        <v>0</v>
      </c>
      <c r="AI9" s="546">
        <f>+AG9*$H$8</f>
        <v>0</v>
      </c>
      <c r="AJ9" s="544"/>
      <c r="AK9" s="545">
        <f t="shared" ref="AK9:AK39" si="10">+AJ9/$E9</f>
        <v>0</v>
      </c>
      <c r="AL9" s="546">
        <f>+AJ9*$H$8</f>
        <v>0</v>
      </c>
      <c r="AM9" s="544">
        <v>26.282051282051242</v>
      </c>
      <c r="AN9" s="545">
        <f t="shared" ref="AN9:AN39" si="11">+AM9/$E9</f>
        <v>0.43796849276027333</v>
      </c>
      <c r="AO9" s="546">
        <f>+AM9*$H$8</f>
        <v>0</v>
      </c>
      <c r="AP9" s="544"/>
      <c r="AQ9" s="545">
        <f t="shared" ref="AQ9:AQ39" si="12">+AP9/$E9</f>
        <v>0</v>
      </c>
      <c r="AR9" s="546">
        <f>+AP9*$H$8</f>
        <v>0</v>
      </c>
      <c r="AS9" s="544"/>
      <c r="AT9" s="545">
        <f t="shared" ref="AT9:AT39" si="13">+AS9/$E9</f>
        <v>0</v>
      </c>
      <c r="AU9" s="546">
        <f>+AS9*$H$8</f>
        <v>0</v>
      </c>
      <c r="AV9" s="544">
        <v>5.5500000000000114</v>
      </c>
      <c r="AW9" s="545">
        <f t="shared" ref="AW9:AW39" si="14">+AV9/$E9</f>
        <v>9.2486127080938049E-2</v>
      </c>
      <c r="AX9" s="546">
        <f>+AV9*$H$8</f>
        <v>0</v>
      </c>
      <c r="AY9" s="544">
        <v>30.333333333333371</v>
      </c>
      <c r="AZ9" s="545">
        <f t="shared" ref="AZ9:AZ39" si="15">+AY9/$E9</f>
        <v>0.5054797335955169</v>
      </c>
      <c r="BA9" s="546">
        <f>+AY9*$H$8</f>
        <v>0</v>
      </c>
      <c r="BB9" s="544"/>
      <c r="BC9" s="545">
        <f t="shared" ref="BC9:BC39" si="16">+BB9/$E9</f>
        <v>0</v>
      </c>
      <c r="BD9" s="546">
        <f>+BB9*$H$8</f>
        <v>0</v>
      </c>
      <c r="BE9" s="544"/>
      <c r="BF9" s="545">
        <f t="shared" ref="BF9:BF39" si="17">+BE9/$E9</f>
        <v>0</v>
      </c>
      <c r="BG9" s="546">
        <f>+BE9*$H$8</f>
        <v>0</v>
      </c>
      <c r="BH9" s="544"/>
      <c r="BI9" s="545">
        <f t="shared" ref="BI9:BI39" si="18">+BH9/$E9</f>
        <v>0</v>
      </c>
      <c r="BJ9" s="546">
        <f>+BH9*$H$8</f>
        <v>0</v>
      </c>
      <c r="BK9" s="544"/>
      <c r="BL9" s="545">
        <f t="shared" ref="BL9:BL39" si="19">+BK9/$E9</f>
        <v>0</v>
      </c>
      <c r="BM9" s="546">
        <f>+BK9*$H$8</f>
        <v>0</v>
      </c>
      <c r="BN9" s="544"/>
      <c r="BO9" s="545">
        <f t="shared" ref="BO9:BO39" si="20">+BN9/$E9</f>
        <v>0</v>
      </c>
      <c r="BP9" s="546">
        <f>+BN9*$H$8</f>
        <v>0</v>
      </c>
      <c r="BQ9" s="544"/>
      <c r="BR9" s="545">
        <f t="shared" ref="BR9:BR39" si="21">+BQ9/$E9</f>
        <v>0</v>
      </c>
      <c r="BS9" s="546">
        <f>+BQ9*$H$8</f>
        <v>0</v>
      </c>
      <c r="BT9" s="544"/>
      <c r="BU9" s="545">
        <f t="shared" ref="BU9:BU39" si="22">+BT9/$E9</f>
        <v>0</v>
      </c>
      <c r="BV9" s="546">
        <f>+BT9*$H$8</f>
        <v>0</v>
      </c>
      <c r="BW9" s="544"/>
      <c r="BX9" s="545">
        <f t="shared" ref="BX9:BX39" si="23">+BW9/$E9</f>
        <v>0</v>
      </c>
      <c r="BY9" s="546">
        <f>+BW9*$H$8</f>
        <v>0</v>
      </c>
      <c r="BZ9" s="544">
        <v>0</v>
      </c>
      <c r="CA9" s="545">
        <f t="shared" ref="CA9:CA39" si="24">+BZ9/$E9</f>
        <v>0</v>
      </c>
      <c r="CB9" s="546">
        <f>+BZ9*$H$8</f>
        <v>0</v>
      </c>
      <c r="CC9" s="544"/>
      <c r="CD9" s="545">
        <f t="shared" ref="CD9:CD39" si="25">+CC9/$E9</f>
        <v>0</v>
      </c>
      <c r="CE9" s="546">
        <f>+CC9*$H$8</f>
        <v>0</v>
      </c>
      <c r="CF9" s="544">
        <v>2.4000000000000021</v>
      </c>
      <c r="CG9" s="545">
        <f t="shared" ref="CG9:CG39" si="26">+CF9/$E9</f>
        <v>3.9994000899865052E-2</v>
      </c>
      <c r="CH9" s="546">
        <f>+CF9*$H$8</f>
        <v>0</v>
      </c>
      <c r="CI9" s="544"/>
      <c r="CJ9" s="545">
        <f t="shared" ref="CJ9:CJ39" si="27">+CI9/$E9</f>
        <v>0</v>
      </c>
      <c r="CK9" s="546">
        <f>+CI9*$H$8</f>
        <v>0</v>
      </c>
      <c r="CL9" s="544"/>
      <c r="CM9" s="545">
        <f t="shared" ref="CM9:CM39" si="28">+CL9/$E9</f>
        <v>0</v>
      </c>
      <c r="CN9" s="546">
        <f>+CL9*$H$8</f>
        <v>0</v>
      </c>
      <c r="CO9" s="544"/>
      <c r="CP9" s="545">
        <f t="shared" ref="CP9:CP39" si="29">+CO9/$E9</f>
        <v>0</v>
      </c>
      <c r="CQ9" s="546">
        <f>+CO9*$H$8</f>
        <v>0</v>
      </c>
      <c r="CR9" s="544"/>
      <c r="CS9" s="545">
        <f t="shared" ref="CS9:CS39" si="30">+CR9/$E9</f>
        <v>0</v>
      </c>
      <c r="CT9" s="546">
        <f>+CR9*$H$8</f>
        <v>0</v>
      </c>
      <c r="CU9" s="544"/>
      <c r="CV9" s="545">
        <f t="shared" ref="CV9:CV39" si="31">+CU9/$E9</f>
        <v>0</v>
      </c>
      <c r="CW9" s="546">
        <f>+CU9*$H$8</f>
        <v>0</v>
      </c>
      <c r="CX9" s="544"/>
      <c r="CY9" s="545">
        <f t="shared" ref="CY9:CY39" si="32">+CX9/$E9</f>
        <v>0</v>
      </c>
      <c r="CZ9" s="546">
        <f>+CX9*$H$8</f>
        <v>0</v>
      </c>
      <c r="DA9" s="544">
        <v>250</v>
      </c>
      <c r="DB9" s="545">
        <f t="shared" ref="DB9:DB39" si="33">+DA9/$E9</f>
        <v>4.1660417604026065</v>
      </c>
      <c r="DC9" s="546">
        <f>+DA9*$H$8</f>
        <v>0</v>
      </c>
      <c r="DD9" s="544"/>
      <c r="DE9" s="545">
        <f t="shared" ref="DE9:DE39" si="34">+DD9/$E9</f>
        <v>0</v>
      </c>
      <c r="DF9" s="546">
        <f>+DD9*$H$8</f>
        <v>0</v>
      </c>
      <c r="DG9" s="544"/>
      <c r="DH9" s="545">
        <f t="shared" ref="DH9:DH39" si="35">+DG9/$E9</f>
        <v>0</v>
      </c>
      <c r="DI9" s="546">
        <v>0</v>
      </c>
      <c r="DJ9" s="544"/>
      <c r="DK9" s="545">
        <f t="shared" ref="DK9:DK39" si="36">+DJ9/$E9</f>
        <v>0</v>
      </c>
      <c r="DL9" s="546">
        <f>+DJ9*$H$8</f>
        <v>0</v>
      </c>
      <c r="DM9" s="544"/>
      <c r="DN9" s="545">
        <f t="shared" ref="DN9:DN39" si="37">+DM9/$E9</f>
        <v>0</v>
      </c>
      <c r="DO9" s="546">
        <f>+DM9*$H$8</f>
        <v>0</v>
      </c>
      <c r="DP9" s="544"/>
      <c r="DQ9" s="545">
        <f t="shared" ref="DQ9:DQ39" si="38">+DP9/$E9</f>
        <v>0</v>
      </c>
      <c r="DR9" s="546">
        <f>+DP9*$H$8</f>
        <v>0</v>
      </c>
      <c r="DS9" s="544"/>
      <c r="DT9" s="545">
        <f t="shared" ref="DT9:DT39" si="39">+DS9/$E9</f>
        <v>0</v>
      </c>
      <c r="DU9" s="546">
        <f>+DS9*$H$8</f>
        <v>0</v>
      </c>
      <c r="DV9" s="544"/>
      <c r="DW9" s="545">
        <f t="shared" ref="DW9:DW39" si="40">+DV9/$E9</f>
        <v>0</v>
      </c>
      <c r="DX9" s="546">
        <f>+DV9*$H$8</f>
        <v>0</v>
      </c>
      <c r="DY9" s="544"/>
      <c r="DZ9" s="545">
        <f t="shared" ref="DZ9:DZ39" si="41">+DY9/$E9</f>
        <v>0</v>
      </c>
      <c r="EA9" s="546">
        <f>+DY9*$H$8</f>
        <v>0</v>
      </c>
      <c r="EB9" s="544">
        <v>1270.5882352941178</v>
      </c>
      <c r="EC9" s="545">
        <f t="shared" ref="EC9:EC39" si="42">+EB9/$E9</f>
        <v>21.17329459404619</v>
      </c>
      <c r="ED9" s="546">
        <f>+EB9*$H$8</f>
        <v>0</v>
      </c>
      <c r="EE9" s="544">
        <v>58.139534883720899</v>
      </c>
      <c r="EF9" s="545">
        <f t="shared" ref="EF9:EF39" si="43">+EE9/$E9</f>
        <v>0.96884692102386138</v>
      </c>
      <c r="EG9" s="546">
        <f>+EE9*$H$8</f>
        <v>0</v>
      </c>
      <c r="EH9" s="544">
        <v>0</v>
      </c>
      <c r="EI9" s="545">
        <f t="shared" ref="EI9:EI39" si="44">+EH9/$E9</f>
        <v>0</v>
      </c>
      <c r="EJ9" s="546">
        <f>+EH9*$H$8</f>
        <v>0</v>
      </c>
      <c r="EK9" s="544"/>
      <c r="EL9" s="545">
        <f t="shared" ref="EL9:EL39" si="45">+EK9/$E9</f>
        <v>0</v>
      </c>
      <c r="EM9" s="546">
        <f>+EK9*$H$8</f>
        <v>0</v>
      </c>
      <c r="EN9" s="544"/>
      <c r="EO9" s="545">
        <f t="shared" ref="EO9:EO39" si="46">+EN9/$E9</f>
        <v>0</v>
      </c>
      <c r="EP9" s="546">
        <f>+EN9*$H$8</f>
        <v>0</v>
      </c>
      <c r="EQ9" s="544"/>
      <c r="ER9" s="545">
        <f t="shared" ref="ER9:ER39" si="47">+EQ9/$E9</f>
        <v>0</v>
      </c>
      <c r="ES9" s="546">
        <f>+EQ9*$H$8</f>
        <v>0</v>
      </c>
      <c r="ET9" s="544"/>
      <c r="EU9" s="545">
        <f t="shared" ref="EU9:EU39" si="48">+ET9/$E9</f>
        <v>0</v>
      </c>
      <c r="EV9" s="546">
        <f>+ET9*$H$8</f>
        <v>0</v>
      </c>
      <c r="EW9" s="544"/>
      <c r="EX9" s="545">
        <f t="shared" ref="EX9:EX39" si="49">+EW9/$E9</f>
        <v>0</v>
      </c>
      <c r="EY9" s="546">
        <f>+EW9*$H$8</f>
        <v>0</v>
      </c>
      <c r="EZ9" s="544"/>
      <c r="FA9" s="545">
        <f t="shared" ref="FA9:FA39" si="50">+EZ9/$E9</f>
        <v>0</v>
      </c>
      <c r="FB9" s="546">
        <f>+EZ9*$H$8</f>
        <v>0</v>
      </c>
      <c r="FC9" s="544"/>
      <c r="FD9" s="545">
        <f t="shared" ref="FD9:FD39" si="51">+FC9/$E9</f>
        <v>0</v>
      </c>
      <c r="FE9" s="546">
        <f>+FC9*$H$8</f>
        <v>0</v>
      </c>
      <c r="FF9" s="544"/>
      <c r="FG9" s="545">
        <f t="shared" ref="FG9:FG39" si="52">+FF9/$E9</f>
        <v>0</v>
      </c>
      <c r="FH9" s="546">
        <f>+FF9*$H$8</f>
        <v>0</v>
      </c>
      <c r="FI9" s="544"/>
      <c r="FJ9" s="545">
        <f t="shared" ref="FJ9:FJ39" si="53">+FI9/$E9</f>
        <v>0</v>
      </c>
      <c r="FK9" s="546">
        <f>+FI9*$H$8</f>
        <v>0</v>
      </c>
      <c r="FL9" s="544"/>
      <c r="FM9" s="545">
        <f t="shared" ref="FM9:FM39" si="54">+FL9/$E9</f>
        <v>0</v>
      </c>
      <c r="FN9" s="546">
        <f>+FL9*$H$8</f>
        <v>0</v>
      </c>
      <c r="FO9" s="544"/>
      <c r="FP9" s="545">
        <f t="shared" ref="FP9:FP39" si="55">+FO9/$E9</f>
        <v>0</v>
      </c>
      <c r="FQ9" s="546">
        <f>+FO9*$H$8</f>
        <v>0</v>
      </c>
      <c r="FR9" s="544"/>
      <c r="FS9" s="545">
        <f t="shared" ref="FS9:FS39" si="56">+FR9/$E9</f>
        <v>0</v>
      </c>
      <c r="FT9" s="546">
        <f>+FR9*$H$8</f>
        <v>0</v>
      </c>
      <c r="FU9" s="544"/>
      <c r="FV9" s="545">
        <f t="shared" ref="FV9:FV39" si="57">+FU9/$E9</f>
        <v>0</v>
      </c>
      <c r="FW9" s="546">
        <f>+FU9*$H$8</f>
        <v>0</v>
      </c>
      <c r="FX9" s="544"/>
      <c r="FY9" s="545">
        <f t="shared" ref="FY9:FY39" si="58">+FX9/$E9</f>
        <v>0</v>
      </c>
      <c r="FZ9" s="546">
        <f>+FX9*$H$8</f>
        <v>0</v>
      </c>
      <c r="GA9" s="544"/>
      <c r="GB9" s="545">
        <f t="shared" ref="GB9:GB39" si="59">+GA9/$E9</f>
        <v>0</v>
      </c>
      <c r="GC9" s="546">
        <f>+GA9*$H$8</f>
        <v>0</v>
      </c>
      <c r="GD9" s="544"/>
      <c r="GE9" s="545">
        <f t="shared" ref="GE9:GE39" si="60">+GD9/$E9</f>
        <v>0</v>
      </c>
      <c r="GF9" s="546">
        <f>+GD9*$H$8</f>
        <v>0</v>
      </c>
      <c r="GG9" s="544">
        <v>10</v>
      </c>
      <c r="GH9" s="545">
        <f t="shared" ref="GH9:GH39" si="61">+GG9/$E9</f>
        <v>0.16664167041610425</v>
      </c>
      <c r="GI9" s="546">
        <f>+GG9*$H$8</f>
        <v>0</v>
      </c>
      <c r="GJ9" s="544">
        <v>10</v>
      </c>
      <c r="GK9" s="545">
        <f t="shared" ref="GK9:GK29" si="62">+GJ9/$E9</f>
        <v>0.16664167041610425</v>
      </c>
      <c r="GL9" s="546">
        <f>+GJ9*$H$8</f>
        <v>0</v>
      </c>
      <c r="GM9" s="544">
        <v>10</v>
      </c>
      <c r="GN9" s="545">
        <f t="shared" ref="GN9:GN25" si="63">+GM9/$E9</f>
        <v>0.16664167041610425</v>
      </c>
      <c r="GO9" s="546">
        <f>+GM9*$H$8</f>
        <v>0</v>
      </c>
      <c r="GP9" s="544">
        <v>0</v>
      </c>
      <c r="GQ9" s="545">
        <f t="shared" ref="GQ9:GQ25" si="64">+GP9/$E9</f>
        <v>0</v>
      </c>
      <c r="GR9" s="546">
        <f>+GP9*$H$8</f>
        <v>0</v>
      </c>
      <c r="GS9" s="544">
        <v>0</v>
      </c>
      <c r="GT9" s="545">
        <f t="shared" ref="GT9:GT25" si="65">+GS9/$E9</f>
        <v>0</v>
      </c>
      <c r="GU9" s="546">
        <f>+GS9*$H$8</f>
        <v>0</v>
      </c>
      <c r="GV9" s="544">
        <v>0</v>
      </c>
      <c r="GW9" s="545">
        <f t="shared" ref="GW9:GW28" si="66">+GV9/$E9</f>
        <v>0</v>
      </c>
      <c r="GX9" s="546">
        <f>+GV9*$H$8</f>
        <v>0</v>
      </c>
      <c r="GY9" s="544"/>
      <c r="GZ9" s="545">
        <f t="shared" ref="GZ9:GZ39" si="67">+GY9/$E9</f>
        <v>0</v>
      </c>
      <c r="HA9" s="546">
        <f>+GY9*$H$8</f>
        <v>0</v>
      </c>
      <c r="HB9" s="544"/>
      <c r="HC9" s="545">
        <f t="shared" ref="HC9:HC39" si="68">+HB9/$E9</f>
        <v>0</v>
      </c>
      <c r="HD9" s="546">
        <f>+HB9*$H$8</f>
        <v>0</v>
      </c>
      <c r="HE9" s="544"/>
      <c r="HF9" s="545">
        <f t="shared" ref="HF9:HF39" si="69">+HE9/$E9</f>
        <v>0</v>
      </c>
      <c r="HG9" s="546">
        <f>+HE9*$H$8</f>
        <v>0</v>
      </c>
      <c r="HH9" s="544"/>
      <c r="HI9" s="545">
        <f t="shared" ref="HI9:HI39" si="70">+HH9/$E9</f>
        <v>0</v>
      </c>
      <c r="HJ9" s="546">
        <f>+HH9*$H$8</f>
        <v>0</v>
      </c>
      <c r="HK9" s="544"/>
      <c r="HL9" s="545">
        <f t="shared" ref="HL9:HL39" si="71">+HK9/$E9</f>
        <v>0</v>
      </c>
      <c r="HM9" s="546">
        <f>+HK9*$H$8</f>
        <v>0</v>
      </c>
      <c r="HN9" s="544">
        <v>1826</v>
      </c>
      <c r="HO9" s="545">
        <f t="shared" ref="HO9:HO39" si="72">+HN9/$E9</f>
        <v>30.428769017980635</v>
      </c>
      <c r="HP9" s="546">
        <f>+HN9*$H$8</f>
        <v>0</v>
      </c>
      <c r="HQ9" s="544"/>
      <c r="HR9" s="545">
        <f t="shared" ref="HR9:HR39" si="73">+HQ9/$E9</f>
        <v>0</v>
      </c>
      <c r="HS9" s="546">
        <f>+HQ9*$H$8</f>
        <v>0</v>
      </c>
      <c r="HT9" s="544">
        <v>90</v>
      </c>
      <c r="HU9" s="545">
        <f t="shared" ref="HU9:HU39" si="74">+HT9/$E9</f>
        <v>1.4997750337449383</v>
      </c>
      <c r="HV9" s="546">
        <f>+HT9*$H$8</f>
        <v>0</v>
      </c>
      <c r="HW9" s="544">
        <v>15</v>
      </c>
      <c r="HX9" s="545">
        <f t="shared" ref="HX9:HX39" si="75">+HW9/$E9</f>
        <v>0.24996250562415637</v>
      </c>
      <c r="HY9" s="546">
        <f>+HW9*$H$8</f>
        <v>0</v>
      </c>
      <c r="HZ9" s="544">
        <v>60</v>
      </c>
      <c r="IA9" s="545">
        <f t="shared" ref="IA9:IA34" si="76">+HZ9/$E9</f>
        <v>0.99985002249662547</v>
      </c>
      <c r="IB9" s="546">
        <f>+HZ9*$H$8</f>
        <v>0</v>
      </c>
      <c r="IC9" s="544">
        <v>50</v>
      </c>
      <c r="ID9" s="545">
        <f t="shared" ref="ID9:ID39" si="77">+IC9/$E9</f>
        <v>0.83320835208052124</v>
      </c>
      <c r="IE9" s="546">
        <f>+IC9*$H$8</f>
        <v>0</v>
      </c>
      <c r="IF9" s="544">
        <v>0</v>
      </c>
      <c r="IG9" s="545">
        <f t="shared" ref="IG9:IG39" si="78">+IF9/$E9</f>
        <v>0</v>
      </c>
      <c r="IH9" s="546">
        <f>+IF9*$H$8</f>
        <v>0</v>
      </c>
      <c r="II9" s="544"/>
      <c r="IJ9" s="545">
        <f t="shared" ref="IJ9:IJ39" si="79">+II9/$E9</f>
        <v>0</v>
      </c>
      <c r="IK9" s="546">
        <f>+II9*$H$8</f>
        <v>0</v>
      </c>
      <c r="IL9" s="544"/>
      <c r="IM9" s="545">
        <f t="shared" ref="IM9:IM39" si="80">+IL9/$E9</f>
        <v>0</v>
      </c>
      <c r="IN9" s="546">
        <f>+IL9*$H$8</f>
        <v>0</v>
      </c>
      <c r="IO9" s="544">
        <v>120</v>
      </c>
      <c r="IP9" s="545">
        <f t="shared" ref="IP9:IP39" si="81">+IO9/$E9</f>
        <v>1.9997000449932509</v>
      </c>
      <c r="IQ9" s="546">
        <f>+IO9*$H$8</f>
        <v>0</v>
      </c>
      <c r="IR9" s="544">
        <v>10</v>
      </c>
      <c r="IS9" s="545">
        <f t="shared" ref="IS9:IS39" si="82">+IR9/$E9</f>
        <v>0.16664167041610425</v>
      </c>
      <c r="IT9" s="546">
        <f>+IR9*$H$8</f>
        <v>0</v>
      </c>
      <c r="IU9" s="544"/>
      <c r="IV9" s="545">
        <f t="shared" ref="IV9:IV39" si="83">+IU9/$E9</f>
        <v>0</v>
      </c>
      <c r="IW9" s="546">
        <f>+IU9*$H$8</f>
        <v>0</v>
      </c>
      <c r="IX9" s="544">
        <v>10</v>
      </c>
      <c r="IY9" s="545">
        <f t="shared" ref="IY9:IY39" si="84">+IX9/$E9</f>
        <v>0.16664167041610425</v>
      </c>
      <c r="IZ9" s="546">
        <f>+IX9*$H$8</f>
        <v>0</v>
      </c>
      <c r="JA9" s="544"/>
      <c r="JB9" s="545">
        <f t="shared" ref="JB9:JB39" si="85">+JA9/$E9</f>
        <v>0</v>
      </c>
      <c r="JC9" s="546">
        <f>+JA9*$H$8</f>
        <v>0</v>
      </c>
      <c r="JD9" s="544"/>
      <c r="JE9" s="545">
        <f t="shared" ref="JE9:JE39" si="86">+JD9/$E9</f>
        <v>0</v>
      </c>
      <c r="JF9" s="546">
        <f>+JD9*$H$8</f>
        <v>0</v>
      </c>
      <c r="JG9" s="544">
        <v>10</v>
      </c>
      <c r="JH9" s="546" t="str">
        <f t="shared" ref="JH9:JH39" si="87">IFERROR((JG9/$L9),"0")</f>
        <v>0</v>
      </c>
      <c r="JI9" s="546" t="str">
        <f t="shared" ref="JI9:JI39" si="88">IFERROR(((JG9*JI$8)/$L9),"0")</f>
        <v>0</v>
      </c>
      <c r="JJ9" s="544">
        <v>50</v>
      </c>
      <c r="JK9" s="546" t="str">
        <f t="shared" ref="JK9:JK39" si="89">IFERROR((JJ9/$L9),"0")</f>
        <v>0</v>
      </c>
      <c r="JL9" s="546" t="str">
        <f t="shared" ref="JL9:JL39" si="90">IFERROR(((JJ9*JL$8)/$L9),"0")</f>
        <v>0</v>
      </c>
      <c r="JM9" s="544">
        <v>10</v>
      </c>
      <c r="JN9" s="546" t="str">
        <f t="shared" ref="JN9:JN39" si="91">IFERROR((JM9/$L9),"0")</f>
        <v>0</v>
      </c>
      <c r="JO9" s="546" t="str">
        <f t="shared" ref="JO9:JO39" si="92">IFERROR(((JM9*JO$8)/$L9),"0")</f>
        <v>0</v>
      </c>
      <c r="JP9" s="544"/>
      <c r="JQ9" s="546" t="str">
        <f t="shared" ref="JQ9:JQ39" si="93">IFERROR((JP9/$L9),"0")</f>
        <v>0</v>
      </c>
      <c r="JR9" s="546" t="str">
        <f t="shared" ref="JR9:JR39" si="94">IFERROR(((JP9*JR$8)/$L9),"0")</f>
        <v>0</v>
      </c>
      <c r="JS9" s="544"/>
      <c r="JT9" s="546" t="str">
        <f t="shared" ref="JT9:JT39" si="95">IFERROR((JS9/$L9),"0")</f>
        <v>0</v>
      </c>
      <c r="JU9" s="546" t="str">
        <f t="shared" ref="JU9:JU39" si="96">IFERROR(((JS9*JU$8)/$L9),"0")</f>
        <v>0</v>
      </c>
      <c r="JV9" s="544"/>
      <c r="JW9" s="546" t="str">
        <f t="shared" ref="JW9:JW39" si="97">IFERROR((JV9/$L9),"0")</f>
        <v>0</v>
      </c>
      <c r="JX9" s="546" t="str">
        <f t="shared" ref="JX9:JX39" si="98">IFERROR(((JV9*JX$8)/$L9),"0")</f>
        <v>0</v>
      </c>
      <c r="JY9" s="544"/>
      <c r="JZ9" s="546" t="str">
        <f t="shared" ref="JZ9:JZ39" si="99">IFERROR((JY9/$L9),"0")</f>
        <v>0</v>
      </c>
      <c r="KA9" s="546" t="str">
        <f t="shared" ref="KA9:KA39" si="100">IFERROR(((JY9*KA$8)/$L9),"0")</f>
        <v>0</v>
      </c>
      <c r="KB9" s="544"/>
      <c r="KC9" s="546" t="str">
        <f t="shared" ref="KC9:KC39" si="101">IFERROR((KB9/$L9),"0")</f>
        <v>0</v>
      </c>
      <c r="KD9" s="546" t="str">
        <f t="shared" ref="KD9:KD39" si="102">IFERROR(((KB9*KD$8)/$L9),"0")</f>
        <v>0</v>
      </c>
      <c r="KE9" s="544"/>
      <c r="KF9" s="546" t="str">
        <f t="shared" ref="KF9:KF39" si="103">IFERROR((KE9/$L9),"0")</f>
        <v>0</v>
      </c>
      <c r="KG9" s="546" t="str">
        <f t="shared" ref="KG9:KG39" si="104">IFERROR(((KE9*KG$8)/$L9),"0")</f>
        <v>0</v>
      </c>
      <c r="KH9" s="544"/>
      <c r="KI9" s="546" t="str">
        <f t="shared" ref="KI9:KI39" si="105">IFERROR((KH9/$L9),"0")</f>
        <v>0</v>
      </c>
      <c r="KJ9" s="546" t="str">
        <f t="shared" ref="KJ9:KJ39" si="106">IFERROR(((KH9*KJ$8)/$L9),"0")</f>
        <v>0</v>
      </c>
      <c r="KK9" s="544"/>
      <c r="KL9" s="546" t="str">
        <f t="shared" ref="KL9:KL39" si="107">IFERROR((KK9/$L9),"0")</f>
        <v>0</v>
      </c>
      <c r="KM9" s="546" t="str">
        <f t="shared" ref="KM9:KM39" si="108">IFERROR(((KK9*KM$8)/$L9),"0")</f>
        <v>0</v>
      </c>
      <c r="KN9" s="544"/>
      <c r="KO9" s="546" t="str">
        <f t="shared" ref="KO9:KO39" si="109">IFERROR((KN9/$L9),"0")</f>
        <v>0</v>
      </c>
      <c r="KP9" s="546" t="str">
        <f t="shared" ref="KP9:KP39" si="110">IFERROR(((KN9*KP$8)/$L9),"0")</f>
        <v>0</v>
      </c>
      <c r="KQ9" s="546">
        <f t="shared" ref="KQ9:KQ39" si="111">H9+K9+N9+Q9+T9+W9+Z9+AC9+AF9+AI9+AL9+AO9+AR9+AU9+AX9+BA9+BD9+BG9+BJ9+BM9+BP9+BS9+BV9+BY9+CB9+CE9+CH9+CK9+CN9+CQ9+CT9+CW9+CZ9+DC9+DF9+DI9+DL9+DO9+DR9+DU9+DX9+EA9+ED9+EG9+EJ9+EM9+EP9+ES9+EV9+EY9+FB9+FE9+FH9+FK9+FN9+FQ9+FT9+FW9+FZ9+GC9</f>
        <v>0</v>
      </c>
      <c r="KR9" s="546">
        <f>GF9+GI9+GL9+GO9+GR9+GU9+GX9+HA9+HD9+HG9+HJ9+HM9+HP9+HS9+HV9+HY9+IB9+IE9+IH9+IK9+IN9+IQ9+IT9+IW9+IZ9+JC9+JF9+JI9+JL9+JO9+JR9+JU9++JX9+KA9+KD9+KG9++KJ9+KM9+KP9</f>
        <v>0</v>
      </c>
      <c r="KS9" s="265">
        <f>+F9+I9+L9+O9+R9+U9+X9+AA9+AD9+AG9+AJ9+AM9+AP9+AS9+AV9+AY9+BB9+BE9+BH9+BK9+BN9+BQ9+BT9+BW9+BZ9+CC9+CF9+CI9+CL9+CO9+CR9+CU9+CX9+DA9+DD9+DJ9+DM9+DP9+DS9+DV9+DY9+EB9+GG9+GJ9+GM9+GP9+GS9+HN9+IF9+IO9+GV9+IR9++HT9+HW9+HZ9+IC9+IX9+JG9+JJ9+HB9+EE9+GD9+EH9+JM9+JP9+JS9</f>
        <v>4222.6129222350846</v>
      </c>
    </row>
    <row r="10" spans="1:305" ht="15" customHeight="1">
      <c r="A10" s="267">
        <f>+Report1!A10</f>
        <v>45993</v>
      </c>
      <c r="B10" s="268" t="str">
        <f>+Report1!B10</f>
        <v>Towel/Napkin</v>
      </c>
      <c r="C10" s="268" t="str">
        <f>+Report1!C10</f>
        <v>38/36/20</v>
      </c>
      <c r="D10" s="269">
        <f>+Report1!P10</f>
        <v>51.539000000000001</v>
      </c>
      <c r="E10" s="270">
        <f>+Report1!R10</f>
        <v>44.423000000000002</v>
      </c>
      <c r="F10" s="544">
        <v>267.44186046511641</v>
      </c>
      <c r="G10" s="545">
        <f t="shared" si="0"/>
        <v>6.0203466777371268</v>
      </c>
      <c r="H10" s="546">
        <f t="shared" ref="H10:H39" si="112">+F10*$H$8</f>
        <v>0</v>
      </c>
      <c r="I10" s="544"/>
      <c r="J10" s="545">
        <f t="shared" si="1"/>
        <v>0</v>
      </c>
      <c r="K10" s="546">
        <f t="shared" ref="K10:K39" si="113">+I10*$H$8</f>
        <v>0</v>
      </c>
      <c r="L10" s="544"/>
      <c r="M10" s="545">
        <f t="shared" si="2"/>
        <v>0</v>
      </c>
      <c r="N10" s="546">
        <f t="shared" ref="N10:N39" si="114">+L10*$H$8</f>
        <v>0</v>
      </c>
      <c r="O10" s="544">
        <v>9</v>
      </c>
      <c r="P10" s="545">
        <f t="shared" si="3"/>
        <v>0.20259775341602324</v>
      </c>
      <c r="Q10" s="546">
        <f t="shared" ref="Q10:Q39" si="115">+O10*$H$8</f>
        <v>0</v>
      </c>
      <c r="R10" s="544"/>
      <c r="S10" s="545">
        <f t="shared" si="4"/>
        <v>0</v>
      </c>
      <c r="T10" s="546">
        <f t="shared" ref="T10:T39" si="116">+R10*$H$8</f>
        <v>0</v>
      </c>
      <c r="U10" s="544">
        <v>10.25</v>
      </c>
      <c r="V10" s="545">
        <f t="shared" si="5"/>
        <v>0.23073633027935977</v>
      </c>
      <c r="W10" s="546">
        <f t="shared" ref="W10:W39" si="117">+U10*$H$8</f>
        <v>0</v>
      </c>
      <c r="X10" s="544"/>
      <c r="Y10" s="545">
        <f t="shared" si="6"/>
        <v>0</v>
      </c>
      <c r="Z10" s="546">
        <f t="shared" ref="Z10:Z39" si="118">+X10*$H$8</f>
        <v>0</v>
      </c>
      <c r="AA10" s="544"/>
      <c r="AB10" s="545">
        <f t="shared" si="7"/>
        <v>0</v>
      </c>
      <c r="AC10" s="546">
        <f t="shared" ref="AC10:AC39" si="119">+AA10*$H$8</f>
        <v>0</v>
      </c>
      <c r="AD10" s="544"/>
      <c r="AE10" s="545">
        <f t="shared" si="8"/>
        <v>0</v>
      </c>
      <c r="AF10" s="546">
        <f t="shared" ref="AF10:AF39" si="120">+AD10*$H$8</f>
        <v>0</v>
      </c>
      <c r="AG10" s="544"/>
      <c r="AH10" s="545">
        <f t="shared" si="9"/>
        <v>0</v>
      </c>
      <c r="AI10" s="546">
        <f t="shared" ref="AI10:AI39" si="121">+AG10*$H$8</f>
        <v>0</v>
      </c>
      <c r="AJ10" s="544"/>
      <c r="AK10" s="545">
        <f t="shared" si="10"/>
        <v>0</v>
      </c>
      <c r="AL10" s="546">
        <f t="shared" ref="AL10:AL39" si="122">+AJ10*$H$8</f>
        <v>0</v>
      </c>
      <c r="AM10" s="544">
        <v>15.769230769230802</v>
      </c>
      <c r="AN10" s="545">
        <f t="shared" si="11"/>
        <v>0.35497896966055426</v>
      </c>
      <c r="AO10" s="546">
        <f t="shared" ref="AO10:AO39" si="123">+AM10*$H$8</f>
        <v>0</v>
      </c>
      <c r="AP10" s="544"/>
      <c r="AQ10" s="545">
        <f t="shared" si="12"/>
        <v>0</v>
      </c>
      <c r="AR10" s="546">
        <f t="shared" ref="AR10:AR39" si="124">+AP10*$H$8</f>
        <v>0</v>
      </c>
      <c r="AS10" s="544"/>
      <c r="AT10" s="545">
        <f t="shared" si="13"/>
        <v>0</v>
      </c>
      <c r="AU10" s="546">
        <f t="shared" ref="AU10:AU39" si="125">+AS10*$H$8</f>
        <v>0</v>
      </c>
      <c r="AV10" s="544">
        <v>2.7749999999999915</v>
      </c>
      <c r="AW10" s="545">
        <f t="shared" si="14"/>
        <v>6.2467640636606966E-2</v>
      </c>
      <c r="AX10" s="546">
        <f t="shared" ref="AX10:AX39" si="126">+AV10*$H$8</f>
        <v>0</v>
      </c>
      <c r="AY10" s="544">
        <v>65.333333333333258</v>
      </c>
      <c r="AZ10" s="545">
        <f t="shared" si="15"/>
        <v>1.4707096173903891</v>
      </c>
      <c r="BA10" s="546">
        <f t="shared" ref="BA10:BA39" si="127">+AY10*$H$8</f>
        <v>0</v>
      </c>
      <c r="BB10" s="544"/>
      <c r="BC10" s="545">
        <f t="shared" si="16"/>
        <v>0</v>
      </c>
      <c r="BD10" s="546">
        <f t="shared" ref="BD10:BD39" si="128">+BB10*$H$8</f>
        <v>0</v>
      </c>
      <c r="BE10" s="544"/>
      <c r="BF10" s="545">
        <f t="shared" si="17"/>
        <v>0</v>
      </c>
      <c r="BG10" s="546">
        <f t="shared" ref="BG10:BG39" si="129">+BE10*$H$8</f>
        <v>0</v>
      </c>
      <c r="BH10" s="544"/>
      <c r="BI10" s="545">
        <f t="shared" si="18"/>
        <v>0</v>
      </c>
      <c r="BJ10" s="546">
        <f t="shared" ref="BJ10:BJ39" si="130">+BH10*$H$8</f>
        <v>0</v>
      </c>
      <c r="BK10" s="544"/>
      <c r="BL10" s="545">
        <f t="shared" si="19"/>
        <v>0</v>
      </c>
      <c r="BM10" s="546">
        <f t="shared" ref="BM10:BM39" si="131">+BK10*$H$8</f>
        <v>0</v>
      </c>
      <c r="BN10" s="544"/>
      <c r="BO10" s="545">
        <f t="shared" si="20"/>
        <v>0</v>
      </c>
      <c r="BP10" s="546">
        <f t="shared" ref="BP10:BP39" si="132">+BN10*$H$8</f>
        <v>0</v>
      </c>
      <c r="BQ10" s="544"/>
      <c r="BR10" s="545">
        <f t="shared" si="21"/>
        <v>0</v>
      </c>
      <c r="BS10" s="546">
        <f t="shared" ref="BS10:BS39" si="133">+BQ10*$H$8</f>
        <v>0</v>
      </c>
      <c r="BT10" s="544"/>
      <c r="BU10" s="545">
        <f t="shared" si="22"/>
        <v>0</v>
      </c>
      <c r="BV10" s="546">
        <f t="shared" ref="BV10:BV39" si="134">+BT10*$H$8</f>
        <v>0</v>
      </c>
      <c r="BW10" s="544"/>
      <c r="BX10" s="545">
        <f t="shared" si="23"/>
        <v>0</v>
      </c>
      <c r="BY10" s="546">
        <f t="shared" ref="BY10:BY39" si="135">+BW10*$H$8</f>
        <v>0</v>
      </c>
      <c r="BZ10" s="544">
        <v>0</v>
      </c>
      <c r="CA10" s="545">
        <f t="shared" si="24"/>
        <v>0</v>
      </c>
      <c r="CB10" s="546">
        <f t="shared" ref="CB10:CB39" si="136">+BZ10*$H$8</f>
        <v>0</v>
      </c>
      <c r="CC10" s="544"/>
      <c r="CD10" s="545">
        <f t="shared" si="25"/>
        <v>0</v>
      </c>
      <c r="CE10" s="546">
        <f t="shared" ref="CE10:CE39" si="137">+CC10*$H$8</f>
        <v>0</v>
      </c>
      <c r="CF10" s="544">
        <v>2.3999999999999986</v>
      </c>
      <c r="CG10" s="545">
        <f t="shared" si="26"/>
        <v>5.4026067577606161E-2</v>
      </c>
      <c r="CH10" s="546">
        <f t="shared" ref="CH10:CH39" si="138">+CF10*$H$8</f>
        <v>0</v>
      </c>
      <c r="CI10" s="544"/>
      <c r="CJ10" s="545">
        <f t="shared" si="27"/>
        <v>0</v>
      </c>
      <c r="CK10" s="546">
        <f t="shared" ref="CK10:CK39" si="139">+CI10*$H$8</f>
        <v>0</v>
      </c>
      <c r="CL10" s="544"/>
      <c r="CM10" s="545">
        <f t="shared" si="28"/>
        <v>0</v>
      </c>
      <c r="CN10" s="546">
        <f t="shared" ref="CN10:CN39" si="140">+CL10*$H$8</f>
        <v>0</v>
      </c>
      <c r="CO10" s="544"/>
      <c r="CP10" s="545">
        <f t="shared" si="29"/>
        <v>0</v>
      </c>
      <c r="CQ10" s="546">
        <f t="shared" ref="CQ10:CQ39" si="141">+CO10*$H$8</f>
        <v>0</v>
      </c>
      <c r="CR10" s="544"/>
      <c r="CS10" s="545">
        <f t="shared" si="30"/>
        <v>0</v>
      </c>
      <c r="CT10" s="546">
        <f t="shared" ref="CT10:CT39" si="142">+CR10*$H$8</f>
        <v>0</v>
      </c>
      <c r="CU10" s="544"/>
      <c r="CV10" s="545">
        <f t="shared" si="31"/>
        <v>0</v>
      </c>
      <c r="CW10" s="546">
        <f t="shared" ref="CW10:CW39" si="143">+CU10*$H$8</f>
        <v>0</v>
      </c>
      <c r="CX10" s="544"/>
      <c r="CY10" s="545">
        <f t="shared" si="32"/>
        <v>0</v>
      </c>
      <c r="CZ10" s="546">
        <f t="shared" ref="CZ10:CZ39" si="144">+CX10*$H$8</f>
        <v>0</v>
      </c>
      <c r="DA10" s="544">
        <v>264.70588235294122</v>
      </c>
      <c r="DB10" s="545">
        <f t="shared" si="33"/>
        <v>5.9587574534124483</v>
      </c>
      <c r="DC10" s="546">
        <f t="shared" ref="DC10:DC39" si="145">+DA10*$H$8</f>
        <v>0</v>
      </c>
      <c r="DD10" s="544"/>
      <c r="DE10" s="545">
        <f t="shared" si="34"/>
        <v>0</v>
      </c>
      <c r="DF10" s="546">
        <f t="shared" ref="DF10:DF39" si="146">+DD10*$H$8</f>
        <v>0</v>
      </c>
      <c r="DG10" s="544"/>
      <c r="DH10" s="545">
        <f t="shared" si="35"/>
        <v>0</v>
      </c>
      <c r="DI10" s="546">
        <v>0</v>
      </c>
      <c r="DJ10" s="544"/>
      <c r="DK10" s="545">
        <f t="shared" si="36"/>
        <v>0</v>
      </c>
      <c r="DL10" s="546">
        <f t="shared" ref="DL10:DL39" si="147">+DJ10*$H$8</f>
        <v>0</v>
      </c>
      <c r="DM10" s="544"/>
      <c r="DN10" s="545">
        <f t="shared" si="37"/>
        <v>0</v>
      </c>
      <c r="DO10" s="546">
        <f t="shared" ref="DO10:DO39" si="148">+DM10*$H$8</f>
        <v>0</v>
      </c>
      <c r="DP10" s="544"/>
      <c r="DQ10" s="545">
        <f t="shared" si="38"/>
        <v>0</v>
      </c>
      <c r="DR10" s="546">
        <f t="shared" ref="DR10:DR39" si="149">+DP10*$H$8</f>
        <v>0</v>
      </c>
      <c r="DS10" s="544"/>
      <c r="DT10" s="545">
        <f t="shared" si="39"/>
        <v>0</v>
      </c>
      <c r="DU10" s="546">
        <f t="shared" ref="DU10:DU39" si="150">+DS10*$H$8</f>
        <v>0</v>
      </c>
      <c r="DV10" s="544"/>
      <c r="DW10" s="545">
        <f t="shared" si="40"/>
        <v>0</v>
      </c>
      <c r="DX10" s="546">
        <f t="shared" ref="DX10:DX39" si="151">+DV10*$H$8</f>
        <v>0</v>
      </c>
      <c r="DY10" s="544"/>
      <c r="DZ10" s="545">
        <f t="shared" si="41"/>
        <v>0</v>
      </c>
      <c r="EA10" s="546">
        <f t="shared" ref="EA10:EA39" si="152">+DY10*$H$8</f>
        <v>0</v>
      </c>
      <c r="EB10" s="544">
        <v>847.05882352941171</v>
      </c>
      <c r="EC10" s="545">
        <f t="shared" si="42"/>
        <v>19.068023850919833</v>
      </c>
      <c r="ED10" s="546">
        <f t="shared" ref="ED10:ED39" si="153">+EB10*$H$8</f>
        <v>0</v>
      </c>
      <c r="EE10" s="544">
        <v>0</v>
      </c>
      <c r="EF10" s="545">
        <f t="shared" si="43"/>
        <v>0</v>
      </c>
      <c r="EG10" s="546">
        <f t="shared" ref="EG10:EG39" si="154">+EE10*$H$8</f>
        <v>0</v>
      </c>
      <c r="EH10" s="544">
        <v>2</v>
      </c>
      <c r="EI10" s="545">
        <f t="shared" si="44"/>
        <v>4.5021722981338497E-2</v>
      </c>
      <c r="EJ10" s="546">
        <f t="shared" ref="EJ10:EJ39" si="155">+EH10*$H$8</f>
        <v>0</v>
      </c>
      <c r="EK10" s="544"/>
      <c r="EL10" s="545">
        <f t="shared" si="45"/>
        <v>0</v>
      </c>
      <c r="EM10" s="546">
        <f t="shared" ref="EM10:EM39" si="156">+EK10*$H$8</f>
        <v>0</v>
      </c>
      <c r="EN10" s="544"/>
      <c r="EO10" s="545">
        <f t="shared" si="46"/>
        <v>0</v>
      </c>
      <c r="EP10" s="546">
        <f t="shared" ref="EP10:EP39" si="157">+EN10*$H$8</f>
        <v>0</v>
      </c>
      <c r="EQ10" s="544"/>
      <c r="ER10" s="545">
        <f t="shared" si="47"/>
        <v>0</v>
      </c>
      <c r="ES10" s="546">
        <f t="shared" ref="ES10:ES39" si="158">+EQ10*$H$8</f>
        <v>0</v>
      </c>
      <c r="ET10" s="544"/>
      <c r="EU10" s="545">
        <f t="shared" si="48"/>
        <v>0</v>
      </c>
      <c r="EV10" s="546">
        <f t="shared" ref="EV10:EV39" si="159">+ET10*$H$8</f>
        <v>0</v>
      </c>
      <c r="EW10" s="544"/>
      <c r="EX10" s="545">
        <f t="shared" si="49"/>
        <v>0</v>
      </c>
      <c r="EY10" s="546">
        <f t="shared" ref="EY10:EY39" si="160">+EW10*$H$8</f>
        <v>0</v>
      </c>
      <c r="EZ10" s="544"/>
      <c r="FA10" s="545">
        <f t="shared" si="50"/>
        <v>0</v>
      </c>
      <c r="FB10" s="546">
        <f t="shared" ref="FB10:FB39" si="161">+EZ10*$H$8</f>
        <v>0</v>
      </c>
      <c r="FC10" s="544"/>
      <c r="FD10" s="545">
        <f t="shared" si="51"/>
        <v>0</v>
      </c>
      <c r="FE10" s="546">
        <f t="shared" ref="FE10:FE39" si="162">+FC10*$H$8</f>
        <v>0</v>
      </c>
      <c r="FF10" s="544"/>
      <c r="FG10" s="545">
        <f t="shared" si="52"/>
        <v>0</v>
      </c>
      <c r="FH10" s="546">
        <f t="shared" ref="FH10:FH39" si="163">+FF10*$H$8</f>
        <v>0</v>
      </c>
      <c r="FI10" s="544"/>
      <c r="FJ10" s="545">
        <f t="shared" si="53"/>
        <v>0</v>
      </c>
      <c r="FK10" s="546">
        <f t="shared" ref="FK10:FK39" si="164">+FI10*$H$8</f>
        <v>0</v>
      </c>
      <c r="FL10" s="544"/>
      <c r="FM10" s="545">
        <f t="shared" si="54"/>
        <v>0</v>
      </c>
      <c r="FN10" s="546">
        <f t="shared" ref="FN10:FN39" si="165">+FL10*$H$8</f>
        <v>0</v>
      </c>
      <c r="FO10" s="544"/>
      <c r="FP10" s="545">
        <f t="shared" si="55"/>
        <v>0</v>
      </c>
      <c r="FQ10" s="546">
        <f t="shared" ref="FQ10:FQ39" si="166">+FO10*$H$8</f>
        <v>0</v>
      </c>
      <c r="FR10" s="544"/>
      <c r="FS10" s="545">
        <f t="shared" si="56"/>
        <v>0</v>
      </c>
      <c r="FT10" s="546">
        <f t="shared" ref="FT10:FT39" si="167">+FR10*$H$8</f>
        <v>0</v>
      </c>
      <c r="FU10" s="544"/>
      <c r="FV10" s="545">
        <f t="shared" si="57"/>
        <v>0</v>
      </c>
      <c r="FW10" s="546">
        <f t="shared" ref="FW10:FW39" si="168">+FU10*$H$8</f>
        <v>0</v>
      </c>
      <c r="FX10" s="544"/>
      <c r="FY10" s="545">
        <f t="shared" si="58"/>
        <v>0</v>
      </c>
      <c r="FZ10" s="546">
        <f t="shared" ref="FZ10:FZ39" si="169">+FX10*$H$8</f>
        <v>0</v>
      </c>
      <c r="GA10" s="544"/>
      <c r="GB10" s="545">
        <f t="shared" si="59"/>
        <v>0</v>
      </c>
      <c r="GC10" s="546">
        <f t="shared" ref="GC10:GC39" si="170">+GA10*$H$8</f>
        <v>0</v>
      </c>
      <c r="GD10" s="544"/>
      <c r="GE10" s="545">
        <f t="shared" si="60"/>
        <v>0</v>
      </c>
      <c r="GF10" s="546">
        <f t="shared" ref="GF10:GF39" si="171">+GD10*$H$8</f>
        <v>0</v>
      </c>
      <c r="GG10" s="544">
        <v>10</v>
      </c>
      <c r="GH10" s="545">
        <f t="shared" si="61"/>
        <v>0.22510861490669248</v>
      </c>
      <c r="GI10" s="546">
        <f t="shared" ref="GI10:GI39" si="172">+GG10*$H$8</f>
        <v>0</v>
      </c>
      <c r="GJ10" s="544">
        <v>10</v>
      </c>
      <c r="GK10" s="545">
        <f t="shared" si="62"/>
        <v>0.22510861490669248</v>
      </c>
      <c r="GL10" s="546">
        <f t="shared" ref="GL10:GL29" si="173">+GJ10*$H$8</f>
        <v>0</v>
      </c>
      <c r="GM10" s="544">
        <v>10</v>
      </c>
      <c r="GN10" s="545">
        <f t="shared" si="63"/>
        <v>0.22510861490669248</v>
      </c>
      <c r="GO10" s="546">
        <f t="shared" ref="GO10:GO25" si="174">+GM10*$H$8</f>
        <v>0</v>
      </c>
      <c r="GP10" s="544">
        <v>0</v>
      </c>
      <c r="GQ10" s="545">
        <f t="shared" si="64"/>
        <v>0</v>
      </c>
      <c r="GR10" s="546">
        <f t="shared" ref="GR10:GR25" si="175">+GP10*$H$8</f>
        <v>0</v>
      </c>
      <c r="GS10" s="544">
        <v>0</v>
      </c>
      <c r="GT10" s="545">
        <f t="shared" si="65"/>
        <v>0</v>
      </c>
      <c r="GU10" s="546">
        <f t="shared" ref="GU10:GU25" si="176">+GS10*$H$8</f>
        <v>0</v>
      </c>
      <c r="GV10" s="544">
        <v>0</v>
      </c>
      <c r="GW10" s="545">
        <f t="shared" si="66"/>
        <v>0</v>
      </c>
      <c r="GX10" s="546">
        <f t="shared" ref="GX10:GX28" si="177">+GV10*$H$8</f>
        <v>0</v>
      </c>
      <c r="GY10" s="544"/>
      <c r="GZ10" s="545">
        <f t="shared" si="67"/>
        <v>0</v>
      </c>
      <c r="HA10" s="546">
        <f t="shared" ref="HA10:HA39" si="178">+GY10*$H$8</f>
        <v>0</v>
      </c>
      <c r="HB10" s="544"/>
      <c r="HC10" s="545">
        <f t="shared" si="68"/>
        <v>0</v>
      </c>
      <c r="HD10" s="546">
        <f t="shared" ref="HD10:HD39" si="179">+HB10*$H$8</f>
        <v>0</v>
      </c>
      <c r="HE10" s="544"/>
      <c r="HF10" s="545">
        <f t="shared" si="69"/>
        <v>0</v>
      </c>
      <c r="HG10" s="546">
        <f t="shared" ref="HG10:HG39" si="180">+HE10*$H$8</f>
        <v>0</v>
      </c>
      <c r="HH10" s="544"/>
      <c r="HI10" s="545">
        <f t="shared" si="70"/>
        <v>0</v>
      </c>
      <c r="HJ10" s="546">
        <f t="shared" ref="HJ10:HJ39" si="181">+HH10*$H$8</f>
        <v>0</v>
      </c>
      <c r="HK10" s="544"/>
      <c r="HL10" s="545">
        <f t="shared" si="71"/>
        <v>0</v>
      </c>
      <c r="HM10" s="546">
        <f t="shared" ref="HM10:HM39" si="182">+HK10*$H$8</f>
        <v>0</v>
      </c>
      <c r="HN10" s="544">
        <v>1920</v>
      </c>
      <c r="HO10" s="545">
        <f t="shared" si="72"/>
        <v>43.220854062084953</v>
      </c>
      <c r="HP10" s="546">
        <f t="shared" ref="HP10:HP39" si="183">+HN10*$H$8</f>
        <v>0</v>
      </c>
      <c r="HQ10" s="544"/>
      <c r="HR10" s="545">
        <f t="shared" si="73"/>
        <v>0</v>
      </c>
      <c r="HS10" s="546">
        <f t="shared" ref="HS10:HS39" si="184">+HQ10*$H$8</f>
        <v>0</v>
      </c>
      <c r="HT10" s="544">
        <v>90</v>
      </c>
      <c r="HU10" s="545">
        <f t="shared" si="74"/>
        <v>2.0259775341602322</v>
      </c>
      <c r="HV10" s="546">
        <f t="shared" ref="HV10:HV39" si="185">+HT10*$H$8</f>
        <v>0</v>
      </c>
      <c r="HW10" s="544">
        <v>15</v>
      </c>
      <c r="HX10" s="545">
        <f t="shared" si="75"/>
        <v>0.3376629223600387</v>
      </c>
      <c r="HY10" s="546">
        <f t="shared" ref="HY10:HY39" si="186">+HW10*$H$8</f>
        <v>0</v>
      </c>
      <c r="HZ10" s="544">
        <v>60</v>
      </c>
      <c r="IA10" s="545">
        <f t="shared" si="76"/>
        <v>1.3506516894401548</v>
      </c>
      <c r="IB10" s="546">
        <f t="shared" ref="IB10:IB34" si="187">+HZ10*$H$8</f>
        <v>0</v>
      </c>
      <c r="IC10" s="544">
        <v>50</v>
      </c>
      <c r="ID10" s="545">
        <f t="shared" si="77"/>
        <v>1.1255430745334623</v>
      </c>
      <c r="IE10" s="546">
        <f t="shared" ref="IE10:IE39" si="188">+IC10*$H$8</f>
        <v>0</v>
      </c>
      <c r="IF10" s="544">
        <v>0</v>
      </c>
      <c r="IG10" s="545">
        <f t="shared" si="78"/>
        <v>0</v>
      </c>
      <c r="IH10" s="546">
        <f t="shared" ref="IH10:IH39" si="189">+IF10*$H$8</f>
        <v>0</v>
      </c>
      <c r="II10" s="544"/>
      <c r="IJ10" s="545">
        <f t="shared" si="79"/>
        <v>0</v>
      </c>
      <c r="IK10" s="546">
        <f t="shared" ref="IK10:IK39" si="190">+II10*$H$8</f>
        <v>0</v>
      </c>
      <c r="IL10" s="544"/>
      <c r="IM10" s="545">
        <f t="shared" si="80"/>
        <v>0</v>
      </c>
      <c r="IN10" s="546">
        <f t="shared" ref="IN10:IN39" si="191">+IL10*$H$8</f>
        <v>0</v>
      </c>
      <c r="IO10" s="544">
        <v>120</v>
      </c>
      <c r="IP10" s="545">
        <f t="shared" si="81"/>
        <v>2.7013033788803096</v>
      </c>
      <c r="IQ10" s="546">
        <f t="shared" ref="IQ10:IQ39" si="192">+IO10*$H$8</f>
        <v>0</v>
      </c>
      <c r="IR10" s="544">
        <v>10</v>
      </c>
      <c r="IS10" s="545">
        <f t="shared" si="82"/>
        <v>0.22510861490669248</v>
      </c>
      <c r="IT10" s="546">
        <f t="shared" ref="IT10:IT39" si="193">+IR10*$H$8</f>
        <v>0</v>
      </c>
      <c r="IU10" s="544"/>
      <c r="IV10" s="545">
        <f t="shared" si="83"/>
        <v>0</v>
      </c>
      <c r="IW10" s="546">
        <f t="shared" ref="IW10:IW39" si="194">+IU10*$H$8</f>
        <v>0</v>
      </c>
      <c r="IX10" s="544">
        <v>10</v>
      </c>
      <c r="IY10" s="545">
        <f t="shared" si="84"/>
        <v>0.22510861490669248</v>
      </c>
      <c r="IZ10" s="546">
        <f t="shared" ref="IZ10:IZ39" si="195">+IX10*$H$8</f>
        <v>0</v>
      </c>
      <c r="JA10" s="544"/>
      <c r="JB10" s="545">
        <f t="shared" si="85"/>
        <v>0</v>
      </c>
      <c r="JC10" s="546">
        <f t="shared" ref="JC10:JC39" si="196">+JA10*$H$8</f>
        <v>0</v>
      </c>
      <c r="JD10" s="544"/>
      <c r="JE10" s="545">
        <f t="shared" si="86"/>
        <v>0</v>
      </c>
      <c r="JF10" s="546">
        <f t="shared" ref="JF10:JF39" si="197">+JD10*$H$8</f>
        <v>0</v>
      </c>
      <c r="JG10" s="544">
        <v>45</v>
      </c>
      <c r="JH10" s="546" t="str">
        <f t="shared" si="87"/>
        <v>0</v>
      </c>
      <c r="JI10" s="546" t="str">
        <f t="shared" si="88"/>
        <v>0</v>
      </c>
      <c r="JJ10" s="544">
        <v>50</v>
      </c>
      <c r="JK10" s="546" t="str">
        <f t="shared" si="89"/>
        <v>0</v>
      </c>
      <c r="JL10" s="546" t="str">
        <f t="shared" si="90"/>
        <v>0</v>
      </c>
      <c r="JM10" s="544">
        <v>10</v>
      </c>
      <c r="JN10" s="546" t="str">
        <f t="shared" si="91"/>
        <v>0</v>
      </c>
      <c r="JO10" s="546" t="str">
        <f t="shared" si="92"/>
        <v>0</v>
      </c>
      <c r="JP10" s="544"/>
      <c r="JQ10" s="546" t="str">
        <f t="shared" si="93"/>
        <v>0</v>
      </c>
      <c r="JR10" s="546" t="str">
        <f t="shared" si="94"/>
        <v>0</v>
      </c>
      <c r="JS10" s="544"/>
      <c r="JT10" s="546" t="str">
        <f t="shared" si="95"/>
        <v>0</v>
      </c>
      <c r="JU10" s="546" t="str">
        <f t="shared" si="96"/>
        <v>0</v>
      </c>
      <c r="JV10" s="544"/>
      <c r="JW10" s="546" t="str">
        <f t="shared" si="97"/>
        <v>0</v>
      </c>
      <c r="JX10" s="546" t="str">
        <f t="shared" si="98"/>
        <v>0</v>
      </c>
      <c r="JY10" s="544"/>
      <c r="JZ10" s="546" t="str">
        <f t="shared" si="99"/>
        <v>0</v>
      </c>
      <c r="KA10" s="546" t="str">
        <f t="shared" si="100"/>
        <v>0</v>
      </c>
      <c r="KB10" s="544"/>
      <c r="KC10" s="546" t="str">
        <f t="shared" si="101"/>
        <v>0</v>
      </c>
      <c r="KD10" s="546" t="str">
        <f t="shared" si="102"/>
        <v>0</v>
      </c>
      <c r="KE10" s="544"/>
      <c r="KF10" s="546" t="str">
        <f t="shared" si="103"/>
        <v>0</v>
      </c>
      <c r="KG10" s="546" t="str">
        <f t="shared" si="104"/>
        <v>0</v>
      </c>
      <c r="KH10" s="544"/>
      <c r="KI10" s="546" t="str">
        <f t="shared" si="105"/>
        <v>0</v>
      </c>
      <c r="KJ10" s="546" t="str">
        <f t="shared" si="106"/>
        <v>0</v>
      </c>
      <c r="KK10" s="544"/>
      <c r="KL10" s="546" t="str">
        <f t="shared" si="107"/>
        <v>0</v>
      </c>
      <c r="KM10" s="546" t="str">
        <f t="shared" si="108"/>
        <v>0</v>
      </c>
      <c r="KN10" s="544"/>
      <c r="KO10" s="546" t="str">
        <f t="shared" si="109"/>
        <v>0</v>
      </c>
      <c r="KP10" s="546" t="str">
        <f t="shared" si="110"/>
        <v>0</v>
      </c>
      <c r="KQ10" s="546">
        <f t="shared" si="111"/>
        <v>0</v>
      </c>
      <c r="KR10" s="546">
        <f t="shared" ref="KR10:KR41" si="198">GF10+GI10+GL10+GO10+GR10+GU10+GX10+HA10+HD10+HG10+HJ10+HM10+HP10+HS10+HV10+HY10+IB10+IE10+IH10+IK10+IN10+IQ10+IT10+IW10+IZ10+JC10+JF10+JI10+JL10+JO10+JR10+JU10++JX10+KA10+KD10+KG10++KJ10+KM10+KP10</f>
        <v>0</v>
      </c>
      <c r="KS10" s="265">
        <f t="shared" ref="KS10:KS41" si="199">+F10+I10+L10+O10+R10+U10+X10+AA10+AD10+AG10+AJ10+AM10+AP10+AS10+AV10+AY10+BB10+BE10+BH10+BK10+BN10+BQ10+BT10+BW10+BZ10+CC10+CF10+CI10+CL10+CO10+CR10+CU10+CX10+DA10+DD10+DJ10+DM10+DP10+DS10+DV10+DY10+EB10+GG10+GJ10+GM10+GP10+GS10+HN10+IF10+IO10+GV10+IR10++HT10+HW10+HZ10+IC10+IX10+JG10+JJ10+HB10+EE10+GD10+EH10+JM10+JP10+JS10</f>
        <v>3896.7341304500333</v>
      </c>
    </row>
    <row r="11" spans="1:305" ht="15" customHeight="1">
      <c r="A11" s="267">
        <f>+Report1!A11</f>
        <v>45994</v>
      </c>
      <c r="B11" s="268" t="str">
        <f>+Report1!B11</f>
        <v>Napkin</v>
      </c>
      <c r="C11" s="268" t="str">
        <f>+Report1!C11</f>
        <v>20</v>
      </c>
      <c r="D11" s="269">
        <f>+Report1!P11</f>
        <v>47.058000000000007</v>
      </c>
      <c r="E11" s="270">
        <f>+Report1!R11</f>
        <v>49.814999999999998</v>
      </c>
      <c r="F11" s="544">
        <v>220.93023255813944</v>
      </c>
      <c r="G11" s="545">
        <f t="shared" si="0"/>
        <v>4.4350142037165403</v>
      </c>
      <c r="H11" s="546">
        <f t="shared" si="112"/>
        <v>0</v>
      </c>
      <c r="I11" s="544"/>
      <c r="J11" s="545">
        <f t="shared" si="1"/>
        <v>0</v>
      </c>
      <c r="K11" s="546">
        <f t="shared" si="113"/>
        <v>0</v>
      </c>
      <c r="L11" s="544"/>
      <c r="M11" s="545">
        <f t="shared" si="2"/>
        <v>0</v>
      </c>
      <c r="N11" s="546">
        <f t="shared" si="114"/>
        <v>0</v>
      </c>
      <c r="O11" s="544">
        <v>9</v>
      </c>
      <c r="P11" s="545">
        <f t="shared" si="3"/>
        <v>0.18066847335140018</v>
      </c>
      <c r="Q11" s="546">
        <f t="shared" si="115"/>
        <v>0</v>
      </c>
      <c r="R11" s="544"/>
      <c r="S11" s="545">
        <f t="shared" si="4"/>
        <v>0</v>
      </c>
      <c r="T11" s="546">
        <f t="shared" si="116"/>
        <v>0</v>
      </c>
      <c r="U11" s="544">
        <v>10.249999999999993</v>
      </c>
      <c r="V11" s="545">
        <f t="shared" si="5"/>
        <v>0.20576131687242785</v>
      </c>
      <c r="W11" s="546">
        <f t="shared" si="117"/>
        <v>0</v>
      </c>
      <c r="X11" s="544"/>
      <c r="Y11" s="545">
        <f t="shared" si="6"/>
        <v>0</v>
      </c>
      <c r="Z11" s="546">
        <f t="shared" si="118"/>
        <v>0</v>
      </c>
      <c r="AA11" s="544"/>
      <c r="AB11" s="545">
        <f t="shared" si="7"/>
        <v>0</v>
      </c>
      <c r="AC11" s="546">
        <f t="shared" si="119"/>
        <v>0</v>
      </c>
      <c r="AD11" s="544"/>
      <c r="AE11" s="545">
        <f t="shared" si="8"/>
        <v>0</v>
      </c>
      <c r="AF11" s="546">
        <f t="shared" si="120"/>
        <v>0</v>
      </c>
      <c r="AG11" s="544"/>
      <c r="AH11" s="545">
        <f t="shared" si="9"/>
        <v>0</v>
      </c>
      <c r="AI11" s="546">
        <f t="shared" si="121"/>
        <v>0</v>
      </c>
      <c r="AJ11" s="544"/>
      <c r="AK11" s="545">
        <f t="shared" si="10"/>
        <v>0</v>
      </c>
      <c r="AL11" s="546">
        <f t="shared" si="122"/>
        <v>0</v>
      </c>
      <c r="AM11" s="544">
        <v>21.02564102564105</v>
      </c>
      <c r="AN11" s="545">
        <f t="shared" si="11"/>
        <v>0.42207449614857073</v>
      </c>
      <c r="AO11" s="546">
        <f t="shared" si="123"/>
        <v>0</v>
      </c>
      <c r="AP11" s="544"/>
      <c r="AQ11" s="545">
        <f t="shared" si="12"/>
        <v>0</v>
      </c>
      <c r="AR11" s="546">
        <f t="shared" si="124"/>
        <v>0</v>
      </c>
      <c r="AS11" s="544"/>
      <c r="AT11" s="545">
        <f t="shared" si="13"/>
        <v>0</v>
      </c>
      <c r="AU11" s="546">
        <f t="shared" si="125"/>
        <v>0</v>
      </c>
      <c r="AV11" s="544">
        <v>0</v>
      </c>
      <c r="AW11" s="545">
        <f t="shared" si="14"/>
        <v>0</v>
      </c>
      <c r="AX11" s="546">
        <f t="shared" si="126"/>
        <v>0</v>
      </c>
      <c r="AY11" s="544">
        <v>65.333333333333371</v>
      </c>
      <c r="AZ11" s="545">
        <f t="shared" si="15"/>
        <v>1.3115192880323874</v>
      </c>
      <c r="BA11" s="546">
        <f t="shared" si="127"/>
        <v>0</v>
      </c>
      <c r="BB11" s="544"/>
      <c r="BC11" s="545">
        <f t="shared" si="16"/>
        <v>0</v>
      </c>
      <c r="BD11" s="546">
        <f t="shared" si="128"/>
        <v>0</v>
      </c>
      <c r="BE11" s="544"/>
      <c r="BF11" s="545">
        <f t="shared" si="17"/>
        <v>0</v>
      </c>
      <c r="BG11" s="546">
        <f t="shared" si="129"/>
        <v>0</v>
      </c>
      <c r="BH11" s="544"/>
      <c r="BI11" s="545">
        <f t="shared" si="18"/>
        <v>0</v>
      </c>
      <c r="BJ11" s="546">
        <f t="shared" si="130"/>
        <v>0</v>
      </c>
      <c r="BK11" s="544"/>
      <c r="BL11" s="545">
        <f t="shared" si="19"/>
        <v>0</v>
      </c>
      <c r="BM11" s="546">
        <f t="shared" si="131"/>
        <v>0</v>
      </c>
      <c r="BN11" s="544"/>
      <c r="BO11" s="545">
        <f t="shared" si="20"/>
        <v>0</v>
      </c>
      <c r="BP11" s="546">
        <f t="shared" si="132"/>
        <v>0</v>
      </c>
      <c r="BQ11" s="544"/>
      <c r="BR11" s="545">
        <f t="shared" si="21"/>
        <v>0</v>
      </c>
      <c r="BS11" s="546">
        <f t="shared" si="133"/>
        <v>0</v>
      </c>
      <c r="BT11" s="544"/>
      <c r="BU11" s="545">
        <f t="shared" si="22"/>
        <v>0</v>
      </c>
      <c r="BV11" s="546">
        <f t="shared" si="134"/>
        <v>0</v>
      </c>
      <c r="BW11" s="544"/>
      <c r="BX11" s="545">
        <f t="shared" si="23"/>
        <v>0</v>
      </c>
      <c r="BY11" s="546">
        <f t="shared" si="135"/>
        <v>0</v>
      </c>
      <c r="BZ11" s="544">
        <v>0</v>
      </c>
      <c r="CA11" s="545">
        <f t="shared" si="24"/>
        <v>0</v>
      </c>
      <c r="CB11" s="546">
        <f t="shared" si="136"/>
        <v>0</v>
      </c>
      <c r="CC11" s="544"/>
      <c r="CD11" s="545">
        <f t="shared" si="25"/>
        <v>0</v>
      </c>
      <c r="CE11" s="546">
        <f t="shared" si="137"/>
        <v>0</v>
      </c>
      <c r="CF11" s="544">
        <v>2.4000000000000004</v>
      </c>
      <c r="CG11" s="545">
        <f t="shared" si="26"/>
        <v>4.8178259560373388E-2</v>
      </c>
      <c r="CH11" s="546">
        <f t="shared" si="138"/>
        <v>0</v>
      </c>
      <c r="CI11" s="544"/>
      <c r="CJ11" s="545">
        <f t="shared" si="27"/>
        <v>0</v>
      </c>
      <c r="CK11" s="546">
        <f t="shared" si="139"/>
        <v>0</v>
      </c>
      <c r="CL11" s="544"/>
      <c r="CM11" s="545">
        <f t="shared" si="28"/>
        <v>0</v>
      </c>
      <c r="CN11" s="546">
        <f t="shared" si="140"/>
        <v>0</v>
      </c>
      <c r="CO11" s="544"/>
      <c r="CP11" s="545">
        <f t="shared" si="29"/>
        <v>0</v>
      </c>
      <c r="CQ11" s="546">
        <f t="shared" si="141"/>
        <v>0</v>
      </c>
      <c r="CR11" s="544"/>
      <c r="CS11" s="545">
        <f t="shared" si="30"/>
        <v>0</v>
      </c>
      <c r="CT11" s="546">
        <f t="shared" si="142"/>
        <v>0</v>
      </c>
      <c r="CU11" s="544"/>
      <c r="CV11" s="545">
        <f t="shared" si="31"/>
        <v>0</v>
      </c>
      <c r="CW11" s="546">
        <f t="shared" si="143"/>
        <v>0</v>
      </c>
      <c r="CX11" s="544"/>
      <c r="CY11" s="545">
        <f t="shared" si="32"/>
        <v>0</v>
      </c>
      <c r="CZ11" s="546">
        <f t="shared" si="144"/>
        <v>0</v>
      </c>
      <c r="DA11" s="544">
        <v>102.94117647058806</v>
      </c>
      <c r="DB11" s="545">
        <f t="shared" si="33"/>
        <v>2.0664694664375802</v>
      </c>
      <c r="DC11" s="546">
        <f t="shared" si="145"/>
        <v>0</v>
      </c>
      <c r="DD11" s="544"/>
      <c r="DE11" s="545">
        <f t="shared" si="34"/>
        <v>0</v>
      </c>
      <c r="DF11" s="546">
        <f t="shared" si="146"/>
        <v>0</v>
      </c>
      <c r="DG11" s="544"/>
      <c r="DH11" s="545">
        <f t="shared" si="35"/>
        <v>0</v>
      </c>
      <c r="DI11" s="546">
        <v>0</v>
      </c>
      <c r="DJ11" s="544"/>
      <c r="DK11" s="545">
        <f t="shared" si="36"/>
        <v>0</v>
      </c>
      <c r="DL11" s="546">
        <f t="shared" si="147"/>
        <v>0</v>
      </c>
      <c r="DM11" s="544"/>
      <c r="DN11" s="545">
        <f t="shared" si="37"/>
        <v>0</v>
      </c>
      <c r="DO11" s="546">
        <f t="shared" si="148"/>
        <v>0</v>
      </c>
      <c r="DP11" s="544"/>
      <c r="DQ11" s="545">
        <f t="shared" si="38"/>
        <v>0</v>
      </c>
      <c r="DR11" s="546">
        <f t="shared" si="149"/>
        <v>0</v>
      </c>
      <c r="DS11" s="544"/>
      <c r="DT11" s="545">
        <f t="shared" si="39"/>
        <v>0</v>
      </c>
      <c r="DU11" s="546">
        <f t="shared" si="150"/>
        <v>0</v>
      </c>
      <c r="DV11" s="544"/>
      <c r="DW11" s="545">
        <f t="shared" si="40"/>
        <v>0</v>
      </c>
      <c r="DX11" s="546">
        <f t="shared" si="151"/>
        <v>0</v>
      </c>
      <c r="DY11" s="544"/>
      <c r="DZ11" s="545">
        <f t="shared" si="41"/>
        <v>0</v>
      </c>
      <c r="EA11" s="546">
        <f t="shared" si="152"/>
        <v>0</v>
      </c>
      <c r="EB11" s="544">
        <v>552.94117647058829</v>
      </c>
      <c r="EC11" s="545">
        <f t="shared" si="42"/>
        <v>11.099893134007594</v>
      </c>
      <c r="ED11" s="546">
        <f t="shared" si="153"/>
        <v>0</v>
      </c>
      <c r="EE11" s="544">
        <v>58.139534883720899</v>
      </c>
      <c r="EF11" s="545">
        <f t="shared" si="43"/>
        <v>1.1671090009780367</v>
      </c>
      <c r="EG11" s="546">
        <f t="shared" si="154"/>
        <v>0</v>
      </c>
      <c r="EH11" s="544">
        <v>2</v>
      </c>
      <c r="EI11" s="545">
        <f t="shared" si="44"/>
        <v>4.014854963364449E-2</v>
      </c>
      <c r="EJ11" s="546">
        <f t="shared" si="155"/>
        <v>0</v>
      </c>
      <c r="EK11" s="544"/>
      <c r="EL11" s="545">
        <f t="shared" si="45"/>
        <v>0</v>
      </c>
      <c r="EM11" s="546">
        <f t="shared" si="156"/>
        <v>0</v>
      </c>
      <c r="EN11" s="544"/>
      <c r="EO11" s="545">
        <f t="shared" si="46"/>
        <v>0</v>
      </c>
      <c r="EP11" s="546">
        <f t="shared" si="157"/>
        <v>0</v>
      </c>
      <c r="EQ11" s="544"/>
      <c r="ER11" s="545">
        <f t="shared" si="47"/>
        <v>0</v>
      </c>
      <c r="ES11" s="546">
        <f t="shared" si="158"/>
        <v>0</v>
      </c>
      <c r="ET11" s="544"/>
      <c r="EU11" s="545">
        <f t="shared" si="48"/>
        <v>0</v>
      </c>
      <c r="EV11" s="546">
        <f t="shared" si="159"/>
        <v>0</v>
      </c>
      <c r="EW11" s="544"/>
      <c r="EX11" s="545">
        <f t="shared" si="49"/>
        <v>0</v>
      </c>
      <c r="EY11" s="546">
        <f t="shared" si="160"/>
        <v>0</v>
      </c>
      <c r="EZ11" s="544"/>
      <c r="FA11" s="545">
        <f t="shared" si="50"/>
        <v>0</v>
      </c>
      <c r="FB11" s="546">
        <f t="shared" si="161"/>
        <v>0</v>
      </c>
      <c r="FC11" s="544"/>
      <c r="FD11" s="545">
        <f t="shared" si="51"/>
        <v>0</v>
      </c>
      <c r="FE11" s="546">
        <f t="shared" si="162"/>
        <v>0</v>
      </c>
      <c r="FF11" s="544"/>
      <c r="FG11" s="545">
        <f t="shared" si="52"/>
        <v>0</v>
      </c>
      <c r="FH11" s="546">
        <f t="shared" si="163"/>
        <v>0</v>
      </c>
      <c r="FI11" s="544"/>
      <c r="FJ11" s="545">
        <f t="shared" si="53"/>
        <v>0</v>
      </c>
      <c r="FK11" s="546">
        <f t="shared" si="164"/>
        <v>0</v>
      </c>
      <c r="FL11" s="544"/>
      <c r="FM11" s="545">
        <f t="shared" si="54"/>
        <v>0</v>
      </c>
      <c r="FN11" s="546">
        <f t="shared" si="165"/>
        <v>0</v>
      </c>
      <c r="FO11" s="544"/>
      <c r="FP11" s="545">
        <f t="shared" si="55"/>
        <v>0</v>
      </c>
      <c r="FQ11" s="546">
        <f t="shared" si="166"/>
        <v>0</v>
      </c>
      <c r="FR11" s="544"/>
      <c r="FS11" s="545">
        <f t="shared" si="56"/>
        <v>0</v>
      </c>
      <c r="FT11" s="546">
        <f t="shared" si="167"/>
        <v>0</v>
      </c>
      <c r="FU11" s="544"/>
      <c r="FV11" s="545">
        <f t="shared" si="57"/>
        <v>0</v>
      </c>
      <c r="FW11" s="546">
        <f t="shared" si="168"/>
        <v>0</v>
      </c>
      <c r="FX11" s="544"/>
      <c r="FY11" s="545">
        <f t="shared" si="58"/>
        <v>0</v>
      </c>
      <c r="FZ11" s="546">
        <f t="shared" si="169"/>
        <v>0</v>
      </c>
      <c r="GA11" s="544"/>
      <c r="GB11" s="545">
        <f t="shared" si="59"/>
        <v>0</v>
      </c>
      <c r="GC11" s="546">
        <f t="shared" si="170"/>
        <v>0</v>
      </c>
      <c r="GD11" s="544"/>
      <c r="GE11" s="545">
        <f t="shared" si="60"/>
        <v>0</v>
      </c>
      <c r="GF11" s="546">
        <f t="shared" si="171"/>
        <v>0</v>
      </c>
      <c r="GG11" s="544">
        <v>5</v>
      </c>
      <c r="GH11" s="545">
        <f t="shared" si="61"/>
        <v>0.10037137408411122</v>
      </c>
      <c r="GI11" s="546">
        <f t="shared" si="172"/>
        <v>0</v>
      </c>
      <c r="GJ11" s="544">
        <v>5</v>
      </c>
      <c r="GK11" s="545">
        <f t="shared" si="62"/>
        <v>0.10037137408411122</v>
      </c>
      <c r="GL11" s="546">
        <f t="shared" si="173"/>
        <v>0</v>
      </c>
      <c r="GM11" s="544">
        <v>10</v>
      </c>
      <c r="GN11" s="545">
        <f t="shared" si="63"/>
        <v>0.20074274816822243</v>
      </c>
      <c r="GO11" s="546">
        <f t="shared" si="174"/>
        <v>0</v>
      </c>
      <c r="GP11" s="544">
        <v>0</v>
      </c>
      <c r="GQ11" s="545">
        <f t="shared" si="64"/>
        <v>0</v>
      </c>
      <c r="GR11" s="546">
        <f t="shared" si="175"/>
        <v>0</v>
      </c>
      <c r="GS11" s="544">
        <v>0</v>
      </c>
      <c r="GT11" s="545">
        <f t="shared" si="65"/>
        <v>0</v>
      </c>
      <c r="GU11" s="546">
        <f t="shared" si="176"/>
        <v>0</v>
      </c>
      <c r="GV11" s="544">
        <v>0</v>
      </c>
      <c r="GW11" s="545">
        <f t="shared" si="66"/>
        <v>0</v>
      </c>
      <c r="GX11" s="546">
        <f t="shared" si="177"/>
        <v>0</v>
      </c>
      <c r="GY11" s="544"/>
      <c r="GZ11" s="545">
        <f t="shared" si="67"/>
        <v>0</v>
      </c>
      <c r="HA11" s="546">
        <f t="shared" si="178"/>
        <v>0</v>
      </c>
      <c r="HB11" s="544"/>
      <c r="HC11" s="545">
        <f t="shared" si="68"/>
        <v>0</v>
      </c>
      <c r="HD11" s="546">
        <f t="shared" si="179"/>
        <v>0</v>
      </c>
      <c r="HE11" s="544"/>
      <c r="HF11" s="545">
        <f t="shared" si="69"/>
        <v>0</v>
      </c>
      <c r="HG11" s="546">
        <f t="shared" si="180"/>
        <v>0</v>
      </c>
      <c r="HH11" s="544"/>
      <c r="HI11" s="545">
        <f t="shared" si="70"/>
        <v>0</v>
      </c>
      <c r="HJ11" s="546">
        <f t="shared" si="181"/>
        <v>0</v>
      </c>
      <c r="HK11" s="544"/>
      <c r="HL11" s="545">
        <f t="shared" si="71"/>
        <v>0</v>
      </c>
      <c r="HM11" s="546">
        <f t="shared" si="182"/>
        <v>0</v>
      </c>
      <c r="HN11" s="544">
        <v>1420</v>
      </c>
      <c r="HO11" s="545">
        <f t="shared" si="72"/>
        <v>28.505470239887586</v>
      </c>
      <c r="HP11" s="546">
        <f t="shared" si="183"/>
        <v>0</v>
      </c>
      <c r="HQ11" s="544"/>
      <c r="HR11" s="545">
        <f t="shared" si="73"/>
        <v>0</v>
      </c>
      <c r="HS11" s="546">
        <f t="shared" si="184"/>
        <v>0</v>
      </c>
      <c r="HT11" s="544">
        <v>90</v>
      </c>
      <c r="HU11" s="545">
        <f t="shared" si="74"/>
        <v>1.8066847335140019</v>
      </c>
      <c r="HV11" s="546">
        <f t="shared" si="185"/>
        <v>0</v>
      </c>
      <c r="HW11" s="544">
        <v>15</v>
      </c>
      <c r="HX11" s="545">
        <f t="shared" si="75"/>
        <v>0.30111412225233364</v>
      </c>
      <c r="HY11" s="546">
        <f t="shared" si="186"/>
        <v>0</v>
      </c>
      <c r="HZ11" s="544">
        <v>50</v>
      </c>
      <c r="IA11" s="545">
        <f t="shared" si="76"/>
        <v>1.0037137408411121</v>
      </c>
      <c r="IB11" s="546">
        <f t="shared" si="187"/>
        <v>0</v>
      </c>
      <c r="IC11" s="544">
        <v>50</v>
      </c>
      <c r="ID11" s="545">
        <f t="shared" si="77"/>
        <v>1.0037137408411121</v>
      </c>
      <c r="IE11" s="546">
        <f t="shared" si="188"/>
        <v>0</v>
      </c>
      <c r="IF11" s="544">
        <v>0</v>
      </c>
      <c r="IG11" s="545">
        <f t="shared" si="78"/>
        <v>0</v>
      </c>
      <c r="IH11" s="546">
        <f t="shared" si="189"/>
        <v>0</v>
      </c>
      <c r="II11" s="544"/>
      <c r="IJ11" s="545">
        <f t="shared" si="79"/>
        <v>0</v>
      </c>
      <c r="IK11" s="546">
        <f t="shared" si="190"/>
        <v>0</v>
      </c>
      <c r="IL11" s="544"/>
      <c r="IM11" s="545">
        <f t="shared" si="80"/>
        <v>0</v>
      </c>
      <c r="IN11" s="546">
        <f t="shared" si="191"/>
        <v>0</v>
      </c>
      <c r="IO11" s="544">
        <v>80</v>
      </c>
      <c r="IP11" s="545">
        <f t="shared" si="81"/>
        <v>1.6059419853457795</v>
      </c>
      <c r="IQ11" s="546">
        <f t="shared" si="192"/>
        <v>0</v>
      </c>
      <c r="IR11" s="544">
        <v>10</v>
      </c>
      <c r="IS11" s="545">
        <f t="shared" si="82"/>
        <v>0.20074274816822243</v>
      </c>
      <c r="IT11" s="546">
        <f t="shared" si="193"/>
        <v>0</v>
      </c>
      <c r="IU11" s="544"/>
      <c r="IV11" s="545">
        <f t="shared" si="83"/>
        <v>0</v>
      </c>
      <c r="IW11" s="546">
        <f t="shared" si="194"/>
        <v>0</v>
      </c>
      <c r="IX11" s="544">
        <v>5</v>
      </c>
      <c r="IY11" s="545">
        <f t="shared" si="84"/>
        <v>0.10037137408411122</v>
      </c>
      <c r="IZ11" s="546">
        <f t="shared" si="195"/>
        <v>0</v>
      </c>
      <c r="JA11" s="544"/>
      <c r="JB11" s="545">
        <f t="shared" si="85"/>
        <v>0</v>
      </c>
      <c r="JC11" s="546">
        <f t="shared" si="196"/>
        <v>0</v>
      </c>
      <c r="JD11" s="544"/>
      <c r="JE11" s="545">
        <f t="shared" si="86"/>
        <v>0</v>
      </c>
      <c r="JF11" s="546">
        <f t="shared" si="197"/>
        <v>0</v>
      </c>
      <c r="JG11" s="544">
        <v>40</v>
      </c>
      <c r="JH11" s="546" t="str">
        <f t="shared" si="87"/>
        <v>0</v>
      </c>
      <c r="JI11" s="546" t="str">
        <f t="shared" si="88"/>
        <v>0</v>
      </c>
      <c r="JJ11" s="544">
        <v>30</v>
      </c>
      <c r="JK11" s="546" t="str">
        <f t="shared" si="89"/>
        <v>0</v>
      </c>
      <c r="JL11" s="546" t="str">
        <f t="shared" si="90"/>
        <v>0</v>
      </c>
      <c r="JM11" s="544">
        <v>0</v>
      </c>
      <c r="JN11" s="546" t="str">
        <f t="shared" si="91"/>
        <v>0</v>
      </c>
      <c r="JO11" s="546" t="str">
        <f t="shared" si="92"/>
        <v>0</v>
      </c>
      <c r="JP11" s="544"/>
      <c r="JQ11" s="546" t="str">
        <f t="shared" si="93"/>
        <v>0</v>
      </c>
      <c r="JR11" s="546" t="str">
        <f t="shared" si="94"/>
        <v>0</v>
      </c>
      <c r="JS11" s="544"/>
      <c r="JT11" s="546" t="str">
        <f t="shared" si="95"/>
        <v>0</v>
      </c>
      <c r="JU11" s="546" t="str">
        <f t="shared" si="96"/>
        <v>0</v>
      </c>
      <c r="JV11" s="544"/>
      <c r="JW11" s="546" t="str">
        <f t="shared" si="97"/>
        <v>0</v>
      </c>
      <c r="JX11" s="546" t="str">
        <f t="shared" si="98"/>
        <v>0</v>
      </c>
      <c r="JY11" s="544"/>
      <c r="JZ11" s="546" t="str">
        <f t="shared" si="99"/>
        <v>0</v>
      </c>
      <c r="KA11" s="546" t="str">
        <f t="shared" si="100"/>
        <v>0</v>
      </c>
      <c r="KB11" s="544"/>
      <c r="KC11" s="546" t="str">
        <f t="shared" si="101"/>
        <v>0</v>
      </c>
      <c r="KD11" s="546" t="str">
        <f t="shared" si="102"/>
        <v>0</v>
      </c>
      <c r="KE11" s="544"/>
      <c r="KF11" s="546" t="str">
        <f t="shared" si="103"/>
        <v>0</v>
      </c>
      <c r="KG11" s="546" t="str">
        <f t="shared" si="104"/>
        <v>0</v>
      </c>
      <c r="KH11" s="544"/>
      <c r="KI11" s="546" t="str">
        <f t="shared" si="105"/>
        <v>0</v>
      </c>
      <c r="KJ11" s="546" t="str">
        <f t="shared" si="106"/>
        <v>0</v>
      </c>
      <c r="KK11" s="544"/>
      <c r="KL11" s="546" t="str">
        <f t="shared" si="107"/>
        <v>0</v>
      </c>
      <c r="KM11" s="546" t="str">
        <f t="shared" si="108"/>
        <v>0</v>
      </c>
      <c r="KN11" s="544"/>
      <c r="KO11" s="546" t="str">
        <f t="shared" si="109"/>
        <v>0</v>
      </c>
      <c r="KP11" s="546" t="str">
        <f t="shared" si="110"/>
        <v>0</v>
      </c>
      <c r="KQ11" s="546">
        <f t="shared" si="111"/>
        <v>0</v>
      </c>
      <c r="KR11" s="546">
        <f t="shared" si="198"/>
        <v>0</v>
      </c>
      <c r="KS11" s="265">
        <f t="shared" si="199"/>
        <v>2854.961094742011</v>
      </c>
    </row>
    <row r="12" spans="1:305" ht="15" customHeight="1">
      <c r="A12" s="267">
        <f>+Report1!A12</f>
        <v>45995</v>
      </c>
      <c r="B12" s="268" t="str">
        <f>+Report1!B12</f>
        <v>Napkin</v>
      </c>
      <c r="C12" s="268" t="str">
        <f>+Report1!C12</f>
        <v>STOP</v>
      </c>
      <c r="D12" s="269">
        <f>+Report1!P12</f>
        <v>0</v>
      </c>
      <c r="E12" s="270">
        <f>+Report1!R12</f>
        <v>0</v>
      </c>
      <c r="F12" s="544">
        <v>0</v>
      </c>
      <c r="G12" s="545" t="e">
        <f t="shared" si="0"/>
        <v>#DIV/0!</v>
      </c>
      <c r="H12" s="546">
        <f t="shared" si="112"/>
        <v>0</v>
      </c>
      <c r="I12" s="544"/>
      <c r="J12" s="545" t="e">
        <f t="shared" si="1"/>
        <v>#DIV/0!</v>
      </c>
      <c r="K12" s="546">
        <f t="shared" si="113"/>
        <v>0</v>
      </c>
      <c r="L12" s="544"/>
      <c r="M12" s="545" t="e">
        <f t="shared" si="2"/>
        <v>#DIV/0!</v>
      </c>
      <c r="N12" s="546">
        <f t="shared" si="114"/>
        <v>0</v>
      </c>
      <c r="O12" s="544">
        <v>0</v>
      </c>
      <c r="P12" s="545" t="e">
        <f t="shared" si="3"/>
        <v>#DIV/0!</v>
      </c>
      <c r="Q12" s="546">
        <f t="shared" si="115"/>
        <v>0</v>
      </c>
      <c r="R12" s="544"/>
      <c r="S12" s="545" t="e">
        <f t="shared" si="4"/>
        <v>#DIV/0!</v>
      </c>
      <c r="T12" s="546">
        <f t="shared" si="116"/>
        <v>0</v>
      </c>
      <c r="U12" s="544">
        <v>10.25</v>
      </c>
      <c r="V12" s="545" t="e">
        <f t="shared" si="5"/>
        <v>#DIV/0!</v>
      </c>
      <c r="W12" s="546">
        <f t="shared" si="117"/>
        <v>0</v>
      </c>
      <c r="X12" s="544"/>
      <c r="Y12" s="545" t="e">
        <f t="shared" si="6"/>
        <v>#DIV/0!</v>
      </c>
      <c r="Z12" s="546">
        <f t="shared" si="118"/>
        <v>0</v>
      </c>
      <c r="AA12" s="544"/>
      <c r="AB12" s="545" t="e">
        <f t="shared" si="7"/>
        <v>#DIV/0!</v>
      </c>
      <c r="AC12" s="546">
        <f t="shared" si="119"/>
        <v>0</v>
      </c>
      <c r="AD12" s="544"/>
      <c r="AE12" s="545" t="e">
        <f t="shared" si="8"/>
        <v>#DIV/0!</v>
      </c>
      <c r="AF12" s="546">
        <f t="shared" si="120"/>
        <v>0</v>
      </c>
      <c r="AG12" s="544"/>
      <c r="AH12" s="545" t="e">
        <f t="shared" si="9"/>
        <v>#DIV/0!</v>
      </c>
      <c r="AI12" s="546">
        <f t="shared" si="121"/>
        <v>0</v>
      </c>
      <c r="AJ12" s="544"/>
      <c r="AK12" s="545" t="e">
        <f t="shared" si="10"/>
        <v>#DIV/0!</v>
      </c>
      <c r="AL12" s="546">
        <f t="shared" si="122"/>
        <v>0</v>
      </c>
      <c r="AM12" s="544">
        <v>0</v>
      </c>
      <c r="AN12" s="545" t="e">
        <f t="shared" si="11"/>
        <v>#DIV/0!</v>
      </c>
      <c r="AO12" s="546">
        <f t="shared" si="123"/>
        <v>0</v>
      </c>
      <c r="AP12" s="544"/>
      <c r="AQ12" s="545" t="e">
        <f t="shared" si="12"/>
        <v>#DIV/0!</v>
      </c>
      <c r="AR12" s="546">
        <f t="shared" si="124"/>
        <v>0</v>
      </c>
      <c r="AS12" s="544"/>
      <c r="AT12" s="545" t="e">
        <f t="shared" si="13"/>
        <v>#DIV/0!</v>
      </c>
      <c r="AU12" s="546">
        <f t="shared" si="125"/>
        <v>0</v>
      </c>
      <c r="AV12" s="544">
        <v>0</v>
      </c>
      <c r="AW12" s="545" t="e">
        <f t="shared" si="14"/>
        <v>#DIV/0!</v>
      </c>
      <c r="AX12" s="546">
        <f t="shared" si="126"/>
        <v>0</v>
      </c>
      <c r="AY12" s="544">
        <v>0</v>
      </c>
      <c r="AZ12" s="545" t="e">
        <f t="shared" si="15"/>
        <v>#DIV/0!</v>
      </c>
      <c r="BA12" s="546">
        <f t="shared" si="127"/>
        <v>0</v>
      </c>
      <c r="BB12" s="544"/>
      <c r="BC12" s="545" t="e">
        <f t="shared" si="16"/>
        <v>#DIV/0!</v>
      </c>
      <c r="BD12" s="546">
        <f t="shared" si="128"/>
        <v>0</v>
      </c>
      <c r="BE12" s="544"/>
      <c r="BF12" s="545" t="e">
        <f t="shared" si="17"/>
        <v>#DIV/0!</v>
      </c>
      <c r="BG12" s="546">
        <f t="shared" si="129"/>
        <v>0</v>
      </c>
      <c r="BH12" s="544"/>
      <c r="BI12" s="545" t="e">
        <f t="shared" si="18"/>
        <v>#DIV/0!</v>
      </c>
      <c r="BJ12" s="546">
        <f t="shared" si="130"/>
        <v>0</v>
      </c>
      <c r="BK12" s="544"/>
      <c r="BL12" s="545" t="e">
        <f t="shared" si="19"/>
        <v>#DIV/0!</v>
      </c>
      <c r="BM12" s="546">
        <f t="shared" si="131"/>
        <v>0</v>
      </c>
      <c r="BN12" s="544"/>
      <c r="BO12" s="545" t="e">
        <f t="shared" si="20"/>
        <v>#DIV/0!</v>
      </c>
      <c r="BP12" s="546">
        <f t="shared" si="132"/>
        <v>0</v>
      </c>
      <c r="BQ12" s="544"/>
      <c r="BR12" s="545" t="e">
        <f t="shared" si="21"/>
        <v>#DIV/0!</v>
      </c>
      <c r="BS12" s="546">
        <f t="shared" si="133"/>
        <v>0</v>
      </c>
      <c r="BT12" s="544"/>
      <c r="BU12" s="545" t="e">
        <f t="shared" si="22"/>
        <v>#DIV/0!</v>
      </c>
      <c r="BV12" s="546">
        <f t="shared" si="134"/>
        <v>0</v>
      </c>
      <c r="BW12" s="544"/>
      <c r="BX12" s="545" t="e">
        <f t="shared" si="23"/>
        <v>#DIV/0!</v>
      </c>
      <c r="BY12" s="546">
        <f t="shared" si="135"/>
        <v>0</v>
      </c>
      <c r="BZ12" s="544">
        <v>622.46511627906966</v>
      </c>
      <c r="CA12" s="545" t="e">
        <f t="shared" si="24"/>
        <v>#DIV/0!</v>
      </c>
      <c r="CB12" s="546">
        <f t="shared" si="136"/>
        <v>0</v>
      </c>
      <c r="CC12" s="544"/>
      <c r="CD12" s="545" t="e">
        <f t="shared" si="25"/>
        <v>#DIV/0!</v>
      </c>
      <c r="CE12" s="546">
        <f t="shared" si="137"/>
        <v>0</v>
      </c>
      <c r="CF12" s="544">
        <v>0</v>
      </c>
      <c r="CG12" s="545" t="e">
        <f t="shared" si="26"/>
        <v>#DIV/0!</v>
      </c>
      <c r="CH12" s="546">
        <f t="shared" si="138"/>
        <v>0</v>
      </c>
      <c r="CI12" s="544"/>
      <c r="CJ12" s="545" t="e">
        <f t="shared" si="27"/>
        <v>#DIV/0!</v>
      </c>
      <c r="CK12" s="546">
        <f t="shared" si="139"/>
        <v>0</v>
      </c>
      <c r="CL12" s="544"/>
      <c r="CM12" s="545" t="e">
        <f t="shared" si="28"/>
        <v>#DIV/0!</v>
      </c>
      <c r="CN12" s="546">
        <f t="shared" si="140"/>
        <v>0</v>
      </c>
      <c r="CO12" s="544"/>
      <c r="CP12" s="545" t="e">
        <f t="shared" si="29"/>
        <v>#DIV/0!</v>
      </c>
      <c r="CQ12" s="546">
        <f t="shared" si="141"/>
        <v>0</v>
      </c>
      <c r="CR12" s="544"/>
      <c r="CS12" s="545" t="e">
        <f t="shared" si="30"/>
        <v>#DIV/0!</v>
      </c>
      <c r="CT12" s="546">
        <f t="shared" si="142"/>
        <v>0</v>
      </c>
      <c r="CU12" s="544"/>
      <c r="CV12" s="545" t="e">
        <f t="shared" si="31"/>
        <v>#DIV/0!</v>
      </c>
      <c r="CW12" s="546">
        <f t="shared" si="143"/>
        <v>0</v>
      </c>
      <c r="CX12" s="544"/>
      <c r="CY12" s="545" t="e">
        <f t="shared" si="32"/>
        <v>#DIV/0!</v>
      </c>
      <c r="CZ12" s="546">
        <f t="shared" si="144"/>
        <v>0</v>
      </c>
      <c r="DA12" s="544">
        <v>0</v>
      </c>
      <c r="DB12" s="545" t="e">
        <f t="shared" si="33"/>
        <v>#DIV/0!</v>
      </c>
      <c r="DC12" s="546">
        <f t="shared" si="145"/>
        <v>0</v>
      </c>
      <c r="DD12" s="544"/>
      <c r="DE12" s="545" t="e">
        <f t="shared" si="34"/>
        <v>#DIV/0!</v>
      </c>
      <c r="DF12" s="546">
        <f t="shared" si="146"/>
        <v>0</v>
      </c>
      <c r="DG12" s="544"/>
      <c r="DH12" s="545" t="e">
        <f t="shared" si="35"/>
        <v>#DIV/0!</v>
      </c>
      <c r="DI12" s="546">
        <v>0</v>
      </c>
      <c r="DJ12" s="544"/>
      <c r="DK12" s="545" t="e">
        <f t="shared" si="36"/>
        <v>#DIV/0!</v>
      </c>
      <c r="DL12" s="546">
        <f t="shared" si="147"/>
        <v>0</v>
      </c>
      <c r="DM12" s="544"/>
      <c r="DN12" s="545" t="e">
        <f t="shared" si="37"/>
        <v>#DIV/0!</v>
      </c>
      <c r="DO12" s="546">
        <f t="shared" si="148"/>
        <v>0</v>
      </c>
      <c r="DP12" s="544"/>
      <c r="DQ12" s="545" t="e">
        <f t="shared" si="38"/>
        <v>#DIV/0!</v>
      </c>
      <c r="DR12" s="546">
        <f t="shared" si="149"/>
        <v>0</v>
      </c>
      <c r="DS12" s="544"/>
      <c r="DT12" s="545" t="e">
        <f t="shared" si="39"/>
        <v>#DIV/0!</v>
      </c>
      <c r="DU12" s="546">
        <f t="shared" si="150"/>
        <v>0</v>
      </c>
      <c r="DV12" s="544"/>
      <c r="DW12" s="545" t="e">
        <f t="shared" si="40"/>
        <v>#DIV/0!</v>
      </c>
      <c r="DX12" s="546">
        <f t="shared" si="151"/>
        <v>0</v>
      </c>
      <c r="DY12" s="544"/>
      <c r="DZ12" s="545" t="e">
        <f t="shared" si="41"/>
        <v>#DIV/0!</v>
      </c>
      <c r="EA12" s="546">
        <f t="shared" si="152"/>
        <v>0</v>
      </c>
      <c r="EB12" s="544">
        <v>0</v>
      </c>
      <c r="EC12" s="545" t="e">
        <f t="shared" si="42"/>
        <v>#DIV/0!</v>
      </c>
      <c r="ED12" s="546">
        <f t="shared" si="153"/>
        <v>0</v>
      </c>
      <c r="EE12" s="544">
        <v>0</v>
      </c>
      <c r="EF12" s="545" t="e">
        <f t="shared" si="43"/>
        <v>#DIV/0!</v>
      </c>
      <c r="EG12" s="546">
        <f t="shared" si="154"/>
        <v>0</v>
      </c>
      <c r="EH12" s="544">
        <v>0</v>
      </c>
      <c r="EI12" s="545" t="e">
        <f t="shared" si="44"/>
        <v>#DIV/0!</v>
      </c>
      <c r="EJ12" s="546">
        <f t="shared" si="155"/>
        <v>0</v>
      </c>
      <c r="EK12" s="544"/>
      <c r="EL12" s="545" t="e">
        <f t="shared" si="45"/>
        <v>#DIV/0!</v>
      </c>
      <c r="EM12" s="546">
        <f t="shared" si="156"/>
        <v>0</v>
      </c>
      <c r="EN12" s="544"/>
      <c r="EO12" s="545" t="e">
        <f t="shared" si="46"/>
        <v>#DIV/0!</v>
      </c>
      <c r="EP12" s="546">
        <f t="shared" si="157"/>
        <v>0</v>
      </c>
      <c r="EQ12" s="544"/>
      <c r="ER12" s="545" t="e">
        <f t="shared" si="47"/>
        <v>#DIV/0!</v>
      </c>
      <c r="ES12" s="546">
        <f t="shared" si="158"/>
        <v>0</v>
      </c>
      <c r="ET12" s="544"/>
      <c r="EU12" s="545" t="e">
        <f t="shared" si="48"/>
        <v>#DIV/0!</v>
      </c>
      <c r="EV12" s="546">
        <f t="shared" si="159"/>
        <v>0</v>
      </c>
      <c r="EW12" s="544"/>
      <c r="EX12" s="545" t="e">
        <f t="shared" si="49"/>
        <v>#DIV/0!</v>
      </c>
      <c r="EY12" s="546">
        <f t="shared" si="160"/>
        <v>0</v>
      </c>
      <c r="EZ12" s="544"/>
      <c r="FA12" s="545" t="e">
        <f t="shared" si="50"/>
        <v>#DIV/0!</v>
      </c>
      <c r="FB12" s="546">
        <f t="shared" si="161"/>
        <v>0</v>
      </c>
      <c r="FC12" s="544"/>
      <c r="FD12" s="545" t="e">
        <f t="shared" si="51"/>
        <v>#DIV/0!</v>
      </c>
      <c r="FE12" s="546">
        <f t="shared" si="162"/>
        <v>0</v>
      </c>
      <c r="FF12" s="544"/>
      <c r="FG12" s="545" t="e">
        <f t="shared" si="52"/>
        <v>#DIV/0!</v>
      </c>
      <c r="FH12" s="546">
        <f t="shared" si="163"/>
        <v>0</v>
      </c>
      <c r="FI12" s="544"/>
      <c r="FJ12" s="545" t="e">
        <f t="shared" si="53"/>
        <v>#DIV/0!</v>
      </c>
      <c r="FK12" s="546">
        <f t="shared" si="164"/>
        <v>0</v>
      </c>
      <c r="FL12" s="544"/>
      <c r="FM12" s="545" t="e">
        <f t="shared" si="54"/>
        <v>#DIV/0!</v>
      </c>
      <c r="FN12" s="546">
        <f t="shared" si="165"/>
        <v>0</v>
      </c>
      <c r="FO12" s="544"/>
      <c r="FP12" s="545" t="e">
        <f t="shared" si="55"/>
        <v>#DIV/0!</v>
      </c>
      <c r="FQ12" s="546">
        <f t="shared" si="166"/>
        <v>0</v>
      </c>
      <c r="FR12" s="544"/>
      <c r="FS12" s="545" t="e">
        <f t="shared" si="56"/>
        <v>#DIV/0!</v>
      </c>
      <c r="FT12" s="546">
        <f t="shared" si="167"/>
        <v>0</v>
      </c>
      <c r="FU12" s="544"/>
      <c r="FV12" s="545" t="e">
        <f t="shared" si="57"/>
        <v>#DIV/0!</v>
      </c>
      <c r="FW12" s="546">
        <f t="shared" si="168"/>
        <v>0</v>
      </c>
      <c r="FX12" s="544"/>
      <c r="FY12" s="545" t="e">
        <f t="shared" si="58"/>
        <v>#DIV/0!</v>
      </c>
      <c r="FZ12" s="546">
        <f t="shared" si="169"/>
        <v>0</v>
      </c>
      <c r="GA12" s="544"/>
      <c r="GB12" s="545" t="e">
        <f t="shared" si="59"/>
        <v>#DIV/0!</v>
      </c>
      <c r="GC12" s="546">
        <f t="shared" si="170"/>
        <v>0</v>
      </c>
      <c r="GD12" s="544"/>
      <c r="GE12" s="545" t="e">
        <f t="shared" si="60"/>
        <v>#DIV/0!</v>
      </c>
      <c r="GF12" s="546">
        <f t="shared" si="171"/>
        <v>0</v>
      </c>
      <c r="GG12" s="544">
        <v>0</v>
      </c>
      <c r="GH12" s="545" t="e">
        <f t="shared" si="61"/>
        <v>#DIV/0!</v>
      </c>
      <c r="GI12" s="546">
        <f t="shared" si="172"/>
        <v>0</v>
      </c>
      <c r="GJ12" s="544">
        <v>0</v>
      </c>
      <c r="GK12" s="545" t="e">
        <f t="shared" si="62"/>
        <v>#DIV/0!</v>
      </c>
      <c r="GL12" s="546">
        <f t="shared" si="173"/>
        <v>0</v>
      </c>
      <c r="GM12" s="544">
        <v>0</v>
      </c>
      <c r="GN12" s="545" t="e">
        <f t="shared" si="63"/>
        <v>#DIV/0!</v>
      </c>
      <c r="GO12" s="546">
        <f t="shared" si="174"/>
        <v>0</v>
      </c>
      <c r="GP12" s="544">
        <v>0</v>
      </c>
      <c r="GQ12" s="545" t="e">
        <f t="shared" si="64"/>
        <v>#DIV/0!</v>
      </c>
      <c r="GR12" s="546">
        <f t="shared" si="175"/>
        <v>0</v>
      </c>
      <c r="GS12" s="544">
        <v>0</v>
      </c>
      <c r="GT12" s="545" t="e">
        <f t="shared" si="65"/>
        <v>#DIV/0!</v>
      </c>
      <c r="GU12" s="546">
        <f t="shared" si="176"/>
        <v>0</v>
      </c>
      <c r="GV12" s="544">
        <v>0</v>
      </c>
      <c r="GW12" s="545" t="e">
        <f t="shared" si="66"/>
        <v>#DIV/0!</v>
      </c>
      <c r="GX12" s="546">
        <f t="shared" si="177"/>
        <v>0</v>
      </c>
      <c r="GY12" s="544"/>
      <c r="GZ12" s="545" t="e">
        <f t="shared" si="67"/>
        <v>#DIV/0!</v>
      </c>
      <c r="HA12" s="546">
        <f t="shared" si="178"/>
        <v>0</v>
      </c>
      <c r="HB12" s="544"/>
      <c r="HC12" s="545" t="e">
        <f t="shared" si="68"/>
        <v>#DIV/0!</v>
      </c>
      <c r="HD12" s="546">
        <f t="shared" si="179"/>
        <v>0</v>
      </c>
      <c r="HE12" s="544"/>
      <c r="HF12" s="545" t="e">
        <f t="shared" si="69"/>
        <v>#DIV/0!</v>
      </c>
      <c r="HG12" s="546">
        <f t="shared" si="180"/>
        <v>0</v>
      </c>
      <c r="HH12" s="544"/>
      <c r="HI12" s="545" t="e">
        <f t="shared" si="70"/>
        <v>#DIV/0!</v>
      </c>
      <c r="HJ12" s="546">
        <f t="shared" si="181"/>
        <v>0</v>
      </c>
      <c r="HK12" s="544"/>
      <c r="HL12" s="545" t="e">
        <f t="shared" si="71"/>
        <v>#DIV/0!</v>
      </c>
      <c r="HM12" s="546">
        <f t="shared" si="182"/>
        <v>0</v>
      </c>
      <c r="HN12" s="544">
        <v>0</v>
      </c>
      <c r="HO12" s="545" t="e">
        <f t="shared" si="72"/>
        <v>#DIV/0!</v>
      </c>
      <c r="HP12" s="546">
        <f t="shared" si="183"/>
        <v>0</v>
      </c>
      <c r="HQ12" s="544"/>
      <c r="HR12" s="545" t="e">
        <f t="shared" si="73"/>
        <v>#DIV/0!</v>
      </c>
      <c r="HS12" s="546">
        <f t="shared" si="184"/>
        <v>0</v>
      </c>
      <c r="HT12" s="544">
        <v>0</v>
      </c>
      <c r="HU12" s="545" t="e">
        <f t="shared" si="74"/>
        <v>#DIV/0!</v>
      </c>
      <c r="HV12" s="546">
        <f t="shared" si="185"/>
        <v>0</v>
      </c>
      <c r="HW12" s="544">
        <v>0</v>
      </c>
      <c r="HX12" s="545" t="e">
        <f t="shared" si="75"/>
        <v>#DIV/0!</v>
      </c>
      <c r="HY12" s="546">
        <f t="shared" si="186"/>
        <v>0</v>
      </c>
      <c r="HZ12" s="544">
        <v>0</v>
      </c>
      <c r="IA12" s="545" t="e">
        <f t="shared" si="76"/>
        <v>#DIV/0!</v>
      </c>
      <c r="IB12" s="546">
        <f t="shared" si="187"/>
        <v>0</v>
      </c>
      <c r="IC12" s="544">
        <v>0</v>
      </c>
      <c r="ID12" s="545" t="e">
        <f t="shared" si="77"/>
        <v>#DIV/0!</v>
      </c>
      <c r="IE12" s="546">
        <f t="shared" si="188"/>
        <v>0</v>
      </c>
      <c r="IF12" s="544">
        <v>0</v>
      </c>
      <c r="IG12" s="545" t="e">
        <f t="shared" si="78"/>
        <v>#DIV/0!</v>
      </c>
      <c r="IH12" s="546">
        <f t="shared" si="189"/>
        <v>0</v>
      </c>
      <c r="II12" s="544"/>
      <c r="IJ12" s="545" t="e">
        <f t="shared" si="79"/>
        <v>#DIV/0!</v>
      </c>
      <c r="IK12" s="546">
        <f t="shared" si="190"/>
        <v>0</v>
      </c>
      <c r="IL12" s="544"/>
      <c r="IM12" s="545" t="e">
        <f t="shared" si="80"/>
        <v>#DIV/0!</v>
      </c>
      <c r="IN12" s="546">
        <f t="shared" si="191"/>
        <v>0</v>
      </c>
      <c r="IO12" s="544">
        <v>0</v>
      </c>
      <c r="IP12" s="545" t="e">
        <f t="shared" si="81"/>
        <v>#DIV/0!</v>
      </c>
      <c r="IQ12" s="546">
        <f t="shared" si="192"/>
        <v>0</v>
      </c>
      <c r="IR12" s="544">
        <v>0</v>
      </c>
      <c r="IS12" s="545" t="e">
        <f t="shared" si="82"/>
        <v>#DIV/0!</v>
      </c>
      <c r="IT12" s="546">
        <f t="shared" si="193"/>
        <v>0</v>
      </c>
      <c r="IU12" s="544"/>
      <c r="IV12" s="545" t="e">
        <f t="shared" si="83"/>
        <v>#DIV/0!</v>
      </c>
      <c r="IW12" s="546">
        <f t="shared" si="194"/>
        <v>0</v>
      </c>
      <c r="IX12" s="544">
        <v>0</v>
      </c>
      <c r="IY12" s="545" t="e">
        <f t="shared" si="84"/>
        <v>#DIV/0!</v>
      </c>
      <c r="IZ12" s="546">
        <f t="shared" si="195"/>
        <v>0</v>
      </c>
      <c r="JA12" s="544"/>
      <c r="JB12" s="545" t="e">
        <f t="shared" si="85"/>
        <v>#DIV/0!</v>
      </c>
      <c r="JC12" s="546">
        <f t="shared" si="196"/>
        <v>0</v>
      </c>
      <c r="JD12" s="544"/>
      <c r="JE12" s="545" t="e">
        <f t="shared" si="86"/>
        <v>#DIV/0!</v>
      </c>
      <c r="JF12" s="546">
        <f t="shared" si="197"/>
        <v>0</v>
      </c>
      <c r="JG12" s="544">
        <v>0</v>
      </c>
      <c r="JH12" s="546" t="str">
        <f t="shared" si="87"/>
        <v>0</v>
      </c>
      <c r="JI12" s="546" t="str">
        <f t="shared" si="88"/>
        <v>0</v>
      </c>
      <c r="JJ12" s="544">
        <v>0</v>
      </c>
      <c r="JK12" s="546" t="str">
        <f t="shared" si="89"/>
        <v>0</v>
      </c>
      <c r="JL12" s="546" t="str">
        <f t="shared" si="90"/>
        <v>0</v>
      </c>
      <c r="JM12" s="544">
        <v>0</v>
      </c>
      <c r="JN12" s="546" t="str">
        <f t="shared" si="91"/>
        <v>0</v>
      </c>
      <c r="JO12" s="546" t="str">
        <f t="shared" si="92"/>
        <v>0</v>
      </c>
      <c r="JP12" s="544"/>
      <c r="JQ12" s="546" t="str">
        <f t="shared" si="93"/>
        <v>0</v>
      </c>
      <c r="JR12" s="546" t="str">
        <f t="shared" si="94"/>
        <v>0</v>
      </c>
      <c r="JS12" s="544"/>
      <c r="JT12" s="546" t="str">
        <f t="shared" si="95"/>
        <v>0</v>
      </c>
      <c r="JU12" s="546" t="str">
        <f t="shared" si="96"/>
        <v>0</v>
      </c>
      <c r="JV12" s="544"/>
      <c r="JW12" s="546" t="str">
        <f t="shared" si="97"/>
        <v>0</v>
      </c>
      <c r="JX12" s="546" t="str">
        <f t="shared" si="98"/>
        <v>0</v>
      </c>
      <c r="JY12" s="544"/>
      <c r="JZ12" s="546" t="str">
        <f t="shared" si="99"/>
        <v>0</v>
      </c>
      <c r="KA12" s="546" t="str">
        <f t="shared" si="100"/>
        <v>0</v>
      </c>
      <c r="KB12" s="544"/>
      <c r="KC12" s="546" t="str">
        <f t="shared" si="101"/>
        <v>0</v>
      </c>
      <c r="KD12" s="546" t="str">
        <f t="shared" si="102"/>
        <v>0</v>
      </c>
      <c r="KE12" s="544"/>
      <c r="KF12" s="546" t="str">
        <f t="shared" si="103"/>
        <v>0</v>
      </c>
      <c r="KG12" s="546" t="str">
        <f t="shared" si="104"/>
        <v>0</v>
      </c>
      <c r="KH12" s="544"/>
      <c r="KI12" s="546" t="str">
        <f t="shared" si="105"/>
        <v>0</v>
      </c>
      <c r="KJ12" s="546" t="str">
        <f t="shared" si="106"/>
        <v>0</v>
      </c>
      <c r="KK12" s="544"/>
      <c r="KL12" s="546" t="str">
        <f t="shared" si="107"/>
        <v>0</v>
      </c>
      <c r="KM12" s="546" t="str">
        <f t="shared" si="108"/>
        <v>0</v>
      </c>
      <c r="KN12" s="544"/>
      <c r="KO12" s="546" t="str">
        <f t="shared" si="109"/>
        <v>0</v>
      </c>
      <c r="KP12" s="546" t="str">
        <f t="shared" si="110"/>
        <v>0</v>
      </c>
      <c r="KQ12" s="546">
        <f t="shared" si="111"/>
        <v>0</v>
      </c>
      <c r="KR12" s="546">
        <f t="shared" si="198"/>
        <v>0</v>
      </c>
      <c r="KS12" s="265">
        <f t="shared" si="199"/>
        <v>632.71511627906966</v>
      </c>
    </row>
    <row r="13" spans="1:305" ht="15" customHeight="1">
      <c r="A13" s="267">
        <f>+Report1!A13</f>
        <v>45996</v>
      </c>
      <c r="B13" s="268" t="str">
        <f>+Report1!B13</f>
        <v>Towel</v>
      </c>
      <c r="C13" s="268" t="str">
        <f>+Report1!C13</f>
        <v>17</v>
      </c>
      <c r="D13" s="269">
        <f>+Report1!P13</f>
        <v>39.436</v>
      </c>
      <c r="E13" s="270">
        <f>+Report1!R13</f>
        <v>33.343000000000004</v>
      </c>
      <c r="F13" s="544">
        <v>0</v>
      </c>
      <c r="G13" s="545">
        <f t="shared" si="0"/>
        <v>0</v>
      </c>
      <c r="H13" s="546">
        <f t="shared" si="112"/>
        <v>0</v>
      </c>
      <c r="I13" s="544"/>
      <c r="J13" s="545">
        <f t="shared" si="1"/>
        <v>0</v>
      </c>
      <c r="K13" s="546">
        <f t="shared" si="113"/>
        <v>0</v>
      </c>
      <c r="L13" s="544"/>
      <c r="M13" s="545">
        <f t="shared" si="2"/>
        <v>0</v>
      </c>
      <c r="N13" s="546">
        <f t="shared" si="114"/>
        <v>0</v>
      </c>
      <c r="O13" s="544">
        <v>21</v>
      </c>
      <c r="P13" s="545">
        <f t="shared" si="3"/>
        <v>0.6298173529676393</v>
      </c>
      <c r="Q13" s="546">
        <f t="shared" si="115"/>
        <v>0</v>
      </c>
      <c r="R13" s="544"/>
      <c r="S13" s="545">
        <f t="shared" si="4"/>
        <v>0</v>
      </c>
      <c r="T13" s="546">
        <f t="shared" si="116"/>
        <v>0</v>
      </c>
      <c r="U13" s="544">
        <v>10.249999999999972</v>
      </c>
      <c r="V13" s="545">
        <f t="shared" si="5"/>
        <v>0.30741085085325165</v>
      </c>
      <c r="W13" s="546">
        <f t="shared" si="117"/>
        <v>0</v>
      </c>
      <c r="X13" s="544"/>
      <c r="Y13" s="545">
        <f t="shared" si="6"/>
        <v>0</v>
      </c>
      <c r="Z13" s="546">
        <f t="shared" si="118"/>
        <v>0</v>
      </c>
      <c r="AA13" s="544"/>
      <c r="AB13" s="545">
        <f t="shared" si="7"/>
        <v>0</v>
      </c>
      <c r="AC13" s="546">
        <f t="shared" si="119"/>
        <v>0</v>
      </c>
      <c r="AD13" s="544"/>
      <c r="AE13" s="545">
        <f t="shared" si="8"/>
        <v>0</v>
      </c>
      <c r="AF13" s="546">
        <f t="shared" si="120"/>
        <v>0</v>
      </c>
      <c r="AG13" s="544"/>
      <c r="AH13" s="545">
        <f t="shared" si="9"/>
        <v>0</v>
      </c>
      <c r="AI13" s="546">
        <f t="shared" si="121"/>
        <v>0</v>
      </c>
      <c r="AJ13" s="544"/>
      <c r="AK13" s="545">
        <f t="shared" si="10"/>
        <v>0</v>
      </c>
      <c r="AL13" s="546">
        <f t="shared" si="122"/>
        <v>0</v>
      </c>
      <c r="AM13" s="544">
        <v>26.28205128205127</v>
      </c>
      <c r="AN13" s="545">
        <f t="shared" si="11"/>
        <v>0.78823295090577539</v>
      </c>
      <c r="AO13" s="546">
        <f t="shared" si="123"/>
        <v>0</v>
      </c>
      <c r="AP13" s="544"/>
      <c r="AQ13" s="545">
        <f t="shared" si="12"/>
        <v>0</v>
      </c>
      <c r="AR13" s="546">
        <f t="shared" si="124"/>
        <v>0</v>
      </c>
      <c r="AS13" s="544"/>
      <c r="AT13" s="545">
        <f t="shared" si="13"/>
        <v>0</v>
      </c>
      <c r="AU13" s="546">
        <f t="shared" si="125"/>
        <v>0</v>
      </c>
      <c r="AV13" s="544">
        <v>0</v>
      </c>
      <c r="AW13" s="545">
        <f t="shared" si="14"/>
        <v>0</v>
      </c>
      <c r="AX13" s="546">
        <f t="shared" si="126"/>
        <v>0</v>
      </c>
      <c r="AY13" s="544">
        <v>67.666666666666629</v>
      </c>
      <c r="AZ13" s="545">
        <f t="shared" si="15"/>
        <v>2.0294114706735034</v>
      </c>
      <c r="BA13" s="546">
        <f t="shared" si="127"/>
        <v>0</v>
      </c>
      <c r="BB13" s="544"/>
      <c r="BC13" s="545">
        <f t="shared" si="16"/>
        <v>0</v>
      </c>
      <c r="BD13" s="546">
        <f t="shared" si="128"/>
        <v>0</v>
      </c>
      <c r="BE13" s="544"/>
      <c r="BF13" s="545">
        <f t="shared" si="17"/>
        <v>0</v>
      </c>
      <c r="BG13" s="546">
        <f t="shared" si="129"/>
        <v>0</v>
      </c>
      <c r="BH13" s="544"/>
      <c r="BI13" s="545">
        <f t="shared" si="18"/>
        <v>0</v>
      </c>
      <c r="BJ13" s="546">
        <f t="shared" si="130"/>
        <v>0</v>
      </c>
      <c r="BK13" s="544"/>
      <c r="BL13" s="545">
        <f t="shared" si="19"/>
        <v>0</v>
      </c>
      <c r="BM13" s="546">
        <f t="shared" si="131"/>
        <v>0</v>
      </c>
      <c r="BN13" s="544"/>
      <c r="BO13" s="545">
        <f t="shared" si="20"/>
        <v>0</v>
      </c>
      <c r="BP13" s="546">
        <f t="shared" si="132"/>
        <v>0</v>
      </c>
      <c r="BQ13" s="544"/>
      <c r="BR13" s="545">
        <f t="shared" si="21"/>
        <v>0</v>
      </c>
      <c r="BS13" s="546">
        <f t="shared" si="133"/>
        <v>0</v>
      </c>
      <c r="BT13" s="544"/>
      <c r="BU13" s="545">
        <f t="shared" si="22"/>
        <v>0</v>
      </c>
      <c r="BV13" s="546">
        <f t="shared" si="134"/>
        <v>0</v>
      </c>
      <c r="BW13" s="544"/>
      <c r="BX13" s="545">
        <f t="shared" si="23"/>
        <v>0</v>
      </c>
      <c r="BY13" s="546">
        <f t="shared" si="135"/>
        <v>0</v>
      </c>
      <c r="BZ13" s="544">
        <v>345.81395348837214</v>
      </c>
      <c r="CA13" s="545">
        <f t="shared" si="24"/>
        <v>10.37141089549147</v>
      </c>
      <c r="CB13" s="546">
        <f t="shared" si="136"/>
        <v>0</v>
      </c>
      <c r="CC13" s="544"/>
      <c r="CD13" s="545">
        <f t="shared" si="25"/>
        <v>0</v>
      </c>
      <c r="CE13" s="546">
        <f t="shared" si="137"/>
        <v>0</v>
      </c>
      <c r="CF13" s="544">
        <v>3.5999999999999996</v>
      </c>
      <c r="CG13" s="545">
        <f t="shared" si="26"/>
        <v>0.10796868908016673</v>
      </c>
      <c r="CH13" s="546">
        <f t="shared" si="138"/>
        <v>0</v>
      </c>
      <c r="CI13" s="544"/>
      <c r="CJ13" s="545">
        <f t="shared" si="27"/>
        <v>0</v>
      </c>
      <c r="CK13" s="546">
        <f t="shared" si="139"/>
        <v>0</v>
      </c>
      <c r="CL13" s="544"/>
      <c r="CM13" s="545">
        <f t="shared" si="28"/>
        <v>0</v>
      </c>
      <c r="CN13" s="546">
        <f t="shared" si="140"/>
        <v>0</v>
      </c>
      <c r="CO13" s="544"/>
      <c r="CP13" s="545">
        <f t="shared" si="29"/>
        <v>0</v>
      </c>
      <c r="CQ13" s="546">
        <f t="shared" si="141"/>
        <v>0</v>
      </c>
      <c r="CR13" s="544"/>
      <c r="CS13" s="545">
        <f t="shared" si="30"/>
        <v>0</v>
      </c>
      <c r="CT13" s="546">
        <f t="shared" si="142"/>
        <v>0</v>
      </c>
      <c r="CU13" s="544"/>
      <c r="CV13" s="545">
        <f t="shared" si="31"/>
        <v>0</v>
      </c>
      <c r="CW13" s="546">
        <f t="shared" si="143"/>
        <v>0</v>
      </c>
      <c r="CX13" s="544"/>
      <c r="CY13" s="545">
        <f t="shared" si="32"/>
        <v>0</v>
      </c>
      <c r="CZ13" s="546">
        <f t="shared" si="144"/>
        <v>0</v>
      </c>
      <c r="DA13" s="544">
        <v>0</v>
      </c>
      <c r="DB13" s="545">
        <f t="shared" si="33"/>
        <v>0</v>
      </c>
      <c r="DC13" s="546">
        <f t="shared" si="145"/>
        <v>0</v>
      </c>
      <c r="DD13" s="544"/>
      <c r="DE13" s="545">
        <f t="shared" si="34"/>
        <v>0</v>
      </c>
      <c r="DF13" s="546">
        <f t="shared" si="146"/>
        <v>0</v>
      </c>
      <c r="DG13" s="544"/>
      <c r="DH13" s="545">
        <f t="shared" si="35"/>
        <v>0</v>
      </c>
      <c r="DI13" s="546">
        <v>0</v>
      </c>
      <c r="DJ13" s="544"/>
      <c r="DK13" s="545">
        <f t="shared" si="36"/>
        <v>0</v>
      </c>
      <c r="DL13" s="546">
        <f t="shared" si="147"/>
        <v>0</v>
      </c>
      <c r="DM13" s="544"/>
      <c r="DN13" s="545">
        <f t="shared" si="37"/>
        <v>0</v>
      </c>
      <c r="DO13" s="546">
        <f t="shared" si="148"/>
        <v>0</v>
      </c>
      <c r="DP13" s="544"/>
      <c r="DQ13" s="545">
        <f t="shared" si="38"/>
        <v>0</v>
      </c>
      <c r="DR13" s="546">
        <f t="shared" si="149"/>
        <v>0</v>
      </c>
      <c r="DS13" s="544"/>
      <c r="DT13" s="545">
        <f t="shared" si="39"/>
        <v>0</v>
      </c>
      <c r="DU13" s="546">
        <f t="shared" si="150"/>
        <v>0</v>
      </c>
      <c r="DV13" s="544"/>
      <c r="DW13" s="545">
        <f t="shared" si="40"/>
        <v>0</v>
      </c>
      <c r="DX13" s="546">
        <f t="shared" si="151"/>
        <v>0</v>
      </c>
      <c r="DY13" s="544"/>
      <c r="DZ13" s="545">
        <f t="shared" si="41"/>
        <v>0</v>
      </c>
      <c r="EA13" s="546">
        <f t="shared" si="152"/>
        <v>0</v>
      </c>
      <c r="EB13" s="544">
        <v>505.88235294117635</v>
      </c>
      <c r="EC13" s="545">
        <f t="shared" si="42"/>
        <v>15.172070687735845</v>
      </c>
      <c r="ED13" s="546">
        <f t="shared" si="153"/>
        <v>0</v>
      </c>
      <c r="EE13" s="544">
        <v>29.069767441860449</v>
      </c>
      <c r="EF13" s="545">
        <f t="shared" si="43"/>
        <v>0.8718401896008291</v>
      </c>
      <c r="EG13" s="546">
        <f t="shared" si="154"/>
        <v>0</v>
      </c>
      <c r="EH13" s="544">
        <v>0</v>
      </c>
      <c r="EI13" s="545">
        <f t="shared" si="44"/>
        <v>0</v>
      </c>
      <c r="EJ13" s="546">
        <f t="shared" si="155"/>
        <v>0</v>
      </c>
      <c r="EK13" s="544"/>
      <c r="EL13" s="545">
        <f t="shared" si="45"/>
        <v>0</v>
      </c>
      <c r="EM13" s="546">
        <f t="shared" si="156"/>
        <v>0</v>
      </c>
      <c r="EN13" s="544"/>
      <c r="EO13" s="545">
        <f t="shared" si="46"/>
        <v>0</v>
      </c>
      <c r="EP13" s="546">
        <f t="shared" si="157"/>
        <v>0</v>
      </c>
      <c r="EQ13" s="544"/>
      <c r="ER13" s="545">
        <f t="shared" si="47"/>
        <v>0</v>
      </c>
      <c r="ES13" s="546">
        <f t="shared" si="158"/>
        <v>0</v>
      </c>
      <c r="ET13" s="544"/>
      <c r="EU13" s="545">
        <f t="shared" si="48"/>
        <v>0</v>
      </c>
      <c r="EV13" s="546">
        <f t="shared" si="159"/>
        <v>0</v>
      </c>
      <c r="EW13" s="544"/>
      <c r="EX13" s="545">
        <f t="shared" si="49"/>
        <v>0</v>
      </c>
      <c r="EY13" s="546">
        <f t="shared" si="160"/>
        <v>0</v>
      </c>
      <c r="EZ13" s="544"/>
      <c r="FA13" s="545">
        <f t="shared" si="50"/>
        <v>0</v>
      </c>
      <c r="FB13" s="546">
        <f t="shared" si="161"/>
        <v>0</v>
      </c>
      <c r="FC13" s="544"/>
      <c r="FD13" s="545">
        <f t="shared" si="51"/>
        <v>0</v>
      </c>
      <c r="FE13" s="546">
        <f t="shared" si="162"/>
        <v>0</v>
      </c>
      <c r="FF13" s="544"/>
      <c r="FG13" s="545">
        <f t="shared" si="52"/>
        <v>0</v>
      </c>
      <c r="FH13" s="546">
        <f t="shared" si="163"/>
        <v>0</v>
      </c>
      <c r="FI13" s="544"/>
      <c r="FJ13" s="545">
        <f t="shared" si="53"/>
        <v>0</v>
      </c>
      <c r="FK13" s="546">
        <f t="shared" si="164"/>
        <v>0</v>
      </c>
      <c r="FL13" s="544"/>
      <c r="FM13" s="545">
        <f t="shared" si="54"/>
        <v>0</v>
      </c>
      <c r="FN13" s="546">
        <f t="shared" si="165"/>
        <v>0</v>
      </c>
      <c r="FO13" s="544"/>
      <c r="FP13" s="545">
        <f t="shared" si="55"/>
        <v>0</v>
      </c>
      <c r="FQ13" s="546">
        <f t="shared" si="166"/>
        <v>0</v>
      </c>
      <c r="FR13" s="544"/>
      <c r="FS13" s="545">
        <f t="shared" si="56"/>
        <v>0</v>
      </c>
      <c r="FT13" s="546">
        <f t="shared" si="167"/>
        <v>0</v>
      </c>
      <c r="FU13" s="544"/>
      <c r="FV13" s="545">
        <f t="shared" si="57"/>
        <v>0</v>
      </c>
      <c r="FW13" s="546">
        <f t="shared" si="168"/>
        <v>0</v>
      </c>
      <c r="FX13" s="544"/>
      <c r="FY13" s="545">
        <f t="shared" si="58"/>
        <v>0</v>
      </c>
      <c r="FZ13" s="546">
        <f t="shared" si="169"/>
        <v>0</v>
      </c>
      <c r="GA13" s="544"/>
      <c r="GB13" s="545">
        <f t="shared" si="59"/>
        <v>0</v>
      </c>
      <c r="GC13" s="546">
        <f t="shared" si="170"/>
        <v>0</v>
      </c>
      <c r="GD13" s="544"/>
      <c r="GE13" s="545">
        <f t="shared" si="60"/>
        <v>0</v>
      </c>
      <c r="GF13" s="546">
        <f t="shared" si="171"/>
        <v>0</v>
      </c>
      <c r="GG13" s="544">
        <v>11.281439563996285</v>
      </c>
      <c r="GH13" s="545">
        <f t="shared" si="61"/>
        <v>0.33834506685050186</v>
      </c>
      <c r="GI13" s="546">
        <f t="shared" si="172"/>
        <v>0</v>
      </c>
      <c r="GJ13" s="544">
        <v>11.281439563996285</v>
      </c>
      <c r="GK13" s="545">
        <f t="shared" si="62"/>
        <v>0.33834506685050186</v>
      </c>
      <c r="GL13" s="546">
        <f t="shared" si="173"/>
        <v>0</v>
      </c>
      <c r="GM13" s="544">
        <v>0</v>
      </c>
      <c r="GN13" s="545">
        <f t="shared" si="63"/>
        <v>0</v>
      </c>
      <c r="GO13" s="546">
        <f t="shared" si="174"/>
        <v>0</v>
      </c>
      <c r="GP13" s="544">
        <v>31.588030779189598</v>
      </c>
      <c r="GQ13" s="545">
        <f t="shared" si="64"/>
        <v>0.94736618718140519</v>
      </c>
      <c r="GR13" s="546">
        <f t="shared" si="175"/>
        <v>0</v>
      </c>
      <c r="GS13" s="544">
        <v>216.60363962872867</v>
      </c>
      <c r="GT13" s="545">
        <f t="shared" si="65"/>
        <v>6.4962252835296361</v>
      </c>
      <c r="GU13" s="546">
        <f t="shared" si="176"/>
        <v>0</v>
      </c>
      <c r="GV13" s="544">
        <v>67.688637383977706</v>
      </c>
      <c r="GW13" s="545">
        <f t="shared" si="66"/>
        <v>2.0300704011030111</v>
      </c>
      <c r="GX13" s="546">
        <f t="shared" si="177"/>
        <v>0</v>
      </c>
      <c r="GY13" s="544"/>
      <c r="GZ13" s="545">
        <f t="shared" si="67"/>
        <v>0</v>
      </c>
      <c r="HA13" s="546">
        <f t="shared" si="178"/>
        <v>0</v>
      </c>
      <c r="HB13" s="544"/>
      <c r="HC13" s="545">
        <f t="shared" si="68"/>
        <v>0</v>
      </c>
      <c r="HD13" s="546">
        <f t="shared" si="179"/>
        <v>0</v>
      </c>
      <c r="HE13" s="544"/>
      <c r="HF13" s="545">
        <f t="shared" si="69"/>
        <v>0</v>
      </c>
      <c r="HG13" s="546">
        <f t="shared" si="180"/>
        <v>0</v>
      </c>
      <c r="HH13" s="544"/>
      <c r="HI13" s="545">
        <f t="shared" si="70"/>
        <v>0</v>
      </c>
      <c r="HJ13" s="546">
        <f t="shared" si="181"/>
        <v>0</v>
      </c>
      <c r="HK13" s="544"/>
      <c r="HL13" s="545">
        <f t="shared" si="71"/>
        <v>0</v>
      </c>
      <c r="HM13" s="546">
        <f t="shared" si="182"/>
        <v>0</v>
      </c>
      <c r="HN13" s="544">
        <v>866.41455851491469</v>
      </c>
      <c r="HO13" s="545">
        <f t="shared" si="72"/>
        <v>25.984901134118545</v>
      </c>
      <c r="HP13" s="546">
        <f t="shared" si="183"/>
        <v>0</v>
      </c>
      <c r="HQ13" s="544"/>
      <c r="HR13" s="545">
        <f t="shared" si="73"/>
        <v>0</v>
      </c>
      <c r="HS13" s="546">
        <f t="shared" si="184"/>
        <v>0</v>
      </c>
      <c r="HT13" s="544">
        <v>0</v>
      </c>
      <c r="HU13" s="545">
        <f t="shared" si="74"/>
        <v>0</v>
      </c>
      <c r="HV13" s="546">
        <f t="shared" si="185"/>
        <v>0</v>
      </c>
      <c r="HW13" s="544">
        <v>0</v>
      </c>
      <c r="HX13" s="545">
        <f t="shared" si="75"/>
        <v>0</v>
      </c>
      <c r="HY13" s="546">
        <f t="shared" si="186"/>
        <v>0</v>
      </c>
      <c r="HZ13" s="544">
        <v>0</v>
      </c>
      <c r="IA13" s="545">
        <f t="shared" si="76"/>
        <v>0</v>
      </c>
      <c r="IB13" s="546">
        <f t="shared" si="187"/>
        <v>0</v>
      </c>
      <c r="IC13" s="544">
        <v>0</v>
      </c>
      <c r="ID13" s="545">
        <f t="shared" si="77"/>
        <v>0</v>
      </c>
      <c r="IE13" s="546">
        <f t="shared" si="188"/>
        <v>0</v>
      </c>
      <c r="IF13" s="544">
        <v>22.56287912799257</v>
      </c>
      <c r="IG13" s="545">
        <f t="shared" si="78"/>
        <v>0.67669013370100373</v>
      </c>
      <c r="IH13" s="546">
        <f t="shared" si="189"/>
        <v>0</v>
      </c>
      <c r="II13" s="544"/>
      <c r="IJ13" s="545">
        <f t="shared" si="79"/>
        <v>0</v>
      </c>
      <c r="IK13" s="546">
        <f t="shared" si="190"/>
        <v>0</v>
      </c>
      <c r="IL13" s="544"/>
      <c r="IM13" s="545">
        <f t="shared" si="80"/>
        <v>0</v>
      </c>
      <c r="IN13" s="546">
        <f t="shared" si="191"/>
        <v>0</v>
      </c>
      <c r="IO13" s="544">
        <v>60.919773645579937</v>
      </c>
      <c r="IP13" s="545">
        <f t="shared" si="81"/>
        <v>1.8270633609927101</v>
      </c>
      <c r="IQ13" s="546">
        <f t="shared" si="192"/>
        <v>0</v>
      </c>
      <c r="IR13" s="544">
        <v>0</v>
      </c>
      <c r="IS13" s="545">
        <f t="shared" si="82"/>
        <v>0</v>
      </c>
      <c r="IT13" s="546">
        <f t="shared" si="193"/>
        <v>0</v>
      </c>
      <c r="IU13" s="544"/>
      <c r="IV13" s="545">
        <f t="shared" si="83"/>
        <v>0</v>
      </c>
      <c r="IW13" s="546">
        <f t="shared" si="194"/>
        <v>0</v>
      </c>
      <c r="IX13" s="544">
        <v>0</v>
      </c>
      <c r="IY13" s="545">
        <f t="shared" si="84"/>
        <v>0</v>
      </c>
      <c r="IZ13" s="546">
        <f t="shared" si="195"/>
        <v>0</v>
      </c>
      <c r="JA13" s="544"/>
      <c r="JB13" s="545">
        <f t="shared" si="85"/>
        <v>0</v>
      </c>
      <c r="JC13" s="546">
        <f t="shared" si="196"/>
        <v>0</v>
      </c>
      <c r="JD13" s="544"/>
      <c r="JE13" s="545">
        <f t="shared" si="86"/>
        <v>0</v>
      </c>
      <c r="JF13" s="546">
        <f t="shared" si="197"/>
        <v>0</v>
      </c>
      <c r="JG13" s="544">
        <v>20.306591215193311</v>
      </c>
      <c r="JH13" s="546" t="str">
        <f t="shared" si="87"/>
        <v>0</v>
      </c>
      <c r="JI13" s="546" t="str">
        <f t="shared" si="88"/>
        <v>0</v>
      </c>
      <c r="JJ13" s="544">
        <v>0</v>
      </c>
      <c r="JK13" s="546" t="str">
        <f t="shared" si="89"/>
        <v>0</v>
      </c>
      <c r="JL13" s="546" t="str">
        <f t="shared" si="90"/>
        <v>0</v>
      </c>
      <c r="JM13" s="544">
        <v>0</v>
      </c>
      <c r="JN13" s="546" t="str">
        <f t="shared" si="91"/>
        <v>0</v>
      </c>
      <c r="JO13" s="546" t="str">
        <f t="shared" si="92"/>
        <v>0</v>
      </c>
      <c r="JP13" s="544"/>
      <c r="JQ13" s="546" t="str">
        <f t="shared" si="93"/>
        <v>0</v>
      </c>
      <c r="JR13" s="546" t="str">
        <f t="shared" si="94"/>
        <v>0</v>
      </c>
      <c r="JS13" s="544"/>
      <c r="JT13" s="546" t="str">
        <f t="shared" si="95"/>
        <v>0</v>
      </c>
      <c r="JU13" s="546" t="str">
        <f t="shared" si="96"/>
        <v>0</v>
      </c>
      <c r="JV13" s="544"/>
      <c r="JW13" s="546" t="str">
        <f t="shared" si="97"/>
        <v>0</v>
      </c>
      <c r="JX13" s="546" t="str">
        <f t="shared" si="98"/>
        <v>0</v>
      </c>
      <c r="JY13" s="544"/>
      <c r="JZ13" s="546" t="str">
        <f t="shared" si="99"/>
        <v>0</v>
      </c>
      <c r="KA13" s="546" t="str">
        <f t="shared" si="100"/>
        <v>0</v>
      </c>
      <c r="KB13" s="544"/>
      <c r="KC13" s="546" t="str">
        <f t="shared" si="101"/>
        <v>0</v>
      </c>
      <c r="KD13" s="546" t="str">
        <f t="shared" si="102"/>
        <v>0</v>
      </c>
      <c r="KE13" s="544"/>
      <c r="KF13" s="546" t="str">
        <f t="shared" si="103"/>
        <v>0</v>
      </c>
      <c r="KG13" s="546" t="str">
        <f t="shared" si="104"/>
        <v>0</v>
      </c>
      <c r="KH13" s="544"/>
      <c r="KI13" s="546" t="str">
        <f t="shared" si="105"/>
        <v>0</v>
      </c>
      <c r="KJ13" s="546" t="str">
        <f t="shared" si="106"/>
        <v>0</v>
      </c>
      <c r="KK13" s="544"/>
      <c r="KL13" s="546" t="str">
        <f t="shared" si="107"/>
        <v>0</v>
      </c>
      <c r="KM13" s="546" t="str">
        <f t="shared" si="108"/>
        <v>0</v>
      </c>
      <c r="KN13" s="544"/>
      <c r="KO13" s="546" t="str">
        <f t="shared" si="109"/>
        <v>0</v>
      </c>
      <c r="KP13" s="546" t="str">
        <f t="shared" si="110"/>
        <v>0</v>
      </c>
      <c r="KQ13" s="546">
        <f t="shared" si="111"/>
        <v>0</v>
      </c>
      <c r="KR13" s="546">
        <f t="shared" si="198"/>
        <v>0</v>
      </c>
      <c r="KS13" s="265">
        <f t="shared" si="199"/>
        <v>2318.2117812436954</v>
      </c>
    </row>
    <row r="14" spans="1:305" ht="15" customHeight="1">
      <c r="A14" s="267">
        <f>+Report1!A14</f>
        <v>45997</v>
      </c>
      <c r="B14" s="268" t="str">
        <f>+Report1!B14</f>
        <v>Towel/Napkin</v>
      </c>
      <c r="C14" s="268" t="str">
        <f>+Report1!C14</f>
        <v>17/15,5</v>
      </c>
      <c r="D14" s="269">
        <f>+Report1!P14</f>
        <v>42.302</v>
      </c>
      <c r="E14" s="270">
        <f>+Report1!R14</f>
        <v>38.427999999999997</v>
      </c>
      <c r="F14" s="544">
        <v>0</v>
      </c>
      <c r="G14" s="545">
        <f t="shared" si="0"/>
        <v>0</v>
      </c>
      <c r="H14" s="546">
        <f t="shared" si="112"/>
        <v>0</v>
      </c>
      <c r="I14" s="544"/>
      <c r="J14" s="545">
        <f t="shared" si="1"/>
        <v>0</v>
      </c>
      <c r="K14" s="546">
        <f t="shared" si="113"/>
        <v>0</v>
      </c>
      <c r="L14" s="544"/>
      <c r="M14" s="545">
        <f t="shared" si="2"/>
        <v>0</v>
      </c>
      <c r="N14" s="546">
        <f t="shared" si="114"/>
        <v>0</v>
      </c>
      <c r="O14" s="544">
        <v>12.000000000000028</v>
      </c>
      <c r="P14" s="545">
        <f t="shared" si="3"/>
        <v>0.31227230144686241</v>
      </c>
      <c r="Q14" s="546">
        <f t="shared" si="115"/>
        <v>0</v>
      </c>
      <c r="R14" s="544"/>
      <c r="S14" s="545">
        <f t="shared" si="4"/>
        <v>0</v>
      </c>
      <c r="T14" s="546">
        <f t="shared" si="116"/>
        <v>0</v>
      </c>
      <c r="U14" s="544">
        <v>10.25</v>
      </c>
      <c r="V14" s="545">
        <f t="shared" si="5"/>
        <v>0.26673259081919437</v>
      </c>
      <c r="W14" s="546">
        <f t="shared" si="117"/>
        <v>0</v>
      </c>
      <c r="X14" s="544"/>
      <c r="Y14" s="545">
        <f t="shared" si="6"/>
        <v>0</v>
      </c>
      <c r="Z14" s="546">
        <f t="shared" si="118"/>
        <v>0</v>
      </c>
      <c r="AA14" s="544"/>
      <c r="AB14" s="545">
        <f t="shared" si="7"/>
        <v>0</v>
      </c>
      <c r="AC14" s="546">
        <f t="shared" si="119"/>
        <v>0</v>
      </c>
      <c r="AD14" s="544"/>
      <c r="AE14" s="545">
        <f t="shared" si="8"/>
        <v>0</v>
      </c>
      <c r="AF14" s="546">
        <f t="shared" si="120"/>
        <v>0</v>
      </c>
      <c r="AG14" s="544"/>
      <c r="AH14" s="545">
        <f t="shared" si="9"/>
        <v>0</v>
      </c>
      <c r="AI14" s="546">
        <f t="shared" si="121"/>
        <v>0</v>
      </c>
      <c r="AJ14" s="544"/>
      <c r="AK14" s="545">
        <f t="shared" si="10"/>
        <v>0</v>
      </c>
      <c r="AL14" s="546">
        <f t="shared" si="122"/>
        <v>0</v>
      </c>
      <c r="AM14" s="544">
        <v>30.343320512820469</v>
      </c>
      <c r="AN14" s="545">
        <f t="shared" si="11"/>
        <v>0.78961487750651793</v>
      </c>
      <c r="AO14" s="546">
        <f t="shared" si="123"/>
        <v>0</v>
      </c>
      <c r="AP14" s="544"/>
      <c r="AQ14" s="545">
        <f t="shared" si="12"/>
        <v>0</v>
      </c>
      <c r="AR14" s="546">
        <f t="shared" si="124"/>
        <v>0</v>
      </c>
      <c r="AS14" s="544"/>
      <c r="AT14" s="545">
        <f t="shared" si="13"/>
        <v>0</v>
      </c>
      <c r="AU14" s="546">
        <f t="shared" si="125"/>
        <v>0</v>
      </c>
      <c r="AV14" s="544">
        <v>0</v>
      </c>
      <c r="AW14" s="545">
        <f t="shared" si="14"/>
        <v>0</v>
      </c>
      <c r="AX14" s="546">
        <f t="shared" si="126"/>
        <v>0</v>
      </c>
      <c r="AY14" s="544">
        <v>45.251733333333277</v>
      </c>
      <c r="AZ14" s="545">
        <f t="shared" si="15"/>
        <v>1.1775719093716372</v>
      </c>
      <c r="BA14" s="546">
        <f t="shared" si="127"/>
        <v>0</v>
      </c>
      <c r="BB14" s="544"/>
      <c r="BC14" s="545">
        <f t="shared" si="16"/>
        <v>0</v>
      </c>
      <c r="BD14" s="546">
        <f t="shared" si="128"/>
        <v>0</v>
      </c>
      <c r="BE14" s="544"/>
      <c r="BF14" s="545">
        <f t="shared" si="17"/>
        <v>0</v>
      </c>
      <c r="BG14" s="546">
        <f t="shared" si="129"/>
        <v>0</v>
      </c>
      <c r="BH14" s="544"/>
      <c r="BI14" s="545">
        <f t="shared" si="18"/>
        <v>0</v>
      </c>
      <c r="BJ14" s="546">
        <f t="shared" si="130"/>
        <v>0</v>
      </c>
      <c r="BK14" s="544"/>
      <c r="BL14" s="545">
        <f t="shared" si="19"/>
        <v>0</v>
      </c>
      <c r="BM14" s="546">
        <f t="shared" si="131"/>
        <v>0</v>
      </c>
      <c r="BN14" s="544"/>
      <c r="BO14" s="545">
        <f t="shared" si="20"/>
        <v>0</v>
      </c>
      <c r="BP14" s="546">
        <f t="shared" si="132"/>
        <v>0</v>
      </c>
      <c r="BQ14" s="544"/>
      <c r="BR14" s="545">
        <f t="shared" si="21"/>
        <v>0</v>
      </c>
      <c r="BS14" s="546">
        <f t="shared" si="133"/>
        <v>0</v>
      </c>
      <c r="BT14" s="544"/>
      <c r="BU14" s="545">
        <f t="shared" si="22"/>
        <v>0</v>
      </c>
      <c r="BV14" s="546">
        <f t="shared" si="134"/>
        <v>0</v>
      </c>
      <c r="BW14" s="544"/>
      <c r="BX14" s="545">
        <f t="shared" si="23"/>
        <v>0</v>
      </c>
      <c r="BY14" s="546">
        <f t="shared" si="135"/>
        <v>0</v>
      </c>
      <c r="BZ14" s="544">
        <v>0</v>
      </c>
      <c r="CA14" s="545">
        <f t="shared" si="24"/>
        <v>0</v>
      </c>
      <c r="CB14" s="546">
        <f t="shared" si="136"/>
        <v>0</v>
      </c>
      <c r="CC14" s="544"/>
      <c r="CD14" s="545">
        <f t="shared" si="25"/>
        <v>0</v>
      </c>
      <c r="CE14" s="546">
        <f t="shared" si="137"/>
        <v>0</v>
      </c>
      <c r="CF14" s="544">
        <v>1.2000000000000011</v>
      </c>
      <c r="CG14" s="545">
        <f t="shared" si="26"/>
        <v>3.1227230144686195E-2</v>
      </c>
      <c r="CH14" s="546">
        <f t="shared" si="138"/>
        <v>0</v>
      </c>
      <c r="CI14" s="544"/>
      <c r="CJ14" s="545">
        <f t="shared" si="27"/>
        <v>0</v>
      </c>
      <c r="CK14" s="546">
        <f t="shared" si="139"/>
        <v>0</v>
      </c>
      <c r="CL14" s="544"/>
      <c r="CM14" s="545">
        <f t="shared" si="28"/>
        <v>0</v>
      </c>
      <c r="CN14" s="546">
        <f t="shared" si="140"/>
        <v>0</v>
      </c>
      <c r="CO14" s="544"/>
      <c r="CP14" s="545">
        <f t="shared" si="29"/>
        <v>0</v>
      </c>
      <c r="CQ14" s="546">
        <f t="shared" si="141"/>
        <v>0</v>
      </c>
      <c r="CR14" s="544"/>
      <c r="CS14" s="545">
        <f t="shared" si="30"/>
        <v>0</v>
      </c>
      <c r="CT14" s="546">
        <f t="shared" si="142"/>
        <v>0</v>
      </c>
      <c r="CU14" s="544"/>
      <c r="CV14" s="545">
        <f t="shared" si="31"/>
        <v>0</v>
      </c>
      <c r="CW14" s="546">
        <f t="shared" si="143"/>
        <v>0</v>
      </c>
      <c r="CX14" s="544"/>
      <c r="CY14" s="545">
        <f t="shared" si="32"/>
        <v>0</v>
      </c>
      <c r="CZ14" s="546">
        <f t="shared" si="144"/>
        <v>0</v>
      </c>
      <c r="DA14" s="544">
        <v>0</v>
      </c>
      <c r="DB14" s="545">
        <f t="shared" si="33"/>
        <v>0</v>
      </c>
      <c r="DC14" s="546">
        <f t="shared" si="145"/>
        <v>0</v>
      </c>
      <c r="DD14" s="544"/>
      <c r="DE14" s="545">
        <f t="shared" si="34"/>
        <v>0</v>
      </c>
      <c r="DF14" s="546">
        <f t="shared" si="146"/>
        <v>0</v>
      </c>
      <c r="DG14" s="544"/>
      <c r="DH14" s="545">
        <f t="shared" si="35"/>
        <v>0</v>
      </c>
      <c r="DI14" s="546">
        <f t="shared" ref="DI14:DI39" si="200">+DG14*$H$8</f>
        <v>0</v>
      </c>
      <c r="DJ14" s="544"/>
      <c r="DK14" s="545">
        <f t="shared" si="36"/>
        <v>0</v>
      </c>
      <c r="DL14" s="546">
        <f t="shared" si="147"/>
        <v>0</v>
      </c>
      <c r="DM14" s="544"/>
      <c r="DN14" s="545">
        <f t="shared" si="37"/>
        <v>0</v>
      </c>
      <c r="DO14" s="546">
        <f t="shared" si="148"/>
        <v>0</v>
      </c>
      <c r="DP14" s="544"/>
      <c r="DQ14" s="545">
        <f t="shared" si="38"/>
        <v>0</v>
      </c>
      <c r="DR14" s="546">
        <f t="shared" si="149"/>
        <v>0</v>
      </c>
      <c r="DS14" s="544"/>
      <c r="DT14" s="545">
        <f t="shared" si="39"/>
        <v>0</v>
      </c>
      <c r="DU14" s="546">
        <f t="shared" si="150"/>
        <v>0</v>
      </c>
      <c r="DV14" s="544"/>
      <c r="DW14" s="545">
        <f t="shared" si="40"/>
        <v>0</v>
      </c>
      <c r="DX14" s="546">
        <f t="shared" si="151"/>
        <v>0</v>
      </c>
      <c r="DY14" s="544"/>
      <c r="DZ14" s="545">
        <f t="shared" si="41"/>
        <v>0</v>
      </c>
      <c r="EA14" s="546">
        <f t="shared" si="152"/>
        <v>0</v>
      </c>
      <c r="EB14" s="544">
        <v>570.65727058823495</v>
      </c>
      <c r="EC14" s="545">
        <f t="shared" si="42"/>
        <v>14.850038268664385</v>
      </c>
      <c r="ED14" s="546">
        <f t="shared" si="153"/>
        <v>0</v>
      </c>
      <c r="EE14" s="544">
        <v>21.80232558139528</v>
      </c>
      <c r="EF14" s="545">
        <f t="shared" si="43"/>
        <v>0.56735519884967422</v>
      </c>
      <c r="EG14" s="546">
        <f t="shared" si="154"/>
        <v>0</v>
      </c>
      <c r="EH14" s="544">
        <v>1</v>
      </c>
      <c r="EI14" s="545">
        <f t="shared" si="44"/>
        <v>2.6022691787238473E-2</v>
      </c>
      <c r="EJ14" s="546">
        <f t="shared" si="155"/>
        <v>0</v>
      </c>
      <c r="EK14" s="544"/>
      <c r="EL14" s="545">
        <f t="shared" si="45"/>
        <v>0</v>
      </c>
      <c r="EM14" s="546">
        <f t="shared" si="156"/>
        <v>0</v>
      </c>
      <c r="EN14" s="544"/>
      <c r="EO14" s="545">
        <f t="shared" si="46"/>
        <v>0</v>
      </c>
      <c r="EP14" s="546">
        <f t="shared" si="157"/>
        <v>0</v>
      </c>
      <c r="EQ14" s="544"/>
      <c r="ER14" s="545">
        <f t="shared" si="47"/>
        <v>0</v>
      </c>
      <c r="ES14" s="546">
        <f t="shared" si="158"/>
        <v>0</v>
      </c>
      <c r="ET14" s="544"/>
      <c r="EU14" s="545">
        <f t="shared" si="48"/>
        <v>0</v>
      </c>
      <c r="EV14" s="546">
        <f t="shared" si="159"/>
        <v>0</v>
      </c>
      <c r="EW14" s="544"/>
      <c r="EX14" s="545">
        <f t="shared" si="49"/>
        <v>0</v>
      </c>
      <c r="EY14" s="546">
        <f t="shared" si="160"/>
        <v>0</v>
      </c>
      <c r="EZ14" s="544"/>
      <c r="FA14" s="545">
        <f t="shared" si="50"/>
        <v>0</v>
      </c>
      <c r="FB14" s="546">
        <f t="shared" si="161"/>
        <v>0</v>
      </c>
      <c r="FC14" s="544"/>
      <c r="FD14" s="545">
        <f t="shared" si="51"/>
        <v>0</v>
      </c>
      <c r="FE14" s="546">
        <f t="shared" si="162"/>
        <v>0</v>
      </c>
      <c r="FF14" s="544"/>
      <c r="FG14" s="545">
        <f t="shared" si="52"/>
        <v>0</v>
      </c>
      <c r="FH14" s="546">
        <f t="shared" si="163"/>
        <v>0</v>
      </c>
      <c r="FI14" s="544"/>
      <c r="FJ14" s="545">
        <f t="shared" si="53"/>
        <v>0</v>
      </c>
      <c r="FK14" s="546">
        <f t="shared" si="164"/>
        <v>0</v>
      </c>
      <c r="FL14" s="544"/>
      <c r="FM14" s="545">
        <f t="shared" si="54"/>
        <v>0</v>
      </c>
      <c r="FN14" s="546">
        <f t="shared" si="165"/>
        <v>0</v>
      </c>
      <c r="FO14" s="544"/>
      <c r="FP14" s="545">
        <f t="shared" si="55"/>
        <v>0</v>
      </c>
      <c r="FQ14" s="546">
        <f t="shared" si="166"/>
        <v>0</v>
      </c>
      <c r="FR14" s="544"/>
      <c r="FS14" s="545">
        <f t="shared" si="56"/>
        <v>0</v>
      </c>
      <c r="FT14" s="546">
        <f t="shared" si="167"/>
        <v>0</v>
      </c>
      <c r="FU14" s="544"/>
      <c r="FV14" s="545">
        <f t="shared" si="57"/>
        <v>0</v>
      </c>
      <c r="FW14" s="546">
        <f t="shared" si="168"/>
        <v>0</v>
      </c>
      <c r="FX14" s="544"/>
      <c r="FY14" s="545">
        <f t="shared" si="58"/>
        <v>0</v>
      </c>
      <c r="FZ14" s="546">
        <f t="shared" si="169"/>
        <v>0</v>
      </c>
      <c r="GA14" s="544"/>
      <c r="GB14" s="545">
        <f t="shared" si="59"/>
        <v>0</v>
      </c>
      <c r="GC14" s="546">
        <f t="shared" si="170"/>
        <v>0</v>
      </c>
      <c r="GD14" s="544"/>
      <c r="GE14" s="545">
        <f t="shared" si="60"/>
        <v>0</v>
      </c>
      <c r="GF14" s="546">
        <f t="shared" si="171"/>
        <v>0</v>
      </c>
      <c r="GG14" s="544">
        <v>6.7114072663810891</v>
      </c>
      <c r="GH14" s="545">
        <f t="shared" si="61"/>
        <v>0.17464888275166779</v>
      </c>
      <c r="GI14" s="546">
        <f t="shared" si="172"/>
        <v>0</v>
      </c>
      <c r="GJ14" s="544">
        <v>6.7114072663810891</v>
      </c>
      <c r="GK14" s="545">
        <f t="shared" si="62"/>
        <v>0.17464888275166779</v>
      </c>
      <c r="GL14" s="546">
        <f t="shared" si="173"/>
        <v>0</v>
      </c>
      <c r="GM14" s="544">
        <v>0</v>
      </c>
      <c r="GN14" s="545">
        <f t="shared" si="63"/>
        <v>0</v>
      </c>
      <c r="GO14" s="546">
        <f t="shared" si="174"/>
        <v>0</v>
      </c>
      <c r="GP14" s="544">
        <v>29.082764820984718</v>
      </c>
      <c r="GQ14" s="545">
        <f t="shared" si="64"/>
        <v>0.75681182525722701</v>
      </c>
      <c r="GR14" s="546">
        <f t="shared" si="175"/>
        <v>0</v>
      </c>
      <c r="GS14" s="544">
        <v>205.81648950235339</v>
      </c>
      <c r="GT14" s="545">
        <f t="shared" si="65"/>
        <v>5.3558990710511454</v>
      </c>
      <c r="GU14" s="546">
        <f t="shared" si="176"/>
        <v>0</v>
      </c>
      <c r="GV14" s="544">
        <v>22.37135755460363</v>
      </c>
      <c r="GW14" s="545">
        <f t="shared" si="66"/>
        <v>0.58216294250555922</v>
      </c>
      <c r="GX14" s="546">
        <f t="shared" si="177"/>
        <v>0</v>
      </c>
      <c r="GY14" s="544"/>
      <c r="GZ14" s="545">
        <f t="shared" si="67"/>
        <v>0</v>
      </c>
      <c r="HA14" s="546">
        <f t="shared" si="178"/>
        <v>0</v>
      </c>
      <c r="HB14" s="544"/>
      <c r="HC14" s="545">
        <f t="shared" si="68"/>
        <v>0</v>
      </c>
      <c r="HD14" s="546">
        <f t="shared" si="179"/>
        <v>0</v>
      </c>
      <c r="HE14" s="544"/>
      <c r="HF14" s="545">
        <f t="shared" si="69"/>
        <v>0</v>
      </c>
      <c r="HG14" s="546">
        <f t="shared" si="180"/>
        <v>0</v>
      </c>
      <c r="HH14" s="544"/>
      <c r="HI14" s="545">
        <f t="shared" si="70"/>
        <v>0</v>
      </c>
      <c r="HJ14" s="546">
        <f t="shared" si="181"/>
        <v>0</v>
      </c>
      <c r="HK14" s="544"/>
      <c r="HL14" s="545">
        <f t="shared" si="71"/>
        <v>0</v>
      </c>
      <c r="HM14" s="546">
        <f t="shared" si="182"/>
        <v>0</v>
      </c>
      <c r="HN14" s="544">
        <v>903.80284520598661</v>
      </c>
      <c r="HO14" s="545">
        <f t="shared" si="72"/>
        <v>23.519382877224594</v>
      </c>
      <c r="HP14" s="546">
        <f t="shared" si="183"/>
        <v>0</v>
      </c>
      <c r="HQ14" s="544"/>
      <c r="HR14" s="545">
        <f t="shared" si="73"/>
        <v>0</v>
      </c>
      <c r="HS14" s="546">
        <f t="shared" si="184"/>
        <v>0</v>
      </c>
      <c r="HT14" s="544">
        <v>0</v>
      </c>
      <c r="HU14" s="545">
        <f t="shared" si="74"/>
        <v>0</v>
      </c>
      <c r="HV14" s="546">
        <f t="shared" si="185"/>
        <v>0</v>
      </c>
      <c r="HW14" s="544">
        <v>0</v>
      </c>
      <c r="HX14" s="545">
        <f t="shared" si="75"/>
        <v>0</v>
      </c>
      <c r="HY14" s="546">
        <f t="shared" si="186"/>
        <v>0</v>
      </c>
      <c r="HZ14" s="544">
        <v>0</v>
      </c>
      <c r="IA14" s="545">
        <f t="shared" si="76"/>
        <v>0</v>
      </c>
      <c r="IB14" s="546">
        <f t="shared" si="187"/>
        <v>0</v>
      </c>
      <c r="IC14" s="544">
        <v>0</v>
      </c>
      <c r="ID14" s="545">
        <f t="shared" si="77"/>
        <v>0</v>
      </c>
      <c r="IE14" s="546">
        <f t="shared" si="188"/>
        <v>0</v>
      </c>
      <c r="IF14" s="544">
        <v>22.37135755460363</v>
      </c>
      <c r="IG14" s="545">
        <f t="shared" si="78"/>
        <v>0.58216294250555922</v>
      </c>
      <c r="IH14" s="546">
        <f t="shared" si="189"/>
        <v>0</v>
      </c>
      <c r="II14" s="544"/>
      <c r="IJ14" s="545">
        <f t="shared" si="79"/>
        <v>0</v>
      </c>
      <c r="IK14" s="546">
        <f t="shared" si="190"/>
        <v>0</v>
      </c>
      <c r="IL14" s="544"/>
      <c r="IM14" s="545">
        <f t="shared" si="80"/>
        <v>0</v>
      </c>
      <c r="IN14" s="546">
        <f t="shared" si="191"/>
        <v>0</v>
      </c>
      <c r="IO14" s="544">
        <v>49.216986620127983</v>
      </c>
      <c r="IP14" s="545">
        <f t="shared" si="81"/>
        <v>1.2807584735122304</v>
      </c>
      <c r="IQ14" s="546">
        <f t="shared" si="192"/>
        <v>0</v>
      </c>
      <c r="IR14" s="544">
        <v>0</v>
      </c>
      <c r="IS14" s="545">
        <f t="shared" si="82"/>
        <v>0</v>
      </c>
      <c r="IT14" s="546">
        <f t="shared" si="193"/>
        <v>0</v>
      </c>
      <c r="IU14" s="544"/>
      <c r="IV14" s="545">
        <f t="shared" si="83"/>
        <v>0</v>
      </c>
      <c r="IW14" s="546">
        <f t="shared" si="194"/>
        <v>0</v>
      </c>
      <c r="IX14" s="544">
        <v>0</v>
      </c>
      <c r="IY14" s="545">
        <f t="shared" si="84"/>
        <v>0</v>
      </c>
      <c r="IZ14" s="546">
        <f t="shared" si="195"/>
        <v>0</v>
      </c>
      <c r="JA14" s="544"/>
      <c r="JB14" s="545">
        <f t="shared" si="85"/>
        <v>0</v>
      </c>
      <c r="JC14" s="546">
        <f t="shared" si="196"/>
        <v>0</v>
      </c>
      <c r="JD14" s="544"/>
      <c r="JE14" s="545">
        <f t="shared" si="86"/>
        <v>0</v>
      </c>
      <c r="JF14" s="546">
        <f t="shared" si="197"/>
        <v>0</v>
      </c>
      <c r="JG14" s="544">
        <v>22.37135755460363</v>
      </c>
      <c r="JH14" s="546" t="str">
        <f t="shared" si="87"/>
        <v>0</v>
      </c>
      <c r="JI14" s="546" t="str">
        <f t="shared" si="88"/>
        <v>0</v>
      </c>
      <c r="JJ14" s="544">
        <v>0</v>
      </c>
      <c r="JK14" s="546" t="str">
        <f t="shared" si="89"/>
        <v>0</v>
      </c>
      <c r="JL14" s="546" t="str">
        <f t="shared" si="90"/>
        <v>0</v>
      </c>
      <c r="JM14" s="544">
        <v>0</v>
      </c>
      <c r="JN14" s="546" t="str">
        <f t="shared" si="91"/>
        <v>0</v>
      </c>
      <c r="JO14" s="546" t="str">
        <f t="shared" si="92"/>
        <v>0</v>
      </c>
      <c r="JP14" s="544"/>
      <c r="JQ14" s="546" t="str">
        <f t="shared" si="93"/>
        <v>0</v>
      </c>
      <c r="JR14" s="546" t="str">
        <f t="shared" si="94"/>
        <v>0</v>
      </c>
      <c r="JS14" s="544"/>
      <c r="JT14" s="546" t="str">
        <f t="shared" si="95"/>
        <v>0</v>
      </c>
      <c r="JU14" s="546" t="str">
        <f t="shared" si="96"/>
        <v>0</v>
      </c>
      <c r="JV14" s="544"/>
      <c r="JW14" s="546" t="str">
        <f t="shared" si="97"/>
        <v>0</v>
      </c>
      <c r="JX14" s="546" t="str">
        <f t="shared" si="98"/>
        <v>0</v>
      </c>
      <c r="JY14" s="544"/>
      <c r="JZ14" s="546" t="str">
        <f t="shared" si="99"/>
        <v>0</v>
      </c>
      <c r="KA14" s="546" t="str">
        <f t="shared" si="100"/>
        <v>0</v>
      </c>
      <c r="KB14" s="544"/>
      <c r="KC14" s="546" t="str">
        <f t="shared" si="101"/>
        <v>0</v>
      </c>
      <c r="KD14" s="546" t="str">
        <f t="shared" si="102"/>
        <v>0</v>
      </c>
      <c r="KE14" s="544"/>
      <c r="KF14" s="546" t="str">
        <f t="shared" si="103"/>
        <v>0</v>
      </c>
      <c r="KG14" s="546" t="str">
        <f t="shared" si="104"/>
        <v>0</v>
      </c>
      <c r="KH14" s="544"/>
      <c r="KI14" s="546" t="str">
        <f t="shared" si="105"/>
        <v>0</v>
      </c>
      <c r="KJ14" s="546" t="str">
        <f t="shared" si="106"/>
        <v>0</v>
      </c>
      <c r="KK14" s="544"/>
      <c r="KL14" s="546" t="str">
        <f t="shared" si="107"/>
        <v>0</v>
      </c>
      <c r="KM14" s="546" t="str">
        <f t="shared" si="108"/>
        <v>0</v>
      </c>
      <c r="KN14" s="544"/>
      <c r="KO14" s="546" t="str">
        <f t="shared" si="109"/>
        <v>0</v>
      </c>
      <c r="KP14" s="546" t="str">
        <f t="shared" si="110"/>
        <v>0</v>
      </c>
      <c r="KQ14" s="546">
        <f t="shared" si="111"/>
        <v>0</v>
      </c>
      <c r="KR14" s="546">
        <f t="shared" si="198"/>
        <v>0</v>
      </c>
      <c r="KS14" s="265">
        <f t="shared" si="199"/>
        <v>1960.9606233618101</v>
      </c>
    </row>
    <row r="15" spans="1:305" ht="15" customHeight="1">
      <c r="A15" s="267">
        <f>+Report1!A15</f>
        <v>45998</v>
      </c>
      <c r="B15" s="268" t="str">
        <f>+Report1!B15</f>
        <v>Napkin</v>
      </c>
      <c r="C15" s="268" t="str">
        <f>+Report1!C15</f>
        <v>15,5</v>
      </c>
      <c r="D15" s="269">
        <f>+Report1!P15</f>
        <v>49.305999999999997</v>
      </c>
      <c r="E15" s="270">
        <f>+Report1!R15</f>
        <v>48.44</v>
      </c>
      <c r="F15" s="544">
        <v>0</v>
      </c>
      <c r="G15" s="545">
        <f t="shared" si="0"/>
        <v>0</v>
      </c>
      <c r="H15" s="546">
        <f t="shared" si="112"/>
        <v>0</v>
      </c>
      <c r="I15" s="544"/>
      <c r="J15" s="545">
        <f t="shared" si="1"/>
        <v>0</v>
      </c>
      <c r="K15" s="546">
        <f t="shared" si="113"/>
        <v>0</v>
      </c>
      <c r="L15" s="544"/>
      <c r="M15" s="545">
        <f t="shared" si="2"/>
        <v>0</v>
      </c>
      <c r="N15" s="546">
        <f t="shared" si="114"/>
        <v>0</v>
      </c>
      <c r="O15" s="544">
        <v>11.999999999999972</v>
      </c>
      <c r="P15" s="545">
        <f t="shared" si="3"/>
        <v>0.24772914946325295</v>
      </c>
      <c r="Q15" s="546">
        <f t="shared" si="115"/>
        <v>0</v>
      </c>
      <c r="R15" s="544"/>
      <c r="S15" s="545">
        <f t="shared" si="4"/>
        <v>0</v>
      </c>
      <c r="T15" s="546">
        <f t="shared" si="116"/>
        <v>0</v>
      </c>
      <c r="U15" s="544">
        <v>10.25</v>
      </c>
      <c r="V15" s="545">
        <f t="shared" si="5"/>
        <v>0.21160198183319573</v>
      </c>
      <c r="W15" s="546">
        <f t="shared" si="117"/>
        <v>0</v>
      </c>
      <c r="X15" s="544"/>
      <c r="Y15" s="545">
        <f t="shared" si="6"/>
        <v>0</v>
      </c>
      <c r="Z15" s="546">
        <f t="shared" si="118"/>
        <v>0</v>
      </c>
      <c r="AA15" s="544"/>
      <c r="AB15" s="545">
        <f t="shared" si="7"/>
        <v>0</v>
      </c>
      <c r="AC15" s="546">
        <f t="shared" si="119"/>
        <v>0</v>
      </c>
      <c r="AD15" s="544"/>
      <c r="AE15" s="545">
        <f t="shared" si="8"/>
        <v>0</v>
      </c>
      <c r="AF15" s="546">
        <f t="shared" si="120"/>
        <v>0</v>
      </c>
      <c r="AG15" s="544"/>
      <c r="AH15" s="545">
        <f t="shared" si="9"/>
        <v>0</v>
      </c>
      <c r="AI15" s="546">
        <f t="shared" si="121"/>
        <v>0</v>
      </c>
      <c r="AJ15" s="544"/>
      <c r="AK15" s="545">
        <f t="shared" si="10"/>
        <v>0</v>
      </c>
      <c r="AL15" s="546">
        <f t="shared" si="122"/>
        <v>0</v>
      </c>
      <c r="AM15" s="544">
        <v>35.363499999999988</v>
      </c>
      <c r="AN15" s="545">
        <f t="shared" si="11"/>
        <v>0.73004748142031362</v>
      </c>
      <c r="AO15" s="546">
        <f t="shared" si="123"/>
        <v>0</v>
      </c>
      <c r="AP15" s="544"/>
      <c r="AQ15" s="545">
        <f t="shared" si="12"/>
        <v>0</v>
      </c>
      <c r="AR15" s="546">
        <f t="shared" si="124"/>
        <v>0</v>
      </c>
      <c r="AS15" s="544"/>
      <c r="AT15" s="545">
        <f t="shared" si="13"/>
        <v>0</v>
      </c>
      <c r="AU15" s="546">
        <f t="shared" si="125"/>
        <v>0</v>
      </c>
      <c r="AV15" s="544">
        <v>0</v>
      </c>
      <c r="AW15" s="545">
        <f t="shared" si="14"/>
        <v>0</v>
      </c>
      <c r="AX15" s="546">
        <f t="shared" si="126"/>
        <v>0</v>
      </c>
      <c r="AY15" s="544">
        <v>52.752800000000093</v>
      </c>
      <c r="AZ15" s="545">
        <f t="shared" si="15"/>
        <v>1.0890338563170954</v>
      </c>
      <c r="BA15" s="546">
        <f t="shared" si="127"/>
        <v>0</v>
      </c>
      <c r="BB15" s="544"/>
      <c r="BC15" s="545">
        <f t="shared" si="16"/>
        <v>0</v>
      </c>
      <c r="BD15" s="546">
        <f t="shared" si="128"/>
        <v>0</v>
      </c>
      <c r="BE15" s="544"/>
      <c r="BF15" s="545">
        <f t="shared" si="17"/>
        <v>0</v>
      </c>
      <c r="BG15" s="546">
        <f t="shared" si="129"/>
        <v>0</v>
      </c>
      <c r="BH15" s="544"/>
      <c r="BI15" s="545">
        <f t="shared" si="18"/>
        <v>0</v>
      </c>
      <c r="BJ15" s="546">
        <f t="shared" si="130"/>
        <v>0</v>
      </c>
      <c r="BK15" s="544"/>
      <c r="BL15" s="545">
        <f t="shared" si="19"/>
        <v>0</v>
      </c>
      <c r="BM15" s="546">
        <f t="shared" si="131"/>
        <v>0</v>
      </c>
      <c r="BN15" s="544"/>
      <c r="BO15" s="545">
        <f t="shared" si="20"/>
        <v>0</v>
      </c>
      <c r="BP15" s="546">
        <f t="shared" si="132"/>
        <v>0</v>
      </c>
      <c r="BQ15" s="544"/>
      <c r="BR15" s="545">
        <f t="shared" si="21"/>
        <v>0</v>
      </c>
      <c r="BS15" s="546">
        <f t="shared" si="133"/>
        <v>0</v>
      </c>
      <c r="BT15" s="544"/>
      <c r="BU15" s="545">
        <f t="shared" si="22"/>
        <v>0</v>
      </c>
      <c r="BV15" s="546">
        <f t="shared" si="134"/>
        <v>0</v>
      </c>
      <c r="BW15" s="544"/>
      <c r="BX15" s="545">
        <f t="shared" si="23"/>
        <v>0</v>
      </c>
      <c r="BY15" s="546">
        <f t="shared" si="135"/>
        <v>0</v>
      </c>
      <c r="BZ15" s="544">
        <v>0</v>
      </c>
      <c r="CA15" s="545">
        <f t="shared" si="24"/>
        <v>0</v>
      </c>
      <c r="CB15" s="546">
        <f t="shared" si="136"/>
        <v>0</v>
      </c>
      <c r="CC15" s="544"/>
      <c r="CD15" s="545">
        <f t="shared" si="25"/>
        <v>0</v>
      </c>
      <c r="CE15" s="546">
        <f t="shared" si="137"/>
        <v>0</v>
      </c>
      <c r="CF15" s="544">
        <v>1.1999999999999993</v>
      </c>
      <c r="CG15" s="545">
        <f t="shared" si="26"/>
        <v>2.4772914946325338E-2</v>
      </c>
      <c r="CH15" s="546">
        <f t="shared" si="138"/>
        <v>0</v>
      </c>
      <c r="CI15" s="544"/>
      <c r="CJ15" s="545">
        <f t="shared" si="27"/>
        <v>0</v>
      </c>
      <c r="CK15" s="546">
        <f t="shared" si="139"/>
        <v>0</v>
      </c>
      <c r="CL15" s="544"/>
      <c r="CM15" s="545">
        <f t="shared" si="28"/>
        <v>0</v>
      </c>
      <c r="CN15" s="546">
        <f t="shared" si="140"/>
        <v>0</v>
      </c>
      <c r="CO15" s="544"/>
      <c r="CP15" s="545">
        <f t="shared" si="29"/>
        <v>0</v>
      </c>
      <c r="CQ15" s="546">
        <f t="shared" si="141"/>
        <v>0</v>
      </c>
      <c r="CR15" s="544"/>
      <c r="CS15" s="545">
        <f t="shared" si="30"/>
        <v>0</v>
      </c>
      <c r="CT15" s="546">
        <f t="shared" si="142"/>
        <v>0</v>
      </c>
      <c r="CU15" s="544"/>
      <c r="CV15" s="545">
        <f t="shared" si="31"/>
        <v>0</v>
      </c>
      <c r="CW15" s="546">
        <f t="shared" si="143"/>
        <v>0</v>
      </c>
      <c r="CX15" s="544"/>
      <c r="CY15" s="545">
        <f t="shared" si="32"/>
        <v>0</v>
      </c>
      <c r="CZ15" s="546">
        <f t="shared" si="144"/>
        <v>0</v>
      </c>
      <c r="DA15" s="544">
        <v>0</v>
      </c>
      <c r="DB15" s="545">
        <f t="shared" si="33"/>
        <v>0</v>
      </c>
      <c r="DC15" s="546">
        <f t="shared" si="145"/>
        <v>0</v>
      </c>
      <c r="DD15" s="544"/>
      <c r="DE15" s="545">
        <f t="shared" si="34"/>
        <v>0</v>
      </c>
      <c r="DF15" s="546">
        <f t="shared" si="146"/>
        <v>0</v>
      </c>
      <c r="DG15" s="544"/>
      <c r="DH15" s="545">
        <f t="shared" si="35"/>
        <v>0</v>
      </c>
      <c r="DI15" s="546">
        <f t="shared" si="200"/>
        <v>0</v>
      </c>
      <c r="DJ15" s="544"/>
      <c r="DK15" s="545">
        <f t="shared" si="36"/>
        <v>0</v>
      </c>
      <c r="DL15" s="546">
        <f t="shared" si="147"/>
        <v>0</v>
      </c>
      <c r="DM15" s="544"/>
      <c r="DN15" s="545">
        <f t="shared" si="37"/>
        <v>0</v>
      </c>
      <c r="DO15" s="546">
        <f t="shared" si="148"/>
        <v>0</v>
      </c>
      <c r="DP15" s="544"/>
      <c r="DQ15" s="545">
        <f t="shared" si="38"/>
        <v>0</v>
      </c>
      <c r="DR15" s="546">
        <f t="shared" si="149"/>
        <v>0</v>
      </c>
      <c r="DS15" s="544"/>
      <c r="DT15" s="545">
        <f t="shared" si="39"/>
        <v>0</v>
      </c>
      <c r="DU15" s="546">
        <f t="shared" si="150"/>
        <v>0</v>
      </c>
      <c r="DV15" s="544"/>
      <c r="DW15" s="545">
        <f t="shared" si="40"/>
        <v>0</v>
      </c>
      <c r="DX15" s="546">
        <f t="shared" si="151"/>
        <v>0</v>
      </c>
      <c r="DY15" s="544"/>
      <c r="DZ15" s="545">
        <f t="shared" si="41"/>
        <v>0</v>
      </c>
      <c r="EA15" s="546">
        <f t="shared" si="152"/>
        <v>0</v>
      </c>
      <c r="EB15" s="544">
        <v>664.63200000000029</v>
      </c>
      <c r="EC15" s="545">
        <f t="shared" si="42"/>
        <v>13.720726672171766</v>
      </c>
      <c r="ED15" s="546">
        <f t="shared" si="153"/>
        <v>0</v>
      </c>
      <c r="EE15" s="544">
        <v>21.802325581395507</v>
      </c>
      <c r="EF15" s="545">
        <f t="shared" si="43"/>
        <v>0.45008929771667028</v>
      </c>
      <c r="EG15" s="546">
        <f t="shared" si="154"/>
        <v>0</v>
      </c>
      <c r="EH15" s="544">
        <v>0</v>
      </c>
      <c r="EI15" s="545">
        <f t="shared" si="44"/>
        <v>0</v>
      </c>
      <c r="EJ15" s="546">
        <f t="shared" si="155"/>
        <v>0</v>
      </c>
      <c r="EK15" s="544"/>
      <c r="EL15" s="545">
        <f t="shared" si="45"/>
        <v>0</v>
      </c>
      <c r="EM15" s="546">
        <f t="shared" si="156"/>
        <v>0</v>
      </c>
      <c r="EN15" s="544"/>
      <c r="EO15" s="545">
        <f t="shared" si="46"/>
        <v>0</v>
      </c>
      <c r="EP15" s="546">
        <f t="shared" si="157"/>
        <v>0</v>
      </c>
      <c r="EQ15" s="544"/>
      <c r="ER15" s="545">
        <f t="shared" si="47"/>
        <v>0</v>
      </c>
      <c r="ES15" s="546">
        <f t="shared" si="158"/>
        <v>0</v>
      </c>
      <c r="ET15" s="544"/>
      <c r="EU15" s="545">
        <f t="shared" si="48"/>
        <v>0</v>
      </c>
      <c r="EV15" s="546">
        <f t="shared" si="159"/>
        <v>0</v>
      </c>
      <c r="EW15" s="544"/>
      <c r="EX15" s="545">
        <f t="shared" si="49"/>
        <v>0</v>
      </c>
      <c r="EY15" s="546">
        <f t="shared" si="160"/>
        <v>0</v>
      </c>
      <c r="EZ15" s="544"/>
      <c r="FA15" s="545">
        <f t="shared" si="50"/>
        <v>0</v>
      </c>
      <c r="FB15" s="546">
        <f t="shared" si="161"/>
        <v>0</v>
      </c>
      <c r="FC15" s="544"/>
      <c r="FD15" s="545">
        <f t="shared" si="51"/>
        <v>0</v>
      </c>
      <c r="FE15" s="546">
        <f t="shared" si="162"/>
        <v>0</v>
      </c>
      <c r="FF15" s="544"/>
      <c r="FG15" s="545">
        <f t="shared" si="52"/>
        <v>0</v>
      </c>
      <c r="FH15" s="546">
        <f t="shared" si="163"/>
        <v>0</v>
      </c>
      <c r="FI15" s="544"/>
      <c r="FJ15" s="545">
        <f t="shared" si="53"/>
        <v>0</v>
      </c>
      <c r="FK15" s="546">
        <f t="shared" si="164"/>
        <v>0</v>
      </c>
      <c r="FL15" s="544"/>
      <c r="FM15" s="545">
        <f t="shared" si="54"/>
        <v>0</v>
      </c>
      <c r="FN15" s="546">
        <f t="shared" si="165"/>
        <v>0</v>
      </c>
      <c r="FO15" s="544"/>
      <c r="FP15" s="545">
        <f t="shared" si="55"/>
        <v>0</v>
      </c>
      <c r="FQ15" s="546">
        <f t="shared" si="166"/>
        <v>0</v>
      </c>
      <c r="FR15" s="544"/>
      <c r="FS15" s="545">
        <f t="shared" si="56"/>
        <v>0</v>
      </c>
      <c r="FT15" s="546">
        <f t="shared" si="167"/>
        <v>0</v>
      </c>
      <c r="FU15" s="544"/>
      <c r="FV15" s="545">
        <f t="shared" si="57"/>
        <v>0</v>
      </c>
      <c r="FW15" s="546">
        <f t="shared" si="168"/>
        <v>0</v>
      </c>
      <c r="FX15" s="544"/>
      <c r="FY15" s="545">
        <f t="shared" si="58"/>
        <v>0</v>
      </c>
      <c r="FZ15" s="546">
        <f t="shared" si="169"/>
        <v>0</v>
      </c>
      <c r="GA15" s="544"/>
      <c r="GB15" s="545">
        <f t="shared" si="59"/>
        <v>0</v>
      </c>
      <c r="GC15" s="546">
        <f t="shared" si="170"/>
        <v>0</v>
      </c>
      <c r="GD15" s="544"/>
      <c r="GE15" s="545">
        <f t="shared" si="60"/>
        <v>0</v>
      </c>
      <c r="GF15" s="546">
        <f t="shared" si="171"/>
        <v>0</v>
      </c>
      <c r="GG15" s="544">
        <v>10.277007732872001</v>
      </c>
      <c r="GH15" s="545">
        <f t="shared" si="61"/>
        <v>0.21215953205763835</v>
      </c>
      <c r="GI15" s="546">
        <f t="shared" si="172"/>
        <v>0</v>
      </c>
      <c r="GJ15" s="544">
        <v>10.277007732872001</v>
      </c>
      <c r="GK15" s="545">
        <f t="shared" si="62"/>
        <v>0.21215953205763835</v>
      </c>
      <c r="GL15" s="546">
        <f t="shared" si="173"/>
        <v>0</v>
      </c>
      <c r="GM15" s="544">
        <v>0</v>
      </c>
      <c r="GN15" s="545">
        <f t="shared" si="63"/>
        <v>0</v>
      </c>
      <c r="GO15" s="546">
        <f t="shared" si="174"/>
        <v>0</v>
      </c>
      <c r="GP15" s="544">
        <v>35.969527065052006</v>
      </c>
      <c r="GQ15" s="545">
        <f t="shared" si="64"/>
        <v>0.74255836220173421</v>
      </c>
      <c r="GR15" s="546">
        <f t="shared" si="175"/>
        <v>0</v>
      </c>
      <c r="GS15" s="544">
        <v>246.64818558892802</v>
      </c>
      <c r="GT15" s="545">
        <f t="shared" si="65"/>
        <v>5.0918287693833202</v>
      </c>
      <c r="GU15" s="546">
        <f t="shared" si="176"/>
        <v>0</v>
      </c>
      <c r="GV15" s="544">
        <v>25.692519332180002</v>
      </c>
      <c r="GW15" s="545">
        <f t="shared" si="66"/>
        <v>0.53039883014409583</v>
      </c>
      <c r="GX15" s="546">
        <f t="shared" si="177"/>
        <v>0</v>
      </c>
      <c r="GY15" s="544"/>
      <c r="GZ15" s="545">
        <f t="shared" si="67"/>
        <v>0</v>
      </c>
      <c r="HA15" s="546">
        <f t="shared" si="178"/>
        <v>0</v>
      </c>
      <c r="HB15" s="544"/>
      <c r="HC15" s="545">
        <f t="shared" si="68"/>
        <v>0</v>
      </c>
      <c r="HD15" s="546">
        <f t="shared" si="179"/>
        <v>0</v>
      </c>
      <c r="HE15" s="544"/>
      <c r="HF15" s="545">
        <f t="shared" si="69"/>
        <v>0</v>
      </c>
      <c r="HG15" s="546">
        <f t="shared" si="180"/>
        <v>0</v>
      </c>
      <c r="HH15" s="544"/>
      <c r="HI15" s="545">
        <f t="shared" si="70"/>
        <v>0</v>
      </c>
      <c r="HJ15" s="546">
        <f t="shared" si="181"/>
        <v>0</v>
      </c>
      <c r="HK15" s="544"/>
      <c r="HL15" s="545">
        <f t="shared" si="71"/>
        <v>0</v>
      </c>
      <c r="HM15" s="546">
        <f t="shared" si="182"/>
        <v>0</v>
      </c>
      <c r="HN15" s="544">
        <v>935.20770369135209</v>
      </c>
      <c r="HO15" s="545">
        <f t="shared" si="72"/>
        <v>19.30651741724509</v>
      </c>
      <c r="HP15" s="546">
        <f t="shared" si="183"/>
        <v>0</v>
      </c>
      <c r="HQ15" s="544"/>
      <c r="HR15" s="545">
        <f t="shared" si="73"/>
        <v>0</v>
      </c>
      <c r="HS15" s="546">
        <f t="shared" si="184"/>
        <v>0</v>
      </c>
      <c r="HT15" s="544">
        <v>0</v>
      </c>
      <c r="HU15" s="545">
        <f t="shared" si="74"/>
        <v>0</v>
      </c>
      <c r="HV15" s="546">
        <f t="shared" si="185"/>
        <v>0</v>
      </c>
      <c r="HW15" s="544">
        <v>0</v>
      </c>
      <c r="HX15" s="545">
        <f t="shared" si="75"/>
        <v>0</v>
      </c>
      <c r="HY15" s="546">
        <f t="shared" si="186"/>
        <v>0</v>
      </c>
      <c r="HZ15" s="544">
        <v>0</v>
      </c>
      <c r="IA15" s="545">
        <f t="shared" si="76"/>
        <v>0</v>
      </c>
      <c r="IB15" s="546">
        <f t="shared" si="187"/>
        <v>0</v>
      </c>
      <c r="IC15" s="544">
        <v>0</v>
      </c>
      <c r="ID15" s="545">
        <f t="shared" si="77"/>
        <v>0</v>
      </c>
      <c r="IE15" s="546">
        <f t="shared" si="188"/>
        <v>0</v>
      </c>
      <c r="IF15" s="544">
        <v>25.692519332180002</v>
      </c>
      <c r="IG15" s="545">
        <f t="shared" si="78"/>
        <v>0.53039883014409583</v>
      </c>
      <c r="IH15" s="546">
        <f t="shared" si="189"/>
        <v>0</v>
      </c>
      <c r="II15" s="544"/>
      <c r="IJ15" s="545">
        <f t="shared" si="79"/>
        <v>0</v>
      </c>
      <c r="IK15" s="546">
        <f t="shared" si="190"/>
        <v>0</v>
      </c>
      <c r="IL15" s="544"/>
      <c r="IM15" s="545">
        <f t="shared" si="80"/>
        <v>0</v>
      </c>
      <c r="IN15" s="546">
        <f t="shared" si="191"/>
        <v>0</v>
      </c>
      <c r="IO15" s="544">
        <v>51.385038664360003</v>
      </c>
      <c r="IP15" s="545">
        <f t="shared" si="81"/>
        <v>1.0607976602881917</v>
      </c>
      <c r="IQ15" s="546">
        <f t="shared" si="192"/>
        <v>0</v>
      </c>
      <c r="IR15" s="544">
        <v>0</v>
      </c>
      <c r="IS15" s="545">
        <f t="shared" si="82"/>
        <v>0</v>
      </c>
      <c r="IT15" s="546">
        <f t="shared" si="193"/>
        <v>0</v>
      </c>
      <c r="IU15" s="544"/>
      <c r="IV15" s="545">
        <f t="shared" si="83"/>
        <v>0</v>
      </c>
      <c r="IW15" s="546">
        <f t="shared" si="194"/>
        <v>0</v>
      </c>
      <c r="IX15" s="544">
        <v>0</v>
      </c>
      <c r="IY15" s="545">
        <f t="shared" si="84"/>
        <v>0</v>
      </c>
      <c r="IZ15" s="546">
        <f t="shared" si="195"/>
        <v>0</v>
      </c>
      <c r="JA15" s="544"/>
      <c r="JB15" s="545">
        <f t="shared" si="85"/>
        <v>0</v>
      </c>
      <c r="JC15" s="546">
        <f t="shared" si="196"/>
        <v>0</v>
      </c>
      <c r="JD15" s="544"/>
      <c r="JE15" s="545">
        <f t="shared" si="86"/>
        <v>0</v>
      </c>
      <c r="JF15" s="546">
        <f t="shared" si="197"/>
        <v>0</v>
      </c>
      <c r="JG15" s="544">
        <v>23.123267398962003</v>
      </c>
      <c r="JH15" s="546" t="str">
        <f t="shared" si="87"/>
        <v>0</v>
      </c>
      <c r="JI15" s="546" t="str">
        <f t="shared" si="88"/>
        <v>0</v>
      </c>
      <c r="JJ15" s="544">
        <v>0</v>
      </c>
      <c r="JK15" s="546" t="str">
        <f t="shared" si="89"/>
        <v>0</v>
      </c>
      <c r="JL15" s="546" t="str">
        <f t="shared" si="90"/>
        <v>0</v>
      </c>
      <c r="JM15" s="544">
        <v>0</v>
      </c>
      <c r="JN15" s="546" t="str">
        <f t="shared" si="91"/>
        <v>0</v>
      </c>
      <c r="JO15" s="546" t="str">
        <f t="shared" si="92"/>
        <v>0</v>
      </c>
      <c r="JP15" s="544"/>
      <c r="JQ15" s="546" t="str">
        <f t="shared" si="93"/>
        <v>0</v>
      </c>
      <c r="JR15" s="546" t="str">
        <f t="shared" si="94"/>
        <v>0</v>
      </c>
      <c r="JS15" s="544"/>
      <c r="JT15" s="546" t="str">
        <f t="shared" si="95"/>
        <v>0</v>
      </c>
      <c r="JU15" s="546" t="str">
        <f t="shared" si="96"/>
        <v>0</v>
      </c>
      <c r="JV15" s="544"/>
      <c r="JW15" s="546" t="str">
        <f t="shared" si="97"/>
        <v>0</v>
      </c>
      <c r="JX15" s="546" t="str">
        <f t="shared" si="98"/>
        <v>0</v>
      </c>
      <c r="JY15" s="544"/>
      <c r="JZ15" s="546" t="str">
        <f t="shared" si="99"/>
        <v>0</v>
      </c>
      <c r="KA15" s="546" t="str">
        <f t="shared" si="100"/>
        <v>0</v>
      </c>
      <c r="KB15" s="544"/>
      <c r="KC15" s="546" t="str">
        <f t="shared" si="101"/>
        <v>0</v>
      </c>
      <c r="KD15" s="546" t="str">
        <f t="shared" si="102"/>
        <v>0</v>
      </c>
      <c r="KE15" s="544"/>
      <c r="KF15" s="546" t="str">
        <f t="shared" si="103"/>
        <v>0</v>
      </c>
      <c r="KG15" s="546" t="str">
        <f t="shared" si="104"/>
        <v>0</v>
      </c>
      <c r="KH15" s="544"/>
      <c r="KI15" s="546" t="str">
        <f t="shared" si="105"/>
        <v>0</v>
      </c>
      <c r="KJ15" s="546" t="str">
        <f t="shared" si="106"/>
        <v>0</v>
      </c>
      <c r="KK15" s="544"/>
      <c r="KL15" s="546" t="str">
        <f t="shared" si="107"/>
        <v>0</v>
      </c>
      <c r="KM15" s="546" t="str">
        <f t="shared" si="108"/>
        <v>0</v>
      </c>
      <c r="KN15" s="544"/>
      <c r="KO15" s="546" t="str">
        <f t="shared" si="109"/>
        <v>0</v>
      </c>
      <c r="KP15" s="546" t="str">
        <f t="shared" si="110"/>
        <v>0</v>
      </c>
      <c r="KQ15" s="546">
        <f t="shared" si="111"/>
        <v>0</v>
      </c>
      <c r="KR15" s="546">
        <f t="shared" si="198"/>
        <v>0</v>
      </c>
      <c r="KS15" s="265">
        <f t="shared" si="199"/>
        <v>2162.2734021201536</v>
      </c>
    </row>
    <row r="16" spans="1:305" ht="15" customHeight="1">
      <c r="A16" s="267">
        <f>+Report1!A16</f>
        <v>45999</v>
      </c>
      <c r="B16" s="268" t="str">
        <f>+Report1!B16</f>
        <v>Napkin</v>
      </c>
      <c r="C16" s="268" t="str">
        <f>+Report1!C16</f>
        <v>15,5</v>
      </c>
      <c r="D16" s="269">
        <f>+Report1!P16</f>
        <v>47.400999999999996</v>
      </c>
      <c r="E16" s="270">
        <f>+Report1!R16</f>
        <v>45.993000000000002</v>
      </c>
      <c r="F16" s="544">
        <v>0</v>
      </c>
      <c r="G16" s="545">
        <f t="shared" si="0"/>
        <v>0</v>
      </c>
      <c r="H16" s="546">
        <f t="shared" si="112"/>
        <v>0</v>
      </c>
      <c r="I16" s="544"/>
      <c r="J16" s="545">
        <f t="shared" si="1"/>
        <v>0</v>
      </c>
      <c r="K16" s="546">
        <f t="shared" si="113"/>
        <v>0</v>
      </c>
      <c r="L16" s="544"/>
      <c r="M16" s="545">
        <f t="shared" si="2"/>
        <v>0</v>
      </c>
      <c r="N16" s="546">
        <f t="shared" si="114"/>
        <v>0</v>
      </c>
      <c r="O16" s="544">
        <v>12</v>
      </c>
      <c r="P16" s="545">
        <f t="shared" si="3"/>
        <v>0.26090926880177417</v>
      </c>
      <c r="Q16" s="546">
        <f t="shared" si="115"/>
        <v>0</v>
      </c>
      <c r="R16" s="544"/>
      <c r="S16" s="545">
        <f t="shared" si="4"/>
        <v>0</v>
      </c>
      <c r="T16" s="546">
        <f t="shared" si="116"/>
        <v>0</v>
      </c>
      <c r="U16" s="544">
        <v>10.250000000000028</v>
      </c>
      <c r="V16" s="545">
        <f t="shared" si="5"/>
        <v>0.22286000043484938</v>
      </c>
      <c r="W16" s="546">
        <f t="shared" si="117"/>
        <v>0</v>
      </c>
      <c r="X16" s="544"/>
      <c r="Y16" s="545">
        <f t="shared" si="6"/>
        <v>0</v>
      </c>
      <c r="Z16" s="546">
        <f t="shared" si="118"/>
        <v>0</v>
      </c>
      <c r="AA16" s="544"/>
      <c r="AB16" s="545">
        <f t="shared" si="7"/>
        <v>0</v>
      </c>
      <c r="AC16" s="546">
        <f t="shared" si="119"/>
        <v>0</v>
      </c>
      <c r="AD16" s="544"/>
      <c r="AE16" s="545">
        <f t="shared" si="8"/>
        <v>0</v>
      </c>
      <c r="AF16" s="546">
        <f t="shared" si="120"/>
        <v>0</v>
      </c>
      <c r="AG16" s="544"/>
      <c r="AH16" s="545">
        <f t="shared" si="9"/>
        <v>0</v>
      </c>
      <c r="AI16" s="546">
        <f t="shared" si="121"/>
        <v>0</v>
      </c>
      <c r="AJ16" s="544"/>
      <c r="AK16" s="545">
        <f t="shared" si="10"/>
        <v>0</v>
      </c>
      <c r="AL16" s="546">
        <f t="shared" si="122"/>
        <v>0</v>
      </c>
      <c r="AM16" s="544">
        <v>42.049589743589792</v>
      </c>
      <c r="AN16" s="545">
        <f t="shared" si="11"/>
        <v>0.91426064278454955</v>
      </c>
      <c r="AO16" s="546">
        <f t="shared" si="123"/>
        <v>0</v>
      </c>
      <c r="AP16" s="544"/>
      <c r="AQ16" s="545">
        <f t="shared" si="12"/>
        <v>0</v>
      </c>
      <c r="AR16" s="546">
        <f t="shared" si="124"/>
        <v>0</v>
      </c>
      <c r="AS16" s="544"/>
      <c r="AT16" s="545">
        <f t="shared" si="13"/>
        <v>0</v>
      </c>
      <c r="AU16" s="546">
        <f t="shared" si="125"/>
        <v>0</v>
      </c>
      <c r="AV16" s="544">
        <v>0</v>
      </c>
      <c r="AW16" s="545">
        <f t="shared" si="14"/>
        <v>0</v>
      </c>
      <c r="AX16" s="546">
        <f t="shared" si="126"/>
        <v>0</v>
      </c>
      <c r="AY16" s="544">
        <v>51.328800000000058</v>
      </c>
      <c r="AZ16" s="545">
        <f t="shared" si="15"/>
        <v>1.11601330637271</v>
      </c>
      <c r="BA16" s="546">
        <f t="shared" si="127"/>
        <v>0</v>
      </c>
      <c r="BB16" s="544"/>
      <c r="BC16" s="545">
        <f t="shared" si="16"/>
        <v>0</v>
      </c>
      <c r="BD16" s="546">
        <f t="shared" si="128"/>
        <v>0</v>
      </c>
      <c r="BE16" s="544"/>
      <c r="BF16" s="545">
        <f t="shared" si="17"/>
        <v>0</v>
      </c>
      <c r="BG16" s="546">
        <f t="shared" si="129"/>
        <v>0</v>
      </c>
      <c r="BH16" s="544"/>
      <c r="BI16" s="545">
        <f t="shared" si="18"/>
        <v>0</v>
      </c>
      <c r="BJ16" s="546">
        <f t="shared" si="130"/>
        <v>0</v>
      </c>
      <c r="BK16" s="544"/>
      <c r="BL16" s="545">
        <f t="shared" si="19"/>
        <v>0</v>
      </c>
      <c r="BM16" s="546">
        <f t="shared" si="131"/>
        <v>0</v>
      </c>
      <c r="BN16" s="544"/>
      <c r="BO16" s="545">
        <f t="shared" si="20"/>
        <v>0</v>
      </c>
      <c r="BP16" s="546">
        <f t="shared" si="132"/>
        <v>0</v>
      </c>
      <c r="BQ16" s="544"/>
      <c r="BR16" s="545">
        <f t="shared" si="21"/>
        <v>0</v>
      </c>
      <c r="BS16" s="546">
        <f t="shared" si="133"/>
        <v>0</v>
      </c>
      <c r="BT16" s="544"/>
      <c r="BU16" s="545">
        <f t="shared" si="22"/>
        <v>0</v>
      </c>
      <c r="BV16" s="546">
        <f t="shared" si="134"/>
        <v>0</v>
      </c>
      <c r="BW16" s="544"/>
      <c r="BX16" s="545">
        <f t="shared" si="23"/>
        <v>0</v>
      </c>
      <c r="BY16" s="546">
        <f t="shared" si="135"/>
        <v>0</v>
      </c>
      <c r="BZ16" s="544">
        <v>0</v>
      </c>
      <c r="CA16" s="545">
        <f t="shared" si="24"/>
        <v>0</v>
      </c>
      <c r="CB16" s="546">
        <f t="shared" si="136"/>
        <v>0</v>
      </c>
      <c r="CC16" s="544"/>
      <c r="CD16" s="545">
        <f t="shared" si="25"/>
        <v>0</v>
      </c>
      <c r="CE16" s="546">
        <f t="shared" si="137"/>
        <v>0</v>
      </c>
      <c r="CF16" s="544">
        <v>1.2000000000000002</v>
      </c>
      <c r="CG16" s="545">
        <f t="shared" si="26"/>
        <v>2.6090926880177421E-2</v>
      </c>
      <c r="CH16" s="546">
        <f t="shared" si="138"/>
        <v>0</v>
      </c>
      <c r="CI16" s="544"/>
      <c r="CJ16" s="545">
        <f t="shared" si="27"/>
        <v>0</v>
      </c>
      <c r="CK16" s="546">
        <f t="shared" si="139"/>
        <v>0</v>
      </c>
      <c r="CL16" s="544"/>
      <c r="CM16" s="545">
        <f t="shared" si="28"/>
        <v>0</v>
      </c>
      <c r="CN16" s="546">
        <f t="shared" si="140"/>
        <v>0</v>
      </c>
      <c r="CO16" s="544"/>
      <c r="CP16" s="545">
        <f t="shared" si="29"/>
        <v>0</v>
      </c>
      <c r="CQ16" s="546">
        <f t="shared" si="141"/>
        <v>0</v>
      </c>
      <c r="CR16" s="544"/>
      <c r="CS16" s="545">
        <f t="shared" si="30"/>
        <v>0</v>
      </c>
      <c r="CT16" s="546">
        <f t="shared" si="142"/>
        <v>0</v>
      </c>
      <c r="CU16" s="544"/>
      <c r="CV16" s="545">
        <f t="shared" si="31"/>
        <v>0</v>
      </c>
      <c r="CW16" s="546">
        <f t="shared" si="143"/>
        <v>0</v>
      </c>
      <c r="CX16" s="544"/>
      <c r="CY16" s="545">
        <f t="shared" si="32"/>
        <v>0</v>
      </c>
      <c r="CZ16" s="546">
        <f t="shared" si="144"/>
        <v>0</v>
      </c>
      <c r="DA16" s="544">
        <v>0</v>
      </c>
      <c r="DB16" s="545">
        <f t="shared" si="33"/>
        <v>0</v>
      </c>
      <c r="DC16" s="546">
        <f t="shared" si="145"/>
        <v>0</v>
      </c>
      <c r="DD16" s="544"/>
      <c r="DE16" s="545">
        <f t="shared" si="34"/>
        <v>0</v>
      </c>
      <c r="DF16" s="546">
        <f t="shared" si="146"/>
        <v>0</v>
      </c>
      <c r="DG16" s="544"/>
      <c r="DH16" s="545">
        <f t="shared" si="35"/>
        <v>0</v>
      </c>
      <c r="DI16" s="546">
        <f t="shared" si="200"/>
        <v>0</v>
      </c>
      <c r="DJ16" s="544"/>
      <c r="DK16" s="545">
        <f t="shared" si="36"/>
        <v>0</v>
      </c>
      <c r="DL16" s="546">
        <f t="shared" si="147"/>
        <v>0</v>
      </c>
      <c r="DM16" s="544"/>
      <c r="DN16" s="545">
        <f t="shared" si="37"/>
        <v>0</v>
      </c>
      <c r="DO16" s="546">
        <f t="shared" si="148"/>
        <v>0</v>
      </c>
      <c r="DP16" s="544"/>
      <c r="DQ16" s="545">
        <f t="shared" si="38"/>
        <v>0</v>
      </c>
      <c r="DR16" s="546">
        <f t="shared" si="149"/>
        <v>0</v>
      </c>
      <c r="DS16" s="544"/>
      <c r="DT16" s="545">
        <f t="shared" si="39"/>
        <v>0</v>
      </c>
      <c r="DU16" s="546">
        <f t="shared" si="150"/>
        <v>0</v>
      </c>
      <c r="DV16" s="544"/>
      <c r="DW16" s="545">
        <f t="shared" si="40"/>
        <v>0</v>
      </c>
      <c r="DX16" s="546">
        <f t="shared" si="151"/>
        <v>0</v>
      </c>
      <c r="DY16" s="544"/>
      <c r="DZ16" s="545">
        <f t="shared" si="41"/>
        <v>0</v>
      </c>
      <c r="EA16" s="546">
        <f t="shared" si="152"/>
        <v>0</v>
      </c>
      <c r="EB16" s="544">
        <v>623.53425882352963</v>
      </c>
      <c r="EC16" s="545">
        <f t="shared" si="42"/>
        <v>13.557155628541944</v>
      </c>
      <c r="ED16" s="546">
        <f t="shared" si="153"/>
        <v>0</v>
      </c>
      <c r="EE16" s="544">
        <v>29.069767441860449</v>
      </c>
      <c r="EF16" s="545">
        <f t="shared" si="43"/>
        <v>0.63204764729111929</v>
      </c>
      <c r="EG16" s="546">
        <f t="shared" si="154"/>
        <v>0</v>
      </c>
      <c r="EH16" s="544">
        <v>1</v>
      </c>
      <c r="EI16" s="545">
        <f t="shared" si="44"/>
        <v>2.1742439066814515E-2</v>
      </c>
      <c r="EJ16" s="546">
        <f t="shared" si="155"/>
        <v>0</v>
      </c>
      <c r="EK16" s="544"/>
      <c r="EL16" s="545">
        <f t="shared" si="45"/>
        <v>0</v>
      </c>
      <c r="EM16" s="546">
        <f t="shared" si="156"/>
        <v>0</v>
      </c>
      <c r="EN16" s="544"/>
      <c r="EO16" s="545">
        <f t="shared" si="46"/>
        <v>0</v>
      </c>
      <c r="EP16" s="546">
        <f t="shared" si="157"/>
        <v>0</v>
      </c>
      <c r="EQ16" s="544"/>
      <c r="ER16" s="545">
        <f t="shared" si="47"/>
        <v>0</v>
      </c>
      <c r="ES16" s="546">
        <f t="shared" si="158"/>
        <v>0</v>
      </c>
      <c r="ET16" s="544"/>
      <c r="EU16" s="545">
        <f t="shared" si="48"/>
        <v>0</v>
      </c>
      <c r="EV16" s="546">
        <f t="shared" si="159"/>
        <v>0</v>
      </c>
      <c r="EW16" s="544"/>
      <c r="EX16" s="545">
        <f t="shared" si="49"/>
        <v>0</v>
      </c>
      <c r="EY16" s="546">
        <f t="shared" si="160"/>
        <v>0</v>
      </c>
      <c r="EZ16" s="544"/>
      <c r="FA16" s="545">
        <f t="shared" si="50"/>
        <v>0</v>
      </c>
      <c r="FB16" s="546">
        <f t="shared" si="161"/>
        <v>0</v>
      </c>
      <c r="FC16" s="544"/>
      <c r="FD16" s="545">
        <f t="shared" si="51"/>
        <v>0</v>
      </c>
      <c r="FE16" s="546">
        <f t="shared" si="162"/>
        <v>0</v>
      </c>
      <c r="FF16" s="544"/>
      <c r="FG16" s="545">
        <f t="shared" si="52"/>
        <v>0</v>
      </c>
      <c r="FH16" s="546">
        <f t="shared" si="163"/>
        <v>0</v>
      </c>
      <c r="FI16" s="544"/>
      <c r="FJ16" s="545">
        <f t="shared" si="53"/>
        <v>0</v>
      </c>
      <c r="FK16" s="546">
        <f t="shared" si="164"/>
        <v>0</v>
      </c>
      <c r="FL16" s="544"/>
      <c r="FM16" s="545">
        <f t="shared" si="54"/>
        <v>0</v>
      </c>
      <c r="FN16" s="546">
        <f t="shared" si="165"/>
        <v>0</v>
      </c>
      <c r="FO16" s="544"/>
      <c r="FP16" s="545">
        <f t="shared" si="55"/>
        <v>0</v>
      </c>
      <c r="FQ16" s="546">
        <f t="shared" si="166"/>
        <v>0</v>
      </c>
      <c r="FR16" s="544"/>
      <c r="FS16" s="545">
        <f t="shared" si="56"/>
        <v>0</v>
      </c>
      <c r="FT16" s="546">
        <f t="shared" si="167"/>
        <v>0</v>
      </c>
      <c r="FU16" s="544"/>
      <c r="FV16" s="545">
        <f t="shared" si="57"/>
        <v>0</v>
      </c>
      <c r="FW16" s="546">
        <f t="shared" si="168"/>
        <v>0</v>
      </c>
      <c r="FX16" s="544"/>
      <c r="FY16" s="545">
        <f t="shared" si="58"/>
        <v>0</v>
      </c>
      <c r="FZ16" s="546">
        <f t="shared" si="169"/>
        <v>0</v>
      </c>
      <c r="GA16" s="544"/>
      <c r="GB16" s="545">
        <f t="shared" si="59"/>
        <v>0</v>
      </c>
      <c r="GC16" s="546">
        <f t="shared" si="170"/>
        <v>0</v>
      </c>
      <c r="GD16" s="544"/>
      <c r="GE16" s="545">
        <f t="shared" si="60"/>
        <v>0</v>
      </c>
      <c r="GF16" s="546">
        <f t="shared" si="171"/>
        <v>0</v>
      </c>
      <c r="GG16" s="544">
        <v>9.2793030881417309</v>
      </c>
      <c r="GH16" s="545">
        <f t="shared" si="61"/>
        <v>0.20175468197642535</v>
      </c>
      <c r="GI16" s="546">
        <f t="shared" si="172"/>
        <v>0</v>
      </c>
      <c r="GJ16" s="544">
        <v>9.2793030881417309</v>
      </c>
      <c r="GK16" s="545">
        <f t="shared" si="62"/>
        <v>0.20175468197642535</v>
      </c>
      <c r="GL16" s="546">
        <f t="shared" si="173"/>
        <v>0</v>
      </c>
      <c r="GM16" s="544">
        <v>0</v>
      </c>
      <c r="GN16" s="545">
        <f t="shared" si="63"/>
        <v>0</v>
      </c>
      <c r="GO16" s="546">
        <f t="shared" si="174"/>
        <v>0</v>
      </c>
      <c r="GP16" s="544">
        <v>30.157735036460629</v>
      </c>
      <c r="GQ16" s="545">
        <f t="shared" si="64"/>
        <v>0.6557027164233824</v>
      </c>
      <c r="GR16" s="546">
        <f t="shared" si="175"/>
        <v>0</v>
      </c>
      <c r="GS16" s="544">
        <v>213.42397102725982</v>
      </c>
      <c r="GT16" s="545">
        <f t="shared" si="65"/>
        <v>4.6403576854577828</v>
      </c>
      <c r="GU16" s="546">
        <f t="shared" si="176"/>
        <v>0</v>
      </c>
      <c r="GV16" s="544">
        <v>23.198257720354327</v>
      </c>
      <c r="GW16" s="545">
        <f t="shared" si="66"/>
        <v>0.5043867049410633</v>
      </c>
      <c r="GX16" s="546">
        <f t="shared" si="177"/>
        <v>0</v>
      </c>
      <c r="GY16" s="544"/>
      <c r="GZ16" s="545">
        <f t="shared" si="67"/>
        <v>0</v>
      </c>
      <c r="HA16" s="546">
        <f t="shared" si="178"/>
        <v>0</v>
      </c>
      <c r="HB16" s="544"/>
      <c r="HC16" s="545">
        <f t="shared" si="68"/>
        <v>0</v>
      </c>
      <c r="HD16" s="546">
        <f t="shared" si="179"/>
        <v>0</v>
      </c>
      <c r="HE16" s="544"/>
      <c r="HF16" s="545">
        <f t="shared" si="69"/>
        <v>0</v>
      </c>
      <c r="HG16" s="546">
        <f t="shared" si="180"/>
        <v>0</v>
      </c>
      <c r="HH16" s="544"/>
      <c r="HI16" s="545">
        <f t="shared" si="70"/>
        <v>0</v>
      </c>
      <c r="HJ16" s="546">
        <f t="shared" si="181"/>
        <v>0</v>
      </c>
      <c r="HK16" s="544"/>
      <c r="HL16" s="545">
        <f t="shared" si="71"/>
        <v>0</v>
      </c>
      <c r="HM16" s="546">
        <f t="shared" si="182"/>
        <v>0</v>
      </c>
      <c r="HN16" s="544">
        <v>839.77692947682669</v>
      </c>
      <c r="HO16" s="545">
        <f t="shared" si="72"/>
        <v>18.258798718866494</v>
      </c>
      <c r="HP16" s="546">
        <f t="shared" si="183"/>
        <v>0</v>
      </c>
      <c r="HQ16" s="544"/>
      <c r="HR16" s="545">
        <f t="shared" si="73"/>
        <v>0</v>
      </c>
      <c r="HS16" s="546">
        <f t="shared" si="184"/>
        <v>0</v>
      </c>
      <c r="HT16" s="544">
        <v>0</v>
      </c>
      <c r="HU16" s="545">
        <f t="shared" si="74"/>
        <v>0</v>
      </c>
      <c r="HV16" s="546">
        <f t="shared" si="185"/>
        <v>0</v>
      </c>
      <c r="HW16" s="544">
        <v>0</v>
      </c>
      <c r="HX16" s="545">
        <f t="shared" si="75"/>
        <v>0</v>
      </c>
      <c r="HY16" s="546">
        <f t="shared" si="186"/>
        <v>0</v>
      </c>
      <c r="HZ16" s="544">
        <v>0</v>
      </c>
      <c r="IA16" s="545">
        <f t="shared" si="76"/>
        <v>0</v>
      </c>
      <c r="IB16" s="546">
        <f t="shared" si="187"/>
        <v>0</v>
      </c>
      <c r="IC16" s="544">
        <v>0</v>
      </c>
      <c r="ID16" s="545">
        <f t="shared" si="77"/>
        <v>0</v>
      </c>
      <c r="IE16" s="546">
        <f t="shared" si="188"/>
        <v>0</v>
      </c>
      <c r="IF16" s="544">
        <v>23.198257720354327</v>
      </c>
      <c r="IG16" s="545">
        <f t="shared" si="78"/>
        <v>0.5043867049410633</v>
      </c>
      <c r="IH16" s="546">
        <f t="shared" si="189"/>
        <v>0</v>
      </c>
      <c r="II16" s="544"/>
      <c r="IJ16" s="545">
        <f t="shared" si="79"/>
        <v>0</v>
      </c>
      <c r="IK16" s="546">
        <f t="shared" si="190"/>
        <v>0</v>
      </c>
      <c r="IL16" s="544"/>
      <c r="IM16" s="545">
        <f t="shared" si="80"/>
        <v>0</v>
      </c>
      <c r="IN16" s="546">
        <f t="shared" si="191"/>
        <v>0</v>
      </c>
      <c r="IO16" s="544">
        <v>51.036166984779527</v>
      </c>
      <c r="IP16" s="545">
        <f t="shared" si="81"/>
        <v>1.1096507508703395</v>
      </c>
      <c r="IQ16" s="546">
        <f t="shared" si="192"/>
        <v>0</v>
      </c>
      <c r="IR16" s="544">
        <v>0</v>
      </c>
      <c r="IS16" s="545">
        <f t="shared" si="82"/>
        <v>0</v>
      </c>
      <c r="IT16" s="546">
        <f t="shared" si="193"/>
        <v>0</v>
      </c>
      <c r="IU16" s="544"/>
      <c r="IV16" s="545">
        <f t="shared" si="83"/>
        <v>0</v>
      </c>
      <c r="IW16" s="546">
        <f t="shared" si="194"/>
        <v>0</v>
      </c>
      <c r="IX16" s="544">
        <v>0</v>
      </c>
      <c r="IY16" s="545">
        <f t="shared" si="84"/>
        <v>0</v>
      </c>
      <c r="IZ16" s="546">
        <f t="shared" si="195"/>
        <v>0</v>
      </c>
      <c r="JA16" s="544"/>
      <c r="JB16" s="545">
        <f t="shared" si="85"/>
        <v>0</v>
      </c>
      <c r="JC16" s="546">
        <f t="shared" si="196"/>
        <v>0</v>
      </c>
      <c r="JD16" s="544"/>
      <c r="JE16" s="545">
        <f t="shared" si="86"/>
        <v>0</v>
      </c>
      <c r="JF16" s="546">
        <f t="shared" si="197"/>
        <v>0</v>
      </c>
      <c r="JG16" s="544">
        <v>23.198257720354327</v>
      </c>
      <c r="JH16" s="546" t="str">
        <f t="shared" si="87"/>
        <v>0</v>
      </c>
      <c r="JI16" s="546" t="str">
        <f t="shared" si="88"/>
        <v>0</v>
      </c>
      <c r="JJ16" s="544">
        <v>0</v>
      </c>
      <c r="JK16" s="546" t="str">
        <f t="shared" si="89"/>
        <v>0</v>
      </c>
      <c r="JL16" s="546" t="str">
        <f t="shared" si="90"/>
        <v>0</v>
      </c>
      <c r="JM16" s="544">
        <v>0</v>
      </c>
      <c r="JN16" s="546" t="str">
        <f t="shared" si="91"/>
        <v>0</v>
      </c>
      <c r="JO16" s="546" t="str">
        <f t="shared" si="92"/>
        <v>0</v>
      </c>
      <c r="JP16" s="544"/>
      <c r="JQ16" s="546" t="str">
        <f t="shared" si="93"/>
        <v>0</v>
      </c>
      <c r="JR16" s="546" t="str">
        <f t="shared" si="94"/>
        <v>0</v>
      </c>
      <c r="JS16" s="544"/>
      <c r="JT16" s="546" t="str">
        <f t="shared" si="95"/>
        <v>0</v>
      </c>
      <c r="JU16" s="546" t="str">
        <f t="shared" si="96"/>
        <v>0</v>
      </c>
      <c r="JV16" s="544"/>
      <c r="JW16" s="546" t="str">
        <f t="shared" si="97"/>
        <v>0</v>
      </c>
      <c r="JX16" s="546" t="str">
        <f t="shared" si="98"/>
        <v>0</v>
      </c>
      <c r="JY16" s="544"/>
      <c r="JZ16" s="546" t="str">
        <f t="shared" si="99"/>
        <v>0</v>
      </c>
      <c r="KA16" s="546" t="str">
        <f t="shared" si="100"/>
        <v>0</v>
      </c>
      <c r="KB16" s="544"/>
      <c r="KC16" s="546" t="str">
        <f t="shared" si="101"/>
        <v>0</v>
      </c>
      <c r="KD16" s="546" t="str">
        <f t="shared" si="102"/>
        <v>0</v>
      </c>
      <c r="KE16" s="544"/>
      <c r="KF16" s="546" t="str">
        <f t="shared" si="103"/>
        <v>0</v>
      </c>
      <c r="KG16" s="546" t="str">
        <f t="shared" si="104"/>
        <v>0</v>
      </c>
      <c r="KH16" s="544"/>
      <c r="KI16" s="546" t="str">
        <f t="shared" si="105"/>
        <v>0</v>
      </c>
      <c r="KJ16" s="546" t="str">
        <f t="shared" si="106"/>
        <v>0</v>
      </c>
      <c r="KK16" s="544"/>
      <c r="KL16" s="546" t="str">
        <f t="shared" si="107"/>
        <v>0</v>
      </c>
      <c r="KM16" s="546" t="str">
        <f t="shared" si="108"/>
        <v>0</v>
      </c>
      <c r="KN16" s="544"/>
      <c r="KO16" s="546" t="str">
        <f t="shared" si="109"/>
        <v>0</v>
      </c>
      <c r="KP16" s="546" t="str">
        <f t="shared" si="110"/>
        <v>0</v>
      </c>
      <c r="KQ16" s="546">
        <f t="shared" si="111"/>
        <v>0</v>
      </c>
      <c r="KR16" s="546">
        <f t="shared" si="198"/>
        <v>0</v>
      </c>
      <c r="KS16" s="265">
        <f t="shared" si="199"/>
        <v>1992.9805978716536</v>
      </c>
    </row>
    <row r="17" spans="1:305" ht="15" customHeight="1">
      <c r="A17" s="267">
        <f>+Report1!A17</f>
        <v>46000</v>
      </c>
      <c r="B17" s="268" t="str">
        <f>+Report1!B17</f>
        <v>Napkin</v>
      </c>
      <c r="C17" s="268" t="str">
        <f>+Report1!C17</f>
        <v>15,5/17/16,5/20</v>
      </c>
      <c r="D17" s="269">
        <f>+Report1!P17</f>
        <v>54.228999999999999</v>
      </c>
      <c r="E17" s="270">
        <f>+Report1!R17</f>
        <v>51.213000000000001</v>
      </c>
      <c r="F17" s="544">
        <v>0</v>
      </c>
      <c r="G17" s="545">
        <f t="shared" si="0"/>
        <v>0</v>
      </c>
      <c r="H17" s="546">
        <f t="shared" si="112"/>
        <v>0</v>
      </c>
      <c r="I17" s="544"/>
      <c r="J17" s="545">
        <f t="shared" si="1"/>
        <v>0</v>
      </c>
      <c r="K17" s="546">
        <f t="shared" si="113"/>
        <v>0</v>
      </c>
      <c r="L17" s="544"/>
      <c r="M17" s="545">
        <f t="shared" si="2"/>
        <v>0</v>
      </c>
      <c r="N17" s="546">
        <f t="shared" si="114"/>
        <v>0</v>
      </c>
      <c r="O17" s="544">
        <v>12</v>
      </c>
      <c r="P17" s="545">
        <f t="shared" si="3"/>
        <v>0.2343155058285982</v>
      </c>
      <c r="Q17" s="546">
        <f t="shared" si="115"/>
        <v>0</v>
      </c>
      <c r="R17" s="544"/>
      <c r="S17" s="545">
        <f t="shared" si="4"/>
        <v>0</v>
      </c>
      <c r="T17" s="546">
        <f t="shared" si="116"/>
        <v>0</v>
      </c>
      <c r="U17" s="544">
        <v>10.25</v>
      </c>
      <c r="V17" s="545">
        <f t="shared" si="5"/>
        <v>0.20014449456192762</v>
      </c>
      <c r="W17" s="546">
        <f t="shared" si="117"/>
        <v>0</v>
      </c>
      <c r="X17" s="544"/>
      <c r="Y17" s="545">
        <f t="shared" si="6"/>
        <v>0</v>
      </c>
      <c r="Z17" s="546">
        <f t="shared" si="118"/>
        <v>0</v>
      </c>
      <c r="AA17" s="544"/>
      <c r="AB17" s="545">
        <f t="shared" si="7"/>
        <v>0</v>
      </c>
      <c r="AC17" s="546">
        <f t="shared" si="119"/>
        <v>0</v>
      </c>
      <c r="AD17" s="544"/>
      <c r="AE17" s="545">
        <f t="shared" si="8"/>
        <v>0</v>
      </c>
      <c r="AF17" s="546">
        <f t="shared" si="120"/>
        <v>0</v>
      </c>
      <c r="AG17" s="544"/>
      <c r="AH17" s="545">
        <f t="shared" si="9"/>
        <v>0</v>
      </c>
      <c r="AI17" s="546">
        <f t="shared" si="121"/>
        <v>0</v>
      </c>
      <c r="AJ17" s="544"/>
      <c r="AK17" s="545">
        <f t="shared" si="10"/>
        <v>0</v>
      </c>
      <c r="AL17" s="546">
        <f t="shared" si="122"/>
        <v>0</v>
      </c>
      <c r="AM17" s="544">
        <v>36.794871794871824</v>
      </c>
      <c r="AN17" s="545">
        <f t="shared" si="11"/>
        <v>0.71846741637615108</v>
      </c>
      <c r="AO17" s="546">
        <f t="shared" si="123"/>
        <v>0</v>
      </c>
      <c r="AP17" s="544"/>
      <c r="AQ17" s="545">
        <f t="shared" si="12"/>
        <v>0</v>
      </c>
      <c r="AR17" s="546">
        <f t="shared" si="124"/>
        <v>0</v>
      </c>
      <c r="AS17" s="544"/>
      <c r="AT17" s="545">
        <f t="shared" si="13"/>
        <v>0</v>
      </c>
      <c r="AU17" s="546">
        <f t="shared" si="125"/>
        <v>0</v>
      </c>
      <c r="AV17" s="544">
        <v>0</v>
      </c>
      <c r="AW17" s="545">
        <f t="shared" si="14"/>
        <v>0</v>
      </c>
      <c r="AX17" s="546">
        <f t="shared" si="126"/>
        <v>0</v>
      </c>
      <c r="AY17" s="544">
        <v>53.666666666666629</v>
      </c>
      <c r="AZ17" s="545">
        <f t="shared" si="15"/>
        <v>1.0479110121778967</v>
      </c>
      <c r="BA17" s="546">
        <f t="shared" si="127"/>
        <v>0</v>
      </c>
      <c r="BB17" s="544"/>
      <c r="BC17" s="545">
        <f t="shared" si="16"/>
        <v>0</v>
      </c>
      <c r="BD17" s="546">
        <f t="shared" si="128"/>
        <v>0</v>
      </c>
      <c r="BE17" s="544"/>
      <c r="BF17" s="545">
        <f t="shared" si="17"/>
        <v>0</v>
      </c>
      <c r="BG17" s="546">
        <f t="shared" si="129"/>
        <v>0</v>
      </c>
      <c r="BH17" s="544"/>
      <c r="BI17" s="545">
        <f t="shared" si="18"/>
        <v>0</v>
      </c>
      <c r="BJ17" s="546">
        <f t="shared" si="130"/>
        <v>0</v>
      </c>
      <c r="BK17" s="544"/>
      <c r="BL17" s="545">
        <f t="shared" si="19"/>
        <v>0</v>
      </c>
      <c r="BM17" s="546">
        <f t="shared" si="131"/>
        <v>0</v>
      </c>
      <c r="BN17" s="544"/>
      <c r="BO17" s="545">
        <f t="shared" si="20"/>
        <v>0</v>
      </c>
      <c r="BP17" s="546">
        <f t="shared" si="132"/>
        <v>0</v>
      </c>
      <c r="BQ17" s="544"/>
      <c r="BR17" s="545">
        <f t="shared" si="21"/>
        <v>0</v>
      </c>
      <c r="BS17" s="546">
        <f t="shared" si="133"/>
        <v>0</v>
      </c>
      <c r="BT17" s="544"/>
      <c r="BU17" s="545">
        <f t="shared" si="22"/>
        <v>0</v>
      </c>
      <c r="BV17" s="546">
        <f t="shared" si="134"/>
        <v>0</v>
      </c>
      <c r="BW17" s="544"/>
      <c r="BX17" s="545">
        <f t="shared" si="23"/>
        <v>0</v>
      </c>
      <c r="BY17" s="546">
        <f t="shared" si="135"/>
        <v>0</v>
      </c>
      <c r="BZ17" s="544">
        <v>0</v>
      </c>
      <c r="CA17" s="545">
        <f t="shared" si="24"/>
        <v>0</v>
      </c>
      <c r="CB17" s="546">
        <f t="shared" si="136"/>
        <v>0</v>
      </c>
      <c r="CC17" s="544"/>
      <c r="CD17" s="545">
        <f t="shared" si="25"/>
        <v>0</v>
      </c>
      <c r="CE17" s="546">
        <f t="shared" si="137"/>
        <v>0</v>
      </c>
      <c r="CF17" s="544">
        <v>0.79999999999999982</v>
      </c>
      <c r="CG17" s="545">
        <f t="shared" si="26"/>
        <v>1.5621033721906543E-2</v>
      </c>
      <c r="CH17" s="546">
        <f t="shared" si="138"/>
        <v>0</v>
      </c>
      <c r="CI17" s="544"/>
      <c r="CJ17" s="545">
        <f t="shared" si="27"/>
        <v>0</v>
      </c>
      <c r="CK17" s="546">
        <f t="shared" si="139"/>
        <v>0</v>
      </c>
      <c r="CL17" s="544"/>
      <c r="CM17" s="545">
        <f t="shared" si="28"/>
        <v>0</v>
      </c>
      <c r="CN17" s="546">
        <f t="shared" si="140"/>
        <v>0</v>
      </c>
      <c r="CO17" s="544"/>
      <c r="CP17" s="545">
        <f t="shared" si="29"/>
        <v>0</v>
      </c>
      <c r="CQ17" s="546">
        <f t="shared" si="141"/>
        <v>0</v>
      </c>
      <c r="CR17" s="544"/>
      <c r="CS17" s="545">
        <f t="shared" si="30"/>
        <v>0</v>
      </c>
      <c r="CT17" s="546">
        <f t="shared" si="142"/>
        <v>0</v>
      </c>
      <c r="CU17" s="544"/>
      <c r="CV17" s="545">
        <f t="shared" si="31"/>
        <v>0</v>
      </c>
      <c r="CW17" s="546">
        <f t="shared" si="143"/>
        <v>0</v>
      </c>
      <c r="CX17" s="544"/>
      <c r="CY17" s="545">
        <f t="shared" si="32"/>
        <v>0</v>
      </c>
      <c r="CZ17" s="546">
        <f t="shared" si="144"/>
        <v>0</v>
      </c>
      <c r="DA17" s="544">
        <v>0</v>
      </c>
      <c r="DB17" s="545">
        <f t="shared" si="33"/>
        <v>0</v>
      </c>
      <c r="DC17" s="546">
        <f t="shared" si="145"/>
        <v>0</v>
      </c>
      <c r="DD17" s="544"/>
      <c r="DE17" s="545">
        <f t="shared" si="34"/>
        <v>0</v>
      </c>
      <c r="DF17" s="546">
        <f t="shared" si="146"/>
        <v>0</v>
      </c>
      <c r="DG17" s="544"/>
      <c r="DH17" s="545">
        <f t="shared" si="35"/>
        <v>0</v>
      </c>
      <c r="DI17" s="546">
        <f t="shared" si="200"/>
        <v>0</v>
      </c>
      <c r="DJ17" s="544"/>
      <c r="DK17" s="545">
        <f t="shared" si="36"/>
        <v>0</v>
      </c>
      <c r="DL17" s="546">
        <f t="shared" si="147"/>
        <v>0</v>
      </c>
      <c r="DM17" s="544"/>
      <c r="DN17" s="545">
        <f t="shared" si="37"/>
        <v>0</v>
      </c>
      <c r="DO17" s="546">
        <f t="shared" si="148"/>
        <v>0</v>
      </c>
      <c r="DP17" s="544"/>
      <c r="DQ17" s="545">
        <f t="shared" si="38"/>
        <v>0</v>
      </c>
      <c r="DR17" s="546">
        <f t="shared" si="149"/>
        <v>0</v>
      </c>
      <c r="DS17" s="544"/>
      <c r="DT17" s="545">
        <f t="shared" si="39"/>
        <v>0</v>
      </c>
      <c r="DU17" s="546">
        <f t="shared" si="150"/>
        <v>0</v>
      </c>
      <c r="DV17" s="544"/>
      <c r="DW17" s="545">
        <f t="shared" si="40"/>
        <v>0</v>
      </c>
      <c r="DX17" s="546">
        <f t="shared" si="151"/>
        <v>0</v>
      </c>
      <c r="DY17" s="544"/>
      <c r="DZ17" s="545">
        <f t="shared" si="41"/>
        <v>0</v>
      </c>
      <c r="EA17" s="546">
        <f t="shared" si="152"/>
        <v>0</v>
      </c>
      <c r="EB17" s="544">
        <v>600</v>
      </c>
      <c r="EC17" s="545">
        <f t="shared" si="42"/>
        <v>11.71577529142991</v>
      </c>
      <c r="ED17" s="546">
        <f t="shared" si="153"/>
        <v>0</v>
      </c>
      <c r="EE17" s="544">
        <v>29.069767441860222</v>
      </c>
      <c r="EF17" s="545">
        <f t="shared" si="43"/>
        <v>0.56762477187159943</v>
      </c>
      <c r="EG17" s="546">
        <f t="shared" si="154"/>
        <v>0</v>
      </c>
      <c r="EH17" s="544">
        <v>1</v>
      </c>
      <c r="EI17" s="545">
        <f t="shared" si="44"/>
        <v>1.9526292152383183E-2</v>
      </c>
      <c r="EJ17" s="546">
        <f t="shared" si="155"/>
        <v>0</v>
      </c>
      <c r="EK17" s="544"/>
      <c r="EL17" s="545">
        <f t="shared" si="45"/>
        <v>0</v>
      </c>
      <c r="EM17" s="546">
        <f t="shared" si="156"/>
        <v>0</v>
      </c>
      <c r="EN17" s="544"/>
      <c r="EO17" s="545">
        <f t="shared" si="46"/>
        <v>0</v>
      </c>
      <c r="EP17" s="546">
        <f t="shared" si="157"/>
        <v>0</v>
      </c>
      <c r="EQ17" s="544"/>
      <c r="ER17" s="545">
        <f t="shared" si="47"/>
        <v>0</v>
      </c>
      <c r="ES17" s="546">
        <f t="shared" si="158"/>
        <v>0</v>
      </c>
      <c r="ET17" s="544"/>
      <c r="EU17" s="545">
        <f t="shared" si="48"/>
        <v>0</v>
      </c>
      <c r="EV17" s="546">
        <f t="shared" si="159"/>
        <v>0</v>
      </c>
      <c r="EW17" s="544"/>
      <c r="EX17" s="545">
        <f t="shared" si="49"/>
        <v>0</v>
      </c>
      <c r="EY17" s="546">
        <f t="shared" si="160"/>
        <v>0</v>
      </c>
      <c r="EZ17" s="544"/>
      <c r="FA17" s="545">
        <f t="shared" si="50"/>
        <v>0</v>
      </c>
      <c r="FB17" s="546">
        <f t="shared" si="161"/>
        <v>0</v>
      </c>
      <c r="FC17" s="544"/>
      <c r="FD17" s="545">
        <f t="shared" si="51"/>
        <v>0</v>
      </c>
      <c r="FE17" s="546">
        <f t="shared" si="162"/>
        <v>0</v>
      </c>
      <c r="FF17" s="544"/>
      <c r="FG17" s="545">
        <f t="shared" si="52"/>
        <v>0</v>
      </c>
      <c r="FH17" s="546">
        <f t="shared" si="163"/>
        <v>0</v>
      </c>
      <c r="FI17" s="544"/>
      <c r="FJ17" s="545">
        <f t="shared" si="53"/>
        <v>0</v>
      </c>
      <c r="FK17" s="546">
        <f t="shared" si="164"/>
        <v>0</v>
      </c>
      <c r="FL17" s="544"/>
      <c r="FM17" s="545">
        <f t="shared" si="54"/>
        <v>0</v>
      </c>
      <c r="FN17" s="546">
        <f t="shared" si="165"/>
        <v>0</v>
      </c>
      <c r="FO17" s="544"/>
      <c r="FP17" s="545">
        <f t="shared" si="55"/>
        <v>0</v>
      </c>
      <c r="FQ17" s="546">
        <f t="shared" si="166"/>
        <v>0</v>
      </c>
      <c r="FR17" s="544"/>
      <c r="FS17" s="545">
        <f t="shared" si="56"/>
        <v>0</v>
      </c>
      <c r="FT17" s="546">
        <f t="shared" si="167"/>
        <v>0</v>
      </c>
      <c r="FU17" s="544"/>
      <c r="FV17" s="545">
        <f t="shared" si="57"/>
        <v>0</v>
      </c>
      <c r="FW17" s="546">
        <f t="shared" si="168"/>
        <v>0</v>
      </c>
      <c r="FX17" s="544"/>
      <c r="FY17" s="545">
        <f t="shared" si="58"/>
        <v>0</v>
      </c>
      <c r="FZ17" s="546">
        <f t="shared" si="169"/>
        <v>0</v>
      </c>
      <c r="GA17" s="544"/>
      <c r="GB17" s="545">
        <f t="shared" si="59"/>
        <v>0</v>
      </c>
      <c r="GC17" s="546">
        <f t="shared" si="170"/>
        <v>0</v>
      </c>
      <c r="GD17" s="544"/>
      <c r="GE17" s="545">
        <f t="shared" si="60"/>
        <v>0</v>
      </c>
      <c r="GF17" s="546">
        <f t="shared" si="171"/>
        <v>0</v>
      </c>
      <c r="GG17" s="544">
        <v>10.646079547685421</v>
      </c>
      <c r="GH17" s="545">
        <f t="shared" si="61"/>
        <v>0.20787845952561695</v>
      </c>
      <c r="GI17" s="546">
        <f t="shared" si="172"/>
        <v>0</v>
      </c>
      <c r="GJ17" s="544">
        <v>10.646079547685421</v>
      </c>
      <c r="GK17" s="545">
        <f t="shared" si="62"/>
        <v>0.20787845952561695</v>
      </c>
      <c r="GL17" s="546">
        <f t="shared" si="173"/>
        <v>0</v>
      </c>
      <c r="GM17" s="544">
        <v>0</v>
      </c>
      <c r="GN17" s="545">
        <f t="shared" si="63"/>
        <v>0</v>
      </c>
      <c r="GO17" s="546">
        <f t="shared" si="174"/>
        <v>0</v>
      </c>
      <c r="GP17" s="544">
        <v>34.59975852997762</v>
      </c>
      <c r="GQ17" s="545">
        <f t="shared" si="64"/>
        <v>0.67560499345825509</v>
      </c>
      <c r="GR17" s="546">
        <f t="shared" si="175"/>
        <v>0</v>
      </c>
      <c r="GS17" s="544">
        <v>212.9215909537084</v>
      </c>
      <c r="GT17" s="545">
        <f t="shared" si="65"/>
        <v>4.1575691905123389</v>
      </c>
      <c r="GU17" s="546">
        <f t="shared" si="176"/>
        <v>0</v>
      </c>
      <c r="GV17" s="544">
        <v>26.61519886921355</v>
      </c>
      <c r="GW17" s="545">
        <f t="shared" si="66"/>
        <v>0.51969614881404236</v>
      </c>
      <c r="GX17" s="546">
        <f t="shared" si="177"/>
        <v>0</v>
      </c>
      <c r="GY17" s="544"/>
      <c r="GZ17" s="545">
        <f t="shared" si="67"/>
        <v>0</v>
      </c>
      <c r="HA17" s="546">
        <f t="shared" si="178"/>
        <v>0</v>
      </c>
      <c r="HB17" s="544"/>
      <c r="HC17" s="545">
        <f t="shared" si="68"/>
        <v>0</v>
      </c>
      <c r="HD17" s="546">
        <f t="shared" si="179"/>
        <v>0</v>
      </c>
      <c r="HE17" s="544"/>
      <c r="HF17" s="545">
        <f t="shared" si="69"/>
        <v>0</v>
      </c>
      <c r="HG17" s="546">
        <f t="shared" si="180"/>
        <v>0</v>
      </c>
      <c r="HH17" s="544"/>
      <c r="HI17" s="545">
        <f t="shared" si="70"/>
        <v>0</v>
      </c>
      <c r="HJ17" s="546">
        <f t="shared" si="181"/>
        <v>0</v>
      </c>
      <c r="HK17" s="544"/>
      <c r="HL17" s="545">
        <f t="shared" si="71"/>
        <v>0</v>
      </c>
      <c r="HM17" s="546">
        <f t="shared" si="182"/>
        <v>0</v>
      </c>
      <c r="HN17" s="544">
        <v>1070.9956024971534</v>
      </c>
      <c r="HO17" s="545">
        <f t="shared" si="72"/>
        <v>20.912573028277066</v>
      </c>
      <c r="HP17" s="546">
        <f t="shared" si="183"/>
        <v>0</v>
      </c>
      <c r="HQ17" s="544"/>
      <c r="HR17" s="545">
        <f t="shared" si="73"/>
        <v>0</v>
      </c>
      <c r="HS17" s="546">
        <f t="shared" si="184"/>
        <v>0</v>
      </c>
      <c r="HT17" s="544">
        <v>0</v>
      </c>
      <c r="HU17" s="545">
        <f t="shared" si="74"/>
        <v>0</v>
      </c>
      <c r="HV17" s="546">
        <f t="shared" si="185"/>
        <v>0</v>
      </c>
      <c r="HW17" s="544">
        <v>0</v>
      </c>
      <c r="HX17" s="545">
        <f t="shared" si="75"/>
        <v>0</v>
      </c>
      <c r="HY17" s="546">
        <f t="shared" si="186"/>
        <v>0</v>
      </c>
      <c r="HZ17" s="544">
        <v>0</v>
      </c>
      <c r="IA17" s="545">
        <f t="shared" si="76"/>
        <v>0</v>
      </c>
      <c r="IB17" s="546">
        <f t="shared" si="187"/>
        <v>0</v>
      </c>
      <c r="IC17" s="544">
        <v>0</v>
      </c>
      <c r="ID17" s="545">
        <f t="shared" si="77"/>
        <v>0</v>
      </c>
      <c r="IE17" s="546">
        <f t="shared" si="188"/>
        <v>0</v>
      </c>
      <c r="IF17" s="544">
        <v>53.230397738427101</v>
      </c>
      <c r="IG17" s="545">
        <f t="shared" si="78"/>
        <v>1.0393922976280847</v>
      </c>
      <c r="IH17" s="546">
        <f t="shared" si="189"/>
        <v>0</v>
      </c>
      <c r="II17" s="544"/>
      <c r="IJ17" s="545">
        <f t="shared" si="79"/>
        <v>0</v>
      </c>
      <c r="IK17" s="546">
        <f t="shared" si="190"/>
        <v>0</v>
      </c>
      <c r="IL17" s="544"/>
      <c r="IM17" s="545">
        <f t="shared" si="80"/>
        <v>0</v>
      </c>
      <c r="IN17" s="546">
        <f t="shared" si="191"/>
        <v>0</v>
      </c>
      <c r="IO17" s="544">
        <v>106.4607954768542</v>
      </c>
      <c r="IP17" s="545">
        <f t="shared" si="81"/>
        <v>2.0787845952561694</v>
      </c>
      <c r="IQ17" s="546">
        <f t="shared" si="192"/>
        <v>0</v>
      </c>
      <c r="IR17" s="544">
        <v>0</v>
      </c>
      <c r="IS17" s="545">
        <f t="shared" si="82"/>
        <v>0</v>
      </c>
      <c r="IT17" s="546">
        <f t="shared" si="193"/>
        <v>0</v>
      </c>
      <c r="IU17" s="544"/>
      <c r="IV17" s="545">
        <f t="shared" si="83"/>
        <v>0</v>
      </c>
      <c r="IW17" s="546">
        <f t="shared" si="194"/>
        <v>0</v>
      </c>
      <c r="IX17" s="544">
        <v>0</v>
      </c>
      <c r="IY17" s="545">
        <f t="shared" si="84"/>
        <v>0</v>
      </c>
      <c r="IZ17" s="546">
        <f t="shared" si="195"/>
        <v>0</v>
      </c>
      <c r="JA17" s="544"/>
      <c r="JB17" s="545">
        <f t="shared" si="85"/>
        <v>0</v>
      </c>
      <c r="JC17" s="546">
        <f t="shared" si="196"/>
        <v>0</v>
      </c>
      <c r="JD17" s="544"/>
      <c r="JE17" s="545">
        <f t="shared" si="86"/>
        <v>0</v>
      </c>
      <c r="JF17" s="546">
        <f t="shared" si="197"/>
        <v>0</v>
      </c>
      <c r="JG17" s="544">
        <v>21.292159095370842</v>
      </c>
      <c r="JH17" s="546" t="str">
        <f t="shared" si="87"/>
        <v>0</v>
      </c>
      <c r="JI17" s="546" t="str">
        <f t="shared" si="88"/>
        <v>0</v>
      </c>
      <c r="JJ17" s="544">
        <v>0</v>
      </c>
      <c r="JK17" s="546" t="str">
        <f t="shared" si="89"/>
        <v>0</v>
      </c>
      <c r="JL17" s="546" t="str">
        <f t="shared" si="90"/>
        <v>0</v>
      </c>
      <c r="JM17" s="544">
        <v>0</v>
      </c>
      <c r="JN17" s="546" t="str">
        <f t="shared" si="91"/>
        <v>0</v>
      </c>
      <c r="JO17" s="546" t="str">
        <f t="shared" si="92"/>
        <v>0</v>
      </c>
      <c r="JP17" s="544"/>
      <c r="JQ17" s="546" t="str">
        <f t="shared" si="93"/>
        <v>0</v>
      </c>
      <c r="JR17" s="546" t="str">
        <f t="shared" si="94"/>
        <v>0</v>
      </c>
      <c r="JS17" s="544"/>
      <c r="JT17" s="546" t="str">
        <f t="shared" si="95"/>
        <v>0</v>
      </c>
      <c r="JU17" s="546" t="str">
        <f t="shared" si="96"/>
        <v>0</v>
      </c>
      <c r="JV17" s="544"/>
      <c r="JW17" s="546" t="str">
        <f t="shared" si="97"/>
        <v>0</v>
      </c>
      <c r="JX17" s="546" t="str">
        <f t="shared" si="98"/>
        <v>0</v>
      </c>
      <c r="JY17" s="544"/>
      <c r="JZ17" s="546" t="str">
        <f t="shared" si="99"/>
        <v>0</v>
      </c>
      <c r="KA17" s="546" t="str">
        <f t="shared" si="100"/>
        <v>0</v>
      </c>
      <c r="KB17" s="544"/>
      <c r="KC17" s="546" t="str">
        <f t="shared" si="101"/>
        <v>0</v>
      </c>
      <c r="KD17" s="546" t="str">
        <f t="shared" si="102"/>
        <v>0</v>
      </c>
      <c r="KE17" s="544"/>
      <c r="KF17" s="546" t="str">
        <f t="shared" si="103"/>
        <v>0</v>
      </c>
      <c r="KG17" s="546" t="str">
        <f t="shared" si="104"/>
        <v>0</v>
      </c>
      <c r="KH17" s="544"/>
      <c r="KI17" s="546" t="str">
        <f t="shared" si="105"/>
        <v>0</v>
      </c>
      <c r="KJ17" s="546" t="str">
        <f t="shared" si="106"/>
        <v>0</v>
      </c>
      <c r="KK17" s="544"/>
      <c r="KL17" s="546" t="str">
        <f t="shared" si="107"/>
        <v>0</v>
      </c>
      <c r="KM17" s="546" t="str">
        <f t="shared" si="108"/>
        <v>0</v>
      </c>
      <c r="KN17" s="544"/>
      <c r="KO17" s="546" t="str">
        <f t="shared" si="109"/>
        <v>0</v>
      </c>
      <c r="KP17" s="546" t="str">
        <f t="shared" si="110"/>
        <v>0</v>
      </c>
      <c r="KQ17" s="546">
        <f t="shared" si="111"/>
        <v>0</v>
      </c>
      <c r="KR17" s="546">
        <f t="shared" si="198"/>
        <v>0</v>
      </c>
      <c r="KS17" s="265">
        <f t="shared" si="199"/>
        <v>2290.9889681594755</v>
      </c>
    </row>
    <row r="18" spans="1:305" ht="15" customHeight="1">
      <c r="A18" s="267">
        <f>+Report1!A18</f>
        <v>46001</v>
      </c>
      <c r="B18" s="268" t="str">
        <f>+Report1!B18</f>
        <v>Napkin</v>
      </c>
      <c r="C18" s="268" t="str">
        <f>+Report1!C18</f>
        <v>20</v>
      </c>
      <c r="D18" s="269">
        <f>+Report1!P18</f>
        <v>58.541999999999994</v>
      </c>
      <c r="E18" s="270">
        <f>+Report1!R18</f>
        <v>56.856000000000002</v>
      </c>
      <c r="F18" s="544">
        <v>0</v>
      </c>
      <c r="G18" s="545">
        <f t="shared" si="0"/>
        <v>0</v>
      </c>
      <c r="H18" s="546">
        <f t="shared" si="112"/>
        <v>0</v>
      </c>
      <c r="I18" s="544"/>
      <c r="J18" s="545">
        <f t="shared" si="1"/>
        <v>0</v>
      </c>
      <c r="K18" s="546">
        <f t="shared" si="113"/>
        <v>0</v>
      </c>
      <c r="L18" s="544"/>
      <c r="M18" s="545">
        <f t="shared" si="2"/>
        <v>0</v>
      </c>
      <c r="N18" s="546">
        <f t="shared" si="114"/>
        <v>0</v>
      </c>
      <c r="O18" s="544">
        <v>12.000000000000014</v>
      </c>
      <c r="P18" s="545">
        <f t="shared" si="3"/>
        <v>0.21105951878429741</v>
      </c>
      <c r="Q18" s="546">
        <f t="shared" si="115"/>
        <v>0</v>
      </c>
      <c r="R18" s="544"/>
      <c r="S18" s="545">
        <f t="shared" si="4"/>
        <v>0</v>
      </c>
      <c r="T18" s="546">
        <f t="shared" si="116"/>
        <v>0</v>
      </c>
      <c r="U18" s="544">
        <v>10.25</v>
      </c>
      <c r="V18" s="545">
        <f t="shared" si="5"/>
        <v>0.18028000562825383</v>
      </c>
      <c r="W18" s="546">
        <f t="shared" si="117"/>
        <v>0</v>
      </c>
      <c r="X18" s="544"/>
      <c r="Y18" s="545">
        <f t="shared" si="6"/>
        <v>0</v>
      </c>
      <c r="Z18" s="546">
        <f t="shared" si="118"/>
        <v>0</v>
      </c>
      <c r="AA18" s="544"/>
      <c r="AB18" s="545">
        <f t="shared" si="7"/>
        <v>0</v>
      </c>
      <c r="AC18" s="546">
        <f t="shared" si="119"/>
        <v>0</v>
      </c>
      <c r="AD18" s="544"/>
      <c r="AE18" s="545">
        <f t="shared" si="8"/>
        <v>0</v>
      </c>
      <c r="AF18" s="546">
        <f t="shared" si="120"/>
        <v>0</v>
      </c>
      <c r="AG18" s="544"/>
      <c r="AH18" s="545">
        <f t="shared" si="9"/>
        <v>0</v>
      </c>
      <c r="AI18" s="546">
        <f t="shared" si="121"/>
        <v>0</v>
      </c>
      <c r="AJ18" s="544"/>
      <c r="AK18" s="545">
        <f t="shared" si="10"/>
        <v>0</v>
      </c>
      <c r="AL18" s="546">
        <f t="shared" si="122"/>
        <v>0</v>
      </c>
      <c r="AM18" s="544">
        <v>36.794871794871767</v>
      </c>
      <c r="AN18" s="545">
        <f t="shared" si="11"/>
        <v>0.647158994562962</v>
      </c>
      <c r="AO18" s="546">
        <f t="shared" si="123"/>
        <v>0</v>
      </c>
      <c r="AP18" s="544"/>
      <c r="AQ18" s="545">
        <f t="shared" si="12"/>
        <v>0</v>
      </c>
      <c r="AR18" s="546">
        <f t="shared" si="124"/>
        <v>0</v>
      </c>
      <c r="AS18" s="544"/>
      <c r="AT18" s="545">
        <f t="shared" si="13"/>
        <v>0</v>
      </c>
      <c r="AU18" s="546">
        <f t="shared" si="125"/>
        <v>0</v>
      </c>
      <c r="AV18" s="544">
        <v>0</v>
      </c>
      <c r="AW18" s="545">
        <f t="shared" si="14"/>
        <v>0</v>
      </c>
      <c r="AX18" s="546">
        <f t="shared" si="126"/>
        <v>0</v>
      </c>
      <c r="AY18" s="544">
        <v>53.666666666666629</v>
      </c>
      <c r="AZ18" s="545">
        <f t="shared" si="15"/>
        <v>0.94390507011866165</v>
      </c>
      <c r="BA18" s="546">
        <f t="shared" si="127"/>
        <v>0</v>
      </c>
      <c r="BB18" s="544"/>
      <c r="BC18" s="545">
        <f t="shared" si="16"/>
        <v>0</v>
      </c>
      <c r="BD18" s="546">
        <f t="shared" si="128"/>
        <v>0</v>
      </c>
      <c r="BE18" s="544"/>
      <c r="BF18" s="545">
        <f t="shared" si="17"/>
        <v>0</v>
      </c>
      <c r="BG18" s="546">
        <f t="shared" si="129"/>
        <v>0</v>
      </c>
      <c r="BH18" s="544"/>
      <c r="BI18" s="545">
        <f t="shared" si="18"/>
        <v>0</v>
      </c>
      <c r="BJ18" s="546">
        <f t="shared" si="130"/>
        <v>0</v>
      </c>
      <c r="BK18" s="544"/>
      <c r="BL18" s="545">
        <f t="shared" si="19"/>
        <v>0</v>
      </c>
      <c r="BM18" s="546">
        <f t="shared" si="131"/>
        <v>0</v>
      </c>
      <c r="BN18" s="544"/>
      <c r="BO18" s="545">
        <f t="shared" si="20"/>
        <v>0</v>
      </c>
      <c r="BP18" s="546">
        <f t="shared" si="132"/>
        <v>0</v>
      </c>
      <c r="BQ18" s="544"/>
      <c r="BR18" s="545">
        <f t="shared" si="21"/>
        <v>0</v>
      </c>
      <c r="BS18" s="546">
        <f t="shared" si="133"/>
        <v>0</v>
      </c>
      <c r="BT18" s="544"/>
      <c r="BU18" s="545">
        <f t="shared" si="22"/>
        <v>0</v>
      </c>
      <c r="BV18" s="546">
        <f t="shared" si="134"/>
        <v>0</v>
      </c>
      <c r="BW18" s="544"/>
      <c r="BX18" s="545">
        <f t="shared" si="23"/>
        <v>0</v>
      </c>
      <c r="BY18" s="546">
        <f t="shared" si="135"/>
        <v>0</v>
      </c>
      <c r="BZ18" s="544">
        <v>0</v>
      </c>
      <c r="CA18" s="545">
        <f t="shared" si="24"/>
        <v>0</v>
      </c>
      <c r="CB18" s="546">
        <f t="shared" si="136"/>
        <v>0</v>
      </c>
      <c r="CC18" s="544"/>
      <c r="CD18" s="545">
        <f t="shared" si="25"/>
        <v>0</v>
      </c>
      <c r="CE18" s="546">
        <f t="shared" si="137"/>
        <v>0</v>
      </c>
      <c r="CF18" s="544">
        <v>0.80000000000000071</v>
      </c>
      <c r="CG18" s="545">
        <f t="shared" si="26"/>
        <v>1.4070634585619824E-2</v>
      </c>
      <c r="CH18" s="546">
        <f t="shared" si="138"/>
        <v>0</v>
      </c>
      <c r="CI18" s="544"/>
      <c r="CJ18" s="545">
        <f t="shared" si="27"/>
        <v>0</v>
      </c>
      <c r="CK18" s="546">
        <f t="shared" si="139"/>
        <v>0</v>
      </c>
      <c r="CL18" s="544"/>
      <c r="CM18" s="545">
        <f t="shared" si="28"/>
        <v>0</v>
      </c>
      <c r="CN18" s="546">
        <f t="shared" si="140"/>
        <v>0</v>
      </c>
      <c r="CO18" s="544"/>
      <c r="CP18" s="545">
        <f t="shared" si="29"/>
        <v>0</v>
      </c>
      <c r="CQ18" s="546">
        <f t="shared" si="141"/>
        <v>0</v>
      </c>
      <c r="CR18" s="544"/>
      <c r="CS18" s="545">
        <f t="shared" si="30"/>
        <v>0</v>
      </c>
      <c r="CT18" s="546">
        <f t="shared" si="142"/>
        <v>0</v>
      </c>
      <c r="CU18" s="544"/>
      <c r="CV18" s="545">
        <f t="shared" si="31"/>
        <v>0</v>
      </c>
      <c r="CW18" s="546">
        <f t="shared" si="143"/>
        <v>0</v>
      </c>
      <c r="CX18" s="544"/>
      <c r="CY18" s="545">
        <f t="shared" si="32"/>
        <v>0</v>
      </c>
      <c r="CZ18" s="546">
        <f t="shared" si="144"/>
        <v>0</v>
      </c>
      <c r="DA18" s="544">
        <v>0</v>
      </c>
      <c r="DB18" s="545">
        <f t="shared" si="33"/>
        <v>0</v>
      </c>
      <c r="DC18" s="546">
        <f t="shared" si="145"/>
        <v>0</v>
      </c>
      <c r="DD18" s="544"/>
      <c r="DE18" s="545">
        <f t="shared" si="34"/>
        <v>0</v>
      </c>
      <c r="DF18" s="546">
        <f t="shared" si="146"/>
        <v>0</v>
      </c>
      <c r="DG18" s="544"/>
      <c r="DH18" s="545">
        <f t="shared" si="35"/>
        <v>0</v>
      </c>
      <c r="DI18" s="546">
        <f t="shared" si="200"/>
        <v>0</v>
      </c>
      <c r="DJ18" s="544"/>
      <c r="DK18" s="545">
        <f t="shared" si="36"/>
        <v>0</v>
      </c>
      <c r="DL18" s="546">
        <f t="shared" si="147"/>
        <v>0</v>
      </c>
      <c r="DM18" s="544"/>
      <c r="DN18" s="545">
        <f t="shared" si="37"/>
        <v>0</v>
      </c>
      <c r="DO18" s="546">
        <f t="shared" si="148"/>
        <v>0</v>
      </c>
      <c r="DP18" s="544"/>
      <c r="DQ18" s="545">
        <f t="shared" si="38"/>
        <v>0</v>
      </c>
      <c r="DR18" s="546">
        <f t="shared" si="149"/>
        <v>0</v>
      </c>
      <c r="DS18" s="544"/>
      <c r="DT18" s="545">
        <f t="shared" si="39"/>
        <v>0</v>
      </c>
      <c r="DU18" s="546">
        <f t="shared" si="150"/>
        <v>0</v>
      </c>
      <c r="DV18" s="544"/>
      <c r="DW18" s="545">
        <f t="shared" si="40"/>
        <v>0</v>
      </c>
      <c r="DX18" s="546">
        <f t="shared" si="151"/>
        <v>0</v>
      </c>
      <c r="DY18" s="544"/>
      <c r="DZ18" s="545">
        <f t="shared" si="41"/>
        <v>0</v>
      </c>
      <c r="EA18" s="546">
        <f t="shared" si="152"/>
        <v>0</v>
      </c>
      <c r="EB18" s="544">
        <v>658.82352941176441</v>
      </c>
      <c r="EC18" s="545">
        <f t="shared" si="42"/>
        <v>11.587581423451605</v>
      </c>
      <c r="ED18" s="546">
        <f t="shared" si="153"/>
        <v>0</v>
      </c>
      <c r="EE18" s="544">
        <v>29.069767441860449</v>
      </c>
      <c r="EF18" s="545">
        <f t="shared" si="43"/>
        <v>0.51128759395420798</v>
      </c>
      <c r="EG18" s="546">
        <f t="shared" si="154"/>
        <v>0</v>
      </c>
      <c r="EH18" s="544">
        <v>1</v>
      </c>
      <c r="EI18" s="545">
        <f t="shared" si="44"/>
        <v>1.7588293232024765E-2</v>
      </c>
      <c r="EJ18" s="546">
        <f t="shared" si="155"/>
        <v>0</v>
      </c>
      <c r="EK18" s="544"/>
      <c r="EL18" s="545">
        <f t="shared" si="45"/>
        <v>0</v>
      </c>
      <c r="EM18" s="546">
        <f t="shared" si="156"/>
        <v>0</v>
      </c>
      <c r="EN18" s="544"/>
      <c r="EO18" s="545">
        <f t="shared" si="46"/>
        <v>0</v>
      </c>
      <c r="EP18" s="546">
        <f t="shared" si="157"/>
        <v>0</v>
      </c>
      <c r="EQ18" s="544"/>
      <c r="ER18" s="545">
        <f t="shared" si="47"/>
        <v>0</v>
      </c>
      <c r="ES18" s="546">
        <f t="shared" si="158"/>
        <v>0</v>
      </c>
      <c r="ET18" s="544"/>
      <c r="EU18" s="545">
        <f t="shared" si="48"/>
        <v>0</v>
      </c>
      <c r="EV18" s="546">
        <f t="shared" si="159"/>
        <v>0</v>
      </c>
      <c r="EW18" s="544"/>
      <c r="EX18" s="545">
        <f t="shared" si="49"/>
        <v>0</v>
      </c>
      <c r="EY18" s="546">
        <f t="shared" si="160"/>
        <v>0</v>
      </c>
      <c r="EZ18" s="544"/>
      <c r="FA18" s="545">
        <f t="shared" si="50"/>
        <v>0</v>
      </c>
      <c r="FB18" s="546">
        <f t="shared" si="161"/>
        <v>0</v>
      </c>
      <c r="FC18" s="544"/>
      <c r="FD18" s="545">
        <f t="shared" si="51"/>
        <v>0</v>
      </c>
      <c r="FE18" s="546">
        <f t="shared" si="162"/>
        <v>0</v>
      </c>
      <c r="FF18" s="544"/>
      <c r="FG18" s="545">
        <f t="shared" si="52"/>
        <v>0</v>
      </c>
      <c r="FH18" s="546">
        <f t="shared" si="163"/>
        <v>0</v>
      </c>
      <c r="FI18" s="544"/>
      <c r="FJ18" s="545">
        <f t="shared" si="53"/>
        <v>0</v>
      </c>
      <c r="FK18" s="546">
        <f t="shared" si="164"/>
        <v>0</v>
      </c>
      <c r="FL18" s="544"/>
      <c r="FM18" s="545">
        <f t="shared" si="54"/>
        <v>0</v>
      </c>
      <c r="FN18" s="546">
        <f t="shared" si="165"/>
        <v>0</v>
      </c>
      <c r="FO18" s="544"/>
      <c r="FP18" s="545">
        <f t="shared" si="55"/>
        <v>0</v>
      </c>
      <c r="FQ18" s="546">
        <f t="shared" si="166"/>
        <v>0</v>
      </c>
      <c r="FR18" s="544"/>
      <c r="FS18" s="545">
        <f t="shared" si="56"/>
        <v>0</v>
      </c>
      <c r="FT18" s="546">
        <f t="shared" si="167"/>
        <v>0</v>
      </c>
      <c r="FU18" s="544"/>
      <c r="FV18" s="545">
        <f t="shared" si="57"/>
        <v>0</v>
      </c>
      <c r="FW18" s="546">
        <f t="shared" si="168"/>
        <v>0</v>
      </c>
      <c r="FX18" s="544"/>
      <c r="FY18" s="545">
        <f t="shared" si="58"/>
        <v>0</v>
      </c>
      <c r="FZ18" s="546">
        <f t="shared" si="169"/>
        <v>0</v>
      </c>
      <c r="GA18" s="544"/>
      <c r="GB18" s="545">
        <f t="shared" si="59"/>
        <v>0</v>
      </c>
      <c r="GC18" s="546">
        <f t="shared" si="170"/>
        <v>0</v>
      </c>
      <c r="GD18" s="544"/>
      <c r="GE18" s="545">
        <f t="shared" si="60"/>
        <v>0</v>
      </c>
      <c r="GF18" s="546">
        <f t="shared" si="171"/>
        <v>0</v>
      </c>
      <c r="GG18" s="544">
        <v>13.368561432995058</v>
      </c>
      <c r="GH18" s="545">
        <f t="shared" si="61"/>
        <v>0.23513017857385426</v>
      </c>
      <c r="GI18" s="546">
        <f t="shared" si="172"/>
        <v>0</v>
      </c>
      <c r="GJ18" s="544">
        <v>13.368561432995058</v>
      </c>
      <c r="GK18" s="545">
        <f t="shared" si="62"/>
        <v>0.23513017857385426</v>
      </c>
      <c r="GL18" s="546">
        <f t="shared" si="173"/>
        <v>0</v>
      </c>
      <c r="GM18" s="544">
        <v>0</v>
      </c>
      <c r="GN18" s="545">
        <f t="shared" si="63"/>
        <v>0</v>
      </c>
      <c r="GO18" s="546">
        <f t="shared" si="174"/>
        <v>0</v>
      </c>
      <c r="GP18" s="544">
        <v>34.758259725787148</v>
      </c>
      <c r="GQ18" s="545">
        <f t="shared" si="64"/>
        <v>0.61133846429202099</v>
      </c>
      <c r="GR18" s="546">
        <f t="shared" si="175"/>
        <v>0</v>
      </c>
      <c r="GS18" s="544">
        <v>229.93925664751498</v>
      </c>
      <c r="GT18" s="545">
        <f t="shared" si="65"/>
        <v>4.0442390714702929</v>
      </c>
      <c r="GU18" s="546">
        <f t="shared" si="176"/>
        <v>0</v>
      </c>
      <c r="GV18" s="544">
        <v>26.737122865990116</v>
      </c>
      <c r="GW18" s="545">
        <f t="shared" si="66"/>
        <v>0.47026035714770853</v>
      </c>
      <c r="GX18" s="546">
        <f t="shared" si="177"/>
        <v>0</v>
      </c>
      <c r="GY18" s="544"/>
      <c r="GZ18" s="545">
        <f t="shared" si="67"/>
        <v>0</v>
      </c>
      <c r="HA18" s="546">
        <f t="shared" si="178"/>
        <v>0</v>
      </c>
      <c r="HB18" s="544"/>
      <c r="HC18" s="545">
        <f t="shared" si="68"/>
        <v>0</v>
      </c>
      <c r="HD18" s="546">
        <f t="shared" si="179"/>
        <v>0</v>
      </c>
      <c r="HE18" s="544"/>
      <c r="HF18" s="545">
        <f t="shared" si="69"/>
        <v>0</v>
      </c>
      <c r="HG18" s="546">
        <f t="shared" si="180"/>
        <v>0</v>
      </c>
      <c r="HH18" s="544"/>
      <c r="HI18" s="545">
        <f t="shared" si="70"/>
        <v>0</v>
      </c>
      <c r="HJ18" s="546">
        <f t="shared" si="181"/>
        <v>0</v>
      </c>
      <c r="HK18" s="544"/>
      <c r="HL18" s="545">
        <f t="shared" si="71"/>
        <v>0</v>
      </c>
      <c r="HM18" s="546">
        <f t="shared" si="182"/>
        <v>0</v>
      </c>
      <c r="HN18" s="544">
        <v>968.95333266348177</v>
      </c>
      <c r="HO18" s="545">
        <f t="shared" si="72"/>
        <v>17.042235343032957</v>
      </c>
      <c r="HP18" s="546">
        <f t="shared" si="183"/>
        <v>0</v>
      </c>
      <c r="HQ18" s="544"/>
      <c r="HR18" s="545">
        <f t="shared" si="73"/>
        <v>0</v>
      </c>
      <c r="HS18" s="546">
        <f t="shared" si="184"/>
        <v>0</v>
      </c>
      <c r="HT18" s="544">
        <v>0</v>
      </c>
      <c r="HU18" s="545">
        <f t="shared" si="74"/>
        <v>0</v>
      </c>
      <c r="HV18" s="546">
        <f t="shared" si="185"/>
        <v>0</v>
      </c>
      <c r="HW18" s="544">
        <v>0</v>
      </c>
      <c r="HX18" s="545">
        <f t="shared" si="75"/>
        <v>0</v>
      </c>
      <c r="HY18" s="546">
        <f t="shared" si="186"/>
        <v>0</v>
      </c>
      <c r="HZ18" s="544">
        <v>0</v>
      </c>
      <c r="IA18" s="545">
        <f t="shared" si="76"/>
        <v>0</v>
      </c>
      <c r="IB18" s="546">
        <f t="shared" si="187"/>
        <v>0</v>
      </c>
      <c r="IC18" s="544">
        <v>0</v>
      </c>
      <c r="ID18" s="545">
        <f t="shared" si="77"/>
        <v>0</v>
      </c>
      <c r="IE18" s="546">
        <f t="shared" si="188"/>
        <v>0</v>
      </c>
      <c r="IF18" s="544">
        <v>26.737122865990116</v>
      </c>
      <c r="IG18" s="545">
        <f t="shared" si="78"/>
        <v>0.47026035714770853</v>
      </c>
      <c r="IH18" s="546">
        <f t="shared" si="189"/>
        <v>0</v>
      </c>
      <c r="II18" s="544"/>
      <c r="IJ18" s="545">
        <f t="shared" si="79"/>
        <v>0</v>
      </c>
      <c r="IK18" s="546">
        <f t="shared" si="190"/>
        <v>0</v>
      </c>
      <c r="IL18" s="544"/>
      <c r="IM18" s="545">
        <f t="shared" si="80"/>
        <v>0</v>
      </c>
      <c r="IN18" s="546">
        <f t="shared" si="191"/>
        <v>0</v>
      </c>
      <c r="IO18" s="544">
        <v>64.169094878376271</v>
      </c>
      <c r="IP18" s="545">
        <f t="shared" si="81"/>
        <v>1.1286248571545003</v>
      </c>
      <c r="IQ18" s="546">
        <f t="shared" si="192"/>
        <v>0</v>
      </c>
      <c r="IR18" s="544">
        <v>0</v>
      </c>
      <c r="IS18" s="545">
        <f t="shared" si="82"/>
        <v>0</v>
      </c>
      <c r="IT18" s="546">
        <f t="shared" si="193"/>
        <v>0</v>
      </c>
      <c r="IU18" s="544"/>
      <c r="IV18" s="545">
        <f t="shared" si="83"/>
        <v>0</v>
      </c>
      <c r="IW18" s="546">
        <f t="shared" si="194"/>
        <v>0</v>
      </c>
      <c r="IX18" s="544">
        <v>0</v>
      </c>
      <c r="IY18" s="545">
        <f t="shared" si="84"/>
        <v>0</v>
      </c>
      <c r="IZ18" s="546">
        <f t="shared" si="195"/>
        <v>0</v>
      </c>
      <c r="JA18" s="544"/>
      <c r="JB18" s="545">
        <f t="shared" si="85"/>
        <v>0</v>
      </c>
      <c r="JC18" s="546">
        <f t="shared" si="196"/>
        <v>0</v>
      </c>
      <c r="JD18" s="544"/>
      <c r="JE18" s="545">
        <f t="shared" si="86"/>
        <v>0</v>
      </c>
      <c r="JF18" s="546">
        <f t="shared" si="197"/>
        <v>0</v>
      </c>
      <c r="JG18" s="544">
        <v>26.737122865990116</v>
      </c>
      <c r="JH18" s="546" t="str">
        <f t="shared" si="87"/>
        <v>0</v>
      </c>
      <c r="JI18" s="546" t="str">
        <f t="shared" si="88"/>
        <v>0</v>
      </c>
      <c r="JJ18" s="544">
        <v>0</v>
      </c>
      <c r="JK18" s="546" t="str">
        <f t="shared" si="89"/>
        <v>0</v>
      </c>
      <c r="JL18" s="546" t="str">
        <f t="shared" si="90"/>
        <v>0</v>
      </c>
      <c r="JM18" s="544">
        <v>0</v>
      </c>
      <c r="JN18" s="546" t="str">
        <f t="shared" si="91"/>
        <v>0</v>
      </c>
      <c r="JO18" s="546" t="str">
        <f t="shared" si="92"/>
        <v>0</v>
      </c>
      <c r="JP18" s="544"/>
      <c r="JQ18" s="546" t="str">
        <f t="shared" si="93"/>
        <v>0</v>
      </c>
      <c r="JR18" s="546" t="str">
        <f t="shared" si="94"/>
        <v>0</v>
      </c>
      <c r="JS18" s="544"/>
      <c r="JT18" s="546" t="str">
        <f t="shared" si="95"/>
        <v>0</v>
      </c>
      <c r="JU18" s="546" t="str">
        <f t="shared" si="96"/>
        <v>0</v>
      </c>
      <c r="JV18" s="544"/>
      <c r="JW18" s="546" t="str">
        <f t="shared" si="97"/>
        <v>0</v>
      </c>
      <c r="JX18" s="546" t="str">
        <f t="shared" si="98"/>
        <v>0</v>
      </c>
      <c r="JY18" s="544"/>
      <c r="JZ18" s="546" t="str">
        <f t="shared" si="99"/>
        <v>0</v>
      </c>
      <c r="KA18" s="546" t="str">
        <f t="shared" si="100"/>
        <v>0</v>
      </c>
      <c r="KB18" s="544"/>
      <c r="KC18" s="546" t="str">
        <f t="shared" si="101"/>
        <v>0</v>
      </c>
      <c r="KD18" s="546" t="str">
        <f t="shared" si="102"/>
        <v>0</v>
      </c>
      <c r="KE18" s="544"/>
      <c r="KF18" s="546" t="str">
        <f t="shared" si="103"/>
        <v>0</v>
      </c>
      <c r="KG18" s="546" t="str">
        <f t="shared" si="104"/>
        <v>0</v>
      </c>
      <c r="KH18" s="544"/>
      <c r="KI18" s="546" t="str">
        <f t="shared" si="105"/>
        <v>0</v>
      </c>
      <c r="KJ18" s="546" t="str">
        <f t="shared" si="106"/>
        <v>0</v>
      </c>
      <c r="KK18" s="544"/>
      <c r="KL18" s="546" t="str">
        <f t="shared" si="107"/>
        <v>0</v>
      </c>
      <c r="KM18" s="546" t="str">
        <f t="shared" si="108"/>
        <v>0</v>
      </c>
      <c r="KN18" s="544"/>
      <c r="KO18" s="546" t="str">
        <f t="shared" si="109"/>
        <v>0</v>
      </c>
      <c r="KP18" s="546" t="str">
        <f t="shared" si="110"/>
        <v>0</v>
      </c>
      <c r="KQ18" s="546">
        <f t="shared" si="111"/>
        <v>0</v>
      </c>
      <c r="KR18" s="546">
        <f t="shared" si="198"/>
        <v>0</v>
      </c>
      <c r="KS18" s="265">
        <f t="shared" si="199"/>
        <v>2207.173270694283</v>
      </c>
    </row>
    <row r="19" spans="1:305" ht="15" customHeight="1">
      <c r="A19" s="267">
        <f>+Report1!A19</f>
        <v>46002</v>
      </c>
      <c r="B19" s="268" t="str">
        <f>+Report1!B19</f>
        <v>Napkin</v>
      </c>
      <c r="C19" s="268" t="str">
        <f>+Report1!C19</f>
        <v>20</v>
      </c>
      <c r="D19" s="269">
        <f>+Report1!P19</f>
        <v>49.566000000000003</v>
      </c>
      <c r="E19" s="270">
        <f>+Report1!R19</f>
        <v>47.02</v>
      </c>
      <c r="F19" s="544">
        <v>0</v>
      </c>
      <c r="G19" s="545">
        <f t="shared" si="0"/>
        <v>0</v>
      </c>
      <c r="H19" s="546">
        <f t="shared" si="112"/>
        <v>0</v>
      </c>
      <c r="I19" s="544"/>
      <c r="J19" s="545">
        <f t="shared" si="1"/>
        <v>0</v>
      </c>
      <c r="K19" s="546">
        <f t="shared" si="113"/>
        <v>0</v>
      </c>
      <c r="L19" s="544"/>
      <c r="M19" s="545">
        <f t="shared" si="2"/>
        <v>0</v>
      </c>
      <c r="N19" s="546">
        <f t="shared" si="114"/>
        <v>0</v>
      </c>
      <c r="O19" s="544">
        <v>11.999999999999986</v>
      </c>
      <c r="P19" s="545">
        <f t="shared" si="3"/>
        <v>0.2552105487026794</v>
      </c>
      <c r="Q19" s="546">
        <f t="shared" si="115"/>
        <v>0</v>
      </c>
      <c r="R19" s="544"/>
      <c r="S19" s="545">
        <f t="shared" si="4"/>
        <v>0</v>
      </c>
      <c r="T19" s="546">
        <f t="shared" si="116"/>
        <v>0</v>
      </c>
      <c r="U19" s="544">
        <v>10.249999999999972</v>
      </c>
      <c r="V19" s="545">
        <f t="shared" si="5"/>
        <v>0.21799234368353831</v>
      </c>
      <c r="W19" s="546">
        <f t="shared" si="117"/>
        <v>0</v>
      </c>
      <c r="X19" s="544"/>
      <c r="Y19" s="545">
        <f t="shared" si="6"/>
        <v>0</v>
      </c>
      <c r="Z19" s="546">
        <f t="shared" si="118"/>
        <v>0</v>
      </c>
      <c r="AA19" s="544"/>
      <c r="AB19" s="545">
        <f t="shared" si="7"/>
        <v>0</v>
      </c>
      <c r="AC19" s="546">
        <f t="shared" si="119"/>
        <v>0</v>
      </c>
      <c r="AD19" s="544"/>
      <c r="AE19" s="545">
        <f t="shared" si="8"/>
        <v>0</v>
      </c>
      <c r="AF19" s="546">
        <f t="shared" si="120"/>
        <v>0</v>
      </c>
      <c r="AG19" s="544"/>
      <c r="AH19" s="545">
        <f t="shared" si="9"/>
        <v>0</v>
      </c>
      <c r="AI19" s="546">
        <f t="shared" si="121"/>
        <v>0</v>
      </c>
      <c r="AJ19" s="544"/>
      <c r="AK19" s="545">
        <f t="shared" si="10"/>
        <v>0</v>
      </c>
      <c r="AL19" s="546">
        <f t="shared" si="122"/>
        <v>0</v>
      </c>
      <c r="AM19" s="544">
        <v>23.653846153846146</v>
      </c>
      <c r="AN19" s="545">
        <f t="shared" si="11"/>
        <v>0.50305925465432044</v>
      </c>
      <c r="AO19" s="546">
        <f t="shared" si="123"/>
        <v>0</v>
      </c>
      <c r="AP19" s="544"/>
      <c r="AQ19" s="545">
        <f t="shared" si="12"/>
        <v>0</v>
      </c>
      <c r="AR19" s="546">
        <f t="shared" si="124"/>
        <v>0</v>
      </c>
      <c r="AS19" s="544"/>
      <c r="AT19" s="545">
        <f t="shared" si="13"/>
        <v>0</v>
      </c>
      <c r="AU19" s="546">
        <f t="shared" si="125"/>
        <v>0</v>
      </c>
      <c r="AV19" s="544">
        <v>0</v>
      </c>
      <c r="AW19" s="545">
        <f t="shared" si="14"/>
        <v>0</v>
      </c>
      <c r="AX19" s="546">
        <f t="shared" si="126"/>
        <v>0</v>
      </c>
      <c r="AY19" s="544">
        <v>44.333333333333314</v>
      </c>
      <c r="AZ19" s="545">
        <f t="shared" si="15"/>
        <v>0.94286119381823286</v>
      </c>
      <c r="BA19" s="546">
        <f t="shared" si="127"/>
        <v>0</v>
      </c>
      <c r="BB19" s="544"/>
      <c r="BC19" s="545">
        <f t="shared" si="16"/>
        <v>0</v>
      </c>
      <c r="BD19" s="546">
        <f t="shared" si="128"/>
        <v>0</v>
      </c>
      <c r="BE19" s="544"/>
      <c r="BF19" s="545">
        <f t="shared" si="17"/>
        <v>0</v>
      </c>
      <c r="BG19" s="546">
        <f t="shared" si="129"/>
        <v>0</v>
      </c>
      <c r="BH19" s="544"/>
      <c r="BI19" s="545">
        <f t="shared" si="18"/>
        <v>0</v>
      </c>
      <c r="BJ19" s="546">
        <f t="shared" si="130"/>
        <v>0</v>
      </c>
      <c r="BK19" s="544"/>
      <c r="BL19" s="545">
        <f t="shared" si="19"/>
        <v>0</v>
      </c>
      <c r="BM19" s="546">
        <f t="shared" si="131"/>
        <v>0</v>
      </c>
      <c r="BN19" s="544"/>
      <c r="BO19" s="545">
        <f t="shared" si="20"/>
        <v>0</v>
      </c>
      <c r="BP19" s="546">
        <f t="shared" si="132"/>
        <v>0</v>
      </c>
      <c r="BQ19" s="544"/>
      <c r="BR19" s="545">
        <f t="shared" si="21"/>
        <v>0</v>
      </c>
      <c r="BS19" s="546">
        <f t="shared" si="133"/>
        <v>0</v>
      </c>
      <c r="BT19" s="544"/>
      <c r="BU19" s="545">
        <f t="shared" si="22"/>
        <v>0</v>
      </c>
      <c r="BV19" s="546">
        <f t="shared" si="134"/>
        <v>0</v>
      </c>
      <c r="BW19" s="544"/>
      <c r="BX19" s="545">
        <f t="shared" si="23"/>
        <v>0</v>
      </c>
      <c r="BY19" s="546">
        <f t="shared" si="135"/>
        <v>0</v>
      </c>
      <c r="BZ19" s="544">
        <v>0</v>
      </c>
      <c r="CA19" s="545">
        <f t="shared" si="24"/>
        <v>0</v>
      </c>
      <c r="CB19" s="546">
        <f t="shared" si="136"/>
        <v>0</v>
      </c>
      <c r="CC19" s="544">
        <v>12.5</v>
      </c>
      <c r="CD19" s="545">
        <f t="shared" si="25"/>
        <v>0.26584432156529136</v>
      </c>
      <c r="CE19" s="546">
        <f t="shared" si="137"/>
        <v>0</v>
      </c>
      <c r="CF19" s="544">
        <v>1.1999999999999997</v>
      </c>
      <c r="CG19" s="545">
        <f t="shared" si="26"/>
        <v>2.5521054870267963E-2</v>
      </c>
      <c r="CH19" s="546">
        <f t="shared" si="138"/>
        <v>0</v>
      </c>
      <c r="CI19" s="544"/>
      <c r="CJ19" s="545">
        <f t="shared" si="27"/>
        <v>0</v>
      </c>
      <c r="CK19" s="546">
        <f t="shared" si="139"/>
        <v>0</v>
      </c>
      <c r="CL19" s="544"/>
      <c r="CM19" s="545">
        <f t="shared" si="28"/>
        <v>0</v>
      </c>
      <c r="CN19" s="546">
        <f t="shared" si="140"/>
        <v>0</v>
      </c>
      <c r="CO19" s="544"/>
      <c r="CP19" s="545">
        <f t="shared" si="29"/>
        <v>0</v>
      </c>
      <c r="CQ19" s="546">
        <f t="shared" si="141"/>
        <v>0</v>
      </c>
      <c r="CR19" s="544"/>
      <c r="CS19" s="545">
        <f t="shared" si="30"/>
        <v>0</v>
      </c>
      <c r="CT19" s="546">
        <f t="shared" si="142"/>
        <v>0</v>
      </c>
      <c r="CU19" s="544"/>
      <c r="CV19" s="545">
        <f t="shared" si="31"/>
        <v>0</v>
      </c>
      <c r="CW19" s="546">
        <f t="shared" si="143"/>
        <v>0</v>
      </c>
      <c r="CX19" s="544"/>
      <c r="CY19" s="545">
        <f t="shared" si="32"/>
        <v>0</v>
      </c>
      <c r="CZ19" s="546">
        <f t="shared" si="144"/>
        <v>0</v>
      </c>
      <c r="DA19" s="544">
        <v>0</v>
      </c>
      <c r="DB19" s="545">
        <f t="shared" si="33"/>
        <v>0</v>
      </c>
      <c r="DC19" s="546">
        <f t="shared" si="145"/>
        <v>0</v>
      </c>
      <c r="DD19" s="544"/>
      <c r="DE19" s="545">
        <f t="shared" si="34"/>
        <v>0</v>
      </c>
      <c r="DF19" s="546">
        <f t="shared" si="146"/>
        <v>0</v>
      </c>
      <c r="DG19" s="544"/>
      <c r="DH19" s="545">
        <f t="shared" si="35"/>
        <v>0</v>
      </c>
      <c r="DI19" s="546">
        <f t="shared" si="200"/>
        <v>0</v>
      </c>
      <c r="DJ19" s="544"/>
      <c r="DK19" s="545">
        <f t="shared" si="36"/>
        <v>0</v>
      </c>
      <c r="DL19" s="546">
        <f t="shared" si="147"/>
        <v>0</v>
      </c>
      <c r="DM19" s="544"/>
      <c r="DN19" s="545">
        <f t="shared" si="37"/>
        <v>0</v>
      </c>
      <c r="DO19" s="546">
        <f t="shared" si="148"/>
        <v>0</v>
      </c>
      <c r="DP19" s="544"/>
      <c r="DQ19" s="545">
        <f t="shared" si="38"/>
        <v>0</v>
      </c>
      <c r="DR19" s="546">
        <f t="shared" si="149"/>
        <v>0</v>
      </c>
      <c r="DS19" s="544"/>
      <c r="DT19" s="545">
        <f t="shared" si="39"/>
        <v>0</v>
      </c>
      <c r="DU19" s="546">
        <f t="shared" si="150"/>
        <v>0</v>
      </c>
      <c r="DV19" s="544"/>
      <c r="DW19" s="545">
        <f t="shared" si="40"/>
        <v>0</v>
      </c>
      <c r="DX19" s="546">
        <f t="shared" si="151"/>
        <v>0</v>
      </c>
      <c r="DY19" s="544">
        <v>103.51807228915662</v>
      </c>
      <c r="DZ19" s="545">
        <f t="shared" si="41"/>
        <v>2.2015753357966101</v>
      </c>
      <c r="EA19" s="546">
        <f t="shared" si="152"/>
        <v>0</v>
      </c>
      <c r="EB19" s="544">
        <v>529.41176470588221</v>
      </c>
      <c r="EC19" s="545">
        <f t="shared" si="42"/>
        <v>11.259288913353513</v>
      </c>
      <c r="ED19" s="546">
        <f t="shared" si="153"/>
        <v>0</v>
      </c>
      <c r="EE19" s="544">
        <v>29.069767441860449</v>
      </c>
      <c r="EF19" s="545">
        <f t="shared" si="43"/>
        <v>0.6182426082913749</v>
      </c>
      <c r="EG19" s="546">
        <f t="shared" si="154"/>
        <v>0</v>
      </c>
      <c r="EH19" s="544">
        <v>1</v>
      </c>
      <c r="EI19" s="545">
        <f t="shared" si="44"/>
        <v>2.1267545725223307E-2</v>
      </c>
      <c r="EJ19" s="546">
        <f t="shared" si="155"/>
        <v>0</v>
      </c>
      <c r="EK19" s="544"/>
      <c r="EL19" s="545">
        <f t="shared" si="45"/>
        <v>0</v>
      </c>
      <c r="EM19" s="546">
        <f t="shared" si="156"/>
        <v>0</v>
      </c>
      <c r="EN19" s="544"/>
      <c r="EO19" s="545">
        <f t="shared" si="46"/>
        <v>0</v>
      </c>
      <c r="EP19" s="546">
        <f t="shared" si="157"/>
        <v>0</v>
      </c>
      <c r="EQ19" s="544"/>
      <c r="ER19" s="545">
        <f t="shared" si="47"/>
        <v>0</v>
      </c>
      <c r="ES19" s="546">
        <f t="shared" si="158"/>
        <v>0</v>
      </c>
      <c r="ET19" s="544"/>
      <c r="EU19" s="545">
        <f t="shared" si="48"/>
        <v>0</v>
      </c>
      <c r="EV19" s="546">
        <f t="shared" si="159"/>
        <v>0</v>
      </c>
      <c r="EW19" s="544"/>
      <c r="EX19" s="545">
        <f t="shared" si="49"/>
        <v>0</v>
      </c>
      <c r="EY19" s="546">
        <f t="shared" si="160"/>
        <v>0</v>
      </c>
      <c r="EZ19" s="544"/>
      <c r="FA19" s="545">
        <f t="shared" si="50"/>
        <v>0</v>
      </c>
      <c r="FB19" s="546">
        <f t="shared" si="161"/>
        <v>0</v>
      </c>
      <c r="FC19" s="544"/>
      <c r="FD19" s="545">
        <f t="shared" si="51"/>
        <v>0</v>
      </c>
      <c r="FE19" s="546">
        <f t="shared" si="162"/>
        <v>0</v>
      </c>
      <c r="FF19" s="544"/>
      <c r="FG19" s="545">
        <f t="shared" si="52"/>
        <v>0</v>
      </c>
      <c r="FH19" s="546">
        <f t="shared" si="163"/>
        <v>0</v>
      </c>
      <c r="FI19" s="544"/>
      <c r="FJ19" s="545">
        <f t="shared" si="53"/>
        <v>0</v>
      </c>
      <c r="FK19" s="546">
        <f t="shared" si="164"/>
        <v>0</v>
      </c>
      <c r="FL19" s="544"/>
      <c r="FM19" s="545">
        <f t="shared" si="54"/>
        <v>0</v>
      </c>
      <c r="FN19" s="546">
        <f t="shared" si="165"/>
        <v>0</v>
      </c>
      <c r="FO19" s="544"/>
      <c r="FP19" s="545">
        <f t="shared" si="55"/>
        <v>0</v>
      </c>
      <c r="FQ19" s="546">
        <f t="shared" si="166"/>
        <v>0</v>
      </c>
      <c r="FR19" s="544"/>
      <c r="FS19" s="545">
        <f t="shared" si="56"/>
        <v>0</v>
      </c>
      <c r="FT19" s="546">
        <f t="shared" si="167"/>
        <v>0</v>
      </c>
      <c r="FU19" s="544"/>
      <c r="FV19" s="545">
        <f t="shared" si="57"/>
        <v>0</v>
      </c>
      <c r="FW19" s="546">
        <f t="shared" si="168"/>
        <v>0</v>
      </c>
      <c r="FX19" s="544"/>
      <c r="FY19" s="545">
        <f t="shared" si="58"/>
        <v>0</v>
      </c>
      <c r="FZ19" s="546">
        <f t="shared" si="169"/>
        <v>0</v>
      </c>
      <c r="GA19" s="544"/>
      <c r="GB19" s="545">
        <f t="shared" si="59"/>
        <v>0</v>
      </c>
      <c r="GC19" s="546">
        <f t="shared" si="170"/>
        <v>0</v>
      </c>
      <c r="GD19" s="544"/>
      <c r="GE19" s="545">
        <f t="shared" si="60"/>
        <v>0</v>
      </c>
      <c r="GF19" s="546">
        <f t="shared" si="171"/>
        <v>0</v>
      </c>
      <c r="GG19" s="544">
        <v>12.951388525978031</v>
      </c>
      <c r="GH19" s="545">
        <f t="shared" si="61"/>
        <v>0.27544424768137027</v>
      </c>
      <c r="GI19" s="546">
        <f t="shared" si="172"/>
        <v>0</v>
      </c>
      <c r="GJ19" s="544">
        <v>12.951388525978031</v>
      </c>
      <c r="GK19" s="545">
        <f t="shared" si="62"/>
        <v>0.27544424768137027</v>
      </c>
      <c r="GL19" s="546">
        <f t="shared" si="173"/>
        <v>0</v>
      </c>
      <c r="GM19" s="544">
        <v>0</v>
      </c>
      <c r="GN19" s="545">
        <f t="shared" si="63"/>
        <v>0</v>
      </c>
      <c r="GO19" s="546">
        <f t="shared" si="174"/>
        <v>0</v>
      </c>
      <c r="GP19" s="544">
        <v>33.673610167542876</v>
      </c>
      <c r="GQ19" s="545">
        <f t="shared" si="64"/>
        <v>0.7161550439715626</v>
      </c>
      <c r="GR19" s="546">
        <f t="shared" si="175"/>
        <v>0</v>
      </c>
      <c r="GS19" s="544">
        <v>222.76388264682211</v>
      </c>
      <c r="GT19" s="545">
        <f t="shared" si="65"/>
        <v>4.737641060119568</v>
      </c>
      <c r="GU19" s="546">
        <f t="shared" si="176"/>
        <v>0</v>
      </c>
      <c r="GV19" s="544">
        <v>25.902777051956061</v>
      </c>
      <c r="GW19" s="545">
        <f t="shared" si="66"/>
        <v>0.55088849536274054</v>
      </c>
      <c r="GX19" s="546">
        <f t="shared" si="177"/>
        <v>0</v>
      </c>
      <c r="GY19" s="544"/>
      <c r="GZ19" s="545">
        <f t="shared" si="67"/>
        <v>0</v>
      </c>
      <c r="HA19" s="546">
        <f t="shared" si="178"/>
        <v>0</v>
      </c>
      <c r="HB19" s="544"/>
      <c r="HC19" s="545">
        <f t="shared" si="68"/>
        <v>0</v>
      </c>
      <c r="HD19" s="546">
        <f t="shared" si="179"/>
        <v>0</v>
      </c>
      <c r="HE19" s="544"/>
      <c r="HF19" s="545">
        <f t="shared" si="69"/>
        <v>0</v>
      </c>
      <c r="HG19" s="546">
        <f t="shared" si="180"/>
        <v>0</v>
      </c>
      <c r="HH19" s="544"/>
      <c r="HI19" s="545">
        <f t="shared" si="70"/>
        <v>0</v>
      </c>
      <c r="HJ19" s="546">
        <f t="shared" si="181"/>
        <v>0</v>
      </c>
      <c r="HK19" s="544"/>
      <c r="HL19" s="545">
        <f t="shared" si="71"/>
        <v>0</v>
      </c>
      <c r="HM19" s="546">
        <f t="shared" si="182"/>
        <v>0</v>
      </c>
      <c r="HN19" s="544">
        <v>938.71664036288769</v>
      </c>
      <c r="HO19" s="545">
        <f t="shared" si="72"/>
        <v>19.964199071945718</v>
      </c>
      <c r="HP19" s="546">
        <f t="shared" si="183"/>
        <v>0</v>
      </c>
      <c r="HQ19" s="544"/>
      <c r="HR19" s="545">
        <f t="shared" si="73"/>
        <v>0</v>
      </c>
      <c r="HS19" s="546">
        <f t="shared" si="184"/>
        <v>0</v>
      </c>
      <c r="HT19" s="544">
        <v>0</v>
      </c>
      <c r="HU19" s="545">
        <f t="shared" si="74"/>
        <v>0</v>
      </c>
      <c r="HV19" s="546">
        <f t="shared" si="185"/>
        <v>0</v>
      </c>
      <c r="HW19" s="544">
        <v>0</v>
      </c>
      <c r="HX19" s="545">
        <f t="shared" si="75"/>
        <v>0</v>
      </c>
      <c r="HY19" s="546">
        <f t="shared" si="186"/>
        <v>0</v>
      </c>
      <c r="HZ19" s="544">
        <v>0</v>
      </c>
      <c r="IA19" s="545">
        <f t="shared" si="76"/>
        <v>0</v>
      </c>
      <c r="IB19" s="546">
        <f t="shared" si="187"/>
        <v>0</v>
      </c>
      <c r="IC19" s="544">
        <v>0</v>
      </c>
      <c r="ID19" s="545">
        <f t="shared" si="77"/>
        <v>0</v>
      </c>
      <c r="IE19" s="546">
        <f t="shared" si="188"/>
        <v>0</v>
      </c>
      <c r="IF19" s="544">
        <v>25.902777051956061</v>
      </c>
      <c r="IG19" s="545">
        <f t="shared" si="78"/>
        <v>0.55088849536274054</v>
      </c>
      <c r="IH19" s="546">
        <f t="shared" si="189"/>
        <v>0</v>
      </c>
      <c r="II19" s="544"/>
      <c r="IJ19" s="545">
        <f t="shared" si="79"/>
        <v>0</v>
      </c>
      <c r="IK19" s="546">
        <f t="shared" si="190"/>
        <v>0</v>
      </c>
      <c r="IL19" s="544"/>
      <c r="IM19" s="545">
        <f t="shared" si="80"/>
        <v>0</v>
      </c>
      <c r="IN19" s="546">
        <f t="shared" si="191"/>
        <v>0</v>
      </c>
      <c r="IO19" s="544">
        <v>62.166664924694544</v>
      </c>
      <c r="IP19" s="545">
        <f t="shared" si="81"/>
        <v>1.3221323888705772</v>
      </c>
      <c r="IQ19" s="546">
        <f t="shared" si="192"/>
        <v>0</v>
      </c>
      <c r="IR19" s="544">
        <v>0</v>
      </c>
      <c r="IS19" s="545">
        <f t="shared" si="82"/>
        <v>0</v>
      </c>
      <c r="IT19" s="546">
        <f t="shared" si="193"/>
        <v>0</v>
      </c>
      <c r="IU19" s="544"/>
      <c r="IV19" s="545">
        <f t="shared" si="83"/>
        <v>0</v>
      </c>
      <c r="IW19" s="546">
        <f t="shared" si="194"/>
        <v>0</v>
      </c>
      <c r="IX19" s="544">
        <v>0</v>
      </c>
      <c r="IY19" s="545">
        <f t="shared" si="84"/>
        <v>0</v>
      </c>
      <c r="IZ19" s="546">
        <f t="shared" si="195"/>
        <v>0</v>
      </c>
      <c r="JA19" s="544"/>
      <c r="JB19" s="545">
        <f t="shared" si="85"/>
        <v>0</v>
      </c>
      <c r="JC19" s="546">
        <f t="shared" si="196"/>
        <v>0</v>
      </c>
      <c r="JD19" s="544"/>
      <c r="JE19" s="545">
        <f t="shared" si="86"/>
        <v>0</v>
      </c>
      <c r="JF19" s="546">
        <f t="shared" si="197"/>
        <v>0</v>
      </c>
      <c r="JG19" s="544">
        <v>25.902777051956061</v>
      </c>
      <c r="JH19" s="546" t="str">
        <f t="shared" si="87"/>
        <v>0</v>
      </c>
      <c r="JI19" s="546" t="str">
        <f t="shared" si="88"/>
        <v>0</v>
      </c>
      <c r="JJ19" s="544">
        <v>0</v>
      </c>
      <c r="JK19" s="546" t="str">
        <f t="shared" si="89"/>
        <v>0</v>
      </c>
      <c r="JL19" s="546" t="str">
        <f t="shared" si="90"/>
        <v>0</v>
      </c>
      <c r="JM19" s="544">
        <v>0</v>
      </c>
      <c r="JN19" s="546" t="str">
        <f t="shared" si="91"/>
        <v>0</v>
      </c>
      <c r="JO19" s="546" t="str">
        <f t="shared" si="92"/>
        <v>0</v>
      </c>
      <c r="JP19" s="544"/>
      <c r="JQ19" s="546" t="str">
        <f t="shared" si="93"/>
        <v>0</v>
      </c>
      <c r="JR19" s="546" t="str">
        <f t="shared" si="94"/>
        <v>0</v>
      </c>
      <c r="JS19" s="544"/>
      <c r="JT19" s="546" t="str">
        <f t="shared" si="95"/>
        <v>0</v>
      </c>
      <c r="JU19" s="546" t="str">
        <f t="shared" si="96"/>
        <v>0</v>
      </c>
      <c r="JV19" s="544"/>
      <c r="JW19" s="546" t="str">
        <f t="shared" si="97"/>
        <v>0</v>
      </c>
      <c r="JX19" s="546" t="str">
        <f t="shared" si="98"/>
        <v>0</v>
      </c>
      <c r="JY19" s="544"/>
      <c r="JZ19" s="546" t="str">
        <f t="shared" si="99"/>
        <v>0</v>
      </c>
      <c r="KA19" s="546" t="str">
        <f t="shared" si="100"/>
        <v>0</v>
      </c>
      <c r="KB19" s="544"/>
      <c r="KC19" s="546" t="str">
        <f t="shared" si="101"/>
        <v>0</v>
      </c>
      <c r="KD19" s="546" t="str">
        <f t="shared" si="102"/>
        <v>0</v>
      </c>
      <c r="KE19" s="544"/>
      <c r="KF19" s="546" t="str">
        <f t="shared" si="103"/>
        <v>0</v>
      </c>
      <c r="KG19" s="546" t="str">
        <f t="shared" si="104"/>
        <v>0</v>
      </c>
      <c r="KH19" s="544"/>
      <c r="KI19" s="546" t="str">
        <f t="shared" si="105"/>
        <v>0</v>
      </c>
      <c r="KJ19" s="546" t="str">
        <f t="shared" si="106"/>
        <v>0</v>
      </c>
      <c r="KK19" s="544"/>
      <c r="KL19" s="546" t="str">
        <f t="shared" si="107"/>
        <v>0</v>
      </c>
      <c r="KM19" s="546" t="str">
        <f t="shared" si="108"/>
        <v>0</v>
      </c>
      <c r="KN19" s="544"/>
      <c r="KO19" s="546" t="str">
        <f t="shared" si="109"/>
        <v>0</v>
      </c>
      <c r="KP19" s="546" t="str">
        <f t="shared" si="110"/>
        <v>0</v>
      </c>
      <c r="KQ19" s="546">
        <f t="shared" si="111"/>
        <v>0</v>
      </c>
      <c r="KR19" s="546">
        <f t="shared" si="198"/>
        <v>0</v>
      </c>
      <c r="KS19" s="265">
        <f t="shared" si="199"/>
        <v>2127.8686902338504</v>
      </c>
    </row>
    <row r="20" spans="1:305" ht="15" customHeight="1">
      <c r="A20" s="267">
        <f>+Report1!A20</f>
        <v>46003</v>
      </c>
      <c r="B20" s="268" t="str">
        <f>+Report1!B20</f>
        <v>Napkin</v>
      </c>
      <c r="C20" s="268" t="str">
        <f>+Report1!C20</f>
        <v>20</v>
      </c>
      <c r="D20" s="269">
        <f>+Report1!P20</f>
        <v>63.509</v>
      </c>
      <c r="E20" s="270">
        <f>+Report1!R20</f>
        <v>59.353000000000002</v>
      </c>
      <c r="F20" s="544">
        <v>0</v>
      </c>
      <c r="G20" s="545">
        <f t="shared" si="0"/>
        <v>0</v>
      </c>
      <c r="H20" s="546">
        <f t="shared" si="112"/>
        <v>0</v>
      </c>
      <c r="I20" s="544"/>
      <c r="J20" s="545">
        <f t="shared" si="1"/>
        <v>0</v>
      </c>
      <c r="K20" s="546">
        <f t="shared" si="113"/>
        <v>0</v>
      </c>
      <c r="L20" s="544"/>
      <c r="M20" s="545">
        <f t="shared" si="2"/>
        <v>0</v>
      </c>
      <c r="N20" s="546">
        <f t="shared" si="114"/>
        <v>0</v>
      </c>
      <c r="O20" s="544">
        <v>12</v>
      </c>
      <c r="P20" s="545">
        <f t="shared" si="3"/>
        <v>0.20218017623372028</v>
      </c>
      <c r="Q20" s="546">
        <f t="shared" si="115"/>
        <v>0</v>
      </c>
      <c r="R20" s="544"/>
      <c r="S20" s="545">
        <f t="shared" si="4"/>
        <v>0</v>
      </c>
      <c r="T20" s="546">
        <f t="shared" si="116"/>
        <v>0</v>
      </c>
      <c r="U20" s="544">
        <v>10.25</v>
      </c>
      <c r="V20" s="545">
        <f t="shared" si="5"/>
        <v>0.17269556719963608</v>
      </c>
      <c r="W20" s="546">
        <f t="shared" si="117"/>
        <v>0</v>
      </c>
      <c r="X20" s="544"/>
      <c r="Y20" s="545">
        <f t="shared" si="6"/>
        <v>0</v>
      </c>
      <c r="Z20" s="546">
        <f t="shared" si="118"/>
        <v>0</v>
      </c>
      <c r="AA20" s="544"/>
      <c r="AB20" s="545">
        <f t="shared" si="7"/>
        <v>0</v>
      </c>
      <c r="AC20" s="546">
        <f t="shared" si="119"/>
        <v>0</v>
      </c>
      <c r="AD20" s="544"/>
      <c r="AE20" s="545">
        <f t="shared" si="8"/>
        <v>0</v>
      </c>
      <c r="AF20" s="546">
        <f t="shared" si="120"/>
        <v>0</v>
      </c>
      <c r="AG20" s="544"/>
      <c r="AH20" s="545">
        <f t="shared" si="9"/>
        <v>0</v>
      </c>
      <c r="AI20" s="546">
        <f t="shared" si="121"/>
        <v>0</v>
      </c>
      <c r="AJ20" s="544"/>
      <c r="AK20" s="545">
        <f t="shared" si="10"/>
        <v>0</v>
      </c>
      <c r="AL20" s="546">
        <f t="shared" si="122"/>
        <v>0</v>
      </c>
      <c r="AM20" s="544">
        <v>34.166666666666671</v>
      </c>
      <c r="AN20" s="545">
        <f t="shared" si="11"/>
        <v>0.57565189066545364</v>
      </c>
      <c r="AO20" s="546">
        <f t="shared" si="123"/>
        <v>0</v>
      </c>
      <c r="AP20" s="544"/>
      <c r="AQ20" s="545">
        <f t="shared" si="12"/>
        <v>0</v>
      </c>
      <c r="AR20" s="546">
        <f t="shared" si="124"/>
        <v>0</v>
      </c>
      <c r="AS20" s="544"/>
      <c r="AT20" s="545">
        <f t="shared" si="13"/>
        <v>0</v>
      </c>
      <c r="AU20" s="546">
        <f t="shared" si="125"/>
        <v>0</v>
      </c>
      <c r="AV20" s="544">
        <v>0</v>
      </c>
      <c r="AW20" s="545">
        <f t="shared" si="14"/>
        <v>0</v>
      </c>
      <c r="AX20" s="546">
        <f t="shared" si="126"/>
        <v>0</v>
      </c>
      <c r="AY20" s="544">
        <v>56</v>
      </c>
      <c r="AZ20" s="545">
        <f t="shared" si="15"/>
        <v>0.9435074890906946</v>
      </c>
      <c r="BA20" s="546">
        <f t="shared" si="127"/>
        <v>0</v>
      </c>
      <c r="BB20" s="544"/>
      <c r="BC20" s="545">
        <f t="shared" si="16"/>
        <v>0</v>
      </c>
      <c r="BD20" s="546">
        <f t="shared" si="128"/>
        <v>0</v>
      </c>
      <c r="BE20" s="544"/>
      <c r="BF20" s="545">
        <f t="shared" si="17"/>
        <v>0</v>
      </c>
      <c r="BG20" s="546">
        <f t="shared" si="129"/>
        <v>0</v>
      </c>
      <c r="BH20" s="544"/>
      <c r="BI20" s="545">
        <f t="shared" si="18"/>
        <v>0</v>
      </c>
      <c r="BJ20" s="546">
        <f t="shared" si="130"/>
        <v>0</v>
      </c>
      <c r="BK20" s="544"/>
      <c r="BL20" s="545">
        <f t="shared" si="19"/>
        <v>0</v>
      </c>
      <c r="BM20" s="546">
        <f t="shared" si="131"/>
        <v>0</v>
      </c>
      <c r="BN20" s="544"/>
      <c r="BO20" s="545">
        <f t="shared" si="20"/>
        <v>0</v>
      </c>
      <c r="BP20" s="546">
        <f t="shared" si="132"/>
        <v>0</v>
      </c>
      <c r="BQ20" s="544"/>
      <c r="BR20" s="545">
        <f t="shared" si="21"/>
        <v>0</v>
      </c>
      <c r="BS20" s="546">
        <f t="shared" si="133"/>
        <v>0</v>
      </c>
      <c r="BT20" s="544"/>
      <c r="BU20" s="545">
        <f t="shared" si="22"/>
        <v>0</v>
      </c>
      <c r="BV20" s="546">
        <f t="shared" si="134"/>
        <v>0</v>
      </c>
      <c r="BW20" s="544"/>
      <c r="BX20" s="545">
        <f t="shared" si="23"/>
        <v>0</v>
      </c>
      <c r="BY20" s="546">
        <f t="shared" si="135"/>
        <v>0</v>
      </c>
      <c r="BZ20" s="544">
        <v>0</v>
      </c>
      <c r="CA20" s="545">
        <f t="shared" si="24"/>
        <v>0</v>
      </c>
      <c r="CB20" s="546">
        <f t="shared" si="136"/>
        <v>0</v>
      </c>
      <c r="CC20" s="544">
        <v>12.5</v>
      </c>
      <c r="CD20" s="545">
        <f t="shared" si="25"/>
        <v>0.21060435024345861</v>
      </c>
      <c r="CE20" s="546">
        <f t="shared" si="137"/>
        <v>0</v>
      </c>
      <c r="CF20" s="544">
        <v>0.79999999999999982</v>
      </c>
      <c r="CG20" s="545">
        <f t="shared" si="26"/>
        <v>1.347867841558135E-2</v>
      </c>
      <c r="CH20" s="546">
        <f t="shared" si="138"/>
        <v>0</v>
      </c>
      <c r="CI20" s="544"/>
      <c r="CJ20" s="545">
        <f t="shared" si="27"/>
        <v>0</v>
      </c>
      <c r="CK20" s="546">
        <f t="shared" si="139"/>
        <v>0</v>
      </c>
      <c r="CL20" s="544"/>
      <c r="CM20" s="545">
        <f t="shared" si="28"/>
        <v>0</v>
      </c>
      <c r="CN20" s="546">
        <f t="shared" si="140"/>
        <v>0</v>
      </c>
      <c r="CO20" s="544"/>
      <c r="CP20" s="545">
        <f t="shared" si="29"/>
        <v>0</v>
      </c>
      <c r="CQ20" s="546">
        <f t="shared" si="141"/>
        <v>0</v>
      </c>
      <c r="CR20" s="544"/>
      <c r="CS20" s="545">
        <f t="shared" si="30"/>
        <v>0</v>
      </c>
      <c r="CT20" s="546">
        <f t="shared" si="142"/>
        <v>0</v>
      </c>
      <c r="CU20" s="544"/>
      <c r="CV20" s="545">
        <f t="shared" si="31"/>
        <v>0</v>
      </c>
      <c r="CW20" s="546">
        <f t="shared" si="143"/>
        <v>0</v>
      </c>
      <c r="CX20" s="544"/>
      <c r="CY20" s="545">
        <f t="shared" si="32"/>
        <v>0</v>
      </c>
      <c r="CZ20" s="546">
        <f t="shared" si="144"/>
        <v>0</v>
      </c>
      <c r="DA20" s="544">
        <v>0</v>
      </c>
      <c r="DB20" s="545">
        <f t="shared" si="33"/>
        <v>0</v>
      </c>
      <c r="DC20" s="546">
        <f t="shared" si="145"/>
        <v>0</v>
      </c>
      <c r="DD20" s="544"/>
      <c r="DE20" s="545">
        <f t="shared" si="34"/>
        <v>0</v>
      </c>
      <c r="DF20" s="546">
        <f t="shared" si="146"/>
        <v>0</v>
      </c>
      <c r="DG20" s="544"/>
      <c r="DH20" s="545">
        <f t="shared" si="35"/>
        <v>0</v>
      </c>
      <c r="DI20" s="546">
        <f t="shared" si="200"/>
        <v>0</v>
      </c>
      <c r="DJ20" s="544"/>
      <c r="DK20" s="545">
        <f t="shared" si="36"/>
        <v>0</v>
      </c>
      <c r="DL20" s="546">
        <f t="shared" si="147"/>
        <v>0</v>
      </c>
      <c r="DM20" s="544"/>
      <c r="DN20" s="545">
        <f t="shared" si="37"/>
        <v>0</v>
      </c>
      <c r="DO20" s="546">
        <f t="shared" si="148"/>
        <v>0</v>
      </c>
      <c r="DP20" s="544"/>
      <c r="DQ20" s="545">
        <f t="shared" si="38"/>
        <v>0</v>
      </c>
      <c r="DR20" s="546">
        <f t="shared" si="149"/>
        <v>0</v>
      </c>
      <c r="DS20" s="544"/>
      <c r="DT20" s="545">
        <f t="shared" si="39"/>
        <v>0</v>
      </c>
      <c r="DU20" s="546">
        <f t="shared" si="150"/>
        <v>0</v>
      </c>
      <c r="DV20" s="544"/>
      <c r="DW20" s="545">
        <f t="shared" si="40"/>
        <v>0</v>
      </c>
      <c r="DX20" s="546">
        <f t="shared" si="151"/>
        <v>0</v>
      </c>
      <c r="DY20" s="544"/>
      <c r="DZ20" s="545">
        <f t="shared" si="41"/>
        <v>0</v>
      </c>
      <c r="EA20" s="546">
        <f t="shared" si="152"/>
        <v>0</v>
      </c>
      <c r="EB20" s="544">
        <v>788.23529411764684</v>
      </c>
      <c r="EC20" s="545">
        <f t="shared" si="42"/>
        <v>13.280462556528681</v>
      </c>
      <c r="ED20" s="546">
        <f t="shared" si="153"/>
        <v>0</v>
      </c>
      <c r="EE20" s="544">
        <v>29.069767441860449</v>
      </c>
      <c r="EF20" s="545">
        <f t="shared" si="43"/>
        <v>0.48977755870571749</v>
      </c>
      <c r="EG20" s="546">
        <f t="shared" si="154"/>
        <v>0</v>
      </c>
      <c r="EH20" s="544">
        <v>1</v>
      </c>
      <c r="EI20" s="545">
        <f t="shared" si="44"/>
        <v>1.684834801947669E-2</v>
      </c>
      <c r="EJ20" s="546">
        <f t="shared" si="155"/>
        <v>0</v>
      </c>
      <c r="EK20" s="544"/>
      <c r="EL20" s="545">
        <f t="shared" si="45"/>
        <v>0</v>
      </c>
      <c r="EM20" s="546">
        <f t="shared" si="156"/>
        <v>0</v>
      </c>
      <c r="EN20" s="544"/>
      <c r="EO20" s="545">
        <f t="shared" si="46"/>
        <v>0</v>
      </c>
      <c r="EP20" s="546">
        <f t="shared" si="157"/>
        <v>0</v>
      </c>
      <c r="EQ20" s="544"/>
      <c r="ER20" s="545">
        <f t="shared" si="47"/>
        <v>0</v>
      </c>
      <c r="ES20" s="546">
        <f t="shared" si="158"/>
        <v>0</v>
      </c>
      <c r="ET20" s="544"/>
      <c r="EU20" s="545">
        <f t="shared" si="48"/>
        <v>0</v>
      </c>
      <c r="EV20" s="546">
        <f t="shared" si="159"/>
        <v>0</v>
      </c>
      <c r="EW20" s="544"/>
      <c r="EX20" s="545">
        <f t="shared" si="49"/>
        <v>0</v>
      </c>
      <c r="EY20" s="546">
        <f t="shared" si="160"/>
        <v>0</v>
      </c>
      <c r="EZ20" s="544"/>
      <c r="FA20" s="545">
        <f t="shared" si="50"/>
        <v>0</v>
      </c>
      <c r="FB20" s="546">
        <f t="shared" si="161"/>
        <v>0</v>
      </c>
      <c r="FC20" s="544"/>
      <c r="FD20" s="545">
        <f t="shared" si="51"/>
        <v>0</v>
      </c>
      <c r="FE20" s="546">
        <f t="shared" si="162"/>
        <v>0</v>
      </c>
      <c r="FF20" s="544"/>
      <c r="FG20" s="545">
        <f t="shared" si="52"/>
        <v>0</v>
      </c>
      <c r="FH20" s="546">
        <f t="shared" si="163"/>
        <v>0</v>
      </c>
      <c r="FI20" s="544"/>
      <c r="FJ20" s="545">
        <f t="shared" si="53"/>
        <v>0</v>
      </c>
      <c r="FK20" s="546">
        <f t="shared" si="164"/>
        <v>0</v>
      </c>
      <c r="FL20" s="544"/>
      <c r="FM20" s="545">
        <f t="shared" si="54"/>
        <v>0</v>
      </c>
      <c r="FN20" s="546">
        <f t="shared" si="165"/>
        <v>0</v>
      </c>
      <c r="FO20" s="544"/>
      <c r="FP20" s="545">
        <f t="shared" si="55"/>
        <v>0</v>
      </c>
      <c r="FQ20" s="546">
        <f t="shared" si="166"/>
        <v>0</v>
      </c>
      <c r="FR20" s="544"/>
      <c r="FS20" s="545">
        <f t="shared" si="56"/>
        <v>0</v>
      </c>
      <c r="FT20" s="546">
        <f t="shared" si="167"/>
        <v>0</v>
      </c>
      <c r="FU20" s="544"/>
      <c r="FV20" s="545">
        <f t="shared" si="57"/>
        <v>0</v>
      </c>
      <c r="FW20" s="546">
        <f t="shared" si="168"/>
        <v>0</v>
      </c>
      <c r="FX20" s="544"/>
      <c r="FY20" s="545">
        <f t="shared" si="58"/>
        <v>0</v>
      </c>
      <c r="FZ20" s="546">
        <f t="shared" si="169"/>
        <v>0</v>
      </c>
      <c r="GA20" s="544"/>
      <c r="GB20" s="545">
        <f t="shared" si="59"/>
        <v>0</v>
      </c>
      <c r="GC20" s="546">
        <f t="shared" si="170"/>
        <v>0</v>
      </c>
      <c r="GD20" s="544"/>
      <c r="GE20" s="545">
        <f t="shared" si="60"/>
        <v>0</v>
      </c>
      <c r="GF20" s="546">
        <f t="shared" si="171"/>
        <v>0</v>
      </c>
      <c r="GG20" s="544">
        <v>14.070960766415272</v>
      </c>
      <c r="GH20" s="545">
        <f t="shared" si="61"/>
        <v>0.23707244396096697</v>
      </c>
      <c r="GI20" s="546">
        <f t="shared" si="172"/>
        <v>0</v>
      </c>
      <c r="GJ20" s="544">
        <v>14.070960766415272</v>
      </c>
      <c r="GK20" s="545">
        <f t="shared" si="62"/>
        <v>0.23707244396096697</v>
      </c>
      <c r="GL20" s="546">
        <f t="shared" si="173"/>
        <v>0</v>
      </c>
      <c r="GM20" s="544">
        <v>0</v>
      </c>
      <c r="GN20" s="545">
        <f t="shared" si="63"/>
        <v>0</v>
      </c>
      <c r="GO20" s="546">
        <f t="shared" si="174"/>
        <v>0</v>
      </c>
      <c r="GP20" s="544">
        <v>39.39869014596276</v>
      </c>
      <c r="GQ20" s="545">
        <f t="shared" si="64"/>
        <v>0.66380284309070747</v>
      </c>
      <c r="GR20" s="546">
        <f t="shared" si="175"/>
        <v>0</v>
      </c>
      <c r="GS20" s="544">
        <v>236.39214087577656</v>
      </c>
      <c r="GT20" s="545">
        <f t="shared" si="65"/>
        <v>3.9828170585442448</v>
      </c>
      <c r="GU20" s="546">
        <f t="shared" si="176"/>
        <v>0</v>
      </c>
      <c r="GV20" s="544">
        <v>28.141921532830544</v>
      </c>
      <c r="GW20" s="545">
        <f t="shared" si="66"/>
        <v>0.47414488792193393</v>
      </c>
      <c r="GX20" s="546">
        <f t="shared" si="177"/>
        <v>0</v>
      </c>
      <c r="GY20" s="544"/>
      <c r="GZ20" s="545">
        <f t="shared" si="67"/>
        <v>0</v>
      </c>
      <c r="HA20" s="546">
        <f t="shared" si="178"/>
        <v>0</v>
      </c>
      <c r="HB20" s="544"/>
      <c r="HC20" s="545">
        <f t="shared" si="68"/>
        <v>0</v>
      </c>
      <c r="HD20" s="546">
        <f t="shared" si="179"/>
        <v>0</v>
      </c>
      <c r="HE20" s="544"/>
      <c r="HF20" s="545">
        <f t="shared" si="69"/>
        <v>0</v>
      </c>
      <c r="HG20" s="546">
        <f t="shared" si="180"/>
        <v>0</v>
      </c>
      <c r="HH20" s="544"/>
      <c r="HI20" s="545">
        <f t="shared" si="70"/>
        <v>0</v>
      </c>
      <c r="HJ20" s="546">
        <f t="shared" si="181"/>
        <v>0</v>
      </c>
      <c r="HK20" s="544"/>
      <c r="HL20" s="545">
        <f t="shared" si="71"/>
        <v>0</v>
      </c>
      <c r="HM20" s="546">
        <f t="shared" si="182"/>
        <v>0</v>
      </c>
      <c r="HN20" s="544">
        <v>1147.6275601088296</v>
      </c>
      <c r="HO20" s="545">
        <f t="shared" si="72"/>
        <v>19.335628529456464</v>
      </c>
      <c r="HP20" s="546">
        <f t="shared" si="183"/>
        <v>0</v>
      </c>
      <c r="HQ20" s="544"/>
      <c r="HR20" s="545">
        <f t="shared" si="73"/>
        <v>0</v>
      </c>
      <c r="HS20" s="546">
        <f t="shared" si="184"/>
        <v>0</v>
      </c>
      <c r="HT20" s="544">
        <v>0</v>
      </c>
      <c r="HU20" s="545">
        <f t="shared" si="74"/>
        <v>0</v>
      </c>
      <c r="HV20" s="546">
        <f t="shared" si="185"/>
        <v>0</v>
      </c>
      <c r="HW20" s="544">
        <v>0</v>
      </c>
      <c r="HX20" s="545">
        <f t="shared" si="75"/>
        <v>0</v>
      </c>
      <c r="HY20" s="546">
        <f t="shared" si="186"/>
        <v>0</v>
      </c>
      <c r="HZ20" s="544">
        <v>0</v>
      </c>
      <c r="IA20" s="545">
        <f t="shared" si="76"/>
        <v>0</v>
      </c>
      <c r="IB20" s="546">
        <f t="shared" si="187"/>
        <v>0</v>
      </c>
      <c r="IC20" s="544">
        <v>0</v>
      </c>
      <c r="ID20" s="545">
        <f t="shared" si="77"/>
        <v>0</v>
      </c>
      <c r="IE20" s="546">
        <f t="shared" si="188"/>
        <v>0</v>
      </c>
      <c r="IF20" s="544">
        <v>16.885152919698328</v>
      </c>
      <c r="IG20" s="545">
        <f t="shared" si="78"/>
        <v>0.28448693275316039</v>
      </c>
      <c r="IH20" s="546">
        <f t="shared" si="189"/>
        <v>0</v>
      </c>
      <c r="II20" s="544"/>
      <c r="IJ20" s="545">
        <f t="shared" si="79"/>
        <v>0</v>
      </c>
      <c r="IK20" s="546">
        <f t="shared" si="190"/>
        <v>0</v>
      </c>
      <c r="IL20" s="544"/>
      <c r="IM20" s="545">
        <f t="shared" si="80"/>
        <v>0</v>
      </c>
      <c r="IN20" s="546">
        <f t="shared" si="191"/>
        <v>0</v>
      </c>
      <c r="IO20" s="544">
        <v>73.168995985359416</v>
      </c>
      <c r="IP20" s="545">
        <f t="shared" si="81"/>
        <v>1.2327767085970283</v>
      </c>
      <c r="IQ20" s="546">
        <f t="shared" si="192"/>
        <v>0</v>
      </c>
      <c r="IR20" s="544">
        <v>0</v>
      </c>
      <c r="IS20" s="545">
        <f t="shared" si="82"/>
        <v>0</v>
      </c>
      <c r="IT20" s="546">
        <f t="shared" si="193"/>
        <v>0</v>
      </c>
      <c r="IU20" s="544"/>
      <c r="IV20" s="545">
        <f t="shared" si="83"/>
        <v>0</v>
      </c>
      <c r="IW20" s="546">
        <f t="shared" si="194"/>
        <v>0</v>
      </c>
      <c r="IX20" s="544">
        <v>0</v>
      </c>
      <c r="IY20" s="545">
        <f t="shared" si="84"/>
        <v>0</v>
      </c>
      <c r="IZ20" s="546">
        <f t="shared" si="195"/>
        <v>0</v>
      </c>
      <c r="JA20" s="544"/>
      <c r="JB20" s="545">
        <f t="shared" si="85"/>
        <v>0</v>
      </c>
      <c r="JC20" s="546">
        <f t="shared" si="196"/>
        <v>0</v>
      </c>
      <c r="JD20" s="544"/>
      <c r="JE20" s="545">
        <f t="shared" si="86"/>
        <v>0</v>
      </c>
      <c r="JF20" s="546">
        <f t="shared" si="197"/>
        <v>0</v>
      </c>
      <c r="JG20" s="544">
        <v>25.327729379547488</v>
      </c>
      <c r="JH20" s="546" t="str">
        <f t="shared" si="87"/>
        <v>0</v>
      </c>
      <c r="JI20" s="546" t="str">
        <f t="shared" si="88"/>
        <v>0</v>
      </c>
      <c r="JJ20" s="544">
        <v>11.256768613132218</v>
      </c>
      <c r="JK20" s="546" t="str">
        <f t="shared" si="89"/>
        <v>0</v>
      </c>
      <c r="JL20" s="546" t="str">
        <f t="shared" si="90"/>
        <v>0</v>
      </c>
      <c r="JM20" s="544">
        <v>0</v>
      </c>
      <c r="JN20" s="546" t="str">
        <f t="shared" si="91"/>
        <v>0</v>
      </c>
      <c r="JO20" s="546" t="str">
        <f t="shared" si="92"/>
        <v>0</v>
      </c>
      <c r="JP20" s="544"/>
      <c r="JQ20" s="546" t="str">
        <f t="shared" si="93"/>
        <v>0</v>
      </c>
      <c r="JR20" s="546" t="str">
        <f t="shared" si="94"/>
        <v>0</v>
      </c>
      <c r="JS20" s="544"/>
      <c r="JT20" s="546" t="str">
        <f t="shared" si="95"/>
        <v>0</v>
      </c>
      <c r="JU20" s="546" t="str">
        <f t="shared" si="96"/>
        <v>0</v>
      </c>
      <c r="JV20" s="544"/>
      <c r="JW20" s="546" t="str">
        <f t="shared" si="97"/>
        <v>0</v>
      </c>
      <c r="JX20" s="546" t="str">
        <f t="shared" si="98"/>
        <v>0</v>
      </c>
      <c r="JY20" s="544"/>
      <c r="JZ20" s="546" t="str">
        <f t="shared" si="99"/>
        <v>0</v>
      </c>
      <c r="KA20" s="546" t="str">
        <f t="shared" si="100"/>
        <v>0</v>
      </c>
      <c r="KB20" s="544"/>
      <c r="KC20" s="546" t="str">
        <f t="shared" si="101"/>
        <v>0</v>
      </c>
      <c r="KD20" s="546" t="str">
        <f t="shared" si="102"/>
        <v>0</v>
      </c>
      <c r="KE20" s="544"/>
      <c r="KF20" s="546" t="str">
        <f t="shared" si="103"/>
        <v>0</v>
      </c>
      <c r="KG20" s="546" t="str">
        <f t="shared" si="104"/>
        <v>0</v>
      </c>
      <c r="KH20" s="544"/>
      <c r="KI20" s="546" t="str">
        <f t="shared" si="105"/>
        <v>0</v>
      </c>
      <c r="KJ20" s="546" t="str">
        <f t="shared" si="106"/>
        <v>0</v>
      </c>
      <c r="KK20" s="544"/>
      <c r="KL20" s="546" t="str">
        <f t="shared" si="107"/>
        <v>0</v>
      </c>
      <c r="KM20" s="546" t="str">
        <f t="shared" si="108"/>
        <v>0</v>
      </c>
      <c r="KN20" s="544"/>
      <c r="KO20" s="546" t="str">
        <f t="shared" si="109"/>
        <v>0</v>
      </c>
      <c r="KP20" s="546" t="str">
        <f t="shared" si="110"/>
        <v>0</v>
      </c>
      <c r="KQ20" s="546">
        <f t="shared" si="111"/>
        <v>0</v>
      </c>
      <c r="KR20" s="546">
        <f t="shared" si="198"/>
        <v>0</v>
      </c>
      <c r="KS20" s="265">
        <f t="shared" si="199"/>
        <v>2550.362609320141</v>
      </c>
    </row>
    <row r="21" spans="1:305" ht="15" customHeight="1">
      <c r="A21" s="267">
        <f>+Report1!A21</f>
        <v>46004</v>
      </c>
      <c r="B21" s="268" t="str">
        <f>+Report1!B21</f>
        <v>Napkin</v>
      </c>
      <c r="C21" s="268" t="str">
        <f>+Report1!C21</f>
        <v>20</v>
      </c>
      <c r="D21" s="269">
        <f>+Report1!P21</f>
        <v>60.103000000000002</v>
      </c>
      <c r="E21" s="270">
        <f>+Report1!R21</f>
        <v>57.131999999999998</v>
      </c>
      <c r="F21" s="544">
        <v>0</v>
      </c>
      <c r="G21" s="545">
        <f t="shared" si="0"/>
        <v>0</v>
      </c>
      <c r="H21" s="546">
        <f t="shared" si="112"/>
        <v>0</v>
      </c>
      <c r="I21" s="544"/>
      <c r="J21" s="545">
        <f t="shared" si="1"/>
        <v>0</v>
      </c>
      <c r="K21" s="546">
        <f t="shared" si="113"/>
        <v>0</v>
      </c>
      <c r="L21" s="544"/>
      <c r="M21" s="545">
        <f t="shared" si="2"/>
        <v>0</v>
      </c>
      <c r="N21" s="546">
        <f t="shared" si="114"/>
        <v>0</v>
      </c>
      <c r="O21" s="544">
        <v>12</v>
      </c>
      <c r="P21" s="545">
        <f t="shared" si="3"/>
        <v>0.21003990758244068</v>
      </c>
      <c r="Q21" s="546">
        <f t="shared" si="115"/>
        <v>0</v>
      </c>
      <c r="R21" s="544"/>
      <c r="S21" s="545">
        <f t="shared" si="4"/>
        <v>0</v>
      </c>
      <c r="T21" s="546">
        <f t="shared" si="116"/>
        <v>0</v>
      </c>
      <c r="U21" s="544">
        <v>10.250000000000028</v>
      </c>
      <c r="V21" s="545">
        <f t="shared" si="5"/>
        <v>0.17940908772666858</v>
      </c>
      <c r="W21" s="546">
        <f t="shared" si="117"/>
        <v>0</v>
      </c>
      <c r="X21" s="544"/>
      <c r="Y21" s="545">
        <f t="shared" si="6"/>
        <v>0</v>
      </c>
      <c r="Z21" s="546">
        <f t="shared" si="118"/>
        <v>0</v>
      </c>
      <c r="AA21" s="544"/>
      <c r="AB21" s="545">
        <f t="shared" si="7"/>
        <v>0</v>
      </c>
      <c r="AC21" s="546">
        <f t="shared" si="119"/>
        <v>0</v>
      </c>
      <c r="AD21" s="544"/>
      <c r="AE21" s="545">
        <f t="shared" si="8"/>
        <v>0</v>
      </c>
      <c r="AF21" s="546">
        <f t="shared" si="120"/>
        <v>0</v>
      </c>
      <c r="AG21" s="544"/>
      <c r="AH21" s="545">
        <f t="shared" si="9"/>
        <v>0</v>
      </c>
      <c r="AI21" s="546">
        <f t="shared" si="121"/>
        <v>0</v>
      </c>
      <c r="AJ21" s="544"/>
      <c r="AK21" s="545">
        <f t="shared" si="10"/>
        <v>0</v>
      </c>
      <c r="AL21" s="546">
        <f t="shared" si="122"/>
        <v>0</v>
      </c>
      <c r="AM21" s="544">
        <v>27.313653846153784</v>
      </c>
      <c r="AN21" s="545">
        <f t="shared" si="11"/>
        <v>0.47807977746540964</v>
      </c>
      <c r="AO21" s="546">
        <f t="shared" si="123"/>
        <v>0</v>
      </c>
      <c r="AP21" s="544"/>
      <c r="AQ21" s="545">
        <f t="shared" si="12"/>
        <v>0</v>
      </c>
      <c r="AR21" s="546">
        <f t="shared" si="124"/>
        <v>0</v>
      </c>
      <c r="AS21" s="544"/>
      <c r="AT21" s="545">
        <f t="shared" si="13"/>
        <v>0</v>
      </c>
      <c r="AU21" s="546">
        <f t="shared" si="125"/>
        <v>0</v>
      </c>
      <c r="AV21" s="544">
        <v>0</v>
      </c>
      <c r="AW21" s="545">
        <f t="shared" si="14"/>
        <v>0</v>
      </c>
      <c r="AX21" s="546">
        <f t="shared" si="126"/>
        <v>0</v>
      </c>
      <c r="AY21" s="544">
        <v>46.293733333333307</v>
      </c>
      <c r="AZ21" s="545">
        <f t="shared" si="15"/>
        <v>0.81029428924829006</v>
      </c>
      <c r="BA21" s="546">
        <f t="shared" si="127"/>
        <v>0</v>
      </c>
      <c r="BB21" s="544"/>
      <c r="BC21" s="545">
        <f t="shared" si="16"/>
        <v>0</v>
      </c>
      <c r="BD21" s="546">
        <f t="shared" si="128"/>
        <v>0</v>
      </c>
      <c r="BE21" s="544"/>
      <c r="BF21" s="545">
        <f t="shared" si="17"/>
        <v>0</v>
      </c>
      <c r="BG21" s="546">
        <f t="shared" si="129"/>
        <v>0</v>
      </c>
      <c r="BH21" s="544"/>
      <c r="BI21" s="545">
        <f t="shared" si="18"/>
        <v>0</v>
      </c>
      <c r="BJ21" s="546">
        <f t="shared" si="130"/>
        <v>0</v>
      </c>
      <c r="BK21" s="544"/>
      <c r="BL21" s="545">
        <f t="shared" si="19"/>
        <v>0</v>
      </c>
      <c r="BM21" s="546">
        <f t="shared" si="131"/>
        <v>0</v>
      </c>
      <c r="BN21" s="544"/>
      <c r="BO21" s="545">
        <f t="shared" si="20"/>
        <v>0</v>
      </c>
      <c r="BP21" s="546">
        <f t="shared" si="132"/>
        <v>0</v>
      </c>
      <c r="BQ21" s="544"/>
      <c r="BR21" s="545">
        <f t="shared" si="21"/>
        <v>0</v>
      </c>
      <c r="BS21" s="546">
        <f t="shared" si="133"/>
        <v>0</v>
      </c>
      <c r="BT21" s="544"/>
      <c r="BU21" s="545">
        <f t="shared" si="22"/>
        <v>0</v>
      </c>
      <c r="BV21" s="546">
        <f t="shared" si="134"/>
        <v>0</v>
      </c>
      <c r="BW21" s="544"/>
      <c r="BX21" s="545">
        <f t="shared" si="23"/>
        <v>0</v>
      </c>
      <c r="BY21" s="546">
        <f t="shared" si="135"/>
        <v>0</v>
      </c>
      <c r="BZ21" s="544">
        <v>0</v>
      </c>
      <c r="CA21" s="545">
        <f t="shared" si="24"/>
        <v>0</v>
      </c>
      <c r="CB21" s="546">
        <f t="shared" si="136"/>
        <v>0</v>
      </c>
      <c r="CC21" s="544">
        <v>25</v>
      </c>
      <c r="CD21" s="545">
        <f t="shared" si="25"/>
        <v>0.43758314079675142</v>
      </c>
      <c r="CE21" s="546">
        <f t="shared" si="137"/>
        <v>0</v>
      </c>
      <c r="CF21" s="544">
        <v>0.60000000000000009</v>
      </c>
      <c r="CG21" s="545">
        <f t="shared" si="26"/>
        <v>1.0501995379122036E-2</v>
      </c>
      <c r="CH21" s="546">
        <f t="shared" si="138"/>
        <v>0</v>
      </c>
      <c r="CI21" s="544"/>
      <c r="CJ21" s="545">
        <f t="shared" si="27"/>
        <v>0</v>
      </c>
      <c r="CK21" s="546">
        <f t="shared" si="139"/>
        <v>0</v>
      </c>
      <c r="CL21" s="544"/>
      <c r="CM21" s="545">
        <f t="shared" si="28"/>
        <v>0</v>
      </c>
      <c r="CN21" s="546">
        <f t="shared" si="140"/>
        <v>0</v>
      </c>
      <c r="CO21" s="544"/>
      <c r="CP21" s="545">
        <f t="shared" si="29"/>
        <v>0</v>
      </c>
      <c r="CQ21" s="546">
        <f t="shared" si="141"/>
        <v>0</v>
      </c>
      <c r="CR21" s="544"/>
      <c r="CS21" s="545">
        <f t="shared" si="30"/>
        <v>0</v>
      </c>
      <c r="CT21" s="546">
        <f t="shared" si="142"/>
        <v>0</v>
      </c>
      <c r="CU21" s="544"/>
      <c r="CV21" s="545">
        <f t="shared" si="31"/>
        <v>0</v>
      </c>
      <c r="CW21" s="546">
        <f t="shared" si="143"/>
        <v>0</v>
      </c>
      <c r="CX21" s="544"/>
      <c r="CY21" s="545">
        <f t="shared" si="32"/>
        <v>0</v>
      </c>
      <c r="CZ21" s="546">
        <f t="shared" si="144"/>
        <v>0</v>
      </c>
      <c r="DA21" s="544">
        <v>0</v>
      </c>
      <c r="DB21" s="545">
        <f t="shared" si="33"/>
        <v>0</v>
      </c>
      <c r="DC21" s="546">
        <f t="shared" si="145"/>
        <v>0</v>
      </c>
      <c r="DD21" s="544"/>
      <c r="DE21" s="545">
        <f t="shared" si="34"/>
        <v>0</v>
      </c>
      <c r="DF21" s="546">
        <f t="shared" si="146"/>
        <v>0</v>
      </c>
      <c r="DG21" s="544"/>
      <c r="DH21" s="545">
        <f t="shared" si="35"/>
        <v>0</v>
      </c>
      <c r="DI21" s="546">
        <f t="shared" si="200"/>
        <v>0</v>
      </c>
      <c r="DJ21" s="544"/>
      <c r="DK21" s="545">
        <f t="shared" si="36"/>
        <v>0</v>
      </c>
      <c r="DL21" s="546">
        <f t="shared" si="147"/>
        <v>0</v>
      </c>
      <c r="DM21" s="544"/>
      <c r="DN21" s="545">
        <f t="shared" si="37"/>
        <v>0</v>
      </c>
      <c r="DO21" s="546">
        <f t="shared" si="148"/>
        <v>0</v>
      </c>
      <c r="DP21" s="544"/>
      <c r="DQ21" s="545">
        <f t="shared" si="38"/>
        <v>0</v>
      </c>
      <c r="DR21" s="546">
        <f t="shared" si="149"/>
        <v>0</v>
      </c>
      <c r="DS21" s="544"/>
      <c r="DT21" s="545">
        <f t="shared" si="39"/>
        <v>0</v>
      </c>
      <c r="DU21" s="546">
        <f t="shared" si="150"/>
        <v>0</v>
      </c>
      <c r="DV21" s="544"/>
      <c r="DW21" s="545">
        <f t="shared" si="40"/>
        <v>0</v>
      </c>
      <c r="DX21" s="546">
        <f t="shared" si="151"/>
        <v>0</v>
      </c>
      <c r="DY21" s="544"/>
      <c r="DZ21" s="545">
        <f t="shared" si="41"/>
        <v>0</v>
      </c>
      <c r="EA21" s="546">
        <f t="shared" si="152"/>
        <v>0</v>
      </c>
      <c r="EB21" s="544">
        <v>822.4883529411768</v>
      </c>
      <c r="EC21" s="545">
        <f t="shared" si="42"/>
        <v>14.396281469949885</v>
      </c>
      <c r="ED21" s="546">
        <f t="shared" si="153"/>
        <v>0</v>
      </c>
      <c r="EE21" s="544">
        <v>21.802325581395507</v>
      </c>
      <c r="EF21" s="545">
        <f t="shared" si="43"/>
        <v>0.3816132041832162</v>
      </c>
      <c r="EG21" s="546">
        <f t="shared" si="154"/>
        <v>0</v>
      </c>
      <c r="EH21" s="544">
        <v>1</v>
      </c>
      <c r="EI21" s="545">
        <f t="shared" si="44"/>
        <v>1.7503325631870056E-2</v>
      </c>
      <c r="EJ21" s="546">
        <f t="shared" si="155"/>
        <v>0</v>
      </c>
      <c r="EK21" s="544"/>
      <c r="EL21" s="545">
        <f t="shared" si="45"/>
        <v>0</v>
      </c>
      <c r="EM21" s="546">
        <f t="shared" si="156"/>
        <v>0</v>
      </c>
      <c r="EN21" s="544"/>
      <c r="EO21" s="545">
        <f t="shared" si="46"/>
        <v>0</v>
      </c>
      <c r="EP21" s="546">
        <f t="shared" si="157"/>
        <v>0</v>
      </c>
      <c r="EQ21" s="544"/>
      <c r="ER21" s="545">
        <f t="shared" si="47"/>
        <v>0</v>
      </c>
      <c r="ES21" s="546">
        <f t="shared" si="158"/>
        <v>0</v>
      </c>
      <c r="ET21" s="544"/>
      <c r="EU21" s="545">
        <f t="shared" si="48"/>
        <v>0</v>
      </c>
      <c r="EV21" s="546">
        <f t="shared" si="159"/>
        <v>0</v>
      </c>
      <c r="EW21" s="544"/>
      <c r="EX21" s="545">
        <f t="shared" si="49"/>
        <v>0</v>
      </c>
      <c r="EY21" s="546">
        <f t="shared" si="160"/>
        <v>0</v>
      </c>
      <c r="EZ21" s="544"/>
      <c r="FA21" s="545">
        <f t="shared" si="50"/>
        <v>0</v>
      </c>
      <c r="FB21" s="546">
        <f t="shared" si="161"/>
        <v>0</v>
      </c>
      <c r="FC21" s="544"/>
      <c r="FD21" s="545">
        <f t="shared" si="51"/>
        <v>0</v>
      </c>
      <c r="FE21" s="546">
        <f t="shared" si="162"/>
        <v>0</v>
      </c>
      <c r="FF21" s="544"/>
      <c r="FG21" s="545">
        <f t="shared" si="52"/>
        <v>0</v>
      </c>
      <c r="FH21" s="546">
        <f t="shared" si="163"/>
        <v>0</v>
      </c>
      <c r="FI21" s="544"/>
      <c r="FJ21" s="545">
        <f t="shared" si="53"/>
        <v>0</v>
      </c>
      <c r="FK21" s="546">
        <f t="shared" si="164"/>
        <v>0</v>
      </c>
      <c r="FL21" s="544"/>
      <c r="FM21" s="545">
        <f t="shared" si="54"/>
        <v>0</v>
      </c>
      <c r="FN21" s="546">
        <f t="shared" si="165"/>
        <v>0</v>
      </c>
      <c r="FO21" s="544"/>
      <c r="FP21" s="545">
        <f t="shared" si="55"/>
        <v>0</v>
      </c>
      <c r="FQ21" s="546">
        <f t="shared" si="166"/>
        <v>0</v>
      </c>
      <c r="FR21" s="544"/>
      <c r="FS21" s="545">
        <f t="shared" si="56"/>
        <v>0</v>
      </c>
      <c r="FT21" s="546">
        <f t="shared" si="167"/>
        <v>0</v>
      </c>
      <c r="FU21" s="544"/>
      <c r="FV21" s="545">
        <f t="shared" si="57"/>
        <v>0</v>
      </c>
      <c r="FW21" s="546">
        <f t="shared" si="168"/>
        <v>0</v>
      </c>
      <c r="FX21" s="544"/>
      <c r="FY21" s="545">
        <f t="shared" si="58"/>
        <v>0</v>
      </c>
      <c r="FZ21" s="546">
        <f t="shared" si="169"/>
        <v>0</v>
      </c>
      <c r="GA21" s="544"/>
      <c r="GB21" s="545">
        <f t="shared" si="59"/>
        <v>0</v>
      </c>
      <c r="GC21" s="546">
        <f t="shared" si="170"/>
        <v>0</v>
      </c>
      <c r="GD21" s="544"/>
      <c r="GE21" s="545">
        <f t="shared" si="60"/>
        <v>0</v>
      </c>
      <c r="GF21" s="546">
        <f t="shared" si="171"/>
        <v>0</v>
      </c>
      <c r="GG21" s="544">
        <v>12.970900018991385</v>
      </c>
      <c r="GH21" s="545">
        <f t="shared" si="61"/>
        <v>0.22703388677083569</v>
      </c>
      <c r="GI21" s="546">
        <f t="shared" si="172"/>
        <v>0</v>
      </c>
      <c r="GJ21" s="544">
        <v>12.970900018991385</v>
      </c>
      <c r="GK21" s="545">
        <f t="shared" si="62"/>
        <v>0.22703388677083569</v>
      </c>
      <c r="GL21" s="546">
        <f t="shared" si="173"/>
        <v>0</v>
      </c>
      <c r="GM21" s="544">
        <v>0</v>
      </c>
      <c r="GN21" s="545">
        <f t="shared" si="63"/>
        <v>0</v>
      </c>
      <c r="GO21" s="546">
        <f t="shared" si="174"/>
        <v>0</v>
      </c>
      <c r="GP21" s="544">
        <v>36.318520053175881</v>
      </c>
      <c r="GQ21" s="545">
        <f t="shared" si="64"/>
        <v>0.63569488295833998</v>
      </c>
      <c r="GR21" s="546">
        <f t="shared" si="175"/>
        <v>0</v>
      </c>
      <c r="GS21" s="544">
        <v>181.59260026587938</v>
      </c>
      <c r="GT21" s="545">
        <f t="shared" si="65"/>
        <v>3.1784744147916997</v>
      </c>
      <c r="GU21" s="546">
        <f t="shared" si="176"/>
        <v>0</v>
      </c>
      <c r="GV21" s="544">
        <v>25.94180003798277</v>
      </c>
      <c r="GW21" s="545">
        <f t="shared" si="66"/>
        <v>0.45406777354167138</v>
      </c>
      <c r="GX21" s="546">
        <f t="shared" si="177"/>
        <v>0</v>
      </c>
      <c r="GY21" s="544"/>
      <c r="GZ21" s="545">
        <f t="shared" si="67"/>
        <v>0</v>
      </c>
      <c r="HA21" s="546">
        <f t="shared" si="178"/>
        <v>0</v>
      </c>
      <c r="HB21" s="544"/>
      <c r="HC21" s="545">
        <f t="shared" si="68"/>
        <v>0</v>
      </c>
      <c r="HD21" s="546">
        <f t="shared" si="179"/>
        <v>0</v>
      </c>
      <c r="HE21" s="544"/>
      <c r="HF21" s="545">
        <f t="shared" si="69"/>
        <v>0</v>
      </c>
      <c r="HG21" s="546">
        <f t="shared" si="180"/>
        <v>0</v>
      </c>
      <c r="HH21" s="544"/>
      <c r="HI21" s="545">
        <f t="shared" si="70"/>
        <v>0</v>
      </c>
      <c r="HJ21" s="546">
        <f t="shared" si="181"/>
        <v>0</v>
      </c>
      <c r="HK21" s="544"/>
      <c r="HL21" s="545">
        <f t="shared" si="71"/>
        <v>0</v>
      </c>
      <c r="HM21" s="546">
        <f t="shared" si="182"/>
        <v>0</v>
      </c>
      <c r="HN21" s="544">
        <v>947.39453738713075</v>
      </c>
      <c r="HO21" s="545">
        <f t="shared" si="72"/>
        <v>16.582555089741838</v>
      </c>
      <c r="HP21" s="546">
        <f t="shared" si="183"/>
        <v>0</v>
      </c>
      <c r="HQ21" s="544"/>
      <c r="HR21" s="545">
        <f t="shared" si="73"/>
        <v>0</v>
      </c>
      <c r="HS21" s="546">
        <f t="shared" si="184"/>
        <v>0</v>
      </c>
      <c r="HT21" s="544">
        <v>0</v>
      </c>
      <c r="HU21" s="545">
        <f t="shared" si="74"/>
        <v>0</v>
      </c>
      <c r="HV21" s="546">
        <f t="shared" si="185"/>
        <v>0</v>
      </c>
      <c r="HW21" s="544">
        <v>0</v>
      </c>
      <c r="HX21" s="545">
        <f t="shared" si="75"/>
        <v>0</v>
      </c>
      <c r="HY21" s="546">
        <f t="shared" si="186"/>
        <v>0</v>
      </c>
      <c r="HZ21" s="544">
        <v>0</v>
      </c>
      <c r="IA21" s="545">
        <f t="shared" si="76"/>
        <v>0</v>
      </c>
      <c r="IB21" s="546">
        <f t="shared" si="187"/>
        <v>0</v>
      </c>
      <c r="IC21" s="544">
        <v>0</v>
      </c>
      <c r="ID21" s="545">
        <f t="shared" si="77"/>
        <v>0</v>
      </c>
      <c r="IE21" s="546">
        <f t="shared" si="188"/>
        <v>0</v>
      </c>
      <c r="IF21" s="544">
        <v>15.565080022789662</v>
      </c>
      <c r="IG21" s="545">
        <f t="shared" si="78"/>
        <v>0.27244066412500284</v>
      </c>
      <c r="IH21" s="546">
        <f t="shared" si="189"/>
        <v>0</v>
      </c>
      <c r="II21" s="544"/>
      <c r="IJ21" s="545">
        <f t="shared" si="79"/>
        <v>0</v>
      </c>
      <c r="IK21" s="546">
        <f t="shared" si="190"/>
        <v>0</v>
      </c>
      <c r="IL21" s="544"/>
      <c r="IM21" s="545">
        <f t="shared" si="80"/>
        <v>0</v>
      </c>
      <c r="IN21" s="546">
        <f t="shared" si="191"/>
        <v>0</v>
      </c>
      <c r="IO21" s="544">
        <v>62.260320091158647</v>
      </c>
      <c r="IP21" s="545">
        <f t="shared" si="81"/>
        <v>1.0897626565000114</v>
      </c>
      <c r="IQ21" s="546">
        <f t="shared" si="192"/>
        <v>0</v>
      </c>
      <c r="IR21" s="544">
        <v>0</v>
      </c>
      <c r="IS21" s="545">
        <f t="shared" si="82"/>
        <v>0</v>
      </c>
      <c r="IT21" s="546">
        <f t="shared" si="193"/>
        <v>0</v>
      </c>
      <c r="IU21" s="544"/>
      <c r="IV21" s="545">
        <f t="shared" si="83"/>
        <v>0</v>
      </c>
      <c r="IW21" s="546">
        <f t="shared" si="194"/>
        <v>0</v>
      </c>
      <c r="IX21" s="544">
        <v>0</v>
      </c>
      <c r="IY21" s="545">
        <f t="shared" si="84"/>
        <v>0</v>
      </c>
      <c r="IZ21" s="546">
        <f t="shared" si="195"/>
        <v>0</v>
      </c>
      <c r="JA21" s="544"/>
      <c r="JB21" s="545">
        <f t="shared" si="85"/>
        <v>0</v>
      </c>
      <c r="JC21" s="546">
        <f t="shared" si="196"/>
        <v>0</v>
      </c>
      <c r="JD21" s="544"/>
      <c r="JE21" s="545">
        <f t="shared" si="86"/>
        <v>0</v>
      </c>
      <c r="JF21" s="546">
        <f t="shared" si="197"/>
        <v>0</v>
      </c>
      <c r="JG21" s="544">
        <v>23.347620034184494</v>
      </c>
      <c r="JH21" s="546" t="str">
        <f t="shared" si="87"/>
        <v>0</v>
      </c>
      <c r="JI21" s="546" t="str">
        <f t="shared" si="88"/>
        <v>0</v>
      </c>
      <c r="JJ21" s="544">
        <v>10.376720015193108</v>
      </c>
      <c r="JK21" s="546" t="str">
        <f t="shared" si="89"/>
        <v>0</v>
      </c>
      <c r="JL21" s="546" t="str">
        <f t="shared" si="90"/>
        <v>0</v>
      </c>
      <c r="JM21" s="544">
        <v>0</v>
      </c>
      <c r="JN21" s="546" t="str">
        <f t="shared" si="91"/>
        <v>0</v>
      </c>
      <c r="JO21" s="546" t="str">
        <f t="shared" si="92"/>
        <v>0</v>
      </c>
      <c r="JP21" s="544"/>
      <c r="JQ21" s="546" t="str">
        <f t="shared" si="93"/>
        <v>0</v>
      </c>
      <c r="JR21" s="546" t="str">
        <f t="shared" si="94"/>
        <v>0</v>
      </c>
      <c r="JS21" s="544"/>
      <c r="JT21" s="546" t="str">
        <f t="shared" si="95"/>
        <v>0</v>
      </c>
      <c r="JU21" s="546" t="str">
        <f t="shared" si="96"/>
        <v>0</v>
      </c>
      <c r="JV21" s="544"/>
      <c r="JW21" s="546" t="str">
        <f t="shared" si="97"/>
        <v>0</v>
      </c>
      <c r="JX21" s="546" t="str">
        <f t="shared" si="98"/>
        <v>0</v>
      </c>
      <c r="JY21" s="544"/>
      <c r="JZ21" s="546" t="str">
        <f t="shared" si="99"/>
        <v>0</v>
      </c>
      <c r="KA21" s="546" t="str">
        <f t="shared" si="100"/>
        <v>0</v>
      </c>
      <c r="KB21" s="544"/>
      <c r="KC21" s="546" t="str">
        <f t="shared" si="101"/>
        <v>0</v>
      </c>
      <c r="KD21" s="546" t="str">
        <f t="shared" si="102"/>
        <v>0</v>
      </c>
      <c r="KE21" s="544"/>
      <c r="KF21" s="546" t="str">
        <f t="shared" si="103"/>
        <v>0</v>
      </c>
      <c r="KG21" s="546" t="str">
        <f t="shared" si="104"/>
        <v>0</v>
      </c>
      <c r="KH21" s="544"/>
      <c r="KI21" s="546" t="str">
        <f t="shared" si="105"/>
        <v>0</v>
      </c>
      <c r="KJ21" s="546" t="str">
        <f t="shared" si="106"/>
        <v>0</v>
      </c>
      <c r="KK21" s="544"/>
      <c r="KL21" s="546" t="str">
        <f t="shared" si="107"/>
        <v>0</v>
      </c>
      <c r="KM21" s="546" t="str">
        <f t="shared" si="108"/>
        <v>0</v>
      </c>
      <c r="KN21" s="544"/>
      <c r="KO21" s="546" t="str">
        <f t="shared" si="109"/>
        <v>0</v>
      </c>
      <c r="KP21" s="546" t="str">
        <f t="shared" si="110"/>
        <v>0</v>
      </c>
      <c r="KQ21" s="546">
        <f t="shared" si="111"/>
        <v>0</v>
      </c>
      <c r="KR21" s="546">
        <f t="shared" si="198"/>
        <v>0</v>
      </c>
      <c r="KS21" s="265">
        <f t="shared" si="199"/>
        <v>2295.4870636475366</v>
      </c>
    </row>
    <row r="22" spans="1:305" ht="15" customHeight="1">
      <c r="A22" s="267">
        <f>+Report1!A22</f>
        <v>46005</v>
      </c>
      <c r="B22" s="268" t="str">
        <f>+Report1!B22</f>
        <v>Napkin</v>
      </c>
      <c r="C22" s="268" t="str">
        <f>+Report1!C22</f>
        <v>20</v>
      </c>
      <c r="D22" s="269">
        <f>+Report1!P22</f>
        <v>67.138000000000005</v>
      </c>
      <c r="E22" s="270">
        <f>+Report1!R22</f>
        <v>66.549000000000007</v>
      </c>
      <c r="F22" s="544">
        <v>0</v>
      </c>
      <c r="G22" s="545">
        <f t="shared" si="0"/>
        <v>0</v>
      </c>
      <c r="H22" s="546">
        <f t="shared" si="112"/>
        <v>0</v>
      </c>
      <c r="I22" s="544"/>
      <c r="J22" s="545">
        <f t="shared" si="1"/>
        <v>0</v>
      </c>
      <c r="K22" s="546">
        <f t="shared" si="113"/>
        <v>0</v>
      </c>
      <c r="L22" s="544"/>
      <c r="M22" s="545">
        <f t="shared" si="2"/>
        <v>0</v>
      </c>
      <c r="N22" s="546">
        <f t="shared" si="114"/>
        <v>0</v>
      </c>
      <c r="O22" s="544">
        <v>12</v>
      </c>
      <c r="P22" s="545">
        <f t="shared" si="3"/>
        <v>0.18031826173195689</v>
      </c>
      <c r="Q22" s="546">
        <f t="shared" si="115"/>
        <v>0</v>
      </c>
      <c r="R22" s="544"/>
      <c r="S22" s="545">
        <f t="shared" si="4"/>
        <v>0</v>
      </c>
      <c r="T22" s="546">
        <f t="shared" si="116"/>
        <v>0</v>
      </c>
      <c r="U22" s="544">
        <v>10.25</v>
      </c>
      <c r="V22" s="545">
        <f t="shared" si="5"/>
        <v>0.15402184856271317</v>
      </c>
      <c r="W22" s="546">
        <f t="shared" si="117"/>
        <v>0</v>
      </c>
      <c r="X22" s="544"/>
      <c r="Y22" s="545">
        <f t="shared" si="6"/>
        <v>0</v>
      </c>
      <c r="Z22" s="546">
        <f t="shared" si="118"/>
        <v>0</v>
      </c>
      <c r="AA22" s="544"/>
      <c r="AB22" s="545">
        <f t="shared" si="7"/>
        <v>0</v>
      </c>
      <c r="AC22" s="546">
        <f t="shared" si="119"/>
        <v>0</v>
      </c>
      <c r="AD22" s="544"/>
      <c r="AE22" s="545">
        <f t="shared" si="8"/>
        <v>0</v>
      </c>
      <c r="AF22" s="546">
        <f t="shared" si="120"/>
        <v>0</v>
      </c>
      <c r="AG22" s="544"/>
      <c r="AH22" s="545">
        <f t="shared" si="9"/>
        <v>0</v>
      </c>
      <c r="AI22" s="546">
        <f t="shared" si="121"/>
        <v>0</v>
      </c>
      <c r="AJ22" s="544"/>
      <c r="AK22" s="545">
        <f t="shared" si="10"/>
        <v>0</v>
      </c>
      <c r="AL22" s="546">
        <f t="shared" si="122"/>
        <v>0</v>
      </c>
      <c r="AM22" s="544">
        <v>30.50569999999999</v>
      </c>
      <c r="AN22" s="545">
        <f t="shared" si="11"/>
        <v>0.45839456640971293</v>
      </c>
      <c r="AO22" s="546">
        <f t="shared" si="123"/>
        <v>0</v>
      </c>
      <c r="AP22" s="544"/>
      <c r="AQ22" s="545">
        <f t="shared" si="12"/>
        <v>0</v>
      </c>
      <c r="AR22" s="546">
        <f t="shared" si="124"/>
        <v>0</v>
      </c>
      <c r="AS22" s="544"/>
      <c r="AT22" s="545">
        <f t="shared" si="13"/>
        <v>0</v>
      </c>
      <c r="AU22" s="546">
        <f t="shared" si="125"/>
        <v>0</v>
      </c>
      <c r="AV22" s="544">
        <v>0</v>
      </c>
      <c r="AW22" s="545">
        <f t="shared" si="14"/>
        <v>0</v>
      </c>
      <c r="AX22" s="546">
        <f t="shared" si="126"/>
        <v>0</v>
      </c>
      <c r="AY22" s="544">
        <v>51.704000000000008</v>
      </c>
      <c r="AZ22" s="545">
        <f t="shared" si="15"/>
        <v>0.77693128371575837</v>
      </c>
      <c r="BA22" s="546">
        <f t="shared" si="127"/>
        <v>0</v>
      </c>
      <c r="BB22" s="544"/>
      <c r="BC22" s="545">
        <f t="shared" si="16"/>
        <v>0</v>
      </c>
      <c r="BD22" s="546">
        <f t="shared" si="128"/>
        <v>0</v>
      </c>
      <c r="BE22" s="544"/>
      <c r="BF22" s="545">
        <f t="shared" si="17"/>
        <v>0</v>
      </c>
      <c r="BG22" s="546">
        <f t="shared" si="129"/>
        <v>0</v>
      </c>
      <c r="BH22" s="544"/>
      <c r="BI22" s="545">
        <f t="shared" si="18"/>
        <v>0</v>
      </c>
      <c r="BJ22" s="546">
        <f t="shared" si="130"/>
        <v>0</v>
      </c>
      <c r="BK22" s="544"/>
      <c r="BL22" s="545">
        <f t="shared" si="19"/>
        <v>0</v>
      </c>
      <c r="BM22" s="546">
        <f t="shared" si="131"/>
        <v>0</v>
      </c>
      <c r="BN22" s="544"/>
      <c r="BO22" s="545">
        <f t="shared" si="20"/>
        <v>0</v>
      </c>
      <c r="BP22" s="546">
        <f t="shared" si="132"/>
        <v>0</v>
      </c>
      <c r="BQ22" s="544"/>
      <c r="BR22" s="545">
        <f t="shared" si="21"/>
        <v>0</v>
      </c>
      <c r="BS22" s="546">
        <f t="shared" si="133"/>
        <v>0</v>
      </c>
      <c r="BT22" s="544"/>
      <c r="BU22" s="545">
        <f t="shared" si="22"/>
        <v>0</v>
      </c>
      <c r="BV22" s="546">
        <f t="shared" si="134"/>
        <v>0</v>
      </c>
      <c r="BW22" s="544"/>
      <c r="BX22" s="545">
        <f t="shared" si="23"/>
        <v>0</v>
      </c>
      <c r="BY22" s="546">
        <f t="shared" si="135"/>
        <v>0</v>
      </c>
      <c r="BZ22" s="544">
        <v>0</v>
      </c>
      <c r="CA22" s="545">
        <f t="shared" si="24"/>
        <v>0</v>
      </c>
      <c r="CB22" s="546">
        <f t="shared" si="136"/>
        <v>0</v>
      </c>
      <c r="CC22" s="544">
        <v>25</v>
      </c>
      <c r="CD22" s="545">
        <f t="shared" si="25"/>
        <v>0.37566304527491018</v>
      </c>
      <c r="CE22" s="546">
        <f t="shared" si="137"/>
        <v>0</v>
      </c>
      <c r="CF22" s="544">
        <v>0.60000000000000009</v>
      </c>
      <c r="CG22" s="545">
        <f t="shared" si="26"/>
        <v>9.0159130865978456E-3</v>
      </c>
      <c r="CH22" s="546">
        <f t="shared" si="138"/>
        <v>0</v>
      </c>
      <c r="CI22" s="544"/>
      <c r="CJ22" s="545">
        <f t="shared" si="27"/>
        <v>0</v>
      </c>
      <c r="CK22" s="546">
        <f t="shared" si="139"/>
        <v>0</v>
      </c>
      <c r="CL22" s="544"/>
      <c r="CM22" s="545">
        <f t="shared" si="28"/>
        <v>0</v>
      </c>
      <c r="CN22" s="546">
        <f t="shared" si="140"/>
        <v>0</v>
      </c>
      <c r="CO22" s="544"/>
      <c r="CP22" s="545">
        <f t="shared" si="29"/>
        <v>0</v>
      </c>
      <c r="CQ22" s="546">
        <f t="shared" si="141"/>
        <v>0</v>
      </c>
      <c r="CR22" s="544"/>
      <c r="CS22" s="545">
        <f t="shared" si="30"/>
        <v>0</v>
      </c>
      <c r="CT22" s="546">
        <f t="shared" si="142"/>
        <v>0</v>
      </c>
      <c r="CU22" s="544"/>
      <c r="CV22" s="545">
        <f t="shared" si="31"/>
        <v>0</v>
      </c>
      <c r="CW22" s="546">
        <f t="shared" si="143"/>
        <v>0</v>
      </c>
      <c r="CX22" s="544"/>
      <c r="CY22" s="545">
        <f t="shared" si="32"/>
        <v>0</v>
      </c>
      <c r="CZ22" s="546">
        <f t="shared" si="144"/>
        <v>0</v>
      </c>
      <c r="DA22" s="544">
        <v>0</v>
      </c>
      <c r="DB22" s="545">
        <f t="shared" si="33"/>
        <v>0</v>
      </c>
      <c r="DC22" s="546">
        <f t="shared" si="145"/>
        <v>0</v>
      </c>
      <c r="DD22" s="544"/>
      <c r="DE22" s="545">
        <f t="shared" si="34"/>
        <v>0</v>
      </c>
      <c r="DF22" s="546">
        <f t="shared" si="146"/>
        <v>0</v>
      </c>
      <c r="DG22" s="544"/>
      <c r="DH22" s="545">
        <f t="shared" si="35"/>
        <v>0</v>
      </c>
      <c r="DI22" s="546">
        <f t="shared" si="200"/>
        <v>0</v>
      </c>
      <c r="DJ22" s="544"/>
      <c r="DK22" s="545">
        <f t="shared" si="36"/>
        <v>0</v>
      </c>
      <c r="DL22" s="546">
        <f t="shared" si="147"/>
        <v>0</v>
      </c>
      <c r="DM22" s="544"/>
      <c r="DN22" s="545">
        <f t="shared" si="37"/>
        <v>0</v>
      </c>
      <c r="DO22" s="546">
        <f t="shared" si="148"/>
        <v>0</v>
      </c>
      <c r="DP22" s="544"/>
      <c r="DQ22" s="545">
        <f t="shared" si="38"/>
        <v>0</v>
      </c>
      <c r="DR22" s="546">
        <f t="shared" si="149"/>
        <v>0</v>
      </c>
      <c r="DS22" s="544"/>
      <c r="DT22" s="545">
        <f t="shared" si="39"/>
        <v>0</v>
      </c>
      <c r="DU22" s="546">
        <f t="shared" si="150"/>
        <v>0</v>
      </c>
      <c r="DV22" s="544"/>
      <c r="DW22" s="545">
        <f t="shared" si="40"/>
        <v>0</v>
      </c>
      <c r="DX22" s="546">
        <f t="shared" si="151"/>
        <v>0</v>
      </c>
      <c r="DY22" s="544"/>
      <c r="DZ22" s="545">
        <f t="shared" si="41"/>
        <v>0</v>
      </c>
      <c r="EA22" s="546">
        <f t="shared" si="152"/>
        <v>0</v>
      </c>
      <c r="EB22" s="544">
        <v>918.68811764705879</v>
      </c>
      <c r="EC22" s="545">
        <f t="shared" si="42"/>
        <v>13.804687037326762</v>
      </c>
      <c r="ED22" s="546">
        <f t="shared" si="153"/>
        <v>0</v>
      </c>
      <c r="EE22" s="544">
        <v>21.802325581395507</v>
      </c>
      <c r="EF22" s="545">
        <f t="shared" si="43"/>
        <v>0.32761312087928451</v>
      </c>
      <c r="EG22" s="546">
        <f t="shared" si="154"/>
        <v>0</v>
      </c>
      <c r="EH22" s="544">
        <v>1</v>
      </c>
      <c r="EI22" s="545">
        <f t="shared" si="44"/>
        <v>1.5026521810996406E-2</v>
      </c>
      <c r="EJ22" s="546">
        <f t="shared" si="155"/>
        <v>0</v>
      </c>
      <c r="EK22" s="544"/>
      <c r="EL22" s="545">
        <f t="shared" si="45"/>
        <v>0</v>
      </c>
      <c r="EM22" s="546">
        <f t="shared" si="156"/>
        <v>0</v>
      </c>
      <c r="EN22" s="544"/>
      <c r="EO22" s="545">
        <f t="shared" si="46"/>
        <v>0</v>
      </c>
      <c r="EP22" s="546">
        <f t="shared" si="157"/>
        <v>0</v>
      </c>
      <c r="EQ22" s="544"/>
      <c r="ER22" s="545">
        <f t="shared" si="47"/>
        <v>0</v>
      </c>
      <c r="ES22" s="546">
        <f t="shared" si="158"/>
        <v>0</v>
      </c>
      <c r="ET22" s="544"/>
      <c r="EU22" s="545">
        <f t="shared" si="48"/>
        <v>0</v>
      </c>
      <c r="EV22" s="546">
        <f t="shared" si="159"/>
        <v>0</v>
      </c>
      <c r="EW22" s="544"/>
      <c r="EX22" s="545">
        <f t="shared" si="49"/>
        <v>0</v>
      </c>
      <c r="EY22" s="546">
        <f t="shared" si="160"/>
        <v>0</v>
      </c>
      <c r="EZ22" s="544"/>
      <c r="FA22" s="545">
        <f t="shared" si="50"/>
        <v>0</v>
      </c>
      <c r="FB22" s="546">
        <f t="shared" si="161"/>
        <v>0</v>
      </c>
      <c r="FC22" s="544"/>
      <c r="FD22" s="545">
        <f t="shared" si="51"/>
        <v>0</v>
      </c>
      <c r="FE22" s="546">
        <f t="shared" si="162"/>
        <v>0</v>
      </c>
      <c r="FF22" s="544"/>
      <c r="FG22" s="545">
        <f t="shared" si="52"/>
        <v>0</v>
      </c>
      <c r="FH22" s="546">
        <f t="shared" si="163"/>
        <v>0</v>
      </c>
      <c r="FI22" s="544"/>
      <c r="FJ22" s="545">
        <f t="shared" si="53"/>
        <v>0</v>
      </c>
      <c r="FK22" s="546">
        <f t="shared" si="164"/>
        <v>0</v>
      </c>
      <c r="FL22" s="544"/>
      <c r="FM22" s="545">
        <f t="shared" si="54"/>
        <v>0</v>
      </c>
      <c r="FN22" s="546">
        <f t="shared" si="165"/>
        <v>0</v>
      </c>
      <c r="FO22" s="544"/>
      <c r="FP22" s="545">
        <f t="shared" si="55"/>
        <v>0</v>
      </c>
      <c r="FQ22" s="546">
        <f t="shared" si="166"/>
        <v>0</v>
      </c>
      <c r="FR22" s="544"/>
      <c r="FS22" s="545">
        <f t="shared" si="56"/>
        <v>0</v>
      </c>
      <c r="FT22" s="546">
        <f t="shared" si="167"/>
        <v>0</v>
      </c>
      <c r="FU22" s="544"/>
      <c r="FV22" s="545">
        <f t="shared" si="57"/>
        <v>0</v>
      </c>
      <c r="FW22" s="546">
        <f t="shared" si="168"/>
        <v>0</v>
      </c>
      <c r="FX22" s="544"/>
      <c r="FY22" s="545">
        <f t="shared" si="58"/>
        <v>0</v>
      </c>
      <c r="FZ22" s="546">
        <f t="shared" si="169"/>
        <v>0</v>
      </c>
      <c r="GA22" s="544"/>
      <c r="GB22" s="545">
        <f t="shared" si="59"/>
        <v>0</v>
      </c>
      <c r="GC22" s="546">
        <f t="shared" si="170"/>
        <v>0</v>
      </c>
      <c r="GD22" s="544"/>
      <c r="GE22" s="545">
        <f t="shared" si="60"/>
        <v>0</v>
      </c>
      <c r="GF22" s="546">
        <f t="shared" si="171"/>
        <v>0</v>
      </c>
      <c r="GG22" s="544">
        <v>14.852619749219077</v>
      </c>
      <c r="GH22" s="545">
        <f t="shared" si="61"/>
        <v>0.22318321461207644</v>
      </c>
      <c r="GI22" s="546">
        <f t="shared" si="172"/>
        <v>0</v>
      </c>
      <c r="GJ22" s="544">
        <v>14.852619749219077</v>
      </c>
      <c r="GK22" s="545">
        <f t="shared" si="62"/>
        <v>0.22318321461207644</v>
      </c>
      <c r="GL22" s="546">
        <f t="shared" si="173"/>
        <v>0</v>
      </c>
      <c r="GM22" s="544">
        <v>0</v>
      </c>
      <c r="GN22" s="545">
        <f t="shared" si="63"/>
        <v>0</v>
      </c>
      <c r="GO22" s="546">
        <f t="shared" si="174"/>
        <v>0</v>
      </c>
      <c r="GP22" s="544">
        <v>35.646287398125779</v>
      </c>
      <c r="GQ22" s="545">
        <f t="shared" si="64"/>
        <v>0.53563971506898334</v>
      </c>
      <c r="GR22" s="546">
        <f t="shared" si="175"/>
        <v>0</v>
      </c>
      <c r="GS22" s="544">
        <v>207.93667648906705</v>
      </c>
      <c r="GT22" s="545">
        <f t="shared" si="65"/>
        <v>3.12456500456907</v>
      </c>
      <c r="GU22" s="546">
        <f t="shared" si="176"/>
        <v>0</v>
      </c>
      <c r="GV22" s="544">
        <v>29.705239498438154</v>
      </c>
      <c r="GW22" s="545">
        <f t="shared" si="66"/>
        <v>0.44636642922415287</v>
      </c>
      <c r="GX22" s="546">
        <f t="shared" si="177"/>
        <v>0</v>
      </c>
      <c r="GY22" s="544"/>
      <c r="GZ22" s="545">
        <f t="shared" si="67"/>
        <v>0</v>
      </c>
      <c r="HA22" s="546">
        <f t="shared" si="178"/>
        <v>0</v>
      </c>
      <c r="HB22" s="544"/>
      <c r="HC22" s="545">
        <f t="shared" si="68"/>
        <v>0</v>
      </c>
      <c r="HD22" s="546">
        <f t="shared" si="179"/>
        <v>0</v>
      </c>
      <c r="HE22" s="544"/>
      <c r="HF22" s="545">
        <f t="shared" si="69"/>
        <v>0</v>
      </c>
      <c r="HG22" s="546">
        <f t="shared" si="180"/>
        <v>0</v>
      </c>
      <c r="HH22" s="544"/>
      <c r="HI22" s="545">
        <f t="shared" si="70"/>
        <v>0</v>
      </c>
      <c r="HJ22" s="546">
        <f t="shared" si="181"/>
        <v>0</v>
      </c>
      <c r="HK22" s="544"/>
      <c r="HL22" s="545">
        <f t="shared" si="71"/>
        <v>0</v>
      </c>
      <c r="HM22" s="546">
        <f t="shared" si="182"/>
        <v>0</v>
      </c>
      <c r="HN22" s="544">
        <v>1017.7015052164911</v>
      </c>
      <c r="HO22" s="545">
        <f t="shared" si="72"/>
        <v>15.292513865219478</v>
      </c>
      <c r="HP22" s="546">
        <f t="shared" si="183"/>
        <v>0</v>
      </c>
      <c r="HQ22" s="544"/>
      <c r="HR22" s="545">
        <f t="shared" si="73"/>
        <v>0</v>
      </c>
      <c r="HS22" s="546">
        <f t="shared" si="184"/>
        <v>0</v>
      </c>
      <c r="HT22" s="544">
        <v>0</v>
      </c>
      <c r="HU22" s="545">
        <f t="shared" si="74"/>
        <v>0</v>
      </c>
      <c r="HV22" s="546">
        <f t="shared" si="185"/>
        <v>0</v>
      </c>
      <c r="HW22" s="544">
        <v>0</v>
      </c>
      <c r="HX22" s="545">
        <f t="shared" si="75"/>
        <v>0</v>
      </c>
      <c r="HY22" s="546">
        <f t="shared" si="186"/>
        <v>0</v>
      </c>
      <c r="HZ22" s="544">
        <v>0</v>
      </c>
      <c r="IA22" s="545">
        <f t="shared" si="76"/>
        <v>0</v>
      </c>
      <c r="IB22" s="546">
        <f t="shared" si="187"/>
        <v>0</v>
      </c>
      <c r="IC22" s="544">
        <v>0</v>
      </c>
      <c r="ID22" s="545">
        <f t="shared" si="77"/>
        <v>0</v>
      </c>
      <c r="IE22" s="546">
        <f t="shared" si="188"/>
        <v>0</v>
      </c>
      <c r="IF22" s="544">
        <v>23.764191598750521</v>
      </c>
      <c r="IG22" s="545">
        <f t="shared" si="78"/>
        <v>0.3570931433793223</v>
      </c>
      <c r="IH22" s="546">
        <f t="shared" si="189"/>
        <v>0</v>
      </c>
      <c r="II22" s="544"/>
      <c r="IJ22" s="545">
        <f t="shared" si="79"/>
        <v>0</v>
      </c>
      <c r="IK22" s="546">
        <f t="shared" si="190"/>
        <v>0</v>
      </c>
      <c r="IL22" s="544"/>
      <c r="IM22" s="545">
        <f t="shared" si="80"/>
        <v>0</v>
      </c>
      <c r="IN22" s="546">
        <f t="shared" si="191"/>
        <v>0</v>
      </c>
      <c r="IO22" s="544">
        <v>59.410478996876307</v>
      </c>
      <c r="IP22" s="545">
        <f t="shared" si="81"/>
        <v>0.89273285844830574</v>
      </c>
      <c r="IQ22" s="546">
        <f t="shared" si="192"/>
        <v>0</v>
      </c>
      <c r="IR22" s="544">
        <v>0</v>
      </c>
      <c r="IS22" s="545">
        <f t="shared" si="82"/>
        <v>0</v>
      </c>
      <c r="IT22" s="546">
        <f t="shared" si="193"/>
        <v>0</v>
      </c>
      <c r="IU22" s="544"/>
      <c r="IV22" s="545">
        <f t="shared" si="83"/>
        <v>0</v>
      </c>
      <c r="IW22" s="546">
        <f t="shared" si="194"/>
        <v>0</v>
      </c>
      <c r="IX22" s="544">
        <v>0</v>
      </c>
      <c r="IY22" s="545">
        <f t="shared" si="84"/>
        <v>0</v>
      </c>
      <c r="IZ22" s="546">
        <f t="shared" si="195"/>
        <v>0</v>
      </c>
      <c r="JA22" s="544"/>
      <c r="JB22" s="545">
        <f t="shared" si="85"/>
        <v>0</v>
      </c>
      <c r="JC22" s="546">
        <f t="shared" si="196"/>
        <v>0</v>
      </c>
      <c r="JD22" s="544"/>
      <c r="JE22" s="545">
        <f t="shared" si="86"/>
        <v>0</v>
      </c>
      <c r="JF22" s="546">
        <f t="shared" si="197"/>
        <v>0</v>
      </c>
      <c r="JG22" s="544">
        <v>26.734715548594338</v>
      </c>
      <c r="JH22" s="546" t="str">
        <f t="shared" si="87"/>
        <v>0</v>
      </c>
      <c r="JI22" s="546" t="str">
        <f t="shared" si="88"/>
        <v>0</v>
      </c>
      <c r="JJ22" s="544">
        <v>5.9410478996876304</v>
      </c>
      <c r="JK22" s="546" t="str">
        <f t="shared" si="89"/>
        <v>0</v>
      </c>
      <c r="JL22" s="546" t="str">
        <f t="shared" si="90"/>
        <v>0</v>
      </c>
      <c r="JM22" s="544">
        <v>0</v>
      </c>
      <c r="JN22" s="546" t="str">
        <f t="shared" si="91"/>
        <v>0</v>
      </c>
      <c r="JO22" s="546" t="str">
        <f t="shared" si="92"/>
        <v>0</v>
      </c>
      <c r="JP22" s="544"/>
      <c r="JQ22" s="546" t="str">
        <f t="shared" si="93"/>
        <v>0</v>
      </c>
      <c r="JR22" s="546" t="str">
        <f t="shared" si="94"/>
        <v>0</v>
      </c>
      <c r="JS22" s="544"/>
      <c r="JT22" s="546" t="str">
        <f t="shared" si="95"/>
        <v>0</v>
      </c>
      <c r="JU22" s="546" t="str">
        <f t="shared" si="96"/>
        <v>0</v>
      </c>
      <c r="JV22" s="544"/>
      <c r="JW22" s="546" t="str">
        <f t="shared" si="97"/>
        <v>0</v>
      </c>
      <c r="JX22" s="546" t="str">
        <f t="shared" si="98"/>
        <v>0</v>
      </c>
      <c r="JY22" s="544"/>
      <c r="JZ22" s="546" t="str">
        <f t="shared" si="99"/>
        <v>0</v>
      </c>
      <c r="KA22" s="546" t="str">
        <f t="shared" si="100"/>
        <v>0</v>
      </c>
      <c r="KB22" s="544"/>
      <c r="KC22" s="546" t="str">
        <f t="shared" si="101"/>
        <v>0</v>
      </c>
      <c r="KD22" s="546" t="str">
        <f t="shared" si="102"/>
        <v>0</v>
      </c>
      <c r="KE22" s="544"/>
      <c r="KF22" s="546" t="str">
        <f t="shared" si="103"/>
        <v>0</v>
      </c>
      <c r="KG22" s="546" t="str">
        <f t="shared" si="104"/>
        <v>0</v>
      </c>
      <c r="KH22" s="544"/>
      <c r="KI22" s="546" t="str">
        <f t="shared" si="105"/>
        <v>0</v>
      </c>
      <c r="KJ22" s="546" t="str">
        <f t="shared" si="106"/>
        <v>0</v>
      </c>
      <c r="KK22" s="544"/>
      <c r="KL22" s="546" t="str">
        <f t="shared" si="107"/>
        <v>0</v>
      </c>
      <c r="KM22" s="546" t="str">
        <f t="shared" si="108"/>
        <v>0</v>
      </c>
      <c r="KN22" s="544"/>
      <c r="KO22" s="546" t="str">
        <f t="shared" si="109"/>
        <v>0</v>
      </c>
      <c r="KP22" s="546" t="str">
        <f t="shared" si="110"/>
        <v>0</v>
      </c>
      <c r="KQ22" s="546">
        <f t="shared" si="111"/>
        <v>0</v>
      </c>
      <c r="KR22" s="546">
        <f t="shared" si="198"/>
        <v>0</v>
      </c>
      <c r="KS22" s="265">
        <f t="shared" si="199"/>
        <v>2508.0955253729235</v>
      </c>
    </row>
    <row r="23" spans="1:305" ht="15" customHeight="1">
      <c r="A23" s="267">
        <f>+Report1!A23</f>
        <v>46006</v>
      </c>
      <c r="B23" s="268" t="str">
        <f>+Report1!B23</f>
        <v>Napkin</v>
      </c>
      <c r="C23" s="268" t="str">
        <f>+Report1!C23</f>
        <v>20</v>
      </c>
      <c r="D23" s="269">
        <f>+Report1!P23</f>
        <v>65.415999999999997</v>
      </c>
      <c r="E23" s="270">
        <f>+Report1!R23</f>
        <v>67.039000000000001</v>
      </c>
      <c r="F23" s="544">
        <v>0</v>
      </c>
      <c r="G23" s="545">
        <f t="shared" si="0"/>
        <v>0</v>
      </c>
      <c r="H23" s="546">
        <f t="shared" si="112"/>
        <v>0</v>
      </c>
      <c r="I23" s="544"/>
      <c r="J23" s="545">
        <f t="shared" si="1"/>
        <v>0</v>
      </c>
      <c r="K23" s="546">
        <f t="shared" si="113"/>
        <v>0</v>
      </c>
      <c r="L23" s="544"/>
      <c r="M23" s="545">
        <f t="shared" si="2"/>
        <v>0</v>
      </c>
      <c r="N23" s="546">
        <f t="shared" si="114"/>
        <v>0</v>
      </c>
      <c r="O23" s="544">
        <v>12</v>
      </c>
      <c r="P23" s="545">
        <f t="shared" si="3"/>
        <v>0.17900028341711541</v>
      </c>
      <c r="Q23" s="546">
        <f t="shared" si="115"/>
        <v>0</v>
      </c>
      <c r="R23" s="544"/>
      <c r="S23" s="545">
        <f t="shared" si="4"/>
        <v>0</v>
      </c>
      <c r="T23" s="546">
        <f t="shared" si="116"/>
        <v>0</v>
      </c>
      <c r="U23" s="544">
        <v>10.25</v>
      </c>
      <c r="V23" s="545">
        <f t="shared" si="5"/>
        <v>0.15289607541878608</v>
      </c>
      <c r="W23" s="546">
        <f t="shared" si="117"/>
        <v>0</v>
      </c>
      <c r="X23" s="544"/>
      <c r="Y23" s="545">
        <f t="shared" si="6"/>
        <v>0</v>
      </c>
      <c r="Z23" s="546">
        <f t="shared" si="118"/>
        <v>0</v>
      </c>
      <c r="AA23" s="544"/>
      <c r="AB23" s="545">
        <f t="shared" si="7"/>
        <v>0</v>
      </c>
      <c r="AC23" s="546">
        <f t="shared" si="119"/>
        <v>0</v>
      </c>
      <c r="AD23" s="544"/>
      <c r="AE23" s="545">
        <f t="shared" si="8"/>
        <v>0</v>
      </c>
      <c r="AF23" s="546">
        <f t="shared" si="120"/>
        <v>0</v>
      </c>
      <c r="AG23" s="544"/>
      <c r="AH23" s="545">
        <f t="shared" si="9"/>
        <v>0</v>
      </c>
      <c r="AI23" s="546">
        <f t="shared" si="121"/>
        <v>0</v>
      </c>
      <c r="AJ23" s="544"/>
      <c r="AK23" s="545">
        <f t="shared" si="10"/>
        <v>0</v>
      </c>
      <c r="AL23" s="546">
        <f t="shared" si="122"/>
        <v>0</v>
      </c>
      <c r="AM23" s="544">
        <v>36.796030769230811</v>
      </c>
      <c r="AN23" s="545">
        <f t="shared" si="11"/>
        <v>0.54887499469310119</v>
      </c>
      <c r="AO23" s="546">
        <f t="shared" si="123"/>
        <v>0</v>
      </c>
      <c r="AP23" s="544"/>
      <c r="AQ23" s="545">
        <f t="shared" si="12"/>
        <v>0</v>
      </c>
      <c r="AR23" s="546">
        <f t="shared" si="124"/>
        <v>0</v>
      </c>
      <c r="AS23" s="544"/>
      <c r="AT23" s="545">
        <f t="shared" si="13"/>
        <v>0</v>
      </c>
      <c r="AU23" s="546">
        <f t="shared" si="125"/>
        <v>0</v>
      </c>
      <c r="AV23" s="544">
        <v>0</v>
      </c>
      <c r="AW23" s="545">
        <f t="shared" si="14"/>
        <v>0</v>
      </c>
      <c r="AX23" s="546">
        <f t="shared" si="126"/>
        <v>0</v>
      </c>
      <c r="AY23" s="544">
        <v>44.335599999999999</v>
      </c>
      <c r="AZ23" s="545">
        <f t="shared" si="15"/>
        <v>0.66134041378898845</v>
      </c>
      <c r="BA23" s="546">
        <f t="shared" si="127"/>
        <v>0</v>
      </c>
      <c r="BB23" s="544"/>
      <c r="BC23" s="545">
        <f t="shared" si="16"/>
        <v>0</v>
      </c>
      <c r="BD23" s="546">
        <f t="shared" si="128"/>
        <v>0</v>
      </c>
      <c r="BE23" s="544"/>
      <c r="BF23" s="545">
        <f t="shared" si="17"/>
        <v>0</v>
      </c>
      <c r="BG23" s="546">
        <f t="shared" si="129"/>
        <v>0</v>
      </c>
      <c r="BH23" s="544"/>
      <c r="BI23" s="545">
        <f t="shared" si="18"/>
        <v>0</v>
      </c>
      <c r="BJ23" s="546">
        <f t="shared" si="130"/>
        <v>0</v>
      </c>
      <c r="BK23" s="544"/>
      <c r="BL23" s="545">
        <f t="shared" si="19"/>
        <v>0</v>
      </c>
      <c r="BM23" s="546">
        <f t="shared" si="131"/>
        <v>0</v>
      </c>
      <c r="BN23" s="544"/>
      <c r="BO23" s="545">
        <f t="shared" si="20"/>
        <v>0</v>
      </c>
      <c r="BP23" s="546">
        <f t="shared" si="132"/>
        <v>0</v>
      </c>
      <c r="BQ23" s="544"/>
      <c r="BR23" s="545">
        <f t="shared" si="21"/>
        <v>0</v>
      </c>
      <c r="BS23" s="546">
        <f t="shared" si="133"/>
        <v>0</v>
      </c>
      <c r="BT23" s="544"/>
      <c r="BU23" s="545">
        <f t="shared" si="22"/>
        <v>0</v>
      </c>
      <c r="BV23" s="546">
        <f t="shared" si="134"/>
        <v>0</v>
      </c>
      <c r="BW23" s="544"/>
      <c r="BX23" s="545">
        <f t="shared" si="23"/>
        <v>0</v>
      </c>
      <c r="BY23" s="546">
        <f t="shared" si="135"/>
        <v>0</v>
      </c>
      <c r="BZ23" s="544">
        <v>0</v>
      </c>
      <c r="CA23" s="545">
        <f t="shared" si="24"/>
        <v>0</v>
      </c>
      <c r="CB23" s="546">
        <f t="shared" si="136"/>
        <v>0</v>
      </c>
      <c r="CC23" s="544">
        <v>37.5</v>
      </c>
      <c r="CD23" s="545">
        <f t="shared" si="25"/>
        <v>0.55937588567848562</v>
      </c>
      <c r="CE23" s="546">
        <f t="shared" si="137"/>
        <v>0</v>
      </c>
      <c r="CF23" s="544">
        <v>0.59999999999999987</v>
      </c>
      <c r="CG23" s="545">
        <f t="shared" si="26"/>
        <v>8.950014170855768E-3</v>
      </c>
      <c r="CH23" s="546">
        <f t="shared" si="138"/>
        <v>0</v>
      </c>
      <c r="CI23" s="544"/>
      <c r="CJ23" s="545">
        <f t="shared" si="27"/>
        <v>0</v>
      </c>
      <c r="CK23" s="546">
        <f t="shared" si="139"/>
        <v>0</v>
      </c>
      <c r="CL23" s="544"/>
      <c r="CM23" s="545">
        <f t="shared" si="28"/>
        <v>0</v>
      </c>
      <c r="CN23" s="546">
        <f t="shared" si="140"/>
        <v>0</v>
      </c>
      <c r="CO23" s="544"/>
      <c r="CP23" s="545">
        <f t="shared" si="29"/>
        <v>0</v>
      </c>
      <c r="CQ23" s="546">
        <f t="shared" si="141"/>
        <v>0</v>
      </c>
      <c r="CR23" s="544"/>
      <c r="CS23" s="545">
        <f t="shared" si="30"/>
        <v>0</v>
      </c>
      <c r="CT23" s="546">
        <f t="shared" si="142"/>
        <v>0</v>
      </c>
      <c r="CU23" s="544"/>
      <c r="CV23" s="545">
        <f t="shared" si="31"/>
        <v>0</v>
      </c>
      <c r="CW23" s="546">
        <f t="shared" si="143"/>
        <v>0</v>
      </c>
      <c r="CX23" s="544"/>
      <c r="CY23" s="545">
        <f t="shared" si="32"/>
        <v>0</v>
      </c>
      <c r="CZ23" s="546">
        <f t="shared" si="144"/>
        <v>0</v>
      </c>
      <c r="DA23" s="544">
        <v>0</v>
      </c>
      <c r="DB23" s="545">
        <f t="shared" si="33"/>
        <v>0</v>
      </c>
      <c r="DC23" s="546">
        <f t="shared" si="145"/>
        <v>0</v>
      </c>
      <c r="DD23" s="544"/>
      <c r="DE23" s="545">
        <f t="shared" si="34"/>
        <v>0</v>
      </c>
      <c r="DF23" s="546">
        <f t="shared" si="146"/>
        <v>0</v>
      </c>
      <c r="DG23" s="544"/>
      <c r="DH23" s="545">
        <f t="shared" si="35"/>
        <v>0</v>
      </c>
      <c r="DI23" s="546">
        <f t="shared" si="200"/>
        <v>0</v>
      </c>
      <c r="DJ23" s="544"/>
      <c r="DK23" s="545">
        <f t="shared" si="36"/>
        <v>0</v>
      </c>
      <c r="DL23" s="546">
        <f t="shared" si="147"/>
        <v>0</v>
      </c>
      <c r="DM23" s="544"/>
      <c r="DN23" s="545">
        <f t="shared" si="37"/>
        <v>0</v>
      </c>
      <c r="DO23" s="546">
        <f t="shared" si="148"/>
        <v>0</v>
      </c>
      <c r="DP23" s="544"/>
      <c r="DQ23" s="545">
        <f t="shared" si="38"/>
        <v>0</v>
      </c>
      <c r="DR23" s="546">
        <f t="shared" si="149"/>
        <v>0</v>
      </c>
      <c r="DS23" s="544"/>
      <c r="DT23" s="545">
        <f t="shared" si="39"/>
        <v>0</v>
      </c>
      <c r="DU23" s="546">
        <f t="shared" si="150"/>
        <v>0</v>
      </c>
      <c r="DV23" s="544"/>
      <c r="DW23" s="545">
        <f t="shared" si="40"/>
        <v>0</v>
      </c>
      <c r="DX23" s="546">
        <f t="shared" si="151"/>
        <v>0</v>
      </c>
      <c r="DY23" s="544"/>
      <c r="DZ23" s="545">
        <f t="shared" si="41"/>
        <v>0</v>
      </c>
      <c r="EA23" s="546">
        <f t="shared" si="152"/>
        <v>0</v>
      </c>
      <c r="EB23" s="544">
        <v>976.47058823529392</v>
      </c>
      <c r="EC23" s="545">
        <f t="shared" si="42"/>
        <v>14.565709336882918</v>
      </c>
      <c r="ED23" s="546">
        <f t="shared" si="153"/>
        <v>0</v>
      </c>
      <c r="EE23" s="544">
        <v>29.069767441860449</v>
      </c>
      <c r="EF23" s="545">
        <f t="shared" si="43"/>
        <v>0.4336247175802212</v>
      </c>
      <c r="EG23" s="546">
        <f t="shared" si="154"/>
        <v>0</v>
      </c>
      <c r="EH23" s="544">
        <v>1</v>
      </c>
      <c r="EI23" s="545">
        <f t="shared" si="44"/>
        <v>1.4916690284759617E-2</v>
      </c>
      <c r="EJ23" s="546">
        <f t="shared" si="155"/>
        <v>0</v>
      </c>
      <c r="EK23" s="544"/>
      <c r="EL23" s="545">
        <f t="shared" si="45"/>
        <v>0</v>
      </c>
      <c r="EM23" s="546">
        <f t="shared" si="156"/>
        <v>0</v>
      </c>
      <c r="EN23" s="544"/>
      <c r="EO23" s="545">
        <f t="shared" si="46"/>
        <v>0</v>
      </c>
      <c r="EP23" s="546">
        <f t="shared" si="157"/>
        <v>0</v>
      </c>
      <c r="EQ23" s="544"/>
      <c r="ER23" s="545">
        <f t="shared" si="47"/>
        <v>0</v>
      </c>
      <c r="ES23" s="546">
        <f t="shared" si="158"/>
        <v>0</v>
      </c>
      <c r="ET23" s="544"/>
      <c r="EU23" s="545">
        <f t="shared" si="48"/>
        <v>0</v>
      </c>
      <c r="EV23" s="546">
        <f t="shared" si="159"/>
        <v>0</v>
      </c>
      <c r="EW23" s="544"/>
      <c r="EX23" s="545">
        <f t="shared" si="49"/>
        <v>0</v>
      </c>
      <c r="EY23" s="546">
        <f t="shared" si="160"/>
        <v>0</v>
      </c>
      <c r="EZ23" s="544"/>
      <c r="FA23" s="545">
        <f t="shared" si="50"/>
        <v>0</v>
      </c>
      <c r="FB23" s="546">
        <f t="shared" si="161"/>
        <v>0</v>
      </c>
      <c r="FC23" s="544"/>
      <c r="FD23" s="545">
        <f t="shared" si="51"/>
        <v>0</v>
      </c>
      <c r="FE23" s="546">
        <f t="shared" si="162"/>
        <v>0</v>
      </c>
      <c r="FF23" s="544"/>
      <c r="FG23" s="545">
        <f t="shared" si="52"/>
        <v>0</v>
      </c>
      <c r="FH23" s="546">
        <f t="shared" si="163"/>
        <v>0</v>
      </c>
      <c r="FI23" s="544"/>
      <c r="FJ23" s="545">
        <f t="shared" si="53"/>
        <v>0</v>
      </c>
      <c r="FK23" s="546">
        <f t="shared" si="164"/>
        <v>0</v>
      </c>
      <c r="FL23" s="544"/>
      <c r="FM23" s="545">
        <f t="shared" si="54"/>
        <v>0</v>
      </c>
      <c r="FN23" s="546">
        <f t="shared" si="165"/>
        <v>0</v>
      </c>
      <c r="FO23" s="544"/>
      <c r="FP23" s="545">
        <f t="shared" si="55"/>
        <v>0</v>
      </c>
      <c r="FQ23" s="546">
        <f t="shared" si="166"/>
        <v>0</v>
      </c>
      <c r="FR23" s="544"/>
      <c r="FS23" s="545">
        <f t="shared" si="56"/>
        <v>0</v>
      </c>
      <c r="FT23" s="546">
        <f t="shared" si="167"/>
        <v>0</v>
      </c>
      <c r="FU23" s="544"/>
      <c r="FV23" s="545">
        <f t="shared" si="57"/>
        <v>0</v>
      </c>
      <c r="FW23" s="546">
        <f t="shared" si="168"/>
        <v>0</v>
      </c>
      <c r="FX23" s="544"/>
      <c r="FY23" s="545">
        <f t="shared" si="58"/>
        <v>0</v>
      </c>
      <c r="FZ23" s="546">
        <f t="shared" si="169"/>
        <v>0</v>
      </c>
      <c r="GA23" s="544"/>
      <c r="GB23" s="545">
        <f t="shared" si="59"/>
        <v>0</v>
      </c>
      <c r="GC23" s="546">
        <f t="shared" si="170"/>
        <v>0</v>
      </c>
      <c r="GD23" s="544"/>
      <c r="GE23" s="545">
        <f t="shared" si="60"/>
        <v>0</v>
      </c>
      <c r="GF23" s="546">
        <f t="shared" si="171"/>
        <v>0</v>
      </c>
      <c r="GG23" s="544">
        <v>17.520109273030808</v>
      </c>
      <c r="GH23" s="545">
        <f t="shared" si="61"/>
        <v>0.26134204378094555</v>
      </c>
      <c r="GI23" s="546">
        <f t="shared" si="172"/>
        <v>0</v>
      </c>
      <c r="GJ23" s="544">
        <v>17.520109273030808</v>
      </c>
      <c r="GK23" s="545">
        <f t="shared" si="62"/>
        <v>0.26134204378094555</v>
      </c>
      <c r="GL23" s="546">
        <f t="shared" si="173"/>
        <v>0</v>
      </c>
      <c r="GM23" s="544">
        <v>0</v>
      </c>
      <c r="GN23" s="545">
        <f t="shared" si="63"/>
        <v>0</v>
      </c>
      <c r="GO23" s="546">
        <f t="shared" si="174"/>
        <v>0</v>
      </c>
      <c r="GP23" s="544">
        <v>37.960236758233421</v>
      </c>
      <c r="GQ23" s="545">
        <f t="shared" si="64"/>
        <v>0.56624109485871543</v>
      </c>
      <c r="GR23" s="546">
        <f t="shared" si="175"/>
        <v>0</v>
      </c>
      <c r="GS23" s="544">
        <v>192.7212020033389</v>
      </c>
      <c r="GT23" s="545">
        <f t="shared" si="65"/>
        <v>2.8747624815904009</v>
      </c>
      <c r="GU23" s="546">
        <f t="shared" si="176"/>
        <v>0</v>
      </c>
      <c r="GV23" s="544">
        <v>29.200182121718015</v>
      </c>
      <c r="GW23" s="545">
        <f t="shared" si="66"/>
        <v>0.43557007296824257</v>
      </c>
      <c r="GX23" s="546">
        <f t="shared" si="177"/>
        <v>0</v>
      </c>
      <c r="GY23" s="544"/>
      <c r="GZ23" s="545">
        <f t="shared" si="67"/>
        <v>0</v>
      </c>
      <c r="HA23" s="546">
        <f t="shared" si="178"/>
        <v>0</v>
      </c>
      <c r="HB23" s="544"/>
      <c r="HC23" s="545">
        <f t="shared" si="68"/>
        <v>0</v>
      </c>
      <c r="HD23" s="546">
        <f t="shared" si="179"/>
        <v>0</v>
      </c>
      <c r="HE23" s="544"/>
      <c r="HF23" s="545">
        <f t="shared" si="69"/>
        <v>0</v>
      </c>
      <c r="HG23" s="546">
        <f t="shared" si="180"/>
        <v>0</v>
      </c>
      <c r="HH23" s="544"/>
      <c r="HI23" s="545">
        <f t="shared" si="70"/>
        <v>0</v>
      </c>
      <c r="HJ23" s="546">
        <f t="shared" si="181"/>
        <v>0</v>
      </c>
      <c r="HK23" s="544"/>
      <c r="HL23" s="545">
        <f t="shared" si="71"/>
        <v>0</v>
      </c>
      <c r="HM23" s="546">
        <f t="shared" si="182"/>
        <v>0</v>
      </c>
      <c r="HN23" s="544">
        <v>1058.7986037334952</v>
      </c>
      <c r="HO23" s="545">
        <f t="shared" si="72"/>
        <v>15.793770845828474</v>
      </c>
      <c r="HP23" s="546">
        <f t="shared" si="183"/>
        <v>0</v>
      </c>
      <c r="HQ23" s="544"/>
      <c r="HR23" s="545">
        <f t="shared" si="73"/>
        <v>0</v>
      </c>
      <c r="HS23" s="546">
        <f t="shared" si="184"/>
        <v>0</v>
      </c>
      <c r="HT23" s="544">
        <v>0</v>
      </c>
      <c r="HU23" s="545">
        <f t="shared" si="74"/>
        <v>0</v>
      </c>
      <c r="HV23" s="546">
        <f t="shared" si="185"/>
        <v>0</v>
      </c>
      <c r="HW23" s="544">
        <v>0</v>
      </c>
      <c r="HX23" s="545">
        <f t="shared" si="75"/>
        <v>0</v>
      </c>
      <c r="HY23" s="546">
        <f t="shared" si="186"/>
        <v>0</v>
      </c>
      <c r="HZ23" s="544">
        <v>0</v>
      </c>
      <c r="IA23" s="545">
        <f t="shared" si="76"/>
        <v>0</v>
      </c>
      <c r="IB23" s="546">
        <f t="shared" si="187"/>
        <v>0</v>
      </c>
      <c r="IC23" s="544">
        <v>0</v>
      </c>
      <c r="ID23" s="545">
        <f t="shared" si="77"/>
        <v>0</v>
      </c>
      <c r="IE23" s="546">
        <f t="shared" si="188"/>
        <v>0</v>
      </c>
      <c r="IF23" s="544">
        <v>17.520109273030808</v>
      </c>
      <c r="IG23" s="545">
        <f t="shared" si="78"/>
        <v>0.26134204378094555</v>
      </c>
      <c r="IH23" s="546">
        <f t="shared" si="189"/>
        <v>0</v>
      </c>
      <c r="II23" s="544"/>
      <c r="IJ23" s="545">
        <f t="shared" si="79"/>
        <v>0</v>
      </c>
      <c r="IK23" s="546">
        <f t="shared" si="190"/>
        <v>0</v>
      </c>
      <c r="IL23" s="544"/>
      <c r="IM23" s="545">
        <f t="shared" si="80"/>
        <v>0</v>
      </c>
      <c r="IN23" s="546">
        <f t="shared" si="191"/>
        <v>0</v>
      </c>
      <c r="IO23" s="544">
        <v>84.680528152982248</v>
      </c>
      <c r="IP23" s="545">
        <f t="shared" si="81"/>
        <v>1.2631532116079036</v>
      </c>
      <c r="IQ23" s="546">
        <f t="shared" si="192"/>
        <v>0</v>
      </c>
      <c r="IR23" s="544">
        <v>0</v>
      </c>
      <c r="IS23" s="545">
        <f t="shared" si="82"/>
        <v>0</v>
      </c>
      <c r="IT23" s="546">
        <f t="shared" si="193"/>
        <v>0</v>
      </c>
      <c r="IU23" s="544"/>
      <c r="IV23" s="545">
        <f t="shared" si="83"/>
        <v>0</v>
      </c>
      <c r="IW23" s="546">
        <f t="shared" si="194"/>
        <v>0</v>
      </c>
      <c r="IX23" s="544">
        <v>0</v>
      </c>
      <c r="IY23" s="545">
        <f t="shared" si="84"/>
        <v>0</v>
      </c>
      <c r="IZ23" s="546">
        <f t="shared" si="195"/>
        <v>0</v>
      </c>
      <c r="JA23" s="544"/>
      <c r="JB23" s="545">
        <f t="shared" si="85"/>
        <v>0</v>
      </c>
      <c r="JC23" s="546">
        <f t="shared" si="196"/>
        <v>0</v>
      </c>
      <c r="JD23" s="544"/>
      <c r="JE23" s="545">
        <f t="shared" si="86"/>
        <v>0</v>
      </c>
      <c r="JF23" s="546">
        <f t="shared" si="197"/>
        <v>0</v>
      </c>
      <c r="JG23" s="544">
        <v>29.200182121718015</v>
      </c>
      <c r="JH23" s="546" t="str">
        <f t="shared" si="87"/>
        <v>0</v>
      </c>
      <c r="JI23" s="546" t="str">
        <f t="shared" si="88"/>
        <v>0</v>
      </c>
      <c r="JJ23" s="544">
        <v>11.680072848687207</v>
      </c>
      <c r="JK23" s="546" t="str">
        <f t="shared" si="89"/>
        <v>0</v>
      </c>
      <c r="JL23" s="546" t="str">
        <f t="shared" si="90"/>
        <v>0</v>
      </c>
      <c r="JM23" s="544">
        <v>0</v>
      </c>
      <c r="JN23" s="546" t="str">
        <f t="shared" si="91"/>
        <v>0</v>
      </c>
      <c r="JO23" s="546" t="str">
        <f t="shared" si="92"/>
        <v>0</v>
      </c>
      <c r="JP23" s="544"/>
      <c r="JQ23" s="546" t="str">
        <f t="shared" si="93"/>
        <v>0</v>
      </c>
      <c r="JR23" s="546" t="str">
        <f t="shared" si="94"/>
        <v>0</v>
      </c>
      <c r="JS23" s="544"/>
      <c r="JT23" s="546" t="str">
        <f t="shared" si="95"/>
        <v>0</v>
      </c>
      <c r="JU23" s="546" t="str">
        <f t="shared" si="96"/>
        <v>0</v>
      </c>
      <c r="JV23" s="544"/>
      <c r="JW23" s="546" t="str">
        <f t="shared" si="97"/>
        <v>0</v>
      </c>
      <c r="JX23" s="546" t="str">
        <f t="shared" si="98"/>
        <v>0</v>
      </c>
      <c r="JY23" s="544"/>
      <c r="JZ23" s="546" t="str">
        <f t="shared" si="99"/>
        <v>0</v>
      </c>
      <c r="KA23" s="546" t="str">
        <f t="shared" si="100"/>
        <v>0</v>
      </c>
      <c r="KB23" s="544"/>
      <c r="KC23" s="546" t="str">
        <f t="shared" si="101"/>
        <v>0</v>
      </c>
      <c r="KD23" s="546" t="str">
        <f t="shared" si="102"/>
        <v>0</v>
      </c>
      <c r="KE23" s="544"/>
      <c r="KF23" s="546" t="str">
        <f t="shared" si="103"/>
        <v>0</v>
      </c>
      <c r="KG23" s="546" t="str">
        <f t="shared" si="104"/>
        <v>0</v>
      </c>
      <c r="KH23" s="544"/>
      <c r="KI23" s="546" t="str">
        <f t="shared" si="105"/>
        <v>0</v>
      </c>
      <c r="KJ23" s="546" t="str">
        <f t="shared" si="106"/>
        <v>0</v>
      </c>
      <c r="KK23" s="544"/>
      <c r="KL23" s="546" t="str">
        <f t="shared" si="107"/>
        <v>0</v>
      </c>
      <c r="KM23" s="546" t="str">
        <f t="shared" si="108"/>
        <v>0</v>
      </c>
      <c r="KN23" s="544"/>
      <c r="KO23" s="546" t="str">
        <f t="shared" si="109"/>
        <v>0</v>
      </c>
      <c r="KP23" s="546" t="str">
        <f t="shared" si="110"/>
        <v>0</v>
      </c>
      <c r="KQ23" s="546">
        <f t="shared" si="111"/>
        <v>0</v>
      </c>
      <c r="KR23" s="546">
        <f t="shared" si="198"/>
        <v>0</v>
      </c>
      <c r="KS23" s="265">
        <f t="shared" si="199"/>
        <v>2644.8233220056509</v>
      </c>
    </row>
    <row r="24" spans="1:305" ht="15" customHeight="1">
      <c r="A24" s="267">
        <f>+Report1!A24</f>
        <v>46007</v>
      </c>
      <c r="B24" s="268" t="str">
        <f>+Report1!B24</f>
        <v>Napkin</v>
      </c>
      <c r="C24" s="268" t="str">
        <f>+Report1!C24</f>
        <v>20/18</v>
      </c>
      <c r="D24" s="269">
        <f>+Report1!P24</f>
        <v>62.290999999999997</v>
      </c>
      <c r="E24" s="270">
        <f>+Report1!R24</f>
        <v>62.822000000000003</v>
      </c>
      <c r="F24" s="544">
        <v>0</v>
      </c>
      <c r="G24" s="545">
        <f t="shared" si="0"/>
        <v>0</v>
      </c>
      <c r="H24" s="546">
        <f t="shared" si="112"/>
        <v>0</v>
      </c>
      <c r="I24" s="544"/>
      <c r="J24" s="545">
        <f t="shared" si="1"/>
        <v>0</v>
      </c>
      <c r="K24" s="546">
        <f t="shared" si="113"/>
        <v>0</v>
      </c>
      <c r="L24" s="544"/>
      <c r="M24" s="545">
        <f t="shared" si="2"/>
        <v>0</v>
      </c>
      <c r="N24" s="546">
        <f t="shared" si="114"/>
        <v>0</v>
      </c>
      <c r="O24" s="544">
        <v>12</v>
      </c>
      <c r="P24" s="545">
        <f t="shared" si="3"/>
        <v>0.19101588615453186</v>
      </c>
      <c r="Q24" s="546">
        <f t="shared" si="115"/>
        <v>0</v>
      </c>
      <c r="R24" s="544"/>
      <c r="S24" s="545">
        <f t="shared" si="4"/>
        <v>0</v>
      </c>
      <c r="T24" s="546">
        <f t="shared" si="116"/>
        <v>0</v>
      </c>
      <c r="U24" s="544">
        <v>10.249999999999972</v>
      </c>
      <c r="V24" s="545">
        <f t="shared" si="5"/>
        <v>0.1631594027569955</v>
      </c>
      <c r="W24" s="546">
        <f t="shared" si="117"/>
        <v>0</v>
      </c>
      <c r="X24" s="544"/>
      <c r="Y24" s="545">
        <f t="shared" si="6"/>
        <v>0</v>
      </c>
      <c r="Z24" s="546">
        <f t="shared" si="118"/>
        <v>0</v>
      </c>
      <c r="AA24" s="544"/>
      <c r="AB24" s="545">
        <f t="shared" si="7"/>
        <v>0</v>
      </c>
      <c r="AC24" s="546">
        <f t="shared" si="119"/>
        <v>0</v>
      </c>
      <c r="AD24" s="544"/>
      <c r="AE24" s="545">
        <f t="shared" si="8"/>
        <v>0</v>
      </c>
      <c r="AF24" s="546">
        <f t="shared" si="120"/>
        <v>0</v>
      </c>
      <c r="AG24" s="544"/>
      <c r="AH24" s="545">
        <f t="shared" si="9"/>
        <v>0</v>
      </c>
      <c r="AI24" s="546">
        <f t="shared" si="121"/>
        <v>0</v>
      </c>
      <c r="AJ24" s="544"/>
      <c r="AK24" s="545">
        <f t="shared" si="10"/>
        <v>0</v>
      </c>
      <c r="AL24" s="546">
        <f t="shared" si="122"/>
        <v>0</v>
      </c>
      <c r="AM24" s="544">
        <v>34.166666666666686</v>
      </c>
      <c r="AN24" s="545">
        <f t="shared" si="11"/>
        <v>0.54386467585665343</v>
      </c>
      <c r="AO24" s="546">
        <f t="shared" si="123"/>
        <v>0</v>
      </c>
      <c r="AP24" s="544"/>
      <c r="AQ24" s="545">
        <f t="shared" si="12"/>
        <v>0</v>
      </c>
      <c r="AR24" s="546">
        <f t="shared" si="124"/>
        <v>0</v>
      </c>
      <c r="AS24" s="544"/>
      <c r="AT24" s="545">
        <f t="shared" si="13"/>
        <v>0</v>
      </c>
      <c r="AU24" s="546">
        <f t="shared" si="125"/>
        <v>0</v>
      </c>
      <c r="AV24" s="544">
        <v>0</v>
      </c>
      <c r="AW24" s="545">
        <f t="shared" si="14"/>
        <v>0</v>
      </c>
      <c r="AX24" s="546">
        <f t="shared" si="126"/>
        <v>0</v>
      </c>
      <c r="AY24" s="544">
        <v>42.000000000000028</v>
      </c>
      <c r="AZ24" s="545">
        <f t="shared" si="15"/>
        <v>0.66855560154086191</v>
      </c>
      <c r="BA24" s="546">
        <f t="shared" si="127"/>
        <v>0</v>
      </c>
      <c r="BB24" s="544"/>
      <c r="BC24" s="545">
        <f t="shared" si="16"/>
        <v>0</v>
      </c>
      <c r="BD24" s="546">
        <f t="shared" si="128"/>
        <v>0</v>
      </c>
      <c r="BE24" s="544"/>
      <c r="BF24" s="545">
        <f t="shared" si="17"/>
        <v>0</v>
      </c>
      <c r="BG24" s="546">
        <f t="shared" si="129"/>
        <v>0</v>
      </c>
      <c r="BH24" s="544"/>
      <c r="BI24" s="545">
        <f t="shared" si="18"/>
        <v>0</v>
      </c>
      <c r="BJ24" s="546">
        <f t="shared" si="130"/>
        <v>0</v>
      </c>
      <c r="BK24" s="544"/>
      <c r="BL24" s="545">
        <f t="shared" si="19"/>
        <v>0</v>
      </c>
      <c r="BM24" s="546">
        <f t="shared" si="131"/>
        <v>0</v>
      </c>
      <c r="BN24" s="544"/>
      <c r="BO24" s="545">
        <f t="shared" si="20"/>
        <v>0</v>
      </c>
      <c r="BP24" s="546">
        <f t="shared" si="132"/>
        <v>0</v>
      </c>
      <c r="BQ24" s="544"/>
      <c r="BR24" s="545">
        <f t="shared" si="21"/>
        <v>0</v>
      </c>
      <c r="BS24" s="546">
        <f t="shared" si="133"/>
        <v>0</v>
      </c>
      <c r="BT24" s="544"/>
      <c r="BU24" s="545">
        <f t="shared" si="22"/>
        <v>0</v>
      </c>
      <c r="BV24" s="546">
        <f t="shared" si="134"/>
        <v>0</v>
      </c>
      <c r="BW24" s="544"/>
      <c r="BX24" s="545">
        <f t="shared" si="23"/>
        <v>0</v>
      </c>
      <c r="BY24" s="546">
        <f t="shared" si="135"/>
        <v>0</v>
      </c>
      <c r="BZ24" s="544">
        <v>0</v>
      </c>
      <c r="CA24" s="545">
        <f t="shared" si="24"/>
        <v>0</v>
      </c>
      <c r="CB24" s="546">
        <f t="shared" si="136"/>
        <v>0</v>
      </c>
      <c r="CC24" s="544">
        <v>37.5</v>
      </c>
      <c r="CD24" s="545">
        <f t="shared" si="25"/>
        <v>0.59692464423291203</v>
      </c>
      <c r="CE24" s="546">
        <f t="shared" si="137"/>
        <v>0</v>
      </c>
      <c r="CF24" s="544">
        <v>0.6</v>
      </c>
      <c r="CG24" s="545">
        <f t="shared" si="26"/>
        <v>9.5507943077265921E-3</v>
      </c>
      <c r="CH24" s="546">
        <f t="shared" si="138"/>
        <v>0</v>
      </c>
      <c r="CI24" s="544"/>
      <c r="CJ24" s="545">
        <f t="shared" si="27"/>
        <v>0</v>
      </c>
      <c r="CK24" s="546">
        <f t="shared" si="139"/>
        <v>0</v>
      </c>
      <c r="CL24" s="544"/>
      <c r="CM24" s="545">
        <f t="shared" si="28"/>
        <v>0</v>
      </c>
      <c r="CN24" s="546">
        <f t="shared" si="140"/>
        <v>0</v>
      </c>
      <c r="CO24" s="544"/>
      <c r="CP24" s="545">
        <f t="shared" si="29"/>
        <v>0</v>
      </c>
      <c r="CQ24" s="546">
        <f t="shared" si="141"/>
        <v>0</v>
      </c>
      <c r="CR24" s="544"/>
      <c r="CS24" s="545">
        <f t="shared" si="30"/>
        <v>0</v>
      </c>
      <c r="CT24" s="546">
        <f t="shared" si="142"/>
        <v>0</v>
      </c>
      <c r="CU24" s="544"/>
      <c r="CV24" s="545">
        <f t="shared" si="31"/>
        <v>0</v>
      </c>
      <c r="CW24" s="546">
        <f t="shared" si="143"/>
        <v>0</v>
      </c>
      <c r="CX24" s="544"/>
      <c r="CY24" s="545">
        <f t="shared" si="32"/>
        <v>0</v>
      </c>
      <c r="CZ24" s="546">
        <f t="shared" si="144"/>
        <v>0</v>
      </c>
      <c r="DA24" s="544">
        <v>0</v>
      </c>
      <c r="DB24" s="545">
        <f t="shared" si="33"/>
        <v>0</v>
      </c>
      <c r="DC24" s="546">
        <f t="shared" si="145"/>
        <v>0</v>
      </c>
      <c r="DD24" s="544"/>
      <c r="DE24" s="545">
        <f t="shared" si="34"/>
        <v>0</v>
      </c>
      <c r="DF24" s="546">
        <f t="shared" si="146"/>
        <v>0</v>
      </c>
      <c r="DG24" s="544"/>
      <c r="DH24" s="545">
        <f t="shared" si="35"/>
        <v>0</v>
      </c>
      <c r="DI24" s="546">
        <f t="shared" si="200"/>
        <v>0</v>
      </c>
      <c r="DJ24" s="544"/>
      <c r="DK24" s="545">
        <f t="shared" si="36"/>
        <v>0</v>
      </c>
      <c r="DL24" s="546">
        <f t="shared" si="147"/>
        <v>0</v>
      </c>
      <c r="DM24" s="544"/>
      <c r="DN24" s="545">
        <f t="shared" si="37"/>
        <v>0</v>
      </c>
      <c r="DO24" s="546">
        <f t="shared" si="148"/>
        <v>0</v>
      </c>
      <c r="DP24" s="544"/>
      <c r="DQ24" s="545">
        <f t="shared" si="38"/>
        <v>0</v>
      </c>
      <c r="DR24" s="546">
        <f t="shared" si="149"/>
        <v>0</v>
      </c>
      <c r="DS24" s="544"/>
      <c r="DT24" s="545">
        <f t="shared" si="39"/>
        <v>0</v>
      </c>
      <c r="DU24" s="546">
        <f t="shared" si="150"/>
        <v>0</v>
      </c>
      <c r="DV24" s="544"/>
      <c r="DW24" s="545">
        <f t="shared" si="40"/>
        <v>0</v>
      </c>
      <c r="DX24" s="546">
        <f t="shared" si="151"/>
        <v>0</v>
      </c>
      <c r="DY24" s="544"/>
      <c r="DZ24" s="545">
        <f t="shared" si="41"/>
        <v>0</v>
      </c>
      <c r="EA24" s="546">
        <f t="shared" si="152"/>
        <v>0</v>
      </c>
      <c r="EB24" s="544">
        <v>917.64705882352928</v>
      </c>
      <c r="EC24" s="545">
        <f t="shared" si="42"/>
        <v>14.607097176523022</v>
      </c>
      <c r="ED24" s="546">
        <f t="shared" si="153"/>
        <v>0</v>
      </c>
      <c r="EE24" s="544">
        <v>29.069767441860449</v>
      </c>
      <c r="EF24" s="545">
        <f t="shared" si="43"/>
        <v>0.46273228235109432</v>
      </c>
      <c r="EG24" s="546">
        <f t="shared" si="154"/>
        <v>0</v>
      </c>
      <c r="EH24" s="544">
        <v>1</v>
      </c>
      <c r="EI24" s="545">
        <f t="shared" si="44"/>
        <v>1.5917990512877653E-2</v>
      </c>
      <c r="EJ24" s="546">
        <f t="shared" si="155"/>
        <v>0</v>
      </c>
      <c r="EK24" s="544"/>
      <c r="EL24" s="545">
        <f t="shared" si="45"/>
        <v>0</v>
      </c>
      <c r="EM24" s="546">
        <f t="shared" si="156"/>
        <v>0</v>
      </c>
      <c r="EN24" s="544"/>
      <c r="EO24" s="545">
        <f t="shared" si="46"/>
        <v>0</v>
      </c>
      <c r="EP24" s="546">
        <f t="shared" si="157"/>
        <v>0</v>
      </c>
      <c r="EQ24" s="544"/>
      <c r="ER24" s="545">
        <f t="shared" si="47"/>
        <v>0</v>
      </c>
      <c r="ES24" s="546">
        <f t="shared" si="158"/>
        <v>0</v>
      </c>
      <c r="ET24" s="544"/>
      <c r="EU24" s="545">
        <f t="shared" si="48"/>
        <v>0</v>
      </c>
      <c r="EV24" s="546">
        <f t="shared" si="159"/>
        <v>0</v>
      </c>
      <c r="EW24" s="544"/>
      <c r="EX24" s="545">
        <f t="shared" si="49"/>
        <v>0</v>
      </c>
      <c r="EY24" s="546">
        <f t="shared" si="160"/>
        <v>0</v>
      </c>
      <c r="EZ24" s="544"/>
      <c r="FA24" s="545">
        <f t="shared" si="50"/>
        <v>0</v>
      </c>
      <c r="FB24" s="546">
        <f t="shared" si="161"/>
        <v>0</v>
      </c>
      <c r="FC24" s="544"/>
      <c r="FD24" s="545">
        <f t="shared" si="51"/>
        <v>0</v>
      </c>
      <c r="FE24" s="546">
        <f t="shared" si="162"/>
        <v>0</v>
      </c>
      <c r="FF24" s="544"/>
      <c r="FG24" s="545">
        <f t="shared" si="52"/>
        <v>0</v>
      </c>
      <c r="FH24" s="546">
        <f t="shared" si="163"/>
        <v>0</v>
      </c>
      <c r="FI24" s="544"/>
      <c r="FJ24" s="545">
        <f t="shared" si="53"/>
        <v>0</v>
      </c>
      <c r="FK24" s="546">
        <f t="shared" si="164"/>
        <v>0</v>
      </c>
      <c r="FL24" s="544"/>
      <c r="FM24" s="545">
        <f t="shared" si="54"/>
        <v>0</v>
      </c>
      <c r="FN24" s="546">
        <f t="shared" si="165"/>
        <v>0</v>
      </c>
      <c r="FO24" s="544"/>
      <c r="FP24" s="545">
        <f t="shared" si="55"/>
        <v>0</v>
      </c>
      <c r="FQ24" s="546">
        <f t="shared" si="166"/>
        <v>0</v>
      </c>
      <c r="FR24" s="544"/>
      <c r="FS24" s="545">
        <f t="shared" si="56"/>
        <v>0</v>
      </c>
      <c r="FT24" s="546">
        <f t="shared" si="167"/>
        <v>0</v>
      </c>
      <c r="FU24" s="544"/>
      <c r="FV24" s="545">
        <f t="shared" si="57"/>
        <v>0</v>
      </c>
      <c r="FW24" s="546">
        <f t="shared" si="168"/>
        <v>0</v>
      </c>
      <c r="FX24" s="544"/>
      <c r="FY24" s="545">
        <f t="shared" si="58"/>
        <v>0</v>
      </c>
      <c r="FZ24" s="546">
        <f t="shared" si="169"/>
        <v>0</v>
      </c>
      <c r="GA24" s="544"/>
      <c r="GB24" s="545">
        <f t="shared" si="59"/>
        <v>0</v>
      </c>
      <c r="GC24" s="546">
        <f t="shared" si="170"/>
        <v>0</v>
      </c>
      <c r="GD24" s="544"/>
      <c r="GE24" s="545">
        <f t="shared" si="60"/>
        <v>0</v>
      </c>
      <c r="GF24" s="546">
        <f t="shared" si="171"/>
        <v>0</v>
      </c>
      <c r="GG24" s="544">
        <v>14.583547943024639</v>
      </c>
      <c r="GH24" s="545">
        <f t="shared" si="61"/>
        <v>0.23214077780116263</v>
      </c>
      <c r="GI24" s="546">
        <f t="shared" si="172"/>
        <v>0</v>
      </c>
      <c r="GJ24" s="544">
        <v>14.583547943024639</v>
      </c>
      <c r="GK24" s="545">
        <f t="shared" si="62"/>
        <v>0.23214077780116263</v>
      </c>
      <c r="GL24" s="546">
        <f t="shared" si="173"/>
        <v>0</v>
      </c>
      <c r="GM24" s="544">
        <v>0</v>
      </c>
      <c r="GN24" s="545">
        <f t="shared" si="63"/>
        <v>0</v>
      </c>
      <c r="GO24" s="546">
        <f t="shared" si="174"/>
        <v>0</v>
      </c>
      <c r="GP24" s="544">
        <v>35.00051506325913</v>
      </c>
      <c r="GQ24" s="545">
        <f t="shared" si="64"/>
        <v>0.5571378667227902</v>
      </c>
      <c r="GR24" s="546">
        <f t="shared" si="175"/>
        <v>0</v>
      </c>
      <c r="GS24" s="544">
        <v>186.66941367071536</v>
      </c>
      <c r="GT24" s="545">
        <f t="shared" si="65"/>
        <v>2.9714019558548812</v>
      </c>
      <c r="GU24" s="546">
        <f t="shared" si="176"/>
        <v>0</v>
      </c>
      <c r="GV24" s="544">
        <v>29.167095886049278</v>
      </c>
      <c r="GW24" s="545">
        <f t="shared" si="66"/>
        <v>0.46428155560232526</v>
      </c>
      <c r="GX24" s="546">
        <f t="shared" si="177"/>
        <v>0</v>
      </c>
      <c r="GY24" s="544"/>
      <c r="GZ24" s="545">
        <f t="shared" si="67"/>
        <v>0</v>
      </c>
      <c r="HA24" s="546">
        <f t="shared" si="178"/>
        <v>0</v>
      </c>
      <c r="HB24" s="544"/>
      <c r="HC24" s="545">
        <f t="shared" si="68"/>
        <v>0</v>
      </c>
      <c r="HD24" s="546">
        <f t="shared" si="179"/>
        <v>0</v>
      </c>
      <c r="HE24" s="544"/>
      <c r="HF24" s="545">
        <f t="shared" si="69"/>
        <v>0</v>
      </c>
      <c r="HG24" s="546">
        <f t="shared" si="180"/>
        <v>0</v>
      </c>
      <c r="HH24" s="544"/>
      <c r="HI24" s="545">
        <f t="shared" si="70"/>
        <v>0</v>
      </c>
      <c r="HJ24" s="546">
        <f t="shared" si="181"/>
        <v>0</v>
      </c>
      <c r="HK24" s="544"/>
      <c r="HL24" s="545">
        <f t="shared" si="71"/>
        <v>0</v>
      </c>
      <c r="HM24" s="546">
        <f t="shared" si="182"/>
        <v>0</v>
      </c>
      <c r="HN24" s="544">
        <v>1060.5156064167518</v>
      </c>
      <c r="HO24" s="545">
        <f t="shared" si="72"/>
        <v>16.881277361700548</v>
      </c>
      <c r="HP24" s="546">
        <f t="shared" si="183"/>
        <v>0</v>
      </c>
      <c r="HQ24" s="544"/>
      <c r="HR24" s="545">
        <f t="shared" si="73"/>
        <v>0</v>
      </c>
      <c r="HS24" s="546">
        <f t="shared" si="184"/>
        <v>0</v>
      </c>
      <c r="HT24" s="544">
        <v>0</v>
      </c>
      <c r="HU24" s="545">
        <f t="shared" si="74"/>
        <v>0</v>
      </c>
      <c r="HV24" s="546">
        <f t="shared" si="185"/>
        <v>0</v>
      </c>
      <c r="HW24" s="544">
        <v>0</v>
      </c>
      <c r="HX24" s="545">
        <f t="shared" si="75"/>
        <v>0</v>
      </c>
      <c r="HY24" s="546">
        <f t="shared" si="186"/>
        <v>0</v>
      </c>
      <c r="HZ24" s="544">
        <v>0</v>
      </c>
      <c r="IA24" s="545">
        <f t="shared" si="76"/>
        <v>0</v>
      </c>
      <c r="IB24" s="546">
        <f t="shared" si="187"/>
        <v>0</v>
      </c>
      <c r="IC24" s="544">
        <v>0</v>
      </c>
      <c r="ID24" s="545">
        <f t="shared" si="77"/>
        <v>0</v>
      </c>
      <c r="IE24" s="546">
        <f t="shared" si="188"/>
        <v>0</v>
      </c>
      <c r="IF24" s="544">
        <v>26.250386297444351</v>
      </c>
      <c r="IG24" s="545">
        <f t="shared" si="78"/>
        <v>0.4178534000420927</v>
      </c>
      <c r="IH24" s="546">
        <f t="shared" si="189"/>
        <v>0</v>
      </c>
      <c r="II24" s="544"/>
      <c r="IJ24" s="545">
        <f t="shared" si="79"/>
        <v>0</v>
      </c>
      <c r="IK24" s="546">
        <f t="shared" si="190"/>
        <v>0</v>
      </c>
      <c r="IL24" s="544"/>
      <c r="IM24" s="545">
        <f t="shared" si="80"/>
        <v>0</v>
      </c>
      <c r="IN24" s="546">
        <f t="shared" si="191"/>
        <v>0</v>
      </c>
      <c r="IO24" s="544">
        <v>70.001030126518259</v>
      </c>
      <c r="IP24" s="545">
        <f t="shared" si="81"/>
        <v>1.1142757334455804</v>
      </c>
      <c r="IQ24" s="546">
        <f t="shared" si="192"/>
        <v>0</v>
      </c>
      <c r="IR24" s="544">
        <v>0</v>
      </c>
      <c r="IS24" s="545">
        <f t="shared" si="82"/>
        <v>0</v>
      </c>
      <c r="IT24" s="546">
        <f t="shared" si="193"/>
        <v>0</v>
      </c>
      <c r="IU24" s="544"/>
      <c r="IV24" s="545">
        <f t="shared" si="83"/>
        <v>0</v>
      </c>
      <c r="IW24" s="546">
        <f t="shared" si="194"/>
        <v>0</v>
      </c>
      <c r="IX24" s="544">
        <v>0</v>
      </c>
      <c r="IY24" s="545">
        <f t="shared" si="84"/>
        <v>0</v>
      </c>
      <c r="IZ24" s="546">
        <f t="shared" si="195"/>
        <v>0</v>
      </c>
      <c r="JA24" s="544"/>
      <c r="JB24" s="545">
        <f t="shared" si="85"/>
        <v>0</v>
      </c>
      <c r="JC24" s="546">
        <f t="shared" si="196"/>
        <v>0</v>
      </c>
      <c r="JD24" s="544"/>
      <c r="JE24" s="545">
        <f t="shared" si="86"/>
        <v>0</v>
      </c>
      <c r="JF24" s="546">
        <f t="shared" si="197"/>
        <v>0</v>
      </c>
      <c r="JG24" s="544">
        <v>29.167095886049278</v>
      </c>
      <c r="JH24" s="546" t="str">
        <f t="shared" si="87"/>
        <v>0</v>
      </c>
      <c r="JI24" s="546" t="str">
        <f t="shared" si="88"/>
        <v>0</v>
      </c>
      <c r="JJ24" s="544">
        <v>11.66683835441971</v>
      </c>
      <c r="JK24" s="546" t="str">
        <f t="shared" si="89"/>
        <v>0</v>
      </c>
      <c r="JL24" s="546" t="str">
        <f t="shared" si="90"/>
        <v>0</v>
      </c>
      <c r="JM24" s="544">
        <v>0</v>
      </c>
      <c r="JN24" s="546" t="str">
        <f t="shared" si="91"/>
        <v>0</v>
      </c>
      <c r="JO24" s="546" t="str">
        <f t="shared" si="92"/>
        <v>0</v>
      </c>
      <c r="JP24" s="544"/>
      <c r="JQ24" s="546" t="str">
        <f t="shared" si="93"/>
        <v>0</v>
      </c>
      <c r="JR24" s="546" t="str">
        <f t="shared" si="94"/>
        <v>0</v>
      </c>
      <c r="JS24" s="544"/>
      <c r="JT24" s="546" t="str">
        <f t="shared" si="95"/>
        <v>0</v>
      </c>
      <c r="JU24" s="546" t="str">
        <f t="shared" si="96"/>
        <v>0</v>
      </c>
      <c r="JV24" s="544"/>
      <c r="JW24" s="546" t="str">
        <f t="shared" si="97"/>
        <v>0</v>
      </c>
      <c r="JX24" s="546" t="str">
        <f t="shared" si="98"/>
        <v>0</v>
      </c>
      <c r="JY24" s="544"/>
      <c r="JZ24" s="546" t="str">
        <f t="shared" si="99"/>
        <v>0</v>
      </c>
      <c r="KA24" s="546" t="str">
        <f t="shared" si="100"/>
        <v>0</v>
      </c>
      <c r="KB24" s="544"/>
      <c r="KC24" s="546" t="str">
        <f t="shared" si="101"/>
        <v>0</v>
      </c>
      <c r="KD24" s="546" t="str">
        <f t="shared" si="102"/>
        <v>0</v>
      </c>
      <c r="KE24" s="544"/>
      <c r="KF24" s="546" t="str">
        <f t="shared" si="103"/>
        <v>0</v>
      </c>
      <c r="KG24" s="546" t="str">
        <f t="shared" si="104"/>
        <v>0</v>
      </c>
      <c r="KH24" s="544"/>
      <c r="KI24" s="546" t="str">
        <f t="shared" si="105"/>
        <v>0</v>
      </c>
      <c r="KJ24" s="546" t="str">
        <f t="shared" si="106"/>
        <v>0</v>
      </c>
      <c r="KK24" s="544"/>
      <c r="KL24" s="546" t="str">
        <f t="shared" si="107"/>
        <v>0</v>
      </c>
      <c r="KM24" s="546" t="str">
        <f t="shared" si="108"/>
        <v>0</v>
      </c>
      <c r="KN24" s="544"/>
      <c r="KO24" s="546" t="str">
        <f t="shared" si="109"/>
        <v>0</v>
      </c>
      <c r="KP24" s="546" t="str">
        <f t="shared" si="110"/>
        <v>0</v>
      </c>
      <c r="KQ24" s="546">
        <f t="shared" si="111"/>
        <v>0</v>
      </c>
      <c r="KR24" s="546">
        <f t="shared" si="198"/>
        <v>0</v>
      </c>
      <c r="KS24" s="265">
        <f t="shared" si="199"/>
        <v>2561.8385705193123</v>
      </c>
    </row>
    <row r="25" spans="1:305" ht="15" customHeight="1">
      <c r="A25" s="267">
        <f>+Report1!A25</f>
        <v>46008</v>
      </c>
      <c r="B25" s="268" t="str">
        <f>+Report1!B25</f>
        <v>Napkin/Towel</v>
      </c>
      <c r="C25" s="268" t="str">
        <f>+Report1!C25</f>
        <v>18/17</v>
      </c>
      <c r="D25" s="269">
        <f>+Report1!P25</f>
        <v>56.00800000000001</v>
      </c>
      <c r="E25" s="270">
        <f>+Report1!R25</f>
        <v>55.435000000000002</v>
      </c>
      <c r="F25" s="544">
        <v>0</v>
      </c>
      <c r="G25" s="545">
        <f t="shared" si="0"/>
        <v>0</v>
      </c>
      <c r="H25" s="546">
        <f t="shared" si="112"/>
        <v>0</v>
      </c>
      <c r="I25" s="544"/>
      <c r="J25" s="545">
        <f t="shared" si="1"/>
        <v>0</v>
      </c>
      <c r="K25" s="546">
        <f t="shared" si="113"/>
        <v>0</v>
      </c>
      <c r="L25" s="544"/>
      <c r="M25" s="545">
        <f t="shared" si="2"/>
        <v>0</v>
      </c>
      <c r="N25" s="546">
        <f t="shared" si="114"/>
        <v>0</v>
      </c>
      <c r="O25" s="544">
        <v>12</v>
      </c>
      <c r="P25" s="545">
        <f t="shared" si="3"/>
        <v>0.21646973933435554</v>
      </c>
      <c r="Q25" s="546">
        <f t="shared" si="115"/>
        <v>0</v>
      </c>
      <c r="R25" s="544"/>
      <c r="S25" s="545">
        <f t="shared" si="4"/>
        <v>0</v>
      </c>
      <c r="T25" s="546">
        <f t="shared" si="116"/>
        <v>0</v>
      </c>
      <c r="U25" s="544">
        <v>10.250000000000014</v>
      </c>
      <c r="V25" s="545">
        <f t="shared" si="5"/>
        <v>0.18490123568142894</v>
      </c>
      <c r="W25" s="546">
        <f t="shared" si="117"/>
        <v>0</v>
      </c>
      <c r="X25" s="544"/>
      <c r="Y25" s="545">
        <f t="shared" si="6"/>
        <v>0</v>
      </c>
      <c r="Z25" s="546">
        <f t="shared" si="118"/>
        <v>0</v>
      </c>
      <c r="AA25" s="544"/>
      <c r="AB25" s="545">
        <f t="shared" si="7"/>
        <v>0</v>
      </c>
      <c r="AC25" s="546">
        <f t="shared" si="119"/>
        <v>0</v>
      </c>
      <c r="AD25" s="544"/>
      <c r="AE25" s="545">
        <f t="shared" si="8"/>
        <v>0</v>
      </c>
      <c r="AF25" s="546">
        <f t="shared" si="120"/>
        <v>0</v>
      </c>
      <c r="AG25" s="544"/>
      <c r="AH25" s="545">
        <f t="shared" si="9"/>
        <v>0</v>
      </c>
      <c r="AI25" s="546">
        <f t="shared" si="121"/>
        <v>0</v>
      </c>
      <c r="AJ25" s="544"/>
      <c r="AK25" s="545">
        <f t="shared" si="10"/>
        <v>0</v>
      </c>
      <c r="AL25" s="546">
        <f t="shared" si="122"/>
        <v>0</v>
      </c>
      <c r="AM25" s="544">
        <v>31.538461538461547</v>
      </c>
      <c r="AN25" s="545">
        <f t="shared" si="11"/>
        <v>0.56892687901978078</v>
      </c>
      <c r="AO25" s="546">
        <f t="shared" si="123"/>
        <v>0</v>
      </c>
      <c r="AP25" s="544"/>
      <c r="AQ25" s="545">
        <f t="shared" si="12"/>
        <v>0</v>
      </c>
      <c r="AR25" s="546">
        <f t="shared" si="124"/>
        <v>0</v>
      </c>
      <c r="AS25" s="544"/>
      <c r="AT25" s="545">
        <f t="shared" si="13"/>
        <v>0</v>
      </c>
      <c r="AU25" s="546">
        <f t="shared" si="125"/>
        <v>0</v>
      </c>
      <c r="AV25" s="544">
        <v>0</v>
      </c>
      <c r="AW25" s="545">
        <f t="shared" si="14"/>
        <v>0</v>
      </c>
      <c r="AX25" s="546">
        <f t="shared" si="126"/>
        <v>0</v>
      </c>
      <c r="AY25" s="544">
        <v>44.333333333333314</v>
      </c>
      <c r="AZ25" s="545">
        <f t="shared" si="15"/>
        <v>0.79973542587414648</v>
      </c>
      <c r="BA25" s="546">
        <f t="shared" si="127"/>
        <v>0</v>
      </c>
      <c r="BB25" s="544"/>
      <c r="BC25" s="545">
        <f t="shared" si="16"/>
        <v>0</v>
      </c>
      <c r="BD25" s="546">
        <f t="shared" si="128"/>
        <v>0</v>
      </c>
      <c r="BE25" s="544"/>
      <c r="BF25" s="545">
        <f t="shared" si="17"/>
        <v>0</v>
      </c>
      <c r="BG25" s="546">
        <f t="shared" si="129"/>
        <v>0</v>
      </c>
      <c r="BH25" s="544"/>
      <c r="BI25" s="545">
        <f t="shared" si="18"/>
        <v>0</v>
      </c>
      <c r="BJ25" s="546">
        <f t="shared" si="130"/>
        <v>0</v>
      </c>
      <c r="BK25" s="544"/>
      <c r="BL25" s="545">
        <f t="shared" si="19"/>
        <v>0</v>
      </c>
      <c r="BM25" s="546">
        <f t="shared" si="131"/>
        <v>0</v>
      </c>
      <c r="BN25" s="544"/>
      <c r="BO25" s="545">
        <f t="shared" si="20"/>
        <v>0</v>
      </c>
      <c r="BP25" s="546">
        <f t="shared" si="132"/>
        <v>0</v>
      </c>
      <c r="BQ25" s="544"/>
      <c r="BR25" s="545">
        <f t="shared" si="21"/>
        <v>0</v>
      </c>
      <c r="BS25" s="546">
        <f t="shared" si="133"/>
        <v>0</v>
      </c>
      <c r="BT25" s="544"/>
      <c r="BU25" s="545">
        <f t="shared" si="22"/>
        <v>0</v>
      </c>
      <c r="BV25" s="546">
        <f t="shared" si="134"/>
        <v>0</v>
      </c>
      <c r="BW25" s="544"/>
      <c r="BX25" s="545">
        <f t="shared" si="23"/>
        <v>0</v>
      </c>
      <c r="BY25" s="546">
        <f t="shared" si="135"/>
        <v>0</v>
      </c>
      <c r="BZ25" s="544">
        <v>0</v>
      </c>
      <c r="CA25" s="545">
        <f t="shared" si="24"/>
        <v>0</v>
      </c>
      <c r="CB25" s="546">
        <f t="shared" si="136"/>
        <v>0</v>
      </c>
      <c r="CC25" s="544">
        <v>18.75</v>
      </c>
      <c r="CD25" s="545">
        <f t="shared" si="25"/>
        <v>0.33823396770993053</v>
      </c>
      <c r="CE25" s="546">
        <f t="shared" si="137"/>
        <v>0</v>
      </c>
      <c r="CF25" s="544">
        <v>0.59999999999999787</v>
      </c>
      <c r="CG25" s="545">
        <f t="shared" si="26"/>
        <v>1.0823486966717739E-2</v>
      </c>
      <c r="CH25" s="546">
        <f t="shared" si="138"/>
        <v>0</v>
      </c>
      <c r="CI25" s="544"/>
      <c r="CJ25" s="545">
        <f t="shared" si="27"/>
        <v>0</v>
      </c>
      <c r="CK25" s="546">
        <f t="shared" si="139"/>
        <v>0</v>
      </c>
      <c r="CL25" s="544"/>
      <c r="CM25" s="545">
        <f t="shared" si="28"/>
        <v>0</v>
      </c>
      <c r="CN25" s="546">
        <f t="shared" si="140"/>
        <v>0</v>
      </c>
      <c r="CO25" s="544"/>
      <c r="CP25" s="545">
        <f t="shared" si="29"/>
        <v>0</v>
      </c>
      <c r="CQ25" s="546">
        <f t="shared" si="141"/>
        <v>0</v>
      </c>
      <c r="CR25" s="544"/>
      <c r="CS25" s="545">
        <f t="shared" si="30"/>
        <v>0</v>
      </c>
      <c r="CT25" s="546">
        <f t="shared" si="142"/>
        <v>0</v>
      </c>
      <c r="CU25" s="544"/>
      <c r="CV25" s="545">
        <f t="shared" si="31"/>
        <v>0</v>
      </c>
      <c r="CW25" s="546">
        <f t="shared" si="143"/>
        <v>0</v>
      </c>
      <c r="CX25" s="544"/>
      <c r="CY25" s="545">
        <f t="shared" si="32"/>
        <v>0</v>
      </c>
      <c r="CZ25" s="546">
        <f t="shared" si="144"/>
        <v>0</v>
      </c>
      <c r="DA25" s="544">
        <v>0</v>
      </c>
      <c r="DB25" s="545">
        <f t="shared" si="33"/>
        <v>0</v>
      </c>
      <c r="DC25" s="546">
        <f t="shared" si="145"/>
        <v>0</v>
      </c>
      <c r="DD25" s="544"/>
      <c r="DE25" s="545">
        <f t="shared" si="34"/>
        <v>0</v>
      </c>
      <c r="DF25" s="546">
        <f t="shared" si="146"/>
        <v>0</v>
      </c>
      <c r="DG25" s="544"/>
      <c r="DH25" s="545">
        <f t="shared" si="35"/>
        <v>0</v>
      </c>
      <c r="DI25" s="546">
        <f t="shared" si="200"/>
        <v>0</v>
      </c>
      <c r="DJ25" s="544"/>
      <c r="DK25" s="545">
        <f t="shared" si="36"/>
        <v>0</v>
      </c>
      <c r="DL25" s="546">
        <f t="shared" si="147"/>
        <v>0</v>
      </c>
      <c r="DM25" s="544"/>
      <c r="DN25" s="545">
        <f t="shared" si="37"/>
        <v>0</v>
      </c>
      <c r="DO25" s="546">
        <f t="shared" si="148"/>
        <v>0</v>
      </c>
      <c r="DP25" s="544"/>
      <c r="DQ25" s="545">
        <f t="shared" si="38"/>
        <v>0</v>
      </c>
      <c r="DR25" s="546">
        <f t="shared" si="149"/>
        <v>0</v>
      </c>
      <c r="DS25" s="544"/>
      <c r="DT25" s="545">
        <f t="shared" si="39"/>
        <v>0</v>
      </c>
      <c r="DU25" s="546">
        <f t="shared" si="150"/>
        <v>0</v>
      </c>
      <c r="DV25" s="544"/>
      <c r="DW25" s="545">
        <f t="shared" si="40"/>
        <v>0</v>
      </c>
      <c r="DX25" s="546">
        <f t="shared" si="151"/>
        <v>0</v>
      </c>
      <c r="DY25" s="544"/>
      <c r="DZ25" s="545">
        <f t="shared" si="41"/>
        <v>0</v>
      </c>
      <c r="EA25" s="546">
        <f t="shared" si="152"/>
        <v>0</v>
      </c>
      <c r="EB25" s="544">
        <v>788.23529411764707</v>
      </c>
      <c r="EC25" s="545">
        <f t="shared" si="42"/>
        <v>14.219090720982178</v>
      </c>
      <c r="ED25" s="546">
        <f t="shared" si="153"/>
        <v>0</v>
      </c>
      <c r="EE25" s="544">
        <v>29.069767441860222</v>
      </c>
      <c r="EF25" s="545">
        <f t="shared" si="43"/>
        <v>0.52439374838748476</v>
      </c>
      <c r="EG25" s="546">
        <f t="shared" si="154"/>
        <v>0</v>
      </c>
      <c r="EH25" s="544">
        <v>1</v>
      </c>
      <c r="EI25" s="545">
        <f t="shared" si="44"/>
        <v>1.8039144944529628E-2</v>
      </c>
      <c r="EJ25" s="546">
        <f t="shared" si="155"/>
        <v>0</v>
      </c>
      <c r="EK25" s="544"/>
      <c r="EL25" s="545">
        <f t="shared" si="45"/>
        <v>0</v>
      </c>
      <c r="EM25" s="546">
        <f t="shared" si="156"/>
        <v>0</v>
      </c>
      <c r="EN25" s="544"/>
      <c r="EO25" s="545">
        <f t="shared" si="46"/>
        <v>0</v>
      </c>
      <c r="EP25" s="546">
        <f t="shared" si="157"/>
        <v>0</v>
      </c>
      <c r="EQ25" s="544"/>
      <c r="ER25" s="545">
        <f t="shared" si="47"/>
        <v>0</v>
      </c>
      <c r="ES25" s="546">
        <f t="shared" si="158"/>
        <v>0</v>
      </c>
      <c r="ET25" s="544"/>
      <c r="EU25" s="545">
        <f t="shared" si="48"/>
        <v>0</v>
      </c>
      <c r="EV25" s="546">
        <f t="shared" si="159"/>
        <v>0</v>
      </c>
      <c r="EW25" s="544"/>
      <c r="EX25" s="545">
        <f t="shared" si="49"/>
        <v>0</v>
      </c>
      <c r="EY25" s="546">
        <f t="shared" si="160"/>
        <v>0</v>
      </c>
      <c r="EZ25" s="544"/>
      <c r="FA25" s="545">
        <f t="shared" si="50"/>
        <v>0</v>
      </c>
      <c r="FB25" s="546">
        <f t="shared" si="161"/>
        <v>0</v>
      </c>
      <c r="FC25" s="544"/>
      <c r="FD25" s="545">
        <f t="shared" si="51"/>
        <v>0</v>
      </c>
      <c r="FE25" s="546">
        <f t="shared" si="162"/>
        <v>0</v>
      </c>
      <c r="FF25" s="544"/>
      <c r="FG25" s="545">
        <f t="shared" si="52"/>
        <v>0</v>
      </c>
      <c r="FH25" s="546">
        <f t="shared" si="163"/>
        <v>0</v>
      </c>
      <c r="FI25" s="544"/>
      <c r="FJ25" s="545">
        <f t="shared" si="53"/>
        <v>0</v>
      </c>
      <c r="FK25" s="546">
        <f t="shared" si="164"/>
        <v>0</v>
      </c>
      <c r="FL25" s="544"/>
      <c r="FM25" s="545">
        <f t="shared" si="54"/>
        <v>0</v>
      </c>
      <c r="FN25" s="546">
        <f t="shared" si="165"/>
        <v>0</v>
      </c>
      <c r="FO25" s="544"/>
      <c r="FP25" s="545">
        <f t="shared" si="55"/>
        <v>0</v>
      </c>
      <c r="FQ25" s="546">
        <f t="shared" si="166"/>
        <v>0</v>
      </c>
      <c r="FR25" s="544"/>
      <c r="FS25" s="545">
        <f t="shared" si="56"/>
        <v>0</v>
      </c>
      <c r="FT25" s="546">
        <f t="shared" si="167"/>
        <v>0</v>
      </c>
      <c r="FU25" s="544"/>
      <c r="FV25" s="545">
        <f t="shared" si="57"/>
        <v>0</v>
      </c>
      <c r="FW25" s="546">
        <f t="shared" si="168"/>
        <v>0</v>
      </c>
      <c r="FX25" s="544"/>
      <c r="FY25" s="545">
        <f t="shared" si="58"/>
        <v>0</v>
      </c>
      <c r="FZ25" s="546">
        <f t="shared" si="169"/>
        <v>0</v>
      </c>
      <c r="GA25" s="544"/>
      <c r="GB25" s="545">
        <f t="shared" si="59"/>
        <v>0</v>
      </c>
      <c r="GC25" s="546">
        <f t="shared" si="170"/>
        <v>0</v>
      </c>
      <c r="GD25" s="544"/>
      <c r="GE25" s="545">
        <f t="shared" si="60"/>
        <v>0</v>
      </c>
      <c r="GF25" s="546">
        <f t="shared" si="171"/>
        <v>0</v>
      </c>
      <c r="GG25" s="544">
        <v>13.843218286256636</v>
      </c>
      <c r="GH25" s="545">
        <f t="shared" si="61"/>
        <v>0.24971982116454652</v>
      </c>
      <c r="GI25" s="546">
        <f t="shared" si="172"/>
        <v>0</v>
      </c>
      <c r="GJ25" s="544">
        <v>13.843218286256636</v>
      </c>
      <c r="GK25" s="545">
        <f t="shared" si="62"/>
        <v>0.24971982116454652</v>
      </c>
      <c r="GL25" s="546">
        <f t="shared" si="173"/>
        <v>0</v>
      </c>
      <c r="GM25" s="544">
        <v>0</v>
      </c>
      <c r="GN25" s="545">
        <f t="shared" si="63"/>
        <v>0</v>
      </c>
      <c r="GO25" s="546">
        <f t="shared" si="174"/>
        <v>0</v>
      </c>
      <c r="GP25" s="544">
        <v>33.223723887015929</v>
      </c>
      <c r="GQ25" s="545">
        <f t="shared" si="64"/>
        <v>0.59932757079491161</v>
      </c>
      <c r="GR25" s="546">
        <f t="shared" si="175"/>
        <v>0</v>
      </c>
      <c r="GS25" s="544">
        <v>166.11861943507964</v>
      </c>
      <c r="GT25" s="545">
        <f t="shared" si="65"/>
        <v>2.996637853974558</v>
      </c>
      <c r="GU25" s="546">
        <f t="shared" si="176"/>
        <v>0</v>
      </c>
      <c r="GV25" s="544">
        <v>27.686436572513273</v>
      </c>
      <c r="GW25" s="545">
        <f t="shared" si="66"/>
        <v>0.49943964232909305</v>
      </c>
      <c r="GX25" s="546">
        <f t="shared" si="177"/>
        <v>0</v>
      </c>
      <c r="GY25" s="544"/>
      <c r="GZ25" s="545">
        <f t="shared" si="67"/>
        <v>0</v>
      </c>
      <c r="HA25" s="546">
        <f t="shared" si="178"/>
        <v>0</v>
      </c>
      <c r="HB25" s="544"/>
      <c r="HC25" s="545">
        <f t="shared" si="68"/>
        <v>0</v>
      </c>
      <c r="HD25" s="546">
        <f t="shared" si="179"/>
        <v>0</v>
      </c>
      <c r="HE25" s="544"/>
      <c r="HF25" s="545">
        <f t="shared" si="69"/>
        <v>0</v>
      </c>
      <c r="HG25" s="546">
        <f t="shared" si="180"/>
        <v>0</v>
      </c>
      <c r="HH25" s="544"/>
      <c r="HI25" s="545">
        <f t="shared" si="70"/>
        <v>0</v>
      </c>
      <c r="HJ25" s="546">
        <f t="shared" si="181"/>
        <v>0</v>
      </c>
      <c r="HK25" s="544"/>
      <c r="HL25" s="545">
        <f t="shared" si="71"/>
        <v>0</v>
      </c>
      <c r="HM25" s="546">
        <f t="shared" si="182"/>
        <v>0</v>
      </c>
      <c r="HN25" s="544">
        <v>1015.5384934797869</v>
      </c>
      <c r="HO25" s="545">
        <f t="shared" si="72"/>
        <v>18.319446080631131</v>
      </c>
      <c r="HP25" s="546">
        <f t="shared" si="183"/>
        <v>0</v>
      </c>
      <c r="HQ25" s="544"/>
      <c r="HR25" s="545">
        <f t="shared" si="73"/>
        <v>0</v>
      </c>
      <c r="HS25" s="546">
        <f t="shared" si="184"/>
        <v>0</v>
      </c>
      <c r="HT25" s="544">
        <v>0</v>
      </c>
      <c r="HU25" s="545">
        <f t="shared" si="74"/>
        <v>0</v>
      </c>
      <c r="HV25" s="546">
        <f t="shared" si="185"/>
        <v>0</v>
      </c>
      <c r="HW25" s="544">
        <v>0</v>
      </c>
      <c r="HX25" s="545">
        <f t="shared" si="75"/>
        <v>0</v>
      </c>
      <c r="HY25" s="546">
        <f t="shared" si="186"/>
        <v>0</v>
      </c>
      <c r="HZ25" s="544">
        <v>0</v>
      </c>
      <c r="IA25" s="545">
        <f t="shared" si="76"/>
        <v>0</v>
      </c>
      <c r="IB25" s="546">
        <f t="shared" si="187"/>
        <v>0</v>
      </c>
      <c r="IC25" s="544">
        <v>0</v>
      </c>
      <c r="ID25" s="545">
        <f t="shared" si="77"/>
        <v>0</v>
      </c>
      <c r="IE25" s="546">
        <f t="shared" si="188"/>
        <v>0</v>
      </c>
      <c r="IF25" s="544">
        <v>24.917792915261945</v>
      </c>
      <c r="IG25" s="545">
        <f t="shared" si="78"/>
        <v>0.44949567809618368</v>
      </c>
      <c r="IH25" s="546">
        <f t="shared" si="189"/>
        <v>0</v>
      </c>
      <c r="II25" s="544"/>
      <c r="IJ25" s="545">
        <f t="shared" si="79"/>
        <v>0</v>
      </c>
      <c r="IK25" s="546">
        <f t="shared" si="190"/>
        <v>0</v>
      </c>
      <c r="IL25" s="544"/>
      <c r="IM25" s="545">
        <f t="shared" si="80"/>
        <v>0</v>
      </c>
      <c r="IN25" s="546">
        <f t="shared" si="191"/>
        <v>0</v>
      </c>
      <c r="IO25" s="544">
        <v>66.447447774031858</v>
      </c>
      <c r="IP25" s="545">
        <f t="shared" si="81"/>
        <v>1.1986551415898232</v>
      </c>
      <c r="IQ25" s="546">
        <f t="shared" si="192"/>
        <v>0</v>
      </c>
      <c r="IR25" s="544">
        <v>0</v>
      </c>
      <c r="IS25" s="545">
        <f t="shared" si="82"/>
        <v>0</v>
      </c>
      <c r="IT25" s="546">
        <f t="shared" si="193"/>
        <v>0</v>
      </c>
      <c r="IU25" s="544"/>
      <c r="IV25" s="545">
        <f t="shared" si="83"/>
        <v>0</v>
      </c>
      <c r="IW25" s="546">
        <f t="shared" si="194"/>
        <v>0</v>
      </c>
      <c r="IX25" s="544">
        <v>0</v>
      </c>
      <c r="IY25" s="545">
        <f t="shared" si="84"/>
        <v>0</v>
      </c>
      <c r="IZ25" s="546">
        <f t="shared" si="195"/>
        <v>0</v>
      </c>
      <c r="JA25" s="544"/>
      <c r="JB25" s="545">
        <f t="shared" si="85"/>
        <v>0</v>
      </c>
      <c r="JC25" s="546">
        <f t="shared" si="196"/>
        <v>0</v>
      </c>
      <c r="JD25" s="544"/>
      <c r="JE25" s="545">
        <f t="shared" si="86"/>
        <v>0</v>
      </c>
      <c r="JF25" s="546">
        <f t="shared" si="197"/>
        <v>0</v>
      </c>
      <c r="JG25" s="544">
        <v>27.686436572513273</v>
      </c>
      <c r="JH25" s="546" t="str">
        <f t="shared" si="87"/>
        <v>0</v>
      </c>
      <c r="JI25" s="546" t="str">
        <f t="shared" si="88"/>
        <v>0</v>
      </c>
      <c r="JJ25" s="544">
        <v>0</v>
      </c>
      <c r="JK25" s="546" t="str">
        <f t="shared" si="89"/>
        <v>0</v>
      </c>
      <c r="JL25" s="546" t="str">
        <f t="shared" si="90"/>
        <v>0</v>
      </c>
      <c r="JM25" s="544">
        <v>0</v>
      </c>
      <c r="JN25" s="546" t="str">
        <f t="shared" si="91"/>
        <v>0</v>
      </c>
      <c r="JO25" s="546" t="str">
        <f t="shared" si="92"/>
        <v>0</v>
      </c>
      <c r="JP25" s="544"/>
      <c r="JQ25" s="546" t="str">
        <f t="shared" si="93"/>
        <v>0</v>
      </c>
      <c r="JR25" s="546" t="str">
        <f t="shared" si="94"/>
        <v>0</v>
      </c>
      <c r="JS25" s="544"/>
      <c r="JT25" s="546" t="str">
        <f t="shared" si="95"/>
        <v>0</v>
      </c>
      <c r="JU25" s="546" t="str">
        <f t="shared" si="96"/>
        <v>0</v>
      </c>
      <c r="JV25" s="544"/>
      <c r="JW25" s="546" t="str">
        <f t="shared" si="97"/>
        <v>0</v>
      </c>
      <c r="JX25" s="546" t="str">
        <f t="shared" si="98"/>
        <v>0</v>
      </c>
      <c r="JY25" s="544"/>
      <c r="JZ25" s="546" t="str">
        <f t="shared" si="99"/>
        <v>0</v>
      </c>
      <c r="KA25" s="546" t="str">
        <f t="shared" si="100"/>
        <v>0</v>
      </c>
      <c r="KB25" s="544"/>
      <c r="KC25" s="546" t="str">
        <f t="shared" si="101"/>
        <v>0</v>
      </c>
      <c r="KD25" s="546" t="str">
        <f t="shared" si="102"/>
        <v>0</v>
      </c>
      <c r="KE25" s="544"/>
      <c r="KF25" s="546" t="str">
        <f t="shared" si="103"/>
        <v>0</v>
      </c>
      <c r="KG25" s="546" t="str">
        <f t="shared" si="104"/>
        <v>0</v>
      </c>
      <c r="KH25" s="544"/>
      <c r="KI25" s="546" t="str">
        <f t="shared" si="105"/>
        <v>0</v>
      </c>
      <c r="KJ25" s="546" t="str">
        <f t="shared" si="106"/>
        <v>0</v>
      </c>
      <c r="KK25" s="544"/>
      <c r="KL25" s="546" t="str">
        <f t="shared" si="107"/>
        <v>0</v>
      </c>
      <c r="KM25" s="546" t="str">
        <f t="shared" si="108"/>
        <v>0</v>
      </c>
      <c r="KN25" s="544"/>
      <c r="KO25" s="546" t="str">
        <f t="shared" si="109"/>
        <v>0</v>
      </c>
      <c r="KP25" s="546" t="str">
        <f t="shared" si="110"/>
        <v>0</v>
      </c>
      <c r="KQ25" s="546">
        <f t="shared" si="111"/>
        <v>0</v>
      </c>
      <c r="KR25" s="546">
        <f t="shared" si="198"/>
        <v>0</v>
      </c>
      <c r="KS25" s="265">
        <f t="shared" si="199"/>
        <v>2325.0822436400181</v>
      </c>
    </row>
    <row r="26" spans="1:305" ht="15" customHeight="1">
      <c r="A26" s="267">
        <f>+Report1!A26</f>
        <v>46009</v>
      </c>
      <c r="B26" s="268" t="str">
        <f>+Report1!B26</f>
        <v>Towel/Napkin</v>
      </c>
      <c r="C26" s="268" t="str">
        <f>+Report1!C26</f>
        <v>17/15,5/17,5</v>
      </c>
      <c r="D26" s="269">
        <f>+Report1!P26</f>
        <v>49.829000000000001</v>
      </c>
      <c r="E26" s="270">
        <f>+Report1!R26</f>
        <v>45.792999999999999</v>
      </c>
      <c r="F26" s="544">
        <v>0</v>
      </c>
      <c r="G26" s="545">
        <f t="shared" si="0"/>
        <v>0</v>
      </c>
      <c r="H26" s="546">
        <f t="shared" si="112"/>
        <v>0</v>
      </c>
      <c r="I26" s="544"/>
      <c r="J26" s="545">
        <f t="shared" si="1"/>
        <v>0</v>
      </c>
      <c r="K26" s="546">
        <f t="shared" si="113"/>
        <v>0</v>
      </c>
      <c r="L26" s="544"/>
      <c r="M26" s="545">
        <f t="shared" si="2"/>
        <v>0</v>
      </c>
      <c r="N26" s="546">
        <f t="shared" si="114"/>
        <v>0</v>
      </c>
      <c r="O26" s="544">
        <v>12.000000000000028</v>
      </c>
      <c r="P26" s="545">
        <f t="shared" si="3"/>
        <v>0.26204878474876137</v>
      </c>
      <c r="Q26" s="546">
        <f t="shared" si="115"/>
        <v>0</v>
      </c>
      <c r="R26" s="544"/>
      <c r="S26" s="545">
        <f t="shared" si="4"/>
        <v>0</v>
      </c>
      <c r="T26" s="546">
        <f t="shared" si="116"/>
        <v>0</v>
      </c>
      <c r="U26" s="544">
        <v>10.25</v>
      </c>
      <c r="V26" s="545">
        <f t="shared" si="5"/>
        <v>0.22383333697289978</v>
      </c>
      <c r="W26" s="546">
        <f t="shared" si="117"/>
        <v>0</v>
      </c>
      <c r="X26" s="544"/>
      <c r="Y26" s="545">
        <f t="shared" si="6"/>
        <v>0</v>
      </c>
      <c r="Z26" s="546">
        <f t="shared" si="118"/>
        <v>0</v>
      </c>
      <c r="AA26" s="544"/>
      <c r="AB26" s="545">
        <f t="shared" si="7"/>
        <v>0</v>
      </c>
      <c r="AC26" s="546">
        <f t="shared" si="119"/>
        <v>0</v>
      </c>
      <c r="AD26" s="544"/>
      <c r="AE26" s="545">
        <f t="shared" si="8"/>
        <v>0</v>
      </c>
      <c r="AF26" s="546">
        <f t="shared" si="120"/>
        <v>0</v>
      </c>
      <c r="AG26" s="544"/>
      <c r="AH26" s="545">
        <f t="shared" si="9"/>
        <v>0</v>
      </c>
      <c r="AI26" s="546">
        <f t="shared" si="121"/>
        <v>0</v>
      </c>
      <c r="AJ26" s="544"/>
      <c r="AK26" s="545">
        <f t="shared" si="10"/>
        <v>0</v>
      </c>
      <c r="AL26" s="546">
        <f t="shared" si="122"/>
        <v>0</v>
      </c>
      <c r="AM26" s="544">
        <v>28.910256410256409</v>
      </c>
      <c r="AN26" s="545">
        <f t="shared" si="11"/>
        <v>0.63132479659023011</v>
      </c>
      <c r="AO26" s="546">
        <f t="shared" si="123"/>
        <v>0</v>
      </c>
      <c r="AP26" s="544"/>
      <c r="AQ26" s="545">
        <f t="shared" si="12"/>
        <v>0</v>
      </c>
      <c r="AR26" s="546">
        <f t="shared" si="124"/>
        <v>0</v>
      </c>
      <c r="AS26" s="544"/>
      <c r="AT26" s="545">
        <f t="shared" si="13"/>
        <v>0</v>
      </c>
      <c r="AU26" s="546">
        <f t="shared" si="125"/>
        <v>0</v>
      </c>
      <c r="AV26" s="544">
        <v>0</v>
      </c>
      <c r="AW26" s="545">
        <f t="shared" si="14"/>
        <v>0</v>
      </c>
      <c r="AX26" s="546">
        <f t="shared" si="126"/>
        <v>0</v>
      </c>
      <c r="AY26" s="544">
        <v>42</v>
      </c>
      <c r="AZ26" s="545">
        <f t="shared" si="15"/>
        <v>0.91717074662066256</v>
      </c>
      <c r="BA26" s="546">
        <f t="shared" si="127"/>
        <v>0</v>
      </c>
      <c r="BB26" s="544"/>
      <c r="BC26" s="545">
        <f t="shared" si="16"/>
        <v>0</v>
      </c>
      <c r="BD26" s="546">
        <f t="shared" si="128"/>
        <v>0</v>
      </c>
      <c r="BE26" s="544"/>
      <c r="BF26" s="545">
        <f t="shared" si="17"/>
        <v>0</v>
      </c>
      <c r="BG26" s="546">
        <f t="shared" si="129"/>
        <v>0</v>
      </c>
      <c r="BH26" s="544"/>
      <c r="BI26" s="545">
        <f t="shared" si="18"/>
        <v>0</v>
      </c>
      <c r="BJ26" s="546">
        <f t="shared" si="130"/>
        <v>0</v>
      </c>
      <c r="BK26" s="544"/>
      <c r="BL26" s="545">
        <f t="shared" si="19"/>
        <v>0</v>
      </c>
      <c r="BM26" s="546">
        <f t="shared" si="131"/>
        <v>0</v>
      </c>
      <c r="BN26" s="544"/>
      <c r="BO26" s="545">
        <f t="shared" si="20"/>
        <v>0</v>
      </c>
      <c r="BP26" s="546">
        <f t="shared" si="132"/>
        <v>0</v>
      </c>
      <c r="BQ26" s="544"/>
      <c r="BR26" s="545">
        <f t="shared" si="21"/>
        <v>0</v>
      </c>
      <c r="BS26" s="546">
        <f t="shared" si="133"/>
        <v>0</v>
      </c>
      <c r="BT26" s="544"/>
      <c r="BU26" s="545">
        <f t="shared" si="22"/>
        <v>0</v>
      </c>
      <c r="BV26" s="546">
        <f t="shared" si="134"/>
        <v>0</v>
      </c>
      <c r="BW26" s="544"/>
      <c r="BX26" s="545">
        <f t="shared" si="23"/>
        <v>0</v>
      </c>
      <c r="BY26" s="546">
        <f t="shared" si="135"/>
        <v>0</v>
      </c>
      <c r="BZ26" s="544">
        <v>0</v>
      </c>
      <c r="CA26" s="545">
        <f t="shared" si="24"/>
        <v>0</v>
      </c>
      <c r="CB26" s="546">
        <f t="shared" si="136"/>
        <v>0</v>
      </c>
      <c r="CC26" s="544">
        <v>31.25</v>
      </c>
      <c r="CD26" s="545">
        <f t="shared" si="25"/>
        <v>0.68241871028323109</v>
      </c>
      <c r="CE26" s="546">
        <f t="shared" si="137"/>
        <v>0</v>
      </c>
      <c r="CF26" s="544">
        <v>2.2000000000000028</v>
      </c>
      <c r="CG26" s="545">
        <f t="shared" si="26"/>
        <v>4.8042277203939526E-2</v>
      </c>
      <c r="CH26" s="546">
        <f t="shared" si="138"/>
        <v>0</v>
      </c>
      <c r="CI26" s="544"/>
      <c r="CJ26" s="545">
        <f t="shared" si="27"/>
        <v>0</v>
      </c>
      <c r="CK26" s="546">
        <f t="shared" si="139"/>
        <v>0</v>
      </c>
      <c r="CL26" s="544"/>
      <c r="CM26" s="545">
        <f t="shared" si="28"/>
        <v>0</v>
      </c>
      <c r="CN26" s="546">
        <f t="shared" si="140"/>
        <v>0</v>
      </c>
      <c r="CO26" s="544"/>
      <c r="CP26" s="545">
        <f t="shared" si="29"/>
        <v>0</v>
      </c>
      <c r="CQ26" s="546">
        <f t="shared" si="141"/>
        <v>0</v>
      </c>
      <c r="CR26" s="544"/>
      <c r="CS26" s="545">
        <f t="shared" si="30"/>
        <v>0</v>
      </c>
      <c r="CT26" s="546">
        <f t="shared" si="142"/>
        <v>0</v>
      </c>
      <c r="CU26" s="544"/>
      <c r="CV26" s="545">
        <f t="shared" si="31"/>
        <v>0</v>
      </c>
      <c r="CW26" s="546">
        <f t="shared" si="143"/>
        <v>0</v>
      </c>
      <c r="CX26" s="544"/>
      <c r="CY26" s="545">
        <f t="shared" si="32"/>
        <v>0</v>
      </c>
      <c r="CZ26" s="546">
        <f t="shared" si="144"/>
        <v>0</v>
      </c>
      <c r="DA26" s="544">
        <v>0</v>
      </c>
      <c r="DB26" s="545">
        <f t="shared" si="33"/>
        <v>0</v>
      </c>
      <c r="DC26" s="546">
        <f t="shared" si="145"/>
        <v>0</v>
      </c>
      <c r="DD26" s="544"/>
      <c r="DE26" s="545">
        <f t="shared" si="34"/>
        <v>0</v>
      </c>
      <c r="DF26" s="546">
        <f t="shared" si="146"/>
        <v>0</v>
      </c>
      <c r="DG26" s="544"/>
      <c r="DH26" s="545">
        <f t="shared" si="35"/>
        <v>0</v>
      </c>
      <c r="DI26" s="546">
        <f t="shared" si="200"/>
        <v>0</v>
      </c>
      <c r="DJ26" s="544"/>
      <c r="DK26" s="545">
        <f t="shared" si="36"/>
        <v>0</v>
      </c>
      <c r="DL26" s="546">
        <f t="shared" si="147"/>
        <v>0</v>
      </c>
      <c r="DM26" s="544"/>
      <c r="DN26" s="545">
        <f t="shared" si="37"/>
        <v>0</v>
      </c>
      <c r="DO26" s="546">
        <f t="shared" si="148"/>
        <v>0</v>
      </c>
      <c r="DP26" s="544"/>
      <c r="DQ26" s="545">
        <f t="shared" si="38"/>
        <v>0</v>
      </c>
      <c r="DR26" s="546">
        <f t="shared" si="149"/>
        <v>0</v>
      </c>
      <c r="DS26" s="544"/>
      <c r="DT26" s="545">
        <f t="shared" si="39"/>
        <v>0</v>
      </c>
      <c r="DU26" s="546">
        <f t="shared" si="150"/>
        <v>0</v>
      </c>
      <c r="DV26" s="544"/>
      <c r="DW26" s="545">
        <f t="shared" si="40"/>
        <v>0</v>
      </c>
      <c r="DX26" s="546">
        <f t="shared" si="151"/>
        <v>0</v>
      </c>
      <c r="DY26" s="544"/>
      <c r="DZ26" s="545">
        <f t="shared" si="41"/>
        <v>0</v>
      </c>
      <c r="EA26" s="546">
        <f t="shared" si="152"/>
        <v>0</v>
      </c>
      <c r="EB26" s="544">
        <v>588.23529411764707</v>
      </c>
      <c r="EC26" s="545">
        <f t="shared" si="42"/>
        <v>12.845528664154939</v>
      </c>
      <c r="ED26" s="546">
        <f t="shared" si="153"/>
        <v>0</v>
      </c>
      <c r="EE26" s="544">
        <v>29.069767441860677</v>
      </c>
      <c r="EF26" s="545">
        <f t="shared" si="43"/>
        <v>0.63480810258905673</v>
      </c>
      <c r="EG26" s="546">
        <f t="shared" si="154"/>
        <v>0</v>
      </c>
      <c r="EH26" s="544">
        <v>1</v>
      </c>
      <c r="EI26" s="545">
        <f t="shared" si="44"/>
        <v>2.1837398729063394E-2</v>
      </c>
      <c r="EJ26" s="546">
        <f t="shared" si="155"/>
        <v>0</v>
      </c>
      <c r="EK26" s="544"/>
      <c r="EL26" s="545">
        <f t="shared" si="45"/>
        <v>0</v>
      </c>
      <c r="EM26" s="546">
        <f t="shared" si="156"/>
        <v>0</v>
      </c>
      <c r="EN26" s="544"/>
      <c r="EO26" s="545">
        <f t="shared" si="46"/>
        <v>0</v>
      </c>
      <c r="EP26" s="546">
        <f t="shared" si="157"/>
        <v>0</v>
      </c>
      <c r="EQ26" s="544"/>
      <c r="ER26" s="545">
        <f t="shared" si="47"/>
        <v>0</v>
      </c>
      <c r="ES26" s="546">
        <f t="shared" si="158"/>
        <v>0</v>
      </c>
      <c r="ET26" s="544"/>
      <c r="EU26" s="545">
        <f t="shared" si="48"/>
        <v>0</v>
      </c>
      <c r="EV26" s="546">
        <f t="shared" si="159"/>
        <v>0</v>
      </c>
      <c r="EW26" s="544"/>
      <c r="EX26" s="545">
        <f t="shared" si="49"/>
        <v>0</v>
      </c>
      <c r="EY26" s="546">
        <f t="shared" si="160"/>
        <v>0</v>
      </c>
      <c r="EZ26" s="544"/>
      <c r="FA26" s="545">
        <f t="shared" si="50"/>
        <v>0</v>
      </c>
      <c r="FB26" s="546">
        <f t="shared" si="161"/>
        <v>0</v>
      </c>
      <c r="FC26" s="544"/>
      <c r="FD26" s="545">
        <f t="shared" si="51"/>
        <v>0</v>
      </c>
      <c r="FE26" s="546">
        <f t="shared" si="162"/>
        <v>0</v>
      </c>
      <c r="FF26" s="544"/>
      <c r="FG26" s="545">
        <f t="shared" si="52"/>
        <v>0</v>
      </c>
      <c r="FH26" s="546">
        <f t="shared" si="163"/>
        <v>0</v>
      </c>
      <c r="FI26" s="544"/>
      <c r="FJ26" s="545">
        <f t="shared" si="53"/>
        <v>0</v>
      </c>
      <c r="FK26" s="546">
        <f t="shared" si="164"/>
        <v>0</v>
      </c>
      <c r="FL26" s="544"/>
      <c r="FM26" s="545">
        <f t="shared" si="54"/>
        <v>0</v>
      </c>
      <c r="FN26" s="546">
        <f t="shared" si="165"/>
        <v>0</v>
      </c>
      <c r="FO26" s="544"/>
      <c r="FP26" s="545">
        <f t="shared" si="55"/>
        <v>0</v>
      </c>
      <c r="FQ26" s="546">
        <f t="shared" si="166"/>
        <v>0</v>
      </c>
      <c r="FR26" s="544"/>
      <c r="FS26" s="545">
        <f t="shared" si="56"/>
        <v>0</v>
      </c>
      <c r="FT26" s="546">
        <f t="shared" si="167"/>
        <v>0</v>
      </c>
      <c r="FU26" s="544"/>
      <c r="FV26" s="545">
        <f t="shared" si="57"/>
        <v>0</v>
      </c>
      <c r="FW26" s="546">
        <f t="shared" si="168"/>
        <v>0</v>
      </c>
      <c r="FX26" s="544"/>
      <c r="FY26" s="545">
        <f t="shared" si="58"/>
        <v>0</v>
      </c>
      <c r="FZ26" s="546">
        <f t="shared" si="169"/>
        <v>0</v>
      </c>
      <c r="GA26" s="544"/>
      <c r="GB26" s="545">
        <f t="shared" si="59"/>
        <v>0</v>
      </c>
      <c r="GC26" s="546">
        <f t="shared" si="170"/>
        <v>0</v>
      </c>
      <c r="GD26" s="544"/>
      <c r="GE26" s="545">
        <f t="shared" si="60"/>
        <v>0</v>
      </c>
      <c r="GF26" s="546">
        <f t="shared" si="171"/>
        <v>0</v>
      </c>
      <c r="GG26" s="544">
        <v>15.744754802831142</v>
      </c>
      <c r="GH26" s="545">
        <f t="shared" si="61"/>
        <v>0.34382448852075959</v>
      </c>
      <c r="GI26" s="546">
        <f t="shared" si="172"/>
        <v>0</v>
      </c>
      <c r="GJ26" s="544">
        <v>15.744754802831142</v>
      </c>
      <c r="GK26" s="545">
        <f>+GJ26/$E26</f>
        <v>0.34382448852075959</v>
      </c>
      <c r="GL26" s="546">
        <f>+GJ26*$H$8</f>
        <v>0</v>
      </c>
      <c r="GM26" s="544">
        <v>0</v>
      </c>
      <c r="GN26" s="545">
        <f t="shared" ref="GN26:GN39" si="201">+GM26/$E26</f>
        <v>0</v>
      </c>
      <c r="GO26" s="546">
        <f t="shared" ref="GO26:GO39" si="202">+GM26*$H$8</f>
        <v>0</v>
      </c>
      <c r="GP26" s="544">
        <v>31.489509605662285</v>
      </c>
      <c r="GQ26" s="545">
        <f t="shared" ref="GQ26:GQ39" si="203">+GP26/$E26</f>
        <v>0.68764897704151917</v>
      </c>
      <c r="GR26" s="546">
        <f t="shared" ref="GR26:GR39" si="204">+GP26*$H$8</f>
        <v>0</v>
      </c>
      <c r="GS26" s="544">
        <v>167.94405123019885</v>
      </c>
      <c r="GT26" s="545">
        <f t="shared" ref="GT26:GT39" si="205">+GS26/$E26</f>
        <v>3.667461210888102</v>
      </c>
      <c r="GU26" s="546">
        <f t="shared" ref="GU26:GU39" si="206">+GS26*$H$8</f>
        <v>0</v>
      </c>
      <c r="GV26" s="544">
        <v>26.241258004718571</v>
      </c>
      <c r="GW26" s="545">
        <f t="shared" si="66"/>
        <v>0.57304081420126596</v>
      </c>
      <c r="GX26" s="546">
        <f t="shared" si="177"/>
        <v>0</v>
      </c>
      <c r="GY26" s="544"/>
      <c r="GZ26" s="545">
        <f t="shared" si="67"/>
        <v>0</v>
      </c>
      <c r="HA26" s="546">
        <f t="shared" si="178"/>
        <v>0</v>
      </c>
      <c r="HB26" s="544"/>
      <c r="HC26" s="545">
        <f t="shared" si="68"/>
        <v>0</v>
      </c>
      <c r="HD26" s="546">
        <f t="shared" si="179"/>
        <v>0</v>
      </c>
      <c r="HE26" s="544"/>
      <c r="HF26" s="545">
        <f t="shared" si="69"/>
        <v>0</v>
      </c>
      <c r="HG26" s="546">
        <f t="shared" si="180"/>
        <v>0</v>
      </c>
      <c r="HH26" s="544"/>
      <c r="HI26" s="545">
        <f t="shared" si="70"/>
        <v>0</v>
      </c>
      <c r="HJ26" s="546">
        <f t="shared" si="181"/>
        <v>0</v>
      </c>
      <c r="HK26" s="544"/>
      <c r="HL26" s="545">
        <f t="shared" si="71"/>
        <v>0</v>
      </c>
      <c r="HM26" s="546">
        <f t="shared" si="182"/>
        <v>0</v>
      </c>
      <c r="HN26" s="544">
        <v>980.37339905628585</v>
      </c>
      <c r="HO26" s="545">
        <f t="shared" si="72"/>
        <v>21.408804818559297</v>
      </c>
      <c r="HP26" s="546">
        <f t="shared" si="183"/>
        <v>0</v>
      </c>
      <c r="HQ26" s="544"/>
      <c r="HR26" s="545">
        <f t="shared" si="73"/>
        <v>0</v>
      </c>
      <c r="HS26" s="546">
        <f t="shared" si="184"/>
        <v>0</v>
      </c>
      <c r="HT26" s="544">
        <v>0</v>
      </c>
      <c r="HU26" s="545">
        <f t="shared" si="74"/>
        <v>0</v>
      </c>
      <c r="HV26" s="546">
        <f t="shared" si="185"/>
        <v>0</v>
      </c>
      <c r="HW26" s="544">
        <v>0</v>
      </c>
      <c r="HX26" s="545">
        <f t="shared" si="75"/>
        <v>0</v>
      </c>
      <c r="HY26" s="546">
        <f t="shared" si="186"/>
        <v>0</v>
      </c>
      <c r="HZ26" s="544">
        <v>0</v>
      </c>
      <c r="IA26" s="545">
        <f t="shared" si="76"/>
        <v>0</v>
      </c>
      <c r="IB26" s="546">
        <f t="shared" si="187"/>
        <v>0</v>
      </c>
      <c r="IC26" s="544">
        <v>0</v>
      </c>
      <c r="ID26" s="545">
        <f t="shared" si="77"/>
        <v>0</v>
      </c>
      <c r="IE26" s="546">
        <f t="shared" si="188"/>
        <v>0</v>
      </c>
      <c r="IF26" s="544">
        <v>26.241258004718571</v>
      </c>
      <c r="IG26" s="545">
        <f t="shared" si="78"/>
        <v>0.57304081420126596</v>
      </c>
      <c r="IH26" s="546">
        <f t="shared" si="189"/>
        <v>0</v>
      </c>
      <c r="II26" s="544"/>
      <c r="IJ26" s="545">
        <f t="shared" si="79"/>
        <v>0</v>
      </c>
      <c r="IK26" s="546">
        <f t="shared" si="190"/>
        <v>0</v>
      </c>
      <c r="IL26" s="544"/>
      <c r="IM26" s="545">
        <f t="shared" si="80"/>
        <v>0</v>
      </c>
      <c r="IN26" s="546">
        <f t="shared" si="191"/>
        <v>0</v>
      </c>
      <c r="IO26" s="544">
        <v>62.979019211324569</v>
      </c>
      <c r="IP26" s="545">
        <f t="shared" si="81"/>
        <v>1.3752979540830383</v>
      </c>
      <c r="IQ26" s="546">
        <f t="shared" si="192"/>
        <v>0</v>
      </c>
      <c r="IR26" s="544">
        <v>0</v>
      </c>
      <c r="IS26" s="545">
        <f t="shared" si="82"/>
        <v>0</v>
      </c>
      <c r="IT26" s="546">
        <f t="shared" si="193"/>
        <v>0</v>
      </c>
      <c r="IU26" s="544"/>
      <c r="IV26" s="545">
        <f t="shared" si="83"/>
        <v>0</v>
      </c>
      <c r="IW26" s="546">
        <f t="shared" si="194"/>
        <v>0</v>
      </c>
      <c r="IX26" s="544">
        <v>0</v>
      </c>
      <c r="IY26" s="545">
        <f t="shared" si="84"/>
        <v>0</v>
      </c>
      <c r="IZ26" s="546">
        <f t="shared" si="195"/>
        <v>0</v>
      </c>
      <c r="JA26" s="544"/>
      <c r="JB26" s="545">
        <f t="shared" si="85"/>
        <v>0</v>
      </c>
      <c r="JC26" s="546">
        <f t="shared" si="196"/>
        <v>0</v>
      </c>
      <c r="JD26" s="544"/>
      <c r="JE26" s="545">
        <f t="shared" si="86"/>
        <v>0</v>
      </c>
      <c r="JF26" s="546">
        <f t="shared" si="197"/>
        <v>0</v>
      </c>
      <c r="JG26" s="544">
        <v>26.241258004718571</v>
      </c>
      <c r="JH26" s="546" t="str">
        <f t="shared" si="87"/>
        <v>0</v>
      </c>
      <c r="JI26" s="546" t="str">
        <f t="shared" si="88"/>
        <v>0</v>
      </c>
      <c r="JJ26" s="544">
        <v>0</v>
      </c>
      <c r="JK26" s="546" t="str">
        <f t="shared" si="89"/>
        <v>0</v>
      </c>
      <c r="JL26" s="546" t="str">
        <f t="shared" si="90"/>
        <v>0</v>
      </c>
      <c r="JM26" s="544">
        <v>0</v>
      </c>
      <c r="JN26" s="546" t="str">
        <f t="shared" si="91"/>
        <v>0</v>
      </c>
      <c r="JO26" s="546" t="str">
        <f t="shared" si="92"/>
        <v>0</v>
      </c>
      <c r="JP26" s="544"/>
      <c r="JQ26" s="546" t="str">
        <f t="shared" si="93"/>
        <v>0</v>
      </c>
      <c r="JR26" s="546" t="str">
        <f t="shared" si="94"/>
        <v>0</v>
      </c>
      <c r="JS26" s="544"/>
      <c r="JT26" s="546" t="str">
        <f t="shared" si="95"/>
        <v>0</v>
      </c>
      <c r="JU26" s="546" t="str">
        <f t="shared" si="96"/>
        <v>0</v>
      </c>
      <c r="JV26" s="544"/>
      <c r="JW26" s="546" t="str">
        <f t="shared" si="97"/>
        <v>0</v>
      </c>
      <c r="JX26" s="546" t="str">
        <f t="shared" si="98"/>
        <v>0</v>
      </c>
      <c r="JY26" s="544"/>
      <c r="JZ26" s="546" t="str">
        <f t="shared" si="99"/>
        <v>0</v>
      </c>
      <c r="KA26" s="546" t="str">
        <f t="shared" si="100"/>
        <v>0</v>
      </c>
      <c r="KB26" s="544"/>
      <c r="KC26" s="546" t="str">
        <f t="shared" si="101"/>
        <v>0</v>
      </c>
      <c r="KD26" s="546" t="str">
        <f t="shared" si="102"/>
        <v>0</v>
      </c>
      <c r="KE26" s="544"/>
      <c r="KF26" s="546" t="str">
        <f t="shared" si="103"/>
        <v>0</v>
      </c>
      <c r="KG26" s="546" t="str">
        <f t="shared" si="104"/>
        <v>0</v>
      </c>
      <c r="KH26" s="544"/>
      <c r="KI26" s="546" t="str">
        <f t="shared" si="105"/>
        <v>0</v>
      </c>
      <c r="KJ26" s="546" t="str">
        <f t="shared" si="106"/>
        <v>0</v>
      </c>
      <c r="KK26" s="544"/>
      <c r="KL26" s="546" t="str">
        <f t="shared" si="107"/>
        <v>0</v>
      </c>
      <c r="KM26" s="546" t="str">
        <f t="shared" si="108"/>
        <v>0</v>
      </c>
      <c r="KN26" s="544"/>
      <c r="KO26" s="546" t="str">
        <f t="shared" si="109"/>
        <v>0</v>
      </c>
      <c r="KP26" s="546" t="str">
        <f t="shared" si="110"/>
        <v>0</v>
      </c>
      <c r="KQ26" s="546">
        <f t="shared" si="111"/>
        <v>0</v>
      </c>
      <c r="KR26" s="546">
        <f t="shared" si="198"/>
        <v>0</v>
      </c>
      <c r="KS26" s="265">
        <f t="shared" si="199"/>
        <v>2097.9145806930537</v>
      </c>
    </row>
    <row r="27" spans="1:305" ht="15" customHeight="1">
      <c r="A27" s="267">
        <f>+Report1!A27</f>
        <v>46010</v>
      </c>
      <c r="B27" s="268" t="str">
        <f>+Report1!B27</f>
        <v>Towel</v>
      </c>
      <c r="C27" s="268" t="str">
        <f>+Report1!C27</f>
        <v>17,5/22</v>
      </c>
      <c r="D27" s="269">
        <f>+Report1!P27</f>
        <v>67.625</v>
      </c>
      <c r="E27" s="270">
        <f>+Report1!R27</f>
        <v>67.891999999999996</v>
      </c>
      <c r="F27" s="544">
        <v>0</v>
      </c>
      <c r="G27" s="545">
        <f t="shared" si="0"/>
        <v>0</v>
      </c>
      <c r="H27" s="546">
        <f t="shared" si="112"/>
        <v>0</v>
      </c>
      <c r="I27" s="544"/>
      <c r="J27" s="545">
        <f t="shared" si="1"/>
        <v>0</v>
      </c>
      <c r="K27" s="546">
        <f t="shared" si="113"/>
        <v>0</v>
      </c>
      <c r="L27" s="544"/>
      <c r="M27" s="545">
        <f t="shared" si="2"/>
        <v>0</v>
      </c>
      <c r="N27" s="546">
        <f t="shared" si="114"/>
        <v>0</v>
      </c>
      <c r="O27" s="544">
        <v>11.999999999999972</v>
      </c>
      <c r="P27" s="545">
        <f t="shared" si="3"/>
        <v>0.17675131090555549</v>
      </c>
      <c r="Q27" s="546">
        <f t="shared" si="115"/>
        <v>0</v>
      </c>
      <c r="R27" s="544"/>
      <c r="S27" s="545">
        <f t="shared" si="4"/>
        <v>0</v>
      </c>
      <c r="T27" s="546">
        <f t="shared" si="116"/>
        <v>0</v>
      </c>
      <c r="U27" s="544">
        <v>10.250000000000014</v>
      </c>
      <c r="V27" s="545">
        <f t="shared" si="5"/>
        <v>0.15097507806516253</v>
      </c>
      <c r="W27" s="546">
        <f t="shared" si="117"/>
        <v>0</v>
      </c>
      <c r="X27" s="544"/>
      <c r="Y27" s="545">
        <f t="shared" si="6"/>
        <v>0</v>
      </c>
      <c r="Z27" s="546">
        <f t="shared" si="118"/>
        <v>0</v>
      </c>
      <c r="AA27" s="544"/>
      <c r="AB27" s="545">
        <f t="shared" si="7"/>
        <v>0</v>
      </c>
      <c r="AC27" s="546">
        <f t="shared" si="119"/>
        <v>0</v>
      </c>
      <c r="AD27" s="544"/>
      <c r="AE27" s="545">
        <f t="shared" si="8"/>
        <v>0</v>
      </c>
      <c r="AF27" s="546">
        <f t="shared" si="120"/>
        <v>0</v>
      </c>
      <c r="AG27" s="544"/>
      <c r="AH27" s="545">
        <f t="shared" si="9"/>
        <v>0</v>
      </c>
      <c r="AI27" s="546">
        <f t="shared" si="121"/>
        <v>0</v>
      </c>
      <c r="AJ27" s="544"/>
      <c r="AK27" s="545">
        <f t="shared" si="10"/>
        <v>0</v>
      </c>
      <c r="AL27" s="546">
        <f t="shared" si="122"/>
        <v>0</v>
      </c>
      <c r="AM27" s="544">
        <v>36.794871794871767</v>
      </c>
      <c r="AN27" s="545">
        <f t="shared" si="11"/>
        <v>0.54196181869545412</v>
      </c>
      <c r="AO27" s="546">
        <f t="shared" si="123"/>
        <v>0</v>
      </c>
      <c r="AP27" s="544"/>
      <c r="AQ27" s="545">
        <f t="shared" si="12"/>
        <v>0</v>
      </c>
      <c r="AR27" s="546">
        <f t="shared" si="124"/>
        <v>0</v>
      </c>
      <c r="AS27" s="544"/>
      <c r="AT27" s="545">
        <f t="shared" si="13"/>
        <v>0</v>
      </c>
      <c r="AU27" s="546">
        <f t="shared" si="125"/>
        <v>0</v>
      </c>
      <c r="AV27" s="544">
        <v>0</v>
      </c>
      <c r="AW27" s="545">
        <f t="shared" si="14"/>
        <v>0</v>
      </c>
      <c r="AX27" s="546">
        <f t="shared" si="126"/>
        <v>0</v>
      </c>
      <c r="AY27" s="544">
        <v>51.333333333333314</v>
      </c>
      <c r="AZ27" s="545">
        <f t="shared" si="15"/>
        <v>0.75610282998487766</v>
      </c>
      <c r="BA27" s="546">
        <f t="shared" si="127"/>
        <v>0</v>
      </c>
      <c r="BB27" s="544"/>
      <c r="BC27" s="545">
        <f t="shared" si="16"/>
        <v>0</v>
      </c>
      <c r="BD27" s="546">
        <f t="shared" si="128"/>
        <v>0</v>
      </c>
      <c r="BE27" s="544"/>
      <c r="BF27" s="545">
        <f t="shared" si="17"/>
        <v>0</v>
      </c>
      <c r="BG27" s="546">
        <f t="shared" si="129"/>
        <v>0</v>
      </c>
      <c r="BH27" s="544"/>
      <c r="BI27" s="545">
        <f t="shared" si="18"/>
        <v>0</v>
      </c>
      <c r="BJ27" s="546">
        <f t="shared" si="130"/>
        <v>0</v>
      </c>
      <c r="BK27" s="544"/>
      <c r="BL27" s="545">
        <f t="shared" si="19"/>
        <v>0</v>
      </c>
      <c r="BM27" s="546">
        <f t="shared" si="131"/>
        <v>0</v>
      </c>
      <c r="BN27" s="544"/>
      <c r="BO27" s="545">
        <f t="shared" si="20"/>
        <v>0</v>
      </c>
      <c r="BP27" s="546">
        <f t="shared" si="132"/>
        <v>0</v>
      </c>
      <c r="BQ27" s="544"/>
      <c r="BR27" s="545">
        <f t="shared" si="21"/>
        <v>0</v>
      </c>
      <c r="BS27" s="546">
        <f t="shared" si="133"/>
        <v>0</v>
      </c>
      <c r="BT27" s="544"/>
      <c r="BU27" s="545">
        <f t="shared" si="22"/>
        <v>0</v>
      </c>
      <c r="BV27" s="546">
        <f t="shared" si="134"/>
        <v>0</v>
      </c>
      <c r="BW27" s="544"/>
      <c r="BX27" s="545">
        <f t="shared" si="23"/>
        <v>0</v>
      </c>
      <c r="BY27" s="546">
        <f t="shared" si="135"/>
        <v>0</v>
      </c>
      <c r="BZ27" s="544">
        <v>0</v>
      </c>
      <c r="CA27" s="545">
        <f t="shared" si="24"/>
        <v>0</v>
      </c>
      <c r="CB27" s="546">
        <f t="shared" si="136"/>
        <v>0</v>
      </c>
      <c r="CC27" s="544">
        <v>25</v>
      </c>
      <c r="CD27" s="545">
        <f t="shared" si="25"/>
        <v>0.36823189771990811</v>
      </c>
      <c r="CE27" s="546">
        <f t="shared" si="137"/>
        <v>0</v>
      </c>
      <c r="CF27" s="544">
        <v>1.2</v>
      </c>
      <c r="CG27" s="545">
        <f t="shared" si="26"/>
        <v>1.7675131090555588E-2</v>
      </c>
      <c r="CH27" s="546">
        <f t="shared" si="138"/>
        <v>0</v>
      </c>
      <c r="CI27" s="544"/>
      <c r="CJ27" s="545">
        <f t="shared" si="27"/>
        <v>0</v>
      </c>
      <c r="CK27" s="546">
        <f t="shared" si="139"/>
        <v>0</v>
      </c>
      <c r="CL27" s="544"/>
      <c r="CM27" s="545">
        <f t="shared" si="28"/>
        <v>0</v>
      </c>
      <c r="CN27" s="546">
        <f t="shared" si="140"/>
        <v>0</v>
      </c>
      <c r="CO27" s="544"/>
      <c r="CP27" s="545">
        <f t="shared" si="29"/>
        <v>0</v>
      </c>
      <c r="CQ27" s="546">
        <f t="shared" si="141"/>
        <v>0</v>
      </c>
      <c r="CR27" s="544"/>
      <c r="CS27" s="545">
        <f t="shared" si="30"/>
        <v>0</v>
      </c>
      <c r="CT27" s="546">
        <f t="shared" si="142"/>
        <v>0</v>
      </c>
      <c r="CU27" s="544"/>
      <c r="CV27" s="545">
        <f t="shared" si="31"/>
        <v>0</v>
      </c>
      <c r="CW27" s="546">
        <f t="shared" si="143"/>
        <v>0</v>
      </c>
      <c r="CX27" s="544"/>
      <c r="CY27" s="545">
        <f t="shared" si="32"/>
        <v>0</v>
      </c>
      <c r="CZ27" s="546">
        <f t="shared" si="144"/>
        <v>0</v>
      </c>
      <c r="DA27" s="544">
        <v>0</v>
      </c>
      <c r="DB27" s="545">
        <f t="shared" si="33"/>
        <v>0</v>
      </c>
      <c r="DC27" s="546">
        <f t="shared" si="145"/>
        <v>0</v>
      </c>
      <c r="DD27" s="544"/>
      <c r="DE27" s="545">
        <f t="shared" si="34"/>
        <v>0</v>
      </c>
      <c r="DF27" s="546">
        <f t="shared" si="146"/>
        <v>0</v>
      </c>
      <c r="DG27" s="544"/>
      <c r="DH27" s="545">
        <f t="shared" si="35"/>
        <v>0</v>
      </c>
      <c r="DI27" s="546">
        <f t="shared" si="200"/>
        <v>0</v>
      </c>
      <c r="DJ27" s="544"/>
      <c r="DK27" s="545">
        <f t="shared" si="36"/>
        <v>0</v>
      </c>
      <c r="DL27" s="546">
        <f t="shared" si="147"/>
        <v>0</v>
      </c>
      <c r="DM27" s="544"/>
      <c r="DN27" s="545">
        <f t="shared" si="37"/>
        <v>0</v>
      </c>
      <c r="DO27" s="546">
        <f t="shared" si="148"/>
        <v>0</v>
      </c>
      <c r="DP27" s="544"/>
      <c r="DQ27" s="545">
        <f t="shared" si="38"/>
        <v>0</v>
      </c>
      <c r="DR27" s="546">
        <f t="shared" si="149"/>
        <v>0</v>
      </c>
      <c r="DS27" s="544"/>
      <c r="DT27" s="545">
        <f t="shared" si="39"/>
        <v>0</v>
      </c>
      <c r="DU27" s="546">
        <f t="shared" si="150"/>
        <v>0</v>
      </c>
      <c r="DV27" s="544"/>
      <c r="DW27" s="545">
        <f t="shared" si="40"/>
        <v>0</v>
      </c>
      <c r="DX27" s="546">
        <f t="shared" si="151"/>
        <v>0</v>
      </c>
      <c r="DY27" s="544"/>
      <c r="DZ27" s="545">
        <f t="shared" si="41"/>
        <v>0</v>
      </c>
      <c r="EA27" s="546">
        <f t="shared" si="152"/>
        <v>0</v>
      </c>
      <c r="EB27" s="544">
        <v>882.35294117647049</v>
      </c>
      <c r="EC27" s="545">
        <f t="shared" si="42"/>
        <v>12.996419919526167</v>
      </c>
      <c r="ED27" s="546">
        <f t="shared" si="153"/>
        <v>0</v>
      </c>
      <c r="EE27" s="544">
        <v>29.069767441860449</v>
      </c>
      <c r="EF27" s="545">
        <f t="shared" si="43"/>
        <v>0.42817662525570688</v>
      </c>
      <c r="EG27" s="546">
        <f t="shared" si="154"/>
        <v>0</v>
      </c>
      <c r="EH27" s="544">
        <v>1</v>
      </c>
      <c r="EI27" s="545">
        <f t="shared" si="44"/>
        <v>1.4729275908796325E-2</v>
      </c>
      <c r="EJ27" s="546">
        <f t="shared" si="155"/>
        <v>0</v>
      </c>
      <c r="EK27" s="544"/>
      <c r="EL27" s="545">
        <f t="shared" si="45"/>
        <v>0</v>
      </c>
      <c r="EM27" s="546">
        <f t="shared" si="156"/>
        <v>0</v>
      </c>
      <c r="EN27" s="544"/>
      <c r="EO27" s="545">
        <f t="shared" si="46"/>
        <v>0</v>
      </c>
      <c r="EP27" s="546">
        <f t="shared" si="157"/>
        <v>0</v>
      </c>
      <c r="EQ27" s="544"/>
      <c r="ER27" s="545">
        <f t="shared" si="47"/>
        <v>0</v>
      </c>
      <c r="ES27" s="546">
        <f t="shared" si="158"/>
        <v>0</v>
      </c>
      <c r="ET27" s="544"/>
      <c r="EU27" s="545">
        <f t="shared" si="48"/>
        <v>0</v>
      </c>
      <c r="EV27" s="546">
        <f t="shared" si="159"/>
        <v>0</v>
      </c>
      <c r="EW27" s="544"/>
      <c r="EX27" s="545">
        <f t="shared" si="49"/>
        <v>0</v>
      </c>
      <c r="EY27" s="546">
        <f t="shared" si="160"/>
        <v>0</v>
      </c>
      <c r="EZ27" s="544"/>
      <c r="FA27" s="545">
        <f t="shared" si="50"/>
        <v>0</v>
      </c>
      <c r="FB27" s="546">
        <f t="shared" si="161"/>
        <v>0</v>
      </c>
      <c r="FC27" s="544"/>
      <c r="FD27" s="545">
        <f t="shared" si="51"/>
        <v>0</v>
      </c>
      <c r="FE27" s="546">
        <f t="shared" si="162"/>
        <v>0</v>
      </c>
      <c r="FF27" s="544"/>
      <c r="FG27" s="545">
        <f t="shared" si="52"/>
        <v>0</v>
      </c>
      <c r="FH27" s="546">
        <f t="shared" si="163"/>
        <v>0</v>
      </c>
      <c r="FI27" s="544"/>
      <c r="FJ27" s="545">
        <f t="shared" si="53"/>
        <v>0</v>
      </c>
      <c r="FK27" s="546">
        <f t="shared" si="164"/>
        <v>0</v>
      </c>
      <c r="FL27" s="544"/>
      <c r="FM27" s="545">
        <f t="shared" si="54"/>
        <v>0</v>
      </c>
      <c r="FN27" s="546">
        <f t="shared" si="165"/>
        <v>0</v>
      </c>
      <c r="FO27" s="544"/>
      <c r="FP27" s="545">
        <f t="shared" si="55"/>
        <v>0</v>
      </c>
      <c r="FQ27" s="546">
        <f t="shared" si="166"/>
        <v>0</v>
      </c>
      <c r="FR27" s="544"/>
      <c r="FS27" s="545">
        <f t="shared" si="56"/>
        <v>0</v>
      </c>
      <c r="FT27" s="546">
        <f t="shared" si="167"/>
        <v>0</v>
      </c>
      <c r="FU27" s="544"/>
      <c r="FV27" s="545">
        <f t="shared" si="57"/>
        <v>0</v>
      </c>
      <c r="FW27" s="546">
        <f t="shared" si="168"/>
        <v>0</v>
      </c>
      <c r="FX27" s="544"/>
      <c r="FY27" s="545">
        <f t="shared" si="58"/>
        <v>0</v>
      </c>
      <c r="FZ27" s="546">
        <f t="shared" si="169"/>
        <v>0</v>
      </c>
      <c r="GA27" s="544"/>
      <c r="GB27" s="545">
        <f t="shared" si="59"/>
        <v>0</v>
      </c>
      <c r="GC27" s="546">
        <f t="shared" si="170"/>
        <v>0</v>
      </c>
      <c r="GD27" s="544"/>
      <c r="GE27" s="545">
        <f t="shared" si="60"/>
        <v>0</v>
      </c>
      <c r="GF27" s="546">
        <f t="shared" si="171"/>
        <v>0</v>
      </c>
      <c r="GG27" s="544">
        <v>16.573603230922675</v>
      </c>
      <c r="GH27" s="545">
        <f t="shared" si="61"/>
        <v>0.24411717479117828</v>
      </c>
      <c r="GI27" s="546">
        <f t="shared" si="172"/>
        <v>0</v>
      </c>
      <c r="GJ27" s="544">
        <v>16.573603230922675</v>
      </c>
      <c r="GK27" s="545">
        <f>+GJ27/$E27</f>
        <v>0.24411717479117828</v>
      </c>
      <c r="GL27" s="546">
        <f>+GJ27*$H$8</f>
        <v>0</v>
      </c>
      <c r="GM27" s="544">
        <v>0</v>
      </c>
      <c r="GN27" s="545">
        <f t="shared" si="201"/>
        <v>0</v>
      </c>
      <c r="GO27" s="546">
        <f t="shared" si="202"/>
        <v>0</v>
      </c>
      <c r="GP27" s="544">
        <v>35.909473666999133</v>
      </c>
      <c r="GQ27" s="545">
        <f t="shared" si="203"/>
        <v>0.5289205453808864</v>
      </c>
      <c r="GR27" s="546">
        <f t="shared" si="204"/>
        <v>0</v>
      </c>
      <c r="GS27" s="544">
        <v>193.35870436076456</v>
      </c>
      <c r="GT27" s="545">
        <f t="shared" si="205"/>
        <v>2.8480337058970804</v>
      </c>
      <c r="GU27" s="546">
        <f t="shared" si="206"/>
        <v>0</v>
      </c>
      <c r="GV27" s="544">
        <v>27.622672051537794</v>
      </c>
      <c r="GW27" s="545">
        <f t="shared" si="66"/>
        <v>0.40686195798529717</v>
      </c>
      <c r="GX27" s="546">
        <f t="shared" si="177"/>
        <v>0</v>
      </c>
      <c r="GY27" s="544"/>
      <c r="GZ27" s="545">
        <f t="shared" si="67"/>
        <v>0</v>
      </c>
      <c r="HA27" s="546">
        <f t="shared" si="178"/>
        <v>0</v>
      </c>
      <c r="HB27" s="544"/>
      <c r="HC27" s="545">
        <f t="shared" si="68"/>
        <v>0</v>
      </c>
      <c r="HD27" s="546">
        <f t="shared" si="179"/>
        <v>0</v>
      </c>
      <c r="HE27" s="544"/>
      <c r="HF27" s="545">
        <f t="shared" si="69"/>
        <v>0</v>
      </c>
      <c r="HG27" s="546">
        <f t="shared" si="180"/>
        <v>0</v>
      </c>
      <c r="HH27" s="544"/>
      <c r="HI27" s="545">
        <f t="shared" si="70"/>
        <v>0</v>
      </c>
      <c r="HJ27" s="546">
        <f t="shared" si="181"/>
        <v>0</v>
      </c>
      <c r="HK27" s="544"/>
      <c r="HL27" s="545">
        <f t="shared" si="71"/>
        <v>0</v>
      </c>
      <c r="HM27" s="546">
        <f t="shared" si="182"/>
        <v>0</v>
      </c>
      <c r="HN27" s="544">
        <v>902.70892264425515</v>
      </c>
      <c r="HO27" s="545">
        <f t="shared" si="72"/>
        <v>13.296248786959513</v>
      </c>
      <c r="HP27" s="546">
        <f t="shared" si="183"/>
        <v>0</v>
      </c>
      <c r="HQ27" s="544"/>
      <c r="HR27" s="545">
        <f t="shared" si="73"/>
        <v>0</v>
      </c>
      <c r="HS27" s="546">
        <f t="shared" si="184"/>
        <v>0</v>
      </c>
      <c r="HT27" s="544">
        <v>0</v>
      </c>
      <c r="HU27" s="545">
        <f t="shared" si="74"/>
        <v>0</v>
      </c>
      <c r="HV27" s="546">
        <f t="shared" si="185"/>
        <v>0</v>
      </c>
      <c r="HW27" s="544">
        <v>0</v>
      </c>
      <c r="HX27" s="545">
        <f t="shared" si="75"/>
        <v>0</v>
      </c>
      <c r="HY27" s="546">
        <f t="shared" si="186"/>
        <v>0</v>
      </c>
      <c r="HZ27" s="544">
        <v>0</v>
      </c>
      <c r="IA27" s="545">
        <f t="shared" si="76"/>
        <v>0</v>
      </c>
      <c r="IB27" s="546">
        <f t="shared" si="187"/>
        <v>0</v>
      </c>
      <c r="IC27" s="544">
        <v>0</v>
      </c>
      <c r="ID27" s="545">
        <f t="shared" si="77"/>
        <v>0</v>
      </c>
      <c r="IE27" s="546">
        <f t="shared" si="188"/>
        <v>0</v>
      </c>
      <c r="IF27" s="544">
        <v>24.860404846384014</v>
      </c>
      <c r="IG27" s="545">
        <f t="shared" si="78"/>
        <v>0.36617576218676745</v>
      </c>
      <c r="IH27" s="546">
        <f t="shared" si="189"/>
        <v>0</v>
      </c>
      <c r="II27" s="544"/>
      <c r="IJ27" s="545">
        <f t="shared" si="79"/>
        <v>0</v>
      </c>
      <c r="IK27" s="546">
        <f t="shared" si="190"/>
        <v>0</v>
      </c>
      <c r="IL27" s="544"/>
      <c r="IM27" s="545">
        <f t="shared" si="80"/>
        <v>0</v>
      </c>
      <c r="IN27" s="546">
        <f t="shared" si="191"/>
        <v>0</v>
      </c>
      <c r="IO27" s="544">
        <v>77.343481744305819</v>
      </c>
      <c r="IP27" s="545">
        <f t="shared" si="81"/>
        <v>1.139213482358832</v>
      </c>
      <c r="IQ27" s="546">
        <f t="shared" si="192"/>
        <v>0</v>
      </c>
      <c r="IR27" s="544">
        <v>0</v>
      </c>
      <c r="IS27" s="545">
        <f t="shared" si="82"/>
        <v>0</v>
      </c>
      <c r="IT27" s="546">
        <f t="shared" si="193"/>
        <v>0</v>
      </c>
      <c r="IU27" s="544"/>
      <c r="IV27" s="545">
        <f t="shared" si="83"/>
        <v>0</v>
      </c>
      <c r="IW27" s="546">
        <f t="shared" si="194"/>
        <v>0</v>
      </c>
      <c r="IX27" s="544">
        <v>0</v>
      </c>
      <c r="IY27" s="545">
        <f t="shared" si="84"/>
        <v>0</v>
      </c>
      <c r="IZ27" s="546">
        <f t="shared" si="195"/>
        <v>0</v>
      </c>
      <c r="JA27" s="544"/>
      <c r="JB27" s="545">
        <f t="shared" si="85"/>
        <v>0</v>
      </c>
      <c r="JC27" s="546">
        <f t="shared" si="196"/>
        <v>0</v>
      </c>
      <c r="JD27" s="544"/>
      <c r="JE27" s="545">
        <f t="shared" si="86"/>
        <v>0</v>
      </c>
      <c r="JF27" s="546">
        <f t="shared" si="197"/>
        <v>0</v>
      </c>
      <c r="JG27" s="544">
        <v>27.622672051537794</v>
      </c>
      <c r="JH27" s="546" t="str">
        <f t="shared" si="87"/>
        <v>0</v>
      </c>
      <c r="JI27" s="546" t="str">
        <f t="shared" si="88"/>
        <v>0</v>
      </c>
      <c r="JJ27" s="544">
        <v>0</v>
      </c>
      <c r="JK27" s="546" t="str">
        <f t="shared" si="89"/>
        <v>0</v>
      </c>
      <c r="JL27" s="546" t="str">
        <f t="shared" si="90"/>
        <v>0</v>
      </c>
      <c r="JM27" s="544">
        <v>0</v>
      </c>
      <c r="JN27" s="546" t="str">
        <f t="shared" si="91"/>
        <v>0</v>
      </c>
      <c r="JO27" s="546" t="str">
        <f t="shared" si="92"/>
        <v>0</v>
      </c>
      <c r="JP27" s="544"/>
      <c r="JQ27" s="546" t="str">
        <f t="shared" si="93"/>
        <v>0</v>
      </c>
      <c r="JR27" s="546" t="str">
        <f t="shared" si="94"/>
        <v>0</v>
      </c>
      <c r="JS27" s="544"/>
      <c r="JT27" s="546" t="str">
        <f t="shared" si="95"/>
        <v>0</v>
      </c>
      <c r="JU27" s="546" t="str">
        <f t="shared" si="96"/>
        <v>0</v>
      </c>
      <c r="JV27" s="544"/>
      <c r="JW27" s="546" t="str">
        <f t="shared" si="97"/>
        <v>0</v>
      </c>
      <c r="JX27" s="546" t="str">
        <f t="shared" si="98"/>
        <v>0</v>
      </c>
      <c r="JY27" s="544"/>
      <c r="JZ27" s="546" t="str">
        <f t="shared" si="99"/>
        <v>0</v>
      </c>
      <c r="KA27" s="546" t="str">
        <f t="shared" si="100"/>
        <v>0</v>
      </c>
      <c r="KB27" s="544"/>
      <c r="KC27" s="546" t="str">
        <f t="shared" si="101"/>
        <v>0</v>
      </c>
      <c r="KD27" s="546" t="str">
        <f t="shared" si="102"/>
        <v>0</v>
      </c>
      <c r="KE27" s="544"/>
      <c r="KF27" s="546" t="str">
        <f t="shared" si="103"/>
        <v>0</v>
      </c>
      <c r="KG27" s="546" t="str">
        <f t="shared" si="104"/>
        <v>0</v>
      </c>
      <c r="KH27" s="544"/>
      <c r="KI27" s="546" t="str">
        <f t="shared" si="105"/>
        <v>0</v>
      </c>
      <c r="KJ27" s="546" t="str">
        <f t="shared" si="106"/>
        <v>0</v>
      </c>
      <c r="KK27" s="544"/>
      <c r="KL27" s="546" t="str">
        <f t="shared" si="107"/>
        <v>0</v>
      </c>
      <c r="KM27" s="546" t="str">
        <f t="shared" si="108"/>
        <v>0</v>
      </c>
      <c r="KN27" s="544"/>
      <c r="KO27" s="546" t="str">
        <f t="shared" si="109"/>
        <v>0</v>
      </c>
      <c r="KP27" s="546" t="str">
        <f t="shared" si="110"/>
        <v>0</v>
      </c>
      <c r="KQ27" s="546">
        <f t="shared" si="111"/>
        <v>0</v>
      </c>
      <c r="KR27" s="546">
        <f t="shared" si="198"/>
        <v>0</v>
      </c>
      <c r="KS27" s="265">
        <f t="shared" si="199"/>
        <v>2371.5744515741653</v>
      </c>
    </row>
    <row r="28" spans="1:305" ht="15" customHeight="1">
      <c r="A28" s="267">
        <f>+Report1!A28</f>
        <v>46011</v>
      </c>
      <c r="B28" s="268" t="str">
        <f>+Report1!B28</f>
        <v>Towel</v>
      </c>
      <c r="C28" s="268" t="str">
        <f>+Report1!C28</f>
        <v>22/31,5</v>
      </c>
      <c r="D28" s="269">
        <f>+Report1!P28</f>
        <v>68.740000000000009</v>
      </c>
      <c r="E28" s="270">
        <f>+Report1!R28</f>
        <v>67.406999999999996</v>
      </c>
      <c r="F28" s="544">
        <v>232.55813953488376</v>
      </c>
      <c r="G28" s="545">
        <f t="shared" si="0"/>
        <v>3.4500591857653324</v>
      </c>
      <c r="H28" s="546">
        <f t="shared" si="112"/>
        <v>0</v>
      </c>
      <c r="I28" s="544"/>
      <c r="J28" s="545">
        <f t="shared" si="1"/>
        <v>0</v>
      </c>
      <c r="K28" s="546">
        <f t="shared" si="113"/>
        <v>0</v>
      </c>
      <c r="L28" s="544"/>
      <c r="M28" s="545">
        <f t="shared" si="2"/>
        <v>0</v>
      </c>
      <c r="N28" s="546">
        <f t="shared" si="114"/>
        <v>0</v>
      </c>
      <c r="O28" s="544">
        <v>12.000000000000014</v>
      </c>
      <c r="P28" s="545">
        <f t="shared" si="3"/>
        <v>0.17802305398549134</v>
      </c>
      <c r="Q28" s="546">
        <f t="shared" si="115"/>
        <v>0</v>
      </c>
      <c r="R28" s="544"/>
      <c r="S28" s="545">
        <f t="shared" si="4"/>
        <v>0</v>
      </c>
      <c r="T28" s="546">
        <f t="shared" si="116"/>
        <v>0</v>
      </c>
      <c r="U28" s="544">
        <v>10.25</v>
      </c>
      <c r="V28" s="545">
        <f t="shared" si="5"/>
        <v>0.152061358612607</v>
      </c>
      <c r="W28" s="546">
        <f t="shared" si="117"/>
        <v>0</v>
      </c>
      <c r="X28" s="544"/>
      <c r="Y28" s="545">
        <f t="shared" si="6"/>
        <v>0</v>
      </c>
      <c r="Z28" s="546">
        <f t="shared" si="118"/>
        <v>0</v>
      </c>
      <c r="AA28" s="544"/>
      <c r="AB28" s="545">
        <f t="shared" si="7"/>
        <v>0</v>
      </c>
      <c r="AC28" s="546">
        <f t="shared" si="119"/>
        <v>0</v>
      </c>
      <c r="AD28" s="544"/>
      <c r="AE28" s="545">
        <f t="shared" si="8"/>
        <v>0</v>
      </c>
      <c r="AF28" s="546">
        <f t="shared" si="120"/>
        <v>0</v>
      </c>
      <c r="AG28" s="544"/>
      <c r="AH28" s="545">
        <f t="shared" si="9"/>
        <v>0</v>
      </c>
      <c r="AI28" s="546">
        <f t="shared" si="121"/>
        <v>0</v>
      </c>
      <c r="AJ28" s="544"/>
      <c r="AK28" s="545">
        <f t="shared" si="10"/>
        <v>0</v>
      </c>
      <c r="AL28" s="546">
        <f t="shared" si="122"/>
        <v>0</v>
      </c>
      <c r="AM28" s="544">
        <v>26.282051282051285</v>
      </c>
      <c r="AN28" s="545">
        <f t="shared" si="11"/>
        <v>0.38990091951950517</v>
      </c>
      <c r="AO28" s="546">
        <f t="shared" si="123"/>
        <v>0</v>
      </c>
      <c r="AP28" s="544"/>
      <c r="AQ28" s="545">
        <f t="shared" si="12"/>
        <v>0</v>
      </c>
      <c r="AR28" s="546">
        <f t="shared" si="124"/>
        <v>0</v>
      </c>
      <c r="AS28" s="544"/>
      <c r="AT28" s="545">
        <f t="shared" si="13"/>
        <v>0</v>
      </c>
      <c r="AU28" s="546">
        <f t="shared" si="125"/>
        <v>0</v>
      </c>
      <c r="AV28" s="544">
        <v>0</v>
      </c>
      <c r="AW28" s="545">
        <f t="shared" si="14"/>
        <v>0</v>
      </c>
      <c r="AX28" s="546">
        <f t="shared" si="126"/>
        <v>0</v>
      </c>
      <c r="AY28" s="544">
        <v>28</v>
      </c>
      <c r="AZ28" s="545">
        <f t="shared" si="15"/>
        <v>0.41538712596614596</v>
      </c>
      <c r="BA28" s="546">
        <f t="shared" si="127"/>
        <v>0</v>
      </c>
      <c r="BB28" s="544"/>
      <c r="BC28" s="545">
        <f t="shared" si="16"/>
        <v>0</v>
      </c>
      <c r="BD28" s="546">
        <f t="shared" si="128"/>
        <v>0</v>
      </c>
      <c r="BE28" s="544"/>
      <c r="BF28" s="545">
        <f t="shared" si="17"/>
        <v>0</v>
      </c>
      <c r="BG28" s="546">
        <f t="shared" si="129"/>
        <v>0</v>
      </c>
      <c r="BH28" s="544"/>
      <c r="BI28" s="545">
        <f t="shared" si="18"/>
        <v>0</v>
      </c>
      <c r="BJ28" s="546">
        <f t="shared" si="130"/>
        <v>0</v>
      </c>
      <c r="BK28" s="544"/>
      <c r="BL28" s="545">
        <f t="shared" si="19"/>
        <v>0</v>
      </c>
      <c r="BM28" s="546">
        <f t="shared" si="131"/>
        <v>0</v>
      </c>
      <c r="BN28" s="544"/>
      <c r="BO28" s="545">
        <f t="shared" si="20"/>
        <v>0</v>
      </c>
      <c r="BP28" s="546">
        <f t="shared" si="132"/>
        <v>0</v>
      </c>
      <c r="BQ28" s="544"/>
      <c r="BR28" s="545">
        <f t="shared" si="21"/>
        <v>0</v>
      </c>
      <c r="BS28" s="546">
        <f t="shared" si="133"/>
        <v>0</v>
      </c>
      <c r="BT28" s="544"/>
      <c r="BU28" s="545">
        <f t="shared" si="22"/>
        <v>0</v>
      </c>
      <c r="BV28" s="546">
        <f t="shared" si="134"/>
        <v>0</v>
      </c>
      <c r="BW28" s="544"/>
      <c r="BX28" s="545">
        <f t="shared" si="23"/>
        <v>0</v>
      </c>
      <c r="BY28" s="546">
        <f t="shared" si="135"/>
        <v>0</v>
      </c>
      <c r="BZ28" s="544">
        <v>0</v>
      </c>
      <c r="CA28" s="545">
        <f t="shared" si="24"/>
        <v>0</v>
      </c>
      <c r="CB28" s="546">
        <f t="shared" si="136"/>
        <v>0</v>
      </c>
      <c r="CC28" s="544">
        <v>28.125</v>
      </c>
      <c r="CD28" s="545">
        <f t="shared" si="25"/>
        <v>0.41724153277849485</v>
      </c>
      <c r="CE28" s="546">
        <f t="shared" si="137"/>
        <v>0</v>
      </c>
      <c r="CF28" s="544">
        <v>1.1999999999999993</v>
      </c>
      <c r="CG28" s="545">
        <f t="shared" si="26"/>
        <v>1.7802305398549101E-2</v>
      </c>
      <c r="CH28" s="546">
        <f t="shared" si="138"/>
        <v>0</v>
      </c>
      <c r="CI28" s="544"/>
      <c r="CJ28" s="545">
        <f t="shared" si="27"/>
        <v>0</v>
      </c>
      <c r="CK28" s="546">
        <f t="shared" si="139"/>
        <v>0</v>
      </c>
      <c r="CL28" s="544"/>
      <c r="CM28" s="545">
        <f t="shared" si="28"/>
        <v>0</v>
      </c>
      <c r="CN28" s="546">
        <f t="shared" si="140"/>
        <v>0</v>
      </c>
      <c r="CO28" s="544"/>
      <c r="CP28" s="545">
        <f t="shared" si="29"/>
        <v>0</v>
      </c>
      <c r="CQ28" s="546">
        <f t="shared" si="141"/>
        <v>0</v>
      </c>
      <c r="CR28" s="544"/>
      <c r="CS28" s="545">
        <f t="shared" si="30"/>
        <v>0</v>
      </c>
      <c r="CT28" s="546">
        <f t="shared" si="142"/>
        <v>0</v>
      </c>
      <c r="CU28" s="544"/>
      <c r="CV28" s="545">
        <f t="shared" si="31"/>
        <v>0</v>
      </c>
      <c r="CW28" s="546">
        <f t="shared" si="143"/>
        <v>0</v>
      </c>
      <c r="CX28" s="544"/>
      <c r="CY28" s="545">
        <f t="shared" si="32"/>
        <v>0</v>
      </c>
      <c r="CZ28" s="546">
        <f t="shared" si="144"/>
        <v>0</v>
      </c>
      <c r="DA28" s="544">
        <v>0</v>
      </c>
      <c r="DB28" s="545">
        <f t="shared" si="33"/>
        <v>0</v>
      </c>
      <c r="DC28" s="546">
        <f t="shared" si="145"/>
        <v>0</v>
      </c>
      <c r="DD28" s="544"/>
      <c r="DE28" s="545">
        <f t="shared" si="34"/>
        <v>0</v>
      </c>
      <c r="DF28" s="546">
        <f t="shared" si="146"/>
        <v>0</v>
      </c>
      <c r="DG28" s="544"/>
      <c r="DH28" s="545">
        <f t="shared" si="35"/>
        <v>0</v>
      </c>
      <c r="DI28" s="546">
        <f t="shared" si="200"/>
        <v>0</v>
      </c>
      <c r="DJ28" s="544"/>
      <c r="DK28" s="545">
        <f t="shared" si="36"/>
        <v>0</v>
      </c>
      <c r="DL28" s="546">
        <f t="shared" si="147"/>
        <v>0</v>
      </c>
      <c r="DM28" s="544"/>
      <c r="DN28" s="545">
        <f t="shared" si="37"/>
        <v>0</v>
      </c>
      <c r="DO28" s="546">
        <f t="shared" si="148"/>
        <v>0</v>
      </c>
      <c r="DP28" s="544"/>
      <c r="DQ28" s="545">
        <f t="shared" si="38"/>
        <v>0</v>
      </c>
      <c r="DR28" s="546">
        <f t="shared" si="149"/>
        <v>0</v>
      </c>
      <c r="DS28" s="544"/>
      <c r="DT28" s="545">
        <f t="shared" si="39"/>
        <v>0</v>
      </c>
      <c r="DU28" s="546">
        <f t="shared" si="150"/>
        <v>0</v>
      </c>
      <c r="DV28" s="544"/>
      <c r="DW28" s="545">
        <f t="shared" si="40"/>
        <v>0</v>
      </c>
      <c r="DX28" s="546">
        <f t="shared" si="151"/>
        <v>0</v>
      </c>
      <c r="DY28" s="544"/>
      <c r="DZ28" s="545">
        <f t="shared" si="41"/>
        <v>0</v>
      </c>
      <c r="EA28" s="546">
        <f t="shared" si="152"/>
        <v>0</v>
      </c>
      <c r="EB28" s="544">
        <v>1117.6470588235297</v>
      </c>
      <c r="EC28" s="545">
        <f t="shared" si="42"/>
        <v>16.580578557472219</v>
      </c>
      <c r="ED28" s="546">
        <f t="shared" si="153"/>
        <v>0</v>
      </c>
      <c r="EE28" s="544">
        <v>29.069767441860449</v>
      </c>
      <c r="EF28" s="545">
        <f t="shared" si="43"/>
        <v>0.43125739822066628</v>
      </c>
      <c r="EG28" s="546">
        <f t="shared" si="154"/>
        <v>0</v>
      </c>
      <c r="EH28" s="544">
        <v>2</v>
      </c>
      <c r="EI28" s="545">
        <f t="shared" si="44"/>
        <v>2.9670508997581856E-2</v>
      </c>
      <c r="EJ28" s="546">
        <f t="shared" si="155"/>
        <v>0</v>
      </c>
      <c r="EK28" s="544"/>
      <c r="EL28" s="545">
        <f t="shared" si="45"/>
        <v>0</v>
      </c>
      <c r="EM28" s="546">
        <f t="shared" si="156"/>
        <v>0</v>
      </c>
      <c r="EN28" s="544"/>
      <c r="EO28" s="545">
        <f t="shared" si="46"/>
        <v>0</v>
      </c>
      <c r="EP28" s="546">
        <f t="shared" si="157"/>
        <v>0</v>
      </c>
      <c r="EQ28" s="544"/>
      <c r="ER28" s="545">
        <f t="shared" si="47"/>
        <v>0</v>
      </c>
      <c r="ES28" s="546">
        <f t="shared" si="158"/>
        <v>0</v>
      </c>
      <c r="ET28" s="544"/>
      <c r="EU28" s="545">
        <f t="shared" si="48"/>
        <v>0</v>
      </c>
      <c r="EV28" s="546">
        <f t="shared" si="159"/>
        <v>0</v>
      </c>
      <c r="EW28" s="544"/>
      <c r="EX28" s="545">
        <f t="shared" si="49"/>
        <v>0</v>
      </c>
      <c r="EY28" s="546">
        <f t="shared" si="160"/>
        <v>0</v>
      </c>
      <c r="EZ28" s="544"/>
      <c r="FA28" s="545">
        <f t="shared" si="50"/>
        <v>0</v>
      </c>
      <c r="FB28" s="546">
        <f t="shared" si="161"/>
        <v>0</v>
      </c>
      <c r="FC28" s="544"/>
      <c r="FD28" s="545">
        <f t="shared" si="51"/>
        <v>0</v>
      </c>
      <c r="FE28" s="546">
        <f t="shared" si="162"/>
        <v>0</v>
      </c>
      <c r="FF28" s="544"/>
      <c r="FG28" s="545">
        <f t="shared" si="52"/>
        <v>0</v>
      </c>
      <c r="FH28" s="546">
        <f t="shared" si="163"/>
        <v>0</v>
      </c>
      <c r="FI28" s="544"/>
      <c r="FJ28" s="545">
        <f t="shared" si="53"/>
        <v>0</v>
      </c>
      <c r="FK28" s="546">
        <f t="shared" si="164"/>
        <v>0</v>
      </c>
      <c r="FL28" s="544"/>
      <c r="FM28" s="545">
        <f t="shared" si="54"/>
        <v>0</v>
      </c>
      <c r="FN28" s="546">
        <f t="shared" si="165"/>
        <v>0</v>
      </c>
      <c r="FO28" s="544"/>
      <c r="FP28" s="545">
        <f t="shared" si="55"/>
        <v>0</v>
      </c>
      <c r="FQ28" s="546">
        <f t="shared" si="166"/>
        <v>0</v>
      </c>
      <c r="FR28" s="544"/>
      <c r="FS28" s="545">
        <f t="shared" si="56"/>
        <v>0</v>
      </c>
      <c r="FT28" s="546">
        <f t="shared" si="167"/>
        <v>0</v>
      </c>
      <c r="FU28" s="544"/>
      <c r="FV28" s="545">
        <f t="shared" si="57"/>
        <v>0</v>
      </c>
      <c r="FW28" s="546">
        <f t="shared" si="168"/>
        <v>0</v>
      </c>
      <c r="FX28" s="544"/>
      <c r="FY28" s="545">
        <f t="shared" si="58"/>
        <v>0</v>
      </c>
      <c r="FZ28" s="546">
        <f t="shared" si="169"/>
        <v>0</v>
      </c>
      <c r="GA28" s="544"/>
      <c r="GB28" s="545">
        <f t="shared" si="59"/>
        <v>0</v>
      </c>
      <c r="GC28" s="546">
        <f t="shared" si="170"/>
        <v>0</v>
      </c>
      <c r="GD28" s="544"/>
      <c r="GE28" s="545">
        <f t="shared" si="60"/>
        <v>0</v>
      </c>
      <c r="GF28" s="546">
        <f t="shared" si="171"/>
        <v>0</v>
      </c>
      <c r="GG28" s="544">
        <v>14.464635922125801</v>
      </c>
      <c r="GH28" s="545">
        <f t="shared" si="61"/>
        <v>0.21458655513708966</v>
      </c>
      <c r="GI28" s="546">
        <f t="shared" si="172"/>
        <v>0</v>
      </c>
      <c r="GJ28" s="544">
        <v>14.464635922125801</v>
      </c>
      <c r="GK28" s="545">
        <f>+GJ28/$E28</f>
        <v>0.21458655513708966</v>
      </c>
      <c r="GL28" s="546">
        <f>+GJ28*$H$8</f>
        <v>0</v>
      </c>
      <c r="GM28" s="544">
        <v>0</v>
      </c>
      <c r="GN28" s="545">
        <f t="shared" si="201"/>
        <v>0</v>
      </c>
      <c r="GO28" s="546">
        <f t="shared" si="202"/>
        <v>0</v>
      </c>
      <c r="GP28" s="544">
        <v>34.715126213101925</v>
      </c>
      <c r="GQ28" s="545">
        <f t="shared" si="203"/>
        <v>0.5150077323290152</v>
      </c>
      <c r="GR28" s="546">
        <f t="shared" si="204"/>
        <v>0</v>
      </c>
      <c r="GS28" s="544">
        <v>173.57563106550961</v>
      </c>
      <c r="GT28" s="545">
        <f t="shared" si="205"/>
        <v>2.5750386616450758</v>
      </c>
      <c r="GU28" s="546">
        <f t="shared" si="206"/>
        <v>0</v>
      </c>
      <c r="GV28" s="544">
        <v>28.929271844251602</v>
      </c>
      <c r="GW28" s="545">
        <f t="shared" si="66"/>
        <v>0.42917311027417931</v>
      </c>
      <c r="GX28" s="546">
        <f t="shared" si="177"/>
        <v>0</v>
      </c>
      <c r="GY28" s="544"/>
      <c r="GZ28" s="545">
        <f t="shared" si="67"/>
        <v>0</v>
      </c>
      <c r="HA28" s="546">
        <f t="shared" si="178"/>
        <v>0</v>
      </c>
      <c r="HB28" s="544"/>
      <c r="HC28" s="545">
        <f t="shared" si="68"/>
        <v>0</v>
      </c>
      <c r="HD28" s="546">
        <f t="shared" si="179"/>
        <v>0</v>
      </c>
      <c r="HE28" s="544"/>
      <c r="HF28" s="545">
        <f t="shared" si="69"/>
        <v>0</v>
      </c>
      <c r="HG28" s="546">
        <f t="shared" si="180"/>
        <v>0</v>
      </c>
      <c r="HH28" s="544"/>
      <c r="HI28" s="545">
        <f t="shared" si="70"/>
        <v>0</v>
      </c>
      <c r="HJ28" s="546">
        <f t="shared" si="181"/>
        <v>0</v>
      </c>
      <c r="HK28" s="544"/>
      <c r="HL28" s="545">
        <f t="shared" si="71"/>
        <v>0</v>
      </c>
      <c r="HM28" s="546">
        <f t="shared" si="182"/>
        <v>0</v>
      </c>
      <c r="HN28" s="544">
        <v>1080.8</v>
      </c>
      <c r="HO28" s="545">
        <f t="shared" si="72"/>
        <v>16.033943062293233</v>
      </c>
      <c r="HP28" s="546">
        <f t="shared" si="183"/>
        <v>0</v>
      </c>
      <c r="HQ28" s="544"/>
      <c r="HR28" s="545">
        <f t="shared" si="73"/>
        <v>0</v>
      </c>
      <c r="HS28" s="546">
        <f t="shared" si="184"/>
        <v>0</v>
      </c>
      <c r="HT28" s="544">
        <v>0</v>
      </c>
      <c r="HU28" s="545">
        <f t="shared" si="74"/>
        <v>0</v>
      </c>
      <c r="HV28" s="546">
        <f t="shared" si="185"/>
        <v>0</v>
      </c>
      <c r="HW28" s="544">
        <v>0</v>
      </c>
      <c r="HX28" s="545">
        <f t="shared" si="75"/>
        <v>0</v>
      </c>
      <c r="HY28" s="546">
        <f t="shared" si="186"/>
        <v>0</v>
      </c>
      <c r="HZ28" s="544">
        <v>0</v>
      </c>
      <c r="IA28" s="545">
        <f t="shared" si="76"/>
        <v>0</v>
      </c>
      <c r="IB28" s="546">
        <f t="shared" si="187"/>
        <v>0</v>
      </c>
      <c r="IC28" s="544">
        <v>0</v>
      </c>
      <c r="ID28" s="545">
        <f t="shared" si="77"/>
        <v>0</v>
      </c>
      <c r="IE28" s="546">
        <f t="shared" si="188"/>
        <v>0</v>
      </c>
      <c r="IF28" s="544">
        <v>28.929271844251602</v>
      </c>
      <c r="IG28" s="545">
        <f t="shared" si="78"/>
        <v>0.42917311027417931</v>
      </c>
      <c r="IH28" s="546">
        <f t="shared" si="189"/>
        <v>0</v>
      </c>
      <c r="II28" s="544"/>
      <c r="IJ28" s="545">
        <f t="shared" si="79"/>
        <v>0</v>
      </c>
      <c r="IK28" s="546">
        <f t="shared" si="190"/>
        <v>0</v>
      </c>
      <c r="IL28" s="544"/>
      <c r="IM28" s="545">
        <f t="shared" si="80"/>
        <v>0</v>
      </c>
      <c r="IN28" s="546">
        <f t="shared" si="191"/>
        <v>0</v>
      </c>
      <c r="IO28" s="544">
        <v>75.216106795054174</v>
      </c>
      <c r="IP28" s="545">
        <f t="shared" si="81"/>
        <v>1.1158500867128662</v>
      </c>
      <c r="IQ28" s="546">
        <f t="shared" si="192"/>
        <v>0</v>
      </c>
      <c r="IR28" s="544">
        <v>0</v>
      </c>
      <c r="IS28" s="545">
        <f t="shared" si="82"/>
        <v>0</v>
      </c>
      <c r="IT28" s="546">
        <f t="shared" si="193"/>
        <v>0</v>
      </c>
      <c r="IU28" s="544"/>
      <c r="IV28" s="545">
        <f t="shared" si="83"/>
        <v>0</v>
      </c>
      <c r="IW28" s="546">
        <f t="shared" si="194"/>
        <v>0</v>
      </c>
      <c r="IX28" s="544">
        <v>0</v>
      </c>
      <c r="IY28" s="545">
        <f t="shared" si="84"/>
        <v>0</v>
      </c>
      <c r="IZ28" s="546">
        <f t="shared" si="195"/>
        <v>0</v>
      </c>
      <c r="JA28" s="544"/>
      <c r="JB28" s="545">
        <f t="shared" si="85"/>
        <v>0</v>
      </c>
      <c r="JC28" s="546">
        <f t="shared" si="196"/>
        <v>0</v>
      </c>
      <c r="JD28" s="544"/>
      <c r="JE28" s="545">
        <f t="shared" si="86"/>
        <v>0</v>
      </c>
      <c r="JF28" s="546">
        <f t="shared" si="197"/>
        <v>0</v>
      </c>
      <c r="JG28" s="544">
        <v>28.929271844251602</v>
      </c>
      <c r="JH28" s="546" t="str">
        <f t="shared" si="87"/>
        <v>0</v>
      </c>
      <c r="JI28" s="546" t="str">
        <f t="shared" si="88"/>
        <v>0</v>
      </c>
      <c r="JJ28" s="544">
        <v>0</v>
      </c>
      <c r="JK28" s="546" t="str">
        <f t="shared" si="89"/>
        <v>0</v>
      </c>
      <c r="JL28" s="546" t="str">
        <f t="shared" si="90"/>
        <v>0</v>
      </c>
      <c r="JM28" s="544">
        <v>0</v>
      </c>
      <c r="JN28" s="546" t="str">
        <f t="shared" si="91"/>
        <v>0</v>
      </c>
      <c r="JO28" s="546" t="str">
        <f t="shared" si="92"/>
        <v>0</v>
      </c>
      <c r="JP28" s="544"/>
      <c r="JQ28" s="546" t="str">
        <f t="shared" si="93"/>
        <v>0</v>
      </c>
      <c r="JR28" s="546" t="str">
        <f t="shared" si="94"/>
        <v>0</v>
      </c>
      <c r="JS28" s="544"/>
      <c r="JT28" s="546" t="str">
        <f t="shared" si="95"/>
        <v>0</v>
      </c>
      <c r="JU28" s="546" t="str">
        <f t="shared" si="96"/>
        <v>0</v>
      </c>
      <c r="JV28" s="544"/>
      <c r="JW28" s="546" t="str">
        <f t="shared" si="97"/>
        <v>0</v>
      </c>
      <c r="JX28" s="546" t="str">
        <f t="shared" si="98"/>
        <v>0</v>
      </c>
      <c r="JY28" s="544"/>
      <c r="JZ28" s="546" t="str">
        <f t="shared" si="99"/>
        <v>0</v>
      </c>
      <c r="KA28" s="546" t="str">
        <f t="shared" si="100"/>
        <v>0</v>
      </c>
      <c r="KB28" s="544"/>
      <c r="KC28" s="546" t="str">
        <f t="shared" si="101"/>
        <v>0</v>
      </c>
      <c r="KD28" s="546" t="str">
        <f t="shared" si="102"/>
        <v>0</v>
      </c>
      <c r="KE28" s="544"/>
      <c r="KF28" s="546" t="str">
        <f t="shared" si="103"/>
        <v>0</v>
      </c>
      <c r="KG28" s="546" t="str">
        <f t="shared" si="104"/>
        <v>0</v>
      </c>
      <c r="KH28" s="544"/>
      <c r="KI28" s="546" t="str">
        <f t="shared" si="105"/>
        <v>0</v>
      </c>
      <c r="KJ28" s="546" t="str">
        <f t="shared" si="106"/>
        <v>0</v>
      </c>
      <c r="KK28" s="544"/>
      <c r="KL28" s="546" t="str">
        <f t="shared" si="107"/>
        <v>0</v>
      </c>
      <c r="KM28" s="546" t="str">
        <f t="shared" si="108"/>
        <v>0</v>
      </c>
      <c r="KN28" s="544"/>
      <c r="KO28" s="546" t="str">
        <f t="shared" si="109"/>
        <v>0</v>
      </c>
      <c r="KP28" s="546" t="str">
        <f t="shared" si="110"/>
        <v>0</v>
      </c>
      <c r="KQ28" s="546">
        <f t="shared" si="111"/>
        <v>0</v>
      </c>
      <c r="KR28" s="546">
        <f t="shared" si="198"/>
        <v>0</v>
      </c>
      <c r="KS28" s="265">
        <f t="shared" si="199"/>
        <v>2967.1559685329976</v>
      </c>
    </row>
    <row r="29" spans="1:305" ht="15" customHeight="1">
      <c r="A29" s="267">
        <f>+Report1!A29</f>
        <v>46012</v>
      </c>
      <c r="B29" s="268" t="str">
        <f>+Report1!B29</f>
        <v>Towel</v>
      </c>
      <c r="C29" s="268" t="str">
        <f>+Report1!C29</f>
        <v>31,5</v>
      </c>
      <c r="D29" s="269">
        <f>+Report1!P29</f>
        <v>68.177999999999997</v>
      </c>
      <c r="E29" s="270">
        <f>+Report1!R29</f>
        <v>67.566999999999993</v>
      </c>
      <c r="F29" s="544">
        <v>232.55813953488376</v>
      </c>
      <c r="G29" s="545">
        <f t="shared" si="0"/>
        <v>3.4418893769870467</v>
      </c>
      <c r="H29" s="546">
        <f t="shared" si="112"/>
        <v>0</v>
      </c>
      <c r="I29" s="544"/>
      <c r="J29" s="545">
        <f t="shared" si="1"/>
        <v>0</v>
      </c>
      <c r="K29" s="546">
        <f t="shared" si="113"/>
        <v>0</v>
      </c>
      <c r="L29" s="544"/>
      <c r="M29" s="545">
        <f t="shared" si="2"/>
        <v>0</v>
      </c>
      <c r="N29" s="546">
        <f t="shared" si="114"/>
        <v>0</v>
      </c>
      <c r="O29" s="544">
        <v>12.000000000000014</v>
      </c>
      <c r="P29" s="545">
        <f t="shared" si="3"/>
        <v>0.1776014918525318</v>
      </c>
      <c r="Q29" s="546">
        <f t="shared" si="115"/>
        <v>0</v>
      </c>
      <c r="R29" s="544"/>
      <c r="S29" s="545">
        <f t="shared" si="4"/>
        <v>0</v>
      </c>
      <c r="T29" s="546">
        <f t="shared" si="116"/>
        <v>0</v>
      </c>
      <c r="U29" s="544">
        <v>10.25</v>
      </c>
      <c r="V29" s="545">
        <f t="shared" si="5"/>
        <v>0.15170127429070407</v>
      </c>
      <c r="W29" s="546">
        <f t="shared" si="117"/>
        <v>0</v>
      </c>
      <c r="X29" s="544"/>
      <c r="Y29" s="545">
        <f t="shared" si="6"/>
        <v>0</v>
      </c>
      <c r="Z29" s="546">
        <f t="shared" si="118"/>
        <v>0</v>
      </c>
      <c r="AA29" s="544"/>
      <c r="AB29" s="545">
        <f t="shared" si="7"/>
        <v>0</v>
      </c>
      <c r="AC29" s="546">
        <f t="shared" si="119"/>
        <v>0</v>
      </c>
      <c r="AD29" s="544"/>
      <c r="AE29" s="545">
        <f t="shared" si="8"/>
        <v>0</v>
      </c>
      <c r="AF29" s="546">
        <f t="shared" si="120"/>
        <v>0</v>
      </c>
      <c r="AG29" s="544"/>
      <c r="AH29" s="545">
        <f t="shared" si="9"/>
        <v>0</v>
      </c>
      <c r="AI29" s="546">
        <f t="shared" si="121"/>
        <v>0</v>
      </c>
      <c r="AJ29" s="544"/>
      <c r="AK29" s="545">
        <f t="shared" si="10"/>
        <v>0</v>
      </c>
      <c r="AL29" s="546">
        <f t="shared" si="122"/>
        <v>0</v>
      </c>
      <c r="AM29" s="544">
        <v>26.282051282051285</v>
      </c>
      <c r="AN29" s="545">
        <f t="shared" si="11"/>
        <v>0.38897762638642069</v>
      </c>
      <c r="AO29" s="546">
        <f t="shared" si="123"/>
        <v>0</v>
      </c>
      <c r="AP29" s="544"/>
      <c r="AQ29" s="545">
        <f t="shared" si="12"/>
        <v>0</v>
      </c>
      <c r="AR29" s="546">
        <f t="shared" si="124"/>
        <v>0</v>
      </c>
      <c r="AS29" s="544"/>
      <c r="AT29" s="545">
        <f t="shared" si="13"/>
        <v>0</v>
      </c>
      <c r="AU29" s="546">
        <f t="shared" si="125"/>
        <v>0</v>
      </c>
      <c r="AV29" s="544">
        <v>0</v>
      </c>
      <c r="AW29" s="545">
        <f t="shared" si="14"/>
        <v>0</v>
      </c>
      <c r="AX29" s="546">
        <f t="shared" si="126"/>
        <v>0</v>
      </c>
      <c r="AY29" s="544">
        <v>28</v>
      </c>
      <c r="AZ29" s="545">
        <f t="shared" si="15"/>
        <v>0.41440348098924035</v>
      </c>
      <c r="BA29" s="546">
        <f t="shared" si="127"/>
        <v>0</v>
      </c>
      <c r="BB29" s="544"/>
      <c r="BC29" s="545">
        <f t="shared" si="16"/>
        <v>0</v>
      </c>
      <c r="BD29" s="546">
        <f t="shared" si="128"/>
        <v>0</v>
      </c>
      <c r="BE29" s="544"/>
      <c r="BF29" s="545">
        <f t="shared" si="17"/>
        <v>0</v>
      </c>
      <c r="BG29" s="546">
        <f t="shared" si="129"/>
        <v>0</v>
      </c>
      <c r="BH29" s="544"/>
      <c r="BI29" s="545">
        <f t="shared" si="18"/>
        <v>0</v>
      </c>
      <c r="BJ29" s="546">
        <f t="shared" si="130"/>
        <v>0</v>
      </c>
      <c r="BK29" s="544"/>
      <c r="BL29" s="545">
        <f t="shared" si="19"/>
        <v>0</v>
      </c>
      <c r="BM29" s="546">
        <f t="shared" si="131"/>
        <v>0</v>
      </c>
      <c r="BN29" s="544"/>
      <c r="BO29" s="545">
        <f t="shared" si="20"/>
        <v>0</v>
      </c>
      <c r="BP29" s="546">
        <f t="shared" si="132"/>
        <v>0</v>
      </c>
      <c r="BQ29" s="544"/>
      <c r="BR29" s="545">
        <f t="shared" si="21"/>
        <v>0</v>
      </c>
      <c r="BS29" s="546">
        <f t="shared" si="133"/>
        <v>0</v>
      </c>
      <c r="BT29" s="544"/>
      <c r="BU29" s="545">
        <f t="shared" si="22"/>
        <v>0</v>
      </c>
      <c r="BV29" s="546">
        <f t="shared" si="134"/>
        <v>0</v>
      </c>
      <c r="BW29" s="544"/>
      <c r="BX29" s="545">
        <f t="shared" si="23"/>
        <v>0</v>
      </c>
      <c r="BY29" s="546">
        <f t="shared" si="135"/>
        <v>0</v>
      </c>
      <c r="BZ29" s="544">
        <v>0</v>
      </c>
      <c r="CA29" s="545">
        <f t="shared" si="24"/>
        <v>0</v>
      </c>
      <c r="CB29" s="546">
        <f t="shared" si="136"/>
        <v>0</v>
      </c>
      <c r="CC29" s="544">
        <v>28.125</v>
      </c>
      <c r="CD29" s="545">
        <f t="shared" si="25"/>
        <v>0.41625349652937088</v>
      </c>
      <c r="CE29" s="546">
        <f t="shared" si="137"/>
        <v>0</v>
      </c>
      <c r="CF29" s="544">
        <v>1.1999999999999993</v>
      </c>
      <c r="CG29" s="545">
        <f t="shared" si="26"/>
        <v>1.7760149185253149E-2</v>
      </c>
      <c r="CH29" s="546">
        <f t="shared" si="138"/>
        <v>0</v>
      </c>
      <c r="CI29" s="544"/>
      <c r="CJ29" s="545">
        <f t="shared" si="27"/>
        <v>0</v>
      </c>
      <c r="CK29" s="546">
        <f t="shared" si="139"/>
        <v>0</v>
      </c>
      <c r="CL29" s="544"/>
      <c r="CM29" s="545">
        <f t="shared" si="28"/>
        <v>0</v>
      </c>
      <c r="CN29" s="546">
        <f t="shared" si="140"/>
        <v>0</v>
      </c>
      <c r="CO29" s="544"/>
      <c r="CP29" s="545">
        <f t="shared" si="29"/>
        <v>0</v>
      </c>
      <c r="CQ29" s="546">
        <f t="shared" si="141"/>
        <v>0</v>
      </c>
      <c r="CR29" s="544"/>
      <c r="CS29" s="545">
        <f t="shared" si="30"/>
        <v>0</v>
      </c>
      <c r="CT29" s="546">
        <f t="shared" si="142"/>
        <v>0</v>
      </c>
      <c r="CU29" s="544"/>
      <c r="CV29" s="545">
        <f t="shared" si="31"/>
        <v>0</v>
      </c>
      <c r="CW29" s="546">
        <f t="shared" si="143"/>
        <v>0</v>
      </c>
      <c r="CX29" s="544"/>
      <c r="CY29" s="545">
        <f t="shared" si="32"/>
        <v>0</v>
      </c>
      <c r="CZ29" s="546">
        <f t="shared" si="144"/>
        <v>0</v>
      </c>
      <c r="DA29" s="544">
        <v>0</v>
      </c>
      <c r="DB29" s="545">
        <f t="shared" si="33"/>
        <v>0</v>
      </c>
      <c r="DC29" s="546">
        <f t="shared" si="145"/>
        <v>0</v>
      </c>
      <c r="DD29" s="544"/>
      <c r="DE29" s="545">
        <f t="shared" si="34"/>
        <v>0</v>
      </c>
      <c r="DF29" s="546">
        <f t="shared" si="146"/>
        <v>0</v>
      </c>
      <c r="DG29" s="544"/>
      <c r="DH29" s="545">
        <f t="shared" si="35"/>
        <v>0</v>
      </c>
      <c r="DI29" s="546">
        <f t="shared" si="200"/>
        <v>0</v>
      </c>
      <c r="DJ29" s="544"/>
      <c r="DK29" s="545">
        <f t="shared" si="36"/>
        <v>0</v>
      </c>
      <c r="DL29" s="546">
        <f t="shared" si="147"/>
        <v>0</v>
      </c>
      <c r="DM29" s="544"/>
      <c r="DN29" s="545">
        <f t="shared" si="37"/>
        <v>0</v>
      </c>
      <c r="DO29" s="546">
        <f t="shared" si="148"/>
        <v>0</v>
      </c>
      <c r="DP29" s="544"/>
      <c r="DQ29" s="545">
        <f t="shared" si="38"/>
        <v>0</v>
      </c>
      <c r="DR29" s="546">
        <f t="shared" si="149"/>
        <v>0</v>
      </c>
      <c r="DS29" s="544"/>
      <c r="DT29" s="545">
        <f t="shared" si="39"/>
        <v>0</v>
      </c>
      <c r="DU29" s="546">
        <f t="shared" si="150"/>
        <v>0</v>
      </c>
      <c r="DV29" s="544"/>
      <c r="DW29" s="545">
        <f t="shared" si="40"/>
        <v>0</v>
      </c>
      <c r="DX29" s="546">
        <f t="shared" si="151"/>
        <v>0</v>
      </c>
      <c r="DY29" s="544"/>
      <c r="DZ29" s="545">
        <f t="shared" si="41"/>
        <v>0</v>
      </c>
      <c r="EA29" s="546">
        <f t="shared" si="152"/>
        <v>0</v>
      </c>
      <c r="EB29" s="544">
        <v>941.17647058823536</v>
      </c>
      <c r="EC29" s="545">
        <f t="shared" si="42"/>
        <v>13.929528772747576</v>
      </c>
      <c r="ED29" s="546">
        <f t="shared" si="153"/>
        <v>0</v>
      </c>
      <c r="EE29" s="544">
        <v>29.069767441860449</v>
      </c>
      <c r="EF29" s="545">
        <f t="shared" si="43"/>
        <v>0.43023617212338056</v>
      </c>
      <c r="EG29" s="546">
        <f t="shared" si="154"/>
        <v>0</v>
      </c>
      <c r="EH29" s="544">
        <v>2</v>
      </c>
      <c r="EI29" s="545">
        <f t="shared" si="44"/>
        <v>2.9600248642088597E-2</v>
      </c>
      <c r="EJ29" s="546">
        <f t="shared" si="155"/>
        <v>0</v>
      </c>
      <c r="EK29" s="544"/>
      <c r="EL29" s="545">
        <f t="shared" si="45"/>
        <v>0</v>
      </c>
      <c r="EM29" s="546">
        <f t="shared" si="156"/>
        <v>0</v>
      </c>
      <c r="EN29" s="544"/>
      <c r="EO29" s="545">
        <f t="shared" si="46"/>
        <v>0</v>
      </c>
      <c r="EP29" s="546">
        <f t="shared" si="157"/>
        <v>0</v>
      </c>
      <c r="EQ29" s="544"/>
      <c r="ER29" s="545">
        <f t="shared" si="47"/>
        <v>0</v>
      </c>
      <c r="ES29" s="546">
        <f t="shared" si="158"/>
        <v>0</v>
      </c>
      <c r="ET29" s="544"/>
      <c r="EU29" s="545">
        <f t="shared" si="48"/>
        <v>0</v>
      </c>
      <c r="EV29" s="546">
        <f t="shared" si="159"/>
        <v>0</v>
      </c>
      <c r="EW29" s="544"/>
      <c r="EX29" s="545">
        <f t="shared" si="49"/>
        <v>0</v>
      </c>
      <c r="EY29" s="546">
        <f t="shared" si="160"/>
        <v>0</v>
      </c>
      <c r="EZ29" s="544"/>
      <c r="FA29" s="545">
        <f t="shared" si="50"/>
        <v>0</v>
      </c>
      <c r="FB29" s="546">
        <f t="shared" si="161"/>
        <v>0</v>
      </c>
      <c r="FC29" s="544"/>
      <c r="FD29" s="545">
        <f t="shared" si="51"/>
        <v>0</v>
      </c>
      <c r="FE29" s="546">
        <f t="shared" si="162"/>
        <v>0</v>
      </c>
      <c r="FF29" s="544"/>
      <c r="FG29" s="545">
        <f t="shared" si="52"/>
        <v>0</v>
      </c>
      <c r="FH29" s="546">
        <f t="shared" si="163"/>
        <v>0</v>
      </c>
      <c r="FI29" s="544"/>
      <c r="FJ29" s="545">
        <f t="shared" si="53"/>
        <v>0</v>
      </c>
      <c r="FK29" s="546">
        <f t="shared" si="164"/>
        <v>0</v>
      </c>
      <c r="FL29" s="544"/>
      <c r="FM29" s="545">
        <f t="shared" si="54"/>
        <v>0</v>
      </c>
      <c r="FN29" s="546">
        <f t="shared" si="165"/>
        <v>0</v>
      </c>
      <c r="FO29" s="544"/>
      <c r="FP29" s="545">
        <f t="shared" si="55"/>
        <v>0</v>
      </c>
      <c r="FQ29" s="546">
        <f t="shared" si="166"/>
        <v>0</v>
      </c>
      <c r="FR29" s="544"/>
      <c r="FS29" s="545">
        <f t="shared" si="56"/>
        <v>0</v>
      </c>
      <c r="FT29" s="546">
        <f t="shared" si="167"/>
        <v>0</v>
      </c>
      <c r="FU29" s="544"/>
      <c r="FV29" s="545">
        <f t="shared" si="57"/>
        <v>0</v>
      </c>
      <c r="FW29" s="546">
        <f t="shared" si="168"/>
        <v>0</v>
      </c>
      <c r="FX29" s="544"/>
      <c r="FY29" s="545">
        <f t="shared" si="58"/>
        <v>0</v>
      </c>
      <c r="FZ29" s="546">
        <f t="shared" si="169"/>
        <v>0</v>
      </c>
      <c r="GA29" s="544"/>
      <c r="GB29" s="545">
        <f t="shared" si="59"/>
        <v>0</v>
      </c>
      <c r="GC29" s="546">
        <f t="shared" si="170"/>
        <v>0</v>
      </c>
      <c r="GD29" s="544"/>
      <c r="GE29" s="545">
        <f t="shared" si="60"/>
        <v>0</v>
      </c>
      <c r="GF29" s="546">
        <f t="shared" si="171"/>
        <v>0</v>
      </c>
      <c r="GG29" s="544">
        <v>12.088940901111762</v>
      </c>
      <c r="GH29" s="545">
        <f t="shared" si="61"/>
        <v>0.17891782824621136</v>
      </c>
      <c r="GI29" s="546">
        <f t="shared" si="172"/>
        <v>0</v>
      </c>
      <c r="GJ29" s="544">
        <v>12.088940901111762</v>
      </c>
      <c r="GK29" s="545">
        <f t="shared" si="62"/>
        <v>0.17891782824621136</v>
      </c>
      <c r="GL29" s="546">
        <f t="shared" si="173"/>
        <v>0</v>
      </c>
      <c r="GM29" s="544">
        <v>0</v>
      </c>
      <c r="GN29" s="545">
        <f t="shared" si="201"/>
        <v>0</v>
      </c>
      <c r="GO29" s="546">
        <f t="shared" si="202"/>
        <v>0</v>
      </c>
      <c r="GP29" s="544">
        <v>15.111176126389703</v>
      </c>
      <c r="GQ29" s="545">
        <f t="shared" si="203"/>
        <v>0.2236472853077642</v>
      </c>
      <c r="GR29" s="546">
        <f t="shared" si="204"/>
        <v>0</v>
      </c>
      <c r="GS29" s="544">
        <v>151.11176126389702</v>
      </c>
      <c r="GT29" s="545">
        <f t="shared" si="205"/>
        <v>2.2364728530776419</v>
      </c>
      <c r="GU29" s="546">
        <f t="shared" si="206"/>
        <v>0</v>
      </c>
      <c r="GV29" s="544">
        <v>30.222352252779405</v>
      </c>
      <c r="GW29" s="545">
        <f t="shared" ref="GW29:GW39" si="207">+GV29/$E29</f>
        <v>0.44729457061552841</v>
      </c>
      <c r="GX29" s="546">
        <f t="shared" ref="GX29:GX39" si="208">+GV29*$H$8</f>
        <v>0</v>
      </c>
      <c r="GY29" s="544"/>
      <c r="GZ29" s="545">
        <f t="shared" ref="GZ29:GZ34" si="209">+GY29/$E29</f>
        <v>0</v>
      </c>
      <c r="HA29" s="546">
        <f>+GY29*$H$8</f>
        <v>0</v>
      </c>
      <c r="HB29" s="544"/>
      <c r="HC29" s="545">
        <f>+HB29/$E29</f>
        <v>0</v>
      </c>
      <c r="HD29" s="546">
        <f>+HB29*$H$8</f>
        <v>0</v>
      </c>
      <c r="HE29" s="544"/>
      <c r="HF29" s="545">
        <f>+HE29/$E29</f>
        <v>0</v>
      </c>
      <c r="HG29" s="546">
        <f>+HE29*$H$8</f>
        <v>0</v>
      </c>
      <c r="HH29" s="544"/>
      <c r="HI29" s="545">
        <f>+HH29/$E29</f>
        <v>0</v>
      </c>
      <c r="HJ29" s="546">
        <f>+HH29*$H$8</f>
        <v>0</v>
      </c>
      <c r="HK29" s="544"/>
      <c r="HL29" s="545">
        <f>+HK29/$E29</f>
        <v>0</v>
      </c>
      <c r="HM29" s="546">
        <f t="shared" si="182"/>
        <v>0</v>
      </c>
      <c r="HN29" s="544">
        <v>1129.1070801638386</v>
      </c>
      <c r="HO29" s="545">
        <f t="shared" si="72"/>
        <v>16.710925158196144</v>
      </c>
      <c r="HP29" s="546">
        <f t="shared" si="183"/>
        <v>0</v>
      </c>
      <c r="HQ29" s="544"/>
      <c r="HR29" s="545">
        <f t="shared" si="73"/>
        <v>0</v>
      </c>
      <c r="HS29" s="546">
        <f t="shared" si="184"/>
        <v>0</v>
      </c>
      <c r="HT29" s="544">
        <v>0</v>
      </c>
      <c r="HU29" s="545">
        <f t="shared" si="74"/>
        <v>0</v>
      </c>
      <c r="HV29" s="546">
        <f t="shared" si="185"/>
        <v>0</v>
      </c>
      <c r="HW29" s="544">
        <v>0</v>
      </c>
      <c r="HX29" s="545">
        <f t="shared" si="75"/>
        <v>0</v>
      </c>
      <c r="HY29" s="546">
        <f t="shared" si="186"/>
        <v>0</v>
      </c>
      <c r="HZ29" s="544">
        <v>0</v>
      </c>
      <c r="IA29" s="545">
        <f t="shared" si="76"/>
        <v>0</v>
      </c>
      <c r="IB29" s="546">
        <f t="shared" si="187"/>
        <v>0</v>
      </c>
      <c r="IC29" s="544">
        <v>0</v>
      </c>
      <c r="ID29" s="545">
        <f t="shared" si="77"/>
        <v>0</v>
      </c>
      <c r="IE29" s="546">
        <f t="shared" si="188"/>
        <v>0</v>
      </c>
      <c r="IF29" s="544">
        <v>24.177881802223524</v>
      </c>
      <c r="IG29" s="545">
        <f t="shared" si="78"/>
        <v>0.35783565649242272</v>
      </c>
      <c r="IH29" s="546">
        <f t="shared" si="189"/>
        <v>0</v>
      </c>
      <c r="II29" s="544"/>
      <c r="IJ29" s="545">
        <f t="shared" si="79"/>
        <v>0</v>
      </c>
      <c r="IK29" s="546">
        <f t="shared" si="190"/>
        <v>0</v>
      </c>
      <c r="IL29" s="544"/>
      <c r="IM29" s="545">
        <f t="shared" si="80"/>
        <v>0</v>
      </c>
      <c r="IN29" s="546">
        <f t="shared" si="191"/>
        <v>0</v>
      </c>
      <c r="IO29" s="544">
        <v>60.444704505558811</v>
      </c>
      <c r="IP29" s="545">
        <f t="shared" si="81"/>
        <v>0.89458914123105682</v>
      </c>
      <c r="IQ29" s="546">
        <f t="shared" si="192"/>
        <v>0</v>
      </c>
      <c r="IR29" s="544">
        <v>0</v>
      </c>
      <c r="IS29" s="545">
        <f t="shared" si="82"/>
        <v>0</v>
      </c>
      <c r="IT29" s="546">
        <f t="shared" si="193"/>
        <v>0</v>
      </c>
      <c r="IU29" s="544"/>
      <c r="IV29" s="545">
        <f t="shared" si="83"/>
        <v>0</v>
      </c>
      <c r="IW29" s="546">
        <f t="shared" si="194"/>
        <v>0</v>
      </c>
      <c r="IX29" s="544">
        <v>0</v>
      </c>
      <c r="IY29" s="545">
        <f t="shared" si="84"/>
        <v>0</v>
      </c>
      <c r="IZ29" s="546">
        <f t="shared" si="195"/>
        <v>0</v>
      </c>
      <c r="JA29" s="544"/>
      <c r="JB29" s="545">
        <f t="shared" si="85"/>
        <v>0</v>
      </c>
      <c r="JC29" s="546">
        <f t="shared" si="196"/>
        <v>0</v>
      </c>
      <c r="JD29" s="544"/>
      <c r="JE29" s="545">
        <f t="shared" si="86"/>
        <v>0</v>
      </c>
      <c r="JF29" s="546">
        <f t="shared" si="197"/>
        <v>0</v>
      </c>
      <c r="JG29" s="544">
        <v>27.200117027501463</v>
      </c>
      <c r="JH29" s="546" t="str">
        <f t="shared" si="87"/>
        <v>0</v>
      </c>
      <c r="JI29" s="546" t="str">
        <f t="shared" si="88"/>
        <v>0</v>
      </c>
      <c r="JJ29" s="544">
        <v>0</v>
      </c>
      <c r="JK29" s="546" t="str">
        <f t="shared" si="89"/>
        <v>0</v>
      </c>
      <c r="JL29" s="546" t="str">
        <f t="shared" si="90"/>
        <v>0</v>
      </c>
      <c r="JM29" s="544">
        <v>0</v>
      </c>
      <c r="JN29" s="546" t="str">
        <f t="shared" si="91"/>
        <v>0</v>
      </c>
      <c r="JO29" s="546" t="str">
        <f t="shared" si="92"/>
        <v>0</v>
      </c>
      <c r="JP29" s="544"/>
      <c r="JQ29" s="546" t="str">
        <f t="shared" si="93"/>
        <v>0</v>
      </c>
      <c r="JR29" s="546" t="str">
        <f t="shared" si="94"/>
        <v>0</v>
      </c>
      <c r="JS29" s="544"/>
      <c r="JT29" s="546" t="str">
        <f t="shared" si="95"/>
        <v>0</v>
      </c>
      <c r="JU29" s="546" t="str">
        <f t="shared" si="96"/>
        <v>0</v>
      </c>
      <c r="JV29" s="544"/>
      <c r="JW29" s="546" t="str">
        <f t="shared" si="97"/>
        <v>0</v>
      </c>
      <c r="JX29" s="546" t="str">
        <f t="shared" si="98"/>
        <v>0</v>
      </c>
      <c r="JY29" s="544"/>
      <c r="JZ29" s="546" t="str">
        <f t="shared" si="99"/>
        <v>0</v>
      </c>
      <c r="KA29" s="546" t="str">
        <f t="shared" si="100"/>
        <v>0</v>
      </c>
      <c r="KB29" s="544"/>
      <c r="KC29" s="546" t="str">
        <f t="shared" si="101"/>
        <v>0</v>
      </c>
      <c r="KD29" s="546" t="str">
        <f t="shared" si="102"/>
        <v>0</v>
      </c>
      <c r="KE29" s="544"/>
      <c r="KF29" s="546" t="str">
        <f t="shared" si="103"/>
        <v>0</v>
      </c>
      <c r="KG29" s="546" t="str">
        <f t="shared" si="104"/>
        <v>0</v>
      </c>
      <c r="KH29" s="544"/>
      <c r="KI29" s="546" t="str">
        <f t="shared" si="105"/>
        <v>0</v>
      </c>
      <c r="KJ29" s="546" t="str">
        <f t="shared" si="106"/>
        <v>0</v>
      </c>
      <c r="KK29" s="544"/>
      <c r="KL29" s="546" t="str">
        <f t="shared" si="107"/>
        <v>0</v>
      </c>
      <c r="KM29" s="546" t="str">
        <f t="shared" si="108"/>
        <v>0</v>
      </c>
      <c r="KN29" s="544"/>
      <c r="KO29" s="546" t="str">
        <f t="shared" si="109"/>
        <v>0</v>
      </c>
      <c r="KP29" s="546" t="str">
        <f t="shared" si="110"/>
        <v>0</v>
      </c>
      <c r="KQ29" s="546">
        <f t="shared" si="111"/>
        <v>0</v>
      </c>
      <c r="KR29" s="546">
        <f t="shared" si="198"/>
        <v>0</v>
      </c>
      <c r="KS29" s="265">
        <f t="shared" si="199"/>
        <v>2772.2143837914427</v>
      </c>
    </row>
    <row r="30" spans="1:305" ht="15" customHeight="1">
      <c r="A30" s="267">
        <f>+Report1!A30</f>
        <v>46013</v>
      </c>
      <c r="B30" s="268" t="str">
        <f>+Report1!B30</f>
        <v>Towel</v>
      </c>
      <c r="C30" s="268" t="str">
        <f>+Report1!C30</f>
        <v>31,5/32/33,5/34</v>
      </c>
      <c r="D30" s="269">
        <f>+Report1!P30</f>
        <v>73.667000000000002</v>
      </c>
      <c r="E30" s="270">
        <f>+Report1!R30</f>
        <v>72.754999999999995</v>
      </c>
      <c r="F30" s="544">
        <v>209.30232558139539</v>
      </c>
      <c r="G30" s="545">
        <f t="shared" si="0"/>
        <v>2.8768101928581595</v>
      </c>
      <c r="H30" s="546">
        <f t="shared" si="112"/>
        <v>0</v>
      </c>
      <c r="I30" s="544"/>
      <c r="J30" s="545">
        <f t="shared" si="1"/>
        <v>0</v>
      </c>
      <c r="K30" s="546">
        <f t="shared" si="113"/>
        <v>0</v>
      </c>
      <c r="L30" s="544"/>
      <c r="M30" s="545">
        <f t="shared" si="2"/>
        <v>0</v>
      </c>
      <c r="N30" s="546">
        <f t="shared" si="114"/>
        <v>0</v>
      </c>
      <c r="O30" s="544">
        <v>12</v>
      </c>
      <c r="P30" s="545">
        <f t="shared" si="3"/>
        <v>0.16493711772386779</v>
      </c>
      <c r="Q30" s="546">
        <f t="shared" si="115"/>
        <v>0</v>
      </c>
      <c r="R30" s="544"/>
      <c r="S30" s="545">
        <f t="shared" si="4"/>
        <v>0</v>
      </c>
      <c r="T30" s="546">
        <f t="shared" si="116"/>
        <v>0</v>
      </c>
      <c r="U30" s="544">
        <v>10.25</v>
      </c>
      <c r="V30" s="545">
        <f t="shared" si="5"/>
        <v>0.14088378805580373</v>
      </c>
      <c r="W30" s="546">
        <f t="shared" si="117"/>
        <v>0</v>
      </c>
      <c r="X30" s="544"/>
      <c r="Y30" s="545">
        <f t="shared" si="6"/>
        <v>0</v>
      </c>
      <c r="Z30" s="546">
        <f t="shared" si="118"/>
        <v>0</v>
      </c>
      <c r="AA30" s="544"/>
      <c r="AB30" s="545">
        <f t="shared" si="7"/>
        <v>0</v>
      </c>
      <c r="AC30" s="546">
        <f t="shared" si="119"/>
        <v>0</v>
      </c>
      <c r="AD30" s="544"/>
      <c r="AE30" s="545">
        <f t="shared" si="8"/>
        <v>0</v>
      </c>
      <c r="AF30" s="546">
        <f t="shared" si="120"/>
        <v>0</v>
      </c>
      <c r="AG30" s="544"/>
      <c r="AH30" s="545">
        <f t="shared" si="9"/>
        <v>0</v>
      </c>
      <c r="AI30" s="546">
        <f t="shared" si="121"/>
        <v>0</v>
      </c>
      <c r="AJ30" s="544"/>
      <c r="AK30" s="545">
        <f t="shared" si="10"/>
        <v>0</v>
      </c>
      <c r="AL30" s="546">
        <f t="shared" si="122"/>
        <v>0</v>
      </c>
      <c r="AM30" s="544">
        <v>26.28205128205127</v>
      </c>
      <c r="AN30" s="545">
        <f t="shared" si="11"/>
        <v>0.36124048219436838</v>
      </c>
      <c r="AO30" s="546">
        <f t="shared" si="123"/>
        <v>0</v>
      </c>
      <c r="AP30" s="544"/>
      <c r="AQ30" s="545">
        <f t="shared" si="12"/>
        <v>0</v>
      </c>
      <c r="AR30" s="546">
        <f t="shared" si="124"/>
        <v>0</v>
      </c>
      <c r="AS30" s="544"/>
      <c r="AT30" s="545">
        <f t="shared" si="13"/>
        <v>0</v>
      </c>
      <c r="AU30" s="546">
        <f t="shared" si="125"/>
        <v>0</v>
      </c>
      <c r="AV30" s="544">
        <v>0</v>
      </c>
      <c r="AW30" s="545">
        <f t="shared" si="14"/>
        <v>0</v>
      </c>
      <c r="AX30" s="546">
        <f t="shared" si="126"/>
        <v>0</v>
      </c>
      <c r="AY30" s="544">
        <v>30.333333333333343</v>
      </c>
      <c r="AZ30" s="545">
        <f t="shared" si="15"/>
        <v>0.41692438091311035</v>
      </c>
      <c r="BA30" s="546">
        <f t="shared" si="127"/>
        <v>0</v>
      </c>
      <c r="BB30" s="544"/>
      <c r="BC30" s="545">
        <f t="shared" si="16"/>
        <v>0</v>
      </c>
      <c r="BD30" s="546">
        <f t="shared" si="128"/>
        <v>0</v>
      </c>
      <c r="BE30" s="544"/>
      <c r="BF30" s="545">
        <f t="shared" si="17"/>
        <v>0</v>
      </c>
      <c r="BG30" s="546">
        <f t="shared" si="129"/>
        <v>0</v>
      </c>
      <c r="BH30" s="544"/>
      <c r="BI30" s="545">
        <f t="shared" si="18"/>
        <v>0</v>
      </c>
      <c r="BJ30" s="546">
        <f t="shared" si="130"/>
        <v>0</v>
      </c>
      <c r="BK30" s="544"/>
      <c r="BL30" s="545">
        <f t="shared" si="19"/>
        <v>0</v>
      </c>
      <c r="BM30" s="546">
        <f t="shared" si="131"/>
        <v>0</v>
      </c>
      <c r="BN30" s="544"/>
      <c r="BO30" s="545">
        <f t="shared" si="20"/>
        <v>0</v>
      </c>
      <c r="BP30" s="546">
        <f t="shared" si="132"/>
        <v>0</v>
      </c>
      <c r="BQ30" s="544"/>
      <c r="BR30" s="545">
        <f t="shared" si="21"/>
        <v>0</v>
      </c>
      <c r="BS30" s="546">
        <f t="shared" si="133"/>
        <v>0</v>
      </c>
      <c r="BT30" s="544"/>
      <c r="BU30" s="545">
        <f t="shared" si="22"/>
        <v>0</v>
      </c>
      <c r="BV30" s="546">
        <f t="shared" si="134"/>
        <v>0</v>
      </c>
      <c r="BW30" s="544"/>
      <c r="BX30" s="545">
        <f t="shared" si="23"/>
        <v>0</v>
      </c>
      <c r="BY30" s="546">
        <f t="shared" si="135"/>
        <v>0</v>
      </c>
      <c r="BZ30" s="544">
        <v>0</v>
      </c>
      <c r="CA30" s="545">
        <f t="shared" si="24"/>
        <v>0</v>
      </c>
      <c r="CB30" s="546">
        <f t="shared" si="136"/>
        <v>0</v>
      </c>
      <c r="CC30" s="544">
        <v>25</v>
      </c>
      <c r="CD30" s="545">
        <f t="shared" si="25"/>
        <v>0.34361899525805789</v>
      </c>
      <c r="CE30" s="546">
        <f t="shared" si="137"/>
        <v>0</v>
      </c>
      <c r="CF30" s="544">
        <v>1.1999999999999993</v>
      </c>
      <c r="CG30" s="545">
        <f t="shared" si="26"/>
        <v>1.649371177238677E-2</v>
      </c>
      <c r="CH30" s="546">
        <f t="shared" si="138"/>
        <v>0</v>
      </c>
      <c r="CI30" s="544"/>
      <c r="CJ30" s="545">
        <f t="shared" si="27"/>
        <v>0</v>
      </c>
      <c r="CK30" s="546">
        <f t="shared" si="139"/>
        <v>0</v>
      </c>
      <c r="CL30" s="544"/>
      <c r="CM30" s="545">
        <f t="shared" si="28"/>
        <v>0</v>
      </c>
      <c r="CN30" s="546">
        <f t="shared" si="140"/>
        <v>0</v>
      </c>
      <c r="CO30" s="544"/>
      <c r="CP30" s="545">
        <f t="shared" si="29"/>
        <v>0</v>
      </c>
      <c r="CQ30" s="546">
        <f t="shared" si="141"/>
        <v>0</v>
      </c>
      <c r="CR30" s="544"/>
      <c r="CS30" s="545">
        <f t="shared" si="30"/>
        <v>0</v>
      </c>
      <c r="CT30" s="546">
        <f t="shared" si="142"/>
        <v>0</v>
      </c>
      <c r="CU30" s="544"/>
      <c r="CV30" s="545">
        <f t="shared" si="31"/>
        <v>0</v>
      </c>
      <c r="CW30" s="546">
        <f t="shared" si="143"/>
        <v>0</v>
      </c>
      <c r="CX30" s="544"/>
      <c r="CY30" s="545">
        <f t="shared" si="32"/>
        <v>0</v>
      </c>
      <c r="CZ30" s="546">
        <f t="shared" si="144"/>
        <v>0</v>
      </c>
      <c r="DA30" s="544">
        <v>0</v>
      </c>
      <c r="DB30" s="545">
        <f t="shared" si="33"/>
        <v>0</v>
      </c>
      <c r="DC30" s="546">
        <f t="shared" si="145"/>
        <v>0</v>
      </c>
      <c r="DD30" s="544"/>
      <c r="DE30" s="545">
        <f t="shared" si="34"/>
        <v>0</v>
      </c>
      <c r="DF30" s="546">
        <f t="shared" si="146"/>
        <v>0</v>
      </c>
      <c r="DG30" s="544"/>
      <c r="DH30" s="545">
        <f t="shared" si="35"/>
        <v>0</v>
      </c>
      <c r="DI30" s="546">
        <f t="shared" si="200"/>
        <v>0</v>
      </c>
      <c r="DJ30" s="544"/>
      <c r="DK30" s="545">
        <f t="shared" si="36"/>
        <v>0</v>
      </c>
      <c r="DL30" s="546">
        <f t="shared" si="147"/>
        <v>0</v>
      </c>
      <c r="DM30" s="544"/>
      <c r="DN30" s="545">
        <f t="shared" si="37"/>
        <v>0</v>
      </c>
      <c r="DO30" s="546">
        <f t="shared" si="148"/>
        <v>0</v>
      </c>
      <c r="DP30" s="544"/>
      <c r="DQ30" s="545">
        <f t="shared" si="38"/>
        <v>0</v>
      </c>
      <c r="DR30" s="546">
        <f t="shared" si="149"/>
        <v>0</v>
      </c>
      <c r="DS30" s="544"/>
      <c r="DT30" s="545">
        <f t="shared" si="39"/>
        <v>0</v>
      </c>
      <c r="DU30" s="546">
        <f t="shared" si="150"/>
        <v>0</v>
      </c>
      <c r="DV30" s="544"/>
      <c r="DW30" s="545">
        <f t="shared" si="40"/>
        <v>0</v>
      </c>
      <c r="DX30" s="546">
        <f t="shared" si="151"/>
        <v>0</v>
      </c>
      <c r="DY30" s="544"/>
      <c r="DZ30" s="545">
        <f t="shared" si="41"/>
        <v>0</v>
      </c>
      <c r="EA30" s="546">
        <f t="shared" si="152"/>
        <v>0</v>
      </c>
      <c r="EB30" s="544">
        <v>1211.7647058823532</v>
      </c>
      <c r="EC30" s="545">
        <f t="shared" si="42"/>
        <v>16.65541482897881</v>
      </c>
      <c r="ED30" s="546">
        <f t="shared" si="153"/>
        <v>0</v>
      </c>
      <c r="EE30" s="544">
        <v>29.069767441860449</v>
      </c>
      <c r="EF30" s="545">
        <f t="shared" si="43"/>
        <v>0.39955697123029965</v>
      </c>
      <c r="EG30" s="546">
        <f t="shared" si="154"/>
        <v>0</v>
      </c>
      <c r="EH30" s="544">
        <v>2</v>
      </c>
      <c r="EI30" s="545">
        <f t="shared" si="44"/>
        <v>2.748951962064463E-2</v>
      </c>
      <c r="EJ30" s="546">
        <f t="shared" si="155"/>
        <v>0</v>
      </c>
      <c r="EK30" s="544"/>
      <c r="EL30" s="545">
        <f t="shared" si="45"/>
        <v>0</v>
      </c>
      <c r="EM30" s="546">
        <f t="shared" si="156"/>
        <v>0</v>
      </c>
      <c r="EN30" s="544"/>
      <c r="EO30" s="545">
        <f t="shared" si="46"/>
        <v>0</v>
      </c>
      <c r="EP30" s="546">
        <f t="shared" si="157"/>
        <v>0</v>
      </c>
      <c r="EQ30" s="544"/>
      <c r="ER30" s="545">
        <f t="shared" si="47"/>
        <v>0</v>
      </c>
      <c r="ES30" s="546">
        <f t="shared" si="158"/>
        <v>0</v>
      </c>
      <c r="ET30" s="544"/>
      <c r="EU30" s="545">
        <f t="shared" si="48"/>
        <v>0</v>
      </c>
      <c r="EV30" s="546">
        <f t="shared" si="159"/>
        <v>0</v>
      </c>
      <c r="EW30" s="544"/>
      <c r="EX30" s="545">
        <f t="shared" si="49"/>
        <v>0</v>
      </c>
      <c r="EY30" s="546">
        <f t="shared" si="160"/>
        <v>0</v>
      </c>
      <c r="EZ30" s="544"/>
      <c r="FA30" s="545">
        <f t="shared" si="50"/>
        <v>0</v>
      </c>
      <c r="FB30" s="546">
        <f t="shared" si="161"/>
        <v>0</v>
      </c>
      <c r="FC30" s="544"/>
      <c r="FD30" s="545">
        <f t="shared" si="51"/>
        <v>0</v>
      </c>
      <c r="FE30" s="546">
        <f t="shared" si="162"/>
        <v>0</v>
      </c>
      <c r="FF30" s="544"/>
      <c r="FG30" s="545">
        <f t="shared" si="52"/>
        <v>0</v>
      </c>
      <c r="FH30" s="546">
        <f t="shared" si="163"/>
        <v>0</v>
      </c>
      <c r="FI30" s="544"/>
      <c r="FJ30" s="545">
        <f t="shared" si="53"/>
        <v>0</v>
      </c>
      <c r="FK30" s="546">
        <f t="shared" si="164"/>
        <v>0</v>
      </c>
      <c r="FL30" s="544"/>
      <c r="FM30" s="545">
        <f t="shared" si="54"/>
        <v>0</v>
      </c>
      <c r="FN30" s="546">
        <f t="shared" si="165"/>
        <v>0</v>
      </c>
      <c r="FO30" s="544"/>
      <c r="FP30" s="545">
        <f t="shared" si="55"/>
        <v>0</v>
      </c>
      <c r="FQ30" s="546">
        <f t="shared" si="166"/>
        <v>0</v>
      </c>
      <c r="FR30" s="544"/>
      <c r="FS30" s="545">
        <f t="shared" si="56"/>
        <v>0</v>
      </c>
      <c r="FT30" s="546">
        <f t="shared" si="167"/>
        <v>0</v>
      </c>
      <c r="FU30" s="544"/>
      <c r="FV30" s="545">
        <f t="shared" si="57"/>
        <v>0</v>
      </c>
      <c r="FW30" s="546">
        <f t="shared" si="168"/>
        <v>0</v>
      </c>
      <c r="FX30" s="544"/>
      <c r="FY30" s="545">
        <f t="shared" si="58"/>
        <v>0</v>
      </c>
      <c r="FZ30" s="546">
        <f t="shared" si="169"/>
        <v>0</v>
      </c>
      <c r="GA30" s="544"/>
      <c r="GB30" s="545">
        <f t="shared" si="59"/>
        <v>0</v>
      </c>
      <c r="GC30" s="546">
        <f t="shared" si="170"/>
        <v>0</v>
      </c>
      <c r="GD30" s="544"/>
      <c r="GE30" s="545">
        <f t="shared" si="60"/>
        <v>0</v>
      </c>
      <c r="GF30" s="546">
        <f t="shared" si="171"/>
        <v>0</v>
      </c>
      <c r="GG30" s="544">
        <v>15.837324894442197</v>
      </c>
      <c r="GH30" s="545">
        <f t="shared" si="61"/>
        <v>0.21768022671214624</v>
      </c>
      <c r="GI30" s="546">
        <f t="shared" si="172"/>
        <v>0</v>
      </c>
      <c r="GJ30" s="544">
        <v>15.837324894442197</v>
      </c>
      <c r="GK30" s="545">
        <f t="shared" ref="GK30:GK39" si="210">+GJ30/$E30</f>
        <v>0.21768022671214624</v>
      </c>
      <c r="GL30" s="546">
        <f t="shared" ref="GL30:GL39" si="211">+GJ30*$H$8</f>
        <v>0</v>
      </c>
      <c r="GM30" s="544">
        <v>0</v>
      </c>
      <c r="GN30" s="545">
        <f t="shared" si="201"/>
        <v>0</v>
      </c>
      <c r="GO30" s="546">
        <f t="shared" si="202"/>
        <v>0</v>
      </c>
      <c r="GP30" s="544">
        <v>41.177044725549713</v>
      </c>
      <c r="GQ30" s="545">
        <f t="shared" si="203"/>
        <v>0.56596858945158013</v>
      </c>
      <c r="GR30" s="546">
        <f t="shared" si="204"/>
        <v>0</v>
      </c>
      <c r="GS30" s="544">
        <v>209.05268860663702</v>
      </c>
      <c r="GT30" s="545">
        <f t="shared" si="205"/>
        <v>2.8733789926003301</v>
      </c>
      <c r="GU30" s="546">
        <f t="shared" si="206"/>
        <v>0</v>
      </c>
      <c r="GV30" s="544">
        <v>50.679439662215032</v>
      </c>
      <c r="GW30" s="545">
        <f t="shared" si="207"/>
        <v>0.69657672547886795</v>
      </c>
      <c r="GX30" s="546">
        <f t="shared" si="208"/>
        <v>0</v>
      </c>
      <c r="GY30" s="544"/>
      <c r="GZ30" s="545">
        <f t="shared" si="209"/>
        <v>0</v>
      </c>
      <c r="HA30" s="546">
        <f>+GY30*$H$8</f>
        <v>0</v>
      </c>
      <c r="HB30" s="544"/>
      <c r="HC30" s="545">
        <f>+HB30/$E30</f>
        <v>0</v>
      </c>
      <c r="HD30" s="546">
        <f>+HB30*$H$8</f>
        <v>0</v>
      </c>
      <c r="HE30" s="544"/>
      <c r="HF30" s="545">
        <f>+HE30/$E30</f>
        <v>0</v>
      </c>
      <c r="HG30" s="546">
        <f>+HE30*$H$8</f>
        <v>0</v>
      </c>
      <c r="HH30" s="544"/>
      <c r="HI30" s="545">
        <f>+HH30/$E30</f>
        <v>0</v>
      </c>
      <c r="HJ30" s="546">
        <f>+HH30*$H$8</f>
        <v>0</v>
      </c>
      <c r="HK30" s="544"/>
      <c r="HL30" s="545">
        <f>+HK30/$E30</f>
        <v>0</v>
      </c>
      <c r="HM30" s="546">
        <f t="shared" si="182"/>
        <v>0</v>
      </c>
      <c r="HN30" s="544">
        <v>1225.1754538340485</v>
      </c>
      <c r="HO30" s="545">
        <f t="shared" si="72"/>
        <v>16.839742338451632</v>
      </c>
      <c r="HP30" s="546">
        <f t="shared" si="183"/>
        <v>0</v>
      </c>
      <c r="HQ30" s="544"/>
      <c r="HR30" s="545">
        <f t="shared" si="73"/>
        <v>0</v>
      </c>
      <c r="HS30" s="546">
        <f t="shared" si="184"/>
        <v>0</v>
      </c>
      <c r="HT30" s="544">
        <v>0</v>
      </c>
      <c r="HU30" s="545">
        <f t="shared" si="74"/>
        <v>0</v>
      </c>
      <c r="HV30" s="546">
        <f t="shared" si="185"/>
        <v>0</v>
      </c>
      <c r="HW30" s="544">
        <v>0</v>
      </c>
      <c r="HX30" s="545">
        <f t="shared" si="75"/>
        <v>0</v>
      </c>
      <c r="HY30" s="546">
        <f t="shared" si="186"/>
        <v>0</v>
      </c>
      <c r="HZ30" s="544">
        <v>0</v>
      </c>
      <c r="IA30" s="545">
        <f t="shared" si="76"/>
        <v>0</v>
      </c>
      <c r="IB30" s="546">
        <f t="shared" si="187"/>
        <v>0</v>
      </c>
      <c r="IC30" s="544">
        <v>0</v>
      </c>
      <c r="ID30" s="545">
        <f t="shared" si="77"/>
        <v>0</v>
      </c>
      <c r="IE30" s="546">
        <f t="shared" si="188"/>
        <v>0</v>
      </c>
      <c r="IF30" s="544">
        <v>28.507184809995955</v>
      </c>
      <c r="IG30" s="545">
        <f t="shared" si="78"/>
        <v>0.3918244080818632</v>
      </c>
      <c r="IH30" s="546">
        <f t="shared" si="189"/>
        <v>0</v>
      </c>
      <c r="II30" s="544"/>
      <c r="IJ30" s="545">
        <f t="shared" si="79"/>
        <v>0</v>
      </c>
      <c r="IK30" s="546">
        <f t="shared" si="190"/>
        <v>0</v>
      </c>
      <c r="IL30" s="544"/>
      <c r="IM30" s="545">
        <f t="shared" si="80"/>
        <v>0</v>
      </c>
      <c r="IN30" s="546">
        <f t="shared" si="191"/>
        <v>0</v>
      </c>
      <c r="IO30" s="544">
        <v>79.186624472210994</v>
      </c>
      <c r="IP30" s="545">
        <f t="shared" si="81"/>
        <v>1.0884011335607313</v>
      </c>
      <c r="IQ30" s="546">
        <f t="shared" si="192"/>
        <v>0</v>
      </c>
      <c r="IR30" s="544">
        <v>0</v>
      </c>
      <c r="IS30" s="545">
        <f t="shared" si="82"/>
        <v>0</v>
      </c>
      <c r="IT30" s="546">
        <f t="shared" si="193"/>
        <v>0</v>
      </c>
      <c r="IU30" s="544"/>
      <c r="IV30" s="545">
        <f t="shared" si="83"/>
        <v>0</v>
      </c>
      <c r="IW30" s="546">
        <f t="shared" si="194"/>
        <v>0</v>
      </c>
      <c r="IX30" s="544">
        <v>0</v>
      </c>
      <c r="IY30" s="545">
        <f t="shared" si="84"/>
        <v>0</v>
      </c>
      <c r="IZ30" s="546">
        <f t="shared" si="195"/>
        <v>0</v>
      </c>
      <c r="JA30" s="544"/>
      <c r="JB30" s="545">
        <f t="shared" si="85"/>
        <v>0</v>
      </c>
      <c r="JC30" s="546">
        <f t="shared" si="196"/>
        <v>0</v>
      </c>
      <c r="JD30" s="544"/>
      <c r="JE30" s="545">
        <f t="shared" si="86"/>
        <v>0</v>
      </c>
      <c r="JF30" s="546">
        <f t="shared" si="197"/>
        <v>0</v>
      </c>
      <c r="JG30" s="544">
        <v>31.674649788884395</v>
      </c>
      <c r="JH30" s="546" t="str">
        <f t="shared" si="87"/>
        <v>0</v>
      </c>
      <c r="JI30" s="546" t="str">
        <f t="shared" si="88"/>
        <v>0</v>
      </c>
      <c r="JJ30" s="544">
        <v>6.334929957776879</v>
      </c>
      <c r="JK30" s="546" t="str">
        <f t="shared" si="89"/>
        <v>0</v>
      </c>
      <c r="JL30" s="546" t="str">
        <f t="shared" si="90"/>
        <v>0</v>
      </c>
      <c r="JM30" s="544">
        <v>0</v>
      </c>
      <c r="JN30" s="546" t="str">
        <f t="shared" si="91"/>
        <v>0</v>
      </c>
      <c r="JO30" s="546" t="str">
        <f t="shared" si="92"/>
        <v>0</v>
      </c>
      <c r="JP30" s="544"/>
      <c r="JQ30" s="546" t="str">
        <f t="shared" si="93"/>
        <v>0</v>
      </c>
      <c r="JR30" s="546" t="str">
        <f t="shared" si="94"/>
        <v>0</v>
      </c>
      <c r="JS30" s="544"/>
      <c r="JT30" s="546" t="str">
        <f t="shared" si="95"/>
        <v>0</v>
      </c>
      <c r="JU30" s="546" t="str">
        <f t="shared" si="96"/>
        <v>0</v>
      </c>
      <c r="JV30" s="544"/>
      <c r="JW30" s="546" t="str">
        <f t="shared" si="97"/>
        <v>0</v>
      </c>
      <c r="JX30" s="546" t="str">
        <f t="shared" si="98"/>
        <v>0</v>
      </c>
      <c r="JY30" s="544"/>
      <c r="JZ30" s="546" t="str">
        <f t="shared" si="99"/>
        <v>0</v>
      </c>
      <c r="KA30" s="546" t="str">
        <f t="shared" si="100"/>
        <v>0</v>
      </c>
      <c r="KB30" s="544"/>
      <c r="KC30" s="546" t="str">
        <f t="shared" si="101"/>
        <v>0</v>
      </c>
      <c r="KD30" s="546" t="str">
        <f t="shared" si="102"/>
        <v>0</v>
      </c>
      <c r="KE30" s="544"/>
      <c r="KF30" s="546" t="str">
        <f t="shared" si="103"/>
        <v>0</v>
      </c>
      <c r="KG30" s="546" t="str">
        <f t="shared" si="104"/>
        <v>0</v>
      </c>
      <c r="KH30" s="544"/>
      <c r="KI30" s="546" t="str">
        <f t="shared" si="105"/>
        <v>0</v>
      </c>
      <c r="KJ30" s="546" t="str">
        <f t="shared" si="106"/>
        <v>0</v>
      </c>
      <c r="KK30" s="544"/>
      <c r="KL30" s="546" t="str">
        <f t="shared" si="107"/>
        <v>0</v>
      </c>
      <c r="KM30" s="546" t="str">
        <f t="shared" si="108"/>
        <v>0</v>
      </c>
      <c r="KN30" s="544"/>
      <c r="KO30" s="546" t="str">
        <f t="shared" si="109"/>
        <v>0</v>
      </c>
      <c r="KP30" s="546" t="str">
        <f t="shared" si="110"/>
        <v>0</v>
      </c>
      <c r="KQ30" s="546">
        <f t="shared" si="111"/>
        <v>0</v>
      </c>
      <c r="KR30" s="546">
        <f t="shared" si="198"/>
        <v>0</v>
      </c>
      <c r="KS30" s="265">
        <f t="shared" si="199"/>
        <v>3260.6648491671967</v>
      </c>
    </row>
    <row r="31" spans="1:305" ht="15" customHeight="1">
      <c r="A31" s="267">
        <f>+Report1!A31</f>
        <v>46014</v>
      </c>
      <c r="B31" s="268" t="str">
        <f>+Report1!B31</f>
        <v>Towel</v>
      </c>
      <c r="C31" s="268" t="str">
        <f>+Report1!C31</f>
        <v>34</v>
      </c>
      <c r="D31" s="269">
        <f>+Report1!P31</f>
        <v>76.463999999999999</v>
      </c>
      <c r="E31" s="270">
        <f>+Report1!R31</f>
        <v>75.751999999999995</v>
      </c>
      <c r="F31" s="544">
        <v>209.30232558139539</v>
      </c>
      <c r="G31" s="545">
        <f>+F31/$E31</f>
        <v>2.7629940540367963</v>
      </c>
      <c r="H31" s="546">
        <f>+F31*$H$8</f>
        <v>0</v>
      </c>
      <c r="I31" s="544"/>
      <c r="J31" s="545">
        <f>+I31/$E31</f>
        <v>0</v>
      </c>
      <c r="K31" s="546">
        <f>+I31*$H$8</f>
        <v>0</v>
      </c>
      <c r="L31" s="544"/>
      <c r="M31" s="545">
        <f>+L31/$E31</f>
        <v>0</v>
      </c>
      <c r="N31" s="546">
        <f>+L31*$H$8</f>
        <v>0</v>
      </c>
      <c r="O31" s="544">
        <v>11.999999999999972</v>
      </c>
      <c r="P31" s="545">
        <f>+O31/$E31</f>
        <v>0.15841165909810925</v>
      </c>
      <c r="Q31" s="546">
        <f>+O31*$H$8</f>
        <v>0</v>
      </c>
      <c r="R31" s="544"/>
      <c r="S31" s="545">
        <f>+R31/$E31</f>
        <v>0</v>
      </c>
      <c r="T31" s="546">
        <f>+R31*$H$8</f>
        <v>0</v>
      </c>
      <c r="U31" s="544">
        <v>10.249999999999943</v>
      </c>
      <c r="V31" s="545">
        <f>+U31/$E31</f>
        <v>0.1353099588129679</v>
      </c>
      <c r="W31" s="546">
        <f>+U31*$H$8</f>
        <v>0</v>
      </c>
      <c r="X31" s="544"/>
      <c r="Y31" s="545">
        <f>+X31/$E31</f>
        <v>0</v>
      </c>
      <c r="Z31" s="546">
        <f>+X31*$H$8</f>
        <v>0</v>
      </c>
      <c r="AA31" s="544"/>
      <c r="AB31" s="545">
        <f>+AA31/$E31</f>
        <v>0</v>
      </c>
      <c r="AC31" s="546">
        <f>+AA31*$H$8</f>
        <v>0</v>
      </c>
      <c r="AD31" s="544"/>
      <c r="AE31" s="545">
        <f>+AD31/$E31</f>
        <v>0</v>
      </c>
      <c r="AF31" s="546">
        <f>+AD31*$H$8</f>
        <v>0</v>
      </c>
      <c r="AG31" s="544"/>
      <c r="AH31" s="545">
        <f>+AG31/$E31</f>
        <v>0</v>
      </c>
      <c r="AI31" s="546">
        <f>+AG31*$H$8</f>
        <v>0</v>
      </c>
      <c r="AJ31" s="544"/>
      <c r="AK31" s="545">
        <f>+AJ31/$E31</f>
        <v>0</v>
      </c>
      <c r="AL31" s="546">
        <f>+AJ31*$H$8</f>
        <v>0</v>
      </c>
      <c r="AM31" s="544">
        <v>18.397435897435912</v>
      </c>
      <c r="AN31" s="545">
        <f>+AM31/$E31</f>
        <v>0.24286402863866186</v>
      </c>
      <c r="AO31" s="546">
        <f>+AM31*$H$8</f>
        <v>0</v>
      </c>
      <c r="AP31" s="544"/>
      <c r="AQ31" s="545">
        <f>+AP31/$E31</f>
        <v>0</v>
      </c>
      <c r="AR31" s="546">
        <f>+AP31*$H$8</f>
        <v>0</v>
      </c>
      <c r="AS31" s="544"/>
      <c r="AT31" s="545">
        <f>+AS31/$E31</f>
        <v>0</v>
      </c>
      <c r="AU31" s="546">
        <f>+AS31*$H$8</f>
        <v>0</v>
      </c>
      <c r="AV31" s="544">
        <v>0</v>
      </c>
      <c r="AW31" s="545">
        <f>+AV31/$E31</f>
        <v>0</v>
      </c>
      <c r="AX31" s="546">
        <f>+AV31*$H$8</f>
        <v>0</v>
      </c>
      <c r="AY31" s="544">
        <v>34.999999999999972</v>
      </c>
      <c r="AZ31" s="545">
        <f>+AY31/$E31</f>
        <v>0.46203400570281938</v>
      </c>
      <c r="BA31" s="546">
        <f>+AY31*$H$8</f>
        <v>0</v>
      </c>
      <c r="BB31" s="544"/>
      <c r="BC31" s="545">
        <f>+BB31/$E31</f>
        <v>0</v>
      </c>
      <c r="BD31" s="546">
        <f>+BB31*$H$8</f>
        <v>0</v>
      </c>
      <c r="BE31" s="544"/>
      <c r="BF31" s="545">
        <f>+BE31/$E31</f>
        <v>0</v>
      </c>
      <c r="BG31" s="546">
        <f>+BE31*$H$8</f>
        <v>0</v>
      </c>
      <c r="BH31" s="544"/>
      <c r="BI31" s="545">
        <f>+BH31/$E31</f>
        <v>0</v>
      </c>
      <c r="BJ31" s="546">
        <f>+BH31*$H$8</f>
        <v>0</v>
      </c>
      <c r="BK31" s="544"/>
      <c r="BL31" s="545">
        <f>+BK31/$E31</f>
        <v>0</v>
      </c>
      <c r="BM31" s="546">
        <f>+BK31*$H$8</f>
        <v>0</v>
      </c>
      <c r="BN31" s="544"/>
      <c r="BO31" s="545">
        <f>+BN31/$E31</f>
        <v>0</v>
      </c>
      <c r="BP31" s="546">
        <f>+BN31*$H$8</f>
        <v>0</v>
      </c>
      <c r="BQ31" s="544"/>
      <c r="BR31" s="545">
        <f>+BQ31/$E31</f>
        <v>0</v>
      </c>
      <c r="BS31" s="546">
        <f>+BQ31*$H$8</f>
        <v>0</v>
      </c>
      <c r="BT31" s="544"/>
      <c r="BU31" s="545">
        <f>+BT31/$E31</f>
        <v>0</v>
      </c>
      <c r="BV31" s="546">
        <f>+BT31*$H$8</f>
        <v>0</v>
      </c>
      <c r="BW31" s="544"/>
      <c r="BX31" s="545">
        <f>+BW31/$E31</f>
        <v>0</v>
      </c>
      <c r="BY31" s="546">
        <f>+BW31*$H$8</f>
        <v>0</v>
      </c>
      <c r="BZ31" s="544">
        <v>0</v>
      </c>
      <c r="CA31" s="545">
        <f>+BZ31/$E31</f>
        <v>0</v>
      </c>
      <c r="CB31" s="546">
        <f>+BZ31*$H$8</f>
        <v>0</v>
      </c>
      <c r="CC31" s="544">
        <v>18.75</v>
      </c>
      <c r="CD31" s="545">
        <f>+CC31/$E31</f>
        <v>0.24751821734079629</v>
      </c>
      <c r="CE31" s="546">
        <f>+CC31*$H$8</f>
        <v>0</v>
      </c>
      <c r="CF31" s="544">
        <v>1.2000000000000028</v>
      </c>
      <c r="CG31" s="545">
        <f>+CF31/$E31</f>
        <v>1.5841165909811002E-2</v>
      </c>
      <c r="CH31" s="546">
        <f>+CF31*$H$8</f>
        <v>0</v>
      </c>
      <c r="CI31" s="544"/>
      <c r="CJ31" s="545">
        <f>+CI31/$E31</f>
        <v>0</v>
      </c>
      <c r="CK31" s="546">
        <f>+CI31*$H$8</f>
        <v>0</v>
      </c>
      <c r="CL31" s="544"/>
      <c r="CM31" s="545">
        <f>+CL31/$E31</f>
        <v>0</v>
      </c>
      <c r="CN31" s="546">
        <f>+CL31*$H$8</f>
        <v>0</v>
      </c>
      <c r="CO31" s="544"/>
      <c r="CP31" s="545">
        <f>+CO31/$E31</f>
        <v>0</v>
      </c>
      <c r="CQ31" s="546">
        <f>+CO31*$H$8</f>
        <v>0</v>
      </c>
      <c r="CR31" s="544"/>
      <c r="CS31" s="545">
        <f>+CR31/$E31</f>
        <v>0</v>
      </c>
      <c r="CT31" s="546">
        <f>+CR31*$H$8</f>
        <v>0</v>
      </c>
      <c r="CU31" s="544"/>
      <c r="CV31" s="545">
        <f>+CU31/$E31</f>
        <v>0</v>
      </c>
      <c r="CW31" s="546">
        <f>+CU31*$H$8</f>
        <v>0</v>
      </c>
      <c r="CX31" s="544"/>
      <c r="CY31" s="545">
        <f>+CX31/$E31</f>
        <v>0</v>
      </c>
      <c r="CZ31" s="546">
        <f>+CX31*$H$8</f>
        <v>0</v>
      </c>
      <c r="DA31" s="544">
        <v>0</v>
      </c>
      <c r="DB31" s="545">
        <f>+DA31/$E31</f>
        <v>0</v>
      </c>
      <c r="DC31" s="546">
        <f>+DA31*$H$8</f>
        <v>0</v>
      </c>
      <c r="DD31" s="544"/>
      <c r="DE31" s="545">
        <f>+DD31/$E31</f>
        <v>0</v>
      </c>
      <c r="DF31" s="546">
        <f>+DD31*$H$8</f>
        <v>0</v>
      </c>
      <c r="DG31" s="544"/>
      <c r="DH31" s="545">
        <f>+DG31/$E31</f>
        <v>0</v>
      </c>
      <c r="DI31" s="546">
        <f>+DG31*$H$8</f>
        <v>0</v>
      </c>
      <c r="DJ31" s="544"/>
      <c r="DK31" s="545">
        <f>+DJ31/$E31</f>
        <v>0</v>
      </c>
      <c r="DL31" s="546">
        <f>+DJ31*$H$8</f>
        <v>0</v>
      </c>
      <c r="DM31" s="544"/>
      <c r="DN31" s="545">
        <f>+DM31/$E31</f>
        <v>0</v>
      </c>
      <c r="DO31" s="546">
        <f>+DM31*$H$8</f>
        <v>0</v>
      </c>
      <c r="DP31" s="544"/>
      <c r="DQ31" s="545">
        <f>+DP31/$E31</f>
        <v>0</v>
      </c>
      <c r="DR31" s="546">
        <f>+DP31*$H$8</f>
        <v>0</v>
      </c>
      <c r="DS31" s="544"/>
      <c r="DT31" s="545">
        <f>+DS31/$E31</f>
        <v>0</v>
      </c>
      <c r="DU31" s="546">
        <f>+DS31*$H$8</f>
        <v>0</v>
      </c>
      <c r="DV31" s="544"/>
      <c r="DW31" s="545">
        <f>+DV31/$E31</f>
        <v>0</v>
      </c>
      <c r="DX31" s="546">
        <f>+DV31*$H$8</f>
        <v>0</v>
      </c>
      <c r="DY31" s="544"/>
      <c r="DZ31" s="545">
        <f>+DY31/$E31</f>
        <v>0</v>
      </c>
      <c r="EA31" s="546">
        <f>+DY31*$H$8</f>
        <v>0</v>
      </c>
      <c r="EB31" s="544">
        <v>1129.4117647058822</v>
      </c>
      <c r="EC31" s="545">
        <f>+EB31/$E31</f>
        <v>14.909332620998551</v>
      </c>
      <c r="ED31" s="546">
        <f>+EB31*$H$8</f>
        <v>0</v>
      </c>
      <c r="EE31" s="544">
        <v>14.534883720930225</v>
      </c>
      <c r="EF31" s="545">
        <f>+EE31/$E31</f>
        <v>0.1918745870858885</v>
      </c>
      <c r="EG31" s="546">
        <f>+EE31*$H$8</f>
        <v>0</v>
      </c>
      <c r="EH31" s="544">
        <v>2</v>
      </c>
      <c r="EI31" s="545">
        <f>+EH31/$E31</f>
        <v>2.6401943183018271E-2</v>
      </c>
      <c r="EJ31" s="546">
        <f>+EH31*$H$8</f>
        <v>0</v>
      </c>
      <c r="EK31" s="544"/>
      <c r="EL31" s="545">
        <f>+EK31/$E31</f>
        <v>0</v>
      </c>
      <c r="EM31" s="546">
        <f>+EK31*$H$8</f>
        <v>0</v>
      </c>
      <c r="EN31" s="544"/>
      <c r="EO31" s="545">
        <f>+EN31/$E31</f>
        <v>0</v>
      </c>
      <c r="EP31" s="546">
        <f>+EN31*$H$8</f>
        <v>0</v>
      </c>
      <c r="EQ31" s="544"/>
      <c r="ER31" s="545">
        <f>+EQ31/$E31</f>
        <v>0</v>
      </c>
      <c r="ES31" s="546">
        <f>+EQ31*$H$8</f>
        <v>0</v>
      </c>
      <c r="ET31" s="544"/>
      <c r="EU31" s="545">
        <f>+ET31/$E31</f>
        <v>0</v>
      </c>
      <c r="EV31" s="546">
        <f>+ET31*$H$8</f>
        <v>0</v>
      </c>
      <c r="EW31" s="544"/>
      <c r="EX31" s="545">
        <f>+EW31/$E31</f>
        <v>0</v>
      </c>
      <c r="EY31" s="546">
        <f>+EW31*$H$8</f>
        <v>0</v>
      </c>
      <c r="EZ31" s="544"/>
      <c r="FA31" s="545">
        <f>+EZ31/$E31</f>
        <v>0</v>
      </c>
      <c r="FB31" s="546">
        <f>+EZ31*$H$8</f>
        <v>0</v>
      </c>
      <c r="FC31" s="544"/>
      <c r="FD31" s="545">
        <f>+FC31/$E31</f>
        <v>0</v>
      </c>
      <c r="FE31" s="546">
        <f>+FC31*$H$8</f>
        <v>0</v>
      </c>
      <c r="FF31" s="544"/>
      <c r="FG31" s="545">
        <f>+FF31/$E31</f>
        <v>0</v>
      </c>
      <c r="FH31" s="546">
        <f>+FF31*$H$8</f>
        <v>0</v>
      </c>
      <c r="FI31" s="544"/>
      <c r="FJ31" s="545">
        <f>+FI31/$E31</f>
        <v>0</v>
      </c>
      <c r="FK31" s="546">
        <f>+FI31*$H$8</f>
        <v>0</v>
      </c>
      <c r="FL31" s="544"/>
      <c r="FM31" s="545">
        <f>+FL31/$E31</f>
        <v>0</v>
      </c>
      <c r="FN31" s="546">
        <f>+FL31*$H$8</f>
        <v>0</v>
      </c>
      <c r="FO31" s="544"/>
      <c r="FP31" s="545">
        <f>+FO31/$E31</f>
        <v>0</v>
      </c>
      <c r="FQ31" s="546">
        <f>+FO31*$H$8</f>
        <v>0</v>
      </c>
      <c r="FR31" s="544"/>
      <c r="FS31" s="545">
        <f>+FR31/$E31</f>
        <v>0</v>
      </c>
      <c r="FT31" s="546">
        <f>+FR31*$H$8</f>
        <v>0</v>
      </c>
      <c r="FU31" s="544"/>
      <c r="FV31" s="545">
        <f>+FU31/$E31</f>
        <v>0</v>
      </c>
      <c r="FW31" s="546">
        <f>+FU31*$H$8</f>
        <v>0</v>
      </c>
      <c r="FX31" s="544"/>
      <c r="FY31" s="545">
        <f>+FX31/$E31</f>
        <v>0</v>
      </c>
      <c r="FZ31" s="546">
        <f>+FX31*$H$8</f>
        <v>0</v>
      </c>
      <c r="GA31" s="544"/>
      <c r="GB31" s="545">
        <f>+GA31/$E31</f>
        <v>0</v>
      </c>
      <c r="GC31" s="546">
        <f>+GA31*$H$8</f>
        <v>0</v>
      </c>
      <c r="GD31" s="544"/>
      <c r="GE31" s="545">
        <f>+GD31/$E31</f>
        <v>0</v>
      </c>
      <c r="GF31" s="546">
        <f>+GD31*$H$8</f>
        <v>0</v>
      </c>
      <c r="GG31" s="544">
        <v>15.922171598963844</v>
      </c>
      <c r="GH31" s="545">
        <f>+GG31/$E31</f>
        <v>0.2101881349530553</v>
      </c>
      <c r="GI31" s="546">
        <f>+GG31*$H$8</f>
        <v>0</v>
      </c>
      <c r="GJ31" s="544">
        <v>15.922171598963844</v>
      </c>
      <c r="GK31" s="545">
        <f t="shared" si="210"/>
        <v>0.2101881349530553</v>
      </c>
      <c r="GL31" s="546">
        <f t="shared" si="211"/>
        <v>0</v>
      </c>
      <c r="GM31" s="544">
        <v>0</v>
      </c>
      <c r="GN31" s="545">
        <f t="shared" si="201"/>
        <v>0</v>
      </c>
      <c r="GO31" s="546">
        <f t="shared" si="202"/>
        <v>0</v>
      </c>
      <c r="GP31" s="544">
        <v>44.582080477098764</v>
      </c>
      <c r="GQ31" s="545">
        <f t="shared" si="203"/>
        <v>0.5885267778685549</v>
      </c>
      <c r="GR31" s="546">
        <f t="shared" si="204"/>
        <v>0</v>
      </c>
      <c r="GS31" s="544">
        <v>222.91040238549382</v>
      </c>
      <c r="GT31" s="545">
        <f t="shared" si="205"/>
        <v>2.9426338893427744</v>
      </c>
      <c r="GU31" s="546">
        <f t="shared" si="206"/>
        <v>0</v>
      </c>
      <c r="GV31" s="544">
        <v>44.582080477098764</v>
      </c>
      <c r="GW31" s="545">
        <f t="shared" si="207"/>
        <v>0.5885267778685549</v>
      </c>
      <c r="GX31" s="546">
        <f t="shared" si="208"/>
        <v>0</v>
      </c>
      <c r="GY31" s="544"/>
      <c r="GZ31" s="545">
        <f t="shared" si="209"/>
        <v>0</v>
      </c>
      <c r="HA31" s="546">
        <f>+GY31*$H$8</f>
        <v>0</v>
      </c>
      <c r="HB31" s="544"/>
      <c r="HC31" s="545">
        <f>+HB31/$E31</f>
        <v>0</v>
      </c>
      <c r="HD31" s="546">
        <f>+HB31*$H$8</f>
        <v>0</v>
      </c>
      <c r="HE31" s="544"/>
      <c r="HF31" s="545">
        <f>+HE31/$E31</f>
        <v>0</v>
      </c>
      <c r="HG31" s="546">
        <f>+HE31*$H$8</f>
        <v>0</v>
      </c>
      <c r="HH31" s="544"/>
      <c r="HI31" s="545">
        <f>+HH31/$E31</f>
        <v>0</v>
      </c>
      <c r="HJ31" s="546">
        <f>+HH31*$H$8</f>
        <v>0</v>
      </c>
      <c r="HK31" s="544"/>
      <c r="HL31" s="545">
        <f>+HK31/$E31</f>
        <v>0</v>
      </c>
      <c r="HM31" s="546">
        <f>+HK31*$H$8</f>
        <v>0</v>
      </c>
      <c r="HN31" s="544">
        <v>722.23</v>
      </c>
      <c r="HO31" s="545">
        <f>+HN31/$E31</f>
        <v>9.5341377125356441</v>
      </c>
      <c r="HP31" s="546">
        <f>+HN31*$H$8</f>
        <v>0</v>
      </c>
      <c r="HQ31" s="544"/>
      <c r="HR31" s="545">
        <f>+HQ31/$E31</f>
        <v>0</v>
      </c>
      <c r="HS31" s="546">
        <f>+HQ31*$H$8</f>
        <v>0</v>
      </c>
      <c r="HT31" s="544">
        <v>0</v>
      </c>
      <c r="HU31" s="545">
        <f>+HT31/$E31</f>
        <v>0</v>
      </c>
      <c r="HV31" s="546">
        <f>+HT31*$H$8</f>
        <v>0</v>
      </c>
      <c r="HW31" s="544">
        <v>0</v>
      </c>
      <c r="HX31" s="545">
        <f>+HW31/$E31</f>
        <v>0</v>
      </c>
      <c r="HY31" s="546">
        <f>+HW31*$H$8</f>
        <v>0</v>
      </c>
      <c r="HZ31" s="544">
        <v>0</v>
      </c>
      <c r="IA31" s="545">
        <f>+HZ31/$E31</f>
        <v>0</v>
      </c>
      <c r="IB31" s="546">
        <f>+HZ31*$H$8</f>
        <v>0</v>
      </c>
      <c r="IC31" s="544">
        <v>0</v>
      </c>
      <c r="ID31" s="545">
        <f>+IC31/$E31</f>
        <v>0</v>
      </c>
      <c r="IE31" s="546">
        <f>+IC31*$H$8</f>
        <v>0</v>
      </c>
      <c r="IF31" s="544">
        <v>19.106605918756614</v>
      </c>
      <c r="IG31" s="545">
        <f>+IF31/$E31</f>
        <v>0.25222576194366636</v>
      </c>
      <c r="IH31" s="546">
        <f>+IF31*$H$8</f>
        <v>0</v>
      </c>
      <c r="II31" s="544"/>
      <c r="IJ31" s="545">
        <f>+II31/$E31</f>
        <v>0</v>
      </c>
      <c r="IK31" s="546">
        <f>+II31*$H$8</f>
        <v>0</v>
      </c>
      <c r="IL31" s="544"/>
      <c r="IM31" s="545">
        <f>+IL31/$E31</f>
        <v>0</v>
      </c>
      <c r="IN31" s="546">
        <f>+IL31*$H$8</f>
        <v>0</v>
      </c>
      <c r="IO31" s="544">
        <v>85.979726634404756</v>
      </c>
      <c r="IP31" s="545">
        <f>+IO31/$E31</f>
        <v>1.1350159287464985</v>
      </c>
      <c r="IQ31" s="546">
        <f>+IO31*$H$8</f>
        <v>0</v>
      </c>
      <c r="IR31" s="544">
        <v>0</v>
      </c>
      <c r="IS31" s="545">
        <f>+IR31/$E31</f>
        <v>0</v>
      </c>
      <c r="IT31" s="546">
        <f>+IR31*$H$8</f>
        <v>0</v>
      </c>
      <c r="IU31" s="544"/>
      <c r="IV31" s="545">
        <f>+IU31/$E31</f>
        <v>0</v>
      </c>
      <c r="IW31" s="546">
        <f>+IU31*$H$8</f>
        <v>0</v>
      </c>
      <c r="IX31" s="544">
        <v>0</v>
      </c>
      <c r="IY31" s="545">
        <f>+IX31/$E31</f>
        <v>0</v>
      </c>
      <c r="IZ31" s="546">
        <f>+IX31*$H$8</f>
        <v>0</v>
      </c>
      <c r="JA31" s="544"/>
      <c r="JB31" s="545">
        <f>+JA31/$E31</f>
        <v>0</v>
      </c>
      <c r="JC31" s="546">
        <f>+JA31*$H$8</f>
        <v>0</v>
      </c>
      <c r="JD31" s="544"/>
      <c r="JE31" s="545">
        <f>+JD31/$E31</f>
        <v>0</v>
      </c>
      <c r="JF31" s="546">
        <f>+JD31*$H$8</f>
        <v>0</v>
      </c>
      <c r="JG31" s="544">
        <v>35.028777517720457</v>
      </c>
      <c r="JH31" s="546" t="str">
        <f>IFERROR((JG31/$L31),"0")</f>
        <v>0</v>
      </c>
      <c r="JI31" s="546" t="str">
        <f>IFERROR(((JG31*JI$8)/$L31),"0")</f>
        <v>0</v>
      </c>
      <c r="JJ31" s="544">
        <v>12.737737279171075</v>
      </c>
      <c r="JK31" s="546" t="str">
        <f>IFERROR((JJ31/$L31),"0")</f>
        <v>0</v>
      </c>
      <c r="JL31" s="546" t="str">
        <f>IFERROR(((JJ31*JL$8)/$L31),"0")</f>
        <v>0</v>
      </c>
      <c r="JM31" s="544">
        <v>0</v>
      </c>
      <c r="JN31" s="546" t="str">
        <f>IFERROR((JM31/$L31),"0")</f>
        <v>0</v>
      </c>
      <c r="JO31" s="546" t="str">
        <f>IFERROR(((JM31*JO$8)/$L31),"0")</f>
        <v>0</v>
      </c>
      <c r="JP31" s="544"/>
      <c r="JQ31" s="546" t="str">
        <f>IFERROR((JP31/$L31),"0")</f>
        <v>0</v>
      </c>
      <c r="JR31" s="546" t="str">
        <f>IFERROR(((JP31*JR$8)/$L31),"0")</f>
        <v>0</v>
      </c>
      <c r="JS31" s="544"/>
      <c r="JT31" s="546" t="str">
        <f>IFERROR((JS31/$L31),"0")</f>
        <v>0</v>
      </c>
      <c r="JU31" s="546" t="str">
        <f>IFERROR(((JS31*JU$8)/$L31),"0")</f>
        <v>0</v>
      </c>
      <c r="JV31" s="544"/>
      <c r="JW31" s="546" t="str">
        <f>IFERROR((JV31/$L31),"0")</f>
        <v>0</v>
      </c>
      <c r="JX31" s="546" t="str">
        <f>IFERROR(((JV31*JX$8)/$L31),"0")</f>
        <v>0</v>
      </c>
      <c r="JY31" s="544"/>
      <c r="JZ31" s="546" t="str">
        <f>IFERROR((JY31/$L31),"0")</f>
        <v>0</v>
      </c>
      <c r="KA31" s="546" t="str">
        <f>IFERROR(((JY31*KA$8)/$L31),"0")</f>
        <v>0</v>
      </c>
      <c r="KB31" s="544"/>
      <c r="KC31" s="546" t="str">
        <f>IFERROR((KB31/$L31),"0")</f>
        <v>0</v>
      </c>
      <c r="KD31" s="546" t="str">
        <f>IFERROR(((KB31*KD$8)/$L31),"0")</f>
        <v>0</v>
      </c>
      <c r="KE31" s="544"/>
      <c r="KF31" s="546" t="str">
        <f>IFERROR((KE31/$L31),"0")</f>
        <v>0</v>
      </c>
      <c r="KG31" s="546" t="str">
        <f>IFERROR(((KE31*KG$8)/$L31),"0")</f>
        <v>0</v>
      </c>
      <c r="KH31" s="544"/>
      <c r="KI31" s="546" t="str">
        <f>IFERROR((KH31/$L31),"0")</f>
        <v>0</v>
      </c>
      <c r="KJ31" s="546" t="str">
        <f>IFERROR(((KH31*KJ$8)/$L31),"0")</f>
        <v>0</v>
      </c>
      <c r="KK31" s="544"/>
      <c r="KL31" s="546" t="str">
        <f>IFERROR((KK31/$L31),"0")</f>
        <v>0</v>
      </c>
      <c r="KM31" s="546" t="str">
        <f>IFERROR(((KK31*KM$8)/$L31),"0")</f>
        <v>0</v>
      </c>
      <c r="KN31" s="544"/>
      <c r="KO31" s="546" t="str">
        <f>IFERROR((KN31/$L31),"0")</f>
        <v>0</v>
      </c>
      <c r="KP31" s="546" t="str">
        <f>IFERROR(((KN31*KP$8)/$L31),"0")</f>
        <v>0</v>
      </c>
      <c r="KQ31" s="546">
        <f>H31+K31+N31+Q31+T31+W31+Z31+AC31+AF31+AI31+AL31+AO31+AR31+AU31+AX31+BA31+BD31+BG31+BJ31+BM31+BP31+BS31+BV31+BY31+CB31+CE31+CH31+CK31+CN31+CQ31+CT31+CW31+CZ31+DC31+DF31+DI31+DL31+DO31+DR31+DU31+DX31+EA31+ED31+EG31+EJ31+EM31+EP31+ES31+EV31+EY31+FB31+FE31+FH31+FK31+FN31+FQ31+FT31+FW31+FZ31+GC31</f>
        <v>0</v>
      </c>
      <c r="KR31" s="546">
        <f>GF31+GI31+GL31+GO31+GR31+GU31+GX31+HA31+HD31+HG31+HJ31+HM31+HP31+HS31+HV31+HY31+IB31+IE31+IH31+IK31+IN31+IQ31+IT31+IW31+IZ31+JC31+JF31+JI31+JL31+JO31+JR31+JU31++JX31+KA31+KD31+KG31++KJ31+KM31+KP31</f>
        <v>0</v>
      </c>
      <c r="KS31" s="265">
        <f>+F31+I31+L31+O31+R31+U31+X31+AA31+AD31+AG31+AJ31+AM31+AP31+AS31+AV31+AY31+BB31+BE31+BH31+BK31+BN31+BQ31+BT31+BW31+BZ31+CC31+CF31+CI31+CL31+CO31+CR31+CU31+CX31+DA31+DD31+DJ31+DM31+DP31+DS31+DV31+DY31+EB31+GG31+GJ31+GM31+GP31+GS31+HN31+IF31+IO31+GV31+IR31++HT31+HW31+HZ31+IC31+IX31+JG31+JJ31+HB31+EE31+GD31+EH31+JM31+JP31+JS31</f>
        <v>2669.8481637933155</v>
      </c>
    </row>
    <row r="32" spans="1:305" ht="15" customHeight="1">
      <c r="A32" s="267">
        <f>+Report1!A32</f>
        <v>46015</v>
      </c>
      <c r="B32" s="268" t="str">
        <f>+Report1!B32</f>
        <v>Towel</v>
      </c>
      <c r="C32" s="268" t="str">
        <f>+Report1!C32</f>
        <v>34/35,5</v>
      </c>
      <c r="D32" s="269">
        <f>+Report1!P32</f>
        <v>74.287999999999997</v>
      </c>
      <c r="E32" s="270">
        <f>+Report1!R32</f>
        <v>75.150999999999996</v>
      </c>
      <c r="F32" s="544">
        <v>197.67441860465112</v>
      </c>
      <c r="G32" s="545">
        <f t="shared" si="0"/>
        <v>2.6303631169864823</v>
      </c>
      <c r="H32" s="546">
        <f t="shared" si="112"/>
        <v>0</v>
      </c>
      <c r="I32" s="544"/>
      <c r="J32" s="545">
        <f t="shared" si="1"/>
        <v>0</v>
      </c>
      <c r="K32" s="546">
        <f t="shared" si="113"/>
        <v>0</v>
      </c>
      <c r="L32" s="544"/>
      <c r="M32" s="545">
        <f t="shared" si="2"/>
        <v>0</v>
      </c>
      <c r="N32" s="546">
        <f t="shared" si="114"/>
        <v>0</v>
      </c>
      <c r="O32" s="544">
        <v>11.999999999999972</v>
      </c>
      <c r="P32" s="545">
        <f t="shared" si="3"/>
        <v>0.15967851392529669</v>
      </c>
      <c r="Q32" s="546">
        <f t="shared" si="115"/>
        <v>0</v>
      </c>
      <c r="R32" s="544"/>
      <c r="S32" s="545">
        <f t="shared" si="4"/>
        <v>0</v>
      </c>
      <c r="T32" s="546">
        <f t="shared" si="116"/>
        <v>0</v>
      </c>
      <c r="U32" s="544">
        <v>10.249999999999943</v>
      </c>
      <c r="V32" s="545">
        <f t="shared" si="5"/>
        <v>0.13639206397785716</v>
      </c>
      <c r="W32" s="546">
        <f t="shared" si="117"/>
        <v>0</v>
      </c>
      <c r="X32" s="544"/>
      <c r="Y32" s="545">
        <f t="shared" si="6"/>
        <v>0</v>
      </c>
      <c r="Z32" s="546">
        <f t="shared" si="118"/>
        <v>0</v>
      </c>
      <c r="AA32" s="544"/>
      <c r="AB32" s="545">
        <f t="shared" si="7"/>
        <v>0</v>
      </c>
      <c r="AC32" s="546">
        <f t="shared" si="119"/>
        <v>0</v>
      </c>
      <c r="AD32" s="544"/>
      <c r="AE32" s="545">
        <f t="shared" si="8"/>
        <v>0</v>
      </c>
      <c r="AF32" s="546">
        <f t="shared" si="120"/>
        <v>0</v>
      </c>
      <c r="AG32" s="544"/>
      <c r="AH32" s="545">
        <f t="shared" si="9"/>
        <v>0</v>
      </c>
      <c r="AI32" s="546">
        <f t="shared" si="121"/>
        <v>0</v>
      </c>
      <c r="AJ32" s="544"/>
      <c r="AK32" s="545">
        <f t="shared" si="10"/>
        <v>0</v>
      </c>
      <c r="AL32" s="546">
        <f t="shared" si="122"/>
        <v>0</v>
      </c>
      <c r="AM32" s="544">
        <v>24.967948717948758</v>
      </c>
      <c r="AN32" s="545">
        <f t="shared" si="11"/>
        <v>0.33223707892042365</v>
      </c>
      <c r="AO32" s="546">
        <f t="shared" si="123"/>
        <v>0</v>
      </c>
      <c r="AP32" s="544"/>
      <c r="AQ32" s="545">
        <f t="shared" si="12"/>
        <v>0</v>
      </c>
      <c r="AR32" s="546">
        <f t="shared" si="124"/>
        <v>0</v>
      </c>
      <c r="AS32" s="544"/>
      <c r="AT32" s="545">
        <f t="shared" si="13"/>
        <v>0</v>
      </c>
      <c r="AU32" s="546">
        <f t="shared" si="125"/>
        <v>0</v>
      </c>
      <c r="AV32" s="544">
        <v>0</v>
      </c>
      <c r="AW32" s="545">
        <f t="shared" si="14"/>
        <v>0</v>
      </c>
      <c r="AX32" s="546">
        <f t="shared" si="126"/>
        <v>0</v>
      </c>
      <c r="AY32" s="544">
        <v>30.333333333333343</v>
      </c>
      <c r="AZ32" s="545">
        <f t="shared" si="15"/>
        <v>0.40363179908894553</v>
      </c>
      <c r="BA32" s="546">
        <f t="shared" si="127"/>
        <v>0</v>
      </c>
      <c r="BB32" s="544"/>
      <c r="BC32" s="545">
        <f t="shared" si="16"/>
        <v>0</v>
      </c>
      <c r="BD32" s="546">
        <f t="shared" si="128"/>
        <v>0</v>
      </c>
      <c r="BE32" s="544"/>
      <c r="BF32" s="545">
        <f t="shared" si="17"/>
        <v>0</v>
      </c>
      <c r="BG32" s="546">
        <f t="shared" si="129"/>
        <v>0</v>
      </c>
      <c r="BH32" s="544"/>
      <c r="BI32" s="545">
        <f t="shared" si="18"/>
        <v>0</v>
      </c>
      <c r="BJ32" s="546">
        <f t="shared" si="130"/>
        <v>0</v>
      </c>
      <c r="BK32" s="544"/>
      <c r="BL32" s="545">
        <f t="shared" si="19"/>
        <v>0</v>
      </c>
      <c r="BM32" s="546">
        <f t="shared" si="131"/>
        <v>0</v>
      </c>
      <c r="BN32" s="544"/>
      <c r="BO32" s="545">
        <f t="shared" si="20"/>
        <v>0</v>
      </c>
      <c r="BP32" s="546">
        <f t="shared" si="132"/>
        <v>0</v>
      </c>
      <c r="BQ32" s="544"/>
      <c r="BR32" s="545">
        <f t="shared" si="21"/>
        <v>0</v>
      </c>
      <c r="BS32" s="546">
        <f t="shared" si="133"/>
        <v>0</v>
      </c>
      <c r="BT32" s="544"/>
      <c r="BU32" s="545">
        <f t="shared" si="22"/>
        <v>0</v>
      </c>
      <c r="BV32" s="546">
        <f t="shared" si="134"/>
        <v>0</v>
      </c>
      <c r="BW32" s="544"/>
      <c r="BX32" s="545">
        <f t="shared" si="23"/>
        <v>0</v>
      </c>
      <c r="BY32" s="546">
        <f t="shared" si="135"/>
        <v>0</v>
      </c>
      <c r="BZ32" s="544">
        <v>0</v>
      </c>
      <c r="CA32" s="545">
        <f t="shared" si="24"/>
        <v>0</v>
      </c>
      <c r="CB32" s="546">
        <f t="shared" si="136"/>
        <v>0</v>
      </c>
      <c r="CC32" s="544">
        <v>15.625</v>
      </c>
      <c r="CD32" s="545">
        <f t="shared" si="25"/>
        <v>0.20791473167356389</v>
      </c>
      <c r="CE32" s="546">
        <f t="shared" si="137"/>
        <v>0</v>
      </c>
      <c r="CF32" s="544">
        <v>1.1999999999999993</v>
      </c>
      <c r="CG32" s="545">
        <f t="shared" si="26"/>
        <v>1.5967851392529698E-2</v>
      </c>
      <c r="CH32" s="546">
        <f t="shared" si="138"/>
        <v>0</v>
      </c>
      <c r="CI32" s="544"/>
      <c r="CJ32" s="545">
        <f t="shared" si="27"/>
        <v>0</v>
      </c>
      <c r="CK32" s="546">
        <f t="shared" si="139"/>
        <v>0</v>
      </c>
      <c r="CL32" s="544"/>
      <c r="CM32" s="545">
        <f t="shared" si="28"/>
        <v>0</v>
      </c>
      <c r="CN32" s="546">
        <f t="shared" si="140"/>
        <v>0</v>
      </c>
      <c r="CO32" s="544"/>
      <c r="CP32" s="545">
        <f t="shared" si="29"/>
        <v>0</v>
      </c>
      <c r="CQ32" s="546">
        <f t="shared" si="141"/>
        <v>0</v>
      </c>
      <c r="CR32" s="544"/>
      <c r="CS32" s="545">
        <f t="shared" si="30"/>
        <v>0</v>
      </c>
      <c r="CT32" s="546">
        <f t="shared" si="142"/>
        <v>0</v>
      </c>
      <c r="CU32" s="544"/>
      <c r="CV32" s="545">
        <f t="shared" si="31"/>
        <v>0</v>
      </c>
      <c r="CW32" s="546">
        <f t="shared" si="143"/>
        <v>0</v>
      </c>
      <c r="CX32" s="544"/>
      <c r="CY32" s="545">
        <f t="shared" si="32"/>
        <v>0</v>
      </c>
      <c r="CZ32" s="546">
        <f t="shared" si="144"/>
        <v>0</v>
      </c>
      <c r="DA32" s="544">
        <v>0</v>
      </c>
      <c r="DB32" s="545">
        <f t="shared" si="33"/>
        <v>0</v>
      </c>
      <c r="DC32" s="546">
        <f t="shared" si="145"/>
        <v>0</v>
      </c>
      <c r="DD32" s="544"/>
      <c r="DE32" s="545">
        <f t="shared" si="34"/>
        <v>0</v>
      </c>
      <c r="DF32" s="546">
        <f t="shared" si="146"/>
        <v>0</v>
      </c>
      <c r="DG32" s="544"/>
      <c r="DH32" s="545">
        <f t="shared" si="35"/>
        <v>0</v>
      </c>
      <c r="DI32" s="546">
        <f t="shared" si="200"/>
        <v>0</v>
      </c>
      <c r="DJ32" s="544"/>
      <c r="DK32" s="545">
        <f t="shared" si="36"/>
        <v>0</v>
      </c>
      <c r="DL32" s="546">
        <f t="shared" si="147"/>
        <v>0</v>
      </c>
      <c r="DM32" s="544"/>
      <c r="DN32" s="545">
        <f t="shared" si="37"/>
        <v>0</v>
      </c>
      <c r="DO32" s="546">
        <f t="shared" si="148"/>
        <v>0</v>
      </c>
      <c r="DP32" s="544"/>
      <c r="DQ32" s="545">
        <f t="shared" si="38"/>
        <v>0</v>
      </c>
      <c r="DR32" s="546">
        <f t="shared" si="149"/>
        <v>0</v>
      </c>
      <c r="DS32" s="544"/>
      <c r="DT32" s="545">
        <f t="shared" si="39"/>
        <v>0</v>
      </c>
      <c r="DU32" s="546">
        <f t="shared" si="150"/>
        <v>0</v>
      </c>
      <c r="DV32" s="544"/>
      <c r="DW32" s="545">
        <f t="shared" si="40"/>
        <v>0</v>
      </c>
      <c r="DX32" s="546">
        <f t="shared" si="151"/>
        <v>0</v>
      </c>
      <c r="DY32" s="544"/>
      <c r="DZ32" s="545">
        <f t="shared" si="41"/>
        <v>0</v>
      </c>
      <c r="EA32" s="546">
        <f t="shared" si="152"/>
        <v>0</v>
      </c>
      <c r="EB32" s="544">
        <v>1329.4117647058827</v>
      </c>
      <c r="EC32" s="545">
        <f t="shared" si="42"/>
        <v>17.689874581920172</v>
      </c>
      <c r="ED32" s="546">
        <f t="shared" si="153"/>
        <v>0</v>
      </c>
      <c r="EE32" s="544">
        <v>14.534883720930281</v>
      </c>
      <c r="EF32" s="545">
        <f t="shared" si="43"/>
        <v>0.19340905271959496</v>
      </c>
      <c r="EG32" s="546">
        <f t="shared" si="154"/>
        <v>0</v>
      </c>
      <c r="EH32" s="544">
        <v>0</v>
      </c>
      <c r="EI32" s="545">
        <f t="shared" si="44"/>
        <v>0</v>
      </c>
      <c r="EJ32" s="546">
        <f t="shared" si="155"/>
        <v>0</v>
      </c>
      <c r="EK32" s="544"/>
      <c r="EL32" s="545">
        <f t="shared" si="45"/>
        <v>0</v>
      </c>
      <c r="EM32" s="546">
        <f t="shared" si="156"/>
        <v>0</v>
      </c>
      <c r="EN32" s="544"/>
      <c r="EO32" s="545">
        <f t="shared" si="46"/>
        <v>0</v>
      </c>
      <c r="EP32" s="546">
        <f t="shared" si="157"/>
        <v>0</v>
      </c>
      <c r="EQ32" s="544"/>
      <c r="ER32" s="545">
        <f t="shared" si="47"/>
        <v>0</v>
      </c>
      <c r="ES32" s="546">
        <f t="shared" si="158"/>
        <v>0</v>
      </c>
      <c r="ET32" s="544"/>
      <c r="EU32" s="545">
        <f t="shared" si="48"/>
        <v>0</v>
      </c>
      <c r="EV32" s="546">
        <f t="shared" si="159"/>
        <v>0</v>
      </c>
      <c r="EW32" s="544"/>
      <c r="EX32" s="545">
        <f t="shared" si="49"/>
        <v>0</v>
      </c>
      <c r="EY32" s="546">
        <f t="shared" si="160"/>
        <v>0</v>
      </c>
      <c r="EZ32" s="544"/>
      <c r="FA32" s="545">
        <f t="shared" si="50"/>
        <v>0</v>
      </c>
      <c r="FB32" s="546">
        <f t="shared" si="161"/>
        <v>0</v>
      </c>
      <c r="FC32" s="544"/>
      <c r="FD32" s="545">
        <f t="shared" si="51"/>
        <v>0</v>
      </c>
      <c r="FE32" s="546">
        <f t="shared" si="162"/>
        <v>0</v>
      </c>
      <c r="FF32" s="544"/>
      <c r="FG32" s="545">
        <f t="shared" si="52"/>
        <v>0</v>
      </c>
      <c r="FH32" s="546">
        <f t="shared" si="163"/>
        <v>0</v>
      </c>
      <c r="FI32" s="544"/>
      <c r="FJ32" s="545">
        <f t="shared" si="53"/>
        <v>0</v>
      </c>
      <c r="FK32" s="546">
        <f t="shared" si="164"/>
        <v>0</v>
      </c>
      <c r="FL32" s="544"/>
      <c r="FM32" s="545">
        <f t="shared" si="54"/>
        <v>0</v>
      </c>
      <c r="FN32" s="546">
        <f t="shared" si="165"/>
        <v>0</v>
      </c>
      <c r="FO32" s="544"/>
      <c r="FP32" s="545">
        <f t="shared" si="55"/>
        <v>0</v>
      </c>
      <c r="FQ32" s="546">
        <f t="shared" si="166"/>
        <v>0</v>
      </c>
      <c r="FR32" s="544"/>
      <c r="FS32" s="545">
        <f t="shared" si="56"/>
        <v>0</v>
      </c>
      <c r="FT32" s="546">
        <f t="shared" si="167"/>
        <v>0</v>
      </c>
      <c r="FU32" s="544"/>
      <c r="FV32" s="545">
        <f t="shared" si="57"/>
        <v>0</v>
      </c>
      <c r="FW32" s="546">
        <f t="shared" si="168"/>
        <v>0</v>
      </c>
      <c r="FX32" s="544"/>
      <c r="FY32" s="545">
        <f t="shared" si="58"/>
        <v>0</v>
      </c>
      <c r="FZ32" s="546">
        <f t="shared" si="169"/>
        <v>0</v>
      </c>
      <c r="GA32" s="544"/>
      <c r="GB32" s="545">
        <f t="shared" si="59"/>
        <v>0</v>
      </c>
      <c r="GC32" s="546">
        <f t="shared" si="170"/>
        <v>0</v>
      </c>
      <c r="GD32" s="544"/>
      <c r="GE32" s="545">
        <f t="shared" si="60"/>
        <v>0</v>
      </c>
      <c r="GF32" s="546">
        <f t="shared" si="171"/>
        <v>0</v>
      </c>
      <c r="GG32" s="544">
        <v>15.593226031250262</v>
      </c>
      <c r="GH32" s="545">
        <f t="shared" si="61"/>
        <v>0.20749192999760832</v>
      </c>
      <c r="GI32" s="546">
        <f t="shared" si="172"/>
        <v>0</v>
      </c>
      <c r="GJ32" s="544">
        <v>15.593226031250262</v>
      </c>
      <c r="GK32" s="545">
        <f t="shared" si="210"/>
        <v>0.20749192999760832</v>
      </c>
      <c r="GL32" s="546">
        <f t="shared" si="211"/>
        <v>0</v>
      </c>
      <c r="GM32" s="544">
        <v>0</v>
      </c>
      <c r="GN32" s="545">
        <f t="shared" si="201"/>
        <v>0</v>
      </c>
      <c r="GO32" s="546">
        <f t="shared" si="202"/>
        <v>0</v>
      </c>
      <c r="GP32" s="544">
        <v>43.661032887500738</v>
      </c>
      <c r="GQ32" s="545">
        <f t="shared" si="203"/>
        <v>0.58097740399330333</v>
      </c>
      <c r="GR32" s="546">
        <f t="shared" si="204"/>
        <v>0</v>
      </c>
      <c r="GS32" s="544">
        <v>218.30516443750366</v>
      </c>
      <c r="GT32" s="545">
        <f t="shared" si="205"/>
        <v>2.9048870199665164</v>
      </c>
      <c r="GU32" s="546">
        <f t="shared" si="206"/>
        <v>0</v>
      </c>
      <c r="GV32" s="544">
        <v>49.89832330000084</v>
      </c>
      <c r="GW32" s="545">
        <f t="shared" si="207"/>
        <v>0.66397417599234665</v>
      </c>
      <c r="GX32" s="546">
        <f t="shared" si="208"/>
        <v>0</v>
      </c>
      <c r="GY32" s="544"/>
      <c r="GZ32" s="545">
        <f t="shared" si="209"/>
        <v>0</v>
      </c>
      <c r="HA32" s="546">
        <f>+GY32*$H$8</f>
        <v>0</v>
      </c>
      <c r="HB32" s="544"/>
      <c r="HC32" s="545">
        <f>+HB32/$E32</f>
        <v>0</v>
      </c>
      <c r="HD32" s="546">
        <f>+HB32*$H$8</f>
        <v>0</v>
      </c>
      <c r="HE32" s="544"/>
      <c r="HF32" s="545">
        <f>+HE32/$E32</f>
        <v>0</v>
      </c>
      <c r="HG32" s="546">
        <f>+HE32*$H$8</f>
        <v>0</v>
      </c>
      <c r="HH32" s="544"/>
      <c r="HI32" s="545">
        <f>+HH32/$E32</f>
        <v>0</v>
      </c>
      <c r="HJ32" s="546">
        <f>+HH32*$H$8</f>
        <v>0</v>
      </c>
      <c r="HK32" s="544"/>
      <c r="HL32" s="545">
        <f>+HK32/$E32</f>
        <v>0</v>
      </c>
      <c r="HM32" s="546">
        <f t="shared" si="182"/>
        <v>0</v>
      </c>
      <c r="HN32" s="544">
        <v>707.30873277751186</v>
      </c>
      <c r="HO32" s="545">
        <f t="shared" si="72"/>
        <v>9.4118339446915122</v>
      </c>
      <c r="HP32" s="546">
        <f t="shared" si="183"/>
        <v>0</v>
      </c>
      <c r="HQ32" s="544"/>
      <c r="HR32" s="545">
        <f t="shared" si="73"/>
        <v>0</v>
      </c>
      <c r="HS32" s="546">
        <f t="shared" si="184"/>
        <v>0</v>
      </c>
      <c r="HT32" s="544">
        <v>0</v>
      </c>
      <c r="HU32" s="545">
        <f t="shared" si="74"/>
        <v>0</v>
      </c>
      <c r="HV32" s="546">
        <f t="shared" si="185"/>
        <v>0</v>
      </c>
      <c r="HW32" s="544">
        <v>0</v>
      </c>
      <c r="HX32" s="545">
        <f t="shared" si="75"/>
        <v>0</v>
      </c>
      <c r="HY32" s="546">
        <f t="shared" si="186"/>
        <v>0</v>
      </c>
      <c r="HZ32" s="544">
        <v>0</v>
      </c>
      <c r="IA32" s="545">
        <f t="shared" si="76"/>
        <v>0</v>
      </c>
      <c r="IB32" s="546">
        <f t="shared" si="187"/>
        <v>0</v>
      </c>
      <c r="IC32" s="544">
        <v>0</v>
      </c>
      <c r="ID32" s="545">
        <f t="shared" si="77"/>
        <v>0</v>
      </c>
      <c r="IE32" s="546">
        <f t="shared" si="188"/>
        <v>0</v>
      </c>
      <c r="IF32" s="544">
        <v>31.186452062500525</v>
      </c>
      <c r="IG32" s="545">
        <f t="shared" si="78"/>
        <v>0.41498385999521664</v>
      </c>
      <c r="IH32" s="546">
        <f t="shared" si="189"/>
        <v>0</v>
      </c>
      <c r="II32" s="544"/>
      <c r="IJ32" s="545">
        <f t="shared" si="79"/>
        <v>0</v>
      </c>
      <c r="IK32" s="546">
        <f t="shared" si="190"/>
        <v>0</v>
      </c>
      <c r="IL32" s="544"/>
      <c r="IM32" s="545">
        <f t="shared" si="80"/>
        <v>0</v>
      </c>
      <c r="IN32" s="546">
        <f t="shared" si="191"/>
        <v>0</v>
      </c>
      <c r="IO32" s="544">
        <v>71.728839743751209</v>
      </c>
      <c r="IP32" s="545">
        <f t="shared" si="81"/>
        <v>0.95446287798899832</v>
      </c>
      <c r="IQ32" s="546">
        <f t="shared" si="192"/>
        <v>0</v>
      </c>
      <c r="IR32" s="544">
        <v>0</v>
      </c>
      <c r="IS32" s="545">
        <f t="shared" si="82"/>
        <v>0</v>
      </c>
      <c r="IT32" s="546">
        <f t="shared" si="193"/>
        <v>0</v>
      </c>
      <c r="IU32" s="544"/>
      <c r="IV32" s="545">
        <f t="shared" si="83"/>
        <v>0</v>
      </c>
      <c r="IW32" s="546">
        <f t="shared" si="194"/>
        <v>0</v>
      </c>
      <c r="IX32" s="544">
        <v>0</v>
      </c>
      <c r="IY32" s="545">
        <f t="shared" si="84"/>
        <v>0</v>
      </c>
      <c r="IZ32" s="546">
        <f t="shared" si="195"/>
        <v>0</v>
      </c>
      <c r="JA32" s="544"/>
      <c r="JB32" s="545">
        <f t="shared" si="85"/>
        <v>0</v>
      </c>
      <c r="JC32" s="546">
        <f t="shared" si="196"/>
        <v>0</v>
      </c>
      <c r="JD32" s="544"/>
      <c r="JE32" s="545">
        <f t="shared" si="86"/>
        <v>0</v>
      </c>
      <c r="JF32" s="546">
        <f t="shared" si="197"/>
        <v>0</v>
      </c>
      <c r="JG32" s="544">
        <v>31.186452062500525</v>
      </c>
      <c r="JH32" s="546" t="str">
        <f t="shared" si="87"/>
        <v>0</v>
      </c>
      <c r="JI32" s="546" t="str">
        <f t="shared" si="88"/>
        <v>0</v>
      </c>
      <c r="JJ32" s="544">
        <v>6.237290412500105</v>
      </c>
      <c r="JK32" s="546" t="str">
        <f t="shared" si="89"/>
        <v>0</v>
      </c>
      <c r="JL32" s="546" t="str">
        <f t="shared" si="90"/>
        <v>0</v>
      </c>
      <c r="JM32" s="544">
        <v>0</v>
      </c>
      <c r="JN32" s="546" t="str">
        <f t="shared" si="91"/>
        <v>0</v>
      </c>
      <c r="JO32" s="546" t="str">
        <f t="shared" si="92"/>
        <v>0</v>
      </c>
      <c r="JP32" s="544"/>
      <c r="JQ32" s="546" t="str">
        <f t="shared" si="93"/>
        <v>0</v>
      </c>
      <c r="JR32" s="546" t="str">
        <f t="shared" si="94"/>
        <v>0</v>
      </c>
      <c r="JS32" s="544"/>
      <c r="JT32" s="546" t="str">
        <f t="shared" si="95"/>
        <v>0</v>
      </c>
      <c r="JU32" s="546" t="str">
        <f t="shared" si="96"/>
        <v>0</v>
      </c>
      <c r="JV32" s="544"/>
      <c r="JW32" s="546" t="str">
        <f t="shared" si="97"/>
        <v>0</v>
      </c>
      <c r="JX32" s="546" t="str">
        <f t="shared" si="98"/>
        <v>0</v>
      </c>
      <c r="JY32" s="544"/>
      <c r="JZ32" s="546" t="str">
        <f t="shared" si="99"/>
        <v>0</v>
      </c>
      <c r="KA32" s="546" t="str">
        <f t="shared" si="100"/>
        <v>0</v>
      </c>
      <c r="KB32" s="544"/>
      <c r="KC32" s="546" t="str">
        <f t="shared" si="101"/>
        <v>0</v>
      </c>
      <c r="KD32" s="546" t="str">
        <f t="shared" si="102"/>
        <v>0</v>
      </c>
      <c r="KE32" s="544"/>
      <c r="KF32" s="546" t="str">
        <f t="shared" si="103"/>
        <v>0</v>
      </c>
      <c r="KG32" s="546" t="str">
        <f t="shared" si="104"/>
        <v>0</v>
      </c>
      <c r="KH32" s="544"/>
      <c r="KI32" s="546" t="str">
        <f t="shared" si="105"/>
        <v>0</v>
      </c>
      <c r="KJ32" s="546" t="str">
        <f t="shared" si="106"/>
        <v>0</v>
      </c>
      <c r="KK32" s="544"/>
      <c r="KL32" s="546" t="str">
        <f t="shared" si="107"/>
        <v>0</v>
      </c>
      <c r="KM32" s="546" t="str">
        <f t="shared" si="108"/>
        <v>0</v>
      </c>
      <c r="KN32" s="544"/>
      <c r="KO32" s="546" t="str">
        <f t="shared" si="109"/>
        <v>0</v>
      </c>
      <c r="KP32" s="546" t="str">
        <f t="shared" si="110"/>
        <v>0</v>
      </c>
      <c r="KQ32" s="546">
        <f t="shared" si="111"/>
        <v>0</v>
      </c>
      <c r="KR32" s="546">
        <f t="shared" si="198"/>
        <v>0</v>
      </c>
      <c r="KS32" s="265">
        <f t="shared" si="199"/>
        <v>2826.6960888290155</v>
      </c>
    </row>
    <row r="33" spans="1:16381" ht="15" customHeight="1">
      <c r="A33" s="267">
        <f>+Report1!A33</f>
        <v>46016</v>
      </c>
      <c r="B33" s="268" t="str">
        <f>+Report1!B33</f>
        <v>Towel</v>
      </c>
      <c r="C33" s="268" t="str">
        <f>+Report1!C33</f>
        <v>35,5/36</v>
      </c>
      <c r="D33" s="269">
        <f>+Report1!P33</f>
        <v>73.519000000000005</v>
      </c>
      <c r="E33" s="270">
        <f>+Report1!R33</f>
        <v>72.998000000000005</v>
      </c>
      <c r="F33" s="544">
        <v>197.67441860465112</v>
      </c>
      <c r="G33" s="545">
        <f t="shared" si="0"/>
        <v>2.7079429382264051</v>
      </c>
      <c r="H33" s="546">
        <f t="shared" si="112"/>
        <v>0</v>
      </c>
      <c r="I33" s="544"/>
      <c r="J33" s="545">
        <f t="shared" si="1"/>
        <v>0</v>
      </c>
      <c r="K33" s="546">
        <f t="shared" si="113"/>
        <v>0</v>
      </c>
      <c r="L33" s="544"/>
      <c r="M33" s="545">
        <f t="shared" si="2"/>
        <v>0</v>
      </c>
      <c r="N33" s="546">
        <f t="shared" si="114"/>
        <v>0</v>
      </c>
      <c r="O33" s="544">
        <v>11.999999999999972</v>
      </c>
      <c r="P33" s="545">
        <f>+O33/$E33</f>
        <v>0.16438806542644965</v>
      </c>
      <c r="Q33" s="546">
        <f>+O33*$H$8</f>
        <v>0</v>
      </c>
      <c r="R33" s="544"/>
      <c r="S33" s="545">
        <f>+R33/$E33</f>
        <v>0</v>
      </c>
      <c r="T33" s="546">
        <f>+R33*$H$8</f>
        <v>0</v>
      </c>
      <c r="U33" s="544">
        <v>10.249999999999943</v>
      </c>
      <c r="V33" s="545">
        <f>+U33/$E33</f>
        <v>0.14041480588509195</v>
      </c>
      <c r="W33" s="546">
        <f>+U33*$H$8</f>
        <v>0</v>
      </c>
      <c r="X33" s="544"/>
      <c r="Y33" s="545">
        <f>+X33/$E33</f>
        <v>0</v>
      </c>
      <c r="Z33" s="546">
        <f>+X33*$H$8</f>
        <v>0</v>
      </c>
      <c r="AA33" s="544"/>
      <c r="AB33" s="545">
        <f>+AA33/$E33</f>
        <v>0</v>
      </c>
      <c r="AC33" s="546">
        <f>+AA33*$H$8</f>
        <v>0</v>
      </c>
      <c r="AD33" s="544"/>
      <c r="AE33" s="545">
        <f>+AD33/$E33</f>
        <v>0</v>
      </c>
      <c r="AF33" s="546">
        <f>+AD33*$H$8</f>
        <v>0</v>
      </c>
      <c r="AG33" s="544"/>
      <c r="AH33" s="545">
        <f>+AG33/$E33</f>
        <v>0</v>
      </c>
      <c r="AI33" s="546">
        <f>+AG33*$H$8</f>
        <v>0</v>
      </c>
      <c r="AJ33" s="544"/>
      <c r="AK33" s="545">
        <f>+AJ33/$E33</f>
        <v>0</v>
      </c>
      <c r="AL33" s="546">
        <f>+AJ33*$H$8</f>
        <v>0</v>
      </c>
      <c r="AM33" s="544">
        <v>24.967948717948758</v>
      </c>
      <c r="AN33" s="545">
        <f>+AM33/$E33</f>
        <v>0.34203606561753414</v>
      </c>
      <c r="AO33" s="546">
        <f>+AM33*$H$8</f>
        <v>0</v>
      </c>
      <c r="AP33" s="544"/>
      <c r="AQ33" s="545">
        <f>+AP33/$E33</f>
        <v>0</v>
      </c>
      <c r="AR33" s="546">
        <f>+AP33*$H$8</f>
        <v>0</v>
      </c>
      <c r="AS33" s="544"/>
      <c r="AT33" s="545">
        <f>+AS33/$E33</f>
        <v>0</v>
      </c>
      <c r="AU33" s="546">
        <f>+AS33*$H$8</f>
        <v>0</v>
      </c>
      <c r="AV33" s="544">
        <v>0</v>
      </c>
      <c r="AW33" s="545">
        <f>+AV33/$E33</f>
        <v>0</v>
      </c>
      <c r="AX33" s="546">
        <f>+AV33*$H$8</f>
        <v>0</v>
      </c>
      <c r="AY33" s="544">
        <v>30.333333333333343</v>
      </c>
      <c r="AZ33" s="545">
        <f>+AY33/$E33</f>
        <v>0.41553649871685994</v>
      </c>
      <c r="BA33" s="546">
        <f>+AY33*$H$8</f>
        <v>0</v>
      </c>
      <c r="BB33" s="544"/>
      <c r="BC33" s="545">
        <f>+BB33/$E33</f>
        <v>0</v>
      </c>
      <c r="BD33" s="546">
        <f>+BB33*$H$8</f>
        <v>0</v>
      </c>
      <c r="BE33" s="544"/>
      <c r="BF33" s="545">
        <f>+BE33/$E33</f>
        <v>0</v>
      </c>
      <c r="BG33" s="546">
        <f>+BE33*$H$8</f>
        <v>0</v>
      </c>
      <c r="BH33" s="544"/>
      <c r="BI33" s="545">
        <f>+BH33/$E33</f>
        <v>0</v>
      </c>
      <c r="BJ33" s="546">
        <f>+BH33*$H$8</f>
        <v>0</v>
      </c>
      <c r="BK33" s="544"/>
      <c r="BL33" s="545">
        <f>+BK33/$E33</f>
        <v>0</v>
      </c>
      <c r="BM33" s="546">
        <f>+BK33*$H$8</f>
        <v>0</v>
      </c>
      <c r="BN33" s="544"/>
      <c r="BO33" s="545">
        <f>+BN33/$E33</f>
        <v>0</v>
      </c>
      <c r="BP33" s="546">
        <f>+BN33*$H$8</f>
        <v>0</v>
      </c>
      <c r="BQ33" s="544"/>
      <c r="BR33" s="545">
        <f>+BQ33/$E33</f>
        <v>0</v>
      </c>
      <c r="BS33" s="546">
        <f>+BQ33*$H$8</f>
        <v>0</v>
      </c>
      <c r="BT33" s="544"/>
      <c r="BU33" s="545">
        <f>+BT33/$E33</f>
        <v>0</v>
      </c>
      <c r="BV33" s="546">
        <f>+BT33*$H$8</f>
        <v>0</v>
      </c>
      <c r="BW33" s="544"/>
      <c r="BX33" s="545">
        <f>+BW33/$E33</f>
        <v>0</v>
      </c>
      <c r="BY33" s="546">
        <f>+BW33*$H$8</f>
        <v>0</v>
      </c>
      <c r="BZ33" s="544">
        <v>0</v>
      </c>
      <c r="CA33" s="545">
        <f t="shared" si="24"/>
        <v>0</v>
      </c>
      <c r="CB33" s="546">
        <f t="shared" si="136"/>
        <v>0</v>
      </c>
      <c r="CC33" s="544">
        <v>15.625</v>
      </c>
      <c r="CD33" s="545">
        <f t="shared" si="25"/>
        <v>0.21404696019069014</v>
      </c>
      <c r="CE33" s="546">
        <f t="shared" si="137"/>
        <v>0</v>
      </c>
      <c r="CF33" s="544">
        <v>1.1999999999999993</v>
      </c>
      <c r="CG33" s="545">
        <f t="shared" si="26"/>
        <v>1.6438806542644992E-2</v>
      </c>
      <c r="CH33" s="546">
        <f t="shared" si="138"/>
        <v>0</v>
      </c>
      <c r="CI33" s="544"/>
      <c r="CJ33" s="545">
        <f t="shared" si="27"/>
        <v>0</v>
      </c>
      <c r="CK33" s="546">
        <f t="shared" si="139"/>
        <v>0</v>
      </c>
      <c r="CL33" s="544"/>
      <c r="CM33" s="545">
        <f t="shared" si="28"/>
        <v>0</v>
      </c>
      <c r="CN33" s="546">
        <f t="shared" si="140"/>
        <v>0</v>
      </c>
      <c r="CO33" s="544"/>
      <c r="CP33" s="545">
        <f t="shared" si="29"/>
        <v>0</v>
      </c>
      <c r="CQ33" s="546">
        <f t="shared" si="141"/>
        <v>0</v>
      </c>
      <c r="CR33" s="544"/>
      <c r="CS33" s="545">
        <f t="shared" si="30"/>
        <v>0</v>
      </c>
      <c r="CT33" s="546">
        <f t="shared" si="142"/>
        <v>0</v>
      </c>
      <c r="CU33" s="544"/>
      <c r="CV33" s="545">
        <f t="shared" si="31"/>
        <v>0</v>
      </c>
      <c r="CW33" s="546">
        <f t="shared" si="143"/>
        <v>0</v>
      </c>
      <c r="CX33" s="544"/>
      <c r="CY33" s="545">
        <f t="shared" si="32"/>
        <v>0</v>
      </c>
      <c r="CZ33" s="546">
        <f t="shared" si="144"/>
        <v>0</v>
      </c>
      <c r="DA33" s="544">
        <v>0</v>
      </c>
      <c r="DB33" s="545">
        <f t="shared" si="33"/>
        <v>0</v>
      </c>
      <c r="DC33" s="546">
        <f t="shared" si="145"/>
        <v>0</v>
      </c>
      <c r="DD33" s="544"/>
      <c r="DE33" s="545">
        <f t="shared" si="34"/>
        <v>0</v>
      </c>
      <c r="DF33" s="546">
        <f t="shared" si="146"/>
        <v>0</v>
      </c>
      <c r="DG33" s="544"/>
      <c r="DH33" s="545">
        <f t="shared" si="35"/>
        <v>0</v>
      </c>
      <c r="DI33" s="546">
        <f t="shared" si="200"/>
        <v>0</v>
      </c>
      <c r="DJ33" s="544"/>
      <c r="DK33" s="545">
        <f t="shared" si="36"/>
        <v>0</v>
      </c>
      <c r="DL33" s="546">
        <f t="shared" si="147"/>
        <v>0</v>
      </c>
      <c r="DM33" s="544"/>
      <c r="DN33" s="545">
        <f t="shared" si="37"/>
        <v>0</v>
      </c>
      <c r="DO33" s="546">
        <f t="shared" si="148"/>
        <v>0</v>
      </c>
      <c r="DP33" s="544"/>
      <c r="DQ33" s="545">
        <f t="shared" si="38"/>
        <v>0</v>
      </c>
      <c r="DR33" s="546">
        <f t="shared" si="149"/>
        <v>0</v>
      </c>
      <c r="DS33" s="544"/>
      <c r="DT33" s="545">
        <f t="shared" si="39"/>
        <v>0</v>
      </c>
      <c r="DU33" s="546">
        <f t="shared" si="150"/>
        <v>0</v>
      </c>
      <c r="DV33" s="544"/>
      <c r="DW33" s="545">
        <f t="shared" si="40"/>
        <v>0</v>
      </c>
      <c r="DX33" s="546">
        <f t="shared" si="151"/>
        <v>0</v>
      </c>
      <c r="DY33" s="544"/>
      <c r="DZ33" s="545">
        <f t="shared" si="41"/>
        <v>0</v>
      </c>
      <c r="EA33" s="546">
        <f t="shared" si="152"/>
        <v>0</v>
      </c>
      <c r="EB33" s="544">
        <v>1329.4117647058827</v>
      </c>
      <c r="EC33" s="545">
        <f t="shared" si="42"/>
        <v>18.211619012930253</v>
      </c>
      <c r="ED33" s="546">
        <f t="shared" si="153"/>
        <v>0</v>
      </c>
      <c r="EE33" s="544">
        <v>14.534883720930281</v>
      </c>
      <c r="EF33" s="545">
        <f t="shared" si="43"/>
        <v>0.19911345134017755</v>
      </c>
      <c r="EG33" s="546">
        <f t="shared" si="154"/>
        <v>0</v>
      </c>
      <c r="EH33" s="544">
        <v>0</v>
      </c>
      <c r="EI33" s="545">
        <f t="shared" si="44"/>
        <v>0</v>
      </c>
      <c r="EJ33" s="546">
        <f t="shared" si="155"/>
        <v>0</v>
      </c>
      <c r="EK33" s="544"/>
      <c r="EL33" s="545">
        <f t="shared" si="45"/>
        <v>0</v>
      </c>
      <c r="EM33" s="546">
        <f t="shared" si="156"/>
        <v>0</v>
      </c>
      <c r="EN33" s="544"/>
      <c r="EO33" s="545">
        <f t="shared" si="46"/>
        <v>0</v>
      </c>
      <c r="EP33" s="546">
        <f t="shared" si="157"/>
        <v>0</v>
      </c>
      <c r="EQ33" s="544"/>
      <c r="ER33" s="545">
        <f t="shared" si="47"/>
        <v>0</v>
      </c>
      <c r="ES33" s="546">
        <f t="shared" si="158"/>
        <v>0</v>
      </c>
      <c r="ET33" s="544"/>
      <c r="EU33" s="545">
        <f t="shared" si="48"/>
        <v>0</v>
      </c>
      <c r="EV33" s="546">
        <f t="shared" si="159"/>
        <v>0</v>
      </c>
      <c r="EW33" s="544"/>
      <c r="EX33" s="545">
        <f t="shared" si="49"/>
        <v>0</v>
      </c>
      <c r="EY33" s="546">
        <f t="shared" si="160"/>
        <v>0</v>
      </c>
      <c r="EZ33" s="544"/>
      <c r="FA33" s="545">
        <f t="shared" si="50"/>
        <v>0</v>
      </c>
      <c r="FB33" s="546">
        <f t="shared" si="161"/>
        <v>0</v>
      </c>
      <c r="FC33" s="544"/>
      <c r="FD33" s="545">
        <f t="shared" si="51"/>
        <v>0</v>
      </c>
      <c r="FE33" s="546">
        <f t="shared" si="162"/>
        <v>0</v>
      </c>
      <c r="FF33" s="544"/>
      <c r="FG33" s="545">
        <f t="shared" si="52"/>
        <v>0</v>
      </c>
      <c r="FH33" s="546">
        <f t="shared" si="163"/>
        <v>0</v>
      </c>
      <c r="FI33" s="544"/>
      <c r="FJ33" s="545">
        <f t="shared" si="53"/>
        <v>0</v>
      </c>
      <c r="FK33" s="546">
        <f t="shared" si="164"/>
        <v>0</v>
      </c>
      <c r="FL33" s="544"/>
      <c r="FM33" s="545">
        <f t="shared" si="54"/>
        <v>0</v>
      </c>
      <c r="FN33" s="546">
        <f t="shared" si="165"/>
        <v>0</v>
      </c>
      <c r="FO33" s="544"/>
      <c r="FP33" s="545">
        <f t="shared" si="55"/>
        <v>0</v>
      </c>
      <c r="FQ33" s="546">
        <f t="shared" si="166"/>
        <v>0</v>
      </c>
      <c r="FR33" s="544"/>
      <c r="FS33" s="545">
        <f t="shared" si="56"/>
        <v>0</v>
      </c>
      <c r="FT33" s="546">
        <f t="shared" si="167"/>
        <v>0</v>
      </c>
      <c r="FU33" s="544"/>
      <c r="FV33" s="545">
        <f t="shared" si="57"/>
        <v>0</v>
      </c>
      <c r="FW33" s="546">
        <f t="shared" si="168"/>
        <v>0</v>
      </c>
      <c r="FX33" s="544"/>
      <c r="FY33" s="545">
        <f t="shared" si="58"/>
        <v>0</v>
      </c>
      <c r="FZ33" s="546">
        <f t="shared" si="169"/>
        <v>0</v>
      </c>
      <c r="GA33" s="544"/>
      <c r="GB33" s="545">
        <f t="shared" si="59"/>
        <v>0</v>
      </c>
      <c r="GC33" s="546">
        <f t="shared" si="170"/>
        <v>0</v>
      </c>
      <c r="GD33" s="544"/>
      <c r="GE33" s="545">
        <f t="shared" si="60"/>
        <v>0</v>
      </c>
      <c r="GF33" s="546">
        <f t="shared" si="171"/>
        <v>0</v>
      </c>
      <c r="GG33" s="544">
        <v>14.903386147284433</v>
      </c>
      <c r="GH33" s="545">
        <f t="shared" si="61"/>
        <v>0.20416156808795352</v>
      </c>
      <c r="GI33" s="546">
        <f t="shared" si="172"/>
        <v>0</v>
      </c>
      <c r="GJ33" s="544">
        <v>14.903386147284433</v>
      </c>
      <c r="GK33" s="545">
        <f t="shared" si="210"/>
        <v>0.20416156808795352</v>
      </c>
      <c r="GL33" s="546">
        <f t="shared" si="211"/>
        <v>0</v>
      </c>
      <c r="GM33" s="544">
        <v>0</v>
      </c>
      <c r="GN33" s="545">
        <f t="shared" si="201"/>
        <v>0</v>
      </c>
      <c r="GO33" s="546">
        <f t="shared" si="202"/>
        <v>0</v>
      </c>
      <c r="GP33" s="544">
        <v>41.729481212396415</v>
      </c>
      <c r="GQ33" s="545">
        <f t="shared" si="203"/>
        <v>0.57165239064626994</v>
      </c>
      <c r="GR33" s="546">
        <f t="shared" si="204"/>
        <v>0</v>
      </c>
      <c r="GS33" s="544">
        <v>196.72469714415453</v>
      </c>
      <c r="GT33" s="545">
        <f t="shared" si="205"/>
        <v>2.694932698760987</v>
      </c>
      <c r="GU33" s="546">
        <f t="shared" si="206"/>
        <v>0</v>
      </c>
      <c r="GV33" s="544">
        <v>47.69083567131019</v>
      </c>
      <c r="GW33" s="545">
        <f t="shared" si="207"/>
        <v>0.65331701788145136</v>
      </c>
      <c r="GX33" s="546">
        <f t="shared" si="208"/>
        <v>0</v>
      </c>
      <c r="GY33" s="544"/>
      <c r="GZ33" s="545">
        <f t="shared" si="209"/>
        <v>0</v>
      </c>
      <c r="HA33" s="546">
        <f t="shared" si="178"/>
        <v>0</v>
      </c>
      <c r="HB33" s="544"/>
      <c r="HC33" s="545">
        <f t="shared" si="68"/>
        <v>0</v>
      </c>
      <c r="HD33" s="546">
        <f t="shared" si="179"/>
        <v>0</v>
      </c>
      <c r="HE33" s="544"/>
      <c r="HF33" s="545">
        <f t="shared" si="69"/>
        <v>0</v>
      </c>
      <c r="HG33" s="546">
        <f t="shared" si="180"/>
        <v>0</v>
      </c>
      <c r="HH33" s="544"/>
      <c r="HI33" s="545">
        <f t="shared" si="70"/>
        <v>0</v>
      </c>
      <c r="HJ33" s="546">
        <f t="shared" si="181"/>
        <v>0</v>
      </c>
      <c r="HK33" s="544"/>
      <c r="HL33" s="545">
        <f t="shared" si="71"/>
        <v>0</v>
      </c>
      <c r="HM33" s="546">
        <f t="shared" si="182"/>
        <v>0</v>
      </c>
      <c r="HN33" s="544">
        <v>1232.8081021033684</v>
      </c>
      <c r="HO33" s="545">
        <f t="shared" si="72"/>
        <v>16.888244912235518</v>
      </c>
      <c r="HP33" s="546">
        <f t="shared" si="183"/>
        <v>0</v>
      </c>
      <c r="HQ33" s="544"/>
      <c r="HR33" s="545">
        <f t="shared" si="73"/>
        <v>0</v>
      </c>
      <c r="HS33" s="546">
        <f t="shared" si="184"/>
        <v>0</v>
      </c>
      <c r="HT33" s="544">
        <v>0</v>
      </c>
      <c r="HU33" s="545">
        <f t="shared" si="74"/>
        <v>0</v>
      </c>
      <c r="HV33" s="546">
        <f t="shared" si="185"/>
        <v>0</v>
      </c>
      <c r="HW33" s="544">
        <v>0</v>
      </c>
      <c r="HX33" s="545">
        <f t="shared" si="75"/>
        <v>0</v>
      </c>
      <c r="HY33" s="546">
        <f t="shared" si="186"/>
        <v>0</v>
      </c>
      <c r="HZ33" s="544">
        <v>0</v>
      </c>
      <c r="IA33" s="545">
        <f t="shared" si="76"/>
        <v>0</v>
      </c>
      <c r="IB33" s="546">
        <f t="shared" si="187"/>
        <v>0</v>
      </c>
      <c r="IC33" s="544">
        <v>0</v>
      </c>
      <c r="ID33" s="545">
        <f t="shared" si="77"/>
        <v>0</v>
      </c>
      <c r="IE33" s="546">
        <f t="shared" si="188"/>
        <v>0</v>
      </c>
      <c r="IF33" s="544">
        <v>29.806772294568866</v>
      </c>
      <c r="IG33" s="545">
        <f t="shared" si="78"/>
        <v>0.40832313617590704</v>
      </c>
      <c r="IH33" s="546">
        <f t="shared" si="189"/>
        <v>0</v>
      </c>
      <c r="II33" s="544"/>
      <c r="IJ33" s="545">
        <f t="shared" si="79"/>
        <v>0</v>
      </c>
      <c r="IK33" s="546">
        <f t="shared" si="190"/>
        <v>0</v>
      </c>
      <c r="IL33" s="544"/>
      <c r="IM33" s="545">
        <f t="shared" si="80"/>
        <v>0</v>
      </c>
      <c r="IN33" s="546">
        <f t="shared" si="191"/>
        <v>0</v>
      </c>
      <c r="IO33" s="544">
        <v>77.497607965879055</v>
      </c>
      <c r="IP33" s="545">
        <f t="shared" si="81"/>
        <v>1.0616401540573583</v>
      </c>
      <c r="IQ33" s="546">
        <f t="shared" si="192"/>
        <v>0</v>
      </c>
      <c r="IR33" s="544">
        <v>0</v>
      </c>
      <c r="IS33" s="545">
        <f t="shared" si="82"/>
        <v>0</v>
      </c>
      <c r="IT33" s="546">
        <f t="shared" si="193"/>
        <v>0</v>
      </c>
      <c r="IU33" s="544"/>
      <c r="IV33" s="545">
        <f t="shared" si="83"/>
        <v>0</v>
      </c>
      <c r="IW33" s="546">
        <f t="shared" si="194"/>
        <v>0</v>
      </c>
      <c r="IX33" s="544">
        <v>0</v>
      </c>
      <c r="IY33" s="545">
        <f t="shared" si="84"/>
        <v>0</v>
      </c>
      <c r="IZ33" s="546">
        <f t="shared" si="195"/>
        <v>0</v>
      </c>
      <c r="JA33" s="544"/>
      <c r="JB33" s="545">
        <f t="shared" si="85"/>
        <v>0</v>
      </c>
      <c r="JC33" s="546">
        <f t="shared" si="196"/>
        <v>0</v>
      </c>
      <c r="JD33" s="544"/>
      <c r="JE33" s="545">
        <f t="shared" si="86"/>
        <v>0</v>
      </c>
      <c r="JF33" s="546">
        <f t="shared" si="197"/>
        <v>0</v>
      </c>
      <c r="JG33" s="544">
        <v>29.806772294568866</v>
      </c>
      <c r="JH33" s="546" t="str">
        <f t="shared" si="87"/>
        <v>0</v>
      </c>
      <c r="JI33" s="546" t="str">
        <f t="shared" si="88"/>
        <v>0</v>
      </c>
      <c r="JJ33" s="544">
        <v>5.9613544589137737</v>
      </c>
      <c r="JK33" s="546" t="str">
        <f t="shared" si="89"/>
        <v>0</v>
      </c>
      <c r="JL33" s="546" t="str">
        <f t="shared" si="90"/>
        <v>0</v>
      </c>
      <c r="JM33" s="544">
        <v>0</v>
      </c>
      <c r="JN33" s="546" t="str">
        <f t="shared" si="91"/>
        <v>0</v>
      </c>
      <c r="JO33" s="546" t="str">
        <f t="shared" si="92"/>
        <v>0</v>
      </c>
      <c r="JP33" s="544"/>
      <c r="JQ33" s="546" t="str">
        <f t="shared" si="93"/>
        <v>0</v>
      </c>
      <c r="JR33" s="546" t="str">
        <f t="shared" si="94"/>
        <v>0</v>
      </c>
      <c r="JS33" s="544"/>
      <c r="JT33" s="546" t="str">
        <f t="shared" si="95"/>
        <v>0</v>
      </c>
      <c r="JU33" s="546" t="str">
        <f t="shared" si="96"/>
        <v>0</v>
      </c>
      <c r="JV33" s="544"/>
      <c r="JW33" s="546" t="str">
        <f t="shared" si="97"/>
        <v>0</v>
      </c>
      <c r="JX33" s="546" t="str">
        <f t="shared" si="98"/>
        <v>0</v>
      </c>
      <c r="JY33" s="544"/>
      <c r="JZ33" s="546" t="str">
        <f t="shared" si="99"/>
        <v>0</v>
      </c>
      <c r="KA33" s="546" t="str">
        <f t="shared" si="100"/>
        <v>0</v>
      </c>
      <c r="KB33" s="544"/>
      <c r="KC33" s="546" t="str">
        <f t="shared" si="101"/>
        <v>0</v>
      </c>
      <c r="KD33" s="546" t="str">
        <f t="shared" si="102"/>
        <v>0</v>
      </c>
      <c r="KE33" s="544"/>
      <c r="KF33" s="546" t="str">
        <f t="shared" si="103"/>
        <v>0</v>
      </c>
      <c r="KG33" s="546" t="str">
        <f t="shared" si="104"/>
        <v>0</v>
      </c>
      <c r="KH33" s="544"/>
      <c r="KI33" s="546" t="str">
        <f t="shared" si="105"/>
        <v>0</v>
      </c>
      <c r="KJ33" s="546" t="str">
        <f t="shared" si="106"/>
        <v>0</v>
      </c>
      <c r="KK33" s="544"/>
      <c r="KL33" s="546" t="str">
        <f t="shared" si="107"/>
        <v>0</v>
      </c>
      <c r="KM33" s="546" t="str">
        <f t="shared" si="108"/>
        <v>0</v>
      </c>
      <c r="KN33" s="544"/>
      <c r="KO33" s="546" t="str">
        <f t="shared" si="109"/>
        <v>0</v>
      </c>
      <c r="KP33" s="546" t="str">
        <f t="shared" si="110"/>
        <v>0</v>
      </c>
      <c r="KQ33" s="546">
        <f t="shared" si="111"/>
        <v>0</v>
      </c>
      <c r="KR33" s="546">
        <f t="shared" si="198"/>
        <v>0</v>
      </c>
      <c r="KS33" s="265">
        <f t="shared" si="199"/>
        <v>3327.8297445224753</v>
      </c>
    </row>
    <row r="34" spans="1:16381" ht="15" customHeight="1">
      <c r="A34" s="267">
        <f>+Report1!A34</f>
        <v>46017</v>
      </c>
      <c r="B34" s="268" t="str">
        <f>+Report1!B34</f>
        <v>Towel</v>
      </c>
      <c r="C34" s="268" t="str">
        <f>+Report1!C34</f>
        <v>36/38</v>
      </c>
      <c r="D34" s="269">
        <f>+Report1!P34</f>
        <v>79.518000000000001</v>
      </c>
      <c r="E34" s="270">
        <f>+Report1!R34</f>
        <v>78.66</v>
      </c>
      <c r="F34" s="544">
        <v>267.44186046511618</v>
      </c>
      <c r="G34" s="545">
        <f t="shared" si="0"/>
        <v>3.3999728002175971</v>
      </c>
      <c r="H34" s="546">
        <f t="shared" si="112"/>
        <v>0</v>
      </c>
      <c r="I34" s="544"/>
      <c r="J34" s="545">
        <f t="shared" si="1"/>
        <v>0</v>
      </c>
      <c r="K34" s="546">
        <f t="shared" si="113"/>
        <v>0</v>
      </c>
      <c r="L34" s="544"/>
      <c r="M34" s="545">
        <f t="shared" si="2"/>
        <v>0</v>
      </c>
      <c r="N34" s="546">
        <f t="shared" si="114"/>
        <v>0</v>
      </c>
      <c r="O34" s="544">
        <v>12.000000000000028</v>
      </c>
      <c r="P34" s="545">
        <f t="shared" si="3"/>
        <v>0.15255530129672043</v>
      </c>
      <c r="Q34" s="546">
        <f t="shared" si="115"/>
        <v>0</v>
      </c>
      <c r="R34" s="544"/>
      <c r="S34" s="545">
        <f t="shared" si="4"/>
        <v>0</v>
      </c>
      <c r="T34" s="546">
        <f t="shared" si="116"/>
        <v>0</v>
      </c>
      <c r="U34" s="544">
        <v>10.25</v>
      </c>
      <c r="V34" s="545">
        <f t="shared" si="5"/>
        <v>0.13030765319094839</v>
      </c>
      <c r="W34" s="546">
        <f t="shared" si="117"/>
        <v>0</v>
      </c>
      <c r="X34" s="544"/>
      <c r="Y34" s="545">
        <f t="shared" si="6"/>
        <v>0</v>
      </c>
      <c r="Z34" s="546">
        <f t="shared" si="118"/>
        <v>0</v>
      </c>
      <c r="AA34" s="544"/>
      <c r="AB34" s="545">
        <f t="shared" si="7"/>
        <v>0</v>
      </c>
      <c r="AC34" s="546">
        <f t="shared" si="119"/>
        <v>0</v>
      </c>
      <c r="AD34" s="544"/>
      <c r="AE34" s="545">
        <f t="shared" si="8"/>
        <v>0</v>
      </c>
      <c r="AF34" s="546">
        <f t="shared" si="120"/>
        <v>0</v>
      </c>
      <c r="AG34" s="544"/>
      <c r="AH34" s="545">
        <f t="shared" si="9"/>
        <v>0</v>
      </c>
      <c r="AI34" s="546">
        <f t="shared" si="121"/>
        <v>0</v>
      </c>
      <c r="AJ34" s="544"/>
      <c r="AK34" s="545">
        <f t="shared" si="10"/>
        <v>0</v>
      </c>
      <c r="AL34" s="546">
        <f t="shared" si="122"/>
        <v>0</v>
      </c>
      <c r="AM34" s="544">
        <v>13.141025641025578</v>
      </c>
      <c r="AN34" s="545">
        <f t="shared" si="11"/>
        <v>0.16706109383454842</v>
      </c>
      <c r="AO34" s="546">
        <f t="shared" si="123"/>
        <v>0</v>
      </c>
      <c r="AP34" s="544"/>
      <c r="AQ34" s="545">
        <f t="shared" si="12"/>
        <v>0</v>
      </c>
      <c r="AR34" s="546">
        <f t="shared" si="124"/>
        <v>0</v>
      </c>
      <c r="AS34" s="544"/>
      <c r="AT34" s="545">
        <f t="shared" si="13"/>
        <v>0</v>
      </c>
      <c r="AU34" s="546">
        <f t="shared" si="125"/>
        <v>0</v>
      </c>
      <c r="AV34" s="544">
        <v>0</v>
      </c>
      <c r="AW34" s="545">
        <f t="shared" si="14"/>
        <v>0</v>
      </c>
      <c r="AX34" s="546">
        <f t="shared" si="126"/>
        <v>0</v>
      </c>
      <c r="AY34" s="544">
        <v>25.666666666666657</v>
      </c>
      <c r="AZ34" s="545">
        <f t="shared" si="15"/>
        <v>0.32629883888465111</v>
      </c>
      <c r="BA34" s="546">
        <f t="shared" si="127"/>
        <v>0</v>
      </c>
      <c r="BB34" s="544"/>
      <c r="BC34" s="545">
        <f t="shared" si="16"/>
        <v>0</v>
      </c>
      <c r="BD34" s="546">
        <f t="shared" si="128"/>
        <v>0</v>
      </c>
      <c r="BE34" s="544"/>
      <c r="BF34" s="545">
        <f t="shared" si="17"/>
        <v>0</v>
      </c>
      <c r="BG34" s="546">
        <f t="shared" si="129"/>
        <v>0</v>
      </c>
      <c r="BH34" s="544"/>
      <c r="BI34" s="545">
        <f t="shared" si="18"/>
        <v>0</v>
      </c>
      <c r="BJ34" s="546">
        <f t="shared" si="130"/>
        <v>0</v>
      </c>
      <c r="BK34" s="544"/>
      <c r="BL34" s="545">
        <f t="shared" si="19"/>
        <v>0</v>
      </c>
      <c r="BM34" s="546">
        <f t="shared" si="131"/>
        <v>0</v>
      </c>
      <c r="BN34" s="544"/>
      <c r="BO34" s="545">
        <f t="shared" si="20"/>
        <v>0</v>
      </c>
      <c r="BP34" s="546">
        <f t="shared" si="132"/>
        <v>0</v>
      </c>
      <c r="BQ34" s="544"/>
      <c r="BR34" s="545">
        <f t="shared" si="21"/>
        <v>0</v>
      </c>
      <c r="BS34" s="546">
        <f t="shared" si="133"/>
        <v>0</v>
      </c>
      <c r="BT34" s="544"/>
      <c r="BU34" s="545">
        <f t="shared" si="22"/>
        <v>0</v>
      </c>
      <c r="BV34" s="546">
        <f t="shared" si="134"/>
        <v>0</v>
      </c>
      <c r="BW34" s="544"/>
      <c r="BX34" s="545">
        <f t="shared" si="23"/>
        <v>0</v>
      </c>
      <c r="BY34" s="546">
        <f t="shared" si="135"/>
        <v>0</v>
      </c>
      <c r="BZ34" s="544">
        <v>0</v>
      </c>
      <c r="CA34" s="545">
        <f t="shared" si="24"/>
        <v>0</v>
      </c>
      <c r="CB34" s="546">
        <f t="shared" si="136"/>
        <v>0</v>
      </c>
      <c r="CC34" s="544">
        <v>0</v>
      </c>
      <c r="CD34" s="545">
        <f t="shared" si="25"/>
        <v>0</v>
      </c>
      <c r="CE34" s="546">
        <f t="shared" si="137"/>
        <v>0</v>
      </c>
      <c r="CF34" s="544">
        <v>1.1999999999999993</v>
      </c>
      <c r="CG34" s="545">
        <f t="shared" si="26"/>
        <v>1.5255530129671997E-2</v>
      </c>
      <c r="CH34" s="546">
        <f t="shared" si="138"/>
        <v>0</v>
      </c>
      <c r="CI34" s="544"/>
      <c r="CJ34" s="545">
        <f t="shared" si="27"/>
        <v>0</v>
      </c>
      <c r="CK34" s="546">
        <f t="shared" si="139"/>
        <v>0</v>
      </c>
      <c r="CL34" s="544"/>
      <c r="CM34" s="545">
        <f t="shared" si="28"/>
        <v>0</v>
      </c>
      <c r="CN34" s="546">
        <f t="shared" si="140"/>
        <v>0</v>
      </c>
      <c r="CO34" s="544"/>
      <c r="CP34" s="545">
        <f t="shared" si="29"/>
        <v>0</v>
      </c>
      <c r="CQ34" s="546">
        <f t="shared" si="141"/>
        <v>0</v>
      </c>
      <c r="CR34" s="544"/>
      <c r="CS34" s="545">
        <f t="shared" si="30"/>
        <v>0</v>
      </c>
      <c r="CT34" s="546">
        <f t="shared" si="142"/>
        <v>0</v>
      </c>
      <c r="CU34" s="544"/>
      <c r="CV34" s="545">
        <f t="shared" si="31"/>
        <v>0</v>
      </c>
      <c r="CW34" s="546">
        <f t="shared" si="143"/>
        <v>0</v>
      </c>
      <c r="CX34" s="544"/>
      <c r="CY34" s="545">
        <f t="shared" si="32"/>
        <v>0</v>
      </c>
      <c r="CZ34" s="546">
        <f t="shared" si="144"/>
        <v>0</v>
      </c>
      <c r="DA34" s="544">
        <v>0</v>
      </c>
      <c r="DB34" s="545">
        <f t="shared" si="33"/>
        <v>0</v>
      </c>
      <c r="DC34" s="546">
        <f t="shared" si="145"/>
        <v>0</v>
      </c>
      <c r="DD34" s="544"/>
      <c r="DE34" s="545">
        <f t="shared" si="34"/>
        <v>0</v>
      </c>
      <c r="DF34" s="546">
        <f t="shared" si="146"/>
        <v>0</v>
      </c>
      <c r="DG34" s="544"/>
      <c r="DH34" s="545">
        <f t="shared" si="35"/>
        <v>0</v>
      </c>
      <c r="DI34" s="546">
        <f t="shared" si="200"/>
        <v>0</v>
      </c>
      <c r="DJ34" s="544"/>
      <c r="DK34" s="545">
        <f t="shared" si="36"/>
        <v>0</v>
      </c>
      <c r="DL34" s="546">
        <f t="shared" si="147"/>
        <v>0</v>
      </c>
      <c r="DM34" s="544"/>
      <c r="DN34" s="545">
        <f t="shared" si="37"/>
        <v>0</v>
      </c>
      <c r="DO34" s="546">
        <f t="shared" si="148"/>
        <v>0</v>
      </c>
      <c r="DP34" s="544"/>
      <c r="DQ34" s="545">
        <f t="shared" si="38"/>
        <v>0</v>
      </c>
      <c r="DR34" s="546">
        <f t="shared" si="149"/>
        <v>0</v>
      </c>
      <c r="DS34" s="544"/>
      <c r="DT34" s="545">
        <f t="shared" si="39"/>
        <v>0</v>
      </c>
      <c r="DU34" s="546">
        <f t="shared" si="150"/>
        <v>0</v>
      </c>
      <c r="DV34" s="544"/>
      <c r="DW34" s="545">
        <f t="shared" si="40"/>
        <v>0</v>
      </c>
      <c r="DX34" s="546">
        <f t="shared" si="151"/>
        <v>0</v>
      </c>
      <c r="DY34" s="544"/>
      <c r="DZ34" s="545">
        <f t="shared" si="41"/>
        <v>0</v>
      </c>
      <c r="EA34" s="546">
        <f t="shared" si="152"/>
        <v>0</v>
      </c>
      <c r="EB34" s="544">
        <v>1235.2941176470586</v>
      </c>
      <c r="EC34" s="545">
        <f t="shared" si="42"/>
        <v>15.704222192309416</v>
      </c>
      <c r="ED34" s="546">
        <f t="shared" si="153"/>
        <v>0</v>
      </c>
      <c r="EE34" s="544">
        <v>14.534883720930225</v>
      </c>
      <c r="EF34" s="545">
        <f t="shared" si="43"/>
        <v>0.18478113044660852</v>
      </c>
      <c r="EG34" s="546">
        <f t="shared" si="154"/>
        <v>0</v>
      </c>
      <c r="EH34" s="544">
        <v>0</v>
      </c>
      <c r="EI34" s="545">
        <f t="shared" si="44"/>
        <v>0</v>
      </c>
      <c r="EJ34" s="546">
        <f t="shared" si="155"/>
        <v>0</v>
      </c>
      <c r="EK34" s="544"/>
      <c r="EL34" s="545">
        <f t="shared" si="45"/>
        <v>0</v>
      </c>
      <c r="EM34" s="546">
        <f t="shared" si="156"/>
        <v>0</v>
      </c>
      <c r="EN34" s="544"/>
      <c r="EO34" s="545">
        <f t="shared" si="46"/>
        <v>0</v>
      </c>
      <c r="EP34" s="546">
        <f t="shared" si="157"/>
        <v>0</v>
      </c>
      <c r="EQ34" s="544"/>
      <c r="ER34" s="545">
        <f t="shared" si="47"/>
        <v>0</v>
      </c>
      <c r="ES34" s="546">
        <f t="shared" si="158"/>
        <v>0</v>
      </c>
      <c r="ET34" s="544"/>
      <c r="EU34" s="545">
        <f t="shared" si="48"/>
        <v>0</v>
      </c>
      <c r="EV34" s="546">
        <f t="shared" si="159"/>
        <v>0</v>
      </c>
      <c r="EW34" s="544"/>
      <c r="EX34" s="545">
        <f t="shared" si="49"/>
        <v>0</v>
      </c>
      <c r="EY34" s="546">
        <f t="shared" si="160"/>
        <v>0</v>
      </c>
      <c r="EZ34" s="544"/>
      <c r="FA34" s="545">
        <f t="shared" si="50"/>
        <v>0</v>
      </c>
      <c r="FB34" s="546">
        <f t="shared" si="161"/>
        <v>0</v>
      </c>
      <c r="FC34" s="544"/>
      <c r="FD34" s="545">
        <f t="shared" si="51"/>
        <v>0</v>
      </c>
      <c r="FE34" s="546">
        <f t="shared" si="162"/>
        <v>0</v>
      </c>
      <c r="FF34" s="544"/>
      <c r="FG34" s="545">
        <f t="shared" si="52"/>
        <v>0</v>
      </c>
      <c r="FH34" s="546">
        <f t="shared" si="163"/>
        <v>0</v>
      </c>
      <c r="FI34" s="544"/>
      <c r="FJ34" s="545">
        <f t="shared" si="53"/>
        <v>0</v>
      </c>
      <c r="FK34" s="546">
        <f t="shared" si="164"/>
        <v>0</v>
      </c>
      <c r="FL34" s="544"/>
      <c r="FM34" s="545">
        <f t="shared" si="54"/>
        <v>0</v>
      </c>
      <c r="FN34" s="546">
        <f t="shared" si="165"/>
        <v>0</v>
      </c>
      <c r="FO34" s="544"/>
      <c r="FP34" s="545">
        <f t="shared" si="55"/>
        <v>0</v>
      </c>
      <c r="FQ34" s="546">
        <f t="shared" si="166"/>
        <v>0</v>
      </c>
      <c r="FR34" s="544"/>
      <c r="FS34" s="545">
        <f t="shared" si="56"/>
        <v>0</v>
      </c>
      <c r="FT34" s="546">
        <f t="shared" si="167"/>
        <v>0</v>
      </c>
      <c r="FU34" s="544"/>
      <c r="FV34" s="545">
        <f t="shared" si="57"/>
        <v>0</v>
      </c>
      <c r="FW34" s="546">
        <f t="shared" si="168"/>
        <v>0</v>
      </c>
      <c r="FX34" s="544"/>
      <c r="FY34" s="545">
        <f t="shared" si="58"/>
        <v>0</v>
      </c>
      <c r="FZ34" s="546">
        <f t="shared" si="169"/>
        <v>0</v>
      </c>
      <c r="GA34" s="544"/>
      <c r="GB34" s="545">
        <f t="shared" si="59"/>
        <v>0</v>
      </c>
      <c r="GC34" s="546">
        <f t="shared" si="170"/>
        <v>0</v>
      </c>
      <c r="GD34" s="544"/>
      <c r="GE34" s="545">
        <f t="shared" si="60"/>
        <v>0</v>
      </c>
      <c r="GF34" s="546">
        <f t="shared" si="171"/>
        <v>0</v>
      </c>
      <c r="GG34" s="544">
        <v>19.282232837847669</v>
      </c>
      <c r="GH34" s="545">
        <f t="shared" si="61"/>
        <v>0.24513390335428006</v>
      </c>
      <c r="GI34" s="546">
        <f t="shared" si="172"/>
        <v>0</v>
      </c>
      <c r="GJ34" s="544">
        <v>19.282232837847669</v>
      </c>
      <c r="GK34" s="545">
        <f t="shared" si="210"/>
        <v>0.24513390335428006</v>
      </c>
      <c r="GL34" s="546">
        <f t="shared" si="211"/>
        <v>0</v>
      </c>
      <c r="GM34" s="544">
        <v>0</v>
      </c>
      <c r="GN34" s="545">
        <f t="shared" si="201"/>
        <v>0</v>
      </c>
      <c r="GO34" s="546">
        <f t="shared" si="202"/>
        <v>0</v>
      </c>
      <c r="GP34" s="544">
        <v>44.991876621644565</v>
      </c>
      <c r="GQ34" s="545">
        <f t="shared" si="203"/>
        <v>0.57197910782665351</v>
      </c>
      <c r="GR34" s="546">
        <f t="shared" si="204"/>
        <v>0</v>
      </c>
      <c r="GS34" s="544">
        <v>257.09643783796895</v>
      </c>
      <c r="GT34" s="545">
        <f t="shared" si="205"/>
        <v>3.2684520447237344</v>
      </c>
      <c r="GU34" s="546">
        <f t="shared" si="206"/>
        <v>0</v>
      </c>
      <c r="GV34" s="544">
        <v>57.846698513543011</v>
      </c>
      <c r="GW34" s="545">
        <f t="shared" si="207"/>
        <v>0.73540171006284027</v>
      </c>
      <c r="GX34" s="546">
        <f t="shared" si="208"/>
        <v>0</v>
      </c>
      <c r="GY34" s="544"/>
      <c r="GZ34" s="545">
        <f t="shared" si="209"/>
        <v>0</v>
      </c>
      <c r="HA34" s="546">
        <f t="shared" si="178"/>
        <v>0</v>
      </c>
      <c r="HB34" s="544"/>
      <c r="HC34" s="545">
        <f t="shared" si="68"/>
        <v>0</v>
      </c>
      <c r="HD34" s="546">
        <f t="shared" si="179"/>
        <v>0</v>
      </c>
      <c r="HE34" s="544"/>
      <c r="HF34" s="545">
        <f t="shared" si="69"/>
        <v>0</v>
      </c>
      <c r="HG34" s="546">
        <f t="shared" si="180"/>
        <v>0</v>
      </c>
      <c r="HH34" s="544"/>
      <c r="HI34" s="545">
        <f t="shared" si="70"/>
        <v>0</v>
      </c>
      <c r="HJ34" s="546">
        <f t="shared" si="181"/>
        <v>0</v>
      </c>
      <c r="HK34" s="544"/>
      <c r="HL34" s="545">
        <f t="shared" si="71"/>
        <v>0</v>
      </c>
      <c r="HM34" s="546">
        <f t="shared" si="182"/>
        <v>0</v>
      </c>
      <c r="HN34" s="544">
        <v>1329.1885836222993</v>
      </c>
      <c r="HO34" s="545">
        <f t="shared" si="72"/>
        <v>16.897897071221706</v>
      </c>
      <c r="HP34" s="546">
        <f t="shared" si="183"/>
        <v>0</v>
      </c>
      <c r="HQ34" s="544"/>
      <c r="HR34" s="545">
        <f t="shared" si="73"/>
        <v>0</v>
      </c>
      <c r="HS34" s="546">
        <f t="shared" si="184"/>
        <v>0</v>
      </c>
      <c r="HT34" s="544">
        <v>0</v>
      </c>
      <c r="HU34" s="545">
        <f t="shared" si="74"/>
        <v>0</v>
      </c>
      <c r="HV34" s="546">
        <f t="shared" si="185"/>
        <v>0</v>
      </c>
      <c r="HW34" s="544">
        <v>0</v>
      </c>
      <c r="HX34" s="545">
        <f t="shared" si="75"/>
        <v>0</v>
      </c>
      <c r="HY34" s="546">
        <f t="shared" si="186"/>
        <v>0</v>
      </c>
      <c r="HZ34" s="544">
        <v>0</v>
      </c>
      <c r="IA34" s="545">
        <f t="shared" si="76"/>
        <v>0</v>
      </c>
      <c r="IB34" s="546">
        <f t="shared" si="187"/>
        <v>0</v>
      </c>
      <c r="IC34" s="544">
        <v>0</v>
      </c>
      <c r="ID34" s="545">
        <f t="shared" si="77"/>
        <v>0</v>
      </c>
      <c r="IE34" s="546">
        <f t="shared" si="188"/>
        <v>0</v>
      </c>
      <c r="IF34" s="544">
        <v>32.137054729746119</v>
      </c>
      <c r="IG34" s="545">
        <f t="shared" si="78"/>
        <v>0.4085565055904668</v>
      </c>
      <c r="IH34" s="546">
        <f t="shared" si="189"/>
        <v>0</v>
      </c>
      <c r="II34" s="544"/>
      <c r="IJ34" s="545">
        <f t="shared" si="79"/>
        <v>0</v>
      </c>
      <c r="IK34" s="546">
        <f t="shared" si="190"/>
        <v>0</v>
      </c>
      <c r="IL34" s="544"/>
      <c r="IM34" s="545">
        <f t="shared" si="80"/>
        <v>0</v>
      </c>
      <c r="IN34" s="546">
        <f t="shared" si="191"/>
        <v>0</v>
      </c>
      <c r="IO34" s="544">
        <v>89.983753243289129</v>
      </c>
      <c r="IP34" s="545">
        <f t="shared" si="81"/>
        <v>1.143958215653307</v>
      </c>
      <c r="IQ34" s="546">
        <f t="shared" si="192"/>
        <v>0</v>
      </c>
      <c r="IR34" s="544">
        <v>0</v>
      </c>
      <c r="IS34" s="545">
        <f t="shared" si="82"/>
        <v>0</v>
      </c>
      <c r="IT34" s="546">
        <f t="shared" si="193"/>
        <v>0</v>
      </c>
      <c r="IU34" s="544"/>
      <c r="IV34" s="545">
        <f t="shared" si="83"/>
        <v>0</v>
      </c>
      <c r="IW34" s="546">
        <f t="shared" si="194"/>
        <v>0</v>
      </c>
      <c r="IX34" s="544">
        <v>0</v>
      </c>
      <c r="IY34" s="545">
        <f t="shared" si="84"/>
        <v>0</v>
      </c>
      <c r="IZ34" s="546">
        <f t="shared" si="195"/>
        <v>0</v>
      </c>
      <c r="JA34" s="544"/>
      <c r="JB34" s="545">
        <f t="shared" si="85"/>
        <v>0</v>
      </c>
      <c r="JC34" s="546">
        <f t="shared" si="196"/>
        <v>0</v>
      </c>
      <c r="JD34" s="544"/>
      <c r="JE34" s="545">
        <f t="shared" si="86"/>
        <v>0</v>
      </c>
      <c r="JF34" s="546">
        <f t="shared" si="197"/>
        <v>0</v>
      </c>
      <c r="JG34" s="544">
        <v>32.137054729746119</v>
      </c>
      <c r="JH34" s="546" t="str">
        <f t="shared" si="87"/>
        <v>0</v>
      </c>
      <c r="JI34" s="546" t="str">
        <f t="shared" si="88"/>
        <v>0</v>
      </c>
      <c r="JJ34" s="544">
        <v>6.427410945949223</v>
      </c>
      <c r="JK34" s="546" t="str">
        <f t="shared" si="89"/>
        <v>0</v>
      </c>
      <c r="JL34" s="546" t="str">
        <f t="shared" si="90"/>
        <v>0</v>
      </c>
      <c r="JM34" s="544">
        <v>0</v>
      </c>
      <c r="JN34" s="546" t="str">
        <f t="shared" si="91"/>
        <v>0</v>
      </c>
      <c r="JO34" s="546" t="str">
        <f t="shared" si="92"/>
        <v>0</v>
      </c>
      <c r="JP34" s="544"/>
      <c r="JQ34" s="546" t="str">
        <f t="shared" si="93"/>
        <v>0</v>
      </c>
      <c r="JR34" s="546" t="str">
        <f t="shared" si="94"/>
        <v>0</v>
      </c>
      <c r="JS34" s="544"/>
      <c r="JT34" s="546" t="str">
        <f t="shared" si="95"/>
        <v>0</v>
      </c>
      <c r="JU34" s="546" t="str">
        <f t="shared" si="96"/>
        <v>0</v>
      </c>
      <c r="JV34" s="544"/>
      <c r="JW34" s="546" t="str">
        <f t="shared" si="97"/>
        <v>0</v>
      </c>
      <c r="JX34" s="546" t="str">
        <f t="shared" si="98"/>
        <v>0</v>
      </c>
      <c r="JY34" s="544"/>
      <c r="JZ34" s="546" t="str">
        <f t="shared" si="99"/>
        <v>0</v>
      </c>
      <c r="KA34" s="546" t="str">
        <f t="shared" si="100"/>
        <v>0</v>
      </c>
      <c r="KB34" s="544"/>
      <c r="KC34" s="546" t="str">
        <f t="shared" si="101"/>
        <v>0</v>
      </c>
      <c r="KD34" s="546" t="str">
        <f t="shared" si="102"/>
        <v>0</v>
      </c>
      <c r="KE34" s="544"/>
      <c r="KF34" s="546" t="str">
        <f t="shared" si="103"/>
        <v>0</v>
      </c>
      <c r="KG34" s="546" t="str">
        <f t="shared" si="104"/>
        <v>0</v>
      </c>
      <c r="KH34" s="544"/>
      <c r="KI34" s="546" t="str">
        <f t="shared" si="105"/>
        <v>0</v>
      </c>
      <c r="KJ34" s="546" t="str">
        <f t="shared" si="106"/>
        <v>0</v>
      </c>
      <c r="KK34" s="544"/>
      <c r="KL34" s="546" t="str">
        <f t="shared" si="107"/>
        <v>0</v>
      </c>
      <c r="KM34" s="546" t="str">
        <f t="shared" si="108"/>
        <v>0</v>
      </c>
      <c r="KN34" s="544"/>
      <c r="KO34" s="546" t="str">
        <f t="shared" si="109"/>
        <v>0</v>
      </c>
      <c r="KP34" s="546" t="str">
        <f t="shared" si="110"/>
        <v>0</v>
      </c>
      <c r="KQ34" s="546">
        <f t="shared" si="111"/>
        <v>0</v>
      </c>
      <c r="KR34" s="546">
        <f t="shared" si="198"/>
        <v>0</v>
      </c>
      <c r="KS34" s="265">
        <f t="shared" si="199"/>
        <v>3467.9018900606784</v>
      </c>
    </row>
    <row r="35" spans="1:16381" ht="15" customHeight="1">
      <c r="A35" s="267">
        <f>+Report1!A35</f>
        <v>46018</v>
      </c>
      <c r="B35" s="268" t="str">
        <f>+Report1!B35</f>
        <v>Towel</v>
      </c>
      <c r="C35" s="268" t="str">
        <f>+Report1!C35</f>
        <v>38</v>
      </c>
      <c r="D35" s="269">
        <f>+Report1!P35</f>
        <v>78.304000000000002</v>
      </c>
      <c r="E35" s="270">
        <f>+Report1!R35</f>
        <v>75.625</v>
      </c>
      <c r="F35" s="544">
        <v>226.01906046511658</v>
      </c>
      <c r="G35" s="545">
        <f t="shared" si="0"/>
        <v>2.9886817912742689</v>
      </c>
      <c r="H35" s="546">
        <f t="shared" si="112"/>
        <v>0</v>
      </c>
      <c r="I35" s="544"/>
      <c r="J35" s="545">
        <f t="shared" si="1"/>
        <v>0</v>
      </c>
      <c r="K35" s="546">
        <f t="shared" si="113"/>
        <v>0</v>
      </c>
      <c r="L35" s="544"/>
      <c r="M35" s="545">
        <f t="shared" si="2"/>
        <v>0</v>
      </c>
      <c r="N35" s="546">
        <f t="shared" si="114"/>
        <v>0</v>
      </c>
      <c r="O35" s="544">
        <v>5.9999999999999716</v>
      </c>
      <c r="P35" s="545">
        <f t="shared" si="3"/>
        <v>7.9338842975206242E-2</v>
      </c>
      <c r="Q35" s="546">
        <f t="shared" si="115"/>
        <v>0</v>
      </c>
      <c r="R35" s="544"/>
      <c r="S35" s="545">
        <f t="shared" si="4"/>
        <v>0</v>
      </c>
      <c r="T35" s="546">
        <f t="shared" si="116"/>
        <v>0</v>
      </c>
      <c r="U35" s="544">
        <v>10.25</v>
      </c>
      <c r="V35" s="545">
        <f t="shared" si="5"/>
        <v>0.13553719008264462</v>
      </c>
      <c r="W35" s="546">
        <f t="shared" si="117"/>
        <v>0</v>
      </c>
      <c r="X35" s="544"/>
      <c r="Y35" s="545">
        <f t="shared" si="6"/>
        <v>0</v>
      </c>
      <c r="Z35" s="546">
        <f t="shared" si="118"/>
        <v>0</v>
      </c>
      <c r="AA35" s="544"/>
      <c r="AB35" s="545">
        <f t="shared" si="7"/>
        <v>0</v>
      </c>
      <c r="AC35" s="546">
        <f t="shared" si="119"/>
        <v>0</v>
      </c>
      <c r="AD35" s="544"/>
      <c r="AE35" s="545">
        <f t="shared" si="8"/>
        <v>0</v>
      </c>
      <c r="AF35" s="546">
        <f t="shared" si="120"/>
        <v>0</v>
      </c>
      <c r="AG35" s="544"/>
      <c r="AH35" s="545">
        <f t="shared" si="9"/>
        <v>0</v>
      </c>
      <c r="AI35" s="546">
        <f t="shared" si="121"/>
        <v>0</v>
      </c>
      <c r="AJ35" s="544"/>
      <c r="AK35" s="545">
        <f t="shared" si="10"/>
        <v>0</v>
      </c>
      <c r="AL35" s="546">
        <f t="shared" si="122"/>
        <v>0</v>
      </c>
      <c r="AM35" s="544">
        <v>24.84880000000004</v>
      </c>
      <c r="AN35" s="545">
        <f t="shared" si="11"/>
        <v>0.32857917355371952</v>
      </c>
      <c r="AO35" s="546">
        <f t="shared" si="123"/>
        <v>0</v>
      </c>
      <c r="AP35" s="544"/>
      <c r="AQ35" s="545">
        <f t="shared" si="12"/>
        <v>0</v>
      </c>
      <c r="AR35" s="546">
        <f t="shared" si="124"/>
        <v>0</v>
      </c>
      <c r="AS35" s="544"/>
      <c r="AT35" s="545">
        <f t="shared" si="13"/>
        <v>0</v>
      </c>
      <c r="AU35" s="546">
        <f t="shared" si="125"/>
        <v>0</v>
      </c>
      <c r="AV35" s="544">
        <v>0</v>
      </c>
      <c r="AW35" s="545">
        <f t="shared" si="14"/>
        <v>0</v>
      </c>
      <c r="AX35" s="546">
        <f t="shared" si="126"/>
        <v>0</v>
      </c>
      <c r="AY35" s="544">
        <v>34.322266666666621</v>
      </c>
      <c r="AZ35" s="545">
        <f t="shared" si="15"/>
        <v>0.45384815426997183</v>
      </c>
      <c r="BA35" s="546">
        <f t="shared" si="127"/>
        <v>0</v>
      </c>
      <c r="BB35" s="544"/>
      <c r="BC35" s="545">
        <f t="shared" si="16"/>
        <v>0</v>
      </c>
      <c r="BD35" s="546">
        <f t="shared" si="128"/>
        <v>0</v>
      </c>
      <c r="BE35" s="544"/>
      <c r="BF35" s="545">
        <f t="shared" si="17"/>
        <v>0</v>
      </c>
      <c r="BG35" s="546">
        <f t="shared" si="129"/>
        <v>0</v>
      </c>
      <c r="BH35" s="544"/>
      <c r="BI35" s="545">
        <f t="shared" si="18"/>
        <v>0</v>
      </c>
      <c r="BJ35" s="546">
        <f t="shared" si="130"/>
        <v>0</v>
      </c>
      <c r="BK35" s="544"/>
      <c r="BL35" s="545">
        <f t="shared" si="19"/>
        <v>0</v>
      </c>
      <c r="BM35" s="546">
        <f t="shared" si="131"/>
        <v>0</v>
      </c>
      <c r="BN35" s="544"/>
      <c r="BO35" s="545">
        <f t="shared" si="20"/>
        <v>0</v>
      </c>
      <c r="BP35" s="546">
        <f t="shared" si="132"/>
        <v>0</v>
      </c>
      <c r="BQ35" s="544"/>
      <c r="BR35" s="545">
        <f t="shared" si="21"/>
        <v>0</v>
      </c>
      <c r="BS35" s="546">
        <f t="shared" si="133"/>
        <v>0</v>
      </c>
      <c r="BT35" s="544"/>
      <c r="BU35" s="545">
        <f t="shared" si="22"/>
        <v>0</v>
      </c>
      <c r="BV35" s="546">
        <f t="shared" si="134"/>
        <v>0</v>
      </c>
      <c r="BW35" s="544"/>
      <c r="BX35" s="545">
        <f t="shared" si="23"/>
        <v>0</v>
      </c>
      <c r="BY35" s="546">
        <f t="shared" si="135"/>
        <v>0</v>
      </c>
      <c r="BZ35" s="544">
        <v>0</v>
      </c>
      <c r="CA35" s="545">
        <f t="shared" si="24"/>
        <v>0</v>
      </c>
      <c r="CB35" s="546">
        <f t="shared" si="136"/>
        <v>0</v>
      </c>
      <c r="CC35" s="544">
        <v>20.5</v>
      </c>
      <c r="CD35" s="545">
        <f t="shared" si="25"/>
        <v>0.27107438016528923</v>
      </c>
      <c r="CE35" s="546">
        <f t="shared" si="137"/>
        <v>0</v>
      </c>
      <c r="CF35" s="544">
        <v>1.2000000000000011</v>
      </c>
      <c r="CG35" s="545">
        <f t="shared" si="26"/>
        <v>1.5867768595041336E-2</v>
      </c>
      <c r="CH35" s="546">
        <f t="shared" si="138"/>
        <v>0</v>
      </c>
      <c r="CI35" s="544"/>
      <c r="CJ35" s="545">
        <f t="shared" si="27"/>
        <v>0</v>
      </c>
      <c r="CK35" s="546">
        <f t="shared" si="139"/>
        <v>0</v>
      </c>
      <c r="CL35" s="544"/>
      <c r="CM35" s="545">
        <f t="shared" si="28"/>
        <v>0</v>
      </c>
      <c r="CN35" s="546">
        <f t="shared" si="140"/>
        <v>0</v>
      </c>
      <c r="CO35" s="544"/>
      <c r="CP35" s="545">
        <f t="shared" si="29"/>
        <v>0</v>
      </c>
      <c r="CQ35" s="546">
        <f t="shared" si="141"/>
        <v>0</v>
      </c>
      <c r="CR35" s="544"/>
      <c r="CS35" s="545">
        <f t="shared" si="30"/>
        <v>0</v>
      </c>
      <c r="CT35" s="546">
        <f t="shared" si="142"/>
        <v>0</v>
      </c>
      <c r="CU35" s="544"/>
      <c r="CV35" s="545">
        <f t="shared" si="31"/>
        <v>0</v>
      </c>
      <c r="CW35" s="546">
        <f t="shared" si="143"/>
        <v>0</v>
      </c>
      <c r="CX35" s="544"/>
      <c r="CY35" s="545">
        <f t="shared" si="32"/>
        <v>0</v>
      </c>
      <c r="CZ35" s="546">
        <f t="shared" si="144"/>
        <v>0</v>
      </c>
      <c r="DA35" s="544">
        <v>0</v>
      </c>
      <c r="DB35" s="545">
        <f t="shared" si="33"/>
        <v>0</v>
      </c>
      <c r="DC35" s="546">
        <f t="shared" si="145"/>
        <v>0</v>
      </c>
      <c r="DD35" s="544"/>
      <c r="DE35" s="545">
        <f t="shared" si="34"/>
        <v>0</v>
      </c>
      <c r="DF35" s="546">
        <f t="shared" si="146"/>
        <v>0</v>
      </c>
      <c r="DG35" s="544"/>
      <c r="DH35" s="545">
        <f t="shared" si="35"/>
        <v>0</v>
      </c>
      <c r="DI35" s="546">
        <f t="shared" si="200"/>
        <v>0</v>
      </c>
      <c r="DJ35" s="544"/>
      <c r="DK35" s="545">
        <f t="shared" si="36"/>
        <v>0</v>
      </c>
      <c r="DL35" s="546">
        <f t="shared" si="147"/>
        <v>0</v>
      </c>
      <c r="DM35" s="544"/>
      <c r="DN35" s="545">
        <f t="shared" si="37"/>
        <v>0</v>
      </c>
      <c r="DO35" s="546">
        <f t="shared" si="148"/>
        <v>0</v>
      </c>
      <c r="DP35" s="544"/>
      <c r="DQ35" s="545">
        <f t="shared" si="38"/>
        <v>0</v>
      </c>
      <c r="DR35" s="546">
        <f t="shared" si="149"/>
        <v>0</v>
      </c>
      <c r="DS35" s="544"/>
      <c r="DT35" s="545">
        <f t="shared" si="39"/>
        <v>0</v>
      </c>
      <c r="DU35" s="546">
        <f t="shared" si="150"/>
        <v>0</v>
      </c>
      <c r="DV35" s="544"/>
      <c r="DW35" s="545">
        <f t="shared" si="40"/>
        <v>0</v>
      </c>
      <c r="DX35" s="546">
        <f t="shared" si="151"/>
        <v>0</v>
      </c>
      <c r="DY35" s="544"/>
      <c r="DZ35" s="545">
        <f t="shared" si="41"/>
        <v>0</v>
      </c>
      <c r="EA35" s="546">
        <f t="shared" si="152"/>
        <v>0</v>
      </c>
      <c r="EB35" s="544">
        <v>1764.7058823529412</v>
      </c>
      <c r="EC35" s="545">
        <f t="shared" si="42"/>
        <v>23.334953816237238</v>
      </c>
      <c r="ED35" s="546">
        <f t="shared" si="153"/>
        <v>0</v>
      </c>
      <c r="EE35" s="544">
        <v>14.534883720930225</v>
      </c>
      <c r="EF35" s="545">
        <f t="shared" si="43"/>
        <v>0.19219680953296164</v>
      </c>
      <c r="EG35" s="546">
        <f t="shared" si="154"/>
        <v>0</v>
      </c>
      <c r="EH35" s="544">
        <v>1</v>
      </c>
      <c r="EI35" s="545">
        <f t="shared" si="44"/>
        <v>1.3223140495867768E-2</v>
      </c>
      <c r="EJ35" s="546">
        <f t="shared" si="155"/>
        <v>0</v>
      </c>
      <c r="EK35" s="544"/>
      <c r="EL35" s="545">
        <f t="shared" si="45"/>
        <v>0</v>
      </c>
      <c r="EM35" s="546">
        <f t="shared" si="156"/>
        <v>0</v>
      </c>
      <c r="EN35" s="544"/>
      <c r="EO35" s="545">
        <f t="shared" si="46"/>
        <v>0</v>
      </c>
      <c r="EP35" s="546">
        <f t="shared" si="157"/>
        <v>0</v>
      </c>
      <c r="EQ35" s="544"/>
      <c r="ER35" s="545">
        <f t="shared" si="47"/>
        <v>0</v>
      </c>
      <c r="ES35" s="546">
        <f t="shared" si="158"/>
        <v>0</v>
      </c>
      <c r="ET35" s="544"/>
      <c r="EU35" s="545">
        <f t="shared" si="48"/>
        <v>0</v>
      </c>
      <c r="EV35" s="546">
        <f t="shared" si="159"/>
        <v>0</v>
      </c>
      <c r="EW35" s="544"/>
      <c r="EX35" s="545">
        <f t="shared" si="49"/>
        <v>0</v>
      </c>
      <c r="EY35" s="546">
        <f t="shared" si="160"/>
        <v>0</v>
      </c>
      <c r="EZ35" s="544"/>
      <c r="FA35" s="545">
        <f t="shared" si="50"/>
        <v>0</v>
      </c>
      <c r="FB35" s="546">
        <f t="shared" si="161"/>
        <v>0</v>
      </c>
      <c r="FC35" s="544"/>
      <c r="FD35" s="545">
        <f t="shared" si="51"/>
        <v>0</v>
      </c>
      <c r="FE35" s="546">
        <f t="shared" si="162"/>
        <v>0</v>
      </c>
      <c r="FF35" s="544"/>
      <c r="FG35" s="545">
        <f t="shared" si="52"/>
        <v>0</v>
      </c>
      <c r="FH35" s="546">
        <f t="shared" si="163"/>
        <v>0</v>
      </c>
      <c r="FI35" s="544"/>
      <c r="FJ35" s="545">
        <f t="shared" si="53"/>
        <v>0</v>
      </c>
      <c r="FK35" s="546">
        <f t="shared" si="164"/>
        <v>0</v>
      </c>
      <c r="FL35" s="544"/>
      <c r="FM35" s="545">
        <f t="shared" si="54"/>
        <v>0</v>
      </c>
      <c r="FN35" s="546">
        <f t="shared" si="165"/>
        <v>0</v>
      </c>
      <c r="FO35" s="544"/>
      <c r="FP35" s="545">
        <f t="shared" si="55"/>
        <v>0</v>
      </c>
      <c r="FQ35" s="546">
        <f t="shared" si="166"/>
        <v>0</v>
      </c>
      <c r="FR35" s="544"/>
      <c r="FS35" s="545">
        <f t="shared" si="56"/>
        <v>0</v>
      </c>
      <c r="FT35" s="546">
        <f t="shared" si="167"/>
        <v>0</v>
      </c>
      <c r="FU35" s="544"/>
      <c r="FV35" s="545">
        <f t="shared" si="57"/>
        <v>0</v>
      </c>
      <c r="FW35" s="546">
        <f t="shared" si="168"/>
        <v>0</v>
      </c>
      <c r="FX35" s="544"/>
      <c r="FY35" s="545">
        <f t="shared" si="58"/>
        <v>0</v>
      </c>
      <c r="FZ35" s="546">
        <f t="shared" si="169"/>
        <v>0</v>
      </c>
      <c r="GA35" s="544"/>
      <c r="GB35" s="545">
        <f t="shared" si="59"/>
        <v>0</v>
      </c>
      <c r="GC35" s="546">
        <f t="shared" si="170"/>
        <v>0</v>
      </c>
      <c r="GD35" s="544"/>
      <c r="GE35" s="545">
        <f t="shared" si="60"/>
        <v>0</v>
      </c>
      <c r="GF35" s="546">
        <f t="shared" si="171"/>
        <v>0</v>
      </c>
      <c r="GG35" s="544">
        <v>17.827426576610758</v>
      </c>
      <c r="GH35" s="545">
        <f t="shared" si="61"/>
        <v>0.235734566302291</v>
      </c>
      <c r="GI35" s="546">
        <f t="shared" si="172"/>
        <v>0</v>
      </c>
      <c r="GJ35" s="544">
        <v>17.827426576610758</v>
      </c>
      <c r="GK35" s="545">
        <f t="shared" si="210"/>
        <v>0.235734566302291</v>
      </c>
      <c r="GL35" s="546">
        <f t="shared" si="211"/>
        <v>0</v>
      </c>
      <c r="GM35" s="544">
        <v>0</v>
      </c>
      <c r="GN35" s="545">
        <f t="shared" si="201"/>
        <v>0</v>
      </c>
      <c r="GO35" s="546">
        <f t="shared" si="202"/>
        <v>0</v>
      </c>
      <c r="GP35" s="544">
        <v>38.626090915989977</v>
      </c>
      <c r="GQ35" s="545">
        <f t="shared" si="203"/>
        <v>0.5107582269882972</v>
      </c>
      <c r="GR35" s="546">
        <f t="shared" si="204"/>
        <v>0</v>
      </c>
      <c r="GS35" s="544">
        <v>219.87159444486605</v>
      </c>
      <c r="GT35" s="545">
        <f t="shared" si="205"/>
        <v>2.9073929843949231</v>
      </c>
      <c r="GU35" s="546">
        <f t="shared" si="206"/>
        <v>0</v>
      </c>
      <c r="GV35" s="544">
        <v>47.539804204295358</v>
      </c>
      <c r="GW35" s="545">
        <f t="shared" si="207"/>
        <v>0.62862551013944279</v>
      </c>
      <c r="GX35" s="546">
        <f t="shared" si="208"/>
        <v>0</v>
      </c>
      <c r="GY35" s="544"/>
      <c r="GZ35" s="545">
        <f t="shared" si="67"/>
        <v>0</v>
      </c>
      <c r="HA35" s="546">
        <f t="shared" si="178"/>
        <v>0</v>
      </c>
      <c r="HB35" s="544"/>
      <c r="HC35" s="545">
        <f t="shared" si="68"/>
        <v>0</v>
      </c>
      <c r="HD35" s="546">
        <f t="shared" si="179"/>
        <v>0</v>
      </c>
      <c r="HE35" s="544"/>
      <c r="HF35" s="545">
        <f t="shared" si="69"/>
        <v>0</v>
      </c>
      <c r="HG35" s="546">
        <f t="shared" si="180"/>
        <v>0</v>
      </c>
      <c r="HH35" s="544"/>
      <c r="HI35" s="545">
        <f t="shared" si="70"/>
        <v>0</v>
      </c>
      <c r="HJ35" s="546">
        <f t="shared" si="181"/>
        <v>0</v>
      </c>
      <c r="HK35" s="544"/>
      <c r="HL35" s="545">
        <f t="shared" si="71"/>
        <v>0</v>
      </c>
      <c r="HM35" s="546">
        <f t="shared" si="182"/>
        <v>0</v>
      </c>
      <c r="HN35" s="544">
        <v>1228.903938681035</v>
      </c>
      <c r="HO35" s="545">
        <f t="shared" si="72"/>
        <v>16.249969437104596</v>
      </c>
      <c r="HP35" s="546">
        <f t="shared" si="183"/>
        <v>0</v>
      </c>
      <c r="HQ35" s="544"/>
      <c r="HR35" s="545">
        <f t="shared" si="73"/>
        <v>0</v>
      </c>
      <c r="HS35" s="546">
        <f t="shared" si="184"/>
        <v>0</v>
      </c>
      <c r="HT35" s="544">
        <v>0</v>
      </c>
      <c r="HU35" s="545">
        <f t="shared" si="74"/>
        <v>0</v>
      </c>
      <c r="HV35" s="546">
        <f t="shared" si="185"/>
        <v>0</v>
      </c>
      <c r="HW35" s="544">
        <v>0</v>
      </c>
      <c r="HX35" s="545">
        <f t="shared" si="75"/>
        <v>0</v>
      </c>
      <c r="HY35" s="546">
        <f t="shared" si="186"/>
        <v>0</v>
      </c>
      <c r="HZ35" s="544">
        <v>0</v>
      </c>
      <c r="IA35" s="545">
        <f>+HZ35/$E35</f>
        <v>0</v>
      </c>
      <c r="IB35" s="546">
        <f>+HZ35*$H$8</f>
        <v>0</v>
      </c>
      <c r="IC35" s="544">
        <v>0</v>
      </c>
      <c r="ID35" s="545">
        <f t="shared" si="77"/>
        <v>0</v>
      </c>
      <c r="IE35" s="546">
        <f t="shared" si="188"/>
        <v>0</v>
      </c>
      <c r="IF35" s="544">
        <v>35.654853153221516</v>
      </c>
      <c r="IG35" s="545">
        <f t="shared" si="78"/>
        <v>0.47146913260458201</v>
      </c>
      <c r="IH35" s="546">
        <f t="shared" si="189"/>
        <v>0</v>
      </c>
      <c r="II35" s="544"/>
      <c r="IJ35" s="545">
        <f t="shared" si="79"/>
        <v>0</v>
      </c>
      <c r="IK35" s="546">
        <f t="shared" si="190"/>
        <v>0</v>
      </c>
      <c r="IL35" s="544"/>
      <c r="IM35" s="545">
        <f t="shared" si="80"/>
        <v>0</v>
      </c>
      <c r="IN35" s="546">
        <f t="shared" si="191"/>
        <v>0</v>
      </c>
      <c r="IO35" s="544">
        <v>83.194657357516874</v>
      </c>
      <c r="IP35" s="545">
        <f t="shared" si="81"/>
        <v>1.1000946427440248</v>
      </c>
      <c r="IQ35" s="546">
        <f t="shared" si="192"/>
        <v>0</v>
      </c>
      <c r="IR35" s="544">
        <v>0</v>
      </c>
      <c r="IS35" s="545">
        <f t="shared" si="82"/>
        <v>0</v>
      </c>
      <c r="IT35" s="546">
        <f t="shared" si="193"/>
        <v>0</v>
      </c>
      <c r="IU35" s="544"/>
      <c r="IV35" s="545">
        <f t="shared" si="83"/>
        <v>0</v>
      </c>
      <c r="IW35" s="546">
        <f t="shared" si="194"/>
        <v>0</v>
      </c>
      <c r="IX35" s="544">
        <v>0</v>
      </c>
      <c r="IY35" s="545">
        <f t="shared" si="84"/>
        <v>0</v>
      </c>
      <c r="IZ35" s="546">
        <f t="shared" si="195"/>
        <v>0</v>
      </c>
      <c r="JA35" s="544"/>
      <c r="JB35" s="545">
        <f t="shared" si="85"/>
        <v>0</v>
      </c>
      <c r="JC35" s="546">
        <f t="shared" si="196"/>
        <v>0</v>
      </c>
      <c r="JD35" s="544"/>
      <c r="JE35" s="545">
        <f t="shared" si="86"/>
        <v>0</v>
      </c>
      <c r="JF35" s="546">
        <f t="shared" si="197"/>
        <v>0</v>
      </c>
      <c r="JG35" s="544">
        <v>29.712377627684599</v>
      </c>
      <c r="JH35" s="546" t="str">
        <f t="shared" si="87"/>
        <v>0</v>
      </c>
      <c r="JI35" s="546" t="str">
        <f t="shared" si="88"/>
        <v>0</v>
      </c>
      <c r="JJ35" s="544">
        <v>5.9424755255369197</v>
      </c>
      <c r="JK35" s="546" t="str">
        <f t="shared" si="89"/>
        <v>0</v>
      </c>
      <c r="JL35" s="546" t="str">
        <f t="shared" si="90"/>
        <v>0</v>
      </c>
      <c r="JM35" s="544">
        <v>0</v>
      </c>
      <c r="JN35" s="546" t="str">
        <f t="shared" si="91"/>
        <v>0</v>
      </c>
      <c r="JO35" s="546" t="str">
        <f t="shared" si="92"/>
        <v>0</v>
      </c>
      <c r="JP35" s="544"/>
      <c r="JQ35" s="546" t="str">
        <f t="shared" si="93"/>
        <v>0</v>
      </c>
      <c r="JR35" s="546" t="str">
        <f t="shared" si="94"/>
        <v>0</v>
      </c>
      <c r="JS35" s="544"/>
      <c r="JT35" s="546" t="str">
        <f t="shared" si="95"/>
        <v>0</v>
      </c>
      <c r="JU35" s="546" t="str">
        <f t="shared" si="96"/>
        <v>0</v>
      </c>
      <c r="JV35" s="544"/>
      <c r="JW35" s="546" t="str">
        <f t="shared" si="97"/>
        <v>0</v>
      </c>
      <c r="JX35" s="546" t="str">
        <f t="shared" si="98"/>
        <v>0</v>
      </c>
      <c r="JY35" s="544"/>
      <c r="JZ35" s="546" t="str">
        <f t="shared" si="99"/>
        <v>0</v>
      </c>
      <c r="KA35" s="546" t="str">
        <f t="shared" si="100"/>
        <v>0</v>
      </c>
      <c r="KB35" s="544"/>
      <c r="KC35" s="546" t="str">
        <f t="shared" si="101"/>
        <v>0</v>
      </c>
      <c r="KD35" s="546" t="str">
        <f t="shared" si="102"/>
        <v>0</v>
      </c>
      <c r="KE35" s="544"/>
      <c r="KF35" s="546" t="str">
        <f t="shared" si="103"/>
        <v>0</v>
      </c>
      <c r="KG35" s="546" t="str">
        <f t="shared" si="104"/>
        <v>0</v>
      </c>
      <c r="KH35" s="544"/>
      <c r="KI35" s="546" t="str">
        <f t="shared" si="105"/>
        <v>0</v>
      </c>
      <c r="KJ35" s="546" t="str">
        <f t="shared" si="106"/>
        <v>0</v>
      </c>
      <c r="KK35" s="544"/>
      <c r="KL35" s="546" t="str">
        <f t="shared" si="107"/>
        <v>0</v>
      </c>
      <c r="KM35" s="546" t="str">
        <f t="shared" si="108"/>
        <v>0</v>
      </c>
      <c r="KN35" s="544"/>
      <c r="KO35" s="546" t="str">
        <f t="shared" si="109"/>
        <v>0</v>
      </c>
      <c r="KP35" s="546" t="str">
        <f t="shared" si="110"/>
        <v>0</v>
      </c>
      <c r="KQ35" s="546">
        <f t="shared" si="111"/>
        <v>0</v>
      </c>
      <c r="KR35" s="546">
        <f t="shared" si="198"/>
        <v>0</v>
      </c>
      <c r="KS35" s="265">
        <f t="shared" si="199"/>
        <v>3828.4815382690222</v>
      </c>
    </row>
    <row r="36" spans="1:16381" ht="15" customHeight="1">
      <c r="A36" s="267">
        <f>+Report1!A36</f>
        <v>46019</v>
      </c>
      <c r="B36" s="268" t="str">
        <f>+Report1!B36</f>
        <v>Towel</v>
      </c>
      <c r="C36" s="268" t="str">
        <f>+Report1!C36</f>
        <v>38</v>
      </c>
      <c r="D36" s="269">
        <f>+Report1!P36</f>
        <v>70.75200000000001</v>
      </c>
      <c r="E36" s="270">
        <f>+Report1!R36</f>
        <v>70.376999999999995</v>
      </c>
      <c r="F36" s="544">
        <v>204.21349767441836</v>
      </c>
      <c r="G36" s="545">
        <f t="shared" si="0"/>
        <v>2.9017079113121955</v>
      </c>
      <c r="H36" s="546">
        <f t="shared" si="112"/>
        <v>0</v>
      </c>
      <c r="I36" s="544"/>
      <c r="J36" s="545">
        <f t="shared" si="1"/>
        <v>0</v>
      </c>
      <c r="K36" s="546">
        <f t="shared" si="113"/>
        <v>0</v>
      </c>
      <c r="L36" s="544"/>
      <c r="M36" s="545">
        <f t="shared" si="2"/>
        <v>0</v>
      </c>
      <c r="N36" s="546">
        <f t="shared" si="114"/>
        <v>0</v>
      </c>
      <c r="O36" s="544">
        <v>6</v>
      </c>
      <c r="P36" s="545">
        <f t="shared" si="3"/>
        <v>8.5255125964448619E-2</v>
      </c>
      <c r="Q36" s="546">
        <f t="shared" si="115"/>
        <v>0</v>
      </c>
      <c r="R36" s="544"/>
      <c r="S36" s="545">
        <f t="shared" si="4"/>
        <v>0</v>
      </c>
      <c r="T36" s="546">
        <f t="shared" si="116"/>
        <v>0</v>
      </c>
      <c r="U36" s="544">
        <v>10.250000000000028</v>
      </c>
      <c r="V36" s="545">
        <f t="shared" si="5"/>
        <v>0.14564417352260012</v>
      </c>
      <c r="W36" s="546">
        <f t="shared" si="117"/>
        <v>0</v>
      </c>
      <c r="X36" s="544"/>
      <c r="Y36" s="545">
        <f t="shared" si="6"/>
        <v>0</v>
      </c>
      <c r="Z36" s="546">
        <f t="shared" si="118"/>
        <v>0</v>
      </c>
      <c r="AA36" s="544"/>
      <c r="AB36" s="545">
        <f t="shared" si="7"/>
        <v>0</v>
      </c>
      <c r="AC36" s="546">
        <f t="shared" si="119"/>
        <v>0</v>
      </c>
      <c r="AD36" s="544"/>
      <c r="AE36" s="545">
        <f t="shared" si="8"/>
        <v>0</v>
      </c>
      <c r="AF36" s="546">
        <f t="shared" si="120"/>
        <v>0</v>
      </c>
      <c r="AG36" s="544"/>
      <c r="AH36" s="545">
        <f t="shared" si="9"/>
        <v>0</v>
      </c>
      <c r="AI36" s="546">
        <f t="shared" si="121"/>
        <v>0</v>
      </c>
      <c r="AJ36" s="544"/>
      <c r="AK36" s="545">
        <f t="shared" si="10"/>
        <v>0</v>
      </c>
      <c r="AL36" s="546">
        <f t="shared" si="122"/>
        <v>0</v>
      </c>
      <c r="AM36" s="544">
        <v>22.459299999999985</v>
      </c>
      <c r="AN36" s="545">
        <f t="shared" si="11"/>
        <v>0.3191284084288899</v>
      </c>
      <c r="AO36" s="546">
        <f t="shared" si="123"/>
        <v>0</v>
      </c>
      <c r="AP36" s="544"/>
      <c r="AQ36" s="545">
        <f t="shared" si="12"/>
        <v>0</v>
      </c>
      <c r="AR36" s="546">
        <f t="shared" si="124"/>
        <v>0</v>
      </c>
      <c r="AS36" s="544"/>
      <c r="AT36" s="545">
        <f t="shared" si="13"/>
        <v>0</v>
      </c>
      <c r="AU36" s="546">
        <f t="shared" si="125"/>
        <v>0</v>
      </c>
      <c r="AV36" s="544">
        <v>0</v>
      </c>
      <c r="AW36" s="545">
        <f t="shared" si="14"/>
        <v>0</v>
      </c>
      <c r="AX36" s="546">
        <f t="shared" si="126"/>
        <v>0</v>
      </c>
      <c r="AY36" s="544">
        <v>31.013200000000012</v>
      </c>
      <c r="AZ36" s="545">
        <f t="shared" si="15"/>
        <v>0.44067237876010651</v>
      </c>
      <c r="BA36" s="546">
        <f t="shared" si="127"/>
        <v>0</v>
      </c>
      <c r="BB36" s="544"/>
      <c r="BC36" s="545">
        <f t="shared" si="16"/>
        <v>0</v>
      </c>
      <c r="BD36" s="546">
        <f t="shared" si="128"/>
        <v>0</v>
      </c>
      <c r="BE36" s="544"/>
      <c r="BF36" s="545">
        <f t="shared" si="17"/>
        <v>0</v>
      </c>
      <c r="BG36" s="546">
        <f t="shared" si="129"/>
        <v>0</v>
      </c>
      <c r="BH36" s="544"/>
      <c r="BI36" s="545">
        <f t="shared" si="18"/>
        <v>0</v>
      </c>
      <c r="BJ36" s="546">
        <f t="shared" si="130"/>
        <v>0</v>
      </c>
      <c r="BK36" s="544"/>
      <c r="BL36" s="545">
        <f t="shared" si="19"/>
        <v>0</v>
      </c>
      <c r="BM36" s="546">
        <f t="shared" si="131"/>
        <v>0</v>
      </c>
      <c r="BN36" s="544"/>
      <c r="BO36" s="545">
        <f t="shared" si="20"/>
        <v>0</v>
      </c>
      <c r="BP36" s="546">
        <f t="shared" si="132"/>
        <v>0</v>
      </c>
      <c r="BQ36" s="544"/>
      <c r="BR36" s="545">
        <f t="shared" si="21"/>
        <v>0</v>
      </c>
      <c r="BS36" s="546">
        <f t="shared" si="133"/>
        <v>0</v>
      </c>
      <c r="BT36" s="544"/>
      <c r="BU36" s="545">
        <f t="shared" si="22"/>
        <v>0</v>
      </c>
      <c r="BV36" s="546">
        <f t="shared" si="134"/>
        <v>0</v>
      </c>
      <c r="BW36" s="544"/>
      <c r="BX36" s="545">
        <f t="shared" si="23"/>
        <v>0</v>
      </c>
      <c r="BY36" s="546">
        <f t="shared" si="135"/>
        <v>0</v>
      </c>
      <c r="BZ36" s="544">
        <v>0</v>
      </c>
      <c r="CA36" s="545">
        <f t="shared" si="24"/>
        <v>0</v>
      </c>
      <c r="CB36" s="546">
        <f t="shared" si="136"/>
        <v>0</v>
      </c>
      <c r="CC36" s="544">
        <v>17</v>
      </c>
      <c r="CD36" s="545">
        <f t="shared" si="25"/>
        <v>0.24155619023260441</v>
      </c>
      <c r="CE36" s="546">
        <f t="shared" si="137"/>
        <v>0</v>
      </c>
      <c r="CF36" s="544">
        <v>1.1999999999999993</v>
      </c>
      <c r="CG36" s="545">
        <f t="shared" si="26"/>
        <v>1.7051025192889712E-2</v>
      </c>
      <c r="CH36" s="546">
        <f t="shared" si="138"/>
        <v>0</v>
      </c>
      <c r="CI36" s="544"/>
      <c r="CJ36" s="545">
        <f t="shared" si="27"/>
        <v>0</v>
      </c>
      <c r="CK36" s="546">
        <f t="shared" si="139"/>
        <v>0</v>
      </c>
      <c r="CL36" s="544"/>
      <c r="CM36" s="545">
        <f t="shared" si="28"/>
        <v>0</v>
      </c>
      <c r="CN36" s="546">
        <f t="shared" si="140"/>
        <v>0</v>
      </c>
      <c r="CO36" s="544"/>
      <c r="CP36" s="545">
        <f t="shared" si="29"/>
        <v>0</v>
      </c>
      <c r="CQ36" s="546">
        <f t="shared" si="141"/>
        <v>0</v>
      </c>
      <c r="CR36" s="544"/>
      <c r="CS36" s="545">
        <f t="shared" si="30"/>
        <v>0</v>
      </c>
      <c r="CT36" s="546">
        <f t="shared" si="142"/>
        <v>0</v>
      </c>
      <c r="CU36" s="544"/>
      <c r="CV36" s="545">
        <f t="shared" si="31"/>
        <v>0</v>
      </c>
      <c r="CW36" s="546">
        <f t="shared" si="143"/>
        <v>0</v>
      </c>
      <c r="CX36" s="544"/>
      <c r="CY36" s="545">
        <f t="shared" si="32"/>
        <v>0</v>
      </c>
      <c r="CZ36" s="546">
        <f t="shared" si="144"/>
        <v>0</v>
      </c>
      <c r="DA36" s="544">
        <v>0</v>
      </c>
      <c r="DB36" s="545">
        <f t="shared" si="33"/>
        <v>0</v>
      </c>
      <c r="DC36" s="546">
        <f t="shared" si="145"/>
        <v>0</v>
      </c>
      <c r="DD36" s="544"/>
      <c r="DE36" s="545">
        <f t="shared" si="34"/>
        <v>0</v>
      </c>
      <c r="DF36" s="546">
        <f t="shared" si="146"/>
        <v>0</v>
      </c>
      <c r="DG36" s="544"/>
      <c r="DH36" s="545">
        <f t="shared" si="35"/>
        <v>0</v>
      </c>
      <c r="DI36" s="546">
        <f t="shared" si="200"/>
        <v>0</v>
      </c>
      <c r="DJ36" s="544"/>
      <c r="DK36" s="545">
        <f t="shared" si="36"/>
        <v>0</v>
      </c>
      <c r="DL36" s="546">
        <f t="shared" si="147"/>
        <v>0</v>
      </c>
      <c r="DM36" s="544"/>
      <c r="DN36" s="545">
        <f t="shared" si="37"/>
        <v>0</v>
      </c>
      <c r="DO36" s="546">
        <f t="shared" si="148"/>
        <v>0</v>
      </c>
      <c r="DP36" s="544"/>
      <c r="DQ36" s="545">
        <f t="shared" si="38"/>
        <v>0</v>
      </c>
      <c r="DR36" s="546">
        <f t="shared" si="149"/>
        <v>0</v>
      </c>
      <c r="DS36" s="544"/>
      <c r="DT36" s="545">
        <f t="shared" si="39"/>
        <v>0</v>
      </c>
      <c r="DU36" s="546">
        <f t="shared" si="150"/>
        <v>0</v>
      </c>
      <c r="DV36" s="544"/>
      <c r="DW36" s="545">
        <f t="shared" si="40"/>
        <v>0</v>
      </c>
      <c r="DX36" s="546">
        <f t="shared" si="151"/>
        <v>0</v>
      </c>
      <c r="DY36" s="544"/>
      <c r="DZ36" s="545">
        <f t="shared" si="41"/>
        <v>0</v>
      </c>
      <c r="EA36" s="546">
        <f t="shared" si="152"/>
        <v>0</v>
      </c>
      <c r="EB36" s="544">
        <v>999.99999999999977</v>
      </c>
      <c r="EC36" s="545">
        <f t="shared" si="42"/>
        <v>14.209187660741433</v>
      </c>
      <c r="ED36" s="546">
        <f t="shared" si="153"/>
        <v>0</v>
      </c>
      <c r="EE36" s="544">
        <v>14.534883720930225</v>
      </c>
      <c r="EF36" s="545">
        <f t="shared" si="43"/>
        <v>0.20652889041775332</v>
      </c>
      <c r="EG36" s="546">
        <f t="shared" si="154"/>
        <v>0</v>
      </c>
      <c r="EH36" s="544">
        <v>0</v>
      </c>
      <c r="EI36" s="545">
        <f t="shared" si="44"/>
        <v>0</v>
      </c>
      <c r="EJ36" s="546">
        <f t="shared" si="155"/>
        <v>0</v>
      </c>
      <c r="EK36" s="544"/>
      <c r="EL36" s="545">
        <f t="shared" si="45"/>
        <v>0</v>
      </c>
      <c r="EM36" s="546">
        <f t="shared" si="156"/>
        <v>0</v>
      </c>
      <c r="EN36" s="544"/>
      <c r="EO36" s="545">
        <f t="shared" si="46"/>
        <v>0</v>
      </c>
      <c r="EP36" s="546">
        <f t="shared" si="157"/>
        <v>0</v>
      </c>
      <c r="EQ36" s="544"/>
      <c r="ER36" s="545">
        <f t="shared" si="47"/>
        <v>0</v>
      </c>
      <c r="ES36" s="546">
        <f t="shared" si="158"/>
        <v>0</v>
      </c>
      <c r="ET36" s="544"/>
      <c r="EU36" s="545">
        <f t="shared" si="48"/>
        <v>0</v>
      </c>
      <c r="EV36" s="546">
        <f t="shared" si="159"/>
        <v>0</v>
      </c>
      <c r="EW36" s="544"/>
      <c r="EX36" s="545">
        <f t="shared" si="49"/>
        <v>0</v>
      </c>
      <c r="EY36" s="546">
        <f t="shared" si="160"/>
        <v>0</v>
      </c>
      <c r="EZ36" s="544"/>
      <c r="FA36" s="545">
        <f t="shared" si="50"/>
        <v>0</v>
      </c>
      <c r="FB36" s="546">
        <f t="shared" si="161"/>
        <v>0</v>
      </c>
      <c r="FC36" s="544"/>
      <c r="FD36" s="545">
        <f t="shared" si="51"/>
        <v>0</v>
      </c>
      <c r="FE36" s="546">
        <f t="shared" si="162"/>
        <v>0</v>
      </c>
      <c r="FF36" s="544"/>
      <c r="FG36" s="545">
        <f t="shared" si="52"/>
        <v>0</v>
      </c>
      <c r="FH36" s="546">
        <f t="shared" si="163"/>
        <v>0</v>
      </c>
      <c r="FI36" s="544"/>
      <c r="FJ36" s="545">
        <f t="shared" si="53"/>
        <v>0</v>
      </c>
      <c r="FK36" s="546">
        <f t="shared" si="164"/>
        <v>0</v>
      </c>
      <c r="FL36" s="544"/>
      <c r="FM36" s="545">
        <f t="shared" si="54"/>
        <v>0</v>
      </c>
      <c r="FN36" s="546">
        <f t="shared" si="165"/>
        <v>0</v>
      </c>
      <c r="FO36" s="544"/>
      <c r="FP36" s="545">
        <f t="shared" si="55"/>
        <v>0</v>
      </c>
      <c r="FQ36" s="546">
        <f t="shared" si="166"/>
        <v>0</v>
      </c>
      <c r="FR36" s="544"/>
      <c r="FS36" s="545">
        <f t="shared" si="56"/>
        <v>0</v>
      </c>
      <c r="FT36" s="546">
        <f t="shared" si="167"/>
        <v>0</v>
      </c>
      <c r="FU36" s="544"/>
      <c r="FV36" s="545">
        <f t="shared" si="57"/>
        <v>0</v>
      </c>
      <c r="FW36" s="546">
        <f t="shared" si="168"/>
        <v>0</v>
      </c>
      <c r="FX36" s="544"/>
      <c r="FY36" s="545">
        <f t="shared" si="58"/>
        <v>0</v>
      </c>
      <c r="FZ36" s="546">
        <f t="shared" si="169"/>
        <v>0</v>
      </c>
      <c r="GA36" s="544"/>
      <c r="GB36" s="545">
        <f t="shared" si="59"/>
        <v>0</v>
      </c>
      <c r="GC36" s="546">
        <f t="shared" si="170"/>
        <v>0</v>
      </c>
      <c r="GD36" s="544"/>
      <c r="GE36" s="545">
        <f t="shared" si="60"/>
        <v>0</v>
      </c>
      <c r="GF36" s="546">
        <f t="shared" si="171"/>
        <v>0</v>
      </c>
      <c r="GG36" s="544">
        <v>17.238225954471254</v>
      </c>
      <c r="GH36" s="545">
        <f t="shared" si="61"/>
        <v>0.24494118752534572</v>
      </c>
      <c r="GI36" s="546">
        <f t="shared" si="172"/>
        <v>0</v>
      </c>
      <c r="GJ36" s="544">
        <v>17.238225954471254</v>
      </c>
      <c r="GK36" s="545">
        <f t="shared" si="210"/>
        <v>0.24494118752534572</v>
      </c>
      <c r="GL36" s="546">
        <f t="shared" si="211"/>
        <v>0</v>
      </c>
      <c r="GM36" s="544">
        <v>0</v>
      </c>
      <c r="GN36" s="545">
        <f t="shared" si="201"/>
        <v>0</v>
      </c>
      <c r="GO36" s="546">
        <f t="shared" si="202"/>
        <v>0</v>
      </c>
      <c r="GP36" s="544">
        <v>37.349489568021049</v>
      </c>
      <c r="GQ36" s="545">
        <f t="shared" si="203"/>
        <v>0.53070590630491565</v>
      </c>
      <c r="GR36" s="546">
        <f t="shared" si="204"/>
        <v>0</v>
      </c>
      <c r="GS36" s="544">
        <v>206.85871145365505</v>
      </c>
      <c r="GT36" s="545">
        <f t="shared" si="205"/>
        <v>2.9392942503041484</v>
      </c>
      <c r="GU36" s="546">
        <f t="shared" si="206"/>
        <v>0</v>
      </c>
      <c r="GV36" s="544">
        <v>57.460753181570844</v>
      </c>
      <c r="GW36" s="545">
        <f t="shared" si="207"/>
        <v>0.81647062508448565</v>
      </c>
      <c r="GX36" s="546">
        <f t="shared" si="208"/>
        <v>0</v>
      </c>
      <c r="GY36" s="544"/>
      <c r="GZ36" s="545">
        <f t="shared" si="67"/>
        <v>0</v>
      </c>
      <c r="HA36" s="546">
        <f t="shared" si="178"/>
        <v>0</v>
      </c>
      <c r="HB36" s="544"/>
      <c r="HC36" s="545">
        <f t="shared" si="68"/>
        <v>0</v>
      </c>
      <c r="HD36" s="546">
        <f t="shared" si="179"/>
        <v>0</v>
      </c>
      <c r="HE36" s="544"/>
      <c r="HF36" s="545">
        <f t="shared" si="69"/>
        <v>0</v>
      </c>
      <c r="HG36" s="546">
        <f t="shared" si="180"/>
        <v>0</v>
      </c>
      <c r="HH36" s="544"/>
      <c r="HI36" s="545">
        <f t="shared" si="70"/>
        <v>0</v>
      </c>
      <c r="HJ36" s="546">
        <f t="shared" si="181"/>
        <v>0</v>
      </c>
      <c r="HK36" s="544"/>
      <c r="HL36" s="545">
        <f t="shared" si="71"/>
        <v>0</v>
      </c>
      <c r="HM36" s="546">
        <f t="shared" si="182"/>
        <v>0</v>
      </c>
      <c r="HN36" s="544">
        <v>1188.288375794885</v>
      </c>
      <c r="HO36" s="545">
        <f t="shared" si="72"/>
        <v>16.884612526747162</v>
      </c>
      <c r="HP36" s="546">
        <f t="shared" si="183"/>
        <v>0</v>
      </c>
      <c r="HQ36" s="544"/>
      <c r="HR36" s="545">
        <f t="shared" si="73"/>
        <v>0</v>
      </c>
      <c r="HS36" s="546">
        <f t="shared" si="184"/>
        <v>0</v>
      </c>
      <c r="HT36" s="544">
        <v>0</v>
      </c>
      <c r="HU36" s="545">
        <f t="shared" si="74"/>
        <v>0</v>
      </c>
      <c r="HV36" s="546">
        <f t="shared" si="185"/>
        <v>0</v>
      </c>
      <c r="HW36" s="544">
        <v>0</v>
      </c>
      <c r="HX36" s="545">
        <f t="shared" si="75"/>
        <v>0</v>
      </c>
      <c r="HY36" s="546">
        <f t="shared" si="186"/>
        <v>0</v>
      </c>
      <c r="HZ36" s="544">
        <v>0</v>
      </c>
      <c r="IA36" s="545">
        <f>+HZ36/$E36</f>
        <v>0</v>
      </c>
      <c r="IB36" s="546">
        <f>+HZ36*$H$8</f>
        <v>0</v>
      </c>
      <c r="IC36" s="544">
        <v>0</v>
      </c>
      <c r="ID36" s="545">
        <f t="shared" si="77"/>
        <v>0</v>
      </c>
      <c r="IE36" s="546">
        <f t="shared" si="188"/>
        <v>0</v>
      </c>
      <c r="IF36" s="544">
        <v>28.730376590785422</v>
      </c>
      <c r="IG36" s="545">
        <f t="shared" si="78"/>
        <v>0.40823531254224282</v>
      </c>
      <c r="IH36" s="546">
        <f t="shared" si="189"/>
        <v>0</v>
      </c>
      <c r="II36" s="544"/>
      <c r="IJ36" s="545">
        <f t="shared" si="79"/>
        <v>0</v>
      </c>
      <c r="IK36" s="546">
        <f t="shared" si="190"/>
        <v>0</v>
      </c>
      <c r="IL36" s="544"/>
      <c r="IM36" s="545">
        <f t="shared" si="80"/>
        <v>0</v>
      </c>
      <c r="IN36" s="546">
        <f t="shared" si="191"/>
        <v>0</v>
      </c>
      <c r="IO36" s="544">
        <v>80.44505445419918</v>
      </c>
      <c r="IP36" s="545">
        <f t="shared" si="81"/>
        <v>1.14305887511828</v>
      </c>
      <c r="IQ36" s="546">
        <f t="shared" si="192"/>
        <v>0</v>
      </c>
      <c r="IR36" s="544">
        <v>0</v>
      </c>
      <c r="IS36" s="545">
        <f t="shared" si="82"/>
        <v>0</v>
      </c>
      <c r="IT36" s="546">
        <f t="shared" si="193"/>
        <v>0</v>
      </c>
      <c r="IU36" s="544"/>
      <c r="IV36" s="545">
        <f t="shared" si="83"/>
        <v>0</v>
      </c>
      <c r="IW36" s="546">
        <f t="shared" si="194"/>
        <v>0</v>
      </c>
      <c r="IX36" s="544">
        <v>0</v>
      </c>
      <c r="IY36" s="545">
        <f t="shared" si="84"/>
        <v>0</v>
      </c>
      <c r="IZ36" s="546">
        <f t="shared" si="195"/>
        <v>0</v>
      </c>
      <c r="JA36" s="544"/>
      <c r="JB36" s="545">
        <f t="shared" si="85"/>
        <v>0</v>
      </c>
      <c r="JC36" s="546">
        <f t="shared" si="196"/>
        <v>0</v>
      </c>
      <c r="JD36" s="544"/>
      <c r="JE36" s="545">
        <f t="shared" si="86"/>
        <v>0</v>
      </c>
      <c r="JF36" s="546">
        <f t="shared" si="197"/>
        <v>0</v>
      </c>
      <c r="JG36" s="544">
        <v>34.476451908942508</v>
      </c>
      <c r="JH36" s="546" t="str">
        <f t="shared" si="87"/>
        <v>0</v>
      </c>
      <c r="JI36" s="546" t="str">
        <f t="shared" si="88"/>
        <v>0</v>
      </c>
      <c r="JJ36" s="544">
        <v>11.492150636314168</v>
      </c>
      <c r="JK36" s="546" t="str">
        <f t="shared" si="89"/>
        <v>0</v>
      </c>
      <c r="JL36" s="546" t="str">
        <f t="shared" si="90"/>
        <v>0</v>
      </c>
      <c r="JM36" s="544">
        <v>0</v>
      </c>
      <c r="JN36" s="546" t="str">
        <f t="shared" si="91"/>
        <v>0</v>
      </c>
      <c r="JO36" s="546" t="str">
        <f t="shared" si="92"/>
        <v>0</v>
      </c>
      <c r="JP36" s="544"/>
      <c r="JQ36" s="546" t="str">
        <f t="shared" si="93"/>
        <v>0</v>
      </c>
      <c r="JR36" s="546" t="str">
        <f t="shared" si="94"/>
        <v>0</v>
      </c>
      <c r="JS36" s="544"/>
      <c r="JT36" s="546" t="str">
        <f t="shared" si="95"/>
        <v>0</v>
      </c>
      <c r="JU36" s="546" t="str">
        <f t="shared" si="96"/>
        <v>0</v>
      </c>
      <c r="JV36" s="544"/>
      <c r="JW36" s="546" t="str">
        <f t="shared" si="97"/>
        <v>0</v>
      </c>
      <c r="JX36" s="546" t="str">
        <f t="shared" si="98"/>
        <v>0</v>
      </c>
      <c r="JY36" s="544"/>
      <c r="JZ36" s="546" t="str">
        <f t="shared" si="99"/>
        <v>0</v>
      </c>
      <c r="KA36" s="546" t="str">
        <f t="shared" si="100"/>
        <v>0</v>
      </c>
      <c r="KB36" s="544"/>
      <c r="KC36" s="546" t="str">
        <f t="shared" si="101"/>
        <v>0</v>
      </c>
      <c r="KD36" s="546" t="str">
        <f t="shared" si="102"/>
        <v>0</v>
      </c>
      <c r="KE36" s="544"/>
      <c r="KF36" s="546" t="str">
        <f t="shared" si="103"/>
        <v>0</v>
      </c>
      <c r="KG36" s="546" t="str">
        <f t="shared" si="104"/>
        <v>0</v>
      </c>
      <c r="KH36" s="544"/>
      <c r="KI36" s="546" t="str">
        <f t="shared" si="105"/>
        <v>0</v>
      </c>
      <c r="KJ36" s="546" t="str">
        <f t="shared" si="106"/>
        <v>0</v>
      </c>
      <c r="KK36" s="544"/>
      <c r="KL36" s="546" t="str">
        <f t="shared" si="107"/>
        <v>0</v>
      </c>
      <c r="KM36" s="546" t="str">
        <f t="shared" si="108"/>
        <v>0</v>
      </c>
      <c r="KN36" s="544"/>
      <c r="KO36" s="546" t="str">
        <f t="shared" si="109"/>
        <v>0</v>
      </c>
      <c r="KP36" s="546" t="str">
        <f t="shared" si="110"/>
        <v>0</v>
      </c>
      <c r="KQ36" s="546">
        <f t="shared" si="111"/>
        <v>0</v>
      </c>
      <c r="KR36" s="546">
        <f t="shared" si="198"/>
        <v>0</v>
      </c>
      <c r="KS36" s="265">
        <f t="shared" si="199"/>
        <v>2986.2486968926651</v>
      </c>
    </row>
    <row r="37" spans="1:16381" ht="15" customHeight="1">
      <c r="A37" s="267">
        <f>+Report1!A37</f>
        <v>46020</v>
      </c>
      <c r="B37" s="268" t="str">
        <f>+Report1!B37</f>
        <v>Towel/Napkin</v>
      </c>
      <c r="C37" s="268" t="str">
        <f>+Report1!C37</f>
        <v>38/16</v>
      </c>
      <c r="D37" s="269">
        <f>+Report1!P37</f>
        <v>51.736999999999995</v>
      </c>
      <c r="E37" s="270">
        <f>+Report1!R37</f>
        <v>50.091000000000001</v>
      </c>
      <c r="F37" s="544">
        <v>0</v>
      </c>
      <c r="G37" s="545">
        <f t="shared" si="0"/>
        <v>0</v>
      </c>
      <c r="H37" s="546">
        <f t="shared" si="112"/>
        <v>0</v>
      </c>
      <c r="I37" s="544"/>
      <c r="J37" s="545">
        <f t="shared" si="1"/>
        <v>0</v>
      </c>
      <c r="K37" s="546">
        <f t="shared" si="113"/>
        <v>0</v>
      </c>
      <c r="L37" s="544"/>
      <c r="M37" s="545">
        <f t="shared" si="2"/>
        <v>0</v>
      </c>
      <c r="N37" s="546">
        <f t="shared" si="114"/>
        <v>0</v>
      </c>
      <c r="O37" s="544">
        <v>12</v>
      </c>
      <c r="P37" s="545">
        <f t="shared" si="3"/>
        <v>0.23956399353177216</v>
      </c>
      <c r="Q37" s="546">
        <f t="shared" si="115"/>
        <v>0</v>
      </c>
      <c r="R37" s="544"/>
      <c r="S37" s="545">
        <f t="shared" si="4"/>
        <v>0</v>
      </c>
      <c r="T37" s="546">
        <f t="shared" si="116"/>
        <v>0</v>
      </c>
      <c r="U37" s="544">
        <v>10.25</v>
      </c>
      <c r="V37" s="545">
        <f t="shared" si="5"/>
        <v>0.20462757780838872</v>
      </c>
      <c r="W37" s="546">
        <f t="shared" si="117"/>
        <v>0</v>
      </c>
      <c r="X37" s="544"/>
      <c r="Y37" s="545">
        <f t="shared" si="6"/>
        <v>0</v>
      </c>
      <c r="Z37" s="546">
        <f t="shared" si="118"/>
        <v>0</v>
      </c>
      <c r="AA37" s="544"/>
      <c r="AB37" s="545">
        <f t="shared" si="7"/>
        <v>0</v>
      </c>
      <c r="AC37" s="546">
        <f t="shared" si="119"/>
        <v>0</v>
      </c>
      <c r="AD37" s="544"/>
      <c r="AE37" s="545">
        <f t="shared" si="8"/>
        <v>0</v>
      </c>
      <c r="AF37" s="546">
        <f t="shared" si="120"/>
        <v>0</v>
      </c>
      <c r="AG37" s="544"/>
      <c r="AH37" s="545">
        <f t="shared" si="9"/>
        <v>0</v>
      </c>
      <c r="AI37" s="546">
        <f t="shared" si="121"/>
        <v>0</v>
      </c>
      <c r="AJ37" s="544"/>
      <c r="AK37" s="545">
        <f t="shared" si="10"/>
        <v>0</v>
      </c>
      <c r="AL37" s="546">
        <f t="shared" si="122"/>
        <v>0</v>
      </c>
      <c r="AM37" s="544">
        <v>23.653438461538485</v>
      </c>
      <c r="AN37" s="545">
        <f t="shared" si="11"/>
        <v>0.47220934821701471</v>
      </c>
      <c r="AO37" s="546">
        <f t="shared" si="123"/>
        <v>0</v>
      </c>
      <c r="AP37" s="544"/>
      <c r="AQ37" s="545">
        <f t="shared" si="12"/>
        <v>0</v>
      </c>
      <c r="AR37" s="546">
        <f t="shared" si="124"/>
        <v>0</v>
      </c>
      <c r="AS37" s="544"/>
      <c r="AT37" s="545">
        <f t="shared" si="13"/>
        <v>0</v>
      </c>
      <c r="AU37" s="546">
        <f t="shared" si="125"/>
        <v>0</v>
      </c>
      <c r="AV37" s="544">
        <v>11.100000000000009</v>
      </c>
      <c r="AW37" s="545">
        <f t="shared" si="14"/>
        <v>0.22159669401688942</v>
      </c>
      <c r="AX37" s="546">
        <f t="shared" si="126"/>
        <v>0</v>
      </c>
      <c r="AY37" s="544">
        <v>41.99786666666671</v>
      </c>
      <c r="AZ37" s="545">
        <f t="shared" si="15"/>
        <v>0.83843138820679775</v>
      </c>
      <c r="BA37" s="546">
        <f t="shared" si="127"/>
        <v>0</v>
      </c>
      <c r="BB37" s="544"/>
      <c r="BC37" s="545">
        <f t="shared" si="16"/>
        <v>0</v>
      </c>
      <c r="BD37" s="546">
        <f t="shared" si="128"/>
        <v>0</v>
      </c>
      <c r="BE37" s="544"/>
      <c r="BF37" s="545">
        <f t="shared" si="17"/>
        <v>0</v>
      </c>
      <c r="BG37" s="546">
        <f t="shared" si="129"/>
        <v>0</v>
      </c>
      <c r="BH37" s="544"/>
      <c r="BI37" s="545">
        <f t="shared" si="18"/>
        <v>0</v>
      </c>
      <c r="BJ37" s="546">
        <f t="shared" si="130"/>
        <v>0</v>
      </c>
      <c r="BK37" s="544"/>
      <c r="BL37" s="545">
        <f t="shared" si="19"/>
        <v>0</v>
      </c>
      <c r="BM37" s="546">
        <f t="shared" si="131"/>
        <v>0</v>
      </c>
      <c r="BN37" s="544"/>
      <c r="BO37" s="545">
        <f t="shared" si="20"/>
        <v>0</v>
      </c>
      <c r="BP37" s="546">
        <f t="shared" si="132"/>
        <v>0</v>
      </c>
      <c r="BQ37" s="544"/>
      <c r="BR37" s="545">
        <f t="shared" si="21"/>
        <v>0</v>
      </c>
      <c r="BS37" s="546">
        <f t="shared" si="133"/>
        <v>0</v>
      </c>
      <c r="BT37" s="544"/>
      <c r="BU37" s="545">
        <f t="shared" si="22"/>
        <v>0</v>
      </c>
      <c r="BV37" s="546">
        <f t="shared" si="134"/>
        <v>0</v>
      </c>
      <c r="BW37" s="544"/>
      <c r="BX37" s="545">
        <f t="shared" si="23"/>
        <v>0</v>
      </c>
      <c r="BY37" s="546">
        <f t="shared" si="135"/>
        <v>0</v>
      </c>
      <c r="BZ37" s="544">
        <v>0</v>
      </c>
      <c r="CA37" s="545">
        <f t="shared" si="24"/>
        <v>0</v>
      </c>
      <c r="CB37" s="546">
        <f t="shared" si="136"/>
        <v>0</v>
      </c>
      <c r="CC37" s="544">
        <v>0</v>
      </c>
      <c r="CD37" s="545">
        <f t="shared" si="25"/>
        <v>0</v>
      </c>
      <c r="CE37" s="546">
        <f t="shared" si="137"/>
        <v>0</v>
      </c>
      <c r="CF37" s="544">
        <v>2.8000000000000007</v>
      </c>
      <c r="CG37" s="545">
        <f t="shared" si="26"/>
        <v>5.5898265157413522E-2</v>
      </c>
      <c r="CH37" s="546">
        <f t="shared" si="138"/>
        <v>0</v>
      </c>
      <c r="CI37" s="544"/>
      <c r="CJ37" s="545">
        <f t="shared" si="27"/>
        <v>0</v>
      </c>
      <c r="CK37" s="546">
        <f t="shared" si="139"/>
        <v>0</v>
      </c>
      <c r="CL37" s="544"/>
      <c r="CM37" s="545">
        <f t="shared" si="28"/>
        <v>0</v>
      </c>
      <c r="CN37" s="546">
        <f t="shared" si="140"/>
        <v>0</v>
      </c>
      <c r="CO37" s="544"/>
      <c r="CP37" s="545">
        <f t="shared" si="29"/>
        <v>0</v>
      </c>
      <c r="CQ37" s="546">
        <f t="shared" si="141"/>
        <v>0</v>
      </c>
      <c r="CR37" s="544"/>
      <c r="CS37" s="545">
        <f t="shared" si="30"/>
        <v>0</v>
      </c>
      <c r="CT37" s="546">
        <f t="shared" si="142"/>
        <v>0</v>
      </c>
      <c r="CU37" s="544"/>
      <c r="CV37" s="545">
        <f t="shared" si="31"/>
        <v>0</v>
      </c>
      <c r="CW37" s="546">
        <f t="shared" si="143"/>
        <v>0</v>
      </c>
      <c r="CX37" s="544"/>
      <c r="CY37" s="545">
        <f t="shared" si="32"/>
        <v>0</v>
      </c>
      <c r="CZ37" s="546">
        <f t="shared" si="144"/>
        <v>0</v>
      </c>
      <c r="DA37" s="544">
        <v>367.64705882352962</v>
      </c>
      <c r="DB37" s="545">
        <f t="shared" si="33"/>
        <v>7.3395831351645926</v>
      </c>
      <c r="DC37" s="546">
        <f t="shared" si="145"/>
        <v>0</v>
      </c>
      <c r="DD37" s="544"/>
      <c r="DE37" s="545">
        <f t="shared" si="34"/>
        <v>0</v>
      </c>
      <c r="DF37" s="546">
        <f t="shared" si="146"/>
        <v>0</v>
      </c>
      <c r="DG37" s="544"/>
      <c r="DH37" s="545">
        <f t="shared" si="35"/>
        <v>0</v>
      </c>
      <c r="DI37" s="546">
        <f t="shared" si="200"/>
        <v>0</v>
      </c>
      <c r="DJ37" s="544"/>
      <c r="DK37" s="545">
        <f t="shared" si="36"/>
        <v>0</v>
      </c>
      <c r="DL37" s="546">
        <f t="shared" si="147"/>
        <v>0</v>
      </c>
      <c r="DM37" s="544"/>
      <c r="DN37" s="545">
        <f t="shared" si="37"/>
        <v>0</v>
      </c>
      <c r="DO37" s="546">
        <f t="shared" si="148"/>
        <v>0</v>
      </c>
      <c r="DP37" s="544"/>
      <c r="DQ37" s="545">
        <f t="shared" si="38"/>
        <v>0</v>
      </c>
      <c r="DR37" s="546">
        <f t="shared" si="149"/>
        <v>0</v>
      </c>
      <c r="DS37" s="544"/>
      <c r="DT37" s="545">
        <f t="shared" si="39"/>
        <v>0</v>
      </c>
      <c r="DU37" s="546">
        <f t="shared" si="150"/>
        <v>0</v>
      </c>
      <c r="DV37" s="544"/>
      <c r="DW37" s="545">
        <f t="shared" si="40"/>
        <v>0</v>
      </c>
      <c r="DX37" s="546">
        <f t="shared" si="151"/>
        <v>0</v>
      </c>
      <c r="DY37" s="544"/>
      <c r="DZ37" s="545">
        <f t="shared" si="41"/>
        <v>0</v>
      </c>
      <c r="EA37" s="546">
        <f t="shared" si="152"/>
        <v>0</v>
      </c>
      <c r="EB37" s="544">
        <v>588.23529411764719</v>
      </c>
      <c r="EC37" s="545">
        <f t="shared" si="42"/>
        <v>11.743333016263344</v>
      </c>
      <c r="ED37" s="546">
        <f t="shared" si="153"/>
        <v>0</v>
      </c>
      <c r="EE37" s="544">
        <v>14.534883720930225</v>
      </c>
      <c r="EF37" s="545">
        <f t="shared" si="43"/>
        <v>0.29016956580883241</v>
      </c>
      <c r="EG37" s="546">
        <f t="shared" si="154"/>
        <v>0</v>
      </c>
      <c r="EH37" s="544">
        <v>1</v>
      </c>
      <c r="EI37" s="545">
        <f t="shared" si="44"/>
        <v>1.9963666127647682E-2</v>
      </c>
      <c r="EJ37" s="546">
        <f t="shared" si="155"/>
        <v>0</v>
      </c>
      <c r="EK37" s="544"/>
      <c r="EL37" s="545">
        <f t="shared" si="45"/>
        <v>0</v>
      </c>
      <c r="EM37" s="546">
        <f t="shared" si="156"/>
        <v>0</v>
      </c>
      <c r="EN37" s="544"/>
      <c r="EO37" s="545">
        <f t="shared" si="46"/>
        <v>0</v>
      </c>
      <c r="EP37" s="546">
        <f t="shared" si="157"/>
        <v>0</v>
      </c>
      <c r="EQ37" s="544"/>
      <c r="ER37" s="545">
        <f t="shared" si="47"/>
        <v>0</v>
      </c>
      <c r="ES37" s="546">
        <f t="shared" si="158"/>
        <v>0</v>
      </c>
      <c r="ET37" s="544"/>
      <c r="EU37" s="545">
        <f t="shared" si="48"/>
        <v>0</v>
      </c>
      <c r="EV37" s="546">
        <f t="shared" si="159"/>
        <v>0</v>
      </c>
      <c r="EW37" s="544"/>
      <c r="EX37" s="545">
        <f t="shared" si="49"/>
        <v>0</v>
      </c>
      <c r="EY37" s="546">
        <f t="shared" si="160"/>
        <v>0</v>
      </c>
      <c r="EZ37" s="544"/>
      <c r="FA37" s="545">
        <f t="shared" si="50"/>
        <v>0</v>
      </c>
      <c r="FB37" s="546">
        <f t="shared" si="161"/>
        <v>0</v>
      </c>
      <c r="FC37" s="544"/>
      <c r="FD37" s="545">
        <f t="shared" si="51"/>
        <v>0</v>
      </c>
      <c r="FE37" s="546">
        <f t="shared" si="162"/>
        <v>0</v>
      </c>
      <c r="FF37" s="544"/>
      <c r="FG37" s="545">
        <f t="shared" si="52"/>
        <v>0</v>
      </c>
      <c r="FH37" s="546">
        <f t="shared" si="163"/>
        <v>0</v>
      </c>
      <c r="FI37" s="544"/>
      <c r="FJ37" s="545">
        <f t="shared" si="53"/>
        <v>0</v>
      </c>
      <c r="FK37" s="546">
        <f t="shared" si="164"/>
        <v>0</v>
      </c>
      <c r="FL37" s="544"/>
      <c r="FM37" s="545">
        <f t="shared" si="54"/>
        <v>0</v>
      </c>
      <c r="FN37" s="546">
        <f t="shared" si="165"/>
        <v>0</v>
      </c>
      <c r="FO37" s="544"/>
      <c r="FP37" s="545">
        <f t="shared" si="55"/>
        <v>0</v>
      </c>
      <c r="FQ37" s="546">
        <f t="shared" si="166"/>
        <v>0</v>
      </c>
      <c r="FR37" s="544"/>
      <c r="FS37" s="545">
        <f t="shared" si="56"/>
        <v>0</v>
      </c>
      <c r="FT37" s="546">
        <f t="shared" si="167"/>
        <v>0</v>
      </c>
      <c r="FU37" s="544"/>
      <c r="FV37" s="545">
        <f t="shared" si="57"/>
        <v>0</v>
      </c>
      <c r="FW37" s="546">
        <f t="shared" si="168"/>
        <v>0</v>
      </c>
      <c r="FX37" s="544"/>
      <c r="FY37" s="545">
        <f t="shared" si="58"/>
        <v>0</v>
      </c>
      <c r="FZ37" s="546">
        <f t="shared" si="169"/>
        <v>0</v>
      </c>
      <c r="GA37" s="544"/>
      <c r="GB37" s="545">
        <f t="shared" si="59"/>
        <v>0</v>
      </c>
      <c r="GC37" s="546">
        <f t="shared" si="170"/>
        <v>0</v>
      </c>
      <c r="GD37" s="544"/>
      <c r="GE37" s="545">
        <f t="shared" si="60"/>
        <v>0</v>
      </c>
      <c r="GF37" s="546">
        <f t="shared" si="171"/>
        <v>0</v>
      </c>
      <c r="GG37" s="544">
        <v>15</v>
      </c>
      <c r="GH37" s="545">
        <f t="shared" si="61"/>
        <v>0.2994549919147152</v>
      </c>
      <c r="GI37" s="546">
        <f t="shared" si="172"/>
        <v>0</v>
      </c>
      <c r="GJ37" s="544">
        <v>15</v>
      </c>
      <c r="GK37" s="545">
        <f t="shared" si="210"/>
        <v>0.2994549919147152</v>
      </c>
      <c r="GL37" s="546">
        <f t="shared" si="211"/>
        <v>0</v>
      </c>
      <c r="GM37" s="544">
        <v>0</v>
      </c>
      <c r="GN37" s="545">
        <f t="shared" si="201"/>
        <v>0</v>
      </c>
      <c r="GO37" s="546">
        <f t="shared" si="202"/>
        <v>0</v>
      </c>
      <c r="GP37" s="544">
        <v>10</v>
      </c>
      <c r="GQ37" s="545">
        <f t="shared" si="203"/>
        <v>0.19963666127647681</v>
      </c>
      <c r="GR37" s="546">
        <f t="shared" si="204"/>
        <v>0</v>
      </c>
      <c r="GS37" s="544">
        <v>0</v>
      </c>
      <c r="GT37" s="545">
        <f t="shared" si="205"/>
        <v>0</v>
      </c>
      <c r="GU37" s="546">
        <f t="shared" si="206"/>
        <v>0</v>
      </c>
      <c r="GV37" s="544">
        <v>0</v>
      </c>
      <c r="GW37" s="545">
        <f t="shared" si="207"/>
        <v>0</v>
      </c>
      <c r="GX37" s="546">
        <f t="shared" si="208"/>
        <v>0</v>
      </c>
      <c r="GY37" s="544"/>
      <c r="GZ37" s="545">
        <f t="shared" si="67"/>
        <v>0</v>
      </c>
      <c r="HA37" s="546">
        <f t="shared" si="178"/>
        <v>0</v>
      </c>
      <c r="HB37" s="544"/>
      <c r="HC37" s="545">
        <f t="shared" si="68"/>
        <v>0</v>
      </c>
      <c r="HD37" s="546">
        <f t="shared" si="179"/>
        <v>0</v>
      </c>
      <c r="HE37" s="544"/>
      <c r="HF37" s="545">
        <f t="shared" si="69"/>
        <v>0</v>
      </c>
      <c r="HG37" s="546">
        <f t="shared" si="180"/>
        <v>0</v>
      </c>
      <c r="HH37" s="544"/>
      <c r="HI37" s="545">
        <f t="shared" si="70"/>
        <v>0</v>
      </c>
      <c r="HJ37" s="546">
        <f t="shared" si="181"/>
        <v>0</v>
      </c>
      <c r="HK37" s="544"/>
      <c r="HL37" s="545">
        <f t="shared" si="71"/>
        <v>0</v>
      </c>
      <c r="HM37" s="546">
        <f t="shared" si="182"/>
        <v>0</v>
      </c>
      <c r="HN37" s="544">
        <v>1640</v>
      </c>
      <c r="HO37" s="545">
        <f t="shared" si="72"/>
        <v>32.740412449342195</v>
      </c>
      <c r="HP37" s="546">
        <f t="shared" si="183"/>
        <v>0</v>
      </c>
      <c r="HQ37" s="544"/>
      <c r="HR37" s="545">
        <f t="shared" si="73"/>
        <v>0</v>
      </c>
      <c r="HS37" s="546">
        <f t="shared" si="184"/>
        <v>0</v>
      </c>
      <c r="HT37" s="544">
        <v>100</v>
      </c>
      <c r="HU37" s="545">
        <f t="shared" si="74"/>
        <v>1.9963666127647681</v>
      </c>
      <c r="HV37" s="546">
        <f t="shared" si="185"/>
        <v>0</v>
      </c>
      <c r="HW37" s="544">
        <v>20</v>
      </c>
      <c r="HX37" s="545">
        <f t="shared" si="75"/>
        <v>0.39927332255295361</v>
      </c>
      <c r="HY37" s="546">
        <f t="shared" si="186"/>
        <v>0</v>
      </c>
      <c r="HZ37" s="544">
        <v>100</v>
      </c>
      <c r="IA37" s="545">
        <f>+HZ37/$E37</f>
        <v>1.9963666127647681</v>
      </c>
      <c r="IB37" s="546">
        <f>+HZ37*$H$8</f>
        <v>0</v>
      </c>
      <c r="IC37" s="544">
        <v>60</v>
      </c>
      <c r="ID37" s="545">
        <f t="shared" si="77"/>
        <v>1.1978199676588608</v>
      </c>
      <c r="IE37" s="546">
        <f t="shared" si="188"/>
        <v>0</v>
      </c>
      <c r="IF37" s="544">
        <v>0</v>
      </c>
      <c r="IG37" s="545">
        <f t="shared" si="78"/>
        <v>0</v>
      </c>
      <c r="IH37" s="546">
        <f t="shared" si="189"/>
        <v>0</v>
      </c>
      <c r="II37" s="544"/>
      <c r="IJ37" s="545">
        <f t="shared" si="79"/>
        <v>0</v>
      </c>
      <c r="IK37" s="546">
        <f t="shared" si="190"/>
        <v>0</v>
      </c>
      <c r="IL37" s="544"/>
      <c r="IM37" s="545">
        <f t="shared" si="80"/>
        <v>0</v>
      </c>
      <c r="IN37" s="546">
        <f t="shared" si="191"/>
        <v>0</v>
      </c>
      <c r="IO37" s="544">
        <v>135</v>
      </c>
      <c r="IP37" s="545">
        <f t="shared" si="81"/>
        <v>2.6950949272324367</v>
      </c>
      <c r="IQ37" s="546">
        <f t="shared" si="192"/>
        <v>0</v>
      </c>
      <c r="IR37" s="544">
        <v>10</v>
      </c>
      <c r="IS37" s="545">
        <f t="shared" si="82"/>
        <v>0.19963666127647681</v>
      </c>
      <c r="IT37" s="546">
        <f t="shared" si="193"/>
        <v>0</v>
      </c>
      <c r="IU37" s="544"/>
      <c r="IV37" s="545">
        <f t="shared" si="83"/>
        <v>0</v>
      </c>
      <c r="IW37" s="546">
        <f t="shared" si="194"/>
        <v>0</v>
      </c>
      <c r="IX37" s="544">
        <v>10</v>
      </c>
      <c r="IY37" s="545">
        <f t="shared" si="84"/>
        <v>0.19963666127647681</v>
      </c>
      <c r="IZ37" s="546">
        <f t="shared" si="195"/>
        <v>0</v>
      </c>
      <c r="JA37" s="544"/>
      <c r="JB37" s="545">
        <f t="shared" si="85"/>
        <v>0</v>
      </c>
      <c r="JC37" s="546">
        <f t="shared" si="196"/>
        <v>0</v>
      </c>
      <c r="JD37" s="544"/>
      <c r="JE37" s="545">
        <f t="shared" si="86"/>
        <v>0</v>
      </c>
      <c r="JF37" s="546">
        <f t="shared" si="197"/>
        <v>0</v>
      </c>
      <c r="JG37" s="544">
        <v>50</v>
      </c>
      <c r="JH37" s="546" t="str">
        <f t="shared" si="87"/>
        <v>0</v>
      </c>
      <c r="JI37" s="546" t="str">
        <f t="shared" si="88"/>
        <v>0</v>
      </c>
      <c r="JJ37" s="544">
        <v>50</v>
      </c>
      <c r="JK37" s="546" t="str">
        <f t="shared" si="89"/>
        <v>0</v>
      </c>
      <c r="JL37" s="546" t="str">
        <f t="shared" si="90"/>
        <v>0</v>
      </c>
      <c r="JM37" s="544">
        <v>0</v>
      </c>
      <c r="JN37" s="546" t="str">
        <f t="shared" si="91"/>
        <v>0</v>
      </c>
      <c r="JO37" s="546" t="str">
        <f t="shared" si="92"/>
        <v>0</v>
      </c>
      <c r="JP37" s="544"/>
      <c r="JQ37" s="546" t="str">
        <f t="shared" si="93"/>
        <v>0</v>
      </c>
      <c r="JR37" s="546" t="str">
        <f t="shared" si="94"/>
        <v>0</v>
      </c>
      <c r="JS37" s="544"/>
      <c r="JT37" s="546" t="str">
        <f t="shared" si="95"/>
        <v>0</v>
      </c>
      <c r="JU37" s="546" t="str">
        <f t="shared" si="96"/>
        <v>0</v>
      </c>
      <c r="JV37" s="544"/>
      <c r="JW37" s="546" t="str">
        <f t="shared" si="97"/>
        <v>0</v>
      </c>
      <c r="JX37" s="546" t="str">
        <f t="shared" si="98"/>
        <v>0</v>
      </c>
      <c r="JY37" s="544"/>
      <c r="JZ37" s="546" t="str">
        <f t="shared" si="99"/>
        <v>0</v>
      </c>
      <c r="KA37" s="546" t="str">
        <f t="shared" si="100"/>
        <v>0</v>
      </c>
      <c r="KB37" s="544"/>
      <c r="KC37" s="546" t="str">
        <f t="shared" si="101"/>
        <v>0</v>
      </c>
      <c r="KD37" s="546" t="str">
        <f t="shared" si="102"/>
        <v>0</v>
      </c>
      <c r="KE37" s="544"/>
      <c r="KF37" s="546" t="str">
        <f t="shared" si="103"/>
        <v>0</v>
      </c>
      <c r="KG37" s="546" t="str">
        <f t="shared" si="104"/>
        <v>0</v>
      </c>
      <c r="KH37" s="544"/>
      <c r="KI37" s="546" t="str">
        <f t="shared" si="105"/>
        <v>0</v>
      </c>
      <c r="KJ37" s="546" t="str">
        <f t="shared" si="106"/>
        <v>0</v>
      </c>
      <c r="KK37" s="544"/>
      <c r="KL37" s="546" t="str">
        <f t="shared" si="107"/>
        <v>0</v>
      </c>
      <c r="KM37" s="546" t="str">
        <f t="shared" si="108"/>
        <v>0</v>
      </c>
      <c r="KN37" s="544"/>
      <c r="KO37" s="546" t="str">
        <f t="shared" si="109"/>
        <v>0</v>
      </c>
      <c r="KP37" s="546" t="str">
        <f t="shared" si="110"/>
        <v>0</v>
      </c>
      <c r="KQ37" s="546">
        <f t="shared" si="111"/>
        <v>0</v>
      </c>
      <c r="KR37" s="546">
        <f t="shared" si="198"/>
        <v>0</v>
      </c>
      <c r="KS37" s="265">
        <f t="shared" si="199"/>
        <v>3288.2185417903124</v>
      </c>
    </row>
    <row r="38" spans="1:16381" ht="15" customHeight="1">
      <c r="A38" s="267">
        <f>+Report1!A38</f>
        <v>46021</v>
      </c>
      <c r="B38" s="268" t="str">
        <f>+Report1!B38</f>
        <v>Napkin</v>
      </c>
      <c r="C38" s="268" t="str">
        <f>+Report1!C38</f>
        <v>16/16,5</v>
      </c>
      <c r="D38" s="269">
        <f>+Report1!P38</f>
        <v>50.889000000000003</v>
      </c>
      <c r="E38" s="270">
        <f>+Report1!R38</f>
        <v>52.561</v>
      </c>
      <c r="F38" s="544"/>
      <c r="G38" s="545">
        <f t="shared" si="0"/>
        <v>0</v>
      </c>
      <c r="H38" s="546">
        <f t="shared" si="112"/>
        <v>0</v>
      </c>
      <c r="I38" s="544"/>
      <c r="J38" s="545">
        <f t="shared" si="1"/>
        <v>0</v>
      </c>
      <c r="K38" s="546">
        <f t="shared" si="113"/>
        <v>0</v>
      </c>
      <c r="L38" s="544"/>
      <c r="M38" s="545">
        <f t="shared" si="2"/>
        <v>0</v>
      </c>
      <c r="N38" s="546">
        <f t="shared" si="114"/>
        <v>0</v>
      </c>
      <c r="O38" s="544">
        <v>12</v>
      </c>
      <c r="P38" s="545">
        <f t="shared" si="3"/>
        <v>0.22830615855862713</v>
      </c>
      <c r="Q38" s="546">
        <f t="shared" si="115"/>
        <v>0</v>
      </c>
      <c r="R38" s="544"/>
      <c r="S38" s="545">
        <f t="shared" si="4"/>
        <v>0</v>
      </c>
      <c r="T38" s="546">
        <f t="shared" si="116"/>
        <v>0</v>
      </c>
      <c r="U38" s="544">
        <v>10.25</v>
      </c>
      <c r="V38" s="545">
        <f t="shared" si="5"/>
        <v>0.195011510435494</v>
      </c>
      <c r="W38" s="546">
        <f t="shared" si="117"/>
        <v>0</v>
      </c>
      <c r="X38" s="544"/>
      <c r="Y38" s="545">
        <f t="shared" si="6"/>
        <v>0</v>
      </c>
      <c r="Z38" s="546">
        <f t="shared" si="118"/>
        <v>0</v>
      </c>
      <c r="AA38" s="544"/>
      <c r="AB38" s="545">
        <f t="shared" si="7"/>
        <v>0</v>
      </c>
      <c r="AC38" s="546">
        <f t="shared" si="119"/>
        <v>0</v>
      </c>
      <c r="AD38" s="544"/>
      <c r="AE38" s="545">
        <f t="shared" si="8"/>
        <v>0</v>
      </c>
      <c r="AF38" s="546">
        <f t="shared" si="120"/>
        <v>0</v>
      </c>
      <c r="AG38" s="544"/>
      <c r="AH38" s="545">
        <f t="shared" si="9"/>
        <v>0</v>
      </c>
      <c r="AI38" s="546">
        <f t="shared" si="121"/>
        <v>0</v>
      </c>
      <c r="AJ38" s="544"/>
      <c r="AK38" s="545">
        <f t="shared" si="10"/>
        <v>0</v>
      </c>
      <c r="AL38" s="546">
        <f t="shared" si="122"/>
        <v>0</v>
      </c>
      <c r="AM38" s="544">
        <v>26.282051282051242</v>
      </c>
      <c r="AN38" s="545">
        <f t="shared" si="11"/>
        <v>0.50002951393716333</v>
      </c>
      <c r="AO38" s="546">
        <f t="shared" si="123"/>
        <v>0</v>
      </c>
      <c r="AP38" s="544"/>
      <c r="AQ38" s="545">
        <f t="shared" si="12"/>
        <v>0</v>
      </c>
      <c r="AR38" s="546">
        <f t="shared" si="124"/>
        <v>0</v>
      </c>
      <c r="AS38" s="544"/>
      <c r="AT38" s="545">
        <f t="shared" si="13"/>
        <v>0</v>
      </c>
      <c r="AU38" s="546">
        <f t="shared" si="125"/>
        <v>0</v>
      </c>
      <c r="AV38" s="544">
        <v>11.100000000000009</v>
      </c>
      <c r="AW38" s="545">
        <f t="shared" si="14"/>
        <v>0.21118319666673024</v>
      </c>
      <c r="AX38" s="546">
        <f t="shared" si="126"/>
        <v>0</v>
      </c>
      <c r="AY38" s="544">
        <v>51.333333333333314</v>
      </c>
      <c r="AZ38" s="545">
        <f t="shared" si="15"/>
        <v>0.97664301161190459</v>
      </c>
      <c r="BA38" s="546">
        <f t="shared" si="127"/>
        <v>0</v>
      </c>
      <c r="BB38" s="544"/>
      <c r="BC38" s="545">
        <f t="shared" si="16"/>
        <v>0</v>
      </c>
      <c r="BD38" s="546">
        <f t="shared" si="128"/>
        <v>0</v>
      </c>
      <c r="BE38" s="544"/>
      <c r="BF38" s="545">
        <f t="shared" si="17"/>
        <v>0</v>
      </c>
      <c r="BG38" s="546">
        <f t="shared" si="129"/>
        <v>0</v>
      </c>
      <c r="BH38" s="544"/>
      <c r="BI38" s="545">
        <f t="shared" si="18"/>
        <v>0</v>
      </c>
      <c r="BJ38" s="546">
        <f t="shared" si="130"/>
        <v>0</v>
      </c>
      <c r="BK38" s="544"/>
      <c r="BL38" s="545">
        <f t="shared" si="19"/>
        <v>0</v>
      </c>
      <c r="BM38" s="546">
        <f t="shared" si="131"/>
        <v>0</v>
      </c>
      <c r="BN38" s="544"/>
      <c r="BO38" s="545">
        <f t="shared" si="20"/>
        <v>0</v>
      </c>
      <c r="BP38" s="546">
        <f t="shared" si="132"/>
        <v>0</v>
      </c>
      <c r="BQ38" s="544"/>
      <c r="BR38" s="545">
        <f t="shared" si="21"/>
        <v>0</v>
      </c>
      <c r="BS38" s="546">
        <f t="shared" si="133"/>
        <v>0</v>
      </c>
      <c r="BT38" s="544"/>
      <c r="BU38" s="545">
        <f t="shared" si="22"/>
        <v>0</v>
      </c>
      <c r="BV38" s="546">
        <f t="shared" si="134"/>
        <v>0</v>
      </c>
      <c r="BW38" s="544"/>
      <c r="BX38" s="545">
        <f t="shared" si="23"/>
        <v>0</v>
      </c>
      <c r="BY38" s="546">
        <f t="shared" si="135"/>
        <v>0</v>
      </c>
      <c r="BZ38" s="544">
        <v>0</v>
      </c>
      <c r="CA38" s="545">
        <f t="shared" si="24"/>
        <v>0</v>
      </c>
      <c r="CB38" s="546">
        <f t="shared" si="136"/>
        <v>0</v>
      </c>
      <c r="CC38" s="544"/>
      <c r="CD38" s="545">
        <f t="shared" si="25"/>
        <v>0</v>
      </c>
      <c r="CE38" s="546">
        <f t="shared" si="137"/>
        <v>0</v>
      </c>
      <c r="CF38" s="544">
        <v>1.1999999999999993</v>
      </c>
      <c r="CG38" s="545">
        <f t="shared" si="26"/>
        <v>2.2830615855862699E-2</v>
      </c>
      <c r="CH38" s="546">
        <f t="shared" si="138"/>
        <v>0</v>
      </c>
      <c r="CI38" s="544"/>
      <c r="CJ38" s="545">
        <f t="shared" si="27"/>
        <v>0</v>
      </c>
      <c r="CK38" s="546">
        <f t="shared" si="139"/>
        <v>0</v>
      </c>
      <c r="CL38" s="544"/>
      <c r="CM38" s="545">
        <f t="shared" si="28"/>
        <v>0</v>
      </c>
      <c r="CN38" s="546">
        <f t="shared" si="140"/>
        <v>0</v>
      </c>
      <c r="CO38" s="544"/>
      <c r="CP38" s="545">
        <f t="shared" si="29"/>
        <v>0</v>
      </c>
      <c r="CQ38" s="546">
        <f t="shared" si="141"/>
        <v>0</v>
      </c>
      <c r="CR38" s="544"/>
      <c r="CS38" s="545">
        <f t="shared" si="30"/>
        <v>0</v>
      </c>
      <c r="CT38" s="546">
        <f t="shared" si="142"/>
        <v>0</v>
      </c>
      <c r="CU38" s="544"/>
      <c r="CV38" s="545">
        <f t="shared" si="31"/>
        <v>0</v>
      </c>
      <c r="CW38" s="546">
        <f t="shared" si="143"/>
        <v>0</v>
      </c>
      <c r="CX38" s="544"/>
      <c r="CY38" s="545">
        <f t="shared" si="32"/>
        <v>0</v>
      </c>
      <c r="CZ38" s="546">
        <f t="shared" si="144"/>
        <v>0</v>
      </c>
      <c r="DA38" s="544">
        <v>250</v>
      </c>
      <c r="DB38" s="545">
        <f t="shared" si="33"/>
        <v>4.7563783033047313</v>
      </c>
      <c r="DC38" s="546">
        <f t="shared" si="145"/>
        <v>0</v>
      </c>
      <c r="DD38" s="544"/>
      <c r="DE38" s="545">
        <f t="shared" si="34"/>
        <v>0</v>
      </c>
      <c r="DF38" s="546">
        <f t="shared" si="146"/>
        <v>0</v>
      </c>
      <c r="DG38" s="544"/>
      <c r="DH38" s="545">
        <f t="shared" si="35"/>
        <v>0</v>
      </c>
      <c r="DI38" s="546">
        <f t="shared" si="200"/>
        <v>0</v>
      </c>
      <c r="DJ38" s="544"/>
      <c r="DK38" s="545">
        <f t="shared" si="36"/>
        <v>0</v>
      </c>
      <c r="DL38" s="546">
        <f t="shared" si="147"/>
        <v>0</v>
      </c>
      <c r="DM38" s="544"/>
      <c r="DN38" s="545">
        <f t="shared" si="37"/>
        <v>0</v>
      </c>
      <c r="DO38" s="546">
        <f t="shared" si="148"/>
        <v>0</v>
      </c>
      <c r="DP38" s="544"/>
      <c r="DQ38" s="545">
        <f t="shared" si="38"/>
        <v>0</v>
      </c>
      <c r="DR38" s="546">
        <f t="shared" si="149"/>
        <v>0</v>
      </c>
      <c r="DS38" s="544"/>
      <c r="DT38" s="545">
        <f t="shared" si="39"/>
        <v>0</v>
      </c>
      <c r="DU38" s="546">
        <f t="shared" si="150"/>
        <v>0</v>
      </c>
      <c r="DV38" s="544"/>
      <c r="DW38" s="545">
        <f t="shared" si="40"/>
        <v>0</v>
      </c>
      <c r="DX38" s="546">
        <f t="shared" si="151"/>
        <v>0</v>
      </c>
      <c r="DY38" s="544"/>
      <c r="DZ38" s="545">
        <f t="shared" si="41"/>
        <v>0</v>
      </c>
      <c r="EA38" s="546">
        <f t="shared" si="152"/>
        <v>0</v>
      </c>
      <c r="EB38" s="544">
        <v>847.05882352941148</v>
      </c>
      <c r="EC38" s="545">
        <f t="shared" si="42"/>
        <v>16.115728839432496</v>
      </c>
      <c r="ED38" s="546">
        <f t="shared" si="153"/>
        <v>0</v>
      </c>
      <c r="EE38" s="544">
        <v>14.534883720930225</v>
      </c>
      <c r="EF38" s="545">
        <f t="shared" si="43"/>
        <v>0.27653362228515865</v>
      </c>
      <c r="EG38" s="546">
        <f t="shared" si="154"/>
        <v>0</v>
      </c>
      <c r="EH38" s="544">
        <v>1</v>
      </c>
      <c r="EI38" s="545">
        <f t="shared" si="44"/>
        <v>1.9025513213218926E-2</v>
      </c>
      <c r="EJ38" s="546">
        <f t="shared" si="155"/>
        <v>0</v>
      </c>
      <c r="EK38" s="544"/>
      <c r="EL38" s="545">
        <f t="shared" si="45"/>
        <v>0</v>
      </c>
      <c r="EM38" s="546">
        <f t="shared" si="156"/>
        <v>0</v>
      </c>
      <c r="EN38" s="544"/>
      <c r="EO38" s="545">
        <f t="shared" si="46"/>
        <v>0</v>
      </c>
      <c r="EP38" s="546">
        <f t="shared" si="157"/>
        <v>0</v>
      </c>
      <c r="EQ38" s="544"/>
      <c r="ER38" s="545">
        <f t="shared" si="47"/>
        <v>0</v>
      </c>
      <c r="ES38" s="546">
        <f t="shared" si="158"/>
        <v>0</v>
      </c>
      <c r="ET38" s="544"/>
      <c r="EU38" s="545">
        <f t="shared" si="48"/>
        <v>0</v>
      </c>
      <c r="EV38" s="546">
        <f t="shared" si="159"/>
        <v>0</v>
      </c>
      <c r="EW38" s="544"/>
      <c r="EX38" s="545">
        <f t="shared" si="49"/>
        <v>0</v>
      </c>
      <c r="EY38" s="546">
        <f t="shared" si="160"/>
        <v>0</v>
      </c>
      <c r="EZ38" s="544"/>
      <c r="FA38" s="545">
        <f t="shared" si="50"/>
        <v>0</v>
      </c>
      <c r="FB38" s="546">
        <f t="shared" si="161"/>
        <v>0</v>
      </c>
      <c r="FC38" s="544"/>
      <c r="FD38" s="545">
        <f t="shared" si="51"/>
        <v>0</v>
      </c>
      <c r="FE38" s="546">
        <f t="shared" si="162"/>
        <v>0</v>
      </c>
      <c r="FF38" s="544"/>
      <c r="FG38" s="545">
        <f t="shared" si="52"/>
        <v>0</v>
      </c>
      <c r="FH38" s="546">
        <f t="shared" si="163"/>
        <v>0</v>
      </c>
      <c r="FI38" s="544"/>
      <c r="FJ38" s="545">
        <f t="shared" si="53"/>
        <v>0</v>
      </c>
      <c r="FK38" s="546">
        <f t="shared" si="164"/>
        <v>0</v>
      </c>
      <c r="FL38" s="544"/>
      <c r="FM38" s="545">
        <f t="shared" si="54"/>
        <v>0</v>
      </c>
      <c r="FN38" s="546">
        <f t="shared" si="165"/>
        <v>0</v>
      </c>
      <c r="FO38" s="544"/>
      <c r="FP38" s="545">
        <f t="shared" si="55"/>
        <v>0</v>
      </c>
      <c r="FQ38" s="546">
        <f t="shared" si="166"/>
        <v>0</v>
      </c>
      <c r="FR38" s="544"/>
      <c r="FS38" s="545">
        <f t="shared" si="56"/>
        <v>0</v>
      </c>
      <c r="FT38" s="546">
        <f t="shared" si="167"/>
        <v>0</v>
      </c>
      <c r="FU38" s="544"/>
      <c r="FV38" s="545">
        <f t="shared" si="57"/>
        <v>0</v>
      </c>
      <c r="FW38" s="546">
        <f t="shared" si="168"/>
        <v>0</v>
      </c>
      <c r="FX38" s="544"/>
      <c r="FY38" s="545">
        <f t="shared" si="58"/>
        <v>0</v>
      </c>
      <c r="FZ38" s="546">
        <f t="shared" si="169"/>
        <v>0</v>
      </c>
      <c r="GA38" s="544"/>
      <c r="GB38" s="545">
        <f t="shared" si="59"/>
        <v>0</v>
      </c>
      <c r="GC38" s="546">
        <f t="shared" si="170"/>
        <v>0</v>
      </c>
      <c r="GD38" s="544"/>
      <c r="GE38" s="545">
        <f t="shared" si="60"/>
        <v>0</v>
      </c>
      <c r="GF38" s="546">
        <f t="shared" si="171"/>
        <v>0</v>
      </c>
      <c r="GG38" s="544">
        <v>15</v>
      </c>
      <c r="GH38" s="545">
        <f t="shared" si="61"/>
        <v>0.28538269819828388</v>
      </c>
      <c r="GI38" s="546">
        <f t="shared" si="172"/>
        <v>0</v>
      </c>
      <c r="GJ38" s="544">
        <v>15</v>
      </c>
      <c r="GK38" s="545">
        <f t="shared" si="210"/>
        <v>0.28538269819828388</v>
      </c>
      <c r="GL38" s="546">
        <f t="shared" si="211"/>
        <v>0</v>
      </c>
      <c r="GM38" s="544">
        <v>10</v>
      </c>
      <c r="GN38" s="545">
        <f t="shared" si="201"/>
        <v>0.19025513213218925</v>
      </c>
      <c r="GO38" s="546">
        <f t="shared" si="202"/>
        <v>0</v>
      </c>
      <c r="GP38" s="544"/>
      <c r="GQ38" s="545">
        <f t="shared" si="203"/>
        <v>0</v>
      </c>
      <c r="GR38" s="546">
        <f t="shared" si="204"/>
        <v>0</v>
      </c>
      <c r="GS38" s="544">
        <v>0</v>
      </c>
      <c r="GT38" s="545">
        <f t="shared" si="205"/>
        <v>0</v>
      </c>
      <c r="GU38" s="546">
        <f t="shared" si="206"/>
        <v>0</v>
      </c>
      <c r="GV38" s="544">
        <v>0</v>
      </c>
      <c r="GW38" s="545">
        <f t="shared" si="207"/>
        <v>0</v>
      </c>
      <c r="GX38" s="546">
        <f t="shared" si="208"/>
        <v>0</v>
      </c>
      <c r="GY38" s="544"/>
      <c r="GZ38" s="545">
        <f t="shared" si="67"/>
        <v>0</v>
      </c>
      <c r="HA38" s="546">
        <f t="shared" si="178"/>
        <v>0</v>
      </c>
      <c r="HB38" s="544"/>
      <c r="HC38" s="545">
        <f t="shared" si="68"/>
        <v>0</v>
      </c>
      <c r="HD38" s="546">
        <f t="shared" si="179"/>
        <v>0</v>
      </c>
      <c r="HE38" s="544"/>
      <c r="HF38" s="545">
        <f t="shared" si="69"/>
        <v>0</v>
      </c>
      <c r="HG38" s="546">
        <f t="shared" si="180"/>
        <v>0</v>
      </c>
      <c r="HH38" s="544"/>
      <c r="HI38" s="545">
        <f t="shared" si="70"/>
        <v>0</v>
      </c>
      <c r="HJ38" s="546">
        <f t="shared" si="181"/>
        <v>0</v>
      </c>
      <c r="HK38" s="544"/>
      <c r="HL38" s="545">
        <f t="shared" si="71"/>
        <v>0</v>
      </c>
      <c r="HM38" s="546">
        <f t="shared" si="182"/>
        <v>0</v>
      </c>
      <c r="HN38" s="544">
        <v>1880</v>
      </c>
      <c r="HO38" s="545">
        <f t="shared" si="72"/>
        <v>35.767964840851583</v>
      </c>
      <c r="HP38" s="546">
        <f t="shared" si="183"/>
        <v>0</v>
      </c>
      <c r="HQ38" s="544"/>
      <c r="HR38" s="545">
        <f t="shared" si="73"/>
        <v>0</v>
      </c>
      <c r="HS38" s="546">
        <f t="shared" si="184"/>
        <v>0</v>
      </c>
      <c r="HT38" s="544">
        <v>100</v>
      </c>
      <c r="HU38" s="545">
        <f t="shared" si="74"/>
        <v>1.9025513213218928</v>
      </c>
      <c r="HV38" s="546">
        <f t="shared" si="185"/>
        <v>0</v>
      </c>
      <c r="HW38" s="544">
        <v>15</v>
      </c>
      <c r="HX38" s="545">
        <f t="shared" si="75"/>
        <v>0.28538269819828388</v>
      </c>
      <c r="HY38" s="546">
        <f t="shared" si="186"/>
        <v>0</v>
      </c>
      <c r="HZ38" s="544">
        <v>80</v>
      </c>
      <c r="IA38" s="545">
        <f>+HZ38/$E38</f>
        <v>1.522041057057514</v>
      </c>
      <c r="IB38" s="546">
        <f>+HZ38*$H$8</f>
        <v>0</v>
      </c>
      <c r="IC38" s="544">
        <v>70</v>
      </c>
      <c r="ID38" s="545">
        <f t="shared" si="77"/>
        <v>1.3317859249253248</v>
      </c>
      <c r="IE38" s="546">
        <f t="shared" si="188"/>
        <v>0</v>
      </c>
      <c r="IF38" s="544">
        <v>0</v>
      </c>
      <c r="IG38" s="545">
        <f t="shared" si="78"/>
        <v>0</v>
      </c>
      <c r="IH38" s="546">
        <f t="shared" si="189"/>
        <v>0</v>
      </c>
      <c r="II38" s="544"/>
      <c r="IJ38" s="545">
        <f t="shared" si="79"/>
        <v>0</v>
      </c>
      <c r="IK38" s="546">
        <f t="shared" si="190"/>
        <v>0</v>
      </c>
      <c r="IL38" s="544"/>
      <c r="IM38" s="545">
        <f t="shared" si="80"/>
        <v>0</v>
      </c>
      <c r="IN38" s="546">
        <f t="shared" si="191"/>
        <v>0</v>
      </c>
      <c r="IO38" s="544">
        <v>105</v>
      </c>
      <c r="IP38" s="545">
        <f t="shared" si="81"/>
        <v>1.9976788873879874</v>
      </c>
      <c r="IQ38" s="546">
        <f t="shared" si="192"/>
        <v>0</v>
      </c>
      <c r="IR38" s="544">
        <v>15</v>
      </c>
      <c r="IS38" s="545">
        <f t="shared" si="82"/>
        <v>0.28538269819828388</v>
      </c>
      <c r="IT38" s="546">
        <f t="shared" si="193"/>
        <v>0</v>
      </c>
      <c r="IU38" s="544"/>
      <c r="IV38" s="545">
        <f t="shared" si="83"/>
        <v>0</v>
      </c>
      <c r="IW38" s="546">
        <f t="shared" si="194"/>
        <v>0</v>
      </c>
      <c r="IX38" s="544">
        <v>10</v>
      </c>
      <c r="IY38" s="545">
        <f t="shared" si="84"/>
        <v>0.19025513213218925</v>
      </c>
      <c r="IZ38" s="546">
        <f t="shared" si="195"/>
        <v>0</v>
      </c>
      <c r="JA38" s="544"/>
      <c r="JB38" s="545">
        <f t="shared" si="85"/>
        <v>0</v>
      </c>
      <c r="JC38" s="546">
        <f t="shared" si="196"/>
        <v>0</v>
      </c>
      <c r="JD38" s="544"/>
      <c r="JE38" s="545">
        <f t="shared" si="86"/>
        <v>0</v>
      </c>
      <c r="JF38" s="546">
        <f t="shared" si="197"/>
        <v>0</v>
      </c>
      <c r="JG38" s="544">
        <v>55</v>
      </c>
      <c r="JH38" s="546" t="str">
        <f t="shared" si="87"/>
        <v>0</v>
      </c>
      <c r="JI38" s="546" t="str">
        <f t="shared" si="88"/>
        <v>0</v>
      </c>
      <c r="JJ38" s="544">
        <v>50</v>
      </c>
      <c r="JK38" s="546" t="str">
        <f t="shared" si="89"/>
        <v>0</v>
      </c>
      <c r="JL38" s="546" t="str">
        <f t="shared" si="90"/>
        <v>0</v>
      </c>
      <c r="JM38" s="544">
        <v>0</v>
      </c>
      <c r="JN38" s="546" t="str">
        <f t="shared" si="91"/>
        <v>0</v>
      </c>
      <c r="JO38" s="546" t="str">
        <f t="shared" si="92"/>
        <v>0</v>
      </c>
      <c r="JP38" s="544"/>
      <c r="JQ38" s="546" t="str">
        <f t="shared" si="93"/>
        <v>0</v>
      </c>
      <c r="JR38" s="546" t="str">
        <f t="shared" si="94"/>
        <v>0</v>
      </c>
      <c r="JS38" s="544"/>
      <c r="JT38" s="546" t="str">
        <f t="shared" si="95"/>
        <v>0</v>
      </c>
      <c r="JU38" s="546" t="str">
        <f t="shared" si="96"/>
        <v>0</v>
      </c>
      <c r="JV38" s="544"/>
      <c r="JW38" s="546" t="str">
        <f t="shared" si="97"/>
        <v>0</v>
      </c>
      <c r="JX38" s="546" t="str">
        <f t="shared" si="98"/>
        <v>0</v>
      </c>
      <c r="JY38" s="544"/>
      <c r="JZ38" s="546" t="str">
        <f t="shared" si="99"/>
        <v>0</v>
      </c>
      <c r="KA38" s="546" t="str">
        <f t="shared" si="100"/>
        <v>0</v>
      </c>
      <c r="KB38" s="544"/>
      <c r="KC38" s="546" t="str">
        <f t="shared" si="101"/>
        <v>0</v>
      </c>
      <c r="KD38" s="546" t="str">
        <f t="shared" si="102"/>
        <v>0</v>
      </c>
      <c r="KE38" s="544"/>
      <c r="KF38" s="546" t="str">
        <f t="shared" si="103"/>
        <v>0</v>
      </c>
      <c r="KG38" s="546" t="str">
        <f t="shared" si="104"/>
        <v>0</v>
      </c>
      <c r="KH38" s="544"/>
      <c r="KI38" s="546" t="str">
        <f t="shared" si="105"/>
        <v>0</v>
      </c>
      <c r="KJ38" s="546" t="str">
        <f t="shared" si="106"/>
        <v>0</v>
      </c>
      <c r="KK38" s="544"/>
      <c r="KL38" s="546" t="str">
        <f t="shared" si="107"/>
        <v>0</v>
      </c>
      <c r="KM38" s="546" t="str">
        <f t="shared" si="108"/>
        <v>0</v>
      </c>
      <c r="KN38" s="544"/>
      <c r="KO38" s="546" t="str">
        <f t="shared" si="109"/>
        <v>0</v>
      </c>
      <c r="KP38" s="546" t="str">
        <f t="shared" si="110"/>
        <v>0</v>
      </c>
      <c r="KQ38" s="546">
        <f t="shared" si="111"/>
        <v>0</v>
      </c>
      <c r="KR38" s="546">
        <f t="shared" si="198"/>
        <v>0</v>
      </c>
      <c r="KS38" s="265">
        <f t="shared" si="199"/>
        <v>3644.7590918657265</v>
      </c>
    </row>
    <row r="39" spans="1:16381" ht="15" customHeight="1">
      <c r="A39" s="267">
        <f>+Report1!A39</f>
        <v>46022</v>
      </c>
      <c r="B39" s="268" t="str">
        <f>+Report1!B39</f>
        <v>Napkin</v>
      </c>
      <c r="C39" s="268" t="str">
        <f>+Report1!C39</f>
        <v>16.5/17/19</v>
      </c>
      <c r="D39" s="269">
        <f>+Report1!P39</f>
        <v>56.41</v>
      </c>
      <c r="E39" s="270">
        <f>+Report1!R39</f>
        <v>57.401000000000003</v>
      </c>
      <c r="F39" s="544"/>
      <c r="G39" s="545">
        <f t="shared" si="0"/>
        <v>0</v>
      </c>
      <c r="H39" s="546">
        <f t="shared" si="112"/>
        <v>0</v>
      </c>
      <c r="I39" s="544"/>
      <c r="J39" s="545">
        <f t="shared" si="1"/>
        <v>0</v>
      </c>
      <c r="K39" s="546">
        <f t="shared" si="113"/>
        <v>0</v>
      </c>
      <c r="L39" s="544"/>
      <c r="M39" s="545">
        <f t="shared" si="2"/>
        <v>0</v>
      </c>
      <c r="N39" s="546">
        <f t="shared" si="114"/>
        <v>0</v>
      </c>
      <c r="O39" s="544">
        <v>12.000000000000014</v>
      </c>
      <c r="P39" s="545">
        <f t="shared" si="3"/>
        <v>0.20905559136600432</v>
      </c>
      <c r="Q39" s="546">
        <f t="shared" si="115"/>
        <v>0</v>
      </c>
      <c r="R39" s="544"/>
      <c r="S39" s="545">
        <f t="shared" si="4"/>
        <v>0</v>
      </c>
      <c r="T39" s="546">
        <f t="shared" si="116"/>
        <v>0</v>
      </c>
      <c r="U39" s="544">
        <v>10.249999999999972</v>
      </c>
      <c r="V39" s="545">
        <f t="shared" si="5"/>
        <v>0.17856831762512798</v>
      </c>
      <c r="W39" s="546">
        <f t="shared" si="117"/>
        <v>0</v>
      </c>
      <c r="X39" s="544"/>
      <c r="Y39" s="545">
        <f t="shared" si="6"/>
        <v>0</v>
      </c>
      <c r="Z39" s="546">
        <f t="shared" si="118"/>
        <v>0</v>
      </c>
      <c r="AA39" s="544"/>
      <c r="AB39" s="545">
        <f t="shared" si="7"/>
        <v>0</v>
      </c>
      <c r="AC39" s="546">
        <f t="shared" si="119"/>
        <v>0</v>
      </c>
      <c r="AD39" s="544"/>
      <c r="AE39" s="545">
        <f t="shared" si="8"/>
        <v>0</v>
      </c>
      <c r="AF39" s="546">
        <f t="shared" si="120"/>
        <v>0</v>
      </c>
      <c r="AG39" s="544"/>
      <c r="AH39" s="545">
        <f t="shared" si="9"/>
        <v>0</v>
      </c>
      <c r="AI39" s="546">
        <f t="shared" si="121"/>
        <v>0</v>
      </c>
      <c r="AJ39" s="544"/>
      <c r="AK39" s="545">
        <f t="shared" si="10"/>
        <v>0</v>
      </c>
      <c r="AL39" s="546">
        <f t="shared" si="122"/>
        <v>0</v>
      </c>
      <c r="AM39" s="544">
        <v>36.794871794871824</v>
      </c>
      <c r="AN39" s="545">
        <f t="shared" si="11"/>
        <v>0.64101447352610275</v>
      </c>
      <c r="AO39" s="546">
        <f t="shared" si="123"/>
        <v>0</v>
      </c>
      <c r="AP39" s="544"/>
      <c r="AQ39" s="545">
        <f t="shared" si="12"/>
        <v>0</v>
      </c>
      <c r="AR39" s="546">
        <f t="shared" si="124"/>
        <v>0</v>
      </c>
      <c r="AS39" s="544"/>
      <c r="AT39" s="545">
        <f t="shared" si="13"/>
        <v>0</v>
      </c>
      <c r="AU39" s="546">
        <f t="shared" si="125"/>
        <v>0</v>
      </c>
      <c r="AV39" s="544">
        <v>13.874999999999993</v>
      </c>
      <c r="AW39" s="545">
        <f t="shared" si="14"/>
        <v>0.24172052751694206</v>
      </c>
      <c r="AX39" s="546">
        <f t="shared" si="126"/>
        <v>0</v>
      </c>
      <c r="AY39" s="544">
        <v>60.666666666666686</v>
      </c>
      <c r="AZ39" s="545">
        <f t="shared" si="15"/>
        <v>1.0568921563503542</v>
      </c>
      <c r="BA39" s="546">
        <f t="shared" si="127"/>
        <v>0</v>
      </c>
      <c r="BB39" s="544"/>
      <c r="BC39" s="545">
        <f t="shared" si="16"/>
        <v>0</v>
      </c>
      <c r="BD39" s="546">
        <f t="shared" si="128"/>
        <v>0</v>
      </c>
      <c r="BE39" s="544"/>
      <c r="BF39" s="545">
        <f t="shared" si="17"/>
        <v>0</v>
      </c>
      <c r="BG39" s="546">
        <f t="shared" si="129"/>
        <v>0</v>
      </c>
      <c r="BH39" s="544"/>
      <c r="BI39" s="545">
        <f t="shared" si="18"/>
        <v>0</v>
      </c>
      <c r="BJ39" s="546">
        <f t="shared" si="130"/>
        <v>0</v>
      </c>
      <c r="BK39" s="544"/>
      <c r="BL39" s="545">
        <f t="shared" si="19"/>
        <v>0</v>
      </c>
      <c r="BM39" s="546">
        <f t="shared" si="131"/>
        <v>0</v>
      </c>
      <c r="BN39" s="544"/>
      <c r="BO39" s="545">
        <f t="shared" si="20"/>
        <v>0</v>
      </c>
      <c r="BP39" s="546">
        <f t="shared" si="132"/>
        <v>0</v>
      </c>
      <c r="BQ39" s="544"/>
      <c r="BR39" s="545">
        <f t="shared" si="21"/>
        <v>0</v>
      </c>
      <c r="BS39" s="546">
        <f t="shared" si="133"/>
        <v>0</v>
      </c>
      <c r="BT39" s="544"/>
      <c r="BU39" s="545">
        <f t="shared" si="22"/>
        <v>0</v>
      </c>
      <c r="BV39" s="546">
        <f t="shared" si="134"/>
        <v>0</v>
      </c>
      <c r="BW39" s="544"/>
      <c r="BX39" s="545">
        <f t="shared" si="23"/>
        <v>0</v>
      </c>
      <c r="BY39" s="546">
        <f t="shared" si="135"/>
        <v>0</v>
      </c>
      <c r="BZ39" s="544">
        <v>0</v>
      </c>
      <c r="CA39" s="545">
        <f t="shared" si="24"/>
        <v>0</v>
      </c>
      <c r="CB39" s="546">
        <f t="shared" si="136"/>
        <v>0</v>
      </c>
      <c r="CC39" s="544"/>
      <c r="CD39" s="545">
        <f t="shared" si="25"/>
        <v>0</v>
      </c>
      <c r="CE39" s="546">
        <f t="shared" si="137"/>
        <v>0</v>
      </c>
      <c r="CF39" s="544">
        <v>3.2</v>
      </c>
      <c r="CG39" s="545">
        <f t="shared" si="26"/>
        <v>5.5748157697601088E-2</v>
      </c>
      <c r="CH39" s="546">
        <f t="shared" si="138"/>
        <v>0</v>
      </c>
      <c r="CI39" s="544"/>
      <c r="CJ39" s="545">
        <f t="shared" si="27"/>
        <v>0</v>
      </c>
      <c r="CK39" s="546">
        <f t="shared" si="139"/>
        <v>0</v>
      </c>
      <c r="CL39" s="544"/>
      <c r="CM39" s="545">
        <f t="shared" si="28"/>
        <v>0</v>
      </c>
      <c r="CN39" s="546">
        <f t="shared" si="140"/>
        <v>0</v>
      </c>
      <c r="CO39" s="544"/>
      <c r="CP39" s="545">
        <f t="shared" si="29"/>
        <v>0</v>
      </c>
      <c r="CQ39" s="546">
        <f t="shared" si="141"/>
        <v>0</v>
      </c>
      <c r="CR39" s="544"/>
      <c r="CS39" s="545">
        <f t="shared" si="30"/>
        <v>0</v>
      </c>
      <c r="CT39" s="546">
        <f t="shared" si="142"/>
        <v>0</v>
      </c>
      <c r="CU39" s="544"/>
      <c r="CV39" s="545">
        <f t="shared" si="31"/>
        <v>0</v>
      </c>
      <c r="CW39" s="546">
        <f t="shared" si="143"/>
        <v>0</v>
      </c>
      <c r="CX39" s="544"/>
      <c r="CY39" s="545">
        <f t="shared" si="32"/>
        <v>0</v>
      </c>
      <c r="CZ39" s="546">
        <f t="shared" si="144"/>
        <v>0</v>
      </c>
      <c r="DA39" s="544">
        <v>264.70588235294122</v>
      </c>
      <c r="DB39" s="545">
        <f t="shared" si="33"/>
        <v>4.6115203977795023</v>
      </c>
      <c r="DC39" s="546">
        <f t="shared" si="145"/>
        <v>0</v>
      </c>
      <c r="DD39" s="544"/>
      <c r="DE39" s="545">
        <f t="shared" si="34"/>
        <v>0</v>
      </c>
      <c r="DF39" s="546">
        <f t="shared" si="146"/>
        <v>0</v>
      </c>
      <c r="DG39" s="544"/>
      <c r="DH39" s="545">
        <f t="shared" si="35"/>
        <v>0</v>
      </c>
      <c r="DI39" s="546">
        <f t="shared" si="200"/>
        <v>0</v>
      </c>
      <c r="DJ39" s="544"/>
      <c r="DK39" s="545">
        <f t="shared" si="36"/>
        <v>0</v>
      </c>
      <c r="DL39" s="546">
        <f t="shared" si="147"/>
        <v>0</v>
      </c>
      <c r="DM39" s="544"/>
      <c r="DN39" s="545">
        <f t="shared" si="37"/>
        <v>0</v>
      </c>
      <c r="DO39" s="546">
        <f t="shared" si="148"/>
        <v>0</v>
      </c>
      <c r="DP39" s="544"/>
      <c r="DQ39" s="545">
        <f t="shared" si="38"/>
        <v>0</v>
      </c>
      <c r="DR39" s="546">
        <f t="shared" si="149"/>
        <v>0</v>
      </c>
      <c r="DS39" s="544"/>
      <c r="DT39" s="545">
        <f t="shared" si="39"/>
        <v>0</v>
      </c>
      <c r="DU39" s="546">
        <f t="shared" si="150"/>
        <v>0</v>
      </c>
      <c r="DV39" s="544"/>
      <c r="DW39" s="545">
        <f t="shared" si="40"/>
        <v>0</v>
      </c>
      <c r="DX39" s="546">
        <f t="shared" si="151"/>
        <v>0</v>
      </c>
      <c r="DY39" s="544"/>
      <c r="DZ39" s="545">
        <f t="shared" si="41"/>
        <v>0</v>
      </c>
      <c r="EA39" s="546">
        <f t="shared" si="152"/>
        <v>0</v>
      </c>
      <c r="EB39" s="544">
        <v>976.47058823529437</v>
      </c>
      <c r="EC39" s="545">
        <f t="shared" si="42"/>
        <v>17.011386356253276</v>
      </c>
      <c r="ED39" s="546">
        <f t="shared" si="153"/>
        <v>0</v>
      </c>
      <c r="EE39" s="544">
        <v>14.534883720930225</v>
      </c>
      <c r="EF39" s="545">
        <f t="shared" si="43"/>
        <v>0.2532165593095978</v>
      </c>
      <c r="EG39" s="546">
        <f t="shared" si="154"/>
        <v>0</v>
      </c>
      <c r="EH39" s="544">
        <v>1</v>
      </c>
      <c r="EI39" s="545">
        <f t="shared" si="44"/>
        <v>1.7421299280500339E-2</v>
      </c>
      <c r="EJ39" s="546">
        <f t="shared" si="155"/>
        <v>0</v>
      </c>
      <c r="EK39" s="544"/>
      <c r="EL39" s="545">
        <f t="shared" si="45"/>
        <v>0</v>
      </c>
      <c r="EM39" s="546">
        <f t="shared" si="156"/>
        <v>0</v>
      </c>
      <c r="EN39" s="544"/>
      <c r="EO39" s="545">
        <f t="shared" si="46"/>
        <v>0</v>
      </c>
      <c r="EP39" s="546">
        <f t="shared" si="157"/>
        <v>0</v>
      </c>
      <c r="EQ39" s="544"/>
      <c r="ER39" s="545">
        <f t="shared" si="47"/>
        <v>0</v>
      </c>
      <c r="ES39" s="546">
        <f t="shared" si="158"/>
        <v>0</v>
      </c>
      <c r="ET39" s="544"/>
      <c r="EU39" s="545">
        <f t="shared" si="48"/>
        <v>0</v>
      </c>
      <c r="EV39" s="546">
        <f t="shared" si="159"/>
        <v>0</v>
      </c>
      <c r="EW39" s="544"/>
      <c r="EX39" s="545">
        <f t="shared" si="49"/>
        <v>0</v>
      </c>
      <c r="EY39" s="546">
        <f t="shared" si="160"/>
        <v>0</v>
      </c>
      <c r="EZ39" s="544"/>
      <c r="FA39" s="545">
        <f t="shared" si="50"/>
        <v>0</v>
      </c>
      <c r="FB39" s="546">
        <f t="shared" si="161"/>
        <v>0</v>
      </c>
      <c r="FC39" s="544"/>
      <c r="FD39" s="545">
        <f t="shared" si="51"/>
        <v>0</v>
      </c>
      <c r="FE39" s="546">
        <f t="shared" si="162"/>
        <v>0</v>
      </c>
      <c r="FF39" s="544"/>
      <c r="FG39" s="545">
        <f t="shared" si="52"/>
        <v>0</v>
      </c>
      <c r="FH39" s="546">
        <f t="shared" si="163"/>
        <v>0</v>
      </c>
      <c r="FI39" s="544"/>
      <c r="FJ39" s="545">
        <f t="shared" si="53"/>
        <v>0</v>
      </c>
      <c r="FK39" s="546">
        <f t="shared" si="164"/>
        <v>0</v>
      </c>
      <c r="FL39" s="544"/>
      <c r="FM39" s="545">
        <f t="shared" si="54"/>
        <v>0</v>
      </c>
      <c r="FN39" s="546">
        <f t="shared" si="165"/>
        <v>0</v>
      </c>
      <c r="FO39" s="544"/>
      <c r="FP39" s="545">
        <f t="shared" si="55"/>
        <v>0</v>
      </c>
      <c r="FQ39" s="546">
        <f t="shared" si="166"/>
        <v>0</v>
      </c>
      <c r="FR39" s="544"/>
      <c r="FS39" s="545">
        <f t="shared" si="56"/>
        <v>0</v>
      </c>
      <c r="FT39" s="546">
        <f t="shared" si="167"/>
        <v>0</v>
      </c>
      <c r="FU39" s="544"/>
      <c r="FV39" s="545">
        <f t="shared" si="57"/>
        <v>0</v>
      </c>
      <c r="FW39" s="546">
        <f t="shared" si="168"/>
        <v>0</v>
      </c>
      <c r="FX39" s="544"/>
      <c r="FY39" s="545">
        <f t="shared" si="58"/>
        <v>0</v>
      </c>
      <c r="FZ39" s="546">
        <f t="shared" si="169"/>
        <v>0</v>
      </c>
      <c r="GA39" s="544"/>
      <c r="GB39" s="545">
        <f t="shared" si="59"/>
        <v>0</v>
      </c>
      <c r="GC39" s="546">
        <f t="shared" si="170"/>
        <v>0</v>
      </c>
      <c r="GD39" s="544"/>
      <c r="GE39" s="545">
        <f t="shared" si="60"/>
        <v>0</v>
      </c>
      <c r="GF39" s="546">
        <f t="shared" si="171"/>
        <v>0</v>
      </c>
      <c r="GG39" s="544">
        <v>20</v>
      </c>
      <c r="GH39" s="545">
        <f t="shared" si="61"/>
        <v>0.34842598561000676</v>
      </c>
      <c r="GI39" s="546">
        <f t="shared" si="172"/>
        <v>0</v>
      </c>
      <c r="GJ39" s="544">
        <v>20</v>
      </c>
      <c r="GK39" s="545">
        <f t="shared" si="210"/>
        <v>0.34842598561000676</v>
      </c>
      <c r="GL39" s="546">
        <f t="shared" si="211"/>
        <v>0</v>
      </c>
      <c r="GM39" s="544">
        <v>0</v>
      </c>
      <c r="GN39" s="545">
        <f t="shared" si="201"/>
        <v>0</v>
      </c>
      <c r="GO39" s="546">
        <f t="shared" si="202"/>
        <v>0</v>
      </c>
      <c r="GP39" s="544"/>
      <c r="GQ39" s="545">
        <f t="shared" si="203"/>
        <v>0</v>
      </c>
      <c r="GR39" s="546">
        <f t="shared" si="204"/>
        <v>0</v>
      </c>
      <c r="GS39" s="544"/>
      <c r="GT39" s="545">
        <f t="shared" si="205"/>
        <v>0</v>
      </c>
      <c r="GU39" s="546">
        <f t="shared" si="206"/>
        <v>0</v>
      </c>
      <c r="GV39" s="544"/>
      <c r="GW39" s="545">
        <f t="shared" si="207"/>
        <v>0</v>
      </c>
      <c r="GX39" s="546">
        <f t="shared" si="208"/>
        <v>0</v>
      </c>
      <c r="GY39" s="544"/>
      <c r="GZ39" s="545">
        <f t="shared" si="67"/>
        <v>0</v>
      </c>
      <c r="HA39" s="546">
        <f t="shared" si="178"/>
        <v>0</v>
      </c>
      <c r="HB39" s="544"/>
      <c r="HC39" s="545">
        <f t="shared" si="68"/>
        <v>0</v>
      </c>
      <c r="HD39" s="546">
        <f t="shared" si="179"/>
        <v>0</v>
      </c>
      <c r="HE39" s="544"/>
      <c r="HF39" s="545">
        <f t="shared" si="69"/>
        <v>0</v>
      </c>
      <c r="HG39" s="546">
        <f t="shared" si="180"/>
        <v>0</v>
      </c>
      <c r="HH39" s="544"/>
      <c r="HI39" s="545">
        <f t="shared" si="70"/>
        <v>0</v>
      </c>
      <c r="HJ39" s="546">
        <f t="shared" si="181"/>
        <v>0</v>
      </c>
      <c r="HK39" s="544"/>
      <c r="HL39" s="545">
        <f t="shared" si="71"/>
        <v>0</v>
      </c>
      <c r="HM39" s="546">
        <f t="shared" si="182"/>
        <v>0</v>
      </c>
      <c r="HN39" s="544">
        <v>2080</v>
      </c>
      <c r="HO39" s="545">
        <f t="shared" si="72"/>
        <v>36.236302503440704</v>
      </c>
      <c r="HP39" s="546">
        <f t="shared" si="183"/>
        <v>0</v>
      </c>
      <c r="HQ39" s="544"/>
      <c r="HR39" s="545">
        <f t="shared" si="73"/>
        <v>0</v>
      </c>
      <c r="HS39" s="546">
        <f t="shared" si="184"/>
        <v>0</v>
      </c>
      <c r="HT39" s="544">
        <v>90</v>
      </c>
      <c r="HU39" s="545">
        <f t="shared" si="74"/>
        <v>1.5679169352450304</v>
      </c>
      <c r="HV39" s="546">
        <f t="shared" si="185"/>
        <v>0</v>
      </c>
      <c r="HW39" s="544">
        <v>15</v>
      </c>
      <c r="HX39" s="545">
        <f t="shared" si="75"/>
        <v>0.26131948920750508</v>
      </c>
      <c r="HY39" s="546">
        <f t="shared" si="186"/>
        <v>0</v>
      </c>
      <c r="HZ39" s="544">
        <v>60</v>
      </c>
      <c r="IA39" s="545">
        <f>+HZ39/$E39</f>
        <v>1.0452779568300203</v>
      </c>
      <c r="IB39" s="546">
        <f>+HZ39*$H$8</f>
        <v>0</v>
      </c>
      <c r="IC39" s="544">
        <v>60</v>
      </c>
      <c r="ID39" s="545">
        <f t="shared" si="77"/>
        <v>1.0452779568300203</v>
      </c>
      <c r="IE39" s="546">
        <f t="shared" si="188"/>
        <v>0</v>
      </c>
      <c r="IF39" s="544">
        <v>0</v>
      </c>
      <c r="IG39" s="545">
        <f t="shared" si="78"/>
        <v>0</v>
      </c>
      <c r="IH39" s="546">
        <f t="shared" si="189"/>
        <v>0</v>
      </c>
      <c r="II39" s="544"/>
      <c r="IJ39" s="545">
        <f t="shared" si="79"/>
        <v>0</v>
      </c>
      <c r="IK39" s="546">
        <f t="shared" si="190"/>
        <v>0</v>
      </c>
      <c r="IL39" s="544"/>
      <c r="IM39" s="545">
        <f t="shared" si="80"/>
        <v>0</v>
      </c>
      <c r="IN39" s="546">
        <f t="shared" si="191"/>
        <v>0</v>
      </c>
      <c r="IO39" s="544">
        <v>100</v>
      </c>
      <c r="IP39" s="545">
        <f t="shared" si="81"/>
        <v>1.742129928050034</v>
      </c>
      <c r="IQ39" s="546">
        <f t="shared" si="192"/>
        <v>0</v>
      </c>
      <c r="IR39" s="544">
        <v>20</v>
      </c>
      <c r="IS39" s="545">
        <f t="shared" si="82"/>
        <v>0.34842598561000676</v>
      </c>
      <c r="IT39" s="546">
        <f t="shared" si="193"/>
        <v>0</v>
      </c>
      <c r="IU39" s="544"/>
      <c r="IV39" s="545">
        <f t="shared" si="83"/>
        <v>0</v>
      </c>
      <c r="IW39" s="546">
        <f t="shared" si="194"/>
        <v>0</v>
      </c>
      <c r="IX39" s="544">
        <v>10</v>
      </c>
      <c r="IY39" s="545">
        <f t="shared" si="84"/>
        <v>0.17421299280500338</v>
      </c>
      <c r="IZ39" s="546">
        <f t="shared" si="195"/>
        <v>0</v>
      </c>
      <c r="JA39" s="544"/>
      <c r="JB39" s="545">
        <f t="shared" si="85"/>
        <v>0</v>
      </c>
      <c r="JC39" s="546">
        <f t="shared" si="196"/>
        <v>0</v>
      </c>
      <c r="JD39" s="544"/>
      <c r="JE39" s="545">
        <f t="shared" si="86"/>
        <v>0</v>
      </c>
      <c r="JF39" s="546">
        <f t="shared" si="197"/>
        <v>0</v>
      </c>
      <c r="JG39" s="544">
        <v>50</v>
      </c>
      <c r="JH39" s="546" t="str">
        <f t="shared" si="87"/>
        <v>0</v>
      </c>
      <c r="JI39" s="546" t="str">
        <f t="shared" si="88"/>
        <v>0</v>
      </c>
      <c r="JJ39" s="544">
        <v>50</v>
      </c>
      <c r="JK39" s="546" t="str">
        <f t="shared" si="89"/>
        <v>0</v>
      </c>
      <c r="JL39" s="546" t="str">
        <f t="shared" si="90"/>
        <v>0</v>
      </c>
      <c r="JM39" s="544">
        <v>0</v>
      </c>
      <c r="JN39" s="546" t="str">
        <f t="shared" si="91"/>
        <v>0</v>
      </c>
      <c r="JO39" s="546" t="str">
        <f t="shared" si="92"/>
        <v>0</v>
      </c>
      <c r="JP39" s="544"/>
      <c r="JQ39" s="546" t="str">
        <f t="shared" si="93"/>
        <v>0</v>
      </c>
      <c r="JR39" s="546" t="str">
        <f t="shared" si="94"/>
        <v>0</v>
      </c>
      <c r="JS39" s="544"/>
      <c r="JT39" s="546" t="str">
        <f t="shared" si="95"/>
        <v>0</v>
      </c>
      <c r="JU39" s="546" t="str">
        <f t="shared" si="96"/>
        <v>0</v>
      </c>
      <c r="JV39" s="544"/>
      <c r="JW39" s="546" t="str">
        <f t="shared" si="97"/>
        <v>0</v>
      </c>
      <c r="JX39" s="546" t="str">
        <f t="shared" si="98"/>
        <v>0</v>
      </c>
      <c r="JY39" s="544"/>
      <c r="JZ39" s="546" t="str">
        <f t="shared" si="99"/>
        <v>0</v>
      </c>
      <c r="KA39" s="546" t="str">
        <f t="shared" si="100"/>
        <v>0</v>
      </c>
      <c r="KB39" s="544"/>
      <c r="KC39" s="546" t="str">
        <f t="shared" si="101"/>
        <v>0</v>
      </c>
      <c r="KD39" s="546" t="str">
        <f t="shared" si="102"/>
        <v>0</v>
      </c>
      <c r="KE39" s="544"/>
      <c r="KF39" s="546" t="str">
        <f t="shared" si="103"/>
        <v>0</v>
      </c>
      <c r="KG39" s="546" t="str">
        <f t="shared" si="104"/>
        <v>0</v>
      </c>
      <c r="KH39" s="544"/>
      <c r="KI39" s="546" t="str">
        <f t="shared" si="105"/>
        <v>0</v>
      </c>
      <c r="KJ39" s="546" t="str">
        <f t="shared" si="106"/>
        <v>0</v>
      </c>
      <c r="KK39" s="544"/>
      <c r="KL39" s="546" t="str">
        <f t="shared" si="107"/>
        <v>0</v>
      </c>
      <c r="KM39" s="546" t="str">
        <f t="shared" si="108"/>
        <v>0</v>
      </c>
      <c r="KN39" s="544"/>
      <c r="KO39" s="546" t="str">
        <f t="shared" si="109"/>
        <v>0</v>
      </c>
      <c r="KP39" s="546" t="str">
        <f t="shared" si="110"/>
        <v>0</v>
      </c>
      <c r="KQ39" s="546">
        <f t="shared" si="111"/>
        <v>0</v>
      </c>
      <c r="KR39" s="546">
        <f t="shared" si="198"/>
        <v>0</v>
      </c>
      <c r="KS39" s="265">
        <f t="shared" si="199"/>
        <v>3968.4978927707043</v>
      </c>
    </row>
    <row r="40" spans="1:16381" ht="15" customHeight="1" thickBot="1">
      <c r="A40" s="272"/>
      <c r="B40" s="273"/>
      <c r="C40" s="274"/>
      <c r="D40" s="274"/>
      <c r="E40" s="270"/>
      <c r="F40" s="544"/>
      <c r="G40" s="545"/>
      <c r="H40" s="546"/>
      <c r="I40" s="544"/>
      <c r="J40" s="545"/>
      <c r="K40" s="546"/>
      <c r="L40" s="544"/>
      <c r="M40" s="545"/>
      <c r="N40" s="546"/>
      <c r="O40" s="544"/>
      <c r="P40" s="545"/>
      <c r="Q40" s="546"/>
      <c r="R40" s="544"/>
      <c r="S40" s="545"/>
      <c r="T40" s="546"/>
      <c r="U40" s="544"/>
      <c r="V40" s="545"/>
      <c r="W40" s="546"/>
      <c r="X40" s="544"/>
      <c r="Y40" s="545"/>
      <c r="Z40" s="546"/>
      <c r="AA40" s="544"/>
      <c r="AB40" s="545"/>
      <c r="AC40" s="546"/>
      <c r="AD40" s="544"/>
      <c r="AE40" s="545"/>
      <c r="AF40" s="546"/>
      <c r="AG40" s="544"/>
      <c r="AH40" s="545"/>
      <c r="AI40" s="546"/>
      <c r="AJ40" s="544"/>
      <c r="AK40" s="545"/>
      <c r="AL40" s="546"/>
      <c r="AM40" s="544"/>
      <c r="AN40" s="545"/>
      <c r="AO40" s="546"/>
      <c r="AP40" s="544"/>
      <c r="AQ40" s="545"/>
      <c r="AR40" s="546"/>
      <c r="AS40" s="544"/>
      <c r="AT40" s="545"/>
      <c r="AU40" s="546"/>
      <c r="AV40" s="544"/>
      <c r="AW40" s="545"/>
      <c r="AX40" s="546"/>
      <c r="AY40" s="544"/>
      <c r="AZ40" s="545"/>
      <c r="BA40" s="546"/>
      <c r="BB40" s="544"/>
      <c r="BC40" s="545"/>
      <c r="BD40" s="546"/>
      <c r="BE40" s="544"/>
      <c r="BF40" s="545"/>
      <c r="BG40" s="546"/>
      <c r="BH40" s="544"/>
      <c r="BI40" s="545"/>
      <c r="BJ40" s="546"/>
      <c r="BK40" s="544"/>
      <c r="BL40" s="545"/>
      <c r="BM40" s="546"/>
      <c r="BN40" s="544"/>
      <c r="BO40" s="545"/>
      <c r="BP40" s="546"/>
      <c r="BQ40" s="544"/>
      <c r="BR40" s="545"/>
      <c r="BS40" s="546"/>
      <c r="BT40" s="544"/>
      <c r="BU40" s="545"/>
      <c r="BV40" s="546"/>
      <c r="BW40" s="544"/>
      <c r="BX40" s="545"/>
      <c r="BY40" s="546"/>
      <c r="BZ40" s="544"/>
      <c r="CA40" s="545"/>
      <c r="CB40" s="546"/>
      <c r="CC40" s="544"/>
      <c r="CD40" s="545"/>
      <c r="CE40" s="546"/>
      <c r="CF40" s="544"/>
      <c r="CG40" s="545"/>
      <c r="CH40" s="546"/>
      <c r="CI40" s="544"/>
      <c r="CJ40" s="545"/>
      <c r="CK40" s="546"/>
      <c r="CL40" s="544"/>
      <c r="CM40" s="545"/>
      <c r="CN40" s="546"/>
      <c r="CO40" s="544"/>
      <c r="CP40" s="545"/>
      <c r="CQ40" s="546"/>
      <c r="CR40" s="544"/>
      <c r="CS40" s="545"/>
      <c r="CT40" s="546"/>
      <c r="CU40" s="544"/>
      <c r="CV40" s="545"/>
      <c r="CW40" s="546"/>
      <c r="CX40" s="544"/>
      <c r="CY40" s="545"/>
      <c r="CZ40" s="546"/>
      <c r="DA40" s="544"/>
      <c r="DB40" s="545"/>
      <c r="DC40" s="546"/>
      <c r="DD40" s="544"/>
      <c r="DE40" s="545"/>
      <c r="DF40" s="546"/>
      <c r="DG40" s="544"/>
      <c r="DH40" s="545"/>
      <c r="DI40" s="546"/>
      <c r="DJ40" s="544"/>
      <c r="DK40" s="545"/>
      <c r="DL40" s="546"/>
      <c r="DM40" s="544"/>
      <c r="DN40" s="545"/>
      <c r="DO40" s="546"/>
      <c r="DP40" s="544"/>
      <c r="DQ40" s="545"/>
      <c r="DR40" s="546"/>
      <c r="DS40" s="544"/>
      <c r="DT40" s="545"/>
      <c r="DU40" s="546"/>
      <c r="DV40" s="544"/>
      <c r="DW40" s="545"/>
      <c r="DX40" s="546"/>
      <c r="DY40" s="544"/>
      <c r="DZ40" s="545"/>
      <c r="EA40" s="546"/>
      <c r="EB40" s="544"/>
      <c r="EC40" s="545"/>
      <c r="ED40" s="546"/>
      <c r="EE40" s="544"/>
      <c r="EF40" s="545"/>
      <c r="EG40" s="546"/>
      <c r="EH40" s="544"/>
      <c r="EI40" s="545"/>
      <c r="EJ40" s="546"/>
      <c r="EK40" s="544"/>
      <c r="EL40" s="545"/>
      <c r="EM40" s="546"/>
      <c r="EN40" s="544"/>
      <c r="EO40" s="545"/>
      <c r="EP40" s="546"/>
      <c r="EQ40" s="544"/>
      <c r="ER40" s="545"/>
      <c r="ES40" s="546"/>
      <c r="ET40" s="544"/>
      <c r="EU40" s="545"/>
      <c r="EV40" s="546"/>
      <c r="EW40" s="544"/>
      <c r="EX40" s="545"/>
      <c r="EY40" s="546"/>
      <c r="EZ40" s="544"/>
      <c r="FA40" s="545"/>
      <c r="FB40" s="546"/>
      <c r="FC40" s="544"/>
      <c r="FD40" s="545"/>
      <c r="FE40" s="546"/>
      <c r="FF40" s="544"/>
      <c r="FG40" s="545"/>
      <c r="FH40" s="546"/>
      <c r="FI40" s="544"/>
      <c r="FJ40" s="545"/>
      <c r="FK40" s="546"/>
      <c r="FL40" s="544"/>
      <c r="FM40" s="545"/>
      <c r="FN40" s="546"/>
      <c r="FO40" s="544"/>
      <c r="FP40" s="545"/>
      <c r="FQ40" s="546"/>
      <c r="FR40" s="544"/>
      <c r="FS40" s="545"/>
      <c r="FT40" s="546"/>
      <c r="FU40" s="544"/>
      <c r="FV40" s="545"/>
      <c r="FW40" s="546"/>
      <c r="FX40" s="544"/>
      <c r="FY40" s="545"/>
      <c r="FZ40" s="546"/>
      <c r="GA40" s="544"/>
      <c r="GB40" s="545"/>
      <c r="GC40" s="546"/>
      <c r="GD40" s="544"/>
      <c r="GE40" s="545"/>
      <c r="GF40" s="546"/>
      <c r="GG40" s="544"/>
      <c r="GH40" s="545"/>
      <c r="GI40" s="546"/>
      <c r="GJ40" s="544"/>
      <c r="GK40" s="545"/>
      <c r="GL40" s="546"/>
      <c r="GM40" s="544"/>
      <c r="GN40" s="545"/>
      <c r="GO40" s="546"/>
      <c r="GP40" s="544"/>
      <c r="GQ40" s="545"/>
      <c r="GR40" s="546"/>
      <c r="GS40" s="544"/>
      <c r="GT40" s="545"/>
      <c r="GU40" s="546"/>
      <c r="GV40" s="544"/>
      <c r="GW40" s="545"/>
      <c r="GX40" s="546"/>
      <c r="GY40" s="544"/>
      <c r="GZ40" s="545"/>
      <c r="HA40" s="546"/>
      <c r="HB40" s="544"/>
      <c r="HC40" s="545"/>
      <c r="HD40" s="546"/>
      <c r="HE40" s="544"/>
      <c r="HF40" s="545"/>
      <c r="HG40" s="546"/>
      <c r="HH40" s="544"/>
      <c r="HI40" s="545"/>
      <c r="HJ40" s="546"/>
      <c r="HK40" s="544"/>
      <c r="HL40" s="545"/>
      <c r="HM40" s="546"/>
      <c r="HN40" s="544"/>
      <c r="HO40" s="545"/>
      <c r="HP40" s="546"/>
      <c r="HQ40" s="544"/>
      <c r="HR40" s="545"/>
      <c r="HS40" s="546"/>
      <c r="HT40" s="544"/>
      <c r="HU40" s="545"/>
      <c r="HV40" s="546"/>
      <c r="HW40" s="544"/>
      <c r="HX40" s="545"/>
      <c r="HY40" s="546"/>
      <c r="HZ40" s="544"/>
      <c r="IA40" s="545"/>
      <c r="IB40" s="546"/>
      <c r="IC40" s="544"/>
      <c r="ID40" s="545"/>
      <c r="IE40" s="546"/>
      <c r="IF40" s="544"/>
      <c r="IG40" s="545"/>
      <c r="IH40" s="546"/>
      <c r="II40" s="544"/>
      <c r="IJ40" s="545"/>
      <c r="IK40" s="546"/>
      <c r="IL40" s="544"/>
      <c r="IM40" s="545"/>
      <c r="IN40" s="546"/>
      <c r="IO40" s="544"/>
      <c r="IP40" s="545"/>
      <c r="IQ40" s="546"/>
      <c r="IR40" s="544"/>
      <c r="IS40" s="545"/>
      <c r="IT40" s="546"/>
      <c r="IU40" s="544"/>
      <c r="IV40" s="545"/>
      <c r="IW40" s="546"/>
      <c r="IX40" s="544"/>
      <c r="IY40" s="545"/>
      <c r="IZ40" s="546"/>
      <c r="JA40" s="544"/>
      <c r="JB40" s="545"/>
      <c r="JC40" s="546"/>
      <c r="JD40" s="544"/>
      <c r="JE40" s="545"/>
      <c r="JF40" s="546"/>
      <c r="JG40" s="544"/>
      <c r="JH40" s="546"/>
      <c r="JI40" s="546"/>
      <c r="JJ40" s="544"/>
      <c r="JK40" s="546"/>
      <c r="JL40" s="546"/>
      <c r="JM40" s="544"/>
      <c r="JN40" s="546"/>
      <c r="JO40" s="546"/>
      <c r="JP40" s="544"/>
      <c r="JQ40" s="546"/>
      <c r="JR40" s="546"/>
      <c r="JS40" s="544"/>
      <c r="JT40" s="546"/>
      <c r="JU40" s="546"/>
      <c r="JV40" s="544"/>
      <c r="JW40" s="546"/>
      <c r="JX40" s="546"/>
      <c r="JY40" s="544"/>
      <c r="JZ40" s="546"/>
      <c r="KA40" s="546"/>
      <c r="KB40" s="544"/>
      <c r="KC40" s="546"/>
      <c r="KD40" s="546"/>
      <c r="KE40" s="544"/>
      <c r="KF40" s="546"/>
      <c r="KG40" s="546"/>
      <c r="KH40" s="544"/>
      <c r="KI40" s="546"/>
      <c r="KJ40" s="546"/>
      <c r="KK40" s="544"/>
      <c r="KL40" s="546"/>
      <c r="KM40" s="546"/>
      <c r="KN40" s="544"/>
      <c r="KO40" s="546"/>
      <c r="KP40" s="546"/>
      <c r="KQ40" s="546"/>
      <c r="KR40" s="546"/>
      <c r="KS40" s="265"/>
    </row>
    <row r="41" spans="1:16381" s="271" customFormat="1" ht="15" customHeight="1" thickTop="1" thickBot="1">
      <c r="A41" s="734" t="s">
        <v>29</v>
      </c>
      <c r="B41" s="735"/>
      <c r="C41" s="736"/>
      <c r="D41" s="275">
        <f>SUM(D9:D40)</f>
        <v>1814.222</v>
      </c>
      <c r="E41" s="270">
        <v>0</v>
      </c>
      <c r="F41" s="547">
        <f>SUM(F9:F39)</f>
        <v>2744.1860465116283</v>
      </c>
      <c r="G41" s="547">
        <f>IFERROR((F41/$L$41),0)</f>
        <v>0</v>
      </c>
      <c r="H41" s="547">
        <f>IFERROR(((F41*H$8)/$L$41),0)</f>
        <v>0</v>
      </c>
      <c r="I41" s="547">
        <f>SUM(I9:I39)</f>
        <v>0</v>
      </c>
      <c r="J41" s="547">
        <f>IFERROR((I41/$L$41),0)</f>
        <v>0</v>
      </c>
      <c r="K41" s="547">
        <f>IFERROR(((I41*K$8)/$L$41),0)</f>
        <v>0</v>
      </c>
      <c r="L41" s="547">
        <f>SUM(L9:L39)</f>
        <v>0</v>
      </c>
      <c r="M41" s="547">
        <f>IFERROR((L41/$L$41),0)</f>
        <v>0</v>
      </c>
      <c r="N41" s="547">
        <f>IFERROR(((L41*N$8)/$L$41),0)</f>
        <v>0</v>
      </c>
      <c r="O41" s="547">
        <f>SUM(O9:O39)</f>
        <v>348</v>
      </c>
      <c r="P41" s="547">
        <f>IFERROR((O41/$L$41),0)</f>
        <v>0</v>
      </c>
      <c r="Q41" s="547">
        <f>IFERROR(((O41*Q$8)/$L$41),0)</f>
        <v>0</v>
      </c>
      <c r="R41" s="547">
        <f>SUM(R9:R39)</f>
        <v>0</v>
      </c>
      <c r="S41" s="547">
        <f>IFERROR((R41/$L$41),0)</f>
        <v>0</v>
      </c>
      <c r="T41" s="547">
        <f>IFERROR(((R41*T$8)/$L$41),0)</f>
        <v>0</v>
      </c>
      <c r="U41" s="547">
        <f>SUM(U9:U39)</f>
        <v>317.74999999999989</v>
      </c>
      <c r="V41" s="547">
        <f>IFERROR((U41/$L$41),0)</f>
        <v>0</v>
      </c>
      <c r="W41" s="547">
        <f>IFERROR(((U41*W$8)/$L$41),0)</f>
        <v>0</v>
      </c>
      <c r="X41" s="547">
        <f>SUM(X9:X39)</f>
        <v>0</v>
      </c>
      <c r="Y41" s="547">
        <f>IFERROR((X41/$L$41),0)</f>
        <v>0</v>
      </c>
      <c r="Z41" s="547">
        <f>IFERROR(((X41*Z$8)/$L$41),0)</f>
        <v>0</v>
      </c>
      <c r="AA41" s="547">
        <f>SUM(AA9:AA39)</f>
        <v>0</v>
      </c>
      <c r="AB41" s="547">
        <f>IFERROR((AA41/$L$41),0)</f>
        <v>0</v>
      </c>
      <c r="AC41" s="547">
        <f>IFERROR(((AA41*AC$8)/$L$41),0)</f>
        <v>0</v>
      </c>
      <c r="AD41" s="547">
        <f>SUM(AD9:AD39)</f>
        <v>0</v>
      </c>
      <c r="AE41" s="547">
        <f>IFERROR((AD41/$L$41),0)</f>
        <v>0</v>
      </c>
      <c r="AF41" s="547">
        <f>IFERROR(((AD41*AF$8)/$L$41),0)</f>
        <v>0</v>
      </c>
      <c r="AG41" s="547">
        <f>SUM(AG9:AG39)</f>
        <v>0</v>
      </c>
      <c r="AH41" s="547">
        <f>IFERROR((AG41/$L$41),0)</f>
        <v>0</v>
      </c>
      <c r="AI41" s="547">
        <f>IFERROR(((AG41*AI$8)/$L$41),0)</f>
        <v>0</v>
      </c>
      <c r="AJ41" s="547">
        <f>SUM(AJ9:AJ39)</f>
        <v>0</v>
      </c>
      <c r="AK41" s="547">
        <f>IFERROR((AJ41/$L$41),0)</f>
        <v>0</v>
      </c>
      <c r="AL41" s="547">
        <f>IFERROR(((AJ41*AL$8)/$L$41),0)</f>
        <v>0</v>
      </c>
      <c r="AM41" s="547">
        <f>SUM(AM9:AM39)</f>
        <v>848.91025641025624</v>
      </c>
      <c r="AN41" s="547">
        <f>IFERROR((AM41/$L$41),0)</f>
        <v>0</v>
      </c>
      <c r="AO41" s="547">
        <f>IFERROR(((AM41*AO$8)/$L$41),0)</f>
        <v>0</v>
      </c>
      <c r="AP41" s="547">
        <f>SUM(AP9:AP39)</f>
        <v>0</v>
      </c>
      <c r="AQ41" s="547">
        <f>IFERROR((AP41/$L$41),0)</f>
        <v>0</v>
      </c>
      <c r="AR41" s="547">
        <f>IFERROR(((AP41*AR$8)/$L$41),0)</f>
        <v>0</v>
      </c>
      <c r="AS41" s="547">
        <f>SUM(AS9:AS39)</f>
        <v>0</v>
      </c>
      <c r="AT41" s="547">
        <f>IFERROR((AS41/$L$41),0)</f>
        <v>0</v>
      </c>
      <c r="AU41" s="547">
        <f>IFERROR(((AS41*AU$8)/$L$41),0)</f>
        <v>0</v>
      </c>
      <c r="AV41" s="547">
        <f>SUM(AV9:AV39)</f>
        <v>44.400000000000013</v>
      </c>
      <c r="AW41" s="547">
        <f>IFERROR((AV41/$L$41),0)</f>
        <v>0</v>
      </c>
      <c r="AX41" s="547">
        <f>IFERROR(((AV41*AX$8)/$L$41),0)</f>
        <v>0</v>
      </c>
      <c r="AY41" s="547">
        <f>SUM(AY9:AY39)</f>
        <v>1334.6666666666665</v>
      </c>
      <c r="AZ41" s="547">
        <f>IFERROR((AY41/$L$41),0)</f>
        <v>0</v>
      </c>
      <c r="BA41" s="547">
        <f>IFERROR(((AY41*BA$8)/$L$41),0)</f>
        <v>0</v>
      </c>
      <c r="BB41" s="547">
        <f>SUM(BB9:BB39)</f>
        <v>0</v>
      </c>
      <c r="BC41" s="547">
        <f>IFERROR((BB41/$L$41),0)</f>
        <v>0</v>
      </c>
      <c r="BD41" s="547">
        <f>IFERROR(((BB41*BD$8)/$L$41),0)</f>
        <v>0</v>
      </c>
      <c r="BE41" s="547">
        <f>SUM(BE9:BE39)</f>
        <v>0</v>
      </c>
      <c r="BF41" s="547">
        <f>IFERROR((BE41/$L$41),0)</f>
        <v>0</v>
      </c>
      <c r="BG41" s="547">
        <f>IFERROR(((BE41*BG$8)/$L$41),0)</f>
        <v>0</v>
      </c>
      <c r="BH41" s="547">
        <f>SUM(BH9:BH39)</f>
        <v>0</v>
      </c>
      <c r="BI41" s="547">
        <f>IFERROR((BH41/$L$41),0)</f>
        <v>0</v>
      </c>
      <c r="BJ41" s="547">
        <f>IFERROR(((BH41*BJ$8)/$L$41),0)</f>
        <v>0</v>
      </c>
      <c r="BK41" s="547">
        <f>SUM(BK9:BK39)</f>
        <v>0</v>
      </c>
      <c r="BL41" s="547">
        <f>IFERROR((BK41/$L$41),0)</f>
        <v>0</v>
      </c>
      <c r="BM41" s="547">
        <f>IFERROR(((BK41*BM$8)/$L$41),0)</f>
        <v>0</v>
      </c>
      <c r="BN41" s="547">
        <f>SUM(BN9:BN39)</f>
        <v>0</v>
      </c>
      <c r="BO41" s="547">
        <f>IFERROR((BN41/$L$41),0)</f>
        <v>0</v>
      </c>
      <c r="BP41" s="547">
        <f>IFERROR(((BN41*BP$8)/$L$41),0)</f>
        <v>0</v>
      </c>
      <c r="BQ41" s="547">
        <f>SUM(BQ9:BQ39)</f>
        <v>0</v>
      </c>
      <c r="BR41" s="547">
        <f>IFERROR((BQ41/$L$41),0)</f>
        <v>0</v>
      </c>
      <c r="BS41" s="547">
        <f>IFERROR(((BQ41*BS$8)/$L$41),0)</f>
        <v>0</v>
      </c>
      <c r="BT41" s="547">
        <f>SUM(BT9:BT39)</f>
        <v>0</v>
      </c>
      <c r="BU41" s="547">
        <f>IFERROR((BT41/$L$41),0)</f>
        <v>0</v>
      </c>
      <c r="BV41" s="547">
        <f>IFERROR(((BT41*BV$8)/$L$41),0)</f>
        <v>0</v>
      </c>
      <c r="BW41" s="547">
        <f>SUM(BW9:BW39)</f>
        <v>0</v>
      </c>
      <c r="BX41" s="547">
        <f>IFERROR((BW41/$L$41),0)</f>
        <v>0</v>
      </c>
      <c r="BY41" s="547">
        <f>IFERROR(((BW41*BY$8)/$L$41),0)</f>
        <v>0</v>
      </c>
      <c r="BZ41" s="547">
        <f>SUM(BZ9:BZ39)</f>
        <v>968.2790697674418</v>
      </c>
      <c r="CA41" s="547">
        <f>IFERROR((BZ41/$L$41),0)</f>
        <v>0</v>
      </c>
      <c r="CB41" s="547">
        <f>IFERROR(((BZ41*CB$8)/$L$41),0)</f>
        <v>0</v>
      </c>
      <c r="CC41" s="547">
        <f>SUM(CC9:CC39)</f>
        <v>393.75</v>
      </c>
      <c r="CD41" s="547">
        <f>IFERROR((CC41/$L$41),0)</f>
        <v>0</v>
      </c>
      <c r="CE41" s="547">
        <f>IFERROR(((CC41*CE$8)/$L$41),0)</f>
        <v>0</v>
      </c>
      <c r="CF41" s="547">
        <f>SUM(CF9:CF39)</f>
        <v>42.40000000000002</v>
      </c>
      <c r="CG41" s="547">
        <f>IFERROR((CF41/$L$41),0)</f>
        <v>0</v>
      </c>
      <c r="CH41" s="547">
        <f>IFERROR(((CF41*CH$8)/$L$41),0)</f>
        <v>0</v>
      </c>
      <c r="CI41" s="547">
        <f>SUM(CI9:CI39)</f>
        <v>0</v>
      </c>
      <c r="CJ41" s="547">
        <f>IFERROR((CI41/$L$41),0)</f>
        <v>0</v>
      </c>
      <c r="CK41" s="547">
        <f>IFERROR(((CI41*CK$8)/$L$41),0)</f>
        <v>0</v>
      </c>
      <c r="CL41" s="547">
        <f>SUM(CL9:CL39)</f>
        <v>0</v>
      </c>
      <c r="CM41" s="547">
        <f>IFERROR((CL41/$L$41),0)</f>
        <v>0</v>
      </c>
      <c r="CN41" s="547">
        <f>IFERROR(((CL41*CN$8)/$L$41),0)</f>
        <v>0</v>
      </c>
      <c r="CO41" s="547">
        <f>SUM(CO9:CO39)</f>
        <v>0</v>
      </c>
      <c r="CP41" s="547">
        <f>IFERROR((CO41/$L$41),0)</f>
        <v>0</v>
      </c>
      <c r="CQ41" s="547">
        <f>IFERROR(((CO41*CQ$8)/$L$41),0)</f>
        <v>0</v>
      </c>
      <c r="CR41" s="547">
        <f>SUM(CR9:CR39)</f>
        <v>0</v>
      </c>
      <c r="CS41" s="547">
        <f>IFERROR((CR41/$L$41),0)</f>
        <v>0</v>
      </c>
      <c r="CT41" s="547">
        <f>IFERROR(((CR41*CT$8)/$L$41),0)</f>
        <v>0</v>
      </c>
      <c r="CU41" s="547">
        <f>SUM(CU9:CU39)</f>
        <v>0</v>
      </c>
      <c r="CV41" s="547">
        <f>IFERROR((CU41/$L$41),0)</f>
        <v>0</v>
      </c>
      <c r="CW41" s="547">
        <f>IFERROR(((CU41*CW$8)/$L$41),0)</f>
        <v>0</v>
      </c>
      <c r="CX41" s="547">
        <f>SUM(CX9:CX39)</f>
        <v>0</v>
      </c>
      <c r="CY41" s="547">
        <f>IFERROR((CX41/$L$41),0)</f>
        <v>0</v>
      </c>
      <c r="CZ41" s="547">
        <f>IFERROR(((CX41*CZ$8)/$L$41),0)</f>
        <v>0</v>
      </c>
      <c r="DA41" s="547">
        <f>SUM(DA9:DA39)</f>
        <v>1500.0000000000002</v>
      </c>
      <c r="DB41" s="547">
        <f>IFERROR((DA41/$L$41),0)</f>
        <v>0</v>
      </c>
      <c r="DC41" s="547">
        <f>IFERROR(((DA41*DC$8)/$L$41),0)</f>
        <v>0</v>
      </c>
      <c r="DD41" s="547">
        <f>SUM(DD9:DD39)</f>
        <v>0</v>
      </c>
      <c r="DE41" s="547">
        <f>IFERROR((DD41/$L$41),0)</f>
        <v>0</v>
      </c>
      <c r="DF41" s="547">
        <f>IFERROR(((DD41*DF$8)/$L$41),0)</f>
        <v>0</v>
      </c>
      <c r="DG41" s="547">
        <f>SUM(DG14:DG39)</f>
        <v>0</v>
      </c>
      <c r="DH41" s="547">
        <f>IFERROR((DG41/$L$41),0)</f>
        <v>0</v>
      </c>
      <c r="DI41" s="547">
        <f>IFERROR(((DG41*DI$8)/$L$41),0)</f>
        <v>0</v>
      </c>
      <c r="DJ41" s="547">
        <f>SUM(DJ9:DJ39)</f>
        <v>0</v>
      </c>
      <c r="DK41" s="547">
        <f>IFERROR((DJ41/$L$41),0)</f>
        <v>0</v>
      </c>
      <c r="DL41" s="547">
        <f>IFERROR(((DJ41*DL$8)/$L$41),0)</f>
        <v>0</v>
      </c>
      <c r="DM41" s="547">
        <f>SUM(DM9:DM39)</f>
        <v>0</v>
      </c>
      <c r="DN41" s="547">
        <f>IFERROR((DM41/$L$41),0)</f>
        <v>0</v>
      </c>
      <c r="DO41" s="547">
        <f>IFERROR(((DM41*DO$8)/$L$41),0)</f>
        <v>0</v>
      </c>
      <c r="DP41" s="547">
        <f>SUM(DP9:DP39)</f>
        <v>0</v>
      </c>
      <c r="DQ41" s="547">
        <f>IFERROR((DP41/$L$41),0)</f>
        <v>0</v>
      </c>
      <c r="DR41" s="547">
        <f>IFERROR(((DP41*DR$8)/$L$41),0)</f>
        <v>0</v>
      </c>
      <c r="DS41" s="547">
        <f>SUM(DS9:DS39)</f>
        <v>0</v>
      </c>
      <c r="DT41" s="547">
        <f>IFERROR((DS41/$L$41),0)</f>
        <v>0</v>
      </c>
      <c r="DU41" s="547">
        <f>IFERROR(((DS41*DU$8)/$L$41),0)</f>
        <v>0</v>
      </c>
      <c r="DV41" s="547">
        <f>SUM(DV9:DV39)</f>
        <v>0</v>
      </c>
      <c r="DW41" s="547">
        <f>IFERROR((DV41/$L$41),0)</f>
        <v>0</v>
      </c>
      <c r="DX41" s="547">
        <f>IFERROR(((DV41*DX$8)/$L$41),0)</f>
        <v>0</v>
      </c>
      <c r="DY41" s="547">
        <f>SUM(DY9:DY39)</f>
        <v>103.51807228915662</v>
      </c>
      <c r="DZ41" s="547">
        <f>IFERROR((DY41/$L$41),0)</f>
        <v>0</v>
      </c>
      <c r="EA41" s="547">
        <f>IFERROR(((DY41*EA$8)/$L$41),0)</f>
        <v>0</v>
      </c>
      <c r="EB41" s="547">
        <f>SUM(EB9:EB39)</f>
        <v>26976.47058823529</v>
      </c>
      <c r="EC41" s="547">
        <f>IFERROR((EB41/$L$41),0)</f>
        <v>0</v>
      </c>
      <c r="ED41" s="547">
        <f>IFERROR(((EB41*ED$8)/$L$41),0)</f>
        <v>0</v>
      </c>
      <c r="EE41" s="547">
        <f>SUM(EE9:EE39)</f>
        <v>741.2790697674418</v>
      </c>
      <c r="EF41" s="547">
        <f>IFERROR((EE41/$L$41),0)</f>
        <v>0</v>
      </c>
      <c r="EG41" s="547">
        <f>IFERROR(((EE41*EG$8)/$L$41),0)</f>
        <v>0</v>
      </c>
      <c r="EH41" s="547">
        <f>SUM(EH9:EH39)</f>
        <v>29</v>
      </c>
      <c r="EI41" s="547">
        <f>IFERROR((EH41/$L$41),0)</f>
        <v>0</v>
      </c>
      <c r="EJ41" s="547">
        <f>IFERROR(((EH41*EJ$8)/$L$41),0)</f>
        <v>0</v>
      </c>
      <c r="EK41" s="547">
        <f>SUM(EK9:EK39)</f>
        <v>0</v>
      </c>
      <c r="EL41" s="547">
        <f>IFERROR((EK41/$L$41),0)</f>
        <v>0</v>
      </c>
      <c r="EM41" s="547">
        <f>IFERROR(((EK41*EM$8)/$L$41),0)</f>
        <v>0</v>
      </c>
      <c r="EN41" s="547">
        <f>SUM(EN9:EN39)</f>
        <v>0</v>
      </c>
      <c r="EO41" s="547">
        <f>IFERROR((EN41/$L$41),0)</f>
        <v>0</v>
      </c>
      <c r="EP41" s="547">
        <f>IFERROR(((EN41*EP$8)/$L$41),0)</f>
        <v>0</v>
      </c>
      <c r="EQ41" s="547">
        <f>SUM(EQ9:EQ39)</f>
        <v>0</v>
      </c>
      <c r="ER41" s="547">
        <f>IFERROR((EQ41/$L$41),0)</f>
        <v>0</v>
      </c>
      <c r="ES41" s="547">
        <f>IFERROR(((EQ41*ES$8)/$L$41),0)</f>
        <v>0</v>
      </c>
      <c r="ET41" s="547">
        <f>SUM(ET9:ET39)</f>
        <v>0</v>
      </c>
      <c r="EU41" s="547">
        <f>IFERROR((ET41/$L$41),0)</f>
        <v>0</v>
      </c>
      <c r="EV41" s="547">
        <f>IFERROR(((ET41*EV$8)/$L$41),0)</f>
        <v>0</v>
      </c>
      <c r="EW41" s="547">
        <f>SUM(EW9:EW39)</f>
        <v>0</v>
      </c>
      <c r="EX41" s="547">
        <f>IFERROR((EW41/$L$41),0)</f>
        <v>0</v>
      </c>
      <c r="EY41" s="547">
        <f>IFERROR(((EW41*EY$8)/$L$41),0)</f>
        <v>0</v>
      </c>
      <c r="EZ41" s="547">
        <f>SUM(EZ9:EZ39)</f>
        <v>0</v>
      </c>
      <c r="FA41" s="547">
        <f>IFERROR((EZ41/$L$41),0)</f>
        <v>0</v>
      </c>
      <c r="FB41" s="547">
        <f>IFERROR(((EZ41*FB$8)/$L$41),0)</f>
        <v>0</v>
      </c>
      <c r="FC41" s="547">
        <f>SUM(FC9:FC39)</f>
        <v>0</v>
      </c>
      <c r="FD41" s="547">
        <f>IFERROR((FC41/$L$41),0)</f>
        <v>0</v>
      </c>
      <c r="FE41" s="547">
        <f>IFERROR(((FC41*FE$8)/$L$41),0)</f>
        <v>0</v>
      </c>
      <c r="FF41" s="547">
        <f>SUM(FF9:FF39)</f>
        <v>0</v>
      </c>
      <c r="FG41" s="547">
        <f>IFERROR((FF41/$L$41),0)</f>
        <v>0</v>
      </c>
      <c r="FH41" s="547">
        <f>IFERROR(((FF41*FH$8)/$L$41),0)</f>
        <v>0</v>
      </c>
      <c r="FI41" s="547">
        <f>SUM(FI9:FI39)</f>
        <v>0</v>
      </c>
      <c r="FJ41" s="547">
        <f>IFERROR((FI41/$L$41),0)</f>
        <v>0</v>
      </c>
      <c r="FK41" s="547">
        <f>IFERROR(((FI41*FK$8)/$L$41),0)</f>
        <v>0</v>
      </c>
      <c r="FL41" s="547">
        <f>SUM(FL9:FL39)</f>
        <v>0</v>
      </c>
      <c r="FM41" s="547">
        <f>IFERROR((FL41/$L$41),0)</f>
        <v>0</v>
      </c>
      <c r="FN41" s="547">
        <f>IFERROR(((FL41*FN$8)/$L$41),0)</f>
        <v>0</v>
      </c>
      <c r="FO41" s="547">
        <f>SUM(FO9:FO39)</f>
        <v>0</v>
      </c>
      <c r="FP41" s="547">
        <f>IFERROR((FO41/$L$41),0)</f>
        <v>0</v>
      </c>
      <c r="FQ41" s="547">
        <f>IFERROR(((FO41*FQ$8)/$L$41),0)</f>
        <v>0</v>
      </c>
      <c r="FR41" s="547">
        <f>SUM(FR9:FR39)</f>
        <v>0</v>
      </c>
      <c r="FS41" s="547">
        <f>IFERROR((FR41/$L$41),0)</f>
        <v>0</v>
      </c>
      <c r="FT41" s="547">
        <f>IFERROR(((FR41*FT$8)/$L$41),0)</f>
        <v>0</v>
      </c>
      <c r="FU41" s="547">
        <f>SUM(FU9:FU39)</f>
        <v>0</v>
      </c>
      <c r="FV41" s="547">
        <f>IFERROR((FU41/$L$41),0)</f>
        <v>0</v>
      </c>
      <c r="FW41" s="547">
        <f>IFERROR(((FU41*FW$8)/$L$41),0)</f>
        <v>0</v>
      </c>
      <c r="FX41" s="547">
        <f>SUM(FX9:FX39)</f>
        <v>0</v>
      </c>
      <c r="FY41" s="547">
        <f>IFERROR((FX41/$L$41),0)</f>
        <v>0</v>
      </c>
      <c r="FZ41" s="547">
        <f>IFERROR(((FX41*FZ$8)/$L$41),0)</f>
        <v>0</v>
      </c>
      <c r="GA41" s="547">
        <f>SUM(GA9:GA39)</f>
        <v>0</v>
      </c>
      <c r="GB41" s="547">
        <f>IFERROR((GA41/$L$41),0)</f>
        <v>0</v>
      </c>
      <c r="GC41" s="547">
        <f>IFERROR(((GA41*GC$8)/$L$41),0)</f>
        <v>0</v>
      </c>
      <c r="GD41" s="547">
        <f>SUM(GD9:GD39)</f>
        <v>0</v>
      </c>
      <c r="GE41" s="547">
        <f>IFERROR((GD41/$L$41),0)</f>
        <v>0</v>
      </c>
      <c r="GF41" s="547">
        <f>IFERROR(((GD41*GF$8)/$L$41),0)</f>
        <v>0</v>
      </c>
      <c r="GG41" s="547">
        <f>SUM(GG9:GG39)</f>
        <v>412.83247209284934</v>
      </c>
      <c r="GH41" s="547">
        <f>IFERROR((GG41/$L$41),0)</f>
        <v>0</v>
      </c>
      <c r="GI41" s="547">
        <f>IFERROR(((GG41*GI$8)/$L$41),0)</f>
        <v>0</v>
      </c>
      <c r="GJ41" s="547">
        <f>SUM(GJ9:GJ39)</f>
        <v>412.83247209284934</v>
      </c>
      <c r="GK41" s="547">
        <f>IFERROR((GJ41/$L$41),0)</f>
        <v>0</v>
      </c>
      <c r="GL41" s="547">
        <f>IFERROR(((GJ41*GL$8)/$L$41),0)</f>
        <v>0</v>
      </c>
      <c r="GM41" s="547">
        <f>SUM(GM9:GM39)</f>
        <v>40</v>
      </c>
      <c r="GN41" s="547">
        <f>IFERROR((GM41/$L$41),0)</f>
        <v>0</v>
      </c>
      <c r="GO41" s="547">
        <f>IFERROR(((GM41*GO$8)/$L$41),0)</f>
        <v>0</v>
      </c>
      <c r="GP41" s="547">
        <f>SUM(GP9:GP39)</f>
        <v>866.7200414511218</v>
      </c>
      <c r="GQ41" s="547">
        <f>IFERROR((GP41/$L$41),0)</f>
        <v>0</v>
      </c>
      <c r="GR41" s="547">
        <f>IFERROR(((GP41*GR$8)/$L$41),0)</f>
        <v>0</v>
      </c>
      <c r="GS41" s="547">
        <f>SUM(GS9:GS39)</f>
        <v>4936.3575129658202</v>
      </c>
      <c r="GT41" s="547">
        <f>IFERROR((GS41/$L$41),0)</f>
        <v>0</v>
      </c>
      <c r="GU41" s="547">
        <f>IFERROR(((GS41*GU$8)/$L$41),0)</f>
        <v>0</v>
      </c>
      <c r="GV41" s="547">
        <f>SUM(GV9:GV39)</f>
        <v>856.76203559112878</v>
      </c>
      <c r="GW41" s="547">
        <f>IFERROR((GV41/$L$41),0)</f>
        <v>0</v>
      </c>
      <c r="GX41" s="547">
        <f>IFERROR(((GV41*GX$8)/$L$41),0)</f>
        <v>0</v>
      </c>
      <c r="GY41" s="547">
        <f>SUM(GY9:GY39)</f>
        <v>0</v>
      </c>
      <c r="GZ41" s="547">
        <f>IFERROR((GY41/$L$41),0)</f>
        <v>0</v>
      </c>
      <c r="HA41" s="547">
        <f>IFERROR(((GY41*HA$8)/$L$41),0)</f>
        <v>0</v>
      </c>
      <c r="HB41" s="547">
        <f>SUM(HB9:HB39)</f>
        <v>0</v>
      </c>
      <c r="HC41" s="547">
        <f>IFERROR((HB41/$L$41),0)</f>
        <v>0</v>
      </c>
      <c r="HD41" s="547">
        <f>IFERROR(((HB41*HD$8)/$L$41),0)</f>
        <v>0</v>
      </c>
      <c r="HE41" s="547">
        <f>SUM(HE9:HE39)</f>
        <v>0</v>
      </c>
      <c r="HF41" s="547">
        <f>IFERROR((HE41/$L$41),0)</f>
        <v>0</v>
      </c>
      <c r="HG41" s="547">
        <f>IFERROR(((HE41*HG$8)/$L$41),0)</f>
        <v>0</v>
      </c>
      <c r="HH41" s="547">
        <f>SUM(HH9:HH39)</f>
        <v>0</v>
      </c>
      <c r="HI41" s="547">
        <f>IFERROR((HH41/$L$41),0)</f>
        <v>0</v>
      </c>
      <c r="HJ41" s="547">
        <f>IFERROR(((HH41*HJ$8)/$L$41),0)</f>
        <v>0</v>
      </c>
      <c r="HK41" s="547">
        <f>SUM(HK9:HK39)</f>
        <v>0</v>
      </c>
      <c r="HL41" s="547">
        <f>IFERROR((HK41/$L$41),0)</f>
        <v>0</v>
      </c>
      <c r="HM41" s="547">
        <f>IFERROR(((HK41*HM$8)/$L$41),0)</f>
        <v>0</v>
      </c>
      <c r="HN41" s="547">
        <f>SUM(HN9:HN39)</f>
        <v>35264.336507432614</v>
      </c>
      <c r="HO41" s="547">
        <f>IFERROR((HN41/$L$41),0)</f>
        <v>0</v>
      </c>
      <c r="HP41" s="547">
        <f>IFERROR(((HN41*HP$8)/$L$41),0)</f>
        <v>0</v>
      </c>
      <c r="HQ41" s="547">
        <f>SUM(HQ9:HQ39)</f>
        <v>0</v>
      </c>
      <c r="HR41" s="547">
        <f>IFERROR((HQ41/$L$41),0)</f>
        <v>0</v>
      </c>
      <c r="HS41" s="547">
        <f>IFERROR(((HQ41*HS$8)/$L$41),0)</f>
        <v>0</v>
      </c>
      <c r="HT41" s="547">
        <f>SUM(HT9:HT39)</f>
        <v>560</v>
      </c>
      <c r="HU41" s="547">
        <f>IFERROR((HT41/$L$41),0)</f>
        <v>0</v>
      </c>
      <c r="HV41" s="547">
        <f>IFERROR(((HT41*HV$8)/$L$41),0)</f>
        <v>0</v>
      </c>
      <c r="HW41" s="547">
        <f>SUM(HW9:HW39)</f>
        <v>95</v>
      </c>
      <c r="HX41" s="547">
        <f>IFERROR((HW41/$L$41),0)</f>
        <v>0</v>
      </c>
      <c r="HY41" s="547">
        <f>IFERROR(((HW41*HY$8)/$L$41),0)</f>
        <v>0</v>
      </c>
      <c r="HZ41" s="547">
        <f>SUM(HZ9:HZ39)</f>
        <v>410</v>
      </c>
      <c r="IA41" s="547">
        <f>IFERROR((HZ41/$L$41),0)</f>
        <v>0</v>
      </c>
      <c r="IB41" s="547">
        <f>IFERROR(((HZ41*IB$8)/$L$41),0)</f>
        <v>0</v>
      </c>
      <c r="IC41" s="547">
        <f>SUM(IC9:IC39)</f>
        <v>340</v>
      </c>
      <c r="ID41" s="547">
        <f>IFERROR((IC41/$L$41),0)</f>
        <v>0</v>
      </c>
      <c r="IE41" s="547">
        <f>IFERROR(((IC41*IE$8)/$L$41),0)</f>
        <v>0</v>
      </c>
      <c r="IF41" s="547">
        <f>SUM(IF9:IF39)</f>
        <v>633.9361404756321</v>
      </c>
      <c r="IG41" s="547">
        <f>IFERROR((IF41/$L$41),0)</f>
        <v>0</v>
      </c>
      <c r="IH41" s="547">
        <f>IFERROR(((IF41*IH$8)/$L$41),0)</f>
        <v>0</v>
      </c>
      <c r="II41" s="547">
        <f>SUM(II9:II39)</f>
        <v>0</v>
      </c>
      <c r="IJ41" s="547">
        <f>IFERROR((II41/$L$41),0)</f>
        <v>0</v>
      </c>
      <c r="IK41" s="547">
        <f>IFERROR(((II41*IK$8)/$L$41),0)</f>
        <v>0</v>
      </c>
      <c r="IL41" s="547">
        <f>SUM(IL9:IL39)</f>
        <v>0</v>
      </c>
      <c r="IM41" s="547">
        <f>IFERROR((IL41/$L$41),0)</f>
        <v>0</v>
      </c>
      <c r="IN41" s="547">
        <f>IFERROR(((IL41*IN$8)/$L$41),0)</f>
        <v>0</v>
      </c>
      <c r="IO41" s="547">
        <f>SUM(IO9:IO39)</f>
        <v>2365.3228984491939</v>
      </c>
      <c r="IP41" s="547">
        <f>IFERROR((IO41/$L$41),0)</f>
        <v>0</v>
      </c>
      <c r="IQ41" s="547">
        <f>IFERROR(((IO41*IQ$8)/$L$41),0)</f>
        <v>0</v>
      </c>
      <c r="IR41" s="547">
        <f>SUM(IR9:IR39)</f>
        <v>75</v>
      </c>
      <c r="IS41" s="547">
        <f>IFERROR((IR41/$L$41),0)</f>
        <v>0</v>
      </c>
      <c r="IT41" s="547">
        <f>IFERROR(((IR41*IT$8)/$L$41),0)</f>
        <v>0</v>
      </c>
      <c r="IU41" s="547">
        <f>SUM(IU9:IU39)</f>
        <v>0</v>
      </c>
      <c r="IV41" s="547">
        <f>IFERROR((IU41/$L$41),0)</f>
        <v>0</v>
      </c>
      <c r="IW41" s="547">
        <f>IFERROR(((IU41*IW$8)/$L$41),0)</f>
        <v>0</v>
      </c>
      <c r="IX41" s="547">
        <f>SUM(IX9:IX39)</f>
        <v>55</v>
      </c>
      <c r="IY41" s="547">
        <f>IFERROR((IX41/$L$41),0)</f>
        <v>0</v>
      </c>
      <c r="IZ41" s="547">
        <f>IFERROR(((IX41*IZ$8)/$L$41),0)</f>
        <v>0</v>
      </c>
      <c r="JA41" s="547">
        <f>SUM(JA9:JA39)</f>
        <v>0</v>
      </c>
      <c r="JB41" s="547">
        <f>IFERROR((JA41/$L$41),0)</f>
        <v>0</v>
      </c>
      <c r="JC41" s="547">
        <f>IFERROR(((JA41*JC$8)/$L$41),0)</f>
        <v>0</v>
      </c>
      <c r="JD41" s="547">
        <f>SUM(JD9:JD39)</f>
        <v>0</v>
      </c>
      <c r="JE41" s="547">
        <f>IFERROR((JD41/$L$41),0)</f>
        <v>0</v>
      </c>
      <c r="JF41" s="547">
        <f>IFERROR(((JD41*JF$8)/$L$41),0)</f>
        <v>0</v>
      </c>
      <c r="JG41" s="547">
        <f>SUM(JG9:JG39)</f>
        <v>908.41116730309398</v>
      </c>
      <c r="JH41" s="547">
        <f>IFERROR((JG41/$L$41),0)</f>
        <v>0</v>
      </c>
      <c r="JI41" s="547">
        <f>IFERROR(((JG41*JI$8)/$L$41),0)</f>
        <v>0</v>
      </c>
      <c r="JJ41" s="547">
        <f>SUM(JJ9:JJ39)</f>
        <v>386.054796947282</v>
      </c>
      <c r="JK41" s="547">
        <f>IFERROR((JJ41/$L$41),0)</f>
        <v>0</v>
      </c>
      <c r="JL41" s="547">
        <f>IFERROR(((JJ41*JL$8)/$L$41),0)</f>
        <v>0</v>
      </c>
      <c r="JM41" s="547">
        <f>SUM(JM9:JM39)</f>
        <v>20</v>
      </c>
      <c r="JN41" s="547">
        <f>IFERROR((JM41/$L$41),0)</f>
        <v>0</v>
      </c>
      <c r="JO41" s="547">
        <f>IFERROR(((JM41*JO$8)/$L$41),0)</f>
        <v>0</v>
      </c>
      <c r="JP41" s="547">
        <f>SUM(JP9:JP39)</f>
        <v>0</v>
      </c>
      <c r="JQ41" s="547">
        <f>IFERROR((JP41/$L$41),0)</f>
        <v>0</v>
      </c>
      <c r="JR41" s="547">
        <f>IFERROR(((JP41*JR$8)/$L$41),0)</f>
        <v>0</v>
      </c>
      <c r="JS41" s="547">
        <f>SUM(JS9:JS39)</f>
        <v>0</v>
      </c>
      <c r="JT41" s="547">
        <f>IFERROR((JS41/$L$41),0)</f>
        <v>0</v>
      </c>
      <c r="JU41" s="547">
        <f>IFERROR(((JS41*JU$8)/$L$41),0)</f>
        <v>0</v>
      </c>
      <c r="JV41" s="547">
        <f>SUM(JV9:JV39)</f>
        <v>0</v>
      </c>
      <c r="JW41" s="547">
        <f>IFERROR((JV41/$L$41),0)</f>
        <v>0</v>
      </c>
      <c r="JX41" s="547">
        <f>IFERROR(((JV41*JX$8)/$L$41),0)</f>
        <v>0</v>
      </c>
      <c r="JY41" s="547">
        <f>SUM(JY9:JY39)</f>
        <v>0</v>
      </c>
      <c r="JZ41" s="547">
        <f>IFERROR((JY41/$L$41),0)</f>
        <v>0</v>
      </c>
      <c r="KA41" s="547">
        <f>IFERROR(((JY41*KA$8)/$L$41),0)</f>
        <v>0</v>
      </c>
      <c r="KB41" s="547">
        <f>SUM(KB9:KB39)</f>
        <v>0</v>
      </c>
      <c r="KC41" s="547">
        <f>IFERROR((KB41/$L$41),0)</f>
        <v>0</v>
      </c>
      <c r="KD41" s="547">
        <f>IFERROR(((KB41*KD$8)/$L$41),0)</f>
        <v>0</v>
      </c>
      <c r="KE41" s="547">
        <f>SUM(KE9:KE39)</f>
        <v>0</v>
      </c>
      <c r="KF41" s="547">
        <f>IFERROR((KE41/$L$41),0)</f>
        <v>0</v>
      </c>
      <c r="KG41" s="547">
        <f>IFERROR(((KE41*KG$8)/$L$41),0)</f>
        <v>0</v>
      </c>
      <c r="KH41" s="547">
        <f>SUM(KH9:KH39)</f>
        <v>0</v>
      </c>
      <c r="KI41" s="547">
        <f>IFERROR((KH41/$L$41),0)</f>
        <v>0</v>
      </c>
      <c r="KJ41" s="547">
        <f>IFERROR(((KH41*KJ$8)/$L$41),0)</f>
        <v>0</v>
      </c>
      <c r="KK41" s="547">
        <f>SUM(KK9:KK39)</f>
        <v>0</v>
      </c>
      <c r="KL41" s="547">
        <f>IFERROR((KK41/$L$41),0)</f>
        <v>0</v>
      </c>
      <c r="KM41" s="547">
        <f>IFERROR(((KK41*KM$8)/$L$41),0)</f>
        <v>0</v>
      </c>
      <c r="KN41" s="547">
        <f>SUM(KN9:KN39)</f>
        <v>0</v>
      </c>
      <c r="KO41" s="547">
        <f>IFERROR((KN41/$L$41),0)</f>
        <v>0</v>
      </c>
      <c r="KP41" s="547">
        <f>IFERROR(((KN41*KP$8)/$L$41),0)</f>
        <v>0</v>
      </c>
      <c r="KQ41" s="548">
        <f>H41+K41+N41+Q41+T41+W41+Z41+AC41+AF41+AI41+AL41+AO41+AR41+AU41+AX41+BA41+BD41+BG41+BJ41+BM41+BP41+BS41+BV41+BY41+CB41+CE41+CH41+CK41+CN41+CQ41+CT41+CW41+CZ41+DC41+DF41+DI41+DL41+DO41+DR41+DU41+DX41+EA41+ED41+EG41+EJ41+EM41+EP41+ES41+EV41+EY41+FB41+FE41+FH41+FK41+FN41+FQ41+FT41+FW41+FZ41+GC41</f>
        <v>0</v>
      </c>
      <c r="KR41" s="546">
        <f t="shared" si="198"/>
        <v>0</v>
      </c>
      <c r="KS41" s="265">
        <f t="shared" si="199"/>
        <v>85031.175814449467</v>
      </c>
      <c r="KT41" s="549"/>
      <c r="KU41" s="549"/>
      <c r="KV41" s="549"/>
      <c r="KW41" s="549"/>
      <c r="KX41" s="549"/>
      <c r="KY41" s="549"/>
      <c r="KZ41" s="549"/>
      <c r="LA41" s="549"/>
      <c r="LB41" s="549"/>
      <c r="LC41" s="549"/>
      <c r="LD41" s="549"/>
      <c r="LE41" s="549"/>
      <c r="LF41" s="549"/>
      <c r="LG41" s="549"/>
      <c r="LH41" s="549"/>
      <c r="LI41" s="549"/>
      <c r="LJ41" s="549"/>
      <c r="LK41" s="549"/>
      <c r="LL41" s="549"/>
      <c r="LM41" s="549"/>
      <c r="LN41" s="549"/>
      <c r="LO41" s="549"/>
      <c r="LP41" s="549"/>
      <c r="LQ41" s="549"/>
      <c r="LR41" s="549"/>
      <c r="LS41" s="549"/>
      <c r="LT41" s="549"/>
      <c r="LU41" s="549"/>
      <c r="LV41" s="549"/>
      <c r="LW41" s="549"/>
      <c r="LX41" s="549"/>
      <c r="LY41" s="549"/>
      <c r="LZ41" s="549"/>
      <c r="MA41" s="549"/>
      <c r="MB41" s="549"/>
      <c r="MC41" s="549"/>
      <c r="MD41" s="549"/>
      <c r="ME41" s="549"/>
      <c r="MF41" s="549"/>
      <c r="MG41" s="549"/>
      <c r="MH41" s="549"/>
      <c r="MI41" s="549"/>
      <c r="MJ41" s="549"/>
      <c r="MK41" s="549"/>
      <c r="ML41" s="549"/>
      <c r="MM41" s="549"/>
      <c r="MN41" s="549"/>
      <c r="MO41" s="549"/>
      <c r="MP41" s="549"/>
      <c r="MQ41" s="549"/>
      <c r="MR41" s="549"/>
      <c r="MS41" s="549"/>
      <c r="MT41" s="549"/>
      <c r="MU41" s="549"/>
      <c r="MV41" s="549"/>
      <c r="MW41" s="549"/>
      <c r="MX41" s="549"/>
      <c r="MY41" s="549"/>
      <c r="MZ41" s="549"/>
      <c r="NA41" s="549"/>
      <c r="NB41" s="549"/>
      <c r="NC41" s="549"/>
      <c r="ND41" s="549"/>
      <c r="NE41" s="549"/>
      <c r="NF41" s="549"/>
      <c r="NG41" s="549"/>
      <c r="NH41" s="549"/>
      <c r="NI41" s="549"/>
      <c r="NJ41" s="549"/>
      <c r="NK41" s="549"/>
      <c r="NL41" s="549"/>
      <c r="NM41" s="549"/>
      <c r="NN41" s="549"/>
      <c r="NO41" s="549"/>
      <c r="NP41" s="549"/>
      <c r="NQ41" s="549"/>
      <c r="NR41" s="549"/>
      <c r="NS41" s="549"/>
      <c r="NT41" s="549"/>
      <c r="NU41" s="549"/>
      <c r="NV41" s="549"/>
      <c r="NW41" s="549"/>
      <c r="NX41" s="549"/>
      <c r="NY41" s="549"/>
      <c r="NZ41" s="549"/>
      <c r="OA41" s="549"/>
      <c r="OB41" s="549"/>
      <c r="OC41" s="549"/>
      <c r="OD41" s="549"/>
      <c r="OE41" s="549"/>
      <c r="OF41" s="549"/>
      <c r="OG41" s="549"/>
      <c r="OH41" s="549"/>
      <c r="OI41" s="549"/>
      <c r="OJ41" s="549"/>
      <c r="OK41" s="549"/>
      <c r="OL41" s="549"/>
      <c r="OM41" s="549"/>
      <c r="ON41" s="549"/>
      <c r="OO41" s="549"/>
      <c r="OP41" s="549"/>
      <c r="OQ41" s="549"/>
      <c r="OR41" s="549"/>
      <c r="OS41" s="549"/>
      <c r="OT41" s="549"/>
      <c r="OU41" s="549"/>
      <c r="OV41" s="549"/>
      <c r="OW41" s="549"/>
      <c r="OX41" s="549"/>
      <c r="OY41" s="549"/>
      <c r="OZ41" s="549"/>
      <c r="PA41" s="549"/>
      <c r="PB41" s="549"/>
      <c r="PC41" s="549"/>
      <c r="PD41" s="549"/>
      <c r="PE41" s="549"/>
      <c r="PF41" s="549"/>
      <c r="PG41" s="549"/>
      <c r="PH41" s="549"/>
      <c r="PI41" s="549"/>
      <c r="PJ41" s="549"/>
      <c r="PK41" s="549"/>
      <c r="PL41" s="549"/>
      <c r="PM41" s="549"/>
      <c r="PN41" s="549"/>
      <c r="PO41" s="549"/>
      <c r="PP41" s="549"/>
      <c r="PQ41" s="549"/>
      <c r="PR41" s="549"/>
      <c r="PS41" s="549"/>
      <c r="PT41" s="549"/>
      <c r="PU41" s="549"/>
      <c r="PV41" s="549"/>
      <c r="PW41" s="549"/>
      <c r="PX41" s="549"/>
      <c r="PY41" s="549"/>
      <c r="PZ41" s="549"/>
      <c r="QA41" s="549"/>
      <c r="QB41" s="549"/>
      <c r="QC41" s="549"/>
      <c r="QD41" s="549"/>
      <c r="QE41" s="549"/>
      <c r="QF41" s="549"/>
      <c r="QG41" s="549"/>
      <c r="QH41" s="549"/>
      <c r="QI41" s="549"/>
      <c r="QJ41" s="549"/>
      <c r="QK41" s="549"/>
      <c r="QL41" s="549"/>
      <c r="QM41" s="549"/>
      <c r="QN41" s="549"/>
      <c r="QO41" s="549"/>
      <c r="QP41" s="549"/>
      <c r="QQ41" s="549"/>
      <c r="QR41" s="549"/>
      <c r="QS41" s="549"/>
      <c r="QT41" s="549"/>
      <c r="QU41" s="549"/>
      <c r="QV41" s="549"/>
      <c r="QW41" s="549"/>
      <c r="QX41" s="549"/>
      <c r="QY41" s="549"/>
      <c r="QZ41" s="549"/>
      <c r="RA41" s="549"/>
      <c r="RB41" s="549"/>
      <c r="RC41" s="549"/>
      <c r="RD41" s="549"/>
      <c r="RE41" s="549"/>
      <c r="RF41" s="549"/>
      <c r="RG41" s="549"/>
      <c r="RH41" s="549"/>
      <c r="RI41" s="549"/>
      <c r="RJ41" s="549"/>
      <c r="RK41" s="549"/>
      <c r="RL41" s="549"/>
      <c r="RM41" s="549"/>
      <c r="RN41" s="549"/>
      <c r="RO41" s="549"/>
      <c r="RP41" s="549"/>
      <c r="RQ41" s="549"/>
      <c r="RR41" s="549"/>
      <c r="RS41" s="549"/>
      <c r="RT41" s="549"/>
      <c r="RU41" s="549"/>
      <c r="RV41" s="549"/>
      <c r="RW41" s="549"/>
      <c r="RX41" s="549"/>
      <c r="RY41" s="549"/>
      <c r="RZ41" s="549"/>
      <c r="SA41" s="549"/>
      <c r="SB41" s="549"/>
      <c r="SC41" s="549"/>
      <c r="SD41" s="549"/>
      <c r="SE41" s="549"/>
      <c r="SF41" s="549"/>
      <c r="SG41" s="549"/>
      <c r="SH41" s="549"/>
      <c r="SI41" s="549"/>
      <c r="SJ41" s="549"/>
      <c r="SK41" s="549"/>
      <c r="SL41" s="549"/>
      <c r="SM41" s="549"/>
      <c r="SN41" s="549"/>
      <c r="SO41" s="549"/>
      <c r="SP41" s="549"/>
      <c r="SQ41" s="549"/>
      <c r="SR41" s="549"/>
      <c r="SS41" s="549"/>
      <c r="ST41" s="549"/>
      <c r="SU41" s="549"/>
      <c r="SV41" s="549"/>
      <c r="SW41" s="549"/>
      <c r="SX41" s="549"/>
      <c r="SY41" s="549"/>
      <c r="SZ41" s="549"/>
      <c r="TA41" s="549"/>
      <c r="TB41" s="549"/>
      <c r="TC41" s="549"/>
      <c r="TD41" s="549"/>
      <c r="TE41" s="549"/>
      <c r="TF41" s="549"/>
      <c r="TG41" s="549"/>
      <c r="TH41" s="549"/>
      <c r="TI41" s="549"/>
      <c r="TJ41" s="549"/>
      <c r="TK41" s="549"/>
      <c r="TL41" s="549"/>
      <c r="TM41" s="549"/>
      <c r="TN41" s="549"/>
      <c r="TO41" s="549"/>
      <c r="TP41" s="549"/>
      <c r="TQ41" s="549"/>
      <c r="TR41" s="549"/>
      <c r="TS41" s="549"/>
      <c r="TT41" s="549"/>
      <c r="TU41" s="549"/>
      <c r="TV41" s="549"/>
      <c r="TW41" s="549"/>
      <c r="TX41" s="549"/>
      <c r="TY41" s="549"/>
      <c r="TZ41" s="549"/>
      <c r="UA41" s="549"/>
      <c r="UB41" s="549"/>
      <c r="UC41" s="549"/>
      <c r="UD41" s="549"/>
      <c r="UE41" s="549"/>
      <c r="UF41" s="549"/>
      <c r="UG41" s="549"/>
      <c r="UH41" s="549"/>
      <c r="UI41" s="549"/>
      <c r="UJ41" s="549"/>
      <c r="UK41" s="549"/>
      <c r="UL41" s="549"/>
      <c r="UM41" s="549"/>
      <c r="UN41" s="549"/>
      <c r="UO41" s="549"/>
      <c r="UP41" s="549"/>
      <c r="UQ41" s="549"/>
      <c r="UR41" s="549"/>
      <c r="US41" s="549"/>
      <c r="UT41" s="549"/>
      <c r="UU41" s="549"/>
      <c r="UV41" s="549"/>
      <c r="UW41" s="549"/>
      <c r="UX41" s="549"/>
      <c r="UY41" s="549"/>
      <c r="UZ41" s="549"/>
      <c r="VA41" s="549"/>
      <c r="VB41" s="549"/>
      <c r="VC41" s="549"/>
      <c r="VD41" s="549"/>
      <c r="VE41" s="549"/>
      <c r="VF41" s="549"/>
      <c r="VG41" s="549"/>
      <c r="VH41" s="549"/>
      <c r="VI41" s="549"/>
      <c r="VJ41" s="549"/>
      <c r="VK41" s="549"/>
      <c r="VL41" s="549"/>
      <c r="VM41" s="549"/>
      <c r="VN41" s="549"/>
      <c r="VO41" s="549"/>
      <c r="VP41" s="549"/>
      <c r="VQ41" s="549"/>
      <c r="VR41" s="549"/>
      <c r="VS41" s="549"/>
      <c r="VT41" s="549"/>
      <c r="VU41" s="549"/>
      <c r="VV41" s="549"/>
      <c r="VW41" s="549"/>
      <c r="VX41" s="549"/>
      <c r="VY41" s="549"/>
      <c r="VZ41" s="549"/>
      <c r="WA41" s="549"/>
      <c r="WB41" s="549"/>
      <c r="WC41" s="549"/>
      <c r="WD41" s="549"/>
      <c r="WE41" s="549"/>
      <c r="WF41" s="549"/>
      <c r="WG41" s="549"/>
      <c r="WH41" s="549"/>
      <c r="WI41" s="549"/>
      <c r="WJ41" s="549"/>
      <c r="WK41" s="549"/>
      <c r="WL41" s="549"/>
      <c r="WM41" s="549"/>
      <c r="WN41" s="549"/>
      <c r="WO41" s="549"/>
      <c r="WP41" s="549"/>
      <c r="WQ41" s="549"/>
      <c r="WR41" s="549"/>
      <c r="WS41" s="549"/>
      <c r="WT41" s="549"/>
      <c r="WU41" s="549"/>
      <c r="WV41" s="549"/>
      <c r="WW41" s="549"/>
      <c r="WX41" s="549"/>
      <c r="WY41" s="549"/>
      <c r="WZ41" s="549"/>
      <c r="XA41" s="549"/>
      <c r="XB41" s="549"/>
      <c r="XC41" s="549"/>
      <c r="XD41" s="549"/>
      <c r="XE41" s="549"/>
      <c r="XF41" s="549"/>
      <c r="XG41" s="549"/>
      <c r="XH41" s="549"/>
      <c r="XI41" s="549"/>
      <c r="XJ41" s="549"/>
      <c r="XK41" s="549"/>
      <c r="XL41" s="549"/>
      <c r="XM41" s="549"/>
      <c r="XN41" s="549"/>
      <c r="XO41" s="549"/>
      <c r="XP41" s="549"/>
      <c r="XQ41" s="549"/>
      <c r="XR41" s="549"/>
      <c r="XS41" s="549"/>
      <c r="XT41" s="549"/>
      <c r="XU41" s="549"/>
      <c r="XV41" s="549"/>
      <c r="XW41" s="549"/>
      <c r="XX41" s="549"/>
      <c r="XY41" s="549"/>
      <c r="XZ41" s="549"/>
      <c r="YA41" s="549"/>
      <c r="YB41" s="549"/>
      <c r="YC41" s="549"/>
      <c r="YD41" s="549"/>
      <c r="YE41" s="549"/>
      <c r="YF41" s="549"/>
      <c r="YG41" s="549"/>
      <c r="YH41" s="549"/>
      <c r="YI41" s="549"/>
      <c r="YJ41" s="549"/>
      <c r="YK41" s="549"/>
      <c r="YL41" s="549"/>
      <c r="YM41" s="549"/>
      <c r="YN41" s="549"/>
      <c r="YO41" s="549"/>
      <c r="YP41" s="549"/>
      <c r="YQ41" s="549"/>
      <c r="YR41" s="549"/>
      <c r="YS41" s="549"/>
      <c r="YT41" s="549"/>
      <c r="YU41" s="549"/>
      <c r="YV41" s="549"/>
      <c r="YW41" s="549"/>
      <c r="YX41" s="549"/>
      <c r="YY41" s="549"/>
      <c r="YZ41" s="549"/>
      <c r="ZA41" s="549"/>
      <c r="ZB41" s="549"/>
      <c r="ZC41" s="549"/>
      <c r="ZD41" s="549"/>
      <c r="ZE41" s="549"/>
      <c r="ZF41" s="549"/>
      <c r="ZG41" s="549"/>
      <c r="ZH41" s="549"/>
      <c r="ZI41" s="549"/>
      <c r="ZJ41" s="549"/>
      <c r="ZK41" s="549"/>
      <c r="ZL41" s="549"/>
      <c r="ZM41" s="549"/>
      <c r="ZN41" s="549"/>
      <c r="ZO41" s="549"/>
      <c r="ZP41" s="549"/>
      <c r="ZQ41" s="549"/>
      <c r="ZR41" s="549"/>
      <c r="ZS41" s="549"/>
      <c r="ZT41" s="549"/>
      <c r="ZU41" s="549"/>
      <c r="ZV41" s="549"/>
      <c r="ZW41" s="549"/>
      <c r="ZX41" s="549"/>
      <c r="ZY41" s="549"/>
      <c r="ZZ41" s="549"/>
      <c r="AAA41" s="549"/>
      <c r="AAB41" s="549"/>
      <c r="AAC41" s="549"/>
      <c r="AAD41" s="549"/>
      <c r="AAE41" s="549"/>
      <c r="AAF41" s="549"/>
      <c r="AAG41" s="549"/>
      <c r="AAH41" s="549"/>
      <c r="AAI41" s="549"/>
      <c r="AAJ41" s="549"/>
      <c r="AAK41" s="549"/>
      <c r="AAL41" s="549"/>
      <c r="AAM41" s="549"/>
      <c r="AAN41" s="549"/>
      <c r="AAO41" s="549"/>
      <c r="AAP41" s="549"/>
      <c r="AAQ41" s="549"/>
      <c r="AAR41" s="549"/>
      <c r="AAS41" s="549"/>
      <c r="AAT41" s="549"/>
      <c r="AAU41" s="549"/>
      <c r="AAV41" s="549"/>
      <c r="AAW41" s="549"/>
      <c r="AAX41" s="549"/>
      <c r="AAY41" s="549"/>
      <c r="AAZ41" s="549"/>
      <c r="ABA41" s="549"/>
      <c r="ABB41" s="549"/>
      <c r="ABC41" s="549"/>
      <c r="ABD41" s="549"/>
      <c r="ABE41" s="549"/>
      <c r="ABF41" s="549"/>
      <c r="ABG41" s="549"/>
      <c r="ABH41" s="549"/>
      <c r="ABI41" s="549"/>
      <c r="ABJ41" s="549"/>
      <c r="ABK41" s="549"/>
      <c r="ABL41" s="549"/>
      <c r="ABM41" s="549"/>
      <c r="ABN41" s="549"/>
      <c r="ABO41" s="549"/>
      <c r="ABP41" s="549"/>
      <c r="ABQ41" s="549"/>
      <c r="ABR41" s="549"/>
      <c r="ABS41" s="549"/>
      <c r="ABT41" s="549"/>
      <c r="ABU41" s="549"/>
      <c r="ABV41" s="549"/>
      <c r="ABW41" s="549"/>
      <c r="ABX41" s="549"/>
      <c r="ABY41" s="549"/>
      <c r="ABZ41" s="549"/>
      <c r="ACA41" s="549"/>
      <c r="ACB41" s="549"/>
      <c r="ACC41" s="549"/>
      <c r="ACD41" s="549"/>
      <c r="ACE41" s="549"/>
      <c r="ACF41" s="549"/>
      <c r="ACG41" s="549"/>
      <c r="ACH41" s="549"/>
      <c r="ACI41" s="549"/>
      <c r="ACJ41" s="549"/>
      <c r="ACK41" s="549"/>
      <c r="ACL41" s="549"/>
      <c r="ACM41" s="549"/>
      <c r="ACN41" s="549"/>
      <c r="ACO41" s="549"/>
      <c r="ACP41" s="549"/>
      <c r="ACQ41" s="549"/>
      <c r="ACR41" s="549"/>
      <c r="ACS41" s="549"/>
      <c r="ACT41" s="549"/>
      <c r="ACU41" s="549"/>
      <c r="ACV41" s="549"/>
      <c r="ACW41" s="549"/>
      <c r="ACX41" s="549"/>
      <c r="ACY41" s="549"/>
      <c r="ACZ41" s="549"/>
      <c r="ADA41" s="549"/>
      <c r="ADB41" s="549"/>
      <c r="ADC41" s="549"/>
      <c r="ADD41" s="549"/>
      <c r="ADE41" s="549"/>
      <c r="ADF41" s="549"/>
      <c r="ADG41" s="549"/>
      <c r="ADH41" s="549"/>
      <c r="ADI41" s="549"/>
      <c r="ADJ41" s="549"/>
      <c r="ADK41" s="549"/>
      <c r="ADL41" s="549"/>
      <c r="ADM41" s="549"/>
      <c r="ADN41" s="549"/>
      <c r="ADO41" s="549"/>
      <c r="ADP41" s="549"/>
      <c r="ADQ41" s="549"/>
      <c r="ADR41" s="549"/>
      <c r="ADS41" s="549"/>
      <c r="ADT41" s="549"/>
      <c r="ADU41" s="549"/>
      <c r="ADV41" s="549"/>
      <c r="ADW41" s="549"/>
      <c r="ADX41" s="549"/>
      <c r="ADY41" s="549"/>
      <c r="ADZ41" s="549"/>
      <c r="AEA41" s="549"/>
      <c r="AEB41" s="549"/>
      <c r="AEC41" s="549"/>
      <c r="AED41" s="549"/>
      <c r="AEE41" s="549"/>
      <c r="AEF41" s="549"/>
      <c r="AEG41" s="549"/>
      <c r="AEH41" s="549"/>
      <c r="AEI41" s="549"/>
      <c r="AEJ41" s="549"/>
      <c r="AEK41" s="549"/>
      <c r="AEL41" s="549"/>
      <c r="AEM41" s="549"/>
      <c r="AEN41" s="549"/>
      <c r="AEO41" s="549"/>
      <c r="AEP41" s="549"/>
      <c r="AEQ41" s="549"/>
      <c r="AER41" s="549"/>
      <c r="AES41" s="549"/>
      <c r="AET41" s="549"/>
      <c r="AEU41" s="549"/>
      <c r="AEV41" s="549"/>
      <c r="AEW41" s="549"/>
      <c r="AEX41" s="549"/>
      <c r="AEY41" s="549"/>
      <c r="AEZ41" s="549"/>
      <c r="AFA41" s="549"/>
      <c r="AFB41" s="549"/>
      <c r="AFC41" s="549"/>
      <c r="AFD41" s="549"/>
      <c r="AFE41" s="549"/>
      <c r="AFF41" s="549"/>
      <c r="AFG41" s="549"/>
      <c r="AFH41" s="549"/>
      <c r="AFI41" s="549"/>
      <c r="AFJ41" s="549"/>
      <c r="AFK41" s="549"/>
      <c r="AFL41" s="549"/>
      <c r="AFM41" s="549"/>
      <c r="AFN41" s="549"/>
      <c r="AFO41" s="549"/>
      <c r="AFP41" s="549"/>
      <c r="AFQ41" s="549"/>
      <c r="AFR41" s="549"/>
      <c r="AFS41" s="549"/>
      <c r="AFT41" s="549"/>
      <c r="AFU41" s="549"/>
      <c r="AFV41" s="549"/>
      <c r="AFW41" s="549"/>
      <c r="AFX41" s="549"/>
      <c r="AFY41" s="549"/>
      <c r="AFZ41" s="549"/>
      <c r="AGA41" s="549"/>
      <c r="AGB41" s="549"/>
      <c r="AGC41" s="549"/>
      <c r="AGD41" s="549"/>
      <c r="AGE41" s="549"/>
      <c r="AGF41" s="549"/>
      <c r="AGG41" s="549"/>
      <c r="AGH41" s="549"/>
      <c r="AGI41" s="549"/>
      <c r="AGJ41" s="549"/>
      <c r="AGK41" s="549"/>
      <c r="AGL41" s="549"/>
      <c r="AGM41" s="549"/>
      <c r="AGN41" s="549"/>
      <c r="AGO41" s="549"/>
      <c r="AGP41" s="549"/>
      <c r="AGQ41" s="549"/>
      <c r="AGR41" s="549"/>
      <c r="AGS41" s="549"/>
      <c r="AGT41" s="549"/>
      <c r="AGU41" s="549"/>
      <c r="AGV41" s="549"/>
      <c r="AGW41" s="549"/>
      <c r="AGX41" s="549"/>
      <c r="AGY41" s="549"/>
      <c r="AGZ41" s="549"/>
      <c r="AHA41" s="549"/>
      <c r="AHB41" s="549"/>
      <c r="AHC41" s="549"/>
      <c r="AHD41" s="549"/>
      <c r="AHE41" s="549"/>
      <c r="AHF41" s="549"/>
      <c r="AHG41" s="549"/>
      <c r="AHH41" s="549"/>
      <c r="AHI41" s="549"/>
      <c r="AHJ41" s="549"/>
      <c r="AHK41" s="549"/>
      <c r="AHL41" s="549"/>
      <c r="AHM41" s="549"/>
      <c r="AHN41" s="549"/>
      <c r="AHO41" s="549"/>
      <c r="AHP41" s="549"/>
      <c r="AHQ41" s="549"/>
      <c r="AHR41" s="549"/>
      <c r="AHS41" s="549"/>
      <c r="AHT41" s="549"/>
      <c r="AHU41" s="549"/>
      <c r="AHV41" s="549"/>
      <c r="AHW41" s="549"/>
      <c r="AHX41" s="549"/>
      <c r="AHY41" s="549"/>
      <c r="AHZ41" s="549"/>
      <c r="AIA41" s="549"/>
      <c r="AIB41" s="549"/>
      <c r="AIC41" s="549"/>
      <c r="AID41" s="549"/>
      <c r="AIE41" s="549"/>
      <c r="AIF41" s="549"/>
      <c r="AIG41" s="549"/>
      <c r="AIH41" s="549"/>
      <c r="AII41" s="549"/>
      <c r="AIJ41" s="549"/>
      <c r="AIK41" s="549"/>
      <c r="AIL41" s="549"/>
      <c r="AIM41" s="549"/>
      <c r="AIN41" s="549"/>
      <c r="AIO41" s="549"/>
      <c r="AIP41" s="549"/>
      <c r="AIQ41" s="549"/>
      <c r="AIR41" s="549"/>
      <c r="AIS41" s="549"/>
      <c r="AIT41" s="549"/>
      <c r="AIU41" s="549"/>
      <c r="AIV41" s="549"/>
      <c r="AIW41" s="549"/>
      <c r="AIX41" s="549"/>
      <c r="AIY41" s="549"/>
      <c r="AIZ41" s="549"/>
      <c r="AJA41" s="549"/>
      <c r="AJB41" s="549"/>
      <c r="AJC41" s="549"/>
      <c r="AJD41" s="549"/>
      <c r="AJE41" s="549"/>
      <c r="AJF41" s="549"/>
      <c r="AJG41" s="549"/>
      <c r="AJH41" s="549"/>
      <c r="AJI41" s="549"/>
      <c r="AJJ41" s="549"/>
      <c r="AJK41" s="549"/>
      <c r="AJL41" s="549"/>
      <c r="AJM41" s="549"/>
      <c r="AJN41" s="549"/>
      <c r="AJO41" s="549"/>
      <c r="AJP41" s="549"/>
      <c r="AJQ41" s="549"/>
      <c r="AJR41" s="549"/>
      <c r="AJS41" s="549"/>
      <c r="AJT41" s="549"/>
      <c r="AJU41" s="549"/>
      <c r="AJV41" s="549"/>
      <c r="AJW41" s="549"/>
      <c r="AJX41" s="549"/>
      <c r="AJY41" s="549"/>
      <c r="AJZ41" s="549"/>
      <c r="AKA41" s="549"/>
      <c r="AKB41" s="549"/>
      <c r="AKC41" s="549"/>
      <c r="AKD41" s="549"/>
      <c r="AKE41" s="549"/>
      <c r="AKF41" s="549"/>
      <c r="AKG41" s="549"/>
      <c r="AKH41" s="549"/>
      <c r="AKI41" s="549"/>
      <c r="AKJ41" s="549"/>
      <c r="AKK41" s="549"/>
      <c r="AKL41" s="549"/>
      <c r="AKM41" s="549"/>
      <c r="AKN41" s="549"/>
      <c r="AKO41" s="549"/>
      <c r="AKP41" s="549"/>
      <c r="AKQ41" s="549"/>
      <c r="AKR41" s="549"/>
      <c r="AKS41" s="549"/>
      <c r="AKT41" s="549"/>
      <c r="AKU41" s="549"/>
      <c r="AKV41" s="549"/>
      <c r="AKW41" s="549"/>
      <c r="AKX41" s="549"/>
      <c r="AKY41" s="549"/>
      <c r="AKZ41" s="549"/>
      <c r="ALA41" s="549"/>
      <c r="ALB41" s="549"/>
      <c r="ALC41" s="549"/>
      <c r="ALD41" s="549"/>
      <c r="ALE41" s="549"/>
      <c r="ALF41" s="549"/>
      <c r="ALG41" s="549"/>
      <c r="ALH41" s="549"/>
      <c r="ALI41" s="549"/>
      <c r="ALJ41" s="549"/>
      <c r="ALK41" s="549"/>
      <c r="ALL41" s="549"/>
      <c r="ALM41" s="549"/>
      <c r="ALN41" s="549"/>
      <c r="ALO41" s="549"/>
      <c r="ALP41" s="549"/>
      <c r="ALQ41" s="549"/>
      <c r="ALR41" s="549"/>
      <c r="ALS41" s="549"/>
      <c r="ALT41" s="549"/>
      <c r="ALU41" s="549"/>
      <c r="ALV41" s="549"/>
      <c r="ALW41" s="549"/>
      <c r="ALX41" s="549"/>
      <c r="ALY41" s="549"/>
      <c r="ALZ41" s="549"/>
      <c r="AMA41" s="549"/>
      <c r="AMB41" s="549"/>
      <c r="AMC41" s="549"/>
      <c r="AMD41" s="549"/>
      <c r="AME41" s="549"/>
      <c r="AMF41" s="549"/>
      <c r="AMG41" s="549"/>
      <c r="AMH41" s="549"/>
      <c r="AMI41" s="549"/>
      <c r="AMJ41" s="549"/>
      <c r="AMK41" s="549"/>
      <c r="AML41" s="549"/>
      <c r="AMM41" s="549"/>
      <c r="AMN41" s="549"/>
      <c r="AMO41" s="549"/>
      <c r="AMP41" s="549"/>
      <c r="AMQ41" s="549"/>
      <c r="AMR41" s="549"/>
      <c r="AMS41" s="549"/>
      <c r="AMT41" s="549"/>
      <c r="AMU41" s="549"/>
      <c r="AMV41" s="549"/>
      <c r="AMW41" s="549"/>
      <c r="AMX41" s="549"/>
      <c r="AMY41" s="549"/>
      <c r="AMZ41" s="549"/>
      <c r="ANA41" s="549"/>
      <c r="ANB41" s="549"/>
      <c r="ANC41" s="549"/>
      <c r="AND41" s="549"/>
      <c r="ANE41" s="549"/>
      <c r="ANF41" s="549"/>
      <c r="ANG41" s="549"/>
      <c r="ANH41" s="549"/>
      <c r="ANI41" s="549"/>
      <c r="ANJ41" s="549"/>
      <c r="ANK41" s="549"/>
      <c r="ANL41" s="549"/>
      <c r="ANM41" s="549"/>
      <c r="ANN41" s="549"/>
      <c r="ANO41" s="549"/>
      <c r="ANP41" s="549"/>
      <c r="ANQ41" s="549"/>
      <c r="ANR41" s="549"/>
      <c r="ANS41" s="549"/>
      <c r="ANT41" s="549"/>
      <c r="ANU41" s="549"/>
      <c r="ANV41" s="549"/>
      <c r="ANW41" s="549"/>
      <c r="ANX41" s="549"/>
      <c r="ANY41" s="549"/>
      <c r="ANZ41" s="549"/>
      <c r="AOA41" s="549"/>
      <c r="AOB41" s="549"/>
      <c r="AOC41" s="549"/>
      <c r="AOD41" s="549"/>
      <c r="AOE41" s="549"/>
      <c r="AOF41" s="549"/>
      <c r="AOG41" s="549"/>
      <c r="AOH41" s="549"/>
      <c r="AOI41" s="549"/>
      <c r="AOJ41" s="549"/>
      <c r="AOK41" s="549"/>
      <c r="AOL41" s="549"/>
      <c r="AOM41" s="549"/>
      <c r="AON41" s="549"/>
      <c r="AOO41" s="549"/>
      <c r="AOP41" s="549"/>
      <c r="AOQ41" s="549"/>
      <c r="AOR41" s="549"/>
      <c r="AOS41" s="549"/>
      <c r="AOT41" s="549"/>
      <c r="AOU41" s="549"/>
      <c r="AOV41" s="549"/>
      <c r="AOW41" s="549"/>
      <c r="AOX41" s="549"/>
      <c r="AOY41" s="549"/>
      <c r="AOZ41" s="549"/>
      <c r="APA41" s="549"/>
      <c r="APB41" s="549"/>
      <c r="APC41" s="549"/>
      <c r="APD41" s="549"/>
      <c r="APE41" s="549"/>
      <c r="APF41" s="549"/>
      <c r="APG41" s="549"/>
      <c r="APH41" s="549"/>
      <c r="API41" s="549"/>
      <c r="APJ41" s="549"/>
      <c r="APK41" s="549"/>
      <c r="APL41" s="549"/>
      <c r="APM41" s="549"/>
      <c r="APN41" s="549"/>
      <c r="APO41" s="549"/>
      <c r="APP41" s="549"/>
      <c r="APQ41" s="549"/>
      <c r="APR41" s="549"/>
      <c r="APS41" s="549"/>
      <c r="APT41" s="549"/>
      <c r="APU41" s="549"/>
      <c r="APV41" s="549"/>
      <c r="APW41" s="549"/>
      <c r="APX41" s="549"/>
      <c r="APY41" s="549"/>
      <c r="APZ41" s="549"/>
      <c r="AQA41" s="549"/>
      <c r="AQB41" s="549"/>
      <c r="AQC41" s="549"/>
      <c r="AQD41" s="549"/>
      <c r="AQE41" s="549"/>
      <c r="AQF41" s="549"/>
      <c r="AQG41" s="549"/>
      <c r="AQH41" s="549"/>
      <c r="AQI41" s="549"/>
      <c r="AQJ41" s="549"/>
      <c r="AQK41" s="549"/>
      <c r="AQL41" s="549"/>
      <c r="AQM41" s="549"/>
      <c r="AQN41" s="549"/>
      <c r="AQO41" s="549"/>
      <c r="AQP41" s="549"/>
      <c r="AQQ41" s="549"/>
      <c r="AQR41" s="549"/>
      <c r="AQS41" s="549"/>
      <c r="AQT41" s="549"/>
      <c r="AQU41" s="549"/>
      <c r="AQV41" s="549"/>
      <c r="AQW41" s="549"/>
      <c r="AQX41" s="549"/>
      <c r="AQY41" s="549"/>
      <c r="AQZ41" s="549"/>
      <c r="ARA41" s="549"/>
      <c r="ARB41" s="549"/>
      <c r="ARC41" s="549"/>
      <c r="ARD41" s="549"/>
      <c r="ARE41" s="549"/>
      <c r="ARF41" s="549"/>
      <c r="ARG41" s="549"/>
      <c r="ARH41" s="549"/>
      <c r="ARI41" s="549"/>
      <c r="ARJ41" s="549"/>
      <c r="ARK41" s="549"/>
      <c r="ARL41" s="549"/>
      <c r="ARM41" s="549"/>
      <c r="ARN41" s="549"/>
      <c r="ARO41" s="549"/>
      <c r="ARP41" s="549"/>
      <c r="ARQ41" s="549"/>
      <c r="ARR41" s="549"/>
      <c r="ARS41" s="549"/>
      <c r="ART41" s="549"/>
      <c r="ARU41" s="549"/>
      <c r="ARV41" s="549"/>
      <c r="ARW41" s="549"/>
      <c r="ARX41" s="549"/>
      <c r="ARY41" s="549"/>
      <c r="ARZ41" s="549"/>
      <c r="ASA41" s="549"/>
      <c r="ASB41" s="549"/>
      <c r="ASC41" s="549"/>
      <c r="ASD41" s="549"/>
      <c r="ASE41" s="549"/>
      <c r="ASF41" s="549"/>
      <c r="ASG41" s="549"/>
      <c r="ASH41" s="549"/>
      <c r="ASI41" s="549"/>
      <c r="ASJ41" s="549"/>
      <c r="ASK41" s="549"/>
      <c r="ASL41" s="549"/>
      <c r="ASM41" s="549"/>
      <c r="ASN41" s="549"/>
      <c r="ASO41" s="549"/>
      <c r="ASP41" s="549"/>
      <c r="ASQ41" s="549"/>
      <c r="ASR41" s="549"/>
      <c r="ASS41" s="549"/>
      <c r="AST41" s="549"/>
      <c r="ASU41" s="549"/>
      <c r="ASV41" s="549"/>
      <c r="ASW41" s="549"/>
      <c r="ASX41" s="549"/>
      <c r="ASY41" s="549"/>
      <c r="ASZ41" s="549"/>
      <c r="ATA41" s="549"/>
      <c r="ATB41" s="549"/>
      <c r="ATC41" s="549"/>
      <c r="ATD41" s="549"/>
      <c r="ATE41" s="549"/>
      <c r="ATF41" s="549"/>
      <c r="ATG41" s="549"/>
      <c r="ATH41" s="549"/>
      <c r="ATI41" s="549"/>
      <c r="ATJ41" s="549"/>
      <c r="ATK41" s="549"/>
      <c r="ATL41" s="549"/>
      <c r="ATM41" s="549"/>
      <c r="ATN41" s="549"/>
      <c r="ATO41" s="549"/>
      <c r="ATP41" s="549"/>
      <c r="ATQ41" s="549"/>
      <c r="ATR41" s="549"/>
      <c r="ATS41" s="549"/>
      <c r="ATT41" s="549"/>
      <c r="ATU41" s="549"/>
      <c r="ATV41" s="549"/>
      <c r="ATW41" s="549"/>
      <c r="ATX41" s="549"/>
      <c r="ATY41" s="549"/>
      <c r="ATZ41" s="549"/>
      <c r="AUA41" s="549"/>
      <c r="AUB41" s="549"/>
      <c r="AUC41" s="549"/>
      <c r="AUD41" s="549"/>
      <c r="AUE41" s="549"/>
      <c r="AUF41" s="549"/>
      <c r="AUG41" s="549"/>
      <c r="AUH41" s="549"/>
      <c r="AUI41" s="549"/>
      <c r="AUJ41" s="549"/>
      <c r="AUK41" s="549"/>
      <c r="AUL41" s="549"/>
      <c r="AUM41" s="549"/>
      <c r="AUN41" s="549"/>
      <c r="AUO41" s="549"/>
      <c r="AUP41" s="549"/>
      <c r="AUQ41" s="549"/>
      <c r="AUR41" s="549"/>
      <c r="AUS41" s="549"/>
      <c r="AUT41" s="549"/>
      <c r="AUU41" s="549"/>
      <c r="AUV41" s="549"/>
      <c r="AUW41" s="549"/>
      <c r="AUX41" s="549"/>
      <c r="AUY41" s="549"/>
      <c r="AUZ41" s="549"/>
      <c r="AVA41" s="549"/>
      <c r="AVB41" s="549"/>
      <c r="AVC41" s="549"/>
      <c r="AVD41" s="549"/>
      <c r="AVE41" s="549"/>
      <c r="AVF41" s="549"/>
      <c r="AVG41" s="549"/>
      <c r="AVH41" s="549"/>
      <c r="AVI41" s="549"/>
      <c r="AVJ41" s="549"/>
      <c r="AVK41" s="549"/>
      <c r="AVL41" s="549"/>
      <c r="AVM41" s="549"/>
      <c r="AVN41" s="549"/>
      <c r="AVO41" s="549"/>
      <c r="AVP41" s="549"/>
      <c r="AVQ41" s="549"/>
      <c r="AVR41" s="549"/>
      <c r="AVS41" s="549"/>
      <c r="AVT41" s="549"/>
      <c r="AVU41" s="549"/>
      <c r="AVV41" s="549"/>
      <c r="AVW41" s="549"/>
      <c r="AVX41" s="549"/>
      <c r="AVY41" s="549"/>
      <c r="AVZ41" s="549"/>
      <c r="AWA41" s="549"/>
      <c r="AWB41" s="549"/>
      <c r="AWC41" s="549"/>
      <c r="AWD41" s="549"/>
      <c r="AWE41" s="549"/>
      <c r="AWF41" s="549"/>
      <c r="AWG41" s="549"/>
      <c r="AWH41" s="549"/>
      <c r="AWI41" s="549"/>
      <c r="AWJ41" s="549"/>
      <c r="AWK41" s="549"/>
      <c r="AWL41" s="549"/>
      <c r="AWM41" s="549"/>
      <c r="AWN41" s="549"/>
      <c r="AWO41" s="549"/>
      <c r="AWP41" s="549"/>
      <c r="AWQ41" s="549"/>
      <c r="AWR41" s="549"/>
      <c r="AWS41" s="549"/>
      <c r="AWT41" s="549"/>
      <c r="AWU41" s="549"/>
      <c r="AWV41" s="549"/>
      <c r="AWW41" s="549"/>
      <c r="AWX41" s="549"/>
      <c r="AWY41" s="549"/>
      <c r="AWZ41" s="549"/>
      <c r="AXA41" s="549"/>
      <c r="AXB41" s="549"/>
      <c r="AXC41" s="549"/>
      <c r="AXD41" s="549"/>
      <c r="AXE41" s="549"/>
      <c r="AXF41" s="549"/>
      <c r="AXG41" s="549"/>
      <c r="AXH41" s="549"/>
      <c r="AXI41" s="549"/>
      <c r="AXJ41" s="549"/>
      <c r="AXK41" s="549"/>
      <c r="AXL41" s="549"/>
      <c r="AXM41" s="549"/>
      <c r="AXN41" s="549"/>
      <c r="AXO41" s="549"/>
      <c r="AXP41" s="549"/>
      <c r="AXQ41" s="549"/>
      <c r="AXR41" s="549"/>
      <c r="AXS41" s="549"/>
      <c r="AXT41" s="549"/>
      <c r="AXU41" s="549"/>
      <c r="AXV41" s="549"/>
      <c r="AXW41" s="549"/>
      <c r="AXX41" s="549"/>
      <c r="AXY41" s="549"/>
      <c r="AXZ41" s="549"/>
      <c r="AYA41" s="549"/>
      <c r="AYB41" s="549"/>
      <c r="AYC41" s="549"/>
      <c r="AYD41" s="549"/>
      <c r="AYE41" s="549"/>
      <c r="AYF41" s="549"/>
      <c r="AYG41" s="549"/>
      <c r="AYH41" s="549"/>
      <c r="AYI41" s="549"/>
      <c r="AYJ41" s="549"/>
      <c r="AYK41" s="549"/>
      <c r="AYL41" s="549"/>
      <c r="AYM41" s="549"/>
      <c r="AYN41" s="549"/>
      <c r="AYO41" s="549"/>
      <c r="AYP41" s="549"/>
      <c r="AYQ41" s="549"/>
      <c r="AYR41" s="549"/>
      <c r="AYS41" s="549"/>
      <c r="AYT41" s="549"/>
      <c r="AYU41" s="549"/>
      <c r="AYV41" s="549"/>
      <c r="AYW41" s="549"/>
      <c r="AYX41" s="549"/>
      <c r="AYY41" s="549"/>
      <c r="AYZ41" s="549"/>
      <c r="AZA41" s="549"/>
      <c r="AZB41" s="549"/>
      <c r="AZC41" s="549"/>
      <c r="AZD41" s="549"/>
      <c r="AZE41" s="549"/>
      <c r="AZF41" s="549"/>
      <c r="AZG41" s="549"/>
      <c r="AZH41" s="549"/>
      <c r="AZI41" s="549"/>
      <c r="AZJ41" s="549"/>
      <c r="AZK41" s="549"/>
      <c r="AZL41" s="549"/>
      <c r="AZM41" s="549"/>
      <c r="AZN41" s="549"/>
      <c r="AZO41" s="549"/>
      <c r="AZP41" s="549"/>
      <c r="AZQ41" s="549"/>
      <c r="AZR41" s="549"/>
      <c r="AZS41" s="549"/>
      <c r="AZT41" s="549"/>
      <c r="AZU41" s="549"/>
      <c r="AZV41" s="549"/>
      <c r="AZW41" s="549"/>
      <c r="AZX41" s="549"/>
      <c r="AZY41" s="549"/>
      <c r="AZZ41" s="549"/>
      <c r="BAA41" s="549"/>
      <c r="BAB41" s="549"/>
      <c r="BAC41" s="549"/>
      <c r="BAD41" s="549"/>
      <c r="BAE41" s="549"/>
      <c r="BAF41" s="549"/>
      <c r="BAG41" s="549"/>
      <c r="BAH41" s="549"/>
      <c r="BAI41" s="549"/>
      <c r="BAJ41" s="549"/>
      <c r="BAK41" s="549"/>
      <c r="BAL41" s="549"/>
      <c r="BAM41" s="549"/>
      <c r="BAN41" s="549"/>
      <c r="BAO41" s="549"/>
      <c r="BAP41" s="549"/>
      <c r="BAQ41" s="549"/>
      <c r="BAR41" s="549"/>
      <c r="BAS41" s="549"/>
      <c r="BAT41" s="549"/>
      <c r="BAU41" s="549"/>
      <c r="BAV41" s="549"/>
      <c r="BAW41" s="549"/>
      <c r="BAX41" s="549"/>
      <c r="BAY41" s="549"/>
      <c r="BAZ41" s="549"/>
      <c r="BBA41" s="549"/>
      <c r="BBB41" s="549"/>
      <c r="BBC41" s="549"/>
      <c r="BBD41" s="549"/>
      <c r="BBE41" s="549"/>
      <c r="BBF41" s="549"/>
      <c r="BBG41" s="549"/>
      <c r="BBH41" s="549"/>
      <c r="BBI41" s="549"/>
      <c r="BBJ41" s="549"/>
      <c r="BBK41" s="549"/>
      <c r="BBL41" s="549"/>
      <c r="BBM41" s="549"/>
      <c r="BBN41" s="549"/>
      <c r="BBO41" s="549"/>
      <c r="BBP41" s="549"/>
      <c r="BBQ41" s="549"/>
      <c r="BBR41" s="549"/>
      <c r="BBS41" s="549"/>
      <c r="BBT41" s="549"/>
      <c r="BBU41" s="549"/>
      <c r="BBV41" s="549"/>
      <c r="BBW41" s="549"/>
      <c r="BBX41" s="549"/>
      <c r="BBY41" s="549"/>
      <c r="BBZ41" s="549"/>
      <c r="BCA41" s="549"/>
      <c r="BCB41" s="549"/>
      <c r="BCC41" s="549"/>
      <c r="BCD41" s="549"/>
      <c r="BCE41" s="549"/>
      <c r="BCF41" s="549"/>
      <c r="BCG41" s="549"/>
      <c r="BCH41" s="549"/>
      <c r="BCI41" s="549"/>
      <c r="BCJ41" s="549"/>
      <c r="BCK41" s="549"/>
      <c r="BCL41" s="549"/>
      <c r="BCM41" s="549"/>
      <c r="BCN41" s="549"/>
      <c r="BCO41" s="549"/>
      <c r="BCP41" s="549"/>
      <c r="BCQ41" s="549"/>
      <c r="BCR41" s="549"/>
      <c r="BCS41" s="549"/>
      <c r="BCT41" s="549"/>
      <c r="BCU41" s="549"/>
      <c r="BCV41" s="549"/>
      <c r="BCW41" s="549"/>
      <c r="BCX41" s="549"/>
      <c r="BCY41" s="549"/>
      <c r="BCZ41" s="549"/>
      <c r="BDA41" s="549"/>
      <c r="BDB41" s="549"/>
      <c r="BDC41" s="549"/>
      <c r="BDD41" s="549"/>
      <c r="BDE41" s="549"/>
      <c r="BDF41" s="549"/>
      <c r="BDG41" s="549"/>
      <c r="BDH41" s="549"/>
      <c r="BDI41" s="549"/>
      <c r="BDJ41" s="549"/>
      <c r="BDK41" s="549"/>
      <c r="BDL41" s="549"/>
      <c r="BDM41" s="549"/>
      <c r="BDN41" s="549"/>
      <c r="BDO41" s="549"/>
      <c r="BDP41" s="549"/>
      <c r="BDQ41" s="549"/>
      <c r="BDR41" s="549"/>
      <c r="BDS41" s="549"/>
      <c r="BDT41" s="549"/>
      <c r="BDU41" s="549"/>
      <c r="BDV41" s="549"/>
      <c r="BDW41" s="549"/>
      <c r="BDX41" s="549"/>
      <c r="BDY41" s="549"/>
      <c r="BDZ41" s="549"/>
      <c r="BEA41" s="549"/>
      <c r="BEB41" s="549"/>
      <c r="BEC41" s="549"/>
      <c r="BED41" s="549"/>
      <c r="BEE41" s="549"/>
      <c r="BEF41" s="549"/>
      <c r="BEG41" s="549"/>
      <c r="BEH41" s="549"/>
      <c r="BEI41" s="549"/>
      <c r="BEJ41" s="549"/>
      <c r="BEK41" s="549"/>
      <c r="BEL41" s="549"/>
      <c r="BEM41" s="549"/>
      <c r="BEN41" s="549"/>
      <c r="BEO41" s="549"/>
      <c r="BEP41" s="549"/>
      <c r="BEQ41" s="549"/>
      <c r="BER41" s="549"/>
      <c r="BES41" s="549"/>
      <c r="BET41" s="549"/>
      <c r="BEU41" s="549"/>
      <c r="BEV41" s="549"/>
      <c r="BEW41" s="549"/>
      <c r="BEX41" s="549"/>
      <c r="BEY41" s="549"/>
      <c r="BEZ41" s="549"/>
      <c r="BFA41" s="549"/>
      <c r="BFB41" s="549"/>
      <c r="BFC41" s="549"/>
      <c r="BFD41" s="549"/>
      <c r="BFE41" s="549"/>
      <c r="BFF41" s="549"/>
      <c r="BFG41" s="549"/>
      <c r="BFH41" s="549"/>
      <c r="BFI41" s="549"/>
      <c r="BFJ41" s="549"/>
      <c r="BFK41" s="549"/>
      <c r="BFL41" s="549"/>
      <c r="BFM41" s="549"/>
      <c r="BFN41" s="549"/>
      <c r="BFO41" s="549"/>
      <c r="BFP41" s="549"/>
      <c r="BFQ41" s="549"/>
      <c r="BFR41" s="549"/>
      <c r="BFS41" s="549"/>
      <c r="BFT41" s="549"/>
      <c r="BFU41" s="549"/>
      <c r="BFV41" s="549"/>
      <c r="BFW41" s="549"/>
      <c r="BFX41" s="549"/>
      <c r="BFY41" s="549"/>
      <c r="BFZ41" s="549"/>
      <c r="BGA41" s="549"/>
      <c r="BGB41" s="549"/>
      <c r="BGC41" s="549"/>
      <c r="BGD41" s="549"/>
      <c r="BGE41" s="549"/>
      <c r="BGF41" s="549"/>
      <c r="BGG41" s="549"/>
      <c r="BGH41" s="549"/>
      <c r="BGI41" s="549"/>
      <c r="BGJ41" s="549"/>
      <c r="BGK41" s="549"/>
      <c r="BGL41" s="549"/>
      <c r="BGM41" s="549"/>
      <c r="BGN41" s="549"/>
      <c r="BGO41" s="549"/>
      <c r="BGP41" s="549"/>
      <c r="BGQ41" s="549"/>
      <c r="BGR41" s="549"/>
      <c r="BGS41" s="549"/>
      <c r="BGT41" s="549"/>
      <c r="BGU41" s="549"/>
      <c r="BGV41" s="549"/>
      <c r="BGW41" s="549"/>
      <c r="BGX41" s="549"/>
      <c r="BGY41" s="549"/>
      <c r="BGZ41" s="549"/>
      <c r="BHA41" s="549"/>
      <c r="BHB41" s="549"/>
      <c r="BHC41" s="549"/>
      <c r="BHD41" s="549"/>
      <c r="BHE41" s="549"/>
      <c r="BHF41" s="549"/>
      <c r="BHG41" s="549"/>
      <c r="BHH41" s="549"/>
      <c r="BHI41" s="549"/>
      <c r="BHJ41" s="549"/>
      <c r="BHK41" s="549"/>
      <c r="BHL41" s="549"/>
      <c r="BHM41" s="549"/>
      <c r="BHN41" s="549"/>
      <c r="BHO41" s="549"/>
      <c r="BHP41" s="549"/>
      <c r="BHQ41" s="549"/>
      <c r="BHR41" s="549"/>
      <c r="BHS41" s="549"/>
      <c r="BHT41" s="549"/>
      <c r="BHU41" s="549"/>
      <c r="BHV41" s="549"/>
      <c r="BHW41" s="549"/>
      <c r="BHX41" s="549"/>
      <c r="BHY41" s="549"/>
      <c r="BHZ41" s="549"/>
      <c r="BIA41" s="549"/>
      <c r="BIB41" s="549"/>
      <c r="BIC41" s="549"/>
      <c r="BID41" s="549"/>
      <c r="BIE41" s="549"/>
      <c r="BIF41" s="549"/>
      <c r="BIG41" s="549"/>
      <c r="BIH41" s="549"/>
      <c r="BII41" s="549"/>
      <c r="BIJ41" s="549"/>
      <c r="BIK41" s="549"/>
      <c r="BIL41" s="549"/>
      <c r="BIM41" s="549"/>
      <c r="BIN41" s="549"/>
      <c r="BIO41" s="549"/>
      <c r="BIP41" s="549"/>
      <c r="BIQ41" s="549"/>
      <c r="BIR41" s="549"/>
      <c r="BIS41" s="549"/>
      <c r="BIT41" s="549"/>
      <c r="BIU41" s="549"/>
      <c r="BIV41" s="549"/>
      <c r="BIW41" s="549"/>
      <c r="BIX41" s="549"/>
      <c r="BIY41" s="549"/>
      <c r="BIZ41" s="549"/>
      <c r="BJA41" s="549"/>
      <c r="BJB41" s="549"/>
      <c r="BJC41" s="549"/>
      <c r="BJD41" s="549"/>
      <c r="BJE41" s="549"/>
      <c r="BJF41" s="549"/>
      <c r="BJG41" s="549"/>
      <c r="BJH41" s="549"/>
      <c r="BJI41" s="549"/>
      <c r="BJJ41" s="549"/>
      <c r="BJK41" s="549"/>
      <c r="BJL41" s="549"/>
      <c r="BJM41" s="549"/>
      <c r="BJN41" s="549"/>
      <c r="BJO41" s="549"/>
      <c r="BJP41" s="549"/>
      <c r="BJQ41" s="549"/>
      <c r="BJR41" s="549"/>
      <c r="BJS41" s="549"/>
      <c r="BJT41" s="549"/>
      <c r="BJU41" s="549"/>
      <c r="BJV41" s="549"/>
      <c r="BJW41" s="549"/>
      <c r="BJX41" s="549"/>
      <c r="BJY41" s="549"/>
      <c r="BJZ41" s="549"/>
      <c r="BKA41" s="549"/>
      <c r="BKB41" s="549"/>
      <c r="BKC41" s="549"/>
      <c r="BKD41" s="549"/>
      <c r="BKE41" s="549"/>
      <c r="BKF41" s="549"/>
      <c r="BKG41" s="549"/>
      <c r="BKH41" s="549"/>
      <c r="BKI41" s="549"/>
      <c r="BKJ41" s="549"/>
      <c r="BKK41" s="549"/>
      <c r="BKL41" s="549"/>
      <c r="BKM41" s="549"/>
      <c r="BKN41" s="549"/>
      <c r="BKO41" s="549"/>
      <c r="BKP41" s="549"/>
      <c r="BKQ41" s="549"/>
      <c r="BKR41" s="549"/>
      <c r="BKS41" s="549"/>
      <c r="BKT41" s="549"/>
      <c r="BKU41" s="549"/>
      <c r="BKV41" s="549"/>
      <c r="BKW41" s="549"/>
      <c r="BKX41" s="549"/>
      <c r="BKY41" s="549"/>
      <c r="BKZ41" s="549"/>
      <c r="BLA41" s="549"/>
      <c r="BLB41" s="549"/>
      <c r="BLC41" s="549"/>
      <c r="BLD41" s="549"/>
      <c r="BLE41" s="549"/>
      <c r="BLF41" s="549"/>
      <c r="BLG41" s="549"/>
      <c r="BLH41" s="549"/>
      <c r="BLI41" s="549"/>
      <c r="BLJ41" s="549"/>
      <c r="BLK41" s="549"/>
      <c r="BLL41" s="549"/>
      <c r="BLM41" s="549"/>
      <c r="BLN41" s="549"/>
      <c r="BLO41" s="549"/>
      <c r="BLP41" s="549"/>
      <c r="BLQ41" s="549"/>
      <c r="BLR41" s="549"/>
      <c r="BLS41" s="549"/>
      <c r="BLT41" s="549"/>
      <c r="BLU41" s="549"/>
      <c r="BLV41" s="549"/>
      <c r="BLW41" s="549"/>
      <c r="BLX41" s="549"/>
      <c r="BLY41" s="549"/>
      <c r="BLZ41" s="549"/>
      <c r="BMA41" s="549"/>
      <c r="BMB41" s="549"/>
      <c r="BMC41" s="549"/>
      <c r="BMD41" s="549"/>
      <c r="BME41" s="549"/>
      <c r="BMF41" s="549"/>
      <c r="BMG41" s="549"/>
      <c r="BMH41" s="549"/>
      <c r="BMI41" s="549"/>
      <c r="BMJ41" s="549"/>
      <c r="BMK41" s="549"/>
      <c r="BML41" s="549"/>
      <c r="BMM41" s="549"/>
      <c r="BMN41" s="549"/>
      <c r="BMO41" s="549"/>
      <c r="BMP41" s="549"/>
      <c r="BMQ41" s="549"/>
      <c r="BMR41" s="549"/>
      <c r="BMS41" s="549"/>
      <c r="BMT41" s="549"/>
      <c r="BMU41" s="549"/>
      <c r="BMV41" s="549"/>
      <c r="BMW41" s="549"/>
      <c r="BMX41" s="549"/>
      <c r="BMY41" s="549"/>
      <c r="BMZ41" s="549"/>
      <c r="BNA41" s="549"/>
      <c r="BNB41" s="549"/>
      <c r="BNC41" s="549"/>
      <c r="BND41" s="549"/>
      <c r="BNE41" s="549"/>
      <c r="BNF41" s="549"/>
      <c r="BNG41" s="549"/>
      <c r="BNH41" s="549"/>
      <c r="BNI41" s="549"/>
      <c r="BNJ41" s="549"/>
      <c r="BNK41" s="549"/>
      <c r="BNL41" s="549"/>
      <c r="BNM41" s="549"/>
      <c r="BNN41" s="549"/>
      <c r="BNO41" s="549"/>
      <c r="BNP41" s="549"/>
      <c r="BNQ41" s="549"/>
      <c r="BNR41" s="549"/>
      <c r="BNS41" s="549"/>
      <c r="BNT41" s="549"/>
      <c r="BNU41" s="549"/>
      <c r="BNV41" s="549"/>
      <c r="BNW41" s="549"/>
      <c r="BNX41" s="549"/>
      <c r="BNY41" s="549"/>
      <c r="BNZ41" s="549"/>
      <c r="BOA41" s="549"/>
      <c r="BOB41" s="549"/>
      <c r="BOC41" s="549"/>
      <c r="BOD41" s="549"/>
      <c r="BOE41" s="549"/>
      <c r="BOF41" s="549"/>
      <c r="BOG41" s="549"/>
      <c r="BOH41" s="549"/>
      <c r="BOI41" s="549"/>
      <c r="BOJ41" s="549"/>
      <c r="BOK41" s="549"/>
      <c r="BOL41" s="549"/>
      <c r="BOM41" s="549"/>
      <c r="BON41" s="549"/>
      <c r="BOO41" s="549"/>
      <c r="BOP41" s="549"/>
      <c r="BOQ41" s="549"/>
      <c r="BOR41" s="549"/>
      <c r="BOS41" s="549"/>
      <c r="BOT41" s="549"/>
      <c r="BOU41" s="549"/>
      <c r="BOV41" s="549"/>
      <c r="BOW41" s="549"/>
      <c r="BOX41" s="549"/>
      <c r="BOY41" s="549"/>
      <c r="BOZ41" s="549"/>
      <c r="BPA41" s="549"/>
      <c r="BPB41" s="549"/>
      <c r="BPC41" s="549"/>
      <c r="BPD41" s="549"/>
      <c r="BPE41" s="549"/>
      <c r="BPF41" s="549"/>
      <c r="BPG41" s="549"/>
      <c r="BPH41" s="549"/>
      <c r="BPI41" s="549"/>
      <c r="BPJ41" s="549"/>
      <c r="BPK41" s="549"/>
      <c r="BPL41" s="549"/>
      <c r="BPM41" s="549"/>
      <c r="BPN41" s="549"/>
      <c r="BPO41" s="549"/>
      <c r="BPP41" s="549"/>
      <c r="BPQ41" s="549"/>
      <c r="BPR41" s="549"/>
      <c r="BPS41" s="549"/>
      <c r="BPT41" s="549"/>
      <c r="BPU41" s="549"/>
      <c r="BPV41" s="549"/>
      <c r="BPW41" s="549"/>
      <c r="BPX41" s="549"/>
      <c r="BPY41" s="549"/>
      <c r="BPZ41" s="549"/>
      <c r="BQA41" s="549"/>
      <c r="BQB41" s="549"/>
      <c r="BQC41" s="549"/>
      <c r="BQD41" s="549"/>
      <c r="BQE41" s="549"/>
      <c r="BQF41" s="549"/>
      <c r="BQG41" s="549"/>
      <c r="BQH41" s="549"/>
      <c r="BQI41" s="549"/>
      <c r="BQJ41" s="549"/>
      <c r="BQK41" s="549"/>
      <c r="BQL41" s="549"/>
      <c r="BQM41" s="549"/>
      <c r="BQN41" s="549"/>
      <c r="BQO41" s="549"/>
      <c r="BQP41" s="549"/>
      <c r="BQQ41" s="549"/>
      <c r="BQR41" s="549"/>
      <c r="BQS41" s="549"/>
      <c r="BQT41" s="549"/>
      <c r="BQU41" s="549"/>
      <c r="BQV41" s="549"/>
      <c r="BQW41" s="549"/>
      <c r="BQX41" s="549"/>
      <c r="BQY41" s="549"/>
      <c r="BQZ41" s="549"/>
      <c r="BRA41" s="549"/>
      <c r="BRB41" s="549"/>
      <c r="BRC41" s="549"/>
      <c r="BRD41" s="549"/>
      <c r="BRE41" s="549"/>
      <c r="BRF41" s="549"/>
      <c r="BRG41" s="549"/>
      <c r="BRH41" s="549"/>
      <c r="BRI41" s="549"/>
      <c r="BRJ41" s="549"/>
      <c r="BRK41" s="549"/>
      <c r="BRL41" s="549"/>
      <c r="BRM41" s="549"/>
      <c r="BRN41" s="549"/>
      <c r="BRO41" s="549"/>
      <c r="BRP41" s="549"/>
      <c r="BRQ41" s="549"/>
      <c r="BRR41" s="549"/>
      <c r="BRS41" s="549"/>
      <c r="BRT41" s="549"/>
      <c r="BRU41" s="549"/>
      <c r="BRV41" s="549"/>
      <c r="BRW41" s="549"/>
      <c r="BRX41" s="549"/>
      <c r="BRY41" s="549"/>
      <c r="BRZ41" s="549"/>
      <c r="BSA41" s="549"/>
      <c r="BSB41" s="549"/>
      <c r="BSC41" s="549"/>
      <c r="BSD41" s="549"/>
      <c r="BSE41" s="549"/>
      <c r="BSF41" s="549"/>
      <c r="BSG41" s="549"/>
      <c r="BSH41" s="549"/>
      <c r="BSI41" s="549"/>
      <c r="BSJ41" s="549"/>
      <c r="BSK41" s="549"/>
      <c r="BSL41" s="549"/>
      <c r="BSM41" s="549"/>
      <c r="BSN41" s="549"/>
      <c r="BSO41" s="549"/>
      <c r="BSP41" s="549"/>
      <c r="BSQ41" s="549"/>
      <c r="BSR41" s="549"/>
      <c r="BSS41" s="549"/>
      <c r="BST41" s="549"/>
      <c r="BSU41" s="549"/>
      <c r="BSV41" s="549"/>
      <c r="BSW41" s="549"/>
      <c r="BSX41" s="549"/>
      <c r="BSY41" s="549"/>
      <c r="BSZ41" s="549"/>
      <c r="BTA41" s="549"/>
      <c r="BTB41" s="549"/>
      <c r="BTC41" s="549"/>
      <c r="BTD41" s="549"/>
      <c r="BTE41" s="549"/>
      <c r="BTF41" s="549"/>
      <c r="BTG41" s="549"/>
      <c r="BTH41" s="549"/>
      <c r="BTI41" s="549"/>
      <c r="BTJ41" s="549"/>
      <c r="BTK41" s="549"/>
      <c r="BTL41" s="549"/>
      <c r="BTM41" s="549"/>
      <c r="BTN41" s="549"/>
      <c r="BTO41" s="549"/>
      <c r="BTP41" s="549"/>
      <c r="BTQ41" s="549"/>
      <c r="BTR41" s="549"/>
      <c r="BTS41" s="549"/>
      <c r="BTT41" s="549"/>
      <c r="BTU41" s="549"/>
      <c r="BTV41" s="549"/>
      <c r="BTW41" s="549"/>
      <c r="BTX41" s="549"/>
      <c r="BTY41" s="549"/>
      <c r="BTZ41" s="549"/>
      <c r="BUA41" s="549"/>
      <c r="BUB41" s="549"/>
      <c r="BUC41" s="549"/>
      <c r="BUD41" s="549"/>
      <c r="BUE41" s="549"/>
      <c r="BUF41" s="549"/>
      <c r="BUG41" s="549"/>
      <c r="BUH41" s="549"/>
      <c r="BUI41" s="549"/>
      <c r="BUJ41" s="549"/>
      <c r="BUK41" s="549"/>
      <c r="BUL41" s="549"/>
      <c r="BUM41" s="549"/>
      <c r="BUN41" s="549"/>
      <c r="BUO41" s="549"/>
      <c r="BUP41" s="549"/>
      <c r="BUQ41" s="549"/>
      <c r="BUR41" s="549"/>
      <c r="BUS41" s="549"/>
      <c r="BUT41" s="549"/>
      <c r="BUU41" s="549"/>
      <c r="BUV41" s="549"/>
      <c r="BUW41" s="549"/>
      <c r="BUX41" s="549"/>
      <c r="BUY41" s="549"/>
      <c r="BUZ41" s="549"/>
      <c r="BVA41" s="549"/>
      <c r="BVB41" s="549"/>
      <c r="BVC41" s="549"/>
      <c r="BVD41" s="549"/>
      <c r="BVE41" s="549"/>
      <c r="BVF41" s="549"/>
      <c r="BVG41" s="549"/>
      <c r="BVH41" s="549"/>
      <c r="BVI41" s="549"/>
      <c r="BVJ41" s="549"/>
      <c r="BVK41" s="549"/>
      <c r="BVL41" s="549"/>
      <c r="BVM41" s="549"/>
      <c r="BVN41" s="549"/>
      <c r="BVO41" s="549"/>
      <c r="BVP41" s="549"/>
      <c r="BVQ41" s="549"/>
      <c r="BVR41" s="549"/>
      <c r="BVS41" s="549"/>
      <c r="BVT41" s="549"/>
      <c r="BVU41" s="549"/>
      <c r="BVV41" s="549"/>
      <c r="BVW41" s="549"/>
      <c r="BVX41" s="549"/>
      <c r="BVY41" s="549"/>
      <c r="BVZ41" s="549"/>
      <c r="BWA41" s="549"/>
      <c r="BWB41" s="549"/>
      <c r="BWC41" s="549"/>
      <c r="BWD41" s="549"/>
      <c r="BWE41" s="549"/>
      <c r="BWF41" s="549"/>
      <c r="BWG41" s="549"/>
      <c r="BWH41" s="549"/>
      <c r="BWI41" s="549"/>
      <c r="BWJ41" s="549"/>
      <c r="BWK41" s="549"/>
      <c r="BWL41" s="549"/>
      <c r="BWM41" s="549"/>
      <c r="BWN41" s="549"/>
      <c r="BWO41" s="549"/>
      <c r="BWP41" s="549"/>
      <c r="BWQ41" s="549"/>
      <c r="BWR41" s="549"/>
      <c r="BWS41" s="549"/>
      <c r="BWT41" s="549"/>
      <c r="BWU41" s="549"/>
      <c r="BWV41" s="549"/>
      <c r="BWW41" s="549"/>
      <c r="BWX41" s="549"/>
      <c r="BWY41" s="549"/>
      <c r="BWZ41" s="549"/>
      <c r="BXA41" s="549"/>
      <c r="BXB41" s="549"/>
      <c r="BXC41" s="549"/>
      <c r="BXD41" s="549"/>
      <c r="BXE41" s="549"/>
      <c r="BXF41" s="549"/>
      <c r="BXG41" s="549"/>
      <c r="BXH41" s="549"/>
      <c r="BXI41" s="549"/>
      <c r="BXJ41" s="549"/>
      <c r="BXK41" s="549"/>
      <c r="BXL41" s="549"/>
      <c r="BXM41" s="549"/>
      <c r="BXN41" s="549"/>
      <c r="BXO41" s="549"/>
      <c r="BXP41" s="549"/>
      <c r="BXQ41" s="549"/>
      <c r="BXR41" s="549"/>
      <c r="BXS41" s="549"/>
      <c r="BXT41" s="549"/>
      <c r="BXU41" s="549"/>
      <c r="BXV41" s="549"/>
      <c r="BXW41" s="549"/>
      <c r="BXX41" s="549"/>
      <c r="BXY41" s="549"/>
      <c r="BXZ41" s="549"/>
      <c r="BYA41" s="549"/>
      <c r="BYB41" s="549"/>
      <c r="BYC41" s="549"/>
      <c r="BYD41" s="549"/>
      <c r="BYE41" s="549"/>
      <c r="BYF41" s="549"/>
      <c r="BYG41" s="549"/>
      <c r="BYH41" s="549"/>
      <c r="BYI41" s="549"/>
      <c r="BYJ41" s="549"/>
      <c r="BYK41" s="549"/>
      <c r="BYL41" s="549"/>
      <c r="BYM41" s="549"/>
      <c r="BYN41" s="549"/>
      <c r="BYO41" s="549"/>
      <c r="BYP41" s="549"/>
      <c r="BYQ41" s="549"/>
      <c r="BYR41" s="549"/>
      <c r="BYS41" s="549"/>
      <c r="BYT41" s="549"/>
      <c r="BYU41" s="549"/>
      <c r="BYV41" s="549"/>
      <c r="BYW41" s="549"/>
      <c r="BYX41" s="549"/>
      <c r="BYY41" s="549"/>
      <c r="BYZ41" s="549"/>
      <c r="BZA41" s="549"/>
      <c r="BZB41" s="549"/>
      <c r="BZC41" s="549"/>
      <c r="BZD41" s="549"/>
      <c r="BZE41" s="549"/>
      <c r="BZF41" s="549"/>
      <c r="BZG41" s="549"/>
      <c r="BZH41" s="549"/>
      <c r="BZI41" s="549"/>
      <c r="BZJ41" s="549"/>
      <c r="BZK41" s="549"/>
      <c r="BZL41" s="549"/>
      <c r="BZM41" s="549"/>
      <c r="BZN41" s="549"/>
      <c r="BZO41" s="549"/>
      <c r="BZP41" s="549"/>
      <c r="BZQ41" s="549"/>
      <c r="BZR41" s="549"/>
      <c r="BZS41" s="549"/>
      <c r="BZT41" s="549"/>
      <c r="BZU41" s="549"/>
      <c r="BZV41" s="549"/>
      <c r="BZW41" s="549"/>
      <c r="BZX41" s="549"/>
      <c r="BZY41" s="549"/>
      <c r="BZZ41" s="549"/>
      <c r="CAA41" s="549"/>
      <c r="CAB41" s="549"/>
      <c r="CAC41" s="549"/>
      <c r="CAD41" s="549"/>
      <c r="CAE41" s="549"/>
      <c r="CAF41" s="549"/>
      <c r="CAG41" s="549"/>
      <c r="CAH41" s="549"/>
      <c r="CAI41" s="549"/>
      <c r="CAJ41" s="549"/>
      <c r="CAK41" s="549"/>
      <c r="CAL41" s="549"/>
      <c r="CAM41" s="549"/>
      <c r="CAN41" s="549"/>
      <c r="CAO41" s="549"/>
      <c r="CAP41" s="549"/>
      <c r="CAQ41" s="549"/>
      <c r="CAR41" s="549"/>
      <c r="CAS41" s="549"/>
      <c r="CAT41" s="549"/>
      <c r="CAU41" s="549"/>
      <c r="CAV41" s="549"/>
      <c r="CAW41" s="549"/>
      <c r="CAX41" s="549"/>
      <c r="CAY41" s="549"/>
      <c r="CAZ41" s="549"/>
      <c r="CBA41" s="549"/>
      <c r="CBB41" s="549"/>
      <c r="CBC41" s="549"/>
      <c r="CBD41" s="549"/>
      <c r="CBE41" s="549"/>
      <c r="CBF41" s="549"/>
      <c r="CBG41" s="549"/>
      <c r="CBH41" s="549"/>
      <c r="CBI41" s="549"/>
      <c r="CBJ41" s="549"/>
      <c r="CBK41" s="549"/>
      <c r="CBL41" s="549"/>
      <c r="CBM41" s="549"/>
      <c r="CBN41" s="549"/>
      <c r="CBO41" s="549"/>
      <c r="CBP41" s="549"/>
      <c r="CBQ41" s="549"/>
      <c r="CBR41" s="549"/>
      <c r="CBS41" s="549"/>
      <c r="CBT41" s="549"/>
      <c r="CBU41" s="549"/>
      <c r="CBV41" s="549"/>
      <c r="CBW41" s="549"/>
      <c r="CBX41" s="549"/>
      <c r="CBY41" s="549"/>
      <c r="CBZ41" s="549"/>
      <c r="CCA41" s="549"/>
      <c r="CCB41" s="549"/>
      <c r="CCC41" s="549"/>
      <c r="CCD41" s="549"/>
      <c r="CCE41" s="549"/>
      <c r="CCF41" s="549"/>
      <c r="CCG41" s="549"/>
      <c r="CCH41" s="549"/>
      <c r="CCI41" s="549"/>
      <c r="CCJ41" s="549"/>
      <c r="CCK41" s="549"/>
      <c r="CCL41" s="549"/>
      <c r="CCM41" s="549"/>
      <c r="CCN41" s="549"/>
      <c r="CCO41" s="549"/>
      <c r="CCP41" s="549"/>
      <c r="CCQ41" s="549"/>
      <c r="CCR41" s="549"/>
      <c r="CCS41" s="549"/>
      <c r="CCT41" s="549"/>
      <c r="CCU41" s="549"/>
      <c r="CCV41" s="549"/>
      <c r="CCW41" s="549"/>
      <c r="CCX41" s="549"/>
      <c r="CCY41" s="549"/>
      <c r="CCZ41" s="549"/>
      <c r="CDA41" s="549"/>
      <c r="CDB41" s="549"/>
      <c r="CDC41" s="549"/>
      <c r="CDD41" s="549"/>
      <c r="CDE41" s="549"/>
      <c r="CDF41" s="549"/>
      <c r="CDG41" s="549"/>
      <c r="CDH41" s="549"/>
      <c r="CDI41" s="549"/>
      <c r="CDJ41" s="549"/>
      <c r="CDK41" s="549"/>
      <c r="CDL41" s="549"/>
      <c r="CDM41" s="549"/>
      <c r="CDN41" s="549"/>
      <c r="CDO41" s="549"/>
      <c r="CDP41" s="549"/>
      <c r="CDQ41" s="549"/>
      <c r="CDR41" s="549"/>
      <c r="CDS41" s="549"/>
      <c r="CDT41" s="549"/>
      <c r="CDU41" s="549"/>
      <c r="CDV41" s="549"/>
      <c r="CDW41" s="549"/>
      <c r="CDX41" s="549"/>
      <c r="CDY41" s="549"/>
      <c r="CDZ41" s="549"/>
      <c r="CEA41" s="549"/>
      <c r="CEB41" s="549"/>
      <c r="CEC41" s="549"/>
      <c r="CED41" s="549"/>
      <c r="CEE41" s="549"/>
      <c r="CEF41" s="549"/>
      <c r="CEG41" s="549"/>
      <c r="CEH41" s="549"/>
      <c r="CEI41" s="549"/>
      <c r="CEJ41" s="549"/>
      <c r="CEK41" s="549"/>
      <c r="CEL41" s="549"/>
      <c r="CEM41" s="549"/>
      <c r="CEN41" s="549"/>
      <c r="CEO41" s="549"/>
      <c r="CEP41" s="549"/>
      <c r="CEQ41" s="549"/>
      <c r="CER41" s="549"/>
      <c r="CES41" s="549"/>
      <c r="CET41" s="549"/>
      <c r="CEU41" s="549"/>
      <c r="CEV41" s="549"/>
      <c r="CEW41" s="549"/>
      <c r="CEX41" s="549"/>
      <c r="CEY41" s="549"/>
      <c r="CEZ41" s="549"/>
      <c r="CFA41" s="549"/>
      <c r="CFB41" s="549"/>
      <c r="CFC41" s="549"/>
      <c r="CFD41" s="549"/>
      <c r="CFE41" s="549"/>
      <c r="CFF41" s="549"/>
      <c r="CFG41" s="549"/>
      <c r="CFH41" s="549"/>
      <c r="CFI41" s="549"/>
      <c r="CFJ41" s="549"/>
      <c r="CFK41" s="549"/>
      <c r="CFL41" s="549"/>
      <c r="CFM41" s="549"/>
      <c r="CFN41" s="549"/>
      <c r="CFO41" s="549"/>
      <c r="CFP41" s="549"/>
      <c r="CFQ41" s="549"/>
      <c r="CFR41" s="549"/>
      <c r="CFS41" s="549"/>
      <c r="CFT41" s="549"/>
      <c r="CFU41" s="549"/>
      <c r="CFV41" s="549"/>
      <c r="CFW41" s="549"/>
      <c r="CFX41" s="549"/>
      <c r="CFY41" s="549"/>
      <c r="CFZ41" s="549"/>
      <c r="CGA41" s="549"/>
      <c r="CGB41" s="549"/>
      <c r="CGC41" s="549"/>
      <c r="CGD41" s="549"/>
      <c r="CGE41" s="549"/>
      <c r="CGF41" s="549"/>
      <c r="CGG41" s="549"/>
      <c r="CGH41" s="549"/>
      <c r="CGI41" s="549"/>
      <c r="CGJ41" s="549"/>
      <c r="CGK41" s="549"/>
      <c r="CGL41" s="549"/>
      <c r="CGM41" s="549"/>
      <c r="CGN41" s="549"/>
      <c r="CGO41" s="549"/>
      <c r="CGP41" s="549"/>
      <c r="CGQ41" s="549"/>
      <c r="CGR41" s="549"/>
      <c r="CGS41" s="549"/>
      <c r="CGT41" s="549"/>
      <c r="CGU41" s="549"/>
      <c r="CGV41" s="549"/>
      <c r="CGW41" s="549"/>
      <c r="CGX41" s="549"/>
      <c r="CGY41" s="549"/>
      <c r="CGZ41" s="549"/>
      <c r="CHA41" s="549"/>
      <c r="CHB41" s="549"/>
      <c r="CHC41" s="549"/>
      <c r="CHD41" s="549"/>
      <c r="CHE41" s="549"/>
      <c r="CHF41" s="549"/>
      <c r="CHG41" s="549"/>
      <c r="CHH41" s="549"/>
      <c r="CHI41" s="549"/>
      <c r="CHJ41" s="549"/>
      <c r="CHK41" s="549"/>
      <c r="CHL41" s="549"/>
      <c r="CHM41" s="549"/>
      <c r="CHN41" s="549"/>
      <c r="CHO41" s="549"/>
      <c r="CHP41" s="549"/>
      <c r="CHQ41" s="549"/>
      <c r="CHR41" s="549"/>
      <c r="CHS41" s="549"/>
      <c r="CHT41" s="549"/>
      <c r="CHU41" s="549"/>
      <c r="CHV41" s="549"/>
      <c r="CHW41" s="549"/>
      <c r="CHX41" s="549"/>
      <c r="CHY41" s="549"/>
      <c r="CHZ41" s="549"/>
      <c r="CIA41" s="549"/>
      <c r="CIB41" s="549"/>
      <c r="CIC41" s="549"/>
      <c r="CID41" s="549"/>
      <c r="CIE41" s="549"/>
      <c r="CIF41" s="549"/>
      <c r="CIG41" s="549"/>
      <c r="CIH41" s="549"/>
      <c r="CII41" s="549"/>
      <c r="CIJ41" s="549"/>
      <c r="CIK41" s="549"/>
      <c r="CIL41" s="549"/>
      <c r="CIM41" s="549"/>
      <c r="CIN41" s="549"/>
      <c r="CIO41" s="549"/>
      <c r="CIP41" s="549"/>
      <c r="CIQ41" s="549"/>
      <c r="CIR41" s="549"/>
      <c r="CIS41" s="549"/>
      <c r="CIT41" s="549"/>
      <c r="CIU41" s="549"/>
      <c r="CIV41" s="549"/>
      <c r="CIW41" s="549"/>
      <c r="CIX41" s="549"/>
      <c r="CIY41" s="549"/>
      <c r="CIZ41" s="549"/>
      <c r="CJA41" s="549"/>
      <c r="CJB41" s="549"/>
      <c r="CJC41" s="549"/>
      <c r="CJD41" s="549"/>
      <c r="CJE41" s="549"/>
      <c r="CJF41" s="549"/>
      <c r="CJG41" s="549"/>
      <c r="CJH41" s="549"/>
      <c r="CJI41" s="549"/>
      <c r="CJJ41" s="549"/>
      <c r="CJK41" s="549"/>
      <c r="CJL41" s="549"/>
      <c r="CJM41" s="549"/>
      <c r="CJN41" s="549"/>
      <c r="CJO41" s="549"/>
      <c r="CJP41" s="549"/>
      <c r="CJQ41" s="549"/>
      <c r="CJR41" s="549"/>
      <c r="CJS41" s="549"/>
      <c r="CJT41" s="549"/>
      <c r="CJU41" s="549"/>
      <c r="CJV41" s="549"/>
      <c r="CJW41" s="549"/>
      <c r="CJX41" s="549"/>
      <c r="CJY41" s="549"/>
      <c r="CJZ41" s="549"/>
      <c r="CKA41" s="549"/>
      <c r="CKB41" s="549"/>
      <c r="CKC41" s="549"/>
      <c r="CKD41" s="549"/>
      <c r="CKE41" s="549"/>
      <c r="CKF41" s="549"/>
      <c r="CKG41" s="549"/>
      <c r="CKH41" s="549"/>
      <c r="CKI41" s="549"/>
      <c r="CKJ41" s="549"/>
      <c r="CKK41" s="549"/>
      <c r="CKL41" s="549"/>
      <c r="CKM41" s="549"/>
      <c r="CKN41" s="549"/>
      <c r="CKO41" s="549"/>
      <c r="CKP41" s="549"/>
      <c r="CKQ41" s="549"/>
      <c r="CKR41" s="549"/>
      <c r="CKS41" s="549"/>
      <c r="CKT41" s="549"/>
      <c r="CKU41" s="549"/>
      <c r="CKV41" s="549"/>
      <c r="CKW41" s="549"/>
      <c r="CKX41" s="549"/>
      <c r="CKY41" s="549"/>
      <c r="CKZ41" s="549"/>
      <c r="CLA41" s="549"/>
      <c r="CLB41" s="549"/>
      <c r="CLC41" s="549"/>
      <c r="CLD41" s="549"/>
      <c r="CLE41" s="549"/>
      <c r="CLF41" s="549"/>
      <c r="CLG41" s="549"/>
      <c r="CLH41" s="549"/>
      <c r="CLI41" s="549"/>
      <c r="CLJ41" s="549"/>
      <c r="CLK41" s="549"/>
      <c r="CLL41" s="549"/>
      <c r="CLM41" s="549"/>
      <c r="CLN41" s="549"/>
      <c r="CLO41" s="549"/>
      <c r="CLP41" s="549"/>
      <c r="CLQ41" s="549"/>
      <c r="CLR41" s="549"/>
      <c r="CLS41" s="549"/>
      <c r="CLT41" s="549"/>
      <c r="CLU41" s="549"/>
      <c r="CLV41" s="549"/>
      <c r="CLW41" s="549"/>
      <c r="CLX41" s="549"/>
      <c r="CLY41" s="549"/>
      <c r="CLZ41" s="549"/>
      <c r="CMA41" s="549"/>
      <c r="CMB41" s="549"/>
      <c r="CMC41" s="549"/>
      <c r="CMD41" s="549"/>
      <c r="CME41" s="549"/>
      <c r="CMF41" s="549"/>
      <c r="CMG41" s="549"/>
      <c r="CMH41" s="549"/>
      <c r="CMI41" s="549"/>
      <c r="CMJ41" s="549"/>
      <c r="CMK41" s="549"/>
      <c r="CML41" s="549"/>
      <c r="CMM41" s="549"/>
      <c r="CMN41" s="549"/>
      <c r="CMO41" s="549"/>
      <c r="CMP41" s="549"/>
      <c r="CMQ41" s="549"/>
      <c r="CMR41" s="549"/>
      <c r="CMS41" s="549"/>
      <c r="CMT41" s="549"/>
      <c r="CMU41" s="549"/>
      <c r="CMV41" s="549"/>
      <c r="CMW41" s="549"/>
      <c r="CMX41" s="549"/>
      <c r="CMY41" s="549"/>
      <c r="CMZ41" s="549"/>
      <c r="CNA41" s="549"/>
      <c r="CNB41" s="549"/>
      <c r="CNC41" s="549"/>
      <c r="CND41" s="549"/>
      <c r="CNE41" s="549"/>
      <c r="CNF41" s="549"/>
      <c r="CNG41" s="549"/>
      <c r="CNH41" s="549"/>
      <c r="CNI41" s="549"/>
      <c r="CNJ41" s="549"/>
      <c r="CNK41" s="549"/>
      <c r="CNL41" s="549"/>
      <c r="CNM41" s="549"/>
      <c r="CNN41" s="549"/>
      <c r="CNO41" s="549"/>
      <c r="CNP41" s="549"/>
      <c r="CNQ41" s="549"/>
      <c r="CNR41" s="549"/>
      <c r="CNS41" s="549"/>
      <c r="CNT41" s="549"/>
      <c r="CNU41" s="549"/>
      <c r="CNV41" s="549"/>
      <c r="CNW41" s="549"/>
      <c r="CNX41" s="549"/>
      <c r="CNY41" s="549"/>
      <c r="CNZ41" s="549"/>
      <c r="COA41" s="549"/>
      <c r="COB41" s="549"/>
      <c r="COC41" s="549"/>
      <c r="COD41" s="549"/>
      <c r="COE41" s="549"/>
      <c r="COF41" s="549"/>
      <c r="COG41" s="549"/>
      <c r="COH41" s="549"/>
      <c r="COI41" s="549"/>
      <c r="COJ41" s="549"/>
      <c r="COK41" s="549"/>
      <c r="COL41" s="549"/>
      <c r="COM41" s="549"/>
      <c r="CON41" s="549"/>
      <c r="COO41" s="549"/>
      <c r="COP41" s="549"/>
      <c r="COQ41" s="549"/>
      <c r="COR41" s="549"/>
      <c r="COS41" s="549"/>
      <c r="COT41" s="549"/>
      <c r="COU41" s="549"/>
      <c r="COV41" s="549"/>
      <c r="COW41" s="549"/>
      <c r="COX41" s="549"/>
      <c r="COY41" s="549"/>
      <c r="COZ41" s="549"/>
      <c r="CPA41" s="549"/>
      <c r="CPB41" s="549"/>
      <c r="CPC41" s="549"/>
      <c r="CPD41" s="549"/>
      <c r="CPE41" s="549"/>
      <c r="CPF41" s="549"/>
      <c r="CPG41" s="549"/>
      <c r="CPH41" s="549"/>
      <c r="CPI41" s="549"/>
      <c r="CPJ41" s="549"/>
      <c r="CPK41" s="549"/>
      <c r="CPL41" s="549"/>
      <c r="CPM41" s="549"/>
      <c r="CPN41" s="549"/>
      <c r="CPO41" s="549"/>
      <c r="CPP41" s="549"/>
      <c r="CPQ41" s="549"/>
      <c r="CPR41" s="549"/>
      <c r="CPS41" s="549"/>
      <c r="CPT41" s="549"/>
      <c r="CPU41" s="549"/>
      <c r="CPV41" s="549"/>
      <c r="CPW41" s="549"/>
      <c r="CPX41" s="549"/>
      <c r="CPY41" s="549"/>
      <c r="CPZ41" s="549"/>
      <c r="CQA41" s="549"/>
      <c r="CQB41" s="549"/>
      <c r="CQC41" s="549"/>
      <c r="CQD41" s="549"/>
      <c r="CQE41" s="549"/>
      <c r="CQF41" s="549"/>
      <c r="CQG41" s="549"/>
      <c r="CQH41" s="549"/>
      <c r="CQI41" s="549"/>
      <c r="CQJ41" s="549"/>
      <c r="CQK41" s="549"/>
      <c r="CQL41" s="549"/>
      <c r="CQM41" s="549"/>
      <c r="CQN41" s="549"/>
      <c r="CQO41" s="549"/>
      <c r="CQP41" s="549"/>
      <c r="CQQ41" s="549"/>
      <c r="CQR41" s="549"/>
      <c r="CQS41" s="549"/>
      <c r="CQT41" s="549"/>
      <c r="CQU41" s="549"/>
      <c r="CQV41" s="549"/>
      <c r="CQW41" s="549"/>
      <c r="CQX41" s="549"/>
      <c r="CQY41" s="549"/>
      <c r="CQZ41" s="549"/>
      <c r="CRA41" s="549"/>
      <c r="CRB41" s="549"/>
      <c r="CRC41" s="549"/>
      <c r="CRD41" s="549"/>
      <c r="CRE41" s="549"/>
      <c r="CRF41" s="549"/>
      <c r="CRG41" s="549"/>
      <c r="CRH41" s="549"/>
      <c r="CRI41" s="549"/>
      <c r="CRJ41" s="549"/>
      <c r="CRK41" s="549"/>
      <c r="CRL41" s="549"/>
      <c r="CRM41" s="549"/>
      <c r="CRN41" s="549"/>
      <c r="CRO41" s="549"/>
      <c r="CRP41" s="549"/>
      <c r="CRQ41" s="549"/>
      <c r="CRR41" s="549"/>
      <c r="CRS41" s="549"/>
      <c r="CRT41" s="549"/>
      <c r="CRU41" s="549"/>
      <c r="CRV41" s="549"/>
      <c r="CRW41" s="549"/>
      <c r="CRX41" s="549"/>
      <c r="CRY41" s="549"/>
      <c r="CRZ41" s="549"/>
      <c r="CSA41" s="549"/>
      <c r="CSB41" s="549"/>
      <c r="CSC41" s="549"/>
      <c r="CSD41" s="549"/>
      <c r="CSE41" s="549"/>
      <c r="CSF41" s="549"/>
      <c r="CSG41" s="549"/>
      <c r="CSH41" s="549"/>
      <c r="CSI41" s="549"/>
      <c r="CSJ41" s="549"/>
      <c r="CSK41" s="549"/>
      <c r="CSL41" s="549"/>
      <c r="CSM41" s="549"/>
      <c r="CSN41" s="549"/>
      <c r="CSO41" s="549"/>
      <c r="CSP41" s="549"/>
      <c r="CSQ41" s="549"/>
      <c r="CSR41" s="549"/>
      <c r="CSS41" s="549"/>
      <c r="CST41" s="549"/>
      <c r="CSU41" s="549"/>
      <c r="CSV41" s="549"/>
      <c r="CSW41" s="549"/>
      <c r="CSX41" s="549"/>
      <c r="CSY41" s="549"/>
      <c r="CSZ41" s="549"/>
      <c r="CTA41" s="549"/>
      <c r="CTB41" s="549"/>
      <c r="CTC41" s="549"/>
      <c r="CTD41" s="549"/>
      <c r="CTE41" s="549"/>
      <c r="CTF41" s="549"/>
      <c r="CTG41" s="549"/>
      <c r="CTH41" s="549"/>
      <c r="CTI41" s="549"/>
      <c r="CTJ41" s="549"/>
      <c r="CTK41" s="549"/>
      <c r="CTL41" s="549"/>
      <c r="CTM41" s="549"/>
      <c r="CTN41" s="549"/>
      <c r="CTO41" s="549"/>
      <c r="CTP41" s="549"/>
      <c r="CTQ41" s="549"/>
      <c r="CTR41" s="549"/>
      <c r="CTS41" s="549"/>
      <c r="CTT41" s="549"/>
      <c r="CTU41" s="549"/>
      <c r="CTV41" s="549"/>
      <c r="CTW41" s="549"/>
      <c r="CTX41" s="549"/>
      <c r="CTY41" s="549"/>
      <c r="CTZ41" s="549"/>
      <c r="CUA41" s="549"/>
      <c r="CUB41" s="549"/>
      <c r="CUC41" s="549"/>
      <c r="CUD41" s="549"/>
      <c r="CUE41" s="549"/>
      <c r="CUF41" s="549"/>
      <c r="CUG41" s="549"/>
      <c r="CUH41" s="549"/>
      <c r="CUI41" s="549"/>
      <c r="CUJ41" s="549"/>
      <c r="CUK41" s="549"/>
      <c r="CUL41" s="549"/>
      <c r="CUM41" s="549"/>
      <c r="CUN41" s="549"/>
      <c r="CUO41" s="549"/>
      <c r="CUP41" s="549"/>
      <c r="CUQ41" s="549"/>
      <c r="CUR41" s="549"/>
      <c r="CUS41" s="549"/>
      <c r="CUT41" s="549"/>
      <c r="CUU41" s="549"/>
      <c r="CUV41" s="549"/>
      <c r="CUW41" s="549"/>
      <c r="CUX41" s="549"/>
      <c r="CUY41" s="549"/>
      <c r="CUZ41" s="549"/>
      <c r="CVA41" s="549"/>
      <c r="CVB41" s="549"/>
      <c r="CVC41" s="549"/>
      <c r="CVD41" s="549"/>
      <c r="CVE41" s="549"/>
      <c r="CVF41" s="549"/>
      <c r="CVG41" s="549"/>
      <c r="CVH41" s="549"/>
      <c r="CVI41" s="549"/>
      <c r="CVJ41" s="549"/>
      <c r="CVK41" s="549"/>
      <c r="CVL41" s="549"/>
      <c r="CVM41" s="549"/>
      <c r="CVN41" s="549"/>
      <c r="CVO41" s="549"/>
      <c r="CVP41" s="549"/>
      <c r="CVQ41" s="549"/>
      <c r="CVR41" s="549"/>
      <c r="CVS41" s="549"/>
      <c r="CVT41" s="549"/>
      <c r="CVU41" s="549"/>
      <c r="CVV41" s="549"/>
      <c r="CVW41" s="549"/>
      <c r="CVX41" s="549"/>
      <c r="CVY41" s="549"/>
      <c r="CVZ41" s="549"/>
      <c r="CWA41" s="549"/>
      <c r="CWB41" s="549"/>
      <c r="CWC41" s="549"/>
      <c r="CWD41" s="549"/>
      <c r="CWE41" s="549"/>
      <c r="CWF41" s="549"/>
      <c r="CWG41" s="549"/>
      <c r="CWH41" s="549"/>
      <c r="CWI41" s="549"/>
      <c r="CWJ41" s="549"/>
      <c r="CWK41" s="549"/>
      <c r="CWL41" s="549"/>
      <c r="CWM41" s="549"/>
      <c r="CWN41" s="549"/>
      <c r="CWO41" s="549"/>
      <c r="CWP41" s="549"/>
      <c r="CWQ41" s="549"/>
      <c r="CWR41" s="549"/>
      <c r="CWS41" s="549"/>
      <c r="CWT41" s="549"/>
      <c r="CWU41" s="549"/>
      <c r="CWV41" s="549"/>
      <c r="CWW41" s="549"/>
      <c r="CWX41" s="549"/>
      <c r="CWY41" s="549"/>
      <c r="CWZ41" s="549"/>
      <c r="CXA41" s="549"/>
      <c r="CXB41" s="549"/>
      <c r="CXC41" s="549"/>
      <c r="CXD41" s="549"/>
      <c r="CXE41" s="549"/>
      <c r="CXF41" s="549"/>
      <c r="CXG41" s="549"/>
      <c r="CXH41" s="549"/>
      <c r="CXI41" s="549"/>
      <c r="CXJ41" s="549"/>
      <c r="CXK41" s="549"/>
      <c r="CXL41" s="549"/>
      <c r="CXM41" s="549"/>
      <c r="CXN41" s="549"/>
      <c r="CXO41" s="549"/>
      <c r="CXP41" s="549"/>
      <c r="CXQ41" s="549"/>
      <c r="CXR41" s="549"/>
      <c r="CXS41" s="549"/>
      <c r="CXT41" s="549"/>
      <c r="CXU41" s="549"/>
      <c r="CXV41" s="549"/>
      <c r="CXW41" s="549"/>
      <c r="CXX41" s="549"/>
      <c r="CXY41" s="549"/>
      <c r="CXZ41" s="549"/>
      <c r="CYA41" s="549"/>
      <c r="CYB41" s="549"/>
      <c r="CYC41" s="549"/>
      <c r="CYD41" s="549"/>
      <c r="CYE41" s="549"/>
      <c r="CYF41" s="549"/>
      <c r="CYG41" s="549"/>
      <c r="CYH41" s="549"/>
      <c r="CYI41" s="549"/>
      <c r="CYJ41" s="549"/>
      <c r="CYK41" s="549"/>
      <c r="CYL41" s="549"/>
      <c r="CYM41" s="549"/>
      <c r="CYN41" s="549"/>
      <c r="CYO41" s="549"/>
      <c r="CYP41" s="549"/>
      <c r="CYQ41" s="549"/>
      <c r="CYR41" s="549"/>
      <c r="CYS41" s="549"/>
      <c r="CYT41" s="549"/>
      <c r="CYU41" s="549"/>
      <c r="CYV41" s="549"/>
      <c r="CYW41" s="549"/>
      <c r="CYX41" s="549"/>
      <c r="CYY41" s="549"/>
      <c r="CYZ41" s="549"/>
      <c r="CZA41" s="549"/>
      <c r="CZB41" s="549"/>
      <c r="CZC41" s="549"/>
      <c r="CZD41" s="549"/>
      <c r="CZE41" s="549"/>
      <c r="CZF41" s="549"/>
      <c r="CZG41" s="549"/>
      <c r="CZH41" s="549"/>
      <c r="CZI41" s="549"/>
      <c r="CZJ41" s="549"/>
      <c r="CZK41" s="549"/>
      <c r="CZL41" s="549"/>
      <c r="CZM41" s="549"/>
      <c r="CZN41" s="549"/>
      <c r="CZO41" s="549"/>
      <c r="CZP41" s="549"/>
      <c r="CZQ41" s="549"/>
      <c r="CZR41" s="549"/>
      <c r="CZS41" s="549"/>
      <c r="CZT41" s="549"/>
      <c r="CZU41" s="549"/>
      <c r="CZV41" s="549"/>
      <c r="CZW41" s="549"/>
      <c r="CZX41" s="549"/>
      <c r="CZY41" s="549"/>
      <c r="CZZ41" s="549"/>
      <c r="DAA41" s="549"/>
      <c r="DAB41" s="549"/>
      <c r="DAC41" s="549"/>
      <c r="DAD41" s="549"/>
      <c r="DAE41" s="549"/>
      <c r="DAF41" s="549"/>
      <c r="DAG41" s="549"/>
      <c r="DAH41" s="549"/>
      <c r="DAI41" s="549"/>
      <c r="DAJ41" s="549"/>
      <c r="DAK41" s="549"/>
      <c r="DAL41" s="549"/>
      <c r="DAM41" s="549"/>
      <c r="DAN41" s="549"/>
      <c r="DAO41" s="549"/>
      <c r="DAP41" s="549"/>
      <c r="DAQ41" s="549"/>
      <c r="DAR41" s="549"/>
      <c r="DAS41" s="549"/>
      <c r="DAT41" s="549"/>
      <c r="DAU41" s="549"/>
      <c r="DAV41" s="549"/>
      <c r="DAW41" s="549"/>
      <c r="DAX41" s="549"/>
      <c r="DAY41" s="549"/>
      <c r="DAZ41" s="549"/>
      <c r="DBA41" s="549"/>
      <c r="DBB41" s="549"/>
      <c r="DBC41" s="549"/>
      <c r="DBD41" s="549"/>
      <c r="DBE41" s="549"/>
      <c r="DBF41" s="549"/>
      <c r="DBG41" s="549"/>
      <c r="DBH41" s="549"/>
      <c r="DBI41" s="549"/>
      <c r="DBJ41" s="549"/>
      <c r="DBK41" s="549"/>
      <c r="DBL41" s="549"/>
      <c r="DBM41" s="549"/>
      <c r="DBN41" s="549"/>
      <c r="DBO41" s="549"/>
      <c r="DBP41" s="549"/>
      <c r="DBQ41" s="549"/>
      <c r="DBR41" s="549"/>
      <c r="DBS41" s="549"/>
      <c r="DBT41" s="549"/>
      <c r="DBU41" s="549"/>
      <c r="DBV41" s="549"/>
      <c r="DBW41" s="549"/>
      <c r="DBX41" s="549"/>
      <c r="DBY41" s="549"/>
      <c r="DBZ41" s="549"/>
      <c r="DCA41" s="549"/>
      <c r="DCB41" s="549"/>
      <c r="DCC41" s="549"/>
      <c r="DCD41" s="549"/>
      <c r="DCE41" s="549"/>
      <c r="DCF41" s="549"/>
      <c r="DCG41" s="549"/>
      <c r="DCH41" s="549"/>
      <c r="DCI41" s="549"/>
      <c r="DCJ41" s="549"/>
      <c r="DCK41" s="549"/>
      <c r="DCL41" s="549"/>
      <c r="DCM41" s="549"/>
      <c r="DCN41" s="549"/>
      <c r="DCO41" s="549"/>
      <c r="DCP41" s="549"/>
      <c r="DCQ41" s="549"/>
      <c r="DCR41" s="549"/>
      <c r="DCS41" s="549"/>
      <c r="DCT41" s="549"/>
      <c r="DCU41" s="549"/>
      <c r="DCV41" s="549"/>
      <c r="DCW41" s="549"/>
      <c r="DCX41" s="549"/>
      <c r="DCY41" s="549"/>
      <c r="DCZ41" s="549"/>
      <c r="DDA41" s="549"/>
      <c r="DDB41" s="549"/>
      <c r="DDC41" s="549"/>
      <c r="DDD41" s="549"/>
      <c r="DDE41" s="549"/>
      <c r="DDF41" s="549"/>
      <c r="DDG41" s="549"/>
      <c r="DDH41" s="549"/>
      <c r="DDI41" s="549"/>
      <c r="DDJ41" s="549"/>
      <c r="DDK41" s="549"/>
      <c r="DDL41" s="549"/>
      <c r="DDM41" s="549"/>
      <c r="DDN41" s="549"/>
      <c r="DDO41" s="549"/>
      <c r="DDP41" s="549"/>
      <c r="DDQ41" s="549"/>
      <c r="DDR41" s="549"/>
      <c r="DDS41" s="549"/>
      <c r="DDT41" s="549"/>
      <c r="DDU41" s="549"/>
      <c r="DDV41" s="549"/>
      <c r="DDW41" s="549"/>
      <c r="DDX41" s="549"/>
      <c r="DDY41" s="549"/>
      <c r="DDZ41" s="549"/>
      <c r="DEA41" s="549"/>
      <c r="DEB41" s="549"/>
      <c r="DEC41" s="549"/>
      <c r="DED41" s="549"/>
      <c r="DEE41" s="549"/>
      <c r="DEF41" s="549"/>
      <c r="DEG41" s="549"/>
      <c r="DEH41" s="549"/>
      <c r="DEI41" s="549"/>
      <c r="DEJ41" s="549"/>
      <c r="DEK41" s="549"/>
      <c r="DEL41" s="549"/>
      <c r="DEM41" s="549"/>
      <c r="DEN41" s="549"/>
      <c r="DEO41" s="549"/>
      <c r="DEP41" s="549"/>
      <c r="DEQ41" s="549"/>
      <c r="DER41" s="549"/>
      <c r="DES41" s="549"/>
      <c r="DET41" s="549"/>
      <c r="DEU41" s="549"/>
      <c r="DEV41" s="549"/>
      <c r="DEW41" s="549"/>
      <c r="DEX41" s="549"/>
      <c r="DEY41" s="549"/>
      <c r="DEZ41" s="549"/>
      <c r="DFA41" s="549"/>
      <c r="DFB41" s="549"/>
      <c r="DFC41" s="549"/>
      <c r="DFD41" s="549"/>
      <c r="DFE41" s="549"/>
      <c r="DFF41" s="549"/>
      <c r="DFG41" s="549"/>
      <c r="DFH41" s="549"/>
      <c r="DFI41" s="549"/>
      <c r="DFJ41" s="549"/>
      <c r="DFK41" s="549"/>
      <c r="DFL41" s="549"/>
      <c r="DFM41" s="549"/>
      <c r="DFN41" s="549"/>
      <c r="DFO41" s="549"/>
      <c r="DFP41" s="549"/>
      <c r="DFQ41" s="549"/>
      <c r="DFR41" s="549"/>
      <c r="DFS41" s="549"/>
      <c r="DFT41" s="549"/>
      <c r="DFU41" s="549"/>
      <c r="DFV41" s="549"/>
      <c r="DFW41" s="549"/>
      <c r="DFX41" s="549"/>
      <c r="DFY41" s="549"/>
      <c r="DFZ41" s="549"/>
      <c r="DGA41" s="549"/>
      <c r="DGB41" s="549"/>
      <c r="DGC41" s="549"/>
      <c r="DGD41" s="549"/>
      <c r="DGE41" s="549"/>
      <c r="DGF41" s="549"/>
      <c r="DGG41" s="549"/>
      <c r="DGH41" s="549"/>
      <c r="DGI41" s="549"/>
      <c r="DGJ41" s="549"/>
      <c r="DGK41" s="549"/>
      <c r="DGL41" s="549"/>
      <c r="DGM41" s="549"/>
      <c r="DGN41" s="549"/>
      <c r="DGO41" s="549"/>
      <c r="DGP41" s="549"/>
      <c r="DGQ41" s="549"/>
      <c r="DGR41" s="549"/>
      <c r="DGS41" s="549"/>
      <c r="DGT41" s="549"/>
      <c r="DGU41" s="549"/>
      <c r="DGV41" s="549"/>
      <c r="DGW41" s="549"/>
      <c r="DGX41" s="549"/>
      <c r="DGY41" s="549"/>
      <c r="DGZ41" s="549"/>
      <c r="DHA41" s="549"/>
      <c r="DHB41" s="549"/>
      <c r="DHC41" s="549"/>
      <c r="DHD41" s="549"/>
      <c r="DHE41" s="549"/>
      <c r="DHF41" s="549"/>
      <c r="DHG41" s="549"/>
      <c r="DHH41" s="549"/>
      <c r="DHI41" s="549"/>
      <c r="DHJ41" s="549"/>
      <c r="DHK41" s="549"/>
      <c r="DHL41" s="549"/>
      <c r="DHM41" s="549"/>
      <c r="DHN41" s="549"/>
      <c r="DHO41" s="549"/>
      <c r="DHP41" s="549"/>
      <c r="DHQ41" s="549"/>
      <c r="DHR41" s="549"/>
      <c r="DHS41" s="549"/>
      <c r="DHT41" s="549"/>
      <c r="DHU41" s="549"/>
      <c r="DHV41" s="549"/>
      <c r="DHW41" s="549"/>
      <c r="DHX41" s="549"/>
      <c r="DHY41" s="549"/>
      <c r="DHZ41" s="549"/>
      <c r="DIA41" s="549"/>
      <c r="DIB41" s="549"/>
      <c r="DIC41" s="549"/>
      <c r="DID41" s="549"/>
      <c r="DIE41" s="549"/>
      <c r="DIF41" s="549"/>
      <c r="DIG41" s="549"/>
      <c r="DIH41" s="549"/>
      <c r="DII41" s="549"/>
      <c r="DIJ41" s="549"/>
      <c r="DIK41" s="549"/>
      <c r="DIL41" s="549"/>
      <c r="DIM41" s="549"/>
      <c r="DIN41" s="549"/>
      <c r="DIO41" s="549"/>
      <c r="DIP41" s="549"/>
      <c r="DIQ41" s="549"/>
      <c r="DIR41" s="549"/>
      <c r="DIS41" s="549"/>
      <c r="DIT41" s="549"/>
      <c r="DIU41" s="549"/>
      <c r="DIV41" s="549"/>
      <c r="DIW41" s="549"/>
      <c r="DIX41" s="549"/>
      <c r="DIY41" s="549"/>
      <c r="DIZ41" s="549"/>
      <c r="DJA41" s="549"/>
      <c r="DJB41" s="549"/>
      <c r="DJC41" s="549"/>
      <c r="DJD41" s="549"/>
      <c r="DJE41" s="549"/>
      <c r="DJF41" s="549"/>
      <c r="DJG41" s="549"/>
      <c r="DJH41" s="549"/>
      <c r="DJI41" s="549"/>
      <c r="DJJ41" s="549"/>
      <c r="DJK41" s="549"/>
      <c r="DJL41" s="549"/>
      <c r="DJM41" s="549"/>
      <c r="DJN41" s="549"/>
      <c r="DJO41" s="549"/>
      <c r="DJP41" s="549"/>
      <c r="DJQ41" s="549"/>
      <c r="DJR41" s="549"/>
      <c r="DJS41" s="549"/>
      <c r="DJT41" s="549"/>
      <c r="DJU41" s="549"/>
      <c r="DJV41" s="549"/>
      <c r="DJW41" s="549"/>
      <c r="DJX41" s="549"/>
      <c r="DJY41" s="549"/>
      <c r="DJZ41" s="549"/>
      <c r="DKA41" s="549"/>
      <c r="DKB41" s="549"/>
      <c r="DKC41" s="549"/>
      <c r="DKD41" s="549"/>
      <c r="DKE41" s="549"/>
      <c r="DKF41" s="549"/>
      <c r="DKG41" s="549"/>
      <c r="DKH41" s="549"/>
      <c r="DKI41" s="549"/>
      <c r="DKJ41" s="549"/>
      <c r="DKK41" s="549"/>
      <c r="DKL41" s="549"/>
      <c r="DKM41" s="549"/>
      <c r="DKN41" s="549"/>
      <c r="DKO41" s="549"/>
      <c r="DKP41" s="549"/>
      <c r="DKQ41" s="549"/>
      <c r="DKR41" s="549"/>
      <c r="DKS41" s="549"/>
      <c r="DKT41" s="549"/>
      <c r="DKU41" s="549"/>
      <c r="DKV41" s="549"/>
      <c r="DKW41" s="549"/>
      <c r="DKX41" s="549"/>
      <c r="DKY41" s="549"/>
      <c r="DKZ41" s="549"/>
      <c r="DLA41" s="549"/>
      <c r="DLB41" s="549"/>
      <c r="DLC41" s="549"/>
      <c r="DLD41" s="549"/>
      <c r="DLE41" s="549"/>
      <c r="DLF41" s="549"/>
      <c r="DLG41" s="549"/>
      <c r="DLH41" s="549"/>
      <c r="DLI41" s="549"/>
      <c r="DLJ41" s="549"/>
      <c r="DLK41" s="549"/>
      <c r="DLL41" s="549"/>
      <c r="DLM41" s="549"/>
      <c r="DLN41" s="549"/>
      <c r="DLO41" s="549"/>
      <c r="DLP41" s="549"/>
      <c r="DLQ41" s="549"/>
      <c r="DLR41" s="549"/>
      <c r="DLS41" s="549"/>
      <c r="DLT41" s="549"/>
      <c r="DLU41" s="549"/>
      <c r="DLV41" s="549"/>
      <c r="DLW41" s="549"/>
      <c r="DLX41" s="549"/>
      <c r="DLY41" s="549"/>
      <c r="DLZ41" s="549"/>
      <c r="DMA41" s="549"/>
      <c r="DMB41" s="549"/>
      <c r="DMC41" s="549"/>
      <c r="DMD41" s="549"/>
      <c r="DME41" s="549"/>
      <c r="DMF41" s="549"/>
      <c r="DMG41" s="549"/>
      <c r="DMH41" s="549"/>
      <c r="DMI41" s="549"/>
      <c r="DMJ41" s="549"/>
      <c r="DMK41" s="549"/>
      <c r="DML41" s="549"/>
      <c r="DMM41" s="549"/>
      <c r="DMN41" s="549"/>
      <c r="DMO41" s="549"/>
      <c r="DMP41" s="549"/>
      <c r="DMQ41" s="549"/>
      <c r="DMR41" s="549"/>
      <c r="DMS41" s="549"/>
      <c r="DMT41" s="549"/>
      <c r="DMU41" s="549"/>
      <c r="DMV41" s="549"/>
      <c r="DMW41" s="549"/>
      <c r="DMX41" s="549"/>
      <c r="DMY41" s="549"/>
      <c r="DMZ41" s="549"/>
      <c r="DNA41" s="549"/>
      <c r="DNB41" s="549"/>
      <c r="DNC41" s="549"/>
      <c r="DND41" s="549"/>
      <c r="DNE41" s="549"/>
      <c r="DNF41" s="549"/>
      <c r="DNG41" s="549"/>
      <c r="DNH41" s="549"/>
      <c r="DNI41" s="549"/>
      <c r="DNJ41" s="549"/>
      <c r="DNK41" s="549"/>
      <c r="DNL41" s="549"/>
      <c r="DNM41" s="549"/>
      <c r="DNN41" s="549"/>
      <c r="DNO41" s="549"/>
      <c r="DNP41" s="549"/>
      <c r="DNQ41" s="549"/>
      <c r="DNR41" s="549"/>
      <c r="DNS41" s="549"/>
      <c r="DNT41" s="549"/>
      <c r="DNU41" s="549"/>
      <c r="DNV41" s="549"/>
      <c r="DNW41" s="549"/>
      <c r="DNX41" s="549"/>
      <c r="DNY41" s="549"/>
      <c r="DNZ41" s="549"/>
      <c r="DOA41" s="549"/>
      <c r="DOB41" s="549"/>
      <c r="DOC41" s="549"/>
      <c r="DOD41" s="549"/>
      <c r="DOE41" s="549"/>
      <c r="DOF41" s="549"/>
      <c r="DOG41" s="549"/>
      <c r="DOH41" s="549"/>
      <c r="DOI41" s="549"/>
      <c r="DOJ41" s="549"/>
      <c r="DOK41" s="549"/>
      <c r="DOL41" s="549"/>
      <c r="DOM41" s="549"/>
      <c r="DON41" s="549"/>
      <c r="DOO41" s="549"/>
      <c r="DOP41" s="549"/>
      <c r="DOQ41" s="549"/>
      <c r="DOR41" s="549"/>
      <c r="DOS41" s="549"/>
      <c r="DOT41" s="549"/>
      <c r="DOU41" s="549"/>
      <c r="DOV41" s="549"/>
      <c r="DOW41" s="549"/>
      <c r="DOX41" s="549"/>
      <c r="DOY41" s="549"/>
      <c r="DOZ41" s="549"/>
      <c r="DPA41" s="549"/>
      <c r="DPB41" s="549"/>
      <c r="DPC41" s="549"/>
      <c r="DPD41" s="549"/>
      <c r="DPE41" s="549"/>
      <c r="DPF41" s="549"/>
      <c r="DPG41" s="549"/>
      <c r="DPH41" s="549"/>
      <c r="DPI41" s="549"/>
      <c r="DPJ41" s="549"/>
      <c r="DPK41" s="549"/>
      <c r="DPL41" s="549"/>
      <c r="DPM41" s="549"/>
      <c r="DPN41" s="549"/>
      <c r="DPO41" s="549"/>
      <c r="DPP41" s="549"/>
      <c r="DPQ41" s="549"/>
      <c r="DPR41" s="549"/>
      <c r="DPS41" s="549"/>
      <c r="DPT41" s="549"/>
      <c r="DPU41" s="549"/>
      <c r="DPV41" s="549"/>
      <c r="DPW41" s="549"/>
      <c r="DPX41" s="549"/>
      <c r="DPY41" s="549"/>
      <c r="DPZ41" s="549"/>
      <c r="DQA41" s="549"/>
      <c r="DQB41" s="549"/>
      <c r="DQC41" s="549"/>
      <c r="DQD41" s="549"/>
      <c r="DQE41" s="549"/>
      <c r="DQF41" s="549"/>
      <c r="DQG41" s="549"/>
      <c r="DQH41" s="549"/>
      <c r="DQI41" s="549"/>
      <c r="DQJ41" s="549"/>
      <c r="DQK41" s="549"/>
      <c r="DQL41" s="549"/>
      <c r="DQM41" s="549"/>
      <c r="DQN41" s="549"/>
      <c r="DQO41" s="549"/>
      <c r="DQP41" s="549"/>
      <c r="DQQ41" s="549"/>
      <c r="DQR41" s="549"/>
      <c r="DQS41" s="549"/>
      <c r="DQT41" s="549"/>
      <c r="DQU41" s="549"/>
      <c r="DQV41" s="549"/>
      <c r="DQW41" s="549"/>
      <c r="DQX41" s="549"/>
      <c r="DQY41" s="549"/>
      <c r="DQZ41" s="549"/>
      <c r="DRA41" s="549"/>
      <c r="DRB41" s="549"/>
      <c r="DRC41" s="549"/>
      <c r="DRD41" s="549"/>
      <c r="DRE41" s="549"/>
      <c r="DRF41" s="549"/>
      <c r="DRG41" s="549"/>
      <c r="DRH41" s="549"/>
      <c r="DRI41" s="549"/>
      <c r="DRJ41" s="549"/>
      <c r="DRK41" s="549"/>
      <c r="DRL41" s="549"/>
      <c r="DRM41" s="549"/>
      <c r="DRN41" s="549"/>
      <c r="DRO41" s="549"/>
      <c r="DRP41" s="549"/>
      <c r="DRQ41" s="549"/>
      <c r="DRR41" s="549"/>
      <c r="DRS41" s="549"/>
      <c r="DRT41" s="549"/>
      <c r="DRU41" s="549"/>
      <c r="DRV41" s="549"/>
      <c r="DRW41" s="549"/>
      <c r="DRX41" s="549"/>
      <c r="DRY41" s="549"/>
      <c r="DRZ41" s="549"/>
      <c r="DSA41" s="549"/>
      <c r="DSB41" s="549"/>
      <c r="DSC41" s="549"/>
      <c r="DSD41" s="549"/>
      <c r="DSE41" s="549"/>
      <c r="DSF41" s="549"/>
      <c r="DSG41" s="549"/>
      <c r="DSH41" s="549"/>
      <c r="DSI41" s="549"/>
      <c r="DSJ41" s="549"/>
      <c r="DSK41" s="549"/>
      <c r="DSL41" s="549"/>
      <c r="DSM41" s="549"/>
      <c r="DSN41" s="549"/>
      <c r="DSO41" s="549"/>
      <c r="DSP41" s="549"/>
      <c r="DSQ41" s="549"/>
      <c r="DSR41" s="549"/>
      <c r="DSS41" s="549"/>
      <c r="DST41" s="549"/>
      <c r="DSU41" s="549"/>
      <c r="DSV41" s="549"/>
      <c r="DSW41" s="549"/>
      <c r="DSX41" s="549"/>
      <c r="DSY41" s="549"/>
      <c r="DSZ41" s="549"/>
      <c r="DTA41" s="549"/>
      <c r="DTB41" s="549"/>
      <c r="DTC41" s="549"/>
      <c r="DTD41" s="549"/>
      <c r="DTE41" s="549"/>
      <c r="DTF41" s="549"/>
      <c r="DTG41" s="549"/>
      <c r="DTH41" s="549"/>
      <c r="DTI41" s="549"/>
      <c r="DTJ41" s="549"/>
      <c r="DTK41" s="549"/>
      <c r="DTL41" s="549"/>
      <c r="DTM41" s="549"/>
      <c r="DTN41" s="549"/>
      <c r="DTO41" s="549"/>
      <c r="DTP41" s="549"/>
      <c r="DTQ41" s="549"/>
      <c r="DTR41" s="549"/>
      <c r="DTS41" s="549"/>
      <c r="DTT41" s="549"/>
      <c r="DTU41" s="549"/>
      <c r="DTV41" s="549"/>
      <c r="DTW41" s="549"/>
      <c r="DTX41" s="549"/>
      <c r="DTY41" s="549"/>
      <c r="DTZ41" s="549"/>
      <c r="DUA41" s="549"/>
      <c r="DUB41" s="549"/>
      <c r="DUC41" s="549"/>
      <c r="DUD41" s="549"/>
      <c r="DUE41" s="549"/>
      <c r="DUF41" s="549"/>
      <c r="DUG41" s="549"/>
      <c r="DUH41" s="549"/>
      <c r="DUI41" s="549"/>
      <c r="DUJ41" s="549"/>
      <c r="DUK41" s="549"/>
      <c r="DUL41" s="549"/>
      <c r="DUM41" s="549"/>
      <c r="DUN41" s="549"/>
      <c r="DUO41" s="549"/>
      <c r="DUP41" s="549"/>
      <c r="DUQ41" s="549"/>
      <c r="DUR41" s="549"/>
      <c r="DUS41" s="549"/>
      <c r="DUT41" s="549"/>
      <c r="DUU41" s="549"/>
      <c r="DUV41" s="549"/>
      <c r="DUW41" s="549"/>
      <c r="DUX41" s="549"/>
      <c r="DUY41" s="549"/>
      <c r="DUZ41" s="549"/>
      <c r="DVA41" s="549"/>
      <c r="DVB41" s="549"/>
      <c r="DVC41" s="549"/>
      <c r="DVD41" s="549"/>
      <c r="DVE41" s="549"/>
      <c r="DVF41" s="549"/>
      <c r="DVG41" s="549"/>
      <c r="DVH41" s="549"/>
      <c r="DVI41" s="549"/>
      <c r="DVJ41" s="549"/>
      <c r="DVK41" s="549"/>
      <c r="DVL41" s="549"/>
      <c r="DVM41" s="549"/>
      <c r="DVN41" s="549"/>
      <c r="DVO41" s="549"/>
      <c r="DVP41" s="549"/>
      <c r="DVQ41" s="549"/>
      <c r="DVR41" s="549"/>
      <c r="DVS41" s="549"/>
      <c r="DVT41" s="549"/>
      <c r="DVU41" s="549"/>
      <c r="DVV41" s="549"/>
      <c r="DVW41" s="549"/>
      <c r="DVX41" s="549"/>
      <c r="DVY41" s="549"/>
      <c r="DVZ41" s="549"/>
      <c r="DWA41" s="549"/>
      <c r="DWB41" s="549"/>
      <c r="DWC41" s="549"/>
      <c r="DWD41" s="549"/>
      <c r="DWE41" s="549"/>
      <c r="DWF41" s="549"/>
      <c r="DWG41" s="549"/>
      <c r="DWH41" s="549"/>
      <c r="DWI41" s="549"/>
      <c r="DWJ41" s="549"/>
      <c r="DWK41" s="549"/>
      <c r="DWL41" s="549"/>
      <c r="DWM41" s="549"/>
      <c r="DWN41" s="549"/>
      <c r="DWO41" s="549"/>
      <c r="DWP41" s="549"/>
      <c r="DWQ41" s="549"/>
      <c r="DWR41" s="549"/>
      <c r="DWS41" s="549"/>
      <c r="DWT41" s="549"/>
      <c r="DWU41" s="549"/>
      <c r="DWV41" s="549"/>
      <c r="DWW41" s="549"/>
      <c r="DWX41" s="549"/>
      <c r="DWY41" s="549"/>
      <c r="DWZ41" s="549"/>
      <c r="DXA41" s="549"/>
      <c r="DXB41" s="549"/>
      <c r="DXC41" s="549"/>
      <c r="DXD41" s="549"/>
      <c r="DXE41" s="549"/>
      <c r="DXF41" s="549"/>
      <c r="DXG41" s="549"/>
      <c r="DXH41" s="549"/>
      <c r="DXI41" s="549"/>
      <c r="DXJ41" s="549"/>
      <c r="DXK41" s="549"/>
      <c r="DXL41" s="549"/>
      <c r="DXM41" s="549"/>
      <c r="DXN41" s="549"/>
      <c r="DXO41" s="549"/>
      <c r="DXP41" s="549"/>
      <c r="DXQ41" s="549"/>
      <c r="DXR41" s="549"/>
      <c r="DXS41" s="549"/>
      <c r="DXT41" s="549"/>
      <c r="DXU41" s="549"/>
      <c r="DXV41" s="549"/>
      <c r="DXW41" s="549"/>
      <c r="DXX41" s="549"/>
      <c r="DXY41" s="549"/>
      <c r="DXZ41" s="549"/>
      <c r="DYA41" s="549"/>
      <c r="DYB41" s="549"/>
      <c r="DYC41" s="549"/>
      <c r="DYD41" s="549"/>
      <c r="DYE41" s="549"/>
      <c r="DYF41" s="549"/>
      <c r="DYG41" s="549"/>
      <c r="DYH41" s="549"/>
      <c r="DYI41" s="549"/>
      <c r="DYJ41" s="549"/>
      <c r="DYK41" s="549"/>
      <c r="DYL41" s="549"/>
      <c r="DYM41" s="549"/>
      <c r="DYN41" s="549"/>
      <c r="DYO41" s="549"/>
      <c r="DYP41" s="549"/>
      <c r="DYQ41" s="549"/>
      <c r="DYR41" s="549"/>
      <c r="DYS41" s="549"/>
      <c r="DYT41" s="549"/>
      <c r="DYU41" s="549"/>
      <c r="DYV41" s="549"/>
      <c r="DYW41" s="549"/>
      <c r="DYX41" s="549"/>
      <c r="DYY41" s="549"/>
      <c r="DYZ41" s="549"/>
      <c r="DZA41" s="549"/>
      <c r="DZB41" s="549"/>
      <c r="DZC41" s="549"/>
      <c r="DZD41" s="549"/>
      <c r="DZE41" s="549"/>
      <c r="DZF41" s="549"/>
      <c r="DZG41" s="549"/>
      <c r="DZH41" s="549"/>
      <c r="DZI41" s="549"/>
      <c r="DZJ41" s="549"/>
      <c r="DZK41" s="549"/>
      <c r="DZL41" s="549"/>
      <c r="DZM41" s="549"/>
      <c r="DZN41" s="549"/>
      <c r="DZO41" s="549"/>
      <c r="DZP41" s="549"/>
      <c r="DZQ41" s="549"/>
      <c r="DZR41" s="549"/>
      <c r="DZS41" s="549"/>
      <c r="DZT41" s="549"/>
      <c r="DZU41" s="549"/>
      <c r="DZV41" s="549"/>
      <c r="DZW41" s="549"/>
      <c r="DZX41" s="549"/>
      <c r="DZY41" s="549"/>
      <c r="DZZ41" s="549"/>
      <c r="EAA41" s="549"/>
      <c r="EAB41" s="549"/>
      <c r="EAC41" s="549"/>
      <c r="EAD41" s="549"/>
      <c r="EAE41" s="549"/>
      <c r="EAF41" s="549"/>
      <c r="EAG41" s="549"/>
      <c r="EAH41" s="549"/>
      <c r="EAI41" s="549"/>
      <c r="EAJ41" s="549"/>
      <c r="EAK41" s="549"/>
      <c r="EAL41" s="549"/>
      <c r="EAM41" s="549"/>
      <c r="EAN41" s="549"/>
      <c r="EAO41" s="549"/>
      <c r="EAP41" s="549"/>
      <c r="EAQ41" s="549"/>
      <c r="EAR41" s="549"/>
      <c r="EAS41" s="549"/>
      <c r="EAT41" s="549"/>
      <c r="EAU41" s="549"/>
      <c r="EAV41" s="549"/>
      <c r="EAW41" s="549"/>
      <c r="EAX41" s="549"/>
      <c r="EAY41" s="549"/>
      <c r="EAZ41" s="549"/>
      <c r="EBA41" s="549"/>
      <c r="EBB41" s="549"/>
      <c r="EBC41" s="549"/>
      <c r="EBD41" s="549"/>
      <c r="EBE41" s="549"/>
      <c r="EBF41" s="549"/>
      <c r="EBG41" s="549"/>
      <c r="EBH41" s="549"/>
      <c r="EBI41" s="549"/>
      <c r="EBJ41" s="549"/>
      <c r="EBK41" s="549"/>
      <c r="EBL41" s="549"/>
      <c r="EBM41" s="549"/>
      <c r="EBN41" s="549"/>
      <c r="EBO41" s="549"/>
      <c r="EBP41" s="549"/>
      <c r="EBQ41" s="549"/>
      <c r="EBR41" s="549"/>
      <c r="EBS41" s="549"/>
      <c r="EBT41" s="549"/>
      <c r="EBU41" s="549"/>
      <c r="EBV41" s="549"/>
      <c r="EBW41" s="549"/>
      <c r="EBX41" s="549"/>
      <c r="EBY41" s="549"/>
      <c r="EBZ41" s="549"/>
      <c r="ECA41" s="549"/>
      <c r="ECB41" s="549"/>
      <c r="ECC41" s="549"/>
      <c r="ECD41" s="549"/>
      <c r="ECE41" s="549"/>
      <c r="ECF41" s="549"/>
      <c r="ECG41" s="549"/>
      <c r="ECH41" s="549"/>
      <c r="ECI41" s="549"/>
      <c r="ECJ41" s="549"/>
      <c r="ECK41" s="549"/>
      <c r="ECL41" s="549"/>
      <c r="ECM41" s="549"/>
      <c r="ECN41" s="549"/>
      <c r="ECO41" s="549"/>
      <c r="ECP41" s="549"/>
      <c r="ECQ41" s="549"/>
      <c r="ECR41" s="549"/>
      <c r="ECS41" s="549"/>
      <c r="ECT41" s="549"/>
      <c r="ECU41" s="549"/>
      <c r="ECV41" s="549"/>
      <c r="ECW41" s="549"/>
      <c r="ECX41" s="549"/>
      <c r="ECY41" s="549"/>
      <c r="ECZ41" s="549"/>
      <c r="EDA41" s="549"/>
      <c r="EDB41" s="549"/>
      <c r="EDC41" s="549"/>
      <c r="EDD41" s="549"/>
      <c r="EDE41" s="549"/>
      <c r="EDF41" s="549"/>
      <c r="EDG41" s="549"/>
      <c r="EDH41" s="549"/>
      <c r="EDI41" s="549"/>
      <c r="EDJ41" s="549"/>
      <c r="EDK41" s="549"/>
      <c r="EDL41" s="549"/>
      <c r="EDM41" s="549"/>
      <c r="EDN41" s="549"/>
      <c r="EDO41" s="549"/>
      <c r="EDP41" s="549"/>
      <c r="EDQ41" s="549"/>
      <c r="EDR41" s="549"/>
      <c r="EDS41" s="549"/>
      <c r="EDT41" s="549"/>
      <c r="EDU41" s="549"/>
      <c r="EDV41" s="549"/>
      <c r="EDW41" s="549"/>
      <c r="EDX41" s="549"/>
      <c r="EDY41" s="549"/>
      <c r="EDZ41" s="549"/>
      <c r="EEA41" s="549"/>
      <c r="EEB41" s="549"/>
      <c r="EEC41" s="549"/>
      <c r="EED41" s="549"/>
      <c r="EEE41" s="549"/>
      <c r="EEF41" s="549"/>
      <c r="EEG41" s="549"/>
      <c r="EEH41" s="549"/>
      <c r="EEI41" s="549"/>
      <c r="EEJ41" s="549"/>
      <c r="EEK41" s="549"/>
      <c r="EEL41" s="549"/>
      <c r="EEM41" s="549"/>
      <c r="EEN41" s="549"/>
      <c r="EEO41" s="549"/>
      <c r="EEP41" s="549"/>
      <c r="EEQ41" s="549"/>
      <c r="EER41" s="549"/>
      <c r="EES41" s="549"/>
      <c r="EET41" s="549"/>
      <c r="EEU41" s="549"/>
      <c r="EEV41" s="549"/>
      <c r="EEW41" s="549"/>
      <c r="EEX41" s="549"/>
      <c r="EEY41" s="549"/>
      <c r="EEZ41" s="549"/>
      <c r="EFA41" s="549"/>
      <c r="EFB41" s="549"/>
      <c r="EFC41" s="549"/>
      <c r="EFD41" s="549"/>
      <c r="EFE41" s="549"/>
      <c r="EFF41" s="549"/>
      <c r="EFG41" s="549"/>
      <c r="EFH41" s="549"/>
      <c r="EFI41" s="549"/>
      <c r="EFJ41" s="549"/>
      <c r="EFK41" s="549"/>
      <c r="EFL41" s="549"/>
      <c r="EFM41" s="549"/>
      <c r="EFN41" s="549"/>
      <c r="EFO41" s="549"/>
      <c r="EFP41" s="549"/>
      <c r="EFQ41" s="549"/>
      <c r="EFR41" s="549"/>
      <c r="EFS41" s="549"/>
      <c r="EFT41" s="549"/>
      <c r="EFU41" s="549"/>
      <c r="EFV41" s="549"/>
      <c r="EFW41" s="549"/>
      <c r="EFX41" s="549"/>
      <c r="EFY41" s="549"/>
      <c r="EFZ41" s="549"/>
      <c r="EGA41" s="549"/>
      <c r="EGB41" s="549"/>
      <c r="EGC41" s="549"/>
      <c r="EGD41" s="549"/>
      <c r="EGE41" s="549"/>
      <c r="EGF41" s="549"/>
      <c r="EGG41" s="549"/>
      <c r="EGH41" s="549"/>
      <c r="EGI41" s="549"/>
      <c r="EGJ41" s="549"/>
      <c r="EGK41" s="549"/>
      <c r="EGL41" s="549"/>
      <c r="EGM41" s="549"/>
      <c r="EGN41" s="549"/>
      <c r="EGO41" s="549"/>
      <c r="EGP41" s="549"/>
      <c r="EGQ41" s="549"/>
      <c r="EGR41" s="549"/>
      <c r="EGS41" s="549"/>
      <c r="EGT41" s="549"/>
      <c r="EGU41" s="549"/>
      <c r="EGV41" s="549"/>
      <c r="EGW41" s="549"/>
      <c r="EGX41" s="549"/>
      <c r="EGY41" s="549"/>
      <c r="EGZ41" s="549"/>
      <c r="EHA41" s="549"/>
      <c r="EHB41" s="549"/>
      <c r="EHC41" s="549"/>
      <c r="EHD41" s="549"/>
      <c r="EHE41" s="549"/>
      <c r="EHF41" s="549"/>
      <c r="EHG41" s="549"/>
      <c r="EHH41" s="549"/>
      <c r="EHI41" s="549"/>
      <c r="EHJ41" s="549"/>
      <c r="EHK41" s="549"/>
      <c r="EHL41" s="549"/>
      <c r="EHM41" s="549"/>
      <c r="EHN41" s="549"/>
      <c r="EHO41" s="549"/>
      <c r="EHP41" s="549"/>
      <c r="EHQ41" s="549"/>
      <c r="EHR41" s="549"/>
      <c r="EHS41" s="549"/>
      <c r="EHT41" s="549"/>
      <c r="EHU41" s="549"/>
      <c r="EHV41" s="549"/>
      <c r="EHW41" s="549"/>
      <c r="EHX41" s="549"/>
      <c r="EHY41" s="549"/>
      <c r="EHZ41" s="549"/>
      <c r="EIA41" s="549"/>
      <c r="EIB41" s="549"/>
      <c r="EIC41" s="549"/>
      <c r="EID41" s="549"/>
      <c r="EIE41" s="549"/>
      <c r="EIF41" s="549"/>
      <c r="EIG41" s="549"/>
      <c r="EIH41" s="549"/>
      <c r="EII41" s="549"/>
      <c r="EIJ41" s="549"/>
      <c r="EIK41" s="549"/>
      <c r="EIL41" s="549"/>
      <c r="EIM41" s="549"/>
      <c r="EIN41" s="549"/>
      <c r="EIO41" s="549"/>
      <c r="EIP41" s="549"/>
      <c r="EIQ41" s="549"/>
      <c r="EIR41" s="549"/>
      <c r="EIS41" s="549"/>
      <c r="EIT41" s="549"/>
      <c r="EIU41" s="549"/>
      <c r="EIV41" s="549"/>
      <c r="EIW41" s="549"/>
      <c r="EIX41" s="549"/>
      <c r="EIY41" s="549"/>
      <c r="EIZ41" s="549"/>
      <c r="EJA41" s="549"/>
      <c r="EJB41" s="549"/>
      <c r="EJC41" s="549"/>
      <c r="EJD41" s="549"/>
      <c r="EJE41" s="549"/>
      <c r="EJF41" s="549"/>
      <c r="EJG41" s="549"/>
      <c r="EJH41" s="549"/>
      <c r="EJI41" s="549"/>
      <c r="EJJ41" s="549"/>
      <c r="EJK41" s="549"/>
      <c r="EJL41" s="549"/>
      <c r="EJM41" s="549"/>
      <c r="EJN41" s="549"/>
      <c r="EJO41" s="549"/>
      <c r="EJP41" s="549"/>
      <c r="EJQ41" s="549"/>
      <c r="EJR41" s="549"/>
      <c r="EJS41" s="549"/>
      <c r="EJT41" s="549"/>
      <c r="EJU41" s="549"/>
      <c r="EJV41" s="549"/>
      <c r="EJW41" s="549"/>
      <c r="EJX41" s="549"/>
      <c r="EJY41" s="549"/>
      <c r="EJZ41" s="549"/>
      <c r="EKA41" s="549"/>
      <c r="EKB41" s="549"/>
      <c r="EKC41" s="549"/>
      <c r="EKD41" s="549"/>
      <c r="EKE41" s="549"/>
      <c r="EKF41" s="549"/>
      <c r="EKG41" s="549"/>
      <c r="EKH41" s="549"/>
      <c r="EKI41" s="549"/>
      <c r="EKJ41" s="549"/>
      <c r="EKK41" s="549"/>
      <c r="EKL41" s="549"/>
      <c r="EKM41" s="549"/>
      <c r="EKN41" s="549"/>
      <c r="EKO41" s="549"/>
      <c r="EKP41" s="549"/>
      <c r="EKQ41" s="549"/>
      <c r="EKR41" s="549"/>
      <c r="EKS41" s="549"/>
      <c r="EKT41" s="549"/>
      <c r="EKU41" s="549"/>
      <c r="EKV41" s="549"/>
      <c r="EKW41" s="549"/>
      <c r="EKX41" s="549"/>
      <c r="EKY41" s="549"/>
      <c r="EKZ41" s="549"/>
      <c r="ELA41" s="549"/>
      <c r="ELB41" s="549"/>
      <c r="ELC41" s="549"/>
      <c r="ELD41" s="549"/>
      <c r="ELE41" s="549"/>
      <c r="ELF41" s="549"/>
      <c r="ELG41" s="549"/>
      <c r="ELH41" s="549"/>
      <c r="ELI41" s="549"/>
      <c r="ELJ41" s="549"/>
      <c r="ELK41" s="549"/>
      <c r="ELL41" s="549"/>
      <c r="ELM41" s="549"/>
      <c r="ELN41" s="549"/>
      <c r="ELO41" s="549"/>
      <c r="ELP41" s="549"/>
      <c r="ELQ41" s="549"/>
      <c r="ELR41" s="549"/>
      <c r="ELS41" s="549"/>
      <c r="ELT41" s="549"/>
      <c r="ELU41" s="549"/>
      <c r="ELV41" s="549"/>
      <c r="ELW41" s="549"/>
      <c r="ELX41" s="549"/>
      <c r="ELY41" s="549"/>
      <c r="ELZ41" s="549"/>
      <c r="EMA41" s="549"/>
      <c r="EMB41" s="549"/>
      <c r="EMC41" s="549"/>
      <c r="EMD41" s="549"/>
      <c r="EME41" s="549"/>
      <c r="EMF41" s="549"/>
      <c r="EMG41" s="549"/>
      <c r="EMH41" s="549"/>
      <c r="EMI41" s="549"/>
      <c r="EMJ41" s="549"/>
      <c r="EMK41" s="549"/>
      <c r="EML41" s="549"/>
      <c r="EMM41" s="549"/>
      <c r="EMN41" s="549"/>
      <c r="EMO41" s="549"/>
      <c r="EMP41" s="549"/>
      <c r="EMQ41" s="549"/>
      <c r="EMR41" s="549"/>
      <c r="EMS41" s="549"/>
      <c r="EMT41" s="549"/>
      <c r="EMU41" s="549"/>
      <c r="EMV41" s="549"/>
      <c r="EMW41" s="549"/>
      <c r="EMX41" s="549"/>
      <c r="EMY41" s="549"/>
      <c r="EMZ41" s="549"/>
      <c r="ENA41" s="549"/>
      <c r="ENB41" s="549"/>
      <c r="ENC41" s="549"/>
      <c r="END41" s="549"/>
      <c r="ENE41" s="549"/>
      <c r="ENF41" s="549"/>
      <c r="ENG41" s="549"/>
      <c r="ENH41" s="549"/>
      <c r="ENI41" s="549"/>
      <c r="ENJ41" s="549"/>
      <c r="ENK41" s="549"/>
      <c r="ENL41" s="549"/>
      <c r="ENM41" s="549"/>
      <c r="ENN41" s="549"/>
      <c r="ENO41" s="549"/>
      <c r="ENP41" s="549"/>
      <c r="ENQ41" s="549"/>
      <c r="ENR41" s="549"/>
      <c r="ENS41" s="549"/>
      <c r="ENT41" s="549"/>
      <c r="ENU41" s="549"/>
      <c r="ENV41" s="549"/>
      <c r="ENW41" s="549"/>
      <c r="ENX41" s="549"/>
      <c r="ENY41" s="549"/>
      <c r="ENZ41" s="549"/>
      <c r="EOA41" s="549"/>
      <c r="EOB41" s="549"/>
      <c r="EOC41" s="549"/>
      <c r="EOD41" s="549"/>
      <c r="EOE41" s="549"/>
      <c r="EOF41" s="549"/>
      <c r="EOG41" s="549"/>
      <c r="EOH41" s="549"/>
      <c r="EOI41" s="549"/>
      <c r="EOJ41" s="549"/>
      <c r="EOK41" s="549"/>
      <c r="EOL41" s="549"/>
      <c r="EOM41" s="549"/>
      <c r="EON41" s="549"/>
      <c r="EOO41" s="549"/>
      <c r="EOP41" s="549"/>
      <c r="EOQ41" s="549"/>
      <c r="EOR41" s="549"/>
      <c r="EOS41" s="549"/>
      <c r="EOT41" s="549"/>
      <c r="EOU41" s="549"/>
      <c r="EOV41" s="549"/>
      <c r="EOW41" s="549"/>
      <c r="EOX41" s="549"/>
      <c r="EOY41" s="549"/>
      <c r="EOZ41" s="549"/>
      <c r="EPA41" s="549"/>
      <c r="EPB41" s="549"/>
      <c r="EPC41" s="549"/>
      <c r="EPD41" s="549"/>
      <c r="EPE41" s="549"/>
      <c r="EPF41" s="549"/>
      <c r="EPG41" s="549"/>
      <c r="EPH41" s="549"/>
      <c r="EPI41" s="549"/>
      <c r="EPJ41" s="549"/>
      <c r="EPK41" s="549"/>
      <c r="EPL41" s="549"/>
      <c r="EPM41" s="549"/>
      <c r="EPN41" s="549"/>
      <c r="EPO41" s="549"/>
      <c r="EPP41" s="549"/>
      <c r="EPQ41" s="549"/>
      <c r="EPR41" s="549"/>
      <c r="EPS41" s="549"/>
      <c r="EPT41" s="549"/>
      <c r="EPU41" s="549"/>
      <c r="EPV41" s="549"/>
      <c r="EPW41" s="549"/>
      <c r="EPX41" s="549"/>
      <c r="EPY41" s="549"/>
      <c r="EPZ41" s="549"/>
      <c r="EQA41" s="549"/>
      <c r="EQB41" s="549"/>
      <c r="EQC41" s="549"/>
      <c r="EQD41" s="549"/>
      <c r="EQE41" s="549"/>
      <c r="EQF41" s="549"/>
      <c r="EQG41" s="549"/>
      <c r="EQH41" s="549"/>
      <c r="EQI41" s="549"/>
      <c r="EQJ41" s="549"/>
      <c r="EQK41" s="549"/>
      <c r="EQL41" s="549"/>
      <c r="EQM41" s="549"/>
      <c r="EQN41" s="549"/>
      <c r="EQO41" s="549"/>
      <c r="EQP41" s="549"/>
      <c r="EQQ41" s="549"/>
      <c r="EQR41" s="549"/>
      <c r="EQS41" s="549"/>
      <c r="EQT41" s="549"/>
      <c r="EQU41" s="549"/>
      <c r="EQV41" s="549"/>
      <c r="EQW41" s="549"/>
      <c r="EQX41" s="549"/>
      <c r="EQY41" s="549"/>
      <c r="EQZ41" s="549"/>
      <c r="ERA41" s="549"/>
      <c r="ERB41" s="549"/>
      <c r="ERC41" s="549"/>
      <c r="ERD41" s="549"/>
      <c r="ERE41" s="549"/>
      <c r="ERF41" s="549"/>
      <c r="ERG41" s="549"/>
      <c r="ERH41" s="549"/>
      <c r="ERI41" s="549"/>
      <c r="ERJ41" s="549"/>
      <c r="ERK41" s="549"/>
      <c r="ERL41" s="549"/>
      <c r="ERM41" s="549"/>
      <c r="ERN41" s="549"/>
      <c r="ERO41" s="549"/>
      <c r="ERP41" s="549"/>
      <c r="ERQ41" s="549"/>
      <c r="ERR41" s="549"/>
      <c r="ERS41" s="549"/>
      <c r="ERT41" s="549"/>
      <c r="ERU41" s="549"/>
      <c r="ERV41" s="549"/>
      <c r="ERW41" s="549"/>
      <c r="ERX41" s="549"/>
      <c r="ERY41" s="549"/>
      <c r="ERZ41" s="549"/>
      <c r="ESA41" s="549"/>
      <c r="ESB41" s="549"/>
      <c r="ESC41" s="549"/>
      <c r="ESD41" s="549"/>
      <c r="ESE41" s="549"/>
      <c r="ESF41" s="549"/>
      <c r="ESG41" s="549"/>
      <c r="ESH41" s="549"/>
      <c r="ESI41" s="549"/>
      <c r="ESJ41" s="549"/>
      <c r="ESK41" s="549"/>
      <c r="ESL41" s="549"/>
      <c r="ESM41" s="549"/>
      <c r="ESN41" s="549"/>
      <c r="ESO41" s="549"/>
      <c r="ESP41" s="549"/>
      <c r="ESQ41" s="549"/>
      <c r="ESR41" s="549"/>
      <c r="ESS41" s="549"/>
      <c r="EST41" s="549"/>
      <c r="ESU41" s="549"/>
      <c r="ESV41" s="549"/>
      <c r="ESW41" s="549"/>
      <c r="ESX41" s="549"/>
      <c r="ESY41" s="549"/>
      <c r="ESZ41" s="549"/>
      <c r="ETA41" s="549"/>
      <c r="ETB41" s="549"/>
      <c r="ETC41" s="549"/>
      <c r="ETD41" s="549"/>
      <c r="ETE41" s="549"/>
      <c r="ETF41" s="549"/>
      <c r="ETG41" s="549"/>
      <c r="ETH41" s="549"/>
      <c r="ETI41" s="549"/>
      <c r="ETJ41" s="549"/>
      <c r="ETK41" s="549"/>
      <c r="ETL41" s="549"/>
      <c r="ETM41" s="549"/>
      <c r="ETN41" s="549"/>
      <c r="ETO41" s="549"/>
      <c r="ETP41" s="549"/>
      <c r="ETQ41" s="549"/>
      <c r="ETR41" s="549"/>
      <c r="ETS41" s="549"/>
      <c r="ETT41" s="549"/>
      <c r="ETU41" s="549"/>
      <c r="ETV41" s="549"/>
      <c r="ETW41" s="549"/>
      <c r="ETX41" s="549"/>
      <c r="ETY41" s="549"/>
      <c r="ETZ41" s="549"/>
      <c r="EUA41" s="549"/>
      <c r="EUB41" s="549"/>
      <c r="EUC41" s="549"/>
      <c r="EUD41" s="549"/>
      <c r="EUE41" s="549"/>
      <c r="EUF41" s="549"/>
      <c r="EUG41" s="549"/>
      <c r="EUH41" s="549"/>
      <c r="EUI41" s="549"/>
      <c r="EUJ41" s="549"/>
      <c r="EUK41" s="549"/>
      <c r="EUL41" s="549"/>
      <c r="EUM41" s="549"/>
      <c r="EUN41" s="549"/>
      <c r="EUO41" s="549"/>
      <c r="EUP41" s="549"/>
      <c r="EUQ41" s="549"/>
      <c r="EUR41" s="549"/>
      <c r="EUS41" s="549"/>
      <c r="EUT41" s="549"/>
      <c r="EUU41" s="549"/>
      <c r="EUV41" s="549"/>
      <c r="EUW41" s="549"/>
      <c r="EUX41" s="549"/>
      <c r="EUY41" s="549"/>
      <c r="EUZ41" s="549"/>
      <c r="EVA41" s="549"/>
      <c r="EVB41" s="549"/>
      <c r="EVC41" s="549"/>
      <c r="EVD41" s="549"/>
      <c r="EVE41" s="549"/>
      <c r="EVF41" s="549"/>
      <c r="EVG41" s="549"/>
      <c r="EVH41" s="549"/>
      <c r="EVI41" s="549"/>
      <c r="EVJ41" s="549"/>
      <c r="EVK41" s="549"/>
      <c r="EVL41" s="549"/>
      <c r="EVM41" s="549"/>
      <c r="EVN41" s="549"/>
      <c r="EVO41" s="549"/>
      <c r="EVP41" s="549"/>
      <c r="EVQ41" s="549"/>
      <c r="EVR41" s="549"/>
      <c r="EVS41" s="549"/>
      <c r="EVT41" s="549"/>
      <c r="EVU41" s="549"/>
      <c r="EVV41" s="549"/>
      <c r="EVW41" s="549"/>
      <c r="EVX41" s="549"/>
      <c r="EVY41" s="549"/>
      <c r="EVZ41" s="549"/>
      <c r="EWA41" s="549"/>
      <c r="EWB41" s="549"/>
      <c r="EWC41" s="549"/>
      <c r="EWD41" s="549"/>
      <c r="EWE41" s="549"/>
      <c r="EWF41" s="549"/>
      <c r="EWG41" s="549"/>
      <c r="EWH41" s="549"/>
      <c r="EWI41" s="549"/>
      <c r="EWJ41" s="549"/>
      <c r="EWK41" s="549"/>
      <c r="EWL41" s="549"/>
      <c r="EWM41" s="549"/>
      <c r="EWN41" s="549"/>
      <c r="EWO41" s="549"/>
      <c r="EWP41" s="549"/>
      <c r="EWQ41" s="549"/>
      <c r="EWR41" s="549"/>
      <c r="EWS41" s="549"/>
      <c r="EWT41" s="549"/>
      <c r="EWU41" s="549"/>
      <c r="EWV41" s="549"/>
      <c r="EWW41" s="549"/>
      <c r="EWX41" s="549"/>
      <c r="EWY41" s="549"/>
      <c r="EWZ41" s="549"/>
      <c r="EXA41" s="549"/>
      <c r="EXB41" s="549"/>
      <c r="EXC41" s="549"/>
      <c r="EXD41" s="549"/>
      <c r="EXE41" s="549"/>
      <c r="EXF41" s="549"/>
      <c r="EXG41" s="549"/>
      <c r="EXH41" s="549"/>
      <c r="EXI41" s="549"/>
      <c r="EXJ41" s="549"/>
      <c r="EXK41" s="549"/>
      <c r="EXL41" s="549"/>
      <c r="EXM41" s="549"/>
      <c r="EXN41" s="549"/>
      <c r="EXO41" s="549"/>
      <c r="EXP41" s="549"/>
      <c r="EXQ41" s="549"/>
      <c r="EXR41" s="549"/>
      <c r="EXS41" s="549"/>
      <c r="EXT41" s="549"/>
      <c r="EXU41" s="549"/>
      <c r="EXV41" s="549"/>
      <c r="EXW41" s="549"/>
      <c r="EXX41" s="549"/>
      <c r="EXY41" s="549"/>
      <c r="EXZ41" s="549"/>
      <c r="EYA41" s="549"/>
      <c r="EYB41" s="549"/>
      <c r="EYC41" s="549"/>
      <c r="EYD41" s="549"/>
      <c r="EYE41" s="549"/>
      <c r="EYF41" s="549"/>
      <c r="EYG41" s="549"/>
      <c r="EYH41" s="549"/>
      <c r="EYI41" s="549"/>
      <c r="EYJ41" s="549"/>
      <c r="EYK41" s="549"/>
      <c r="EYL41" s="549"/>
      <c r="EYM41" s="549"/>
      <c r="EYN41" s="549"/>
      <c r="EYO41" s="549"/>
      <c r="EYP41" s="549"/>
      <c r="EYQ41" s="549"/>
      <c r="EYR41" s="549"/>
      <c r="EYS41" s="549"/>
      <c r="EYT41" s="549"/>
      <c r="EYU41" s="549"/>
      <c r="EYV41" s="549"/>
      <c r="EYW41" s="549"/>
      <c r="EYX41" s="549"/>
      <c r="EYY41" s="549"/>
      <c r="EYZ41" s="549"/>
      <c r="EZA41" s="549"/>
      <c r="EZB41" s="549"/>
      <c r="EZC41" s="549"/>
      <c r="EZD41" s="549"/>
      <c r="EZE41" s="549"/>
      <c r="EZF41" s="549"/>
      <c r="EZG41" s="549"/>
      <c r="EZH41" s="549"/>
      <c r="EZI41" s="549"/>
      <c r="EZJ41" s="549"/>
      <c r="EZK41" s="549"/>
      <c r="EZL41" s="549"/>
      <c r="EZM41" s="549"/>
      <c r="EZN41" s="549"/>
      <c r="EZO41" s="549"/>
      <c r="EZP41" s="549"/>
      <c r="EZQ41" s="549"/>
      <c r="EZR41" s="549"/>
      <c r="EZS41" s="549"/>
      <c r="EZT41" s="549"/>
      <c r="EZU41" s="549"/>
      <c r="EZV41" s="549"/>
      <c r="EZW41" s="549"/>
      <c r="EZX41" s="549"/>
      <c r="EZY41" s="549"/>
      <c r="EZZ41" s="549"/>
      <c r="FAA41" s="549"/>
      <c r="FAB41" s="549"/>
      <c r="FAC41" s="549"/>
      <c r="FAD41" s="549"/>
      <c r="FAE41" s="549"/>
      <c r="FAF41" s="549"/>
      <c r="FAG41" s="549"/>
      <c r="FAH41" s="549"/>
      <c r="FAI41" s="549"/>
      <c r="FAJ41" s="549"/>
      <c r="FAK41" s="549"/>
      <c r="FAL41" s="549"/>
      <c r="FAM41" s="549"/>
      <c r="FAN41" s="549"/>
      <c r="FAO41" s="549"/>
      <c r="FAP41" s="549"/>
      <c r="FAQ41" s="549"/>
      <c r="FAR41" s="549"/>
      <c r="FAS41" s="549"/>
      <c r="FAT41" s="549"/>
      <c r="FAU41" s="549"/>
      <c r="FAV41" s="549"/>
      <c r="FAW41" s="549"/>
      <c r="FAX41" s="549"/>
      <c r="FAY41" s="549"/>
      <c r="FAZ41" s="549"/>
      <c r="FBA41" s="549"/>
      <c r="FBB41" s="549"/>
      <c r="FBC41" s="549"/>
      <c r="FBD41" s="549"/>
      <c r="FBE41" s="549"/>
      <c r="FBF41" s="549"/>
      <c r="FBG41" s="549"/>
      <c r="FBH41" s="549"/>
      <c r="FBI41" s="549"/>
      <c r="FBJ41" s="549"/>
      <c r="FBK41" s="549"/>
      <c r="FBL41" s="549"/>
      <c r="FBM41" s="549"/>
      <c r="FBN41" s="549"/>
      <c r="FBO41" s="549"/>
      <c r="FBP41" s="549"/>
      <c r="FBQ41" s="549"/>
      <c r="FBR41" s="549"/>
      <c r="FBS41" s="549"/>
      <c r="FBT41" s="549"/>
      <c r="FBU41" s="549"/>
      <c r="FBV41" s="549"/>
      <c r="FBW41" s="549"/>
      <c r="FBX41" s="549"/>
      <c r="FBY41" s="549"/>
      <c r="FBZ41" s="549"/>
      <c r="FCA41" s="549"/>
      <c r="FCB41" s="549"/>
      <c r="FCC41" s="549"/>
      <c r="FCD41" s="549"/>
      <c r="FCE41" s="549"/>
      <c r="FCF41" s="549"/>
      <c r="FCG41" s="549"/>
      <c r="FCH41" s="549"/>
      <c r="FCI41" s="549"/>
      <c r="FCJ41" s="549"/>
      <c r="FCK41" s="549"/>
      <c r="FCL41" s="549"/>
      <c r="FCM41" s="549"/>
      <c r="FCN41" s="549"/>
      <c r="FCO41" s="549"/>
      <c r="FCP41" s="549"/>
      <c r="FCQ41" s="549"/>
      <c r="FCR41" s="549"/>
      <c r="FCS41" s="549"/>
      <c r="FCT41" s="549"/>
      <c r="FCU41" s="549"/>
      <c r="FCV41" s="549"/>
      <c r="FCW41" s="549"/>
      <c r="FCX41" s="549"/>
      <c r="FCY41" s="549"/>
      <c r="FCZ41" s="549"/>
      <c r="FDA41" s="549"/>
      <c r="FDB41" s="549"/>
      <c r="FDC41" s="549"/>
      <c r="FDD41" s="549"/>
      <c r="FDE41" s="549"/>
      <c r="FDF41" s="549"/>
      <c r="FDG41" s="549"/>
      <c r="FDH41" s="549"/>
      <c r="FDI41" s="549"/>
      <c r="FDJ41" s="549"/>
      <c r="FDK41" s="549"/>
      <c r="FDL41" s="549"/>
      <c r="FDM41" s="549"/>
      <c r="FDN41" s="549"/>
      <c r="FDO41" s="549"/>
      <c r="FDP41" s="549"/>
      <c r="FDQ41" s="549"/>
      <c r="FDR41" s="549"/>
      <c r="FDS41" s="549"/>
      <c r="FDT41" s="549"/>
      <c r="FDU41" s="549"/>
      <c r="FDV41" s="549"/>
      <c r="FDW41" s="549"/>
      <c r="FDX41" s="549"/>
      <c r="FDY41" s="549"/>
      <c r="FDZ41" s="549"/>
      <c r="FEA41" s="549"/>
      <c r="FEB41" s="549"/>
      <c r="FEC41" s="549"/>
      <c r="FED41" s="549"/>
      <c r="FEE41" s="549"/>
      <c r="FEF41" s="549"/>
      <c r="FEG41" s="549"/>
      <c r="FEH41" s="549"/>
      <c r="FEI41" s="549"/>
      <c r="FEJ41" s="549"/>
      <c r="FEK41" s="549"/>
      <c r="FEL41" s="549"/>
      <c r="FEM41" s="549"/>
      <c r="FEN41" s="549"/>
      <c r="FEO41" s="549"/>
      <c r="FEP41" s="549"/>
      <c r="FEQ41" s="549"/>
      <c r="FER41" s="549"/>
      <c r="FES41" s="549"/>
      <c r="FET41" s="549"/>
      <c r="FEU41" s="549"/>
      <c r="FEV41" s="549"/>
      <c r="FEW41" s="549"/>
      <c r="FEX41" s="549"/>
      <c r="FEY41" s="549"/>
      <c r="FEZ41" s="549"/>
      <c r="FFA41" s="549"/>
      <c r="FFB41" s="549"/>
      <c r="FFC41" s="549"/>
      <c r="FFD41" s="549"/>
      <c r="FFE41" s="549"/>
      <c r="FFF41" s="549"/>
      <c r="FFG41" s="549"/>
      <c r="FFH41" s="549"/>
      <c r="FFI41" s="549"/>
      <c r="FFJ41" s="549"/>
      <c r="FFK41" s="549"/>
      <c r="FFL41" s="549"/>
      <c r="FFM41" s="549"/>
      <c r="FFN41" s="549"/>
      <c r="FFO41" s="549"/>
      <c r="FFP41" s="549"/>
      <c r="FFQ41" s="549"/>
      <c r="FFR41" s="549"/>
      <c r="FFS41" s="549"/>
      <c r="FFT41" s="549"/>
      <c r="FFU41" s="549"/>
      <c r="FFV41" s="549"/>
      <c r="FFW41" s="549"/>
      <c r="FFX41" s="549"/>
      <c r="FFY41" s="549"/>
      <c r="FFZ41" s="549"/>
      <c r="FGA41" s="549"/>
      <c r="FGB41" s="549"/>
      <c r="FGC41" s="549"/>
      <c r="FGD41" s="549"/>
      <c r="FGE41" s="549"/>
      <c r="FGF41" s="549"/>
      <c r="FGG41" s="549"/>
      <c r="FGH41" s="549"/>
      <c r="FGI41" s="549"/>
      <c r="FGJ41" s="549"/>
      <c r="FGK41" s="549"/>
      <c r="FGL41" s="549"/>
      <c r="FGM41" s="549"/>
      <c r="FGN41" s="549"/>
      <c r="FGO41" s="549"/>
      <c r="FGP41" s="549"/>
      <c r="FGQ41" s="549"/>
      <c r="FGR41" s="549"/>
      <c r="FGS41" s="549"/>
      <c r="FGT41" s="549"/>
      <c r="FGU41" s="549"/>
      <c r="FGV41" s="549"/>
      <c r="FGW41" s="549"/>
      <c r="FGX41" s="549"/>
      <c r="FGY41" s="549"/>
      <c r="FGZ41" s="549"/>
      <c r="FHA41" s="549"/>
      <c r="FHB41" s="549"/>
      <c r="FHC41" s="549"/>
      <c r="FHD41" s="549"/>
      <c r="FHE41" s="549"/>
      <c r="FHF41" s="549"/>
      <c r="FHG41" s="549"/>
      <c r="FHH41" s="549"/>
      <c r="FHI41" s="549"/>
      <c r="FHJ41" s="549"/>
      <c r="FHK41" s="549"/>
      <c r="FHL41" s="549"/>
      <c r="FHM41" s="549"/>
      <c r="FHN41" s="549"/>
      <c r="FHO41" s="549"/>
      <c r="FHP41" s="549"/>
      <c r="FHQ41" s="549"/>
      <c r="FHR41" s="549"/>
      <c r="FHS41" s="549"/>
      <c r="FHT41" s="549"/>
      <c r="FHU41" s="549"/>
      <c r="FHV41" s="549"/>
      <c r="FHW41" s="549"/>
      <c r="FHX41" s="549"/>
      <c r="FHY41" s="549"/>
      <c r="FHZ41" s="549"/>
      <c r="FIA41" s="549"/>
      <c r="FIB41" s="549"/>
      <c r="FIC41" s="549"/>
      <c r="FID41" s="549"/>
      <c r="FIE41" s="549"/>
      <c r="FIF41" s="549"/>
      <c r="FIG41" s="549"/>
      <c r="FIH41" s="549"/>
      <c r="FII41" s="549"/>
      <c r="FIJ41" s="549"/>
      <c r="FIK41" s="549"/>
      <c r="FIL41" s="549"/>
      <c r="FIM41" s="549"/>
      <c r="FIN41" s="549"/>
      <c r="FIO41" s="549"/>
      <c r="FIP41" s="549"/>
      <c r="FIQ41" s="549"/>
      <c r="FIR41" s="549"/>
      <c r="FIS41" s="549"/>
      <c r="FIT41" s="549"/>
      <c r="FIU41" s="549"/>
      <c r="FIV41" s="549"/>
      <c r="FIW41" s="549"/>
      <c r="FIX41" s="549"/>
      <c r="FIY41" s="549"/>
      <c r="FIZ41" s="549"/>
      <c r="FJA41" s="549"/>
      <c r="FJB41" s="549"/>
      <c r="FJC41" s="549"/>
      <c r="FJD41" s="549"/>
      <c r="FJE41" s="549"/>
      <c r="FJF41" s="549"/>
      <c r="FJG41" s="549"/>
      <c r="FJH41" s="549"/>
      <c r="FJI41" s="549"/>
      <c r="FJJ41" s="549"/>
      <c r="FJK41" s="549"/>
      <c r="FJL41" s="549"/>
      <c r="FJM41" s="549"/>
      <c r="FJN41" s="549"/>
      <c r="FJO41" s="549"/>
      <c r="FJP41" s="549"/>
      <c r="FJQ41" s="549"/>
      <c r="FJR41" s="549"/>
      <c r="FJS41" s="549"/>
      <c r="FJT41" s="549"/>
      <c r="FJU41" s="549"/>
      <c r="FJV41" s="549"/>
      <c r="FJW41" s="549"/>
      <c r="FJX41" s="549"/>
      <c r="FJY41" s="549"/>
      <c r="FJZ41" s="549"/>
      <c r="FKA41" s="549"/>
      <c r="FKB41" s="549"/>
      <c r="FKC41" s="549"/>
      <c r="FKD41" s="549"/>
      <c r="FKE41" s="549"/>
      <c r="FKF41" s="549"/>
      <c r="FKG41" s="549"/>
      <c r="FKH41" s="549"/>
      <c r="FKI41" s="549"/>
      <c r="FKJ41" s="549"/>
      <c r="FKK41" s="549"/>
      <c r="FKL41" s="549"/>
      <c r="FKM41" s="549"/>
      <c r="FKN41" s="549"/>
      <c r="FKO41" s="549"/>
      <c r="FKP41" s="549"/>
      <c r="FKQ41" s="549"/>
      <c r="FKR41" s="549"/>
      <c r="FKS41" s="549"/>
      <c r="FKT41" s="549"/>
      <c r="FKU41" s="549"/>
      <c r="FKV41" s="549"/>
      <c r="FKW41" s="549"/>
      <c r="FKX41" s="549"/>
      <c r="FKY41" s="549"/>
      <c r="FKZ41" s="549"/>
      <c r="FLA41" s="549"/>
      <c r="FLB41" s="549"/>
      <c r="FLC41" s="549"/>
      <c r="FLD41" s="549"/>
      <c r="FLE41" s="549"/>
      <c r="FLF41" s="549"/>
      <c r="FLG41" s="549"/>
      <c r="FLH41" s="549"/>
      <c r="FLI41" s="549"/>
      <c r="FLJ41" s="549"/>
      <c r="FLK41" s="549"/>
      <c r="FLL41" s="549"/>
      <c r="FLM41" s="549"/>
      <c r="FLN41" s="549"/>
      <c r="FLO41" s="549"/>
      <c r="FLP41" s="549"/>
      <c r="FLQ41" s="549"/>
      <c r="FLR41" s="549"/>
      <c r="FLS41" s="549"/>
      <c r="FLT41" s="549"/>
      <c r="FLU41" s="549"/>
      <c r="FLV41" s="549"/>
      <c r="FLW41" s="549"/>
      <c r="FLX41" s="549"/>
      <c r="FLY41" s="549"/>
      <c r="FLZ41" s="549"/>
      <c r="FMA41" s="549"/>
      <c r="FMB41" s="549"/>
      <c r="FMC41" s="549"/>
      <c r="FMD41" s="549"/>
      <c r="FME41" s="549"/>
      <c r="FMF41" s="549"/>
      <c r="FMG41" s="549"/>
      <c r="FMH41" s="549"/>
      <c r="FMI41" s="549"/>
      <c r="FMJ41" s="549"/>
      <c r="FMK41" s="549"/>
      <c r="FML41" s="549"/>
      <c r="FMM41" s="549"/>
      <c r="FMN41" s="549"/>
      <c r="FMO41" s="549"/>
      <c r="FMP41" s="549"/>
      <c r="FMQ41" s="549"/>
      <c r="FMR41" s="549"/>
      <c r="FMS41" s="549"/>
      <c r="FMT41" s="549"/>
      <c r="FMU41" s="549"/>
      <c r="FMV41" s="549"/>
      <c r="FMW41" s="549"/>
      <c r="FMX41" s="549"/>
      <c r="FMY41" s="549"/>
      <c r="FMZ41" s="549"/>
      <c r="FNA41" s="549"/>
      <c r="FNB41" s="549"/>
      <c r="FNC41" s="549"/>
      <c r="FND41" s="549"/>
      <c r="FNE41" s="549"/>
      <c r="FNF41" s="549"/>
      <c r="FNG41" s="549"/>
      <c r="FNH41" s="549"/>
      <c r="FNI41" s="549"/>
      <c r="FNJ41" s="549"/>
      <c r="FNK41" s="549"/>
      <c r="FNL41" s="549"/>
      <c r="FNM41" s="549"/>
      <c r="FNN41" s="549"/>
      <c r="FNO41" s="549"/>
      <c r="FNP41" s="549"/>
      <c r="FNQ41" s="549"/>
      <c r="FNR41" s="549"/>
      <c r="FNS41" s="549"/>
      <c r="FNT41" s="549"/>
      <c r="FNU41" s="549"/>
      <c r="FNV41" s="549"/>
      <c r="FNW41" s="549"/>
      <c r="FNX41" s="549"/>
      <c r="FNY41" s="549"/>
      <c r="FNZ41" s="549"/>
      <c r="FOA41" s="549"/>
      <c r="FOB41" s="549"/>
      <c r="FOC41" s="549"/>
      <c r="FOD41" s="549"/>
      <c r="FOE41" s="549"/>
      <c r="FOF41" s="549"/>
      <c r="FOG41" s="549"/>
      <c r="FOH41" s="549"/>
      <c r="FOI41" s="549"/>
      <c r="FOJ41" s="549"/>
      <c r="FOK41" s="549"/>
      <c r="FOL41" s="549"/>
      <c r="FOM41" s="549"/>
      <c r="FON41" s="549"/>
      <c r="FOO41" s="549"/>
      <c r="FOP41" s="549"/>
      <c r="FOQ41" s="549"/>
      <c r="FOR41" s="549"/>
      <c r="FOS41" s="549"/>
      <c r="FOT41" s="549"/>
      <c r="FOU41" s="549"/>
      <c r="FOV41" s="549"/>
      <c r="FOW41" s="549"/>
      <c r="FOX41" s="549"/>
      <c r="FOY41" s="549"/>
      <c r="FOZ41" s="549"/>
      <c r="FPA41" s="549"/>
      <c r="FPB41" s="549"/>
      <c r="FPC41" s="549"/>
      <c r="FPD41" s="549"/>
      <c r="FPE41" s="549"/>
      <c r="FPF41" s="549"/>
      <c r="FPG41" s="549"/>
      <c r="FPH41" s="549"/>
      <c r="FPI41" s="549"/>
      <c r="FPJ41" s="549"/>
      <c r="FPK41" s="549"/>
      <c r="FPL41" s="549"/>
      <c r="FPM41" s="549"/>
      <c r="FPN41" s="549"/>
      <c r="FPO41" s="549"/>
      <c r="FPP41" s="549"/>
      <c r="FPQ41" s="549"/>
      <c r="FPR41" s="549"/>
      <c r="FPS41" s="549"/>
      <c r="FPT41" s="549"/>
      <c r="FPU41" s="549"/>
      <c r="FPV41" s="549"/>
      <c r="FPW41" s="549"/>
      <c r="FPX41" s="549"/>
      <c r="FPY41" s="549"/>
      <c r="FPZ41" s="549"/>
      <c r="FQA41" s="549"/>
      <c r="FQB41" s="549"/>
      <c r="FQC41" s="549"/>
      <c r="FQD41" s="549"/>
      <c r="FQE41" s="549"/>
      <c r="FQF41" s="549"/>
      <c r="FQG41" s="549"/>
      <c r="FQH41" s="549"/>
      <c r="FQI41" s="549"/>
      <c r="FQJ41" s="549"/>
      <c r="FQK41" s="549"/>
      <c r="FQL41" s="549"/>
      <c r="FQM41" s="549"/>
      <c r="FQN41" s="549"/>
      <c r="FQO41" s="549"/>
      <c r="FQP41" s="549"/>
      <c r="FQQ41" s="549"/>
      <c r="FQR41" s="549"/>
      <c r="FQS41" s="549"/>
      <c r="FQT41" s="549"/>
      <c r="FQU41" s="549"/>
      <c r="FQV41" s="549"/>
      <c r="FQW41" s="549"/>
      <c r="FQX41" s="549"/>
      <c r="FQY41" s="549"/>
      <c r="FQZ41" s="549"/>
      <c r="FRA41" s="549"/>
      <c r="FRB41" s="549"/>
      <c r="FRC41" s="549"/>
      <c r="FRD41" s="549"/>
      <c r="FRE41" s="549"/>
      <c r="FRF41" s="549"/>
      <c r="FRG41" s="549"/>
      <c r="FRH41" s="549"/>
      <c r="FRI41" s="549"/>
      <c r="FRJ41" s="549"/>
      <c r="FRK41" s="549"/>
      <c r="FRL41" s="549"/>
      <c r="FRM41" s="549"/>
      <c r="FRN41" s="549"/>
      <c r="FRO41" s="549"/>
      <c r="FRP41" s="549"/>
      <c r="FRQ41" s="549"/>
      <c r="FRR41" s="549"/>
      <c r="FRS41" s="549"/>
      <c r="FRT41" s="549"/>
      <c r="FRU41" s="549"/>
      <c r="FRV41" s="549"/>
      <c r="FRW41" s="549"/>
      <c r="FRX41" s="549"/>
      <c r="FRY41" s="549"/>
      <c r="FRZ41" s="549"/>
      <c r="FSA41" s="549"/>
      <c r="FSB41" s="549"/>
      <c r="FSC41" s="549"/>
      <c r="FSD41" s="549"/>
      <c r="FSE41" s="549"/>
      <c r="FSF41" s="549"/>
      <c r="FSG41" s="549"/>
      <c r="FSH41" s="549"/>
      <c r="FSI41" s="549"/>
      <c r="FSJ41" s="549"/>
      <c r="FSK41" s="549"/>
      <c r="FSL41" s="549"/>
      <c r="FSM41" s="549"/>
      <c r="FSN41" s="549"/>
      <c r="FSO41" s="549"/>
      <c r="FSP41" s="549"/>
      <c r="FSQ41" s="549"/>
      <c r="FSR41" s="549"/>
      <c r="FSS41" s="549"/>
      <c r="FST41" s="549"/>
      <c r="FSU41" s="549"/>
      <c r="FSV41" s="549"/>
      <c r="FSW41" s="549"/>
      <c r="FSX41" s="549"/>
      <c r="FSY41" s="549"/>
      <c r="FSZ41" s="549"/>
      <c r="FTA41" s="549"/>
      <c r="FTB41" s="549"/>
      <c r="FTC41" s="549"/>
      <c r="FTD41" s="549"/>
      <c r="FTE41" s="549"/>
      <c r="FTF41" s="549"/>
      <c r="FTG41" s="549"/>
      <c r="FTH41" s="549"/>
      <c r="FTI41" s="549"/>
      <c r="FTJ41" s="549"/>
      <c r="FTK41" s="549"/>
      <c r="FTL41" s="549"/>
      <c r="FTM41" s="549"/>
      <c r="FTN41" s="549"/>
      <c r="FTO41" s="549"/>
      <c r="FTP41" s="549"/>
      <c r="FTQ41" s="549"/>
      <c r="FTR41" s="549"/>
      <c r="FTS41" s="549"/>
      <c r="FTT41" s="549"/>
      <c r="FTU41" s="549"/>
      <c r="FTV41" s="549"/>
      <c r="FTW41" s="549"/>
      <c r="FTX41" s="549"/>
      <c r="FTY41" s="549"/>
      <c r="FTZ41" s="549"/>
      <c r="FUA41" s="549"/>
      <c r="FUB41" s="549"/>
      <c r="FUC41" s="549"/>
      <c r="FUD41" s="549"/>
      <c r="FUE41" s="549"/>
      <c r="FUF41" s="549"/>
      <c r="FUG41" s="549"/>
      <c r="FUH41" s="549"/>
      <c r="FUI41" s="549"/>
      <c r="FUJ41" s="549"/>
      <c r="FUK41" s="549"/>
      <c r="FUL41" s="549"/>
      <c r="FUM41" s="549"/>
      <c r="FUN41" s="549"/>
      <c r="FUO41" s="549"/>
      <c r="FUP41" s="549"/>
      <c r="FUQ41" s="549"/>
      <c r="FUR41" s="549"/>
      <c r="FUS41" s="549"/>
      <c r="FUT41" s="549"/>
      <c r="FUU41" s="549"/>
      <c r="FUV41" s="549"/>
      <c r="FUW41" s="549"/>
      <c r="FUX41" s="549"/>
      <c r="FUY41" s="549"/>
      <c r="FUZ41" s="549"/>
      <c r="FVA41" s="549"/>
      <c r="FVB41" s="549"/>
      <c r="FVC41" s="549"/>
      <c r="FVD41" s="549"/>
      <c r="FVE41" s="549"/>
      <c r="FVF41" s="549"/>
      <c r="FVG41" s="549"/>
      <c r="FVH41" s="549"/>
      <c r="FVI41" s="549"/>
      <c r="FVJ41" s="549"/>
      <c r="FVK41" s="549"/>
      <c r="FVL41" s="549"/>
      <c r="FVM41" s="549"/>
      <c r="FVN41" s="549"/>
      <c r="FVO41" s="549"/>
      <c r="FVP41" s="549"/>
      <c r="FVQ41" s="549"/>
      <c r="FVR41" s="549"/>
      <c r="FVS41" s="549"/>
      <c r="FVT41" s="549"/>
      <c r="FVU41" s="549"/>
      <c r="FVV41" s="549"/>
      <c r="FVW41" s="549"/>
      <c r="FVX41" s="549"/>
      <c r="FVY41" s="549"/>
      <c r="FVZ41" s="549"/>
      <c r="FWA41" s="549"/>
      <c r="FWB41" s="549"/>
      <c r="FWC41" s="549"/>
      <c r="FWD41" s="549"/>
      <c r="FWE41" s="549"/>
      <c r="FWF41" s="549"/>
      <c r="FWG41" s="549"/>
      <c r="FWH41" s="549"/>
      <c r="FWI41" s="549"/>
      <c r="FWJ41" s="549"/>
      <c r="FWK41" s="549"/>
      <c r="FWL41" s="549"/>
      <c r="FWM41" s="549"/>
      <c r="FWN41" s="549"/>
      <c r="FWO41" s="549"/>
      <c r="FWP41" s="549"/>
      <c r="FWQ41" s="549"/>
      <c r="FWR41" s="549"/>
      <c r="FWS41" s="549"/>
      <c r="FWT41" s="549"/>
      <c r="FWU41" s="549"/>
      <c r="FWV41" s="549"/>
      <c r="FWW41" s="549"/>
      <c r="FWX41" s="549"/>
      <c r="FWY41" s="549"/>
      <c r="FWZ41" s="549"/>
      <c r="FXA41" s="549"/>
      <c r="FXB41" s="549"/>
      <c r="FXC41" s="549"/>
      <c r="FXD41" s="549"/>
      <c r="FXE41" s="549"/>
      <c r="FXF41" s="549"/>
      <c r="FXG41" s="549"/>
      <c r="FXH41" s="549"/>
      <c r="FXI41" s="549"/>
      <c r="FXJ41" s="549"/>
      <c r="FXK41" s="549"/>
      <c r="FXL41" s="549"/>
      <c r="FXM41" s="549"/>
      <c r="FXN41" s="549"/>
      <c r="FXO41" s="549"/>
      <c r="FXP41" s="549"/>
      <c r="FXQ41" s="549"/>
      <c r="FXR41" s="549"/>
      <c r="FXS41" s="549"/>
      <c r="FXT41" s="549"/>
      <c r="FXU41" s="549"/>
      <c r="FXV41" s="549"/>
      <c r="FXW41" s="549"/>
      <c r="FXX41" s="549"/>
      <c r="FXY41" s="549"/>
      <c r="FXZ41" s="549"/>
      <c r="FYA41" s="549"/>
      <c r="FYB41" s="549"/>
      <c r="FYC41" s="549"/>
      <c r="FYD41" s="549"/>
      <c r="FYE41" s="549"/>
      <c r="FYF41" s="549"/>
      <c r="FYG41" s="549"/>
      <c r="FYH41" s="549"/>
      <c r="FYI41" s="549"/>
      <c r="FYJ41" s="549"/>
      <c r="FYK41" s="549"/>
      <c r="FYL41" s="549"/>
      <c r="FYM41" s="549"/>
      <c r="FYN41" s="549"/>
      <c r="FYO41" s="549"/>
      <c r="FYP41" s="549"/>
      <c r="FYQ41" s="549"/>
      <c r="FYR41" s="549"/>
      <c r="FYS41" s="549"/>
      <c r="FYT41" s="549"/>
      <c r="FYU41" s="549"/>
      <c r="FYV41" s="549"/>
      <c r="FYW41" s="549"/>
      <c r="FYX41" s="549"/>
      <c r="FYY41" s="549"/>
      <c r="FYZ41" s="549"/>
      <c r="FZA41" s="549"/>
      <c r="FZB41" s="549"/>
      <c r="FZC41" s="549"/>
      <c r="FZD41" s="549"/>
      <c r="FZE41" s="549"/>
      <c r="FZF41" s="549"/>
      <c r="FZG41" s="549"/>
      <c r="FZH41" s="549"/>
      <c r="FZI41" s="549"/>
      <c r="FZJ41" s="549"/>
      <c r="FZK41" s="549"/>
      <c r="FZL41" s="549"/>
      <c r="FZM41" s="549"/>
      <c r="FZN41" s="549"/>
      <c r="FZO41" s="549"/>
      <c r="FZP41" s="549"/>
      <c r="FZQ41" s="549"/>
      <c r="FZR41" s="549"/>
      <c r="FZS41" s="549"/>
      <c r="FZT41" s="549"/>
      <c r="FZU41" s="549"/>
      <c r="FZV41" s="549"/>
      <c r="FZW41" s="549"/>
      <c r="FZX41" s="549"/>
      <c r="FZY41" s="549"/>
      <c r="FZZ41" s="549"/>
      <c r="GAA41" s="549"/>
      <c r="GAB41" s="549"/>
      <c r="GAC41" s="549"/>
      <c r="GAD41" s="549"/>
      <c r="GAE41" s="549"/>
      <c r="GAF41" s="549"/>
      <c r="GAG41" s="549"/>
      <c r="GAH41" s="549"/>
      <c r="GAI41" s="549"/>
      <c r="GAJ41" s="549"/>
      <c r="GAK41" s="549"/>
      <c r="GAL41" s="549"/>
      <c r="GAM41" s="549"/>
      <c r="GAN41" s="549"/>
      <c r="GAO41" s="549"/>
      <c r="GAP41" s="549"/>
      <c r="GAQ41" s="549"/>
      <c r="GAR41" s="549"/>
      <c r="GAS41" s="549"/>
      <c r="GAT41" s="549"/>
      <c r="GAU41" s="549"/>
      <c r="GAV41" s="549"/>
      <c r="GAW41" s="549"/>
      <c r="GAX41" s="549"/>
      <c r="GAY41" s="549"/>
      <c r="GAZ41" s="549"/>
      <c r="GBA41" s="549"/>
      <c r="GBB41" s="549"/>
      <c r="GBC41" s="549"/>
      <c r="GBD41" s="549"/>
      <c r="GBE41" s="549"/>
      <c r="GBF41" s="549"/>
      <c r="GBG41" s="549"/>
      <c r="GBH41" s="549"/>
      <c r="GBI41" s="549"/>
      <c r="GBJ41" s="549"/>
      <c r="GBK41" s="549"/>
      <c r="GBL41" s="549"/>
      <c r="GBM41" s="549"/>
      <c r="GBN41" s="549"/>
      <c r="GBO41" s="549"/>
      <c r="GBP41" s="549"/>
      <c r="GBQ41" s="549"/>
      <c r="GBR41" s="549"/>
      <c r="GBS41" s="549"/>
      <c r="GBT41" s="549"/>
      <c r="GBU41" s="549"/>
      <c r="GBV41" s="549"/>
      <c r="GBW41" s="549"/>
      <c r="GBX41" s="549"/>
      <c r="GBY41" s="549"/>
      <c r="GBZ41" s="549"/>
      <c r="GCA41" s="549"/>
      <c r="GCB41" s="549"/>
      <c r="GCC41" s="549"/>
      <c r="GCD41" s="549"/>
      <c r="GCE41" s="549"/>
      <c r="GCF41" s="549"/>
      <c r="GCG41" s="549"/>
      <c r="GCH41" s="549"/>
      <c r="GCI41" s="549"/>
      <c r="GCJ41" s="549"/>
      <c r="GCK41" s="549"/>
      <c r="GCL41" s="549"/>
      <c r="GCM41" s="549"/>
      <c r="GCN41" s="549"/>
      <c r="GCO41" s="549"/>
      <c r="GCP41" s="549"/>
      <c r="GCQ41" s="549"/>
      <c r="GCR41" s="549"/>
      <c r="GCS41" s="549"/>
      <c r="GCT41" s="549"/>
      <c r="GCU41" s="549"/>
      <c r="GCV41" s="549"/>
      <c r="GCW41" s="549"/>
      <c r="GCX41" s="549"/>
      <c r="GCY41" s="549"/>
      <c r="GCZ41" s="549"/>
      <c r="GDA41" s="549"/>
      <c r="GDB41" s="549"/>
      <c r="GDC41" s="549"/>
      <c r="GDD41" s="549"/>
      <c r="GDE41" s="549"/>
      <c r="GDF41" s="549"/>
      <c r="GDG41" s="549"/>
      <c r="GDH41" s="549"/>
      <c r="GDI41" s="549"/>
      <c r="GDJ41" s="549"/>
      <c r="GDK41" s="549"/>
      <c r="GDL41" s="549"/>
      <c r="GDM41" s="549"/>
      <c r="GDN41" s="549"/>
      <c r="GDO41" s="549"/>
      <c r="GDP41" s="549"/>
      <c r="GDQ41" s="549"/>
      <c r="GDR41" s="549"/>
      <c r="GDS41" s="549"/>
      <c r="GDT41" s="549"/>
      <c r="GDU41" s="549"/>
      <c r="GDV41" s="549"/>
      <c r="GDW41" s="549"/>
      <c r="GDX41" s="549"/>
      <c r="GDY41" s="549"/>
      <c r="GDZ41" s="549"/>
      <c r="GEA41" s="549"/>
      <c r="GEB41" s="549"/>
      <c r="GEC41" s="549"/>
      <c r="GED41" s="549"/>
      <c r="GEE41" s="549"/>
      <c r="GEF41" s="549"/>
      <c r="GEG41" s="549"/>
      <c r="GEH41" s="549"/>
      <c r="GEI41" s="549"/>
      <c r="GEJ41" s="549"/>
      <c r="GEK41" s="549"/>
      <c r="GEL41" s="549"/>
      <c r="GEM41" s="549"/>
      <c r="GEN41" s="549"/>
      <c r="GEO41" s="549"/>
      <c r="GEP41" s="549"/>
      <c r="GEQ41" s="549"/>
      <c r="GER41" s="549"/>
      <c r="GES41" s="549"/>
      <c r="GET41" s="549"/>
      <c r="GEU41" s="549"/>
      <c r="GEV41" s="549"/>
      <c r="GEW41" s="549"/>
      <c r="GEX41" s="549"/>
      <c r="GEY41" s="549"/>
      <c r="GEZ41" s="549"/>
      <c r="GFA41" s="549"/>
      <c r="GFB41" s="549"/>
      <c r="GFC41" s="549"/>
      <c r="GFD41" s="549"/>
      <c r="GFE41" s="549"/>
      <c r="GFF41" s="549"/>
      <c r="GFG41" s="549"/>
      <c r="GFH41" s="549"/>
      <c r="GFI41" s="549"/>
      <c r="GFJ41" s="549"/>
      <c r="GFK41" s="549"/>
      <c r="GFL41" s="549"/>
      <c r="GFM41" s="549"/>
      <c r="GFN41" s="549"/>
      <c r="GFO41" s="549"/>
      <c r="GFP41" s="549"/>
      <c r="GFQ41" s="549"/>
      <c r="GFR41" s="549"/>
      <c r="GFS41" s="549"/>
      <c r="GFT41" s="549"/>
      <c r="GFU41" s="549"/>
      <c r="GFV41" s="549"/>
      <c r="GFW41" s="549"/>
      <c r="GFX41" s="549"/>
      <c r="GFY41" s="549"/>
      <c r="GFZ41" s="549"/>
      <c r="GGA41" s="549"/>
      <c r="GGB41" s="549"/>
      <c r="GGC41" s="549"/>
      <c r="GGD41" s="549"/>
      <c r="GGE41" s="549"/>
      <c r="GGF41" s="549"/>
      <c r="GGG41" s="549"/>
      <c r="GGH41" s="549"/>
      <c r="GGI41" s="549"/>
      <c r="GGJ41" s="549"/>
      <c r="GGK41" s="549"/>
      <c r="GGL41" s="549"/>
      <c r="GGM41" s="549"/>
      <c r="GGN41" s="549"/>
      <c r="GGO41" s="549"/>
      <c r="GGP41" s="549"/>
      <c r="GGQ41" s="549"/>
      <c r="GGR41" s="549"/>
      <c r="GGS41" s="549"/>
      <c r="GGT41" s="549"/>
      <c r="GGU41" s="549"/>
      <c r="GGV41" s="549"/>
      <c r="GGW41" s="549"/>
      <c r="GGX41" s="549"/>
      <c r="GGY41" s="549"/>
      <c r="GGZ41" s="549"/>
      <c r="GHA41" s="549"/>
      <c r="GHB41" s="549"/>
      <c r="GHC41" s="549"/>
      <c r="GHD41" s="549"/>
      <c r="GHE41" s="549"/>
      <c r="GHF41" s="549"/>
      <c r="GHG41" s="549"/>
      <c r="GHH41" s="549"/>
      <c r="GHI41" s="549"/>
      <c r="GHJ41" s="549"/>
      <c r="GHK41" s="549"/>
      <c r="GHL41" s="549"/>
      <c r="GHM41" s="549"/>
      <c r="GHN41" s="549"/>
      <c r="GHO41" s="549"/>
      <c r="GHP41" s="549"/>
      <c r="GHQ41" s="549"/>
      <c r="GHR41" s="549"/>
      <c r="GHS41" s="549"/>
      <c r="GHT41" s="549"/>
      <c r="GHU41" s="549"/>
      <c r="GHV41" s="549"/>
      <c r="GHW41" s="549"/>
      <c r="GHX41" s="549"/>
      <c r="GHY41" s="549"/>
      <c r="GHZ41" s="549"/>
      <c r="GIA41" s="549"/>
      <c r="GIB41" s="549"/>
      <c r="GIC41" s="549"/>
      <c r="GID41" s="549"/>
      <c r="GIE41" s="549"/>
      <c r="GIF41" s="549"/>
      <c r="GIG41" s="549"/>
      <c r="GIH41" s="549"/>
      <c r="GII41" s="549"/>
      <c r="GIJ41" s="549"/>
      <c r="GIK41" s="549"/>
      <c r="GIL41" s="549"/>
      <c r="GIM41" s="549"/>
      <c r="GIN41" s="549"/>
      <c r="GIO41" s="549"/>
      <c r="GIP41" s="549"/>
      <c r="GIQ41" s="549"/>
      <c r="GIR41" s="549"/>
      <c r="GIS41" s="549"/>
      <c r="GIT41" s="549"/>
      <c r="GIU41" s="549"/>
      <c r="GIV41" s="549"/>
      <c r="GIW41" s="549"/>
      <c r="GIX41" s="549"/>
      <c r="GIY41" s="549"/>
      <c r="GIZ41" s="549"/>
      <c r="GJA41" s="549"/>
      <c r="GJB41" s="549"/>
      <c r="GJC41" s="549"/>
      <c r="GJD41" s="549"/>
      <c r="GJE41" s="549"/>
      <c r="GJF41" s="549"/>
      <c r="GJG41" s="549"/>
      <c r="GJH41" s="549"/>
      <c r="GJI41" s="549"/>
      <c r="GJJ41" s="549"/>
      <c r="GJK41" s="549"/>
      <c r="GJL41" s="549"/>
      <c r="GJM41" s="549"/>
      <c r="GJN41" s="549"/>
      <c r="GJO41" s="549"/>
      <c r="GJP41" s="549"/>
      <c r="GJQ41" s="549"/>
      <c r="GJR41" s="549"/>
      <c r="GJS41" s="549"/>
      <c r="GJT41" s="549"/>
      <c r="GJU41" s="549"/>
      <c r="GJV41" s="549"/>
      <c r="GJW41" s="549"/>
      <c r="GJX41" s="549"/>
      <c r="GJY41" s="549"/>
      <c r="GJZ41" s="549"/>
      <c r="GKA41" s="549"/>
      <c r="GKB41" s="549"/>
      <c r="GKC41" s="549"/>
      <c r="GKD41" s="549"/>
      <c r="GKE41" s="549"/>
      <c r="GKF41" s="549"/>
      <c r="GKG41" s="549"/>
      <c r="GKH41" s="549"/>
      <c r="GKI41" s="549"/>
      <c r="GKJ41" s="549"/>
      <c r="GKK41" s="549"/>
      <c r="GKL41" s="549"/>
      <c r="GKM41" s="549"/>
      <c r="GKN41" s="549"/>
      <c r="GKO41" s="549"/>
      <c r="GKP41" s="549"/>
      <c r="GKQ41" s="549"/>
      <c r="GKR41" s="549"/>
      <c r="GKS41" s="549"/>
      <c r="GKT41" s="549"/>
      <c r="GKU41" s="549"/>
      <c r="GKV41" s="549"/>
      <c r="GKW41" s="549"/>
      <c r="GKX41" s="549"/>
      <c r="GKY41" s="549"/>
      <c r="GKZ41" s="549"/>
      <c r="GLA41" s="549"/>
      <c r="GLB41" s="549"/>
      <c r="GLC41" s="549"/>
      <c r="GLD41" s="549"/>
      <c r="GLE41" s="549"/>
      <c r="GLF41" s="549"/>
      <c r="GLG41" s="549"/>
      <c r="GLH41" s="549"/>
      <c r="GLI41" s="549"/>
      <c r="GLJ41" s="549"/>
      <c r="GLK41" s="549"/>
      <c r="GLL41" s="549"/>
      <c r="GLM41" s="549"/>
      <c r="GLN41" s="549"/>
      <c r="GLO41" s="549"/>
      <c r="GLP41" s="549"/>
      <c r="GLQ41" s="549"/>
      <c r="GLR41" s="549"/>
      <c r="GLS41" s="549"/>
      <c r="GLT41" s="549"/>
      <c r="GLU41" s="549"/>
      <c r="GLV41" s="549"/>
      <c r="GLW41" s="549"/>
      <c r="GLX41" s="549"/>
      <c r="GLY41" s="549"/>
      <c r="GLZ41" s="549"/>
      <c r="GMA41" s="549"/>
      <c r="GMB41" s="549"/>
      <c r="GMC41" s="549"/>
      <c r="GMD41" s="549"/>
      <c r="GME41" s="549"/>
      <c r="GMF41" s="549"/>
      <c r="GMG41" s="549"/>
      <c r="GMH41" s="549"/>
      <c r="GMI41" s="549"/>
      <c r="GMJ41" s="549"/>
      <c r="GMK41" s="549"/>
      <c r="GML41" s="549"/>
      <c r="GMM41" s="549"/>
      <c r="GMN41" s="549"/>
      <c r="GMO41" s="549"/>
      <c r="GMP41" s="549"/>
      <c r="GMQ41" s="549"/>
      <c r="GMR41" s="549"/>
      <c r="GMS41" s="549"/>
      <c r="GMT41" s="549"/>
      <c r="GMU41" s="549"/>
      <c r="GMV41" s="549"/>
      <c r="GMW41" s="549"/>
      <c r="GMX41" s="549"/>
      <c r="GMY41" s="549"/>
      <c r="GMZ41" s="549"/>
      <c r="GNA41" s="549"/>
      <c r="GNB41" s="549"/>
      <c r="GNC41" s="549"/>
      <c r="GND41" s="549"/>
      <c r="GNE41" s="549"/>
      <c r="GNF41" s="549"/>
      <c r="GNG41" s="549"/>
      <c r="GNH41" s="549"/>
      <c r="GNI41" s="549"/>
      <c r="GNJ41" s="549"/>
      <c r="GNK41" s="549"/>
      <c r="GNL41" s="549"/>
      <c r="GNM41" s="549"/>
      <c r="GNN41" s="549"/>
      <c r="GNO41" s="549"/>
      <c r="GNP41" s="549"/>
      <c r="GNQ41" s="549"/>
      <c r="GNR41" s="549"/>
      <c r="GNS41" s="549"/>
      <c r="GNT41" s="549"/>
      <c r="GNU41" s="549"/>
      <c r="GNV41" s="549"/>
      <c r="GNW41" s="549"/>
      <c r="GNX41" s="549"/>
      <c r="GNY41" s="549"/>
      <c r="GNZ41" s="549"/>
      <c r="GOA41" s="549"/>
      <c r="GOB41" s="549"/>
      <c r="GOC41" s="549"/>
      <c r="GOD41" s="549"/>
      <c r="GOE41" s="549"/>
      <c r="GOF41" s="549"/>
      <c r="GOG41" s="549"/>
      <c r="GOH41" s="549"/>
      <c r="GOI41" s="549"/>
      <c r="GOJ41" s="549"/>
      <c r="GOK41" s="549"/>
      <c r="GOL41" s="549"/>
      <c r="GOM41" s="549"/>
      <c r="GON41" s="549"/>
      <c r="GOO41" s="549"/>
      <c r="GOP41" s="549"/>
      <c r="GOQ41" s="549"/>
      <c r="GOR41" s="549"/>
      <c r="GOS41" s="549"/>
      <c r="GOT41" s="549"/>
      <c r="GOU41" s="549"/>
      <c r="GOV41" s="549"/>
      <c r="GOW41" s="549"/>
      <c r="GOX41" s="549"/>
      <c r="GOY41" s="549"/>
      <c r="GOZ41" s="549"/>
      <c r="GPA41" s="549"/>
      <c r="GPB41" s="549"/>
      <c r="GPC41" s="549"/>
      <c r="GPD41" s="549"/>
      <c r="GPE41" s="549"/>
      <c r="GPF41" s="549"/>
      <c r="GPG41" s="549"/>
      <c r="GPH41" s="549"/>
      <c r="GPI41" s="549"/>
      <c r="GPJ41" s="549"/>
      <c r="GPK41" s="549"/>
      <c r="GPL41" s="549"/>
      <c r="GPM41" s="549"/>
      <c r="GPN41" s="549"/>
      <c r="GPO41" s="549"/>
      <c r="GPP41" s="549"/>
      <c r="GPQ41" s="549"/>
      <c r="GPR41" s="549"/>
      <c r="GPS41" s="549"/>
      <c r="GPT41" s="549"/>
      <c r="GPU41" s="549"/>
      <c r="GPV41" s="549"/>
      <c r="GPW41" s="549"/>
      <c r="GPX41" s="549"/>
      <c r="GPY41" s="549"/>
      <c r="GPZ41" s="549"/>
      <c r="GQA41" s="549"/>
      <c r="GQB41" s="549"/>
      <c r="GQC41" s="549"/>
      <c r="GQD41" s="549"/>
      <c r="GQE41" s="549"/>
      <c r="GQF41" s="549"/>
      <c r="GQG41" s="549"/>
      <c r="GQH41" s="549"/>
      <c r="GQI41" s="549"/>
      <c r="GQJ41" s="549"/>
      <c r="GQK41" s="549"/>
      <c r="GQL41" s="549"/>
      <c r="GQM41" s="549"/>
      <c r="GQN41" s="549"/>
      <c r="GQO41" s="549"/>
      <c r="GQP41" s="549"/>
      <c r="GQQ41" s="549"/>
      <c r="GQR41" s="549"/>
      <c r="GQS41" s="549"/>
      <c r="GQT41" s="549"/>
      <c r="GQU41" s="549"/>
      <c r="GQV41" s="549"/>
      <c r="GQW41" s="549"/>
      <c r="GQX41" s="549"/>
      <c r="GQY41" s="549"/>
      <c r="GQZ41" s="549"/>
      <c r="GRA41" s="549"/>
      <c r="GRB41" s="549"/>
      <c r="GRC41" s="549"/>
      <c r="GRD41" s="549"/>
      <c r="GRE41" s="549"/>
      <c r="GRF41" s="549"/>
      <c r="GRG41" s="549"/>
      <c r="GRH41" s="549"/>
      <c r="GRI41" s="549"/>
      <c r="GRJ41" s="549"/>
      <c r="GRK41" s="549"/>
      <c r="GRL41" s="549"/>
      <c r="GRM41" s="549"/>
      <c r="GRN41" s="549"/>
      <c r="GRO41" s="549"/>
      <c r="GRP41" s="549"/>
      <c r="GRQ41" s="549"/>
      <c r="GRR41" s="549"/>
      <c r="GRS41" s="549"/>
      <c r="GRT41" s="549"/>
      <c r="GRU41" s="549"/>
      <c r="GRV41" s="549"/>
      <c r="GRW41" s="549"/>
      <c r="GRX41" s="549"/>
      <c r="GRY41" s="549"/>
      <c r="GRZ41" s="549"/>
      <c r="GSA41" s="549"/>
      <c r="GSB41" s="549"/>
      <c r="GSC41" s="549"/>
      <c r="GSD41" s="549"/>
      <c r="GSE41" s="549"/>
      <c r="GSF41" s="549"/>
      <c r="GSG41" s="549"/>
      <c r="GSH41" s="549"/>
      <c r="GSI41" s="549"/>
      <c r="GSJ41" s="549"/>
      <c r="GSK41" s="549"/>
      <c r="GSL41" s="549"/>
      <c r="GSM41" s="549"/>
      <c r="GSN41" s="549"/>
      <c r="GSO41" s="549"/>
      <c r="GSP41" s="549"/>
      <c r="GSQ41" s="549"/>
      <c r="GSR41" s="549"/>
      <c r="GSS41" s="549"/>
      <c r="GST41" s="549"/>
      <c r="GSU41" s="549"/>
      <c r="GSV41" s="549"/>
      <c r="GSW41" s="549"/>
      <c r="GSX41" s="549"/>
      <c r="GSY41" s="549"/>
      <c r="GSZ41" s="549"/>
      <c r="GTA41" s="549"/>
      <c r="GTB41" s="549"/>
      <c r="GTC41" s="549"/>
      <c r="GTD41" s="549"/>
      <c r="GTE41" s="549"/>
      <c r="GTF41" s="549"/>
      <c r="GTG41" s="549"/>
      <c r="GTH41" s="549"/>
      <c r="GTI41" s="549"/>
      <c r="GTJ41" s="549"/>
      <c r="GTK41" s="549"/>
      <c r="GTL41" s="549"/>
      <c r="GTM41" s="549"/>
      <c r="GTN41" s="549"/>
      <c r="GTO41" s="549"/>
      <c r="GTP41" s="549"/>
      <c r="GTQ41" s="549"/>
      <c r="GTR41" s="549"/>
      <c r="GTS41" s="549"/>
      <c r="GTT41" s="549"/>
      <c r="GTU41" s="549"/>
      <c r="GTV41" s="549"/>
      <c r="GTW41" s="549"/>
      <c r="GTX41" s="549"/>
      <c r="GTY41" s="549"/>
      <c r="GTZ41" s="549"/>
      <c r="GUA41" s="549"/>
      <c r="GUB41" s="549"/>
      <c r="GUC41" s="549"/>
      <c r="GUD41" s="549"/>
      <c r="GUE41" s="549"/>
      <c r="GUF41" s="549"/>
      <c r="GUG41" s="549"/>
      <c r="GUH41" s="549"/>
      <c r="GUI41" s="549"/>
      <c r="GUJ41" s="549"/>
      <c r="GUK41" s="549"/>
      <c r="GUL41" s="549"/>
      <c r="GUM41" s="549"/>
      <c r="GUN41" s="549"/>
      <c r="GUO41" s="549"/>
      <c r="GUP41" s="549"/>
      <c r="GUQ41" s="549"/>
      <c r="GUR41" s="549"/>
      <c r="GUS41" s="549"/>
      <c r="GUT41" s="549"/>
      <c r="GUU41" s="549"/>
      <c r="GUV41" s="549"/>
      <c r="GUW41" s="549"/>
      <c r="GUX41" s="549"/>
      <c r="GUY41" s="549"/>
      <c r="GUZ41" s="549"/>
      <c r="GVA41" s="549"/>
      <c r="GVB41" s="549"/>
      <c r="GVC41" s="549"/>
      <c r="GVD41" s="549"/>
      <c r="GVE41" s="549"/>
      <c r="GVF41" s="549"/>
      <c r="GVG41" s="549"/>
      <c r="GVH41" s="549"/>
      <c r="GVI41" s="549"/>
      <c r="GVJ41" s="549"/>
      <c r="GVK41" s="549"/>
      <c r="GVL41" s="549"/>
      <c r="GVM41" s="549"/>
      <c r="GVN41" s="549"/>
      <c r="GVO41" s="549"/>
      <c r="GVP41" s="549"/>
      <c r="GVQ41" s="549"/>
      <c r="GVR41" s="549"/>
      <c r="GVS41" s="549"/>
      <c r="GVT41" s="549"/>
      <c r="GVU41" s="549"/>
      <c r="GVV41" s="549"/>
      <c r="GVW41" s="549"/>
      <c r="GVX41" s="549"/>
      <c r="GVY41" s="549"/>
      <c r="GVZ41" s="549"/>
      <c r="GWA41" s="549"/>
      <c r="GWB41" s="549"/>
      <c r="GWC41" s="549"/>
      <c r="GWD41" s="549"/>
      <c r="GWE41" s="549"/>
      <c r="GWF41" s="549"/>
      <c r="GWG41" s="549"/>
      <c r="GWH41" s="549"/>
      <c r="GWI41" s="549"/>
      <c r="GWJ41" s="549"/>
      <c r="GWK41" s="549"/>
      <c r="GWL41" s="549"/>
      <c r="GWM41" s="549"/>
      <c r="GWN41" s="549"/>
      <c r="GWO41" s="549"/>
      <c r="GWP41" s="549"/>
      <c r="GWQ41" s="549"/>
      <c r="GWR41" s="549"/>
      <c r="GWS41" s="549"/>
      <c r="GWT41" s="549"/>
      <c r="GWU41" s="549"/>
      <c r="GWV41" s="549"/>
      <c r="GWW41" s="549"/>
      <c r="GWX41" s="549"/>
      <c r="GWY41" s="549"/>
      <c r="GWZ41" s="549"/>
      <c r="GXA41" s="549"/>
      <c r="GXB41" s="549"/>
      <c r="GXC41" s="549"/>
      <c r="GXD41" s="549"/>
      <c r="GXE41" s="549"/>
      <c r="GXF41" s="549"/>
      <c r="GXG41" s="549"/>
      <c r="GXH41" s="549"/>
      <c r="GXI41" s="549"/>
      <c r="GXJ41" s="549"/>
      <c r="GXK41" s="549"/>
      <c r="GXL41" s="549"/>
      <c r="GXM41" s="549"/>
      <c r="GXN41" s="549"/>
      <c r="GXO41" s="549"/>
      <c r="GXP41" s="549"/>
      <c r="GXQ41" s="549"/>
      <c r="GXR41" s="549"/>
      <c r="GXS41" s="549"/>
      <c r="GXT41" s="549"/>
      <c r="GXU41" s="549"/>
      <c r="GXV41" s="549"/>
      <c r="GXW41" s="549"/>
      <c r="GXX41" s="549"/>
      <c r="GXY41" s="549"/>
      <c r="GXZ41" s="549"/>
      <c r="GYA41" s="549"/>
      <c r="GYB41" s="549"/>
      <c r="GYC41" s="549"/>
      <c r="GYD41" s="549"/>
      <c r="GYE41" s="549"/>
      <c r="GYF41" s="549"/>
      <c r="GYG41" s="549"/>
      <c r="GYH41" s="549"/>
      <c r="GYI41" s="549"/>
      <c r="GYJ41" s="549"/>
      <c r="GYK41" s="549"/>
      <c r="GYL41" s="549"/>
      <c r="GYM41" s="549"/>
      <c r="GYN41" s="549"/>
      <c r="GYO41" s="549"/>
      <c r="GYP41" s="549"/>
      <c r="GYQ41" s="549"/>
      <c r="GYR41" s="549"/>
      <c r="GYS41" s="549"/>
      <c r="GYT41" s="549"/>
      <c r="GYU41" s="549"/>
      <c r="GYV41" s="549"/>
      <c r="GYW41" s="549"/>
      <c r="GYX41" s="549"/>
      <c r="GYY41" s="549"/>
      <c r="GYZ41" s="549"/>
      <c r="GZA41" s="549"/>
      <c r="GZB41" s="549"/>
      <c r="GZC41" s="549"/>
      <c r="GZD41" s="549"/>
      <c r="GZE41" s="549"/>
      <c r="GZF41" s="549"/>
      <c r="GZG41" s="549"/>
      <c r="GZH41" s="549"/>
      <c r="GZI41" s="549"/>
      <c r="GZJ41" s="549"/>
      <c r="GZK41" s="549"/>
      <c r="GZL41" s="549"/>
      <c r="GZM41" s="549"/>
      <c r="GZN41" s="549"/>
      <c r="GZO41" s="549"/>
      <c r="GZP41" s="549"/>
      <c r="GZQ41" s="549"/>
      <c r="GZR41" s="549"/>
      <c r="GZS41" s="549"/>
      <c r="GZT41" s="549"/>
      <c r="GZU41" s="549"/>
      <c r="GZV41" s="549"/>
      <c r="GZW41" s="549"/>
      <c r="GZX41" s="549"/>
      <c r="GZY41" s="549"/>
      <c r="GZZ41" s="549"/>
      <c r="HAA41" s="549"/>
      <c r="HAB41" s="549"/>
      <c r="HAC41" s="549"/>
      <c r="HAD41" s="549"/>
      <c r="HAE41" s="549"/>
      <c r="HAF41" s="549"/>
      <c r="HAG41" s="549"/>
      <c r="HAH41" s="549"/>
      <c r="HAI41" s="549"/>
      <c r="HAJ41" s="549"/>
      <c r="HAK41" s="549"/>
      <c r="HAL41" s="549"/>
      <c r="HAM41" s="549"/>
      <c r="HAN41" s="549"/>
      <c r="HAO41" s="549"/>
      <c r="HAP41" s="549"/>
      <c r="HAQ41" s="549"/>
      <c r="HAR41" s="549"/>
      <c r="HAS41" s="549"/>
      <c r="HAT41" s="549"/>
      <c r="HAU41" s="549"/>
      <c r="HAV41" s="549"/>
      <c r="HAW41" s="549"/>
      <c r="HAX41" s="549"/>
      <c r="HAY41" s="549"/>
      <c r="HAZ41" s="549"/>
      <c r="HBA41" s="549"/>
      <c r="HBB41" s="549"/>
      <c r="HBC41" s="549"/>
      <c r="HBD41" s="549"/>
      <c r="HBE41" s="549"/>
      <c r="HBF41" s="549"/>
      <c r="HBG41" s="549"/>
      <c r="HBH41" s="549"/>
      <c r="HBI41" s="549"/>
      <c r="HBJ41" s="549"/>
      <c r="HBK41" s="549"/>
      <c r="HBL41" s="549"/>
      <c r="HBM41" s="549"/>
      <c r="HBN41" s="549"/>
      <c r="HBO41" s="549"/>
      <c r="HBP41" s="549"/>
      <c r="HBQ41" s="549"/>
      <c r="HBR41" s="549"/>
      <c r="HBS41" s="549"/>
      <c r="HBT41" s="549"/>
      <c r="HBU41" s="549"/>
      <c r="HBV41" s="549"/>
      <c r="HBW41" s="549"/>
      <c r="HBX41" s="549"/>
      <c r="HBY41" s="549"/>
      <c r="HBZ41" s="549"/>
      <c r="HCA41" s="549"/>
      <c r="HCB41" s="549"/>
      <c r="HCC41" s="549"/>
      <c r="HCD41" s="549"/>
      <c r="HCE41" s="549"/>
      <c r="HCF41" s="549"/>
      <c r="HCG41" s="549"/>
      <c r="HCH41" s="549"/>
      <c r="HCI41" s="549"/>
      <c r="HCJ41" s="549"/>
      <c r="HCK41" s="549"/>
      <c r="HCL41" s="549"/>
      <c r="HCM41" s="549"/>
      <c r="HCN41" s="549"/>
      <c r="HCO41" s="549"/>
      <c r="HCP41" s="549"/>
      <c r="HCQ41" s="549"/>
      <c r="HCR41" s="549"/>
      <c r="HCS41" s="549"/>
      <c r="HCT41" s="549"/>
      <c r="HCU41" s="549"/>
      <c r="HCV41" s="549"/>
      <c r="HCW41" s="549"/>
      <c r="HCX41" s="549"/>
      <c r="HCY41" s="549"/>
      <c r="HCZ41" s="549"/>
      <c r="HDA41" s="549"/>
      <c r="HDB41" s="549"/>
      <c r="HDC41" s="549"/>
      <c r="HDD41" s="549"/>
      <c r="HDE41" s="549"/>
      <c r="HDF41" s="549"/>
      <c r="HDG41" s="549"/>
      <c r="HDH41" s="549"/>
      <c r="HDI41" s="549"/>
      <c r="HDJ41" s="549"/>
      <c r="HDK41" s="549"/>
      <c r="HDL41" s="549"/>
      <c r="HDM41" s="549"/>
      <c r="HDN41" s="549"/>
      <c r="HDO41" s="549"/>
      <c r="HDP41" s="549"/>
      <c r="HDQ41" s="549"/>
      <c r="HDR41" s="549"/>
      <c r="HDS41" s="549"/>
      <c r="HDT41" s="549"/>
      <c r="HDU41" s="549"/>
      <c r="HDV41" s="549"/>
      <c r="HDW41" s="549"/>
      <c r="HDX41" s="549"/>
      <c r="HDY41" s="549"/>
      <c r="HDZ41" s="549"/>
      <c r="HEA41" s="549"/>
      <c r="HEB41" s="549"/>
      <c r="HEC41" s="549"/>
      <c r="HED41" s="549"/>
      <c r="HEE41" s="549"/>
      <c r="HEF41" s="549"/>
      <c r="HEG41" s="549"/>
      <c r="HEH41" s="549"/>
      <c r="HEI41" s="549"/>
      <c r="HEJ41" s="549"/>
      <c r="HEK41" s="549"/>
      <c r="HEL41" s="549"/>
      <c r="HEM41" s="549"/>
      <c r="HEN41" s="549"/>
      <c r="HEO41" s="549"/>
      <c r="HEP41" s="549"/>
      <c r="HEQ41" s="549"/>
      <c r="HER41" s="549"/>
      <c r="HES41" s="549"/>
      <c r="HET41" s="549"/>
      <c r="HEU41" s="549"/>
      <c r="HEV41" s="549"/>
      <c r="HEW41" s="549"/>
      <c r="HEX41" s="549"/>
      <c r="HEY41" s="549"/>
      <c r="HEZ41" s="549"/>
      <c r="HFA41" s="549"/>
      <c r="HFB41" s="549"/>
      <c r="HFC41" s="549"/>
      <c r="HFD41" s="549"/>
      <c r="HFE41" s="549"/>
      <c r="HFF41" s="549"/>
      <c r="HFG41" s="549"/>
      <c r="HFH41" s="549"/>
      <c r="HFI41" s="549"/>
      <c r="HFJ41" s="549"/>
      <c r="HFK41" s="549"/>
      <c r="HFL41" s="549"/>
      <c r="HFM41" s="549"/>
      <c r="HFN41" s="549"/>
      <c r="HFO41" s="549"/>
      <c r="HFP41" s="549"/>
      <c r="HFQ41" s="549"/>
      <c r="HFR41" s="549"/>
      <c r="HFS41" s="549"/>
      <c r="HFT41" s="549"/>
      <c r="HFU41" s="549"/>
      <c r="HFV41" s="549"/>
      <c r="HFW41" s="549"/>
      <c r="HFX41" s="549"/>
      <c r="HFY41" s="549"/>
      <c r="HFZ41" s="549"/>
      <c r="HGA41" s="549"/>
      <c r="HGB41" s="549"/>
      <c r="HGC41" s="549"/>
      <c r="HGD41" s="549"/>
      <c r="HGE41" s="549"/>
      <c r="HGF41" s="549"/>
      <c r="HGG41" s="549"/>
      <c r="HGH41" s="549"/>
      <c r="HGI41" s="549"/>
      <c r="HGJ41" s="549"/>
      <c r="HGK41" s="549"/>
      <c r="HGL41" s="549"/>
      <c r="HGM41" s="549"/>
      <c r="HGN41" s="549"/>
      <c r="HGO41" s="549"/>
      <c r="HGP41" s="549"/>
      <c r="HGQ41" s="549"/>
      <c r="HGR41" s="549"/>
      <c r="HGS41" s="549"/>
      <c r="HGT41" s="549"/>
      <c r="HGU41" s="549"/>
      <c r="HGV41" s="549"/>
      <c r="HGW41" s="549"/>
      <c r="HGX41" s="549"/>
      <c r="HGY41" s="549"/>
      <c r="HGZ41" s="549"/>
      <c r="HHA41" s="549"/>
      <c r="HHB41" s="549"/>
      <c r="HHC41" s="549"/>
      <c r="HHD41" s="549"/>
      <c r="HHE41" s="549"/>
      <c r="HHF41" s="549"/>
      <c r="HHG41" s="549"/>
      <c r="HHH41" s="549"/>
      <c r="HHI41" s="549"/>
      <c r="HHJ41" s="549"/>
      <c r="HHK41" s="549"/>
      <c r="HHL41" s="549"/>
      <c r="HHM41" s="549"/>
      <c r="HHN41" s="549"/>
      <c r="HHO41" s="549"/>
      <c r="HHP41" s="549"/>
      <c r="HHQ41" s="549"/>
      <c r="HHR41" s="549"/>
      <c r="HHS41" s="549"/>
      <c r="HHT41" s="549"/>
      <c r="HHU41" s="549"/>
      <c r="HHV41" s="549"/>
      <c r="HHW41" s="549"/>
      <c r="HHX41" s="549"/>
      <c r="HHY41" s="549"/>
      <c r="HHZ41" s="549"/>
      <c r="HIA41" s="549"/>
      <c r="HIB41" s="549"/>
      <c r="HIC41" s="549"/>
      <c r="HID41" s="549"/>
      <c r="HIE41" s="549"/>
      <c r="HIF41" s="549"/>
      <c r="HIG41" s="549"/>
      <c r="HIH41" s="549"/>
      <c r="HII41" s="549"/>
      <c r="HIJ41" s="549"/>
      <c r="HIK41" s="549"/>
      <c r="HIL41" s="549"/>
      <c r="HIM41" s="549"/>
      <c r="HIN41" s="549"/>
      <c r="HIO41" s="549"/>
      <c r="HIP41" s="549"/>
      <c r="HIQ41" s="549"/>
      <c r="HIR41" s="549"/>
      <c r="HIS41" s="549"/>
      <c r="HIT41" s="549"/>
      <c r="HIU41" s="549"/>
      <c r="HIV41" s="549"/>
      <c r="HIW41" s="549"/>
      <c r="HIX41" s="549"/>
      <c r="HIY41" s="549"/>
      <c r="HIZ41" s="549"/>
      <c r="HJA41" s="549"/>
      <c r="HJB41" s="549"/>
      <c r="HJC41" s="549"/>
      <c r="HJD41" s="549"/>
      <c r="HJE41" s="549"/>
      <c r="HJF41" s="549"/>
      <c r="HJG41" s="549"/>
      <c r="HJH41" s="549"/>
      <c r="HJI41" s="549"/>
      <c r="HJJ41" s="549"/>
      <c r="HJK41" s="549"/>
      <c r="HJL41" s="549"/>
      <c r="HJM41" s="549"/>
      <c r="HJN41" s="549"/>
      <c r="HJO41" s="549"/>
      <c r="HJP41" s="549"/>
      <c r="HJQ41" s="549"/>
      <c r="HJR41" s="549"/>
      <c r="HJS41" s="549"/>
      <c r="HJT41" s="549"/>
      <c r="HJU41" s="549"/>
      <c r="HJV41" s="549"/>
      <c r="HJW41" s="549"/>
      <c r="HJX41" s="549"/>
      <c r="HJY41" s="549"/>
      <c r="HJZ41" s="549"/>
      <c r="HKA41" s="549"/>
      <c r="HKB41" s="549"/>
      <c r="HKC41" s="549"/>
      <c r="HKD41" s="549"/>
      <c r="HKE41" s="549"/>
      <c r="HKF41" s="549"/>
      <c r="HKG41" s="549"/>
      <c r="HKH41" s="549"/>
      <c r="HKI41" s="549"/>
      <c r="HKJ41" s="549"/>
      <c r="HKK41" s="549"/>
      <c r="HKL41" s="549"/>
      <c r="HKM41" s="549"/>
      <c r="HKN41" s="549"/>
      <c r="HKO41" s="549"/>
      <c r="HKP41" s="549"/>
      <c r="HKQ41" s="549"/>
      <c r="HKR41" s="549"/>
      <c r="HKS41" s="549"/>
      <c r="HKT41" s="549"/>
      <c r="HKU41" s="549"/>
      <c r="HKV41" s="549"/>
      <c r="HKW41" s="549"/>
      <c r="HKX41" s="549"/>
      <c r="HKY41" s="549"/>
      <c r="HKZ41" s="549"/>
      <c r="HLA41" s="549"/>
      <c r="HLB41" s="549"/>
      <c r="HLC41" s="549"/>
      <c r="HLD41" s="549"/>
      <c r="HLE41" s="549"/>
      <c r="HLF41" s="549"/>
      <c r="HLG41" s="549"/>
      <c r="HLH41" s="549"/>
      <c r="HLI41" s="549"/>
      <c r="HLJ41" s="549"/>
      <c r="HLK41" s="549"/>
      <c r="HLL41" s="549"/>
      <c r="HLM41" s="549"/>
      <c r="HLN41" s="549"/>
      <c r="HLO41" s="549"/>
      <c r="HLP41" s="549"/>
      <c r="HLQ41" s="549"/>
      <c r="HLR41" s="549"/>
      <c r="HLS41" s="549"/>
      <c r="HLT41" s="549"/>
      <c r="HLU41" s="549"/>
      <c r="HLV41" s="549"/>
      <c r="HLW41" s="549"/>
      <c r="HLX41" s="549"/>
      <c r="HLY41" s="549"/>
      <c r="HLZ41" s="549"/>
      <c r="HMA41" s="549"/>
      <c r="HMB41" s="549"/>
      <c r="HMC41" s="549"/>
      <c r="HMD41" s="549"/>
      <c r="HME41" s="549"/>
      <c r="HMF41" s="549"/>
      <c r="HMG41" s="549"/>
      <c r="HMH41" s="549"/>
      <c r="HMI41" s="549"/>
      <c r="HMJ41" s="549"/>
      <c r="HMK41" s="549"/>
      <c r="HML41" s="549"/>
      <c r="HMM41" s="549"/>
      <c r="HMN41" s="549"/>
      <c r="HMO41" s="549"/>
      <c r="HMP41" s="549"/>
      <c r="HMQ41" s="549"/>
      <c r="HMR41" s="549"/>
      <c r="HMS41" s="549"/>
      <c r="HMT41" s="549"/>
      <c r="HMU41" s="549"/>
      <c r="HMV41" s="549"/>
      <c r="HMW41" s="549"/>
      <c r="HMX41" s="549"/>
      <c r="HMY41" s="549"/>
      <c r="HMZ41" s="549"/>
      <c r="HNA41" s="549"/>
      <c r="HNB41" s="549"/>
      <c r="HNC41" s="549"/>
      <c r="HND41" s="549"/>
      <c r="HNE41" s="549"/>
      <c r="HNF41" s="549"/>
      <c r="HNG41" s="549"/>
      <c r="HNH41" s="549"/>
      <c r="HNI41" s="549"/>
      <c r="HNJ41" s="549"/>
      <c r="HNK41" s="549"/>
      <c r="HNL41" s="549"/>
      <c r="HNM41" s="549"/>
      <c r="HNN41" s="549"/>
      <c r="HNO41" s="549"/>
      <c r="HNP41" s="549"/>
      <c r="HNQ41" s="549"/>
      <c r="HNR41" s="549"/>
      <c r="HNS41" s="549"/>
      <c r="HNT41" s="549"/>
      <c r="HNU41" s="549"/>
      <c r="HNV41" s="549"/>
      <c r="HNW41" s="549"/>
      <c r="HNX41" s="549"/>
      <c r="HNY41" s="549"/>
      <c r="HNZ41" s="549"/>
      <c r="HOA41" s="549"/>
      <c r="HOB41" s="549"/>
      <c r="HOC41" s="549"/>
      <c r="HOD41" s="549"/>
      <c r="HOE41" s="549"/>
      <c r="HOF41" s="549"/>
      <c r="HOG41" s="549"/>
      <c r="HOH41" s="549"/>
      <c r="HOI41" s="549"/>
      <c r="HOJ41" s="549"/>
      <c r="HOK41" s="549"/>
      <c r="HOL41" s="549"/>
      <c r="HOM41" s="549"/>
      <c r="HON41" s="549"/>
      <c r="HOO41" s="549"/>
      <c r="HOP41" s="549"/>
      <c r="HOQ41" s="549"/>
      <c r="HOR41" s="549"/>
      <c r="HOS41" s="549"/>
      <c r="HOT41" s="549"/>
      <c r="HOU41" s="549"/>
      <c r="HOV41" s="549"/>
      <c r="HOW41" s="549"/>
      <c r="HOX41" s="549"/>
      <c r="HOY41" s="549"/>
      <c r="HOZ41" s="549"/>
      <c r="HPA41" s="549"/>
      <c r="HPB41" s="549"/>
      <c r="HPC41" s="549"/>
      <c r="HPD41" s="549"/>
      <c r="HPE41" s="549"/>
      <c r="HPF41" s="549"/>
      <c r="HPG41" s="549"/>
      <c r="HPH41" s="549"/>
      <c r="HPI41" s="549"/>
      <c r="HPJ41" s="549"/>
      <c r="HPK41" s="549"/>
      <c r="HPL41" s="549"/>
      <c r="HPM41" s="549"/>
      <c r="HPN41" s="549"/>
      <c r="HPO41" s="549"/>
      <c r="HPP41" s="549"/>
      <c r="HPQ41" s="549"/>
      <c r="HPR41" s="549"/>
      <c r="HPS41" s="549"/>
      <c r="HPT41" s="549"/>
      <c r="HPU41" s="549"/>
      <c r="HPV41" s="549"/>
      <c r="HPW41" s="549"/>
      <c r="HPX41" s="549"/>
      <c r="HPY41" s="549"/>
      <c r="HPZ41" s="549"/>
      <c r="HQA41" s="549"/>
      <c r="HQB41" s="549"/>
      <c r="HQC41" s="549"/>
      <c r="HQD41" s="549"/>
      <c r="HQE41" s="549"/>
      <c r="HQF41" s="549"/>
      <c r="HQG41" s="549"/>
      <c r="HQH41" s="549"/>
      <c r="HQI41" s="549"/>
      <c r="HQJ41" s="549"/>
      <c r="HQK41" s="549"/>
      <c r="HQL41" s="549"/>
      <c r="HQM41" s="549"/>
      <c r="HQN41" s="549"/>
      <c r="HQO41" s="549"/>
      <c r="HQP41" s="549"/>
      <c r="HQQ41" s="549"/>
      <c r="HQR41" s="549"/>
      <c r="HQS41" s="549"/>
      <c r="HQT41" s="549"/>
      <c r="HQU41" s="549"/>
      <c r="HQV41" s="549"/>
      <c r="HQW41" s="549"/>
      <c r="HQX41" s="549"/>
      <c r="HQY41" s="549"/>
      <c r="HQZ41" s="549"/>
      <c r="HRA41" s="549"/>
      <c r="HRB41" s="549"/>
      <c r="HRC41" s="549"/>
      <c r="HRD41" s="549"/>
      <c r="HRE41" s="549"/>
      <c r="HRF41" s="549"/>
      <c r="HRG41" s="549"/>
      <c r="HRH41" s="549"/>
      <c r="HRI41" s="549"/>
      <c r="HRJ41" s="549"/>
      <c r="HRK41" s="549"/>
      <c r="HRL41" s="549"/>
      <c r="HRM41" s="549"/>
      <c r="HRN41" s="549"/>
      <c r="HRO41" s="549"/>
      <c r="HRP41" s="549"/>
      <c r="HRQ41" s="549"/>
      <c r="HRR41" s="549"/>
      <c r="HRS41" s="549"/>
      <c r="HRT41" s="549"/>
      <c r="HRU41" s="549"/>
      <c r="HRV41" s="549"/>
      <c r="HRW41" s="549"/>
      <c r="HRX41" s="549"/>
      <c r="HRY41" s="549"/>
      <c r="HRZ41" s="549"/>
      <c r="HSA41" s="549"/>
      <c r="HSB41" s="549"/>
      <c r="HSC41" s="549"/>
      <c r="HSD41" s="549"/>
      <c r="HSE41" s="549"/>
      <c r="HSF41" s="549"/>
      <c r="HSG41" s="549"/>
      <c r="HSH41" s="549"/>
      <c r="HSI41" s="549"/>
      <c r="HSJ41" s="549"/>
      <c r="HSK41" s="549"/>
      <c r="HSL41" s="549"/>
      <c r="HSM41" s="549"/>
      <c r="HSN41" s="549"/>
      <c r="HSO41" s="549"/>
      <c r="HSP41" s="549"/>
      <c r="HSQ41" s="549"/>
      <c r="HSR41" s="549"/>
      <c r="HSS41" s="549"/>
      <c r="HST41" s="549"/>
      <c r="HSU41" s="549"/>
      <c r="HSV41" s="549"/>
      <c r="HSW41" s="549"/>
      <c r="HSX41" s="549"/>
      <c r="HSY41" s="549"/>
      <c r="HSZ41" s="549"/>
      <c r="HTA41" s="549"/>
      <c r="HTB41" s="549"/>
      <c r="HTC41" s="549"/>
      <c r="HTD41" s="549"/>
      <c r="HTE41" s="549"/>
      <c r="HTF41" s="549"/>
      <c r="HTG41" s="549"/>
      <c r="HTH41" s="549"/>
      <c r="HTI41" s="549"/>
      <c r="HTJ41" s="549"/>
      <c r="HTK41" s="549"/>
      <c r="HTL41" s="549"/>
      <c r="HTM41" s="549"/>
      <c r="HTN41" s="549"/>
      <c r="HTO41" s="549"/>
      <c r="HTP41" s="549"/>
      <c r="HTQ41" s="549"/>
      <c r="HTR41" s="549"/>
      <c r="HTS41" s="549"/>
      <c r="HTT41" s="549"/>
      <c r="HTU41" s="549"/>
      <c r="HTV41" s="549"/>
      <c r="HTW41" s="549"/>
      <c r="HTX41" s="549"/>
      <c r="HTY41" s="549"/>
      <c r="HTZ41" s="549"/>
      <c r="HUA41" s="549"/>
      <c r="HUB41" s="549"/>
      <c r="HUC41" s="549"/>
      <c r="HUD41" s="549"/>
      <c r="HUE41" s="549"/>
      <c r="HUF41" s="549"/>
      <c r="HUG41" s="549"/>
      <c r="HUH41" s="549"/>
      <c r="HUI41" s="549"/>
      <c r="HUJ41" s="549"/>
      <c r="HUK41" s="549"/>
      <c r="HUL41" s="549"/>
      <c r="HUM41" s="549"/>
      <c r="HUN41" s="549"/>
      <c r="HUO41" s="549"/>
      <c r="HUP41" s="549"/>
      <c r="HUQ41" s="549"/>
      <c r="HUR41" s="549"/>
      <c r="HUS41" s="549"/>
      <c r="HUT41" s="549"/>
      <c r="HUU41" s="549"/>
      <c r="HUV41" s="549"/>
      <c r="HUW41" s="549"/>
      <c r="HUX41" s="549"/>
      <c r="HUY41" s="549"/>
      <c r="HUZ41" s="549"/>
      <c r="HVA41" s="549"/>
      <c r="HVB41" s="549"/>
      <c r="HVC41" s="549"/>
      <c r="HVD41" s="549"/>
      <c r="HVE41" s="549"/>
      <c r="HVF41" s="549"/>
      <c r="HVG41" s="549"/>
      <c r="HVH41" s="549"/>
      <c r="HVI41" s="549"/>
      <c r="HVJ41" s="549"/>
      <c r="HVK41" s="549"/>
      <c r="HVL41" s="549"/>
      <c r="HVM41" s="549"/>
      <c r="HVN41" s="549"/>
      <c r="HVO41" s="549"/>
      <c r="HVP41" s="549"/>
      <c r="HVQ41" s="549"/>
      <c r="HVR41" s="549"/>
      <c r="HVS41" s="549"/>
      <c r="HVT41" s="549"/>
      <c r="HVU41" s="549"/>
      <c r="HVV41" s="549"/>
      <c r="HVW41" s="549"/>
      <c r="HVX41" s="549"/>
      <c r="HVY41" s="549"/>
      <c r="HVZ41" s="549"/>
      <c r="HWA41" s="549"/>
      <c r="HWB41" s="549"/>
      <c r="HWC41" s="549"/>
      <c r="HWD41" s="549"/>
      <c r="HWE41" s="549"/>
      <c r="HWF41" s="549"/>
      <c r="HWG41" s="549"/>
      <c r="HWH41" s="549"/>
      <c r="HWI41" s="549"/>
      <c r="HWJ41" s="549"/>
      <c r="HWK41" s="549"/>
      <c r="HWL41" s="549"/>
      <c r="HWM41" s="549"/>
      <c r="HWN41" s="549"/>
      <c r="HWO41" s="549"/>
      <c r="HWP41" s="549"/>
      <c r="HWQ41" s="549"/>
      <c r="HWR41" s="549"/>
      <c r="HWS41" s="549"/>
      <c r="HWT41" s="549"/>
      <c r="HWU41" s="549"/>
      <c r="HWV41" s="549"/>
      <c r="HWW41" s="549"/>
      <c r="HWX41" s="549"/>
      <c r="HWY41" s="549"/>
      <c r="HWZ41" s="549"/>
      <c r="HXA41" s="549"/>
      <c r="HXB41" s="549"/>
      <c r="HXC41" s="549"/>
      <c r="HXD41" s="549"/>
      <c r="HXE41" s="549"/>
      <c r="HXF41" s="549"/>
      <c r="HXG41" s="549"/>
      <c r="HXH41" s="549"/>
      <c r="HXI41" s="549"/>
      <c r="HXJ41" s="549"/>
      <c r="HXK41" s="549"/>
      <c r="HXL41" s="549"/>
      <c r="HXM41" s="549"/>
      <c r="HXN41" s="549"/>
      <c r="HXO41" s="549"/>
      <c r="HXP41" s="549"/>
      <c r="HXQ41" s="549"/>
      <c r="HXR41" s="549"/>
      <c r="HXS41" s="549"/>
      <c r="HXT41" s="549"/>
      <c r="HXU41" s="549"/>
      <c r="HXV41" s="549"/>
      <c r="HXW41" s="549"/>
      <c r="HXX41" s="549"/>
      <c r="HXY41" s="549"/>
      <c r="HXZ41" s="549"/>
      <c r="HYA41" s="549"/>
      <c r="HYB41" s="549"/>
      <c r="HYC41" s="549"/>
      <c r="HYD41" s="549"/>
      <c r="HYE41" s="549"/>
      <c r="HYF41" s="549"/>
      <c r="HYG41" s="549"/>
      <c r="HYH41" s="549"/>
      <c r="HYI41" s="549"/>
      <c r="HYJ41" s="549"/>
      <c r="HYK41" s="549"/>
      <c r="HYL41" s="549"/>
      <c r="HYM41" s="549"/>
      <c r="HYN41" s="549"/>
      <c r="HYO41" s="549"/>
      <c r="HYP41" s="549"/>
      <c r="HYQ41" s="549"/>
      <c r="HYR41" s="549"/>
      <c r="HYS41" s="549"/>
      <c r="HYT41" s="549"/>
      <c r="HYU41" s="549"/>
      <c r="HYV41" s="549"/>
      <c r="HYW41" s="549"/>
      <c r="HYX41" s="549"/>
      <c r="HYY41" s="549"/>
      <c r="HYZ41" s="549"/>
      <c r="HZA41" s="549"/>
      <c r="HZB41" s="549"/>
      <c r="HZC41" s="549"/>
      <c r="HZD41" s="549"/>
      <c r="HZE41" s="549"/>
      <c r="HZF41" s="549"/>
      <c r="HZG41" s="549"/>
      <c r="HZH41" s="549"/>
      <c r="HZI41" s="549"/>
      <c r="HZJ41" s="549"/>
      <c r="HZK41" s="549"/>
      <c r="HZL41" s="549"/>
      <c r="HZM41" s="549"/>
      <c r="HZN41" s="549"/>
      <c r="HZO41" s="549"/>
      <c r="HZP41" s="549"/>
      <c r="HZQ41" s="549"/>
      <c r="HZR41" s="549"/>
      <c r="HZS41" s="549"/>
      <c r="HZT41" s="549"/>
      <c r="HZU41" s="549"/>
      <c r="HZV41" s="549"/>
      <c r="HZW41" s="549"/>
      <c r="HZX41" s="549"/>
      <c r="HZY41" s="549"/>
      <c r="HZZ41" s="549"/>
      <c r="IAA41" s="549"/>
      <c r="IAB41" s="549"/>
      <c r="IAC41" s="549"/>
      <c r="IAD41" s="549"/>
      <c r="IAE41" s="549"/>
      <c r="IAF41" s="549"/>
      <c r="IAG41" s="549"/>
      <c r="IAH41" s="549"/>
      <c r="IAI41" s="549"/>
      <c r="IAJ41" s="549"/>
      <c r="IAK41" s="549"/>
      <c r="IAL41" s="549"/>
      <c r="IAM41" s="549"/>
      <c r="IAN41" s="549"/>
      <c r="IAO41" s="549"/>
      <c r="IAP41" s="549"/>
      <c r="IAQ41" s="549"/>
      <c r="IAR41" s="549"/>
      <c r="IAS41" s="549"/>
      <c r="IAT41" s="549"/>
      <c r="IAU41" s="549"/>
      <c r="IAV41" s="549"/>
      <c r="IAW41" s="549"/>
      <c r="IAX41" s="549"/>
      <c r="IAY41" s="549"/>
      <c r="IAZ41" s="549"/>
      <c r="IBA41" s="549"/>
      <c r="IBB41" s="549"/>
      <c r="IBC41" s="549"/>
      <c r="IBD41" s="549"/>
      <c r="IBE41" s="549"/>
      <c r="IBF41" s="549"/>
      <c r="IBG41" s="549"/>
      <c r="IBH41" s="549"/>
      <c r="IBI41" s="549"/>
      <c r="IBJ41" s="549"/>
      <c r="IBK41" s="549"/>
      <c r="IBL41" s="549"/>
      <c r="IBM41" s="549"/>
      <c r="IBN41" s="549"/>
      <c r="IBO41" s="549"/>
      <c r="IBP41" s="549"/>
      <c r="IBQ41" s="549"/>
      <c r="IBR41" s="549"/>
      <c r="IBS41" s="549"/>
      <c r="IBT41" s="549"/>
      <c r="IBU41" s="549"/>
      <c r="IBV41" s="549"/>
      <c r="IBW41" s="549"/>
      <c r="IBX41" s="549"/>
      <c r="IBY41" s="549"/>
      <c r="IBZ41" s="549"/>
      <c r="ICA41" s="549"/>
      <c r="ICB41" s="549"/>
      <c r="ICC41" s="549"/>
      <c r="ICD41" s="549"/>
      <c r="ICE41" s="549"/>
      <c r="ICF41" s="549"/>
      <c r="ICG41" s="549"/>
      <c r="ICH41" s="549"/>
      <c r="ICI41" s="549"/>
      <c r="ICJ41" s="549"/>
      <c r="ICK41" s="549"/>
      <c r="ICL41" s="549"/>
      <c r="ICM41" s="549"/>
      <c r="ICN41" s="549"/>
      <c r="ICO41" s="549"/>
      <c r="ICP41" s="549"/>
      <c r="ICQ41" s="549"/>
      <c r="ICR41" s="549"/>
      <c r="ICS41" s="549"/>
      <c r="ICT41" s="549"/>
      <c r="ICU41" s="549"/>
      <c r="ICV41" s="549"/>
      <c r="ICW41" s="549"/>
      <c r="ICX41" s="549"/>
      <c r="ICY41" s="549"/>
      <c r="ICZ41" s="549"/>
      <c r="IDA41" s="549"/>
      <c r="IDB41" s="549"/>
      <c r="IDC41" s="549"/>
      <c r="IDD41" s="549"/>
      <c r="IDE41" s="549"/>
      <c r="IDF41" s="549"/>
      <c r="IDG41" s="549"/>
      <c r="IDH41" s="549"/>
      <c r="IDI41" s="549"/>
      <c r="IDJ41" s="549"/>
      <c r="IDK41" s="549"/>
      <c r="IDL41" s="549"/>
      <c r="IDM41" s="549"/>
      <c r="IDN41" s="549"/>
      <c r="IDO41" s="549"/>
      <c r="IDP41" s="549"/>
      <c r="IDQ41" s="549"/>
      <c r="IDR41" s="549"/>
      <c r="IDS41" s="549"/>
      <c r="IDT41" s="549"/>
      <c r="IDU41" s="549"/>
      <c r="IDV41" s="549"/>
      <c r="IDW41" s="549"/>
      <c r="IDX41" s="549"/>
      <c r="IDY41" s="549"/>
      <c r="IDZ41" s="549"/>
      <c r="IEA41" s="549"/>
      <c r="IEB41" s="549"/>
      <c r="IEC41" s="549"/>
      <c r="IED41" s="549"/>
      <c r="IEE41" s="549"/>
      <c r="IEF41" s="549"/>
      <c r="IEG41" s="549"/>
      <c r="IEH41" s="549"/>
      <c r="IEI41" s="549"/>
      <c r="IEJ41" s="549"/>
      <c r="IEK41" s="549"/>
      <c r="IEL41" s="549"/>
      <c r="IEM41" s="549"/>
      <c r="IEN41" s="549"/>
      <c r="IEO41" s="549"/>
      <c r="IEP41" s="549"/>
      <c r="IEQ41" s="549"/>
      <c r="IER41" s="549"/>
      <c r="IES41" s="549"/>
      <c r="IET41" s="549"/>
      <c r="IEU41" s="549"/>
      <c r="IEV41" s="549"/>
      <c r="IEW41" s="549"/>
      <c r="IEX41" s="549"/>
      <c r="IEY41" s="549"/>
      <c r="IEZ41" s="549"/>
      <c r="IFA41" s="549"/>
      <c r="IFB41" s="549"/>
      <c r="IFC41" s="549"/>
      <c r="IFD41" s="549"/>
      <c r="IFE41" s="549"/>
      <c r="IFF41" s="549"/>
      <c r="IFG41" s="549"/>
      <c r="IFH41" s="549"/>
      <c r="IFI41" s="549"/>
      <c r="IFJ41" s="549"/>
      <c r="IFK41" s="549"/>
      <c r="IFL41" s="549"/>
      <c r="IFM41" s="549"/>
      <c r="IFN41" s="549"/>
      <c r="IFO41" s="549"/>
      <c r="IFP41" s="549"/>
      <c r="IFQ41" s="549"/>
      <c r="IFR41" s="549"/>
      <c r="IFS41" s="549"/>
      <c r="IFT41" s="549"/>
      <c r="IFU41" s="549"/>
      <c r="IFV41" s="549"/>
      <c r="IFW41" s="549"/>
      <c r="IFX41" s="549"/>
      <c r="IFY41" s="549"/>
      <c r="IFZ41" s="549"/>
      <c r="IGA41" s="549"/>
      <c r="IGB41" s="549"/>
      <c r="IGC41" s="549"/>
      <c r="IGD41" s="549"/>
      <c r="IGE41" s="549"/>
      <c r="IGF41" s="549"/>
      <c r="IGG41" s="549"/>
      <c r="IGH41" s="549"/>
      <c r="IGI41" s="549"/>
      <c r="IGJ41" s="549"/>
      <c r="IGK41" s="549"/>
      <c r="IGL41" s="549"/>
      <c r="IGM41" s="549"/>
      <c r="IGN41" s="549"/>
      <c r="IGO41" s="549"/>
      <c r="IGP41" s="549"/>
      <c r="IGQ41" s="549"/>
      <c r="IGR41" s="549"/>
      <c r="IGS41" s="549"/>
      <c r="IGT41" s="549"/>
      <c r="IGU41" s="549"/>
      <c r="IGV41" s="549"/>
      <c r="IGW41" s="549"/>
      <c r="IGX41" s="549"/>
      <c r="IGY41" s="549"/>
      <c r="IGZ41" s="549"/>
      <c r="IHA41" s="549"/>
      <c r="IHB41" s="549"/>
      <c r="IHC41" s="549"/>
      <c r="IHD41" s="549"/>
      <c r="IHE41" s="549"/>
      <c r="IHF41" s="549"/>
      <c r="IHG41" s="549"/>
      <c r="IHH41" s="549"/>
      <c r="IHI41" s="549"/>
      <c r="IHJ41" s="549"/>
      <c r="IHK41" s="549"/>
      <c r="IHL41" s="549"/>
      <c r="IHM41" s="549"/>
      <c r="IHN41" s="549"/>
      <c r="IHO41" s="549"/>
      <c r="IHP41" s="549"/>
      <c r="IHQ41" s="549"/>
      <c r="IHR41" s="549"/>
      <c r="IHS41" s="549"/>
      <c r="IHT41" s="549"/>
      <c r="IHU41" s="549"/>
      <c r="IHV41" s="549"/>
      <c r="IHW41" s="549"/>
      <c r="IHX41" s="549"/>
      <c r="IHY41" s="549"/>
      <c r="IHZ41" s="549"/>
      <c r="IIA41" s="549"/>
      <c r="IIB41" s="549"/>
      <c r="IIC41" s="549"/>
      <c r="IID41" s="549"/>
      <c r="IIE41" s="549"/>
      <c r="IIF41" s="549"/>
      <c r="IIG41" s="549"/>
      <c r="IIH41" s="549"/>
      <c r="III41" s="549"/>
      <c r="IIJ41" s="549"/>
      <c r="IIK41" s="549"/>
      <c r="IIL41" s="549"/>
      <c r="IIM41" s="549"/>
      <c r="IIN41" s="549"/>
      <c r="IIO41" s="549"/>
      <c r="IIP41" s="549"/>
      <c r="IIQ41" s="549"/>
      <c r="IIR41" s="549"/>
      <c r="IIS41" s="549"/>
      <c r="IIT41" s="549"/>
      <c r="IIU41" s="549"/>
      <c r="IIV41" s="549"/>
      <c r="IIW41" s="549"/>
      <c r="IIX41" s="549"/>
      <c r="IIY41" s="549"/>
      <c r="IIZ41" s="549"/>
      <c r="IJA41" s="549"/>
      <c r="IJB41" s="549"/>
      <c r="IJC41" s="549"/>
      <c r="IJD41" s="549"/>
      <c r="IJE41" s="549"/>
      <c r="IJF41" s="549"/>
      <c r="IJG41" s="549"/>
      <c r="IJH41" s="549"/>
      <c r="IJI41" s="549"/>
      <c r="IJJ41" s="549"/>
      <c r="IJK41" s="549"/>
      <c r="IJL41" s="549"/>
      <c r="IJM41" s="549"/>
      <c r="IJN41" s="549"/>
      <c r="IJO41" s="549"/>
      <c r="IJP41" s="549"/>
      <c r="IJQ41" s="549"/>
      <c r="IJR41" s="549"/>
      <c r="IJS41" s="549"/>
      <c r="IJT41" s="549"/>
      <c r="IJU41" s="549"/>
      <c r="IJV41" s="549"/>
      <c r="IJW41" s="549"/>
      <c r="IJX41" s="549"/>
      <c r="IJY41" s="549"/>
      <c r="IJZ41" s="549"/>
      <c r="IKA41" s="549"/>
      <c r="IKB41" s="549"/>
      <c r="IKC41" s="549"/>
      <c r="IKD41" s="549"/>
      <c r="IKE41" s="549"/>
      <c r="IKF41" s="549"/>
      <c r="IKG41" s="549"/>
      <c r="IKH41" s="549"/>
      <c r="IKI41" s="549"/>
      <c r="IKJ41" s="549"/>
      <c r="IKK41" s="549"/>
      <c r="IKL41" s="549"/>
      <c r="IKM41" s="549"/>
      <c r="IKN41" s="549"/>
      <c r="IKO41" s="549"/>
      <c r="IKP41" s="549"/>
      <c r="IKQ41" s="549"/>
      <c r="IKR41" s="549"/>
      <c r="IKS41" s="549"/>
      <c r="IKT41" s="549"/>
      <c r="IKU41" s="549"/>
      <c r="IKV41" s="549"/>
      <c r="IKW41" s="549"/>
      <c r="IKX41" s="549"/>
      <c r="IKY41" s="549"/>
      <c r="IKZ41" s="549"/>
      <c r="ILA41" s="549"/>
      <c r="ILB41" s="549"/>
      <c r="ILC41" s="549"/>
      <c r="ILD41" s="549"/>
      <c r="ILE41" s="549"/>
      <c r="ILF41" s="549"/>
      <c r="ILG41" s="549"/>
      <c r="ILH41" s="549"/>
      <c r="ILI41" s="549"/>
      <c r="ILJ41" s="549"/>
      <c r="ILK41" s="549"/>
      <c r="ILL41" s="549"/>
      <c r="ILM41" s="549"/>
      <c r="ILN41" s="549"/>
      <c r="ILO41" s="549"/>
      <c r="ILP41" s="549"/>
      <c r="ILQ41" s="549"/>
      <c r="ILR41" s="549"/>
      <c r="ILS41" s="549"/>
      <c r="ILT41" s="549"/>
      <c r="ILU41" s="549"/>
      <c r="ILV41" s="549"/>
      <c r="ILW41" s="549"/>
      <c r="ILX41" s="549"/>
      <c r="ILY41" s="549"/>
      <c r="ILZ41" s="549"/>
      <c r="IMA41" s="549"/>
      <c r="IMB41" s="549"/>
      <c r="IMC41" s="549"/>
      <c r="IMD41" s="549"/>
      <c r="IME41" s="549"/>
      <c r="IMF41" s="549"/>
      <c r="IMG41" s="549"/>
      <c r="IMH41" s="549"/>
      <c r="IMI41" s="549"/>
      <c r="IMJ41" s="549"/>
      <c r="IMK41" s="549"/>
      <c r="IML41" s="549"/>
      <c r="IMM41" s="549"/>
      <c r="IMN41" s="549"/>
      <c r="IMO41" s="549"/>
      <c r="IMP41" s="549"/>
      <c r="IMQ41" s="549"/>
      <c r="IMR41" s="549"/>
      <c r="IMS41" s="549"/>
      <c r="IMT41" s="549"/>
      <c r="IMU41" s="549"/>
      <c r="IMV41" s="549"/>
      <c r="IMW41" s="549"/>
      <c r="IMX41" s="549"/>
      <c r="IMY41" s="549"/>
      <c r="IMZ41" s="549"/>
      <c r="INA41" s="549"/>
      <c r="INB41" s="549"/>
      <c r="INC41" s="549"/>
      <c r="IND41" s="549"/>
      <c r="INE41" s="549"/>
      <c r="INF41" s="549"/>
      <c r="ING41" s="549"/>
      <c r="INH41" s="549"/>
      <c r="INI41" s="549"/>
      <c r="INJ41" s="549"/>
      <c r="INK41" s="549"/>
      <c r="INL41" s="549"/>
      <c r="INM41" s="549"/>
      <c r="INN41" s="549"/>
      <c r="INO41" s="549"/>
      <c r="INP41" s="549"/>
      <c r="INQ41" s="549"/>
      <c r="INR41" s="549"/>
      <c r="INS41" s="549"/>
      <c r="INT41" s="549"/>
      <c r="INU41" s="549"/>
      <c r="INV41" s="549"/>
      <c r="INW41" s="549"/>
      <c r="INX41" s="549"/>
      <c r="INY41" s="549"/>
      <c r="INZ41" s="549"/>
      <c r="IOA41" s="549"/>
      <c r="IOB41" s="549"/>
      <c r="IOC41" s="549"/>
      <c r="IOD41" s="549"/>
      <c r="IOE41" s="549"/>
      <c r="IOF41" s="549"/>
      <c r="IOG41" s="549"/>
      <c r="IOH41" s="549"/>
      <c r="IOI41" s="549"/>
      <c r="IOJ41" s="549"/>
      <c r="IOK41" s="549"/>
      <c r="IOL41" s="549"/>
      <c r="IOM41" s="549"/>
      <c r="ION41" s="549"/>
      <c r="IOO41" s="549"/>
      <c r="IOP41" s="549"/>
      <c r="IOQ41" s="549"/>
      <c r="IOR41" s="549"/>
      <c r="IOS41" s="549"/>
      <c r="IOT41" s="549"/>
      <c r="IOU41" s="549"/>
      <c r="IOV41" s="549"/>
      <c r="IOW41" s="549"/>
      <c r="IOX41" s="549"/>
      <c r="IOY41" s="549"/>
      <c r="IOZ41" s="549"/>
      <c r="IPA41" s="549"/>
      <c r="IPB41" s="549"/>
      <c r="IPC41" s="549"/>
      <c r="IPD41" s="549"/>
      <c r="IPE41" s="549"/>
      <c r="IPF41" s="549"/>
      <c r="IPG41" s="549"/>
      <c r="IPH41" s="549"/>
      <c r="IPI41" s="549"/>
      <c r="IPJ41" s="549"/>
      <c r="IPK41" s="549"/>
      <c r="IPL41" s="549"/>
      <c r="IPM41" s="549"/>
      <c r="IPN41" s="549"/>
      <c r="IPO41" s="549"/>
      <c r="IPP41" s="549"/>
      <c r="IPQ41" s="549"/>
      <c r="IPR41" s="549"/>
      <c r="IPS41" s="549"/>
      <c r="IPT41" s="549"/>
      <c r="IPU41" s="549"/>
      <c r="IPV41" s="549"/>
      <c r="IPW41" s="549"/>
      <c r="IPX41" s="549"/>
      <c r="IPY41" s="549"/>
      <c r="IPZ41" s="549"/>
      <c r="IQA41" s="549"/>
      <c r="IQB41" s="549"/>
      <c r="IQC41" s="549"/>
      <c r="IQD41" s="549"/>
      <c r="IQE41" s="549"/>
      <c r="IQF41" s="549"/>
      <c r="IQG41" s="549"/>
      <c r="IQH41" s="549"/>
      <c r="IQI41" s="549"/>
      <c r="IQJ41" s="549"/>
      <c r="IQK41" s="549"/>
      <c r="IQL41" s="549"/>
      <c r="IQM41" s="549"/>
      <c r="IQN41" s="549"/>
      <c r="IQO41" s="549"/>
      <c r="IQP41" s="549"/>
      <c r="IQQ41" s="549"/>
      <c r="IQR41" s="549"/>
      <c r="IQS41" s="549"/>
      <c r="IQT41" s="549"/>
      <c r="IQU41" s="549"/>
      <c r="IQV41" s="549"/>
      <c r="IQW41" s="549"/>
      <c r="IQX41" s="549"/>
      <c r="IQY41" s="549"/>
      <c r="IQZ41" s="549"/>
      <c r="IRA41" s="549"/>
      <c r="IRB41" s="549"/>
      <c r="IRC41" s="549"/>
      <c r="IRD41" s="549"/>
      <c r="IRE41" s="549"/>
      <c r="IRF41" s="549"/>
      <c r="IRG41" s="549"/>
      <c r="IRH41" s="549"/>
      <c r="IRI41" s="549"/>
      <c r="IRJ41" s="549"/>
      <c r="IRK41" s="549"/>
      <c r="IRL41" s="549"/>
      <c r="IRM41" s="549"/>
      <c r="IRN41" s="549"/>
      <c r="IRO41" s="549"/>
      <c r="IRP41" s="549"/>
      <c r="IRQ41" s="549"/>
      <c r="IRR41" s="549"/>
      <c r="IRS41" s="549"/>
      <c r="IRT41" s="549"/>
      <c r="IRU41" s="549"/>
      <c r="IRV41" s="549"/>
      <c r="IRW41" s="549"/>
      <c r="IRX41" s="549"/>
      <c r="IRY41" s="549"/>
      <c r="IRZ41" s="549"/>
      <c r="ISA41" s="549"/>
      <c r="ISB41" s="549"/>
      <c r="ISC41" s="549"/>
      <c r="ISD41" s="549"/>
      <c r="ISE41" s="549"/>
      <c r="ISF41" s="549"/>
      <c r="ISG41" s="549"/>
      <c r="ISH41" s="549"/>
      <c r="ISI41" s="549"/>
      <c r="ISJ41" s="549"/>
      <c r="ISK41" s="549"/>
      <c r="ISL41" s="549"/>
      <c r="ISM41" s="549"/>
      <c r="ISN41" s="549"/>
      <c r="ISO41" s="549"/>
      <c r="ISP41" s="549"/>
      <c r="ISQ41" s="549"/>
      <c r="ISR41" s="549"/>
      <c r="ISS41" s="549"/>
      <c r="IST41" s="549"/>
      <c r="ISU41" s="549"/>
      <c r="ISV41" s="549"/>
      <c r="ISW41" s="549"/>
      <c r="ISX41" s="549"/>
      <c r="ISY41" s="549"/>
      <c r="ISZ41" s="549"/>
      <c r="ITA41" s="549"/>
      <c r="ITB41" s="549"/>
      <c r="ITC41" s="549"/>
      <c r="ITD41" s="549"/>
      <c r="ITE41" s="549"/>
      <c r="ITF41" s="549"/>
      <c r="ITG41" s="549"/>
      <c r="ITH41" s="549"/>
      <c r="ITI41" s="549"/>
      <c r="ITJ41" s="549"/>
      <c r="ITK41" s="549"/>
      <c r="ITL41" s="549"/>
      <c r="ITM41" s="549"/>
      <c r="ITN41" s="549"/>
      <c r="ITO41" s="549"/>
      <c r="ITP41" s="549"/>
      <c r="ITQ41" s="549"/>
      <c r="ITR41" s="549"/>
      <c r="ITS41" s="549"/>
      <c r="ITT41" s="549"/>
      <c r="ITU41" s="549"/>
      <c r="ITV41" s="549"/>
      <c r="ITW41" s="549"/>
      <c r="ITX41" s="549"/>
      <c r="ITY41" s="549"/>
      <c r="ITZ41" s="549"/>
      <c r="IUA41" s="549"/>
      <c r="IUB41" s="549"/>
      <c r="IUC41" s="549"/>
      <c r="IUD41" s="549"/>
      <c r="IUE41" s="549"/>
      <c r="IUF41" s="549"/>
      <c r="IUG41" s="549"/>
      <c r="IUH41" s="549"/>
      <c r="IUI41" s="549"/>
      <c r="IUJ41" s="549"/>
      <c r="IUK41" s="549"/>
      <c r="IUL41" s="549"/>
      <c r="IUM41" s="549"/>
      <c r="IUN41" s="549"/>
      <c r="IUO41" s="549"/>
      <c r="IUP41" s="549"/>
      <c r="IUQ41" s="549"/>
      <c r="IUR41" s="549"/>
      <c r="IUS41" s="549"/>
      <c r="IUT41" s="549"/>
      <c r="IUU41" s="549"/>
      <c r="IUV41" s="549"/>
      <c r="IUW41" s="549"/>
      <c r="IUX41" s="549"/>
      <c r="IUY41" s="549"/>
      <c r="IUZ41" s="549"/>
      <c r="IVA41" s="549"/>
      <c r="IVB41" s="549"/>
      <c r="IVC41" s="549"/>
      <c r="IVD41" s="549"/>
      <c r="IVE41" s="549"/>
      <c r="IVF41" s="549"/>
      <c r="IVG41" s="549"/>
      <c r="IVH41" s="549"/>
      <c r="IVI41" s="549"/>
      <c r="IVJ41" s="549"/>
      <c r="IVK41" s="549"/>
      <c r="IVL41" s="549"/>
      <c r="IVM41" s="549"/>
      <c r="IVN41" s="549"/>
      <c r="IVO41" s="549"/>
      <c r="IVP41" s="549"/>
      <c r="IVQ41" s="549"/>
      <c r="IVR41" s="549"/>
      <c r="IVS41" s="549"/>
      <c r="IVT41" s="549"/>
      <c r="IVU41" s="549"/>
      <c r="IVV41" s="549"/>
      <c r="IVW41" s="549"/>
      <c r="IVX41" s="549"/>
      <c r="IVY41" s="549"/>
      <c r="IVZ41" s="549"/>
      <c r="IWA41" s="549"/>
      <c r="IWB41" s="549"/>
      <c r="IWC41" s="549"/>
      <c r="IWD41" s="549"/>
      <c r="IWE41" s="549"/>
      <c r="IWF41" s="549"/>
      <c r="IWG41" s="549"/>
      <c r="IWH41" s="549"/>
      <c r="IWI41" s="549"/>
      <c r="IWJ41" s="549"/>
      <c r="IWK41" s="549"/>
      <c r="IWL41" s="549"/>
      <c r="IWM41" s="549"/>
      <c r="IWN41" s="549"/>
      <c r="IWO41" s="549"/>
      <c r="IWP41" s="549"/>
      <c r="IWQ41" s="549"/>
      <c r="IWR41" s="549"/>
      <c r="IWS41" s="549"/>
      <c r="IWT41" s="549"/>
      <c r="IWU41" s="549"/>
      <c r="IWV41" s="549"/>
      <c r="IWW41" s="549"/>
      <c r="IWX41" s="549"/>
      <c r="IWY41" s="549"/>
      <c r="IWZ41" s="549"/>
      <c r="IXA41" s="549"/>
      <c r="IXB41" s="549"/>
      <c r="IXC41" s="549"/>
      <c r="IXD41" s="549"/>
      <c r="IXE41" s="549"/>
      <c r="IXF41" s="549"/>
      <c r="IXG41" s="549"/>
      <c r="IXH41" s="549"/>
      <c r="IXI41" s="549"/>
      <c r="IXJ41" s="549"/>
      <c r="IXK41" s="549"/>
      <c r="IXL41" s="549"/>
      <c r="IXM41" s="549"/>
      <c r="IXN41" s="549"/>
      <c r="IXO41" s="549"/>
      <c r="IXP41" s="549"/>
      <c r="IXQ41" s="549"/>
      <c r="IXR41" s="549"/>
      <c r="IXS41" s="549"/>
      <c r="IXT41" s="549"/>
      <c r="IXU41" s="549"/>
      <c r="IXV41" s="549"/>
      <c r="IXW41" s="549"/>
      <c r="IXX41" s="549"/>
      <c r="IXY41" s="549"/>
      <c r="IXZ41" s="549"/>
      <c r="IYA41" s="549"/>
      <c r="IYB41" s="549"/>
      <c r="IYC41" s="549"/>
      <c r="IYD41" s="549"/>
      <c r="IYE41" s="549"/>
      <c r="IYF41" s="549"/>
      <c r="IYG41" s="549"/>
      <c r="IYH41" s="549"/>
      <c r="IYI41" s="549"/>
      <c r="IYJ41" s="549"/>
      <c r="IYK41" s="549"/>
      <c r="IYL41" s="549"/>
      <c r="IYM41" s="549"/>
      <c r="IYN41" s="549"/>
      <c r="IYO41" s="549"/>
      <c r="IYP41" s="549"/>
      <c r="IYQ41" s="549"/>
      <c r="IYR41" s="549"/>
      <c r="IYS41" s="549"/>
      <c r="IYT41" s="549"/>
      <c r="IYU41" s="549"/>
      <c r="IYV41" s="549"/>
      <c r="IYW41" s="549"/>
      <c r="IYX41" s="549"/>
      <c r="IYY41" s="549"/>
      <c r="IYZ41" s="549"/>
      <c r="IZA41" s="549"/>
      <c r="IZB41" s="549"/>
      <c r="IZC41" s="549"/>
      <c r="IZD41" s="549"/>
      <c r="IZE41" s="549"/>
      <c r="IZF41" s="549"/>
      <c r="IZG41" s="549"/>
      <c r="IZH41" s="549"/>
      <c r="IZI41" s="549"/>
      <c r="IZJ41" s="549"/>
      <c r="IZK41" s="549"/>
      <c r="IZL41" s="549"/>
      <c r="IZM41" s="549"/>
      <c r="IZN41" s="549"/>
      <c r="IZO41" s="549"/>
      <c r="IZP41" s="549"/>
      <c r="IZQ41" s="549"/>
      <c r="IZR41" s="549"/>
      <c r="IZS41" s="549"/>
      <c r="IZT41" s="549"/>
      <c r="IZU41" s="549"/>
      <c r="IZV41" s="549"/>
      <c r="IZW41" s="549"/>
      <c r="IZX41" s="549"/>
      <c r="IZY41" s="549"/>
      <c r="IZZ41" s="549"/>
      <c r="JAA41" s="549"/>
      <c r="JAB41" s="549"/>
      <c r="JAC41" s="549"/>
      <c r="JAD41" s="549"/>
      <c r="JAE41" s="549"/>
      <c r="JAF41" s="549"/>
      <c r="JAG41" s="549"/>
      <c r="JAH41" s="549"/>
      <c r="JAI41" s="549"/>
      <c r="JAJ41" s="549"/>
      <c r="JAK41" s="549"/>
      <c r="JAL41" s="549"/>
      <c r="JAM41" s="549"/>
      <c r="JAN41" s="549"/>
      <c r="JAO41" s="549"/>
      <c r="JAP41" s="549"/>
      <c r="JAQ41" s="549"/>
      <c r="JAR41" s="549"/>
      <c r="JAS41" s="549"/>
      <c r="JAT41" s="549"/>
      <c r="JAU41" s="549"/>
      <c r="JAV41" s="549"/>
      <c r="JAW41" s="549"/>
      <c r="JAX41" s="549"/>
      <c r="JAY41" s="549"/>
      <c r="JAZ41" s="549"/>
      <c r="JBA41" s="549"/>
      <c r="JBB41" s="549"/>
      <c r="JBC41" s="549"/>
      <c r="JBD41" s="549"/>
      <c r="JBE41" s="549"/>
      <c r="JBF41" s="549"/>
      <c r="JBG41" s="549"/>
      <c r="JBH41" s="549"/>
      <c r="JBI41" s="549"/>
      <c r="JBJ41" s="549"/>
      <c r="JBK41" s="549"/>
      <c r="JBL41" s="549"/>
      <c r="JBM41" s="549"/>
      <c r="JBN41" s="549"/>
      <c r="JBO41" s="549"/>
      <c r="JBP41" s="549"/>
      <c r="JBQ41" s="549"/>
      <c r="JBR41" s="549"/>
      <c r="JBS41" s="549"/>
      <c r="JBT41" s="549"/>
      <c r="JBU41" s="549"/>
      <c r="JBV41" s="549"/>
      <c r="JBW41" s="549"/>
      <c r="JBX41" s="549"/>
      <c r="JBY41" s="549"/>
      <c r="JBZ41" s="549"/>
      <c r="JCA41" s="549"/>
      <c r="JCB41" s="549"/>
      <c r="JCC41" s="549"/>
      <c r="JCD41" s="549"/>
      <c r="JCE41" s="549"/>
      <c r="JCF41" s="549"/>
      <c r="JCG41" s="549"/>
      <c r="JCH41" s="549"/>
      <c r="JCI41" s="549"/>
      <c r="JCJ41" s="549"/>
      <c r="JCK41" s="549"/>
      <c r="JCL41" s="549"/>
      <c r="JCM41" s="549"/>
      <c r="JCN41" s="549"/>
      <c r="JCO41" s="549"/>
      <c r="JCP41" s="549"/>
      <c r="JCQ41" s="549"/>
      <c r="JCR41" s="549"/>
      <c r="JCS41" s="549"/>
      <c r="JCT41" s="549"/>
      <c r="JCU41" s="549"/>
      <c r="JCV41" s="549"/>
      <c r="JCW41" s="549"/>
      <c r="JCX41" s="549"/>
      <c r="JCY41" s="549"/>
      <c r="JCZ41" s="549"/>
      <c r="JDA41" s="549"/>
      <c r="JDB41" s="549"/>
      <c r="JDC41" s="549"/>
      <c r="JDD41" s="549"/>
      <c r="JDE41" s="549"/>
      <c r="JDF41" s="549"/>
      <c r="JDG41" s="549"/>
      <c r="JDH41" s="549"/>
      <c r="JDI41" s="549"/>
      <c r="JDJ41" s="549"/>
      <c r="JDK41" s="549"/>
      <c r="JDL41" s="549"/>
      <c r="JDM41" s="549"/>
      <c r="JDN41" s="549"/>
      <c r="JDO41" s="549"/>
      <c r="JDP41" s="549"/>
      <c r="JDQ41" s="549"/>
      <c r="JDR41" s="549"/>
      <c r="JDS41" s="549"/>
      <c r="JDT41" s="549"/>
      <c r="JDU41" s="549"/>
      <c r="JDV41" s="549"/>
      <c r="JDW41" s="549"/>
      <c r="JDX41" s="549"/>
      <c r="JDY41" s="549"/>
      <c r="JDZ41" s="549"/>
      <c r="JEA41" s="549"/>
      <c r="JEB41" s="549"/>
      <c r="JEC41" s="549"/>
      <c r="JED41" s="549"/>
      <c r="JEE41" s="549"/>
      <c r="JEF41" s="549"/>
      <c r="JEG41" s="549"/>
      <c r="JEH41" s="549"/>
      <c r="JEI41" s="549"/>
      <c r="JEJ41" s="549"/>
      <c r="JEK41" s="549"/>
      <c r="JEL41" s="549"/>
      <c r="JEM41" s="549"/>
      <c r="JEN41" s="549"/>
      <c r="JEO41" s="549"/>
      <c r="JEP41" s="549"/>
      <c r="JEQ41" s="549"/>
      <c r="JER41" s="549"/>
      <c r="JES41" s="549"/>
      <c r="JET41" s="549"/>
      <c r="JEU41" s="549"/>
      <c r="JEV41" s="549"/>
      <c r="JEW41" s="549"/>
      <c r="JEX41" s="549"/>
      <c r="JEY41" s="549"/>
      <c r="JEZ41" s="549"/>
      <c r="JFA41" s="549"/>
      <c r="JFB41" s="549"/>
      <c r="JFC41" s="549"/>
      <c r="JFD41" s="549"/>
      <c r="JFE41" s="549"/>
      <c r="JFF41" s="549"/>
      <c r="JFG41" s="549"/>
      <c r="JFH41" s="549"/>
      <c r="JFI41" s="549"/>
      <c r="JFJ41" s="549"/>
      <c r="JFK41" s="549"/>
      <c r="JFL41" s="549"/>
      <c r="JFM41" s="549"/>
      <c r="JFN41" s="549"/>
      <c r="JFO41" s="549"/>
      <c r="JFP41" s="549"/>
      <c r="JFQ41" s="549"/>
      <c r="JFR41" s="549"/>
      <c r="JFS41" s="549"/>
      <c r="JFT41" s="549"/>
      <c r="JFU41" s="549"/>
      <c r="JFV41" s="549"/>
      <c r="JFW41" s="549"/>
      <c r="JFX41" s="549"/>
      <c r="JFY41" s="549"/>
      <c r="JFZ41" s="549"/>
      <c r="JGA41" s="549"/>
      <c r="JGB41" s="549"/>
      <c r="JGC41" s="549"/>
      <c r="JGD41" s="549"/>
      <c r="JGE41" s="549"/>
      <c r="JGF41" s="549"/>
      <c r="JGG41" s="549"/>
      <c r="JGH41" s="549"/>
      <c r="JGI41" s="549"/>
      <c r="JGJ41" s="549"/>
      <c r="JGK41" s="549"/>
      <c r="JGL41" s="549"/>
      <c r="JGM41" s="549"/>
      <c r="JGN41" s="549"/>
      <c r="JGO41" s="549"/>
      <c r="JGP41" s="549"/>
      <c r="JGQ41" s="549"/>
      <c r="JGR41" s="549"/>
      <c r="JGS41" s="549"/>
      <c r="JGT41" s="549"/>
      <c r="JGU41" s="549"/>
      <c r="JGV41" s="549"/>
      <c r="JGW41" s="549"/>
      <c r="JGX41" s="549"/>
      <c r="JGY41" s="549"/>
      <c r="JGZ41" s="549"/>
      <c r="JHA41" s="549"/>
      <c r="JHB41" s="549"/>
      <c r="JHC41" s="549"/>
      <c r="JHD41" s="549"/>
      <c r="JHE41" s="549"/>
      <c r="JHF41" s="549"/>
      <c r="JHG41" s="549"/>
      <c r="JHH41" s="549"/>
      <c r="JHI41" s="549"/>
      <c r="JHJ41" s="549"/>
      <c r="JHK41" s="549"/>
      <c r="JHL41" s="549"/>
      <c r="JHM41" s="549"/>
      <c r="JHN41" s="549"/>
      <c r="JHO41" s="549"/>
      <c r="JHP41" s="549"/>
      <c r="JHQ41" s="549"/>
      <c r="JHR41" s="549"/>
      <c r="JHS41" s="549"/>
      <c r="JHT41" s="549"/>
      <c r="JHU41" s="549"/>
      <c r="JHV41" s="549"/>
      <c r="JHW41" s="549"/>
      <c r="JHX41" s="549"/>
      <c r="JHY41" s="549"/>
      <c r="JHZ41" s="549"/>
      <c r="JIA41" s="549"/>
      <c r="JIB41" s="549"/>
      <c r="JIC41" s="549"/>
      <c r="JID41" s="549"/>
      <c r="JIE41" s="549"/>
      <c r="JIF41" s="549"/>
      <c r="JIG41" s="549"/>
      <c r="JIH41" s="549"/>
      <c r="JII41" s="549"/>
      <c r="JIJ41" s="549"/>
      <c r="JIK41" s="549"/>
      <c r="JIL41" s="549"/>
      <c r="JIM41" s="549"/>
      <c r="JIN41" s="549"/>
      <c r="JIO41" s="549"/>
      <c r="JIP41" s="549"/>
      <c r="JIQ41" s="549"/>
      <c r="JIR41" s="549"/>
      <c r="JIS41" s="549"/>
      <c r="JIT41" s="549"/>
      <c r="JIU41" s="549"/>
      <c r="JIV41" s="549"/>
      <c r="JIW41" s="549"/>
      <c r="JIX41" s="549"/>
      <c r="JIY41" s="549"/>
      <c r="JIZ41" s="549"/>
      <c r="JJA41" s="549"/>
      <c r="JJB41" s="549"/>
      <c r="JJC41" s="549"/>
      <c r="JJD41" s="549"/>
      <c r="JJE41" s="549"/>
      <c r="JJF41" s="549"/>
      <c r="JJG41" s="549"/>
      <c r="JJH41" s="549"/>
      <c r="JJI41" s="549"/>
      <c r="JJJ41" s="549"/>
      <c r="JJK41" s="549"/>
      <c r="JJL41" s="549"/>
      <c r="JJM41" s="549"/>
      <c r="JJN41" s="549"/>
      <c r="JJO41" s="549"/>
      <c r="JJP41" s="549"/>
      <c r="JJQ41" s="549"/>
      <c r="JJR41" s="549"/>
      <c r="JJS41" s="549"/>
      <c r="JJT41" s="549"/>
      <c r="JJU41" s="549"/>
      <c r="JJV41" s="549"/>
      <c r="JJW41" s="549"/>
      <c r="JJX41" s="549"/>
      <c r="JJY41" s="549"/>
      <c r="JJZ41" s="549"/>
      <c r="JKA41" s="549"/>
      <c r="JKB41" s="549"/>
      <c r="JKC41" s="549"/>
      <c r="JKD41" s="549"/>
      <c r="JKE41" s="549"/>
      <c r="JKF41" s="549"/>
      <c r="JKG41" s="549"/>
      <c r="JKH41" s="549"/>
      <c r="JKI41" s="549"/>
      <c r="JKJ41" s="549"/>
      <c r="JKK41" s="549"/>
      <c r="JKL41" s="549"/>
      <c r="JKM41" s="549"/>
      <c r="JKN41" s="549"/>
      <c r="JKO41" s="549"/>
      <c r="JKP41" s="549"/>
      <c r="JKQ41" s="549"/>
      <c r="JKR41" s="549"/>
      <c r="JKS41" s="549"/>
      <c r="JKT41" s="549"/>
      <c r="JKU41" s="549"/>
      <c r="JKV41" s="549"/>
      <c r="JKW41" s="549"/>
      <c r="JKX41" s="549"/>
      <c r="JKY41" s="549"/>
      <c r="JKZ41" s="549"/>
      <c r="JLA41" s="549"/>
      <c r="JLB41" s="549"/>
      <c r="JLC41" s="549"/>
      <c r="JLD41" s="549"/>
      <c r="JLE41" s="549"/>
      <c r="JLF41" s="549"/>
      <c r="JLG41" s="549"/>
      <c r="JLH41" s="549"/>
      <c r="JLI41" s="549"/>
      <c r="JLJ41" s="549"/>
      <c r="JLK41" s="549"/>
      <c r="JLL41" s="549"/>
      <c r="JLM41" s="549"/>
      <c r="JLN41" s="549"/>
      <c r="JLO41" s="549"/>
      <c r="JLP41" s="549"/>
      <c r="JLQ41" s="549"/>
      <c r="JLR41" s="549"/>
      <c r="JLS41" s="549"/>
      <c r="JLT41" s="549"/>
      <c r="JLU41" s="549"/>
      <c r="JLV41" s="549"/>
      <c r="JLW41" s="549"/>
      <c r="JLX41" s="549"/>
      <c r="JLY41" s="549"/>
      <c r="JLZ41" s="549"/>
      <c r="JMA41" s="549"/>
      <c r="JMB41" s="549"/>
      <c r="JMC41" s="549"/>
      <c r="JMD41" s="549"/>
      <c r="JME41" s="549"/>
      <c r="JMF41" s="549"/>
      <c r="JMG41" s="549"/>
      <c r="JMH41" s="549"/>
      <c r="JMI41" s="549"/>
      <c r="JMJ41" s="549"/>
      <c r="JMK41" s="549"/>
      <c r="JML41" s="549"/>
      <c r="JMM41" s="549"/>
      <c r="JMN41" s="549"/>
      <c r="JMO41" s="549"/>
      <c r="JMP41" s="549"/>
      <c r="JMQ41" s="549"/>
      <c r="JMR41" s="549"/>
      <c r="JMS41" s="549"/>
      <c r="JMT41" s="549"/>
      <c r="JMU41" s="549"/>
      <c r="JMV41" s="549"/>
      <c r="JMW41" s="549"/>
      <c r="JMX41" s="549"/>
      <c r="JMY41" s="549"/>
      <c r="JMZ41" s="549"/>
      <c r="JNA41" s="549"/>
      <c r="JNB41" s="549"/>
      <c r="JNC41" s="549"/>
      <c r="JND41" s="549"/>
      <c r="JNE41" s="549"/>
      <c r="JNF41" s="549"/>
      <c r="JNG41" s="549"/>
      <c r="JNH41" s="549"/>
      <c r="JNI41" s="549"/>
      <c r="JNJ41" s="549"/>
      <c r="JNK41" s="549"/>
      <c r="JNL41" s="549"/>
      <c r="JNM41" s="549"/>
      <c r="JNN41" s="549"/>
      <c r="JNO41" s="549"/>
      <c r="JNP41" s="549"/>
      <c r="JNQ41" s="549"/>
      <c r="JNR41" s="549"/>
      <c r="JNS41" s="549"/>
      <c r="JNT41" s="549"/>
      <c r="JNU41" s="549"/>
      <c r="JNV41" s="549"/>
      <c r="JNW41" s="549"/>
      <c r="JNX41" s="549"/>
      <c r="JNY41" s="549"/>
      <c r="JNZ41" s="549"/>
      <c r="JOA41" s="549"/>
      <c r="JOB41" s="549"/>
      <c r="JOC41" s="549"/>
      <c r="JOD41" s="549"/>
      <c r="JOE41" s="549"/>
      <c r="JOF41" s="549"/>
      <c r="JOG41" s="549"/>
      <c r="JOH41" s="549"/>
      <c r="JOI41" s="549"/>
      <c r="JOJ41" s="549"/>
      <c r="JOK41" s="549"/>
      <c r="JOL41" s="549"/>
      <c r="JOM41" s="549"/>
      <c r="JON41" s="549"/>
      <c r="JOO41" s="549"/>
      <c r="JOP41" s="549"/>
      <c r="JOQ41" s="549"/>
      <c r="JOR41" s="549"/>
      <c r="JOS41" s="549"/>
      <c r="JOT41" s="549"/>
      <c r="JOU41" s="549"/>
      <c r="JOV41" s="549"/>
      <c r="JOW41" s="549"/>
      <c r="JOX41" s="549"/>
      <c r="JOY41" s="549"/>
      <c r="JOZ41" s="549"/>
      <c r="JPA41" s="549"/>
      <c r="JPB41" s="549"/>
      <c r="JPC41" s="549"/>
      <c r="JPD41" s="549"/>
      <c r="JPE41" s="549"/>
      <c r="JPF41" s="549"/>
      <c r="JPG41" s="549"/>
      <c r="JPH41" s="549"/>
      <c r="JPI41" s="549"/>
      <c r="JPJ41" s="549"/>
      <c r="JPK41" s="549"/>
      <c r="JPL41" s="549"/>
      <c r="JPM41" s="549"/>
      <c r="JPN41" s="549"/>
      <c r="JPO41" s="549"/>
      <c r="JPP41" s="549"/>
      <c r="JPQ41" s="549"/>
      <c r="JPR41" s="549"/>
      <c r="JPS41" s="549"/>
      <c r="JPT41" s="549"/>
      <c r="JPU41" s="549"/>
      <c r="JPV41" s="549"/>
      <c r="JPW41" s="549"/>
      <c r="JPX41" s="549"/>
      <c r="JPY41" s="549"/>
      <c r="JPZ41" s="549"/>
      <c r="JQA41" s="549"/>
      <c r="JQB41" s="549"/>
      <c r="JQC41" s="549"/>
      <c r="JQD41" s="549"/>
      <c r="JQE41" s="549"/>
      <c r="JQF41" s="549"/>
      <c r="JQG41" s="549"/>
      <c r="JQH41" s="549"/>
      <c r="JQI41" s="549"/>
      <c r="JQJ41" s="549"/>
      <c r="JQK41" s="549"/>
      <c r="JQL41" s="549"/>
      <c r="JQM41" s="549"/>
      <c r="JQN41" s="549"/>
      <c r="JQO41" s="549"/>
      <c r="JQP41" s="549"/>
      <c r="JQQ41" s="549"/>
      <c r="JQR41" s="549"/>
      <c r="JQS41" s="549"/>
      <c r="JQT41" s="549"/>
      <c r="JQU41" s="549"/>
      <c r="JQV41" s="549"/>
      <c r="JQW41" s="549"/>
      <c r="JQX41" s="549"/>
      <c r="JQY41" s="549"/>
      <c r="JQZ41" s="549"/>
      <c r="JRA41" s="549"/>
      <c r="JRB41" s="549"/>
      <c r="JRC41" s="549"/>
      <c r="JRD41" s="549"/>
      <c r="JRE41" s="549"/>
      <c r="JRF41" s="549"/>
      <c r="JRG41" s="549"/>
      <c r="JRH41" s="549"/>
      <c r="JRI41" s="549"/>
      <c r="JRJ41" s="549"/>
      <c r="JRK41" s="549"/>
      <c r="JRL41" s="549"/>
      <c r="JRM41" s="549"/>
      <c r="JRN41" s="549"/>
      <c r="JRO41" s="549"/>
      <c r="JRP41" s="549"/>
      <c r="JRQ41" s="549"/>
      <c r="JRR41" s="549"/>
      <c r="JRS41" s="549"/>
      <c r="JRT41" s="549"/>
      <c r="JRU41" s="549"/>
      <c r="JRV41" s="549"/>
      <c r="JRW41" s="549"/>
      <c r="JRX41" s="549"/>
      <c r="JRY41" s="549"/>
      <c r="JRZ41" s="549"/>
      <c r="JSA41" s="549"/>
      <c r="JSB41" s="549"/>
      <c r="JSC41" s="549"/>
      <c r="JSD41" s="549"/>
      <c r="JSE41" s="549"/>
      <c r="JSF41" s="549"/>
      <c r="JSG41" s="549"/>
      <c r="JSH41" s="549"/>
      <c r="JSI41" s="549"/>
      <c r="JSJ41" s="549"/>
      <c r="JSK41" s="549"/>
      <c r="JSL41" s="549"/>
      <c r="JSM41" s="549"/>
      <c r="JSN41" s="549"/>
      <c r="JSO41" s="549"/>
      <c r="JSP41" s="549"/>
      <c r="JSQ41" s="549"/>
      <c r="JSR41" s="549"/>
      <c r="JSS41" s="549"/>
      <c r="JST41" s="549"/>
      <c r="JSU41" s="549"/>
      <c r="JSV41" s="549"/>
      <c r="JSW41" s="549"/>
      <c r="JSX41" s="549"/>
      <c r="JSY41" s="549"/>
      <c r="JSZ41" s="549"/>
      <c r="JTA41" s="549"/>
      <c r="JTB41" s="549"/>
      <c r="JTC41" s="549"/>
      <c r="JTD41" s="549"/>
      <c r="JTE41" s="549"/>
      <c r="JTF41" s="549"/>
      <c r="JTG41" s="549"/>
      <c r="JTH41" s="549"/>
      <c r="JTI41" s="549"/>
      <c r="JTJ41" s="549"/>
      <c r="JTK41" s="549"/>
      <c r="JTL41" s="549"/>
      <c r="JTM41" s="549"/>
      <c r="JTN41" s="549"/>
      <c r="JTO41" s="549"/>
      <c r="JTP41" s="549"/>
      <c r="JTQ41" s="549"/>
      <c r="JTR41" s="549"/>
      <c r="JTS41" s="549"/>
      <c r="JTT41" s="549"/>
      <c r="JTU41" s="549"/>
      <c r="JTV41" s="549"/>
      <c r="JTW41" s="549"/>
      <c r="JTX41" s="549"/>
      <c r="JTY41" s="549"/>
      <c r="JTZ41" s="549"/>
      <c r="JUA41" s="549"/>
      <c r="JUB41" s="549"/>
      <c r="JUC41" s="549"/>
      <c r="JUD41" s="549"/>
      <c r="JUE41" s="549"/>
      <c r="JUF41" s="549"/>
      <c r="JUG41" s="549"/>
      <c r="JUH41" s="549"/>
      <c r="JUI41" s="549"/>
      <c r="JUJ41" s="549"/>
      <c r="JUK41" s="549"/>
      <c r="JUL41" s="549"/>
      <c r="JUM41" s="549"/>
      <c r="JUN41" s="549"/>
      <c r="JUO41" s="549"/>
      <c r="JUP41" s="549"/>
      <c r="JUQ41" s="549"/>
      <c r="JUR41" s="549"/>
      <c r="JUS41" s="549"/>
      <c r="JUT41" s="549"/>
      <c r="JUU41" s="549"/>
      <c r="JUV41" s="549"/>
      <c r="JUW41" s="549"/>
      <c r="JUX41" s="549"/>
      <c r="JUY41" s="549"/>
      <c r="JUZ41" s="549"/>
      <c r="JVA41" s="549"/>
      <c r="JVB41" s="549"/>
      <c r="JVC41" s="549"/>
      <c r="JVD41" s="549"/>
      <c r="JVE41" s="549"/>
      <c r="JVF41" s="549"/>
      <c r="JVG41" s="549"/>
      <c r="JVH41" s="549"/>
      <c r="JVI41" s="549"/>
      <c r="JVJ41" s="549"/>
      <c r="JVK41" s="549"/>
      <c r="JVL41" s="549"/>
      <c r="JVM41" s="549"/>
      <c r="JVN41" s="549"/>
      <c r="JVO41" s="549"/>
      <c r="JVP41" s="549"/>
      <c r="JVQ41" s="549"/>
      <c r="JVR41" s="549"/>
      <c r="JVS41" s="549"/>
      <c r="JVT41" s="549"/>
      <c r="JVU41" s="549"/>
      <c r="JVV41" s="549"/>
      <c r="JVW41" s="549"/>
      <c r="JVX41" s="549"/>
      <c r="JVY41" s="549"/>
      <c r="JVZ41" s="549"/>
      <c r="JWA41" s="549"/>
      <c r="JWB41" s="549"/>
      <c r="JWC41" s="549"/>
      <c r="JWD41" s="549"/>
      <c r="JWE41" s="549"/>
      <c r="JWF41" s="549"/>
      <c r="JWG41" s="549"/>
      <c r="JWH41" s="549"/>
      <c r="JWI41" s="549"/>
      <c r="JWJ41" s="549"/>
      <c r="JWK41" s="549"/>
      <c r="JWL41" s="549"/>
      <c r="JWM41" s="549"/>
      <c r="JWN41" s="549"/>
      <c r="JWO41" s="549"/>
      <c r="JWP41" s="549"/>
      <c r="JWQ41" s="549"/>
      <c r="JWR41" s="549"/>
      <c r="JWS41" s="549"/>
      <c r="JWT41" s="549"/>
      <c r="JWU41" s="549"/>
      <c r="JWV41" s="549"/>
      <c r="JWW41" s="549"/>
      <c r="JWX41" s="549"/>
      <c r="JWY41" s="549"/>
      <c r="JWZ41" s="549"/>
      <c r="JXA41" s="549"/>
      <c r="JXB41" s="549"/>
      <c r="JXC41" s="549"/>
      <c r="JXD41" s="549"/>
      <c r="JXE41" s="549"/>
      <c r="JXF41" s="549"/>
      <c r="JXG41" s="549"/>
      <c r="JXH41" s="549"/>
      <c r="JXI41" s="549"/>
      <c r="JXJ41" s="549"/>
      <c r="JXK41" s="549"/>
      <c r="JXL41" s="549"/>
      <c r="JXM41" s="549"/>
      <c r="JXN41" s="549"/>
      <c r="JXO41" s="549"/>
      <c r="JXP41" s="549"/>
      <c r="JXQ41" s="549"/>
      <c r="JXR41" s="549"/>
      <c r="JXS41" s="549"/>
      <c r="JXT41" s="549"/>
      <c r="JXU41" s="549"/>
      <c r="JXV41" s="549"/>
      <c r="JXW41" s="549"/>
      <c r="JXX41" s="549"/>
      <c r="JXY41" s="549"/>
      <c r="JXZ41" s="549"/>
      <c r="JYA41" s="549"/>
      <c r="JYB41" s="549"/>
      <c r="JYC41" s="549"/>
      <c r="JYD41" s="549"/>
      <c r="JYE41" s="549"/>
      <c r="JYF41" s="549"/>
      <c r="JYG41" s="549"/>
      <c r="JYH41" s="549"/>
      <c r="JYI41" s="549"/>
      <c r="JYJ41" s="549"/>
      <c r="JYK41" s="549"/>
      <c r="JYL41" s="549"/>
      <c r="JYM41" s="549"/>
      <c r="JYN41" s="549"/>
      <c r="JYO41" s="549"/>
      <c r="JYP41" s="549"/>
      <c r="JYQ41" s="549"/>
      <c r="JYR41" s="549"/>
      <c r="JYS41" s="549"/>
      <c r="JYT41" s="549"/>
      <c r="JYU41" s="549"/>
      <c r="JYV41" s="549"/>
      <c r="JYW41" s="549"/>
      <c r="JYX41" s="549"/>
      <c r="JYY41" s="549"/>
      <c r="JYZ41" s="549"/>
      <c r="JZA41" s="549"/>
      <c r="JZB41" s="549"/>
      <c r="JZC41" s="549"/>
      <c r="JZD41" s="549"/>
      <c r="JZE41" s="549"/>
      <c r="JZF41" s="549"/>
      <c r="JZG41" s="549"/>
      <c r="JZH41" s="549"/>
      <c r="JZI41" s="549"/>
      <c r="JZJ41" s="549"/>
      <c r="JZK41" s="549"/>
      <c r="JZL41" s="549"/>
      <c r="JZM41" s="549"/>
      <c r="JZN41" s="549"/>
      <c r="JZO41" s="549"/>
      <c r="JZP41" s="549"/>
      <c r="JZQ41" s="549"/>
      <c r="JZR41" s="549"/>
      <c r="JZS41" s="549"/>
      <c r="JZT41" s="549"/>
      <c r="JZU41" s="549"/>
      <c r="JZV41" s="549"/>
      <c r="JZW41" s="549"/>
      <c r="JZX41" s="549"/>
      <c r="JZY41" s="549"/>
      <c r="JZZ41" s="549"/>
      <c r="KAA41" s="549"/>
      <c r="KAB41" s="549"/>
      <c r="KAC41" s="549"/>
      <c r="KAD41" s="549"/>
      <c r="KAE41" s="549"/>
      <c r="KAF41" s="549"/>
      <c r="KAG41" s="549"/>
      <c r="KAH41" s="549"/>
      <c r="KAI41" s="549"/>
      <c r="KAJ41" s="549"/>
      <c r="KAK41" s="549"/>
      <c r="KAL41" s="549"/>
      <c r="KAM41" s="549"/>
      <c r="KAN41" s="549"/>
      <c r="KAO41" s="549"/>
      <c r="KAP41" s="549"/>
      <c r="KAQ41" s="549"/>
      <c r="KAR41" s="549"/>
      <c r="KAS41" s="549"/>
      <c r="KAT41" s="549"/>
      <c r="KAU41" s="549"/>
      <c r="KAV41" s="549"/>
      <c r="KAW41" s="549"/>
      <c r="KAX41" s="549"/>
      <c r="KAY41" s="549"/>
      <c r="KAZ41" s="549"/>
      <c r="KBA41" s="549"/>
      <c r="KBB41" s="549"/>
      <c r="KBC41" s="549"/>
      <c r="KBD41" s="549"/>
      <c r="KBE41" s="549"/>
      <c r="KBF41" s="549"/>
      <c r="KBG41" s="549"/>
      <c r="KBH41" s="549"/>
      <c r="KBI41" s="549"/>
      <c r="KBJ41" s="549"/>
      <c r="KBK41" s="549"/>
      <c r="KBL41" s="549"/>
      <c r="KBM41" s="549"/>
      <c r="KBN41" s="549"/>
      <c r="KBO41" s="549"/>
      <c r="KBP41" s="549"/>
      <c r="KBQ41" s="549"/>
      <c r="KBR41" s="549"/>
      <c r="KBS41" s="549"/>
      <c r="KBT41" s="549"/>
      <c r="KBU41" s="549"/>
      <c r="KBV41" s="549"/>
      <c r="KBW41" s="549"/>
      <c r="KBX41" s="549"/>
      <c r="KBY41" s="549"/>
      <c r="KBZ41" s="549"/>
      <c r="KCA41" s="549"/>
      <c r="KCB41" s="549"/>
      <c r="KCC41" s="549"/>
      <c r="KCD41" s="549"/>
      <c r="KCE41" s="549"/>
      <c r="KCF41" s="549"/>
      <c r="KCG41" s="549"/>
      <c r="KCH41" s="549"/>
      <c r="KCI41" s="549"/>
      <c r="KCJ41" s="549"/>
      <c r="KCK41" s="549"/>
      <c r="KCL41" s="549"/>
      <c r="KCM41" s="549"/>
      <c r="KCN41" s="549"/>
      <c r="KCO41" s="549"/>
      <c r="KCP41" s="549"/>
      <c r="KCQ41" s="549"/>
      <c r="KCR41" s="549"/>
      <c r="KCS41" s="549"/>
      <c r="KCT41" s="549"/>
      <c r="KCU41" s="549"/>
      <c r="KCV41" s="549"/>
      <c r="KCW41" s="549"/>
      <c r="KCX41" s="549"/>
      <c r="KCY41" s="549"/>
      <c r="KCZ41" s="549"/>
      <c r="KDA41" s="549"/>
      <c r="KDB41" s="549"/>
      <c r="KDC41" s="549"/>
      <c r="KDD41" s="549"/>
      <c r="KDE41" s="549"/>
      <c r="KDF41" s="549"/>
      <c r="KDG41" s="549"/>
      <c r="KDH41" s="549"/>
      <c r="KDI41" s="549"/>
      <c r="KDJ41" s="549"/>
      <c r="KDK41" s="549"/>
      <c r="KDL41" s="549"/>
      <c r="KDM41" s="549"/>
      <c r="KDN41" s="549"/>
      <c r="KDO41" s="549"/>
      <c r="KDP41" s="549"/>
      <c r="KDQ41" s="549"/>
      <c r="KDR41" s="549"/>
      <c r="KDS41" s="549"/>
      <c r="KDT41" s="549"/>
      <c r="KDU41" s="549"/>
      <c r="KDV41" s="549"/>
      <c r="KDW41" s="549"/>
      <c r="KDX41" s="549"/>
      <c r="KDY41" s="549"/>
      <c r="KDZ41" s="549"/>
      <c r="KEA41" s="549"/>
      <c r="KEB41" s="549"/>
      <c r="KEC41" s="549"/>
      <c r="KED41" s="549"/>
      <c r="KEE41" s="549"/>
      <c r="KEF41" s="549"/>
      <c r="KEG41" s="549"/>
      <c r="KEH41" s="549"/>
      <c r="KEI41" s="549"/>
      <c r="KEJ41" s="549"/>
      <c r="KEK41" s="549"/>
      <c r="KEL41" s="549"/>
      <c r="KEM41" s="549"/>
      <c r="KEN41" s="549"/>
      <c r="KEO41" s="549"/>
      <c r="KEP41" s="549"/>
      <c r="KEQ41" s="549"/>
      <c r="KER41" s="549"/>
      <c r="KES41" s="549"/>
      <c r="KET41" s="549"/>
      <c r="KEU41" s="549"/>
      <c r="KEV41" s="549"/>
      <c r="KEW41" s="549"/>
      <c r="KEX41" s="549"/>
      <c r="KEY41" s="549"/>
      <c r="KEZ41" s="549"/>
      <c r="KFA41" s="549"/>
      <c r="KFB41" s="549"/>
      <c r="KFC41" s="549"/>
      <c r="KFD41" s="549"/>
      <c r="KFE41" s="549"/>
      <c r="KFF41" s="549"/>
      <c r="KFG41" s="549"/>
      <c r="KFH41" s="549"/>
      <c r="KFI41" s="549"/>
      <c r="KFJ41" s="549"/>
      <c r="KFK41" s="549"/>
      <c r="KFL41" s="549"/>
      <c r="KFM41" s="549"/>
      <c r="KFN41" s="549"/>
      <c r="KFO41" s="549"/>
      <c r="KFP41" s="549"/>
      <c r="KFQ41" s="549"/>
      <c r="KFR41" s="549"/>
      <c r="KFS41" s="549"/>
      <c r="KFT41" s="549"/>
      <c r="KFU41" s="549"/>
      <c r="KFV41" s="549"/>
      <c r="KFW41" s="549"/>
      <c r="KFX41" s="549"/>
      <c r="KFY41" s="549"/>
      <c r="KFZ41" s="549"/>
      <c r="KGA41" s="549"/>
      <c r="KGB41" s="549"/>
      <c r="KGC41" s="549"/>
      <c r="KGD41" s="549"/>
      <c r="KGE41" s="549"/>
      <c r="KGF41" s="549"/>
      <c r="KGG41" s="549"/>
      <c r="KGH41" s="549"/>
      <c r="KGI41" s="549"/>
      <c r="KGJ41" s="549"/>
      <c r="KGK41" s="549"/>
      <c r="KGL41" s="549"/>
      <c r="KGM41" s="549"/>
      <c r="KGN41" s="549"/>
      <c r="KGO41" s="549"/>
      <c r="KGP41" s="549"/>
      <c r="KGQ41" s="549"/>
      <c r="KGR41" s="549"/>
      <c r="KGS41" s="549"/>
      <c r="KGT41" s="549"/>
      <c r="KGU41" s="549"/>
      <c r="KGV41" s="549"/>
      <c r="KGW41" s="549"/>
      <c r="KGX41" s="549"/>
      <c r="KGY41" s="549"/>
      <c r="KGZ41" s="549"/>
      <c r="KHA41" s="549"/>
      <c r="KHB41" s="549"/>
      <c r="KHC41" s="549"/>
      <c r="KHD41" s="549"/>
      <c r="KHE41" s="549"/>
      <c r="KHF41" s="549"/>
      <c r="KHG41" s="549"/>
      <c r="KHH41" s="549"/>
      <c r="KHI41" s="549"/>
      <c r="KHJ41" s="549"/>
      <c r="KHK41" s="549"/>
      <c r="KHL41" s="549"/>
      <c r="KHM41" s="549"/>
      <c r="KHN41" s="549"/>
      <c r="KHO41" s="549"/>
      <c r="KHP41" s="549"/>
      <c r="KHQ41" s="549"/>
      <c r="KHR41" s="549"/>
      <c r="KHS41" s="549"/>
      <c r="KHT41" s="549"/>
      <c r="KHU41" s="549"/>
      <c r="KHV41" s="549"/>
      <c r="KHW41" s="549"/>
      <c r="KHX41" s="549"/>
      <c r="KHY41" s="549"/>
      <c r="KHZ41" s="549"/>
      <c r="KIA41" s="549"/>
      <c r="KIB41" s="549"/>
      <c r="KIC41" s="549"/>
      <c r="KID41" s="549"/>
      <c r="KIE41" s="549"/>
      <c r="KIF41" s="549"/>
      <c r="KIG41" s="549"/>
      <c r="KIH41" s="549"/>
      <c r="KII41" s="549"/>
      <c r="KIJ41" s="549"/>
      <c r="KIK41" s="549"/>
      <c r="KIL41" s="549"/>
      <c r="KIM41" s="549"/>
      <c r="KIN41" s="549"/>
      <c r="KIO41" s="549"/>
      <c r="KIP41" s="549"/>
      <c r="KIQ41" s="549"/>
      <c r="KIR41" s="549"/>
      <c r="KIS41" s="549"/>
      <c r="KIT41" s="549"/>
      <c r="KIU41" s="549"/>
      <c r="KIV41" s="549"/>
      <c r="KIW41" s="549"/>
      <c r="KIX41" s="549"/>
      <c r="KIY41" s="549"/>
      <c r="KIZ41" s="549"/>
      <c r="KJA41" s="549"/>
      <c r="KJB41" s="549"/>
      <c r="KJC41" s="549"/>
      <c r="KJD41" s="549"/>
      <c r="KJE41" s="549"/>
      <c r="KJF41" s="549"/>
      <c r="KJG41" s="549"/>
      <c r="KJH41" s="549"/>
      <c r="KJI41" s="549"/>
      <c r="KJJ41" s="549"/>
      <c r="KJK41" s="549"/>
      <c r="KJL41" s="549"/>
      <c r="KJM41" s="549"/>
      <c r="KJN41" s="549"/>
      <c r="KJO41" s="549"/>
      <c r="KJP41" s="549"/>
      <c r="KJQ41" s="549"/>
      <c r="KJR41" s="549"/>
      <c r="KJS41" s="549"/>
      <c r="KJT41" s="549"/>
      <c r="KJU41" s="549"/>
      <c r="KJV41" s="549"/>
      <c r="KJW41" s="549"/>
      <c r="KJX41" s="549"/>
      <c r="KJY41" s="549"/>
      <c r="KJZ41" s="549"/>
      <c r="KKA41" s="549"/>
      <c r="KKB41" s="549"/>
      <c r="KKC41" s="549"/>
      <c r="KKD41" s="549"/>
      <c r="KKE41" s="549"/>
      <c r="KKF41" s="549"/>
      <c r="KKG41" s="549"/>
      <c r="KKH41" s="549"/>
      <c r="KKI41" s="549"/>
      <c r="KKJ41" s="549"/>
      <c r="KKK41" s="549"/>
      <c r="KKL41" s="549"/>
      <c r="KKM41" s="549"/>
      <c r="KKN41" s="549"/>
      <c r="KKO41" s="549"/>
      <c r="KKP41" s="549"/>
      <c r="KKQ41" s="549"/>
      <c r="KKR41" s="549"/>
      <c r="KKS41" s="549"/>
      <c r="KKT41" s="549"/>
      <c r="KKU41" s="549"/>
      <c r="KKV41" s="549"/>
      <c r="KKW41" s="549"/>
      <c r="KKX41" s="549"/>
      <c r="KKY41" s="549"/>
      <c r="KKZ41" s="549"/>
      <c r="KLA41" s="549"/>
      <c r="KLB41" s="549"/>
      <c r="KLC41" s="549"/>
      <c r="KLD41" s="549"/>
      <c r="KLE41" s="549"/>
      <c r="KLF41" s="549"/>
      <c r="KLG41" s="549"/>
      <c r="KLH41" s="549"/>
      <c r="KLI41" s="549"/>
      <c r="KLJ41" s="549"/>
      <c r="KLK41" s="549"/>
      <c r="KLL41" s="549"/>
      <c r="KLM41" s="549"/>
      <c r="KLN41" s="549"/>
      <c r="KLO41" s="549"/>
      <c r="KLP41" s="549"/>
      <c r="KLQ41" s="549"/>
      <c r="KLR41" s="549"/>
      <c r="KLS41" s="549"/>
      <c r="KLT41" s="549"/>
      <c r="KLU41" s="549"/>
      <c r="KLV41" s="549"/>
      <c r="KLW41" s="549"/>
      <c r="KLX41" s="549"/>
      <c r="KLY41" s="549"/>
      <c r="KLZ41" s="549"/>
      <c r="KMA41" s="549"/>
      <c r="KMB41" s="549"/>
      <c r="KMC41" s="549"/>
      <c r="KMD41" s="549"/>
      <c r="KME41" s="549"/>
      <c r="KMF41" s="549"/>
      <c r="KMG41" s="549"/>
      <c r="KMH41" s="549"/>
      <c r="KMI41" s="549"/>
      <c r="KMJ41" s="549"/>
      <c r="KMK41" s="549"/>
      <c r="KML41" s="549"/>
      <c r="KMM41" s="549"/>
      <c r="KMN41" s="549"/>
      <c r="KMO41" s="549"/>
      <c r="KMP41" s="549"/>
      <c r="KMQ41" s="549"/>
      <c r="KMR41" s="549"/>
      <c r="KMS41" s="549"/>
      <c r="KMT41" s="549"/>
      <c r="KMU41" s="549"/>
      <c r="KMV41" s="549"/>
      <c r="KMW41" s="549"/>
      <c r="KMX41" s="549"/>
      <c r="KMY41" s="549"/>
      <c r="KMZ41" s="549"/>
      <c r="KNA41" s="549"/>
      <c r="KNB41" s="549"/>
      <c r="KNC41" s="549"/>
      <c r="KND41" s="549"/>
      <c r="KNE41" s="549"/>
      <c r="KNF41" s="549"/>
      <c r="KNG41" s="549"/>
      <c r="KNH41" s="549"/>
      <c r="KNI41" s="549"/>
      <c r="KNJ41" s="549"/>
      <c r="KNK41" s="549"/>
      <c r="KNL41" s="549"/>
      <c r="KNM41" s="549"/>
      <c r="KNN41" s="549"/>
      <c r="KNO41" s="549"/>
      <c r="KNP41" s="549"/>
      <c r="KNQ41" s="549"/>
      <c r="KNR41" s="549"/>
      <c r="KNS41" s="549"/>
      <c r="KNT41" s="549"/>
      <c r="KNU41" s="549"/>
      <c r="KNV41" s="549"/>
      <c r="KNW41" s="549"/>
      <c r="KNX41" s="549"/>
      <c r="KNY41" s="549"/>
      <c r="KNZ41" s="549"/>
      <c r="KOA41" s="549"/>
      <c r="KOB41" s="549"/>
      <c r="KOC41" s="549"/>
      <c r="KOD41" s="549"/>
      <c r="KOE41" s="549"/>
      <c r="KOF41" s="549"/>
      <c r="KOG41" s="549"/>
      <c r="KOH41" s="549"/>
      <c r="KOI41" s="549"/>
      <c r="KOJ41" s="549"/>
      <c r="KOK41" s="549"/>
      <c r="KOL41" s="549"/>
      <c r="KOM41" s="549"/>
      <c r="KON41" s="549"/>
      <c r="KOO41" s="549"/>
      <c r="KOP41" s="549"/>
      <c r="KOQ41" s="549"/>
      <c r="KOR41" s="549"/>
      <c r="KOS41" s="549"/>
      <c r="KOT41" s="549"/>
      <c r="KOU41" s="549"/>
      <c r="KOV41" s="549"/>
      <c r="KOW41" s="549"/>
      <c r="KOX41" s="549"/>
      <c r="KOY41" s="549"/>
      <c r="KOZ41" s="549"/>
      <c r="KPA41" s="549"/>
      <c r="KPB41" s="549"/>
      <c r="KPC41" s="549"/>
      <c r="KPD41" s="549"/>
      <c r="KPE41" s="549"/>
      <c r="KPF41" s="549"/>
      <c r="KPG41" s="549"/>
      <c r="KPH41" s="549"/>
      <c r="KPI41" s="549"/>
      <c r="KPJ41" s="549"/>
      <c r="KPK41" s="549"/>
      <c r="KPL41" s="549"/>
      <c r="KPM41" s="549"/>
      <c r="KPN41" s="549"/>
      <c r="KPO41" s="549"/>
      <c r="KPP41" s="549"/>
      <c r="KPQ41" s="549"/>
      <c r="KPR41" s="549"/>
      <c r="KPS41" s="549"/>
      <c r="KPT41" s="549"/>
      <c r="KPU41" s="549"/>
      <c r="KPV41" s="549"/>
      <c r="KPW41" s="549"/>
      <c r="KPX41" s="549"/>
      <c r="KPY41" s="549"/>
      <c r="KPZ41" s="549"/>
      <c r="KQA41" s="549"/>
      <c r="KQB41" s="549"/>
      <c r="KQC41" s="549"/>
      <c r="KQD41" s="549"/>
      <c r="KQE41" s="549"/>
      <c r="KQF41" s="549"/>
      <c r="KQG41" s="549"/>
      <c r="KQH41" s="549"/>
      <c r="KQI41" s="549"/>
      <c r="KQJ41" s="549"/>
      <c r="KQK41" s="549"/>
      <c r="KQL41" s="549"/>
      <c r="KQM41" s="549"/>
      <c r="KQN41" s="549"/>
      <c r="KQO41" s="549"/>
      <c r="KQP41" s="549"/>
      <c r="KQQ41" s="549"/>
      <c r="KQR41" s="549"/>
      <c r="KQS41" s="549"/>
      <c r="KQT41" s="549"/>
      <c r="KQU41" s="549"/>
      <c r="KQV41" s="549"/>
      <c r="KQW41" s="549"/>
      <c r="KQX41" s="549"/>
      <c r="KQY41" s="549"/>
      <c r="KQZ41" s="549"/>
      <c r="KRA41" s="549"/>
      <c r="KRB41" s="549"/>
      <c r="KRC41" s="549"/>
      <c r="KRD41" s="549"/>
      <c r="KRE41" s="549"/>
      <c r="KRF41" s="549"/>
      <c r="KRG41" s="549"/>
      <c r="KRH41" s="549"/>
      <c r="KRI41" s="549"/>
      <c r="KRJ41" s="549"/>
      <c r="KRK41" s="549"/>
      <c r="KRL41" s="549"/>
      <c r="KRM41" s="549"/>
      <c r="KRN41" s="549"/>
      <c r="KRO41" s="549"/>
      <c r="KRP41" s="549"/>
      <c r="KRQ41" s="549"/>
      <c r="KRR41" s="549"/>
      <c r="KRS41" s="549"/>
      <c r="KRT41" s="549"/>
      <c r="KRU41" s="549"/>
      <c r="KRV41" s="549"/>
      <c r="KRW41" s="549"/>
      <c r="KRX41" s="549"/>
      <c r="KRY41" s="549"/>
      <c r="KRZ41" s="549"/>
      <c r="KSA41" s="549"/>
      <c r="KSB41" s="549"/>
      <c r="KSC41" s="549"/>
      <c r="KSD41" s="549"/>
      <c r="KSE41" s="549"/>
      <c r="KSF41" s="549"/>
      <c r="KSG41" s="549"/>
      <c r="KSH41" s="549"/>
      <c r="KSI41" s="549"/>
      <c r="KSJ41" s="549"/>
      <c r="KSK41" s="549"/>
      <c r="KSL41" s="549"/>
      <c r="KSM41" s="549"/>
      <c r="KSN41" s="549"/>
      <c r="KSO41" s="549"/>
      <c r="KSP41" s="549"/>
      <c r="KSQ41" s="549"/>
      <c r="KSR41" s="549"/>
      <c r="KSS41" s="549"/>
      <c r="KST41" s="549"/>
      <c r="KSU41" s="549"/>
      <c r="KSV41" s="549"/>
      <c r="KSW41" s="549"/>
      <c r="KSX41" s="549"/>
      <c r="KSY41" s="549"/>
      <c r="KSZ41" s="549"/>
      <c r="KTA41" s="549"/>
      <c r="KTB41" s="549"/>
      <c r="KTC41" s="549"/>
      <c r="KTD41" s="549"/>
      <c r="KTE41" s="549"/>
      <c r="KTF41" s="549"/>
      <c r="KTG41" s="549"/>
      <c r="KTH41" s="549"/>
      <c r="KTI41" s="549"/>
      <c r="KTJ41" s="549"/>
      <c r="KTK41" s="549"/>
      <c r="KTL41" s="549"/>
      <c r="KTM41" s="549"/>
      <c r="KTN41" s="549"/>
      <c r="KTO41" s="549"/>
      <c r="KTP41" s="549"/>
      <c r="KTQ41" s="549"/>
      <c r="KTR41" s="549"/>
      <c r="KTS41" s="549"/>
      <c r="KTT41" s="549"/>
      <c r="KTU41" s="549"/>
      <c r="KTV41" s="549"/>
      <c r="KTW41" s="549"/>
      <c r="KTX41" s="549"/>
      <c r="KTY41" s="549"/>
      <c r="KTZ41" s="549"/>
      <c r="KUA41" s="549"/>
      <c r="KUB41" s="549"/>
      <c r="KUC41" s="549"/>
      <c r="KUD41" s="549"/>
      <c r="KUE41" s="549"/>
      <c r="KUF41" s="549"/>
      <c r="KUG41" s="549"/>
      <c r="KUH41" s="549"/>
      <c r="KUI41" s="549"/>
      <c r="KUJ41" s="549"/>
      <c r="KUK41" s="549"/>
      <c r="KUL41" s="549"/>
      <c r="KUM41" s="549"/>
      <c r="KUN41" s="549"/>
      <c r="KUO41" s="549"/>
      <c r="KUP41" s="549"/>
      <c r="KUQ41" s="549"/>
      <c r="KUR41" s="549"/>
      <c r="KUS41" s="549"/>
      <c r="KUT41" s="549"/>
      <c r="KUU41" s="549"/>
      <c r="KUV41" s="549"/>
      <c r="KUW41" s="549"/>
      <c r="KUX41" s="549"/>
      <c r="KUY41" s="549"/>
      <c r="KUZ41" s="549"/>
      <c r="KVA41" s="549"/>
      <c r="KVB41" s="549"/>
      <c r="KVC41" s="549"/>
      <c r="KVD41" s="549"/>
      <c r="KVE41" s="549"/>
      <c r="KVF41" s="549"/>
      <c r="KVG41" s="549"/>
      <c r="KVH41" s="549"/>
      <c r="KVI41" s="549"/>
      <c r="KVJ41" s="549"/>
      <c r="KVK41" s="549"/>
      <c r="KVL41" s="549"/>
      <c r="KVM41" s="549"/>
      <c r="KVN41" s="549"/>
      <c r="KVO41" s="549"/>
      <c r="KVP41" s="549"/>
      <c r="KVQ41" s="549"/>
      <c r="KVR41" s="549"/>
      <c r="KVS41" s="549"/>
      <c r="KVT41" s="549"/>
      <c r="KVU41" s="549"/>
      <c r="KVV41" s="549"/>
      <c r="KVW41" s="549"/>
      <c r="KVX41" s="549"/>
      <c r="KVY41" s="549"/>
      <c r="KVZ41" s="549"/>
      <c r="KWA41" s="549"/>
      <c r="KWB41" s="549"/>
      <c r="KWC41" s="549"/>
      <c r="KWD41" s="549"/>
      <c r="KWE41" s="549"/>
      <c r="KWF41" s="549"/>
      <c r="KWG41" s="549"/>
      <c r="KWH41" s="549"/>
      <c r="KWI41" s="549"/>
      <c r="KWJ41" s="549"/>
      <c r="KWK41" s="549"/>
      <c r="KWL41" s="549"/>
      <c r="KWM41" s="549"/>
      <c r="KWN41" s="549"/>
      <c r="KWO41" s="549"/>
      <c r="KWP41" s="549"/>
      <c r="KWQ41" s="549"/>
      <c r="KWR41" s="549"/>
      <c r="KWS41" s="549"/>
      <c r="KWT41" s="549"/>
      <c r="KWU41" s="549"/>
      <c r="KWV41" s="549"/>
      <c r="KWW41" s="549"/>
      <c r="KWX41" s="549"/>
      <c r="KWY41" s="549"/>
      <c r="KWZ41" s="549"/>
      <c r="KXA41" s="549"/>
      <c r="KXB41" s="549"/>
      <c r="KXC41" s="549"/>
      <c r="KXD41" s="549"/>
      <c r="KXE41" s="549"/>
      <c r="KXF41" s="549"/>
      <c r="KXG41" s="549"/>
      <c r="KXH41" s="549"/>
      <c r="KXI41" s="549"/>
      <c r="KXJ41" s="549"/>
      <c r="KXK41" s="549"/>
      <c r="KXL41" s="549"/>
      <c r="KXM41" s="549"/>
      <c r="KXN41" s="549"/>
      <c r="KXO41" s="549"/>
      <c r="KXP41" s="549"/>
      <c r="KXQ41" s="549"/>
      <c r="KXR41" s="549"/>
      <c r="KXS41" s="549"/>
      <c r="KXT41" s="549"/>
      <c r="KXU41" s="549"/>
      <c r="KXV41" s="549"/>
      <c r="KXW41" s="549"/>
      <c r="KXX41" s="549"/>
      <c r="KXY41" s="549"/>
      <c r="KXZ41" s="549"/>
      <c r="KYA41" s="549"/>
      <c r="KYB41" s="549"/>
      <c r="KYC41" s="549"/>
      <c r="KYD41" s="549"/>
      <c r="KYE41" s="549"/>
      <c r="KYF41" s="549"/>
      <c r="KYG41" s="549"/>
      <c r="KYH41" s="549"/>
      <c r="KYI41" s="549"/>
      <c r="KYJ41" s="549"/>
      <c r="KYK41" s="549"/>
      <c r="KYL41" s="549"/>
      <c r="KYM41" s="549"/>
      <c r="KYN41" s="549"/>
      <c r="KYO41" s="549"/>
      <c r="KYP41" s="549"/>
      <c r="KYQ41" s="549"/>
      <c r="KYR41" s="549"/>
      <c r="KYS41" s="549"/>
      <c r="KYT41" s="549"/>
      <c r="KYU41" s="549"/>
      <c r="KYV41" s="549"/>
      <c r="KYW41" s="549"/>
      <c r="KYX41" s="549"/>
      <c r="KYY41" s="549"/>
      <c r="KYZ41" s="549"/>
      <c r="KZA41" s="549"/>
      <c r="KZB41" s="549"/>
      <c r="KZC41" s="549"/>
      <c r="KZD41" s="549"/>
      <c r="KZE41" s="549"/>
      <c r="KZF41" s="549"/>
      <c r="KZG41" s="549"/>
      <c r="KZH41" s="549"/>
      <c r="KZI41" s="549"/>
      <c r="KZJ41" s="549"/>
      <c r="KZK41" s="549"/>
      <c r="KZL41" s="549"/>
      <c r="KZM41" s="549"/>
      <c r="KZN41" s="549"/>
      <c r="KZO41" s="549"/>
      <c r="KZP41" s="549"/>
      <c r="KZQ41" s="549"/>
      <c r="KZR41" s="549"/>
      <c r="KZS41" s="549"/>
      <c r="KZT41" s="549"/>
      <c r="KZU41" s="549"/>
      <c r="KZV41" s="549"/>
      <c r="KZW41" s="549"/>
      <c r="KZX41" s="549"/>
      <c r="KZY41" s="549"/>
      <c r="KZZ41" s="549"/>
      <c r="LAA41" s="549"/>
      <c r="LAB41" s="549"/>
      <c r="LAC41" s="549"/>
      <c r="LAD41" s="549"/>
      <c r="LAE41" s="549"/>
      <c r="LAF41" s="549"/>
      <c r="LAG41" s="549"/>
      <c r="LAH41" s="549"/>
      <c r="LAI41" s="549"/>
      <c r="LAJ41" s="549"/>
      <c r="LAK41" s="549"/>
      <c r="LAL41" s="549"/>
      <c r="LAM41" s="549"/>
      <c r="LAN41" s="549"/>
      <c r="LAO41" s="549"/>
      <c r="LAP41" s="549"/>
      <c r="LAQ41" s="549"/>
      <c r="LAR41" s="549"/>
      <c r="LAS41" s="549"/>
      <c r="LAT41" s="549"/>
      <c r="LAU41" s="549"/>
      <c r="LAV41" s="549"/>
      <c r="LAW41" s="549"/>
      <c r="LAX41" s="549"/>
      <c r="LAY41" s="549"/>
      <c r="LAZ41" s="549"/>
      <c r="LBA41" s="549"/>
      <c r="LBB41" s="549"/>
      <c r="LBC41" s="549"/>
      <c r="LBD41" s="549"/>
      <c r="LBE41" s="549"/>
      <c r="LBF41" s="549"/>
      <c r="LBG41" s="549"/>
      <c r="LBH41" s="549"/>
      <c r="LBI41" s="549"/>
      <c r="LBJ41" s="549"/>
      <c r="LBK41" s="549"/>
      <c r="LBL41" s="549"/>
      <c r="LBM41" s="549"/>
      <c r="LBN41" s="549"/>
      <c r="LBO41" s="549"/>
      <c r="LBP41" s="549"/>
      <c r="LBQ41" s="549"/>
      <c r="LBR41" s="549"/>
      <c r="LBS41" s="549"/>
      <c r="LBT41" s="549"/>
      <c r="LBU41" s="549"/>
      <c r="LBV41" s="549"/>
      <c r="LBW41" s="549"/>
      <c r="LBX41" s="549"/>
      <c r="LBY41" s="549"/>
      <c r="LBZ41" s="549"/>
      <c r="LCA41" s="549"/>
      <c r="LCB41" s="549"/>
      <c r="LCC41" s="549"/>
      <c r="LCD41" s="549"/>
      <c r="LCE41" s="549"/>
      <c r="LCF41" s="549"/>
      <c r="LCG41" s="549"/>
      <c r="LCH41" s="549"/>
      <c r="LCI41" s="549"/>
      <c r="LCJ41" s="549"/>
      <c r="LCK41" s="549"/>
      <c r="LCL41" s="549"/>
      <c r="LCM41" s="549"/>
      <c r="LCN41" s="549"/>
      <c r="LCO41" s="549"/>
      <c r="LCP41" s="549"/>
      <c r="LCQ41" s="549"/>
      <c r="LCR41" s="549"/>
      <c r="LCS41" s="549"/>
      <c r="LCT41" s="549"/>
      <c r="LCU41" s="549"/>
      <c r="LCV41" s="549"/>
      <c r="LCW41" s="549"/>
      <c r="LCX41" s="549"/>
      <c r="LCY41" s="549"/>
      <c r="LCZ41" s="549"/>
      <c r="LDA41" s="549"/>
      <c r="LDB41" s="549"/>
      <c r="LDC41" s="549"/>
      <c r="LDD41" s="549"/>
      <c r="LDE41" s="549"/>
      <c r="LDF41" s="549"/>
      <c r="LDG41" s="549"/>
      <c r="LDH41" s="549"/>
      <c r="LDI41" s="549"/>
      <c r="LDJ41" s="549"/>
      <c r="LDK41" s="549"/>
      <c r="LDL41" s="549"/>
      <c r="LDM41" s="549"/>
      <c r="LDN41" s="549"/>
      <c r="LDO41" s="549"/>
      <c r="LDP41" s="549"/>
      <c r="LDQ41" s="549"/>
      <c r="LDR41" s="549"/>
      <c r="LDS41" s="549"/>
      <c r="LDT41" s="549"/>
      <c r="LDU41" s="549"/>
      <c r="LDV41" s="549"/>
      <c r="LDW41" s="549"/>
      <c r="LDX41" s="549"/>
      <c r="LDY41" s="549"/>
      <c r="LDZ41" s="549"/>
      <c r="LEA41" s="549"/>
      <c r="LEB41" s="549"/>
      <c r="LEC41" s="549"/>
      <c r="LED41" s="549"/>
      <c r="LEE41" s="549"/>
      <c r="LEF41" s="549"/>
      <c r="LEG41" s="549"/>
      <c r="LEH41" s="549"/>
      <c r="LEI41" s="549"/>
      <c r="LEJ41" s="549"/>
      <c r="LEK41" s="549"/>
      <c r="LEL41" s="549"/>
      <c r="LEM41" s="549"/>
      <c r="LEN41" s="549"/>
      <c r="LEO41" s="549"/>
      <c r="LEP41" s="549"/>
      <c r="LEQ41" s="549"/>
      <c r="LER41" s="549"/>
      <c r="LES41" s="549"/>
      <c r="LET41" s="549"/>
      <c r="LEU41" s="549"/>
      <c r="LEV41" s="549"/>
      <c r="LEW41" s="549"/>
      <c r="LEX41" s="549"/>
      <c r="LEY41" s="549"/>
      <c r="LEZ41" s="549"/>
      <c r="LFA41" s="549"/>
      <c r="LFB41" s="549"/>
      <c r="LFC41" s="549"/>
      <c r="LFD41" s="549"/>
      <c r="LFE41" s="549"/>
      <c r="LFF41" s="549"/>
      <c r="LFG41" s="549"/>
      <c r="LFH41" s="549"/>
      <c r="LFI41" s="549"/>
      <c r="LFJ41" s="549"/>
      <c r="LFK41" s="549"/>
      <c r="LFL41" s="549"/>
      <c r="LFM41" s="549"/>
      <c r="LFN41" s="549"/>
      <c r="LFO41" s="549"/>
      <c r="LFP41" s="549"/>
      <c r="LFQ41" s="549"/>
      <c r="LFR41" s="549"/>
      <c r="LFS41" s="549"/>
      <c r="LFT41" s="549"/>
      <c r="LFU41" s="549"/>
      <c r="LFV41" s="549"/>
      <c r="LFW41" s="549"/>
      <c r="LFX41" s="549"/>
      <c r="LFY41" s="549"/>
      <c r="LFZ41" s="549"/>
      <c r="LGA41" s="549"/>
      <c r="LGB41" s="549"/>
      <c r="LGC41" s="549"/>
      <c r="LGD41" s="549"/>
      <c r="LGE41" s="549"/>
      <c r="LGF41" s="549"/>
      <c r="LGG41" s="549"/>
      <c r="LGH41" s="549"/>
      <c r="LGI41" s="549"/>
      <c r="LGJ41" s="549"/>
      <c r="LGK41" s="549"/>
      <c r="LGL41" s="549"/>
      <c r="LGM41" s="549"/>
      <c r="LGN41" s="549"/>
      <c r="LGO41" s="549"/>
      <c r="LGP41" s="549"/>
      <c r="LGQ41" s="549"/>
      <c r="LGR41" s="549"/>
      <c r="LGS41" s="549"/>
      <c r="LGT41" s="549"/>
      <c r="LGU41" s="549"/>
      <c r="LGV41" s="549"/>
      <c r="LGW41" s="549"/>
      <c r="LGX41" s="549"/>
      <c r="LGY41" s="549"/>
      <c r="LGZ41" s="549"/>
      <c r="LHA41" s="549"/>
      <c r="LHB41" s="549"/>
      <c r="LHC41" s="549"/>
      <c r="LHD41" s="549"/>
      <c r="LHE41" s="549"/>
      <c r="LHF41" s="549"/>
      <c r="LHG41" s="549"/>
      <c r="LHH41" s="549"/>
      <c r="LHI41" s="549"/>
      <c r="LHJ41" s="549"/>
      <c r="LHK41" s="549"/>
      <c r="LHL41" s="549"/>
      <c r="LHM41" s="549"/>
      <c r="LHN41" s="549"/>
      <c r="LHO41" s="549"/>
      <c r="LHP41" s="549"/>
      <c r="LHQ41" s="549"/>
      <c r="LHR41" s="549"/>
      <c r="LHS41" s="549"/>
      <c r="LHT41" s="549"/>
      <c r="LHU41" s="549"/>
      <c r="LHV41" s="549"/>
      <c r="LHW41" s="549"/>
      <c r="LHX41" s="549"/>
      <c r="LHY41" s="549"/>
      <c r="LHZ41" s="549"/>
      <c r="LIA41" s="549"/>
      <c r="LIB41" s="549"/>
      <c r="LIC41" s="549"/>
      <c r="LID41" s="549"/>
      <c r="LIE41" s="549"/>
      <c r="LIF41" s="549"/>
      <c r="LIG41" s="549"/>
      <c r="LIH41" s="549"/>
      <c r="LII41" s="549"/>
      <c r="LIJ41" s="549"/>
      <c r="LIK41" s="549"/>
      <c r="LIL41" s="549"/>
      <c r="LIM41" s="549"/>
      <c r="LIN41" s="549"/>
      <c r="LIO41" s="549"/>
      <c r="LIP41" s="549"/>
      <c r="LIQ41" s="549"/>
      <c r="LIR41" s="549"/>
      <c r="LIS41" s="549"/>
      <c r="LIT41" s="549"/>
      <c r="LIU41" s="549"/>
      <c r="LIV41" s="549"/>
      <c r="LIW41" s="549"/>
      <c r="LIX41" s="549"/>
      <c r="LIY41" s="549"/>
      <c r="LIZ41" s="549"/>
      <c r="LJA41" s="549"/>
      <c r="LJB41" s="549"/>
      <c r="LJC41" s="549"/>
      <c r="LJD41" s="549"/>
      <c r="LJE41" s="549"/>
      <c r="LJF41" s="549"/>
      <c r="LJG41" s="549"/>
      <c r="LJH41" s="549"/>
      <c r="LJI41" s="549"/>
      <c r="LJJ41" s="549"/>
      <c r="LJK41" s="549"/>
      <c r="LJL41" s="549"/>
      <c r="LJM41" s="549"/>
      <c r="LJN41" s="549"/>
      <c r="LJO41" s="549"/>
      <c r="LJP41" s="549"/>
      <c r="LJQ41" s="549"/>
      <c r="LJR41" s="549"/>
      <c r="LJS41" s="549"/>
      <c r="LJT41" s="549"/>
      <c r="LJU41" s="549"/>
      <c r="LJV41" s="549"/>
      <c r="LJW41" s="549"/>
      <c r="LJX41" s="549"/>
      <c r="LJY41" s="549"/>
      <c r="LJZ41" s="549"/>
      <c r="LKA41" s="549"/>
      <c r="LKB41" s="549"/>
      <c r="LKC41" s="549"/>
      <c r="LKD41" s="549"/>
      <c r="LKE41" s="549"/>
      <c r="LKF41" s="549"/>
      <c r="LKG41" s="549"/>
      <c r="LKH41" s="549"/>
      <c r="LKI41" s="549"/>
      <c r="LKJ41" s="549"/>
      <c r="LKK41" s="549"/>
      <c r="LKL41" s="549"/>
      <c r="LKM41" s="549"/>
      <c r="LKN41" s="549"/>
      <c r="LKO41" s="549"/>
      <c r="LKP41" s="549"/>
      <c r="LKQ41" s="549"/>
      <c r="LKR41" s="549"/>
      <c r="LKS41" s="549"/>
      <c r="LKT41" s="549"/>
      <c r="LKU41" s="549"/>
      <c r="LKV41" s="549"/>
      <c r="LKW41" s="549"/>
      <c r="LKX41" s="549"/>
      <c r="LKY41" s="549"/>
      <c r="LKZ41" s="549"/>
      <c r="LLA41" s="549"/>
      <c r="LLB41" s="549"/>
      <c r="LLC41" s="549"/>
      <c r="LLD41" s="549"/>
      <c r="LLE41" s="549"/>
      <c r="LLF41" s="549"/>
      <c r="LLG41" s="549"/>
      <c r="LLH41" s="549"/>
      <c r="LLI41" s="549"/>
      <c r="LLJ41" s="549"/>
      <c r="LLK41" s="549"/>
      <c r="LLL41" s="549"/>
      <c r="LLM41" s="549"/>
      <c r="LLN41" s="549"/>
      <c r="LLO41" s="549"/>
      <c r="LLP41" s="549"/>
      <c r="LLQ41" s="549"/>
      <c r="LLR41" s="549"/>
      <c r="LLS41" s="549"/>
      <c r="LLT41" s="549"/>
      <c r="LLU41" s="549"/>
      <c r="LLV41" s="549"/>
      <c r="LLW41" s="549"/>
      <c r="LLX41" s="549"/>
      <c r="LLY41" s="549"/>
      <c r="LLZ41" s="549"/>
      <c r="LMA41" s="549"/>
      <c r="LMB41" s="549"/>
      <c r="LMC41" s="549"/>
      <c r="LMD41" s="549"/>
      <c r="LME41" s="549"/>
      <c r="LMF41" s="549"/>
      <c r="LMG41" s="549"/>
      <c r="LMH41" s="549"/>
      <c r="LMI41" s="549"/>
      <c r="LMJ41" s="549"/>
      <c r="LMK41" s="549"/>
      <c r="LML41" s="549"/>
      <c r="LMM41" s="549"/>
      <c r="LMN41" s="549"/>
      <c r="LMO41" s="549"/>
      <c r="LMP41" s="549"/>
      <c r="LMQ41" s="549"/>
      <c r="LMR41" s="549"/>
      <c r="LMS41" s="549"/>
      <c r="LMT41" s="549"/>
      <c r="LMU41" s="549"/>
      <c r="LMV41" s="549"/>
      <c r="LMW41" s="549"/>
      <c r="LMX41" s="549"/>
      <c r="LMY41" s="549"/>
      <c r="LMZ41" s="549"/>
      <c r="LNA41" s="549"/>
      <c r="LNB41" s="549"/>
      <c r="LNC41" s="549"/>
      <c r="LND41" s="549"/>
      <c r="LNE41" s="549"/>
      <c r="LNF41" s="549"/>
      <c r="LNG41" s="549"/>
      <c r="LNH41" s="549"/>
      <c r="LNI41" s="549"/>
      <c r="LNJ41" s="549"/>
      <c r="LNK41" s="549"/>
      <c r="LNL41" s="549"/>
      <c r="LNM41" s="549"/>
      <c r="LNN41" s="549"/>
      <c r="LNO41" s="549"/>
      <c r="LNP41" s="549"/>
      <c r="LNQ41" s="549"/>
      <c r="LNR41" s="549"/>
      <c r="LNS41" s="549"/>
      <c r="LNT41" s="549"/>
      <c r="LNU41" s="549"/>
      <c r="LNV41" s="549"/>
      <c r="LNW41" s="549"/>
      <c r="LNX41" s="549"/>
      <c r="LNY41" s="549"/>
      <c r="LNZ41" s="549"/>
      <c r="LOA41" s="549"/>
      <c r="LOB41" s="549"/>
      <c r="LOC41" s="549"/>
      <c r="LOD41" s="549"/>
      <c r="LOE41" s="549"/>
      <c r="LOF41" s="549"/>
      <c r="LOG41" s="549"/>
      <c r="LOH41" s="549"/>
      <c r="LOI41" s="549"/>
      <c r="LOJ41" s="549"/>
      <c r="LOK41" s="549"/>
      <c r="LOL41" s="549"/>
      <c r="LOM41" s="549"/>
      <c r="LON41" s="549"/>
      <c r="LOO41" s="549"/>
      <c r="LOP41" s="549"/>
      <c r="LOQ41" s="549"/>
      <c r="LOR41" s="549"/>
      <c r="LOS41" s="549"/>
      <c r="LOT41" s="549"/>
      <c r="LOU41" s="549"/>
      <c r="LOV41" s="549"/>
      <c r="LOW41" s="549"/>
      <c r="LOX41" s="549"/>
      <c r="LOY41" s="549"/>
      <c r="LOZ41" s="549"/>
      <c r="LPA41" s="549"/>
      <c r="LPB41" s="549"/>
      <c r="LPC41" s="549"/>
      <c r="LPD41" s="549"/>
      <c r="LPE41" s="549"/>
      <c r="LPF41" s="549"/>
      <c r="LPG41" s="549"/>
      <c r="LPH41" s="549"/>
      <c r="LPI41" s="549"/>
      <c r="LPJ41" s="549"/>
      <c r="LPK41" s="549"/>
      <c r="LPL41" s="549"/>
      <c r="LPM41" s="549"/>
      <c r="LPN41" s="549"/>
      <c r="LPO41" s="549"/>
      <c r="LPP41" s="549"/>
      <c r="LPQ41" s="549"/>
      <c r="LPR41" s="549"/>
      <c r="LPS41" s="549"/>
      <c r="LPT41" s="549"/>
      <c r="LPU41" s="549"/>
      <c r="LPV41" s="549"/>
      <c r="LPW41" s="549"/>
      <c r="LPX41" s="549"/>
      <c r="LPY41" s="549"/>
      <c r="LPZ41" s="549"/>
      <c r="LQA41" s="549"/>
      <c r="LQB41" s="549"/>
      <c r="LQC41" s="549"/>
      <c r="LQD41" s="549"/>
      <c r="LQE41" s="549"/>
      <c r="LQF41" s="549"/>
      <c r="LQG41" s="549"/>
      <c r="LQH41" s="549"/>
      <c r="LQI41" s="549"/>
      <c r="LQJ41" s="549"/>
      <c r="LQK41" s="549"/>
      <c r="LQL41" s="549"/>
      <c r="LQM41" s="549"/>
      <c r="LQN41" s="549"/>
      <c r="LQO41" s="549"/>
      <c r="LQP41" s="549"/>
      <c r="LQQ41" s="549"/>
      <c r="LQR41" s="549"/>
      <c r="LQS41" s="549"/>
      <c r="LQT41" s="549"/>
      <c r="LQU41" s="549"/>
      <c r="LQV41" s="549"/>
      <c r="LQW41" s="549"/>
      <c r="LQX41" s="549"/>
      <c r="LQY41" s="549"/>
      <c r="LQZ41" s="549"/>
      <c r="LRA41" s="549"/>
      <c r="LRB41" s="549"/>
      <c r="LRC41" s="549"/>
      <c r="LRD41" s="549"/>
      <c r="LRE41" s="549"/>
      <c r="LRF41" s="549"/>
      <c r="LRG41" s="549"/>
      <c r="LRH41" s="549"/>
      <c r="LRI41" s="549"/>
      <c r="LRJ41" s="549"/>
      <c r="LRK41" s="549"/>
      <c r="LRL41" s="549"/>
      <c r="LRM41" s="549"/>
      <c r="LRN41" s="549"/>
      <c r="LRO41" s="549"/>
      <c r="LRP41" s="549"/>
      <c r="LRQ41" s="549"/>
      <c r="LRR41" s="549"/>
      <c r="LRS41" s="549"/>
      <c r="LRT41" s="549"/>
      <c r="LRU41" s="549"/>
      <c r="LRV41" s="549"/>
      <c r="LRW41" s="549"/>
      <c r="LRX41" s="549"/>
      <c r="LRY41" s="549"/>
      <c r="LRZ41" s="549"/>
      <c r="LSA41" s="549"/>
      <c r="LSB41" s="549"/>
      <c r="LSC41" s="549"/>
      <c r="LSD41" s="549"/>
      <c r="LSE41" s="549"/>
      <c r="LSF41" s="549"/>
      <c r="LSG41" s="549"/>
      <c r="LSH41" s="549"/>
      <c r="LSI41" s="549"/>
      <c r="LSJ41" s="549"/>
      <c r="LSK41" s="549"/>
      <c r="LSL41" s="549"/>
      <c r="LSM41" s="549"/>
      <c r="LSN41" s="549"/>
      <c r="LSO41" s="549"/>
      <c r="LSP41" s="549"/>
      <c r="LSQ41" s="549"/>
      <c r="LSR41" s="549"/>
      <c r="LSS41" s="549"/>
      <c r="LST41" s="549"/>
      <c r="LSU41" s="549"/>
      <c r="LSV41" s="549"/>
      <c r="LSW41" s="549"/>
      <c r="LSX41" s="549"/>
      <c r="LSY41" s="549"/>
      <c r="LSZ41" s="549"/>
      <c r="LTA41" s="549"/>
      <c r="LTB41" s="549"/>
      <c r="LTC41" s="549"/>
      <c r="LTD41" s="549"/>
      <c r="LTE41" s="549"/>
      <c r="LTF41" s="549"/>
      <c r="LTG41" s="549"/>
      <c r="LTH41" s="549"/>
      <c r="LTI41" s="549"/>
      <c r="LTJ41" s="549"/>
      <c r="LTK41" s="549"/>
      <c r="LTL41" s="549"/>
      <c r="LTM41" s="549"/>
      <c r="LTN41" s="549"/>
      <c r="LTO41" s="549"/>
      <c r="LTP41" s="549"/>
      <c r="LTQ41" s="549"/>
      <c r="LTR41" s="549"/>
      <c r="LTS41" s="549"/>
      <c r="LTT41" s="549"/>
      <c r="LTU41" s="549"/>
      <c r="LTV41" s="549"/>
      <c r="LTW41" s="549"/>
      <c r="LTX41" s="549"/>
      <c r="LTY41" s="549"/>
      <c r="LTZ41" s="549"/>
      <c r="LUA41" s="549"/>
      <c r="LUB41" s="549"/>
      <c r="LUC41" s="549"/>
      <c r="LUD41" s="549"/>
      <c r="LUE41" s="549"/>
      <c r="LUF41" s="549"/>
      <c r="LUG41" s="549"/>
      <c r="LUH41" s="549"/>
      <c r="LUI41" s="549"/>
      <c r="LUJ41" s="549"/>
      <c r="LUK41" s="549"/>
      <c r="LUL41" s="549"/>
      <c r="LUM41" s="549"/>
      <c r="LUN41" s="549"/>
      <c r="LUO41" s="549"/>
      <c r="LUP41" s="549"/>
      <c r="LUQ41" s="549"/>
      <c r="LUR41" s="549"/>
      <c r="LUS41" s="549"/>
      <c r="LUT41" s="549"/>
      <c r="LUU41" s="549"/>
      <c r="LUV41" s="549"/>
      <c r="LUW41" s="549"/>
      <c r="LUX41" s="549"/>
      <c r="LUY41" s="549"/>
      <c r="LUZ41" s="549"/>
      <c r="LVA41" s="549"/>
      <c r="LVB41" s="549"/>
      <c r="LVC41" s="549"/>
      <c r="LVD41" s="549"/>
      <c r="LVE41" s="549"/>
      <c r="LVF41" s="549"/>
      <c r="LVG41" s="549"/>
      <c r="LVH41" s="549"/>
      <c r="LVI41" s="549"/>
      <c r="LVJ41" s="549"/>
      <c r="LVK41" s="549"/>
      <c r="LVL41" s="549"/>
      <c r="LVM41" s="549"/>
      <c r="LVN41" s="549"/>
      <c r="LVO41" s="549"/>
      <c r="LVP41" s="549"/>
      <c r="LVQ41" s="549"/>
      <c r="LVR41" s="549"/>
      <c r="LVS41" s="549"/>
      <c r="LVT41" s="549"/>
      <c r="LVU41" s="549"/>
      <c r="LVV41" s="549"/>
      <c r="LVW41" s="549"/>
      <c r="LVX41" s="549"/>
      <c r="LVY41" s="549"/>
      <c r="LVZ41" s="549"/>
      <c r="LWA41" s="549"/>
      <c r="LWB41" s="549"/>
      <c r="LWC41" s="549"/>
      <c r="LWD41" s="549"/>
      <c r="LWE41" s="549"/>
      <c r="LWF41" s="549"/>
      <c r="LWG41" s="549"/>
      <c r="LWH41" s="549"/>
      <c r="LWI41" s="549"/>
      <c r="LWJ41" s="549"/>
      <c r="LWK41" s="549"/>
      <c r="LWL41" s="549"/>
      <c r="LWM41" s="549"/>
      <c r="LWN41" s="549"/>
      <c r="LWO41" s="549"/>
      <c r="LWP41" s="549"/>
      <c r="LWQ41" s="549"/>
      <c r="LWR41" s="549"/>
      <c r="LWS41" s="549"/>
      <c r="LWT41" s="549"/>
      <c r="LWU41" s="549"/>
      <c r="LWV41" s="549"/>
      <c r="LWW41" s="549"/>
      <c r="LWX41" s="549"/>
      <c r="LWY41" s="549"/>
      <c r="LWZ41" s="549"/>
      <c r="LXA41" s="549"/>
      <c r="LXB41" s="549"/>
      <c r="LXC41" s="549"/>
      <c r="LXD41" s="549"/>
      <c r="LXE41" s="549"/>
      <c r="LXF41" s="549"/>
      <c r="LXG41" s="549"/>
      <c r="LXH41" s="549"/>
      <c r="LXI41" s="549"/>
      <c r="LXJ41" s="549"/>
      <c r="LXK41" s="549"/>
      <c r="LXL41" s="549"/>
      <c r="LXM41" s="549"/>
      <c r="LXN41" s="549"/>
      <c r="LXO41" s="549"/>
      <c r="LXP41" s="549"/>
      <c r="LXQ41" s="549"/>
      <c r="LXR41" s="549"/>
      <c r="LXS41" s="549"/>
      <c r="LXT41" s="549"/>
      <c r="LXU41" s="549"/>
      <c r="LXV41" s="549"/>
      <c r="LXW41" s="549"/>
      <c r="LXX41" s="549"/>
      <c r="LXY41" s="549"/>
      <c r="LXZ41" s="549"/>
      <c r="LYA41" s="549"/>
      <c r="LYB41" s="549"/>
      <c r="LYC41" s="549"/>
      <c r="LYD41" s="549"/>
      <c r="LYE41" s="549"/>
      <c r="LYF41" s="549"/>
      <c r="LYG41" s="549"/>
      <c r="LYH41" s="549"/>
      <c r="LYI41" s="549"/>
      <c r="LYJ41" s="549"/>
      <c r="LYK41" s="549"/>
      <c r="LYL41" s="549"/>
      <c r="LYM41" s="549"/>
      <c r="LYN41" s="549"/>
      <c r="LYO41" s="549"/>
      <c r="LYP41" s="549"/>
      <c r="LYQ41" s="549"/>
      <c r="LYR41" s="549"/>
      <c r="LYS41" s="549"/>
      <c r="LYT41" s="549"/>
      <c r="LYU41" s="549"/>
      <c r="LYV41" s="549"/>
      <c r="LYW41" s="549"/>
      <c r="LYX41" s="549"/>
      <c r="LYY41" s="549"/>
      <c r="LYZ41" s="549"/>
      <c r="LZA41" s="549"/>
      <c r="LZB41" s="549"/>
      <c r="LZC41" s="549"/>
      <c r="LZD41" s="549"/>
      <c r="LZE41" s="549"/>
      <c r="LZF41" s="549"/>
      <c r="LZG41" s="549"/>
      <c r="LZH41" s="549"/>
      <c r="LZI41" s="549"/>
      <c r="LZJ41" s="549"/>
      <c r="LZK41" s="549"/>
      <c r="LZL41" s="549"/>
      <c r="LZM41" s="549"/>
      <c r="LZN41" s="549"/>
      <c r="LZO41" s="549"/>
      <c r="LZP41" s="549"/>
      <c r="LZQ41" s="549"/>
      <c r="LZR41" s="549"/>
      <c r="LZS41" s="549"/>
      <c r="LZT41" s="549"/>
      <c r="LZU41" s="549"/>
      <c r="LZV41" s="549"/>
      <c r="LZW41" s="549"/>
      <c r="LZX41" s="549"/>
      <c r="LZY41" s="549"/>
      <c r="LZZ41" s="549"/>
      <c r="MAA41" s="549"/>
      <c r="MAB41" s="549"/>
      <c r="MAC41" s="549"/>
      <c r="MAD41" s="549"/>
      <c r="MAE41" s="549"/>
      <c r="MAF41" s="549"/>
      <c r="MAG41" s="549"/>
      <c r="MAH41" s="549"/>
      <c r="MAI41" s="549"/>
      <c r="MAJ41" s="549"/>
      <c r="MAK41" s="549"/>
      <c r="MAL41" s="549"/>
      <c r="MAM41" s="549"/>
      <c r="MAN41" s="549"/>
      <c r="MAO41" s="549"/>
      <c r="MAP41" s="549"/>
      <c r="MAQ41" s="549"/>
      <c r="MAR41" s="549"/>
      <c r="MAS41" s="549"/>
      <c r="MAT41" s="549"/>
      <c r="MAU41" s="549"/>
      <c r="MAV41" s="549"/>
      <c r="MAW41" s="549"/>
      <c r="MAX41" s="549"/>
      <c r="MAY41" s="549"/>
      <c r="MAZ41" s="549"/>
      <c r="MBA41" s="549"/>
      <c r="MBB41" s="549"/>
      <c r="MBC41" s="549"/>
      <c r="MBD41" s="549"/>
      <c r="MBE41" s="549"/>
      <c r="MBF41" s="549"/>
      <c r="MBG41" s="549"/>
      <c r="MBH41" s="549"/>
      <c r="MBI41" s="549"/>
      <c r="MBJ41" s="549"/>
      <c r="MBK41" s="549"/>
      <c r="MBL41" s="549"/>
      <c r="MBM41" s="549"/>
      <c r="MBN41" s="549"/>
      <c r="MBO41" s="549"/>
      <c r="MBP41" s="549"/>
      <c r="MBQ41" s="549"/>
      <c r="MBR41" s="549"/>
      <c r="MBS41" s="549"/>
      <c r="MBT41" s="549"/>
      <c r="MBU41" s="549"/>
      <c r="MBV41" s="549"/>
      <c r="MBW41" s="549"/>
      <c r="MBX41" s="549"/>
      <c r="MBY41" s="549"/>
      <c r="MBZ41" s="549"/>
      <c r="MCA41" s="549"/>
      <c r="MCB41" s="549"/>
      <c r="MCC41" s="549"/>
      <c r="MCD41" s="549"/>
      <c r="MCE41" s="549"/>
      <c r="MCF41" s="549"/>
      <c r="MCG41" s="549"/>
      <c r="MCH41" s="549"/>
      <c r="MCI41" s="549"/>
      <c r="MCJ41" s="549"/>
      <c r="MCK41" s="549"/>
      <c r="MCL41" s="549"/>
      <c r="MCM41" s="549"/>
      <c r="MCN41" s="549"/>
      <c r="MCO41" s="549"/>
      <c r="MCP41" s="549"/>
      <c r="MCQ41" s="549"/>
      <c r="MCR41" s="549"/>
      <c r="MCS41" s="549"/>
      <c r="MCT41" s="549"/>
      <c r="MCU41" s="549"/>
      <c r="MCV41" s="549"/>
      <c r="MCW41" s="549"/>
      <c r="MCX41" s="549"/>
      <c r="MCY41" s="549"/>
      <c r="MCZ41" s="549"/>
      <c r="MDA41" s="549"/>
      <c r="MDB41" s="549"/>
      <c r="MDC41" s="549"/>
      <c r="MDD41" s="549"/>
      <c r="MDE41" s="549"/>
      <c r="MDF41" s="549"/>
      <c r="MDG41" s="549"/>
      <c r="MDH41" s="549"/>
      <c r="MDI41" s="549"/>
      <c r="MDJ41" s="549"/>
      <c r="MDK41" s="549"/>
      <c r="MDL41" s="549"/>
      <c r="MDM41" s="549"/>
      <c r="MDN41" s="549"/>
      <c r="MDO41" s="549"/>
      <c r="MDP41" s="549"/>
      <c r="MDQ41" s="549"/>
      <c r="MDR41" s="549"/>
      <c r="MDS41" s="549"/>
      <c r="MDT41" s="549"/>
      <c r="MDU41" s="549"/>
      <c r="MDV41" s="549"/>
      <c r="MDW41" s="549"/>
      <c r="MDX41" s="549"/>
      <c r="MDY41" s="549"/>
      <c r="MDZ41" s="549"/>
      <c r="MEA41" s="549"/>
      <c r="MEB41" s="549"/>
      <c r="MEC41" s="549"/>
      <c r="MED41" s="549"/>
      <c r="MEE41" s="549"/>
      <c r="MEF41" s="549"/>
      <c r="MEG41" s="549"/>
      <c r="MEH41" s="549"/>
      <c r="MEI41" s="549"/>
      <c r="MEJ41" s="549"/>
      <c r="MEK41" s="549"/>
      <c r="MEL41" s="549"/>
      <c r="MEM41" s="549"/>
      <c r="MEN41" s="549"/>
      <c r="MEO41" s="549"/>
      <c r="MEP41" s="549"/>
      <c r="MEQ41" s="549"/>
      <c r="MER41" s="549"/>
      <c r="MES41" s="549"/>
      <c r="MET41" s="549"/>
      <c r="MEU41" s="549"/>
      <c r="MEV41" s="549"/>
      <c r="MEW41" s="549"/>
      <c r="MEX41" s="549"/>
      <c r="MEY41" s="549"/>
      <c r="MEZ41" s="549"/>
      <c r="MFA41" s="549"/>
      <c r="MFB41" s="549"/>
      <c r="MFC41" s="549"/>
      <c r="MFD41" s="549"/>
      <c r="MFE41" s="549"/>
      <c r="MFF41" s="549"/>
      <c r="MFG41" s="549"/>
      <c r="MFH41" s="549"/>
      <c r="MFI41" s="549"/>
      <c r="MFJ41" s="549"/>
      <c r="MFK41" s="549"/>
      <c r="MFL41" s="549"/>
      <c r="MFM41" s="549"/>
      <c r="MFN41" s="549"/>
      <c r="MFO41" s="549"/>
      <c r="MFP41" s="549"/>
      <c r="MFQ41" s="549"/>
      <c r="MFR41" s="549"/>
      <c r="MFS41" s="549"/>
      <c r="MFT41" s="549"/>
      <c r="MFU41" s="549"/>
      <c r="MFV41" s="549"/>
      <c r="MFW41" s="549"/>
      <c r="MFX41" s="549"/>
      <c r="MFY41" s="549"/>
      <c r="MFZ41" s="549"/>
      <c r="MGA41" s="549"/>
      <c r="MGB41" s="549"/>
      <c r="MGC41" s="549"/>
      <c r="MGD41" s="549"/>
      <c r="MGE41" s="549"/>
      <c r="MGF41" s="549"/>
      <c r="MGG41" s="549"/>
      <c r="MGH41" s="549"/>
      <c r="MGI41" s="549"/>
      <c r="MGJ41" s="549"/>
      <c r="MGK41" s="549"/>
      <c r="MGL41" s="549"/>
      <c r="MGM41" s="549"/>
      <c r="MGN41" s="549"/>
      <c r="MGO41" s="549"/>
      <c r="MGP41" s="549"/>
      <c r="MGQ41" s="549"/>
      <c r="MGR41" s="549"/>
      <c r="MGS41" s="549"/>
      <c r="MGT41" s="549"/>
      <c r="MGU41" s="549"/>
      <c r="MGV41" s="549"/>
      <c r="MGW41" s="549"/>
      <c r="MGX41" s="549"/>
      <c r="MGY41" s="549"/>
      <c r="MGZ41" s="549"/>
      <c r="MHA41" s="549"/>
      <c r="MHB41" s="549"/>
      <c r="MHC41" s="549"/>
      <c r="MHD41" s="549"/>
      <c r="MHE41" s="549"/>
      <c r="MHF41" s="549"/>
      <c r="MHG41" s="549"/>
      <c r="MHH41" s="549"/>
      <c r="MHI41" s="549"/>
      <c r="MHJ41" s="549"/>
      <c r="MHK41" s="549"/>
      <c r="MHL41" s="549"/>
      <c r="MHM41" s="549"/>
      <c r="MHN41" s="549"/>
      <c r="MHO41" s="549"/>
      <c r="MHP41" s="549"/>
      <c r="MHQ41" s="549"/>
      <c r="MHR41" s="549"/>
      <c r="MHS41" s="549"/>
      <c r="MHT41" s="549"/>
      <c r="MHU41" s="549"/>
      <c r="MHV41" s="549"/>
      <c r="MHW41" s="549"/>
      <c r="MHX41" s="549"/>
      <c r="MHY41" s="549"/>
      <c r="MHZ41" s="549"/>
      <c r="MIA41" s="549"/>
      <c r="MIB41" s="549"/>
      <c r="MIC41" s="549"/>
      <c r="MID41" s="549"/>
      <c r="MIE41" s="549"/>
      <c r="MIF41" s="549"/>
      <c r="MIG41" s="549"/>
      <c r="MIH41" s="549"/>
      <c r="MII41" s="549"/>
      <c r="MIJ41" s="549"/>
      <c r="MIK41" s="549"/>
      <c r="MIL41" s="549"/>
      <c r="MIM41" s="549"/>
      <c r="MIN41" s="549"/>
      <c r="MIO41" s="549"/>
      <c r="MIP41" s="549"/>
      <c r="MIQ41" s="549"/>
      <c r="MIR41" s="549"/>
      <c r="MIS41" s="549"/>
      <c r="MIT41" s="549"/>
      <c r="MIU41" s="549"/>
      <c r="MIV41" s="549"/>
      <c r="MIW41" s="549"/>
      <c r="MIX41" s="549"/>
      <c r="MIY41" s="549"/>
      <c r="MIZ41" s="549"/>
      <c r="MJA41" s="549"/>
      <c r="MJB41" s="549"/>
      <c r="MJC41" s="549"/>
      <c r="MJD41" s="549"/>
      <c r="MJE41" s="549"/>
      <c r="MJF41" s="549"/>
      <c r="MJG41" s="549"/>
      <c r="MJH41" s="549"/>
      <c r="MJI41" s="549"/>
      <c r="MJJ41" s="549"/>
      <c r="MJK41" s="549"/>
      <c r="MJL41" s="549"/>
      <c r="MJM41" s="549"/>
      <c r="MJN41" s="549"/>
      <c r="MJO41" s="549"/>
      <c r="MJP41" s="549"/>
      <c r="MJQ41" s="549"/>
      <c r="MJR41" s="549"/>
      <c r="MJS41" s="549"/>
      <c r="MJT41" s="549"/>
      <c r="MJU41" s="549"/>
      <c r="MJV41" s="549"/>
      <c r="MJW41" s="549"/>
      <c r="MJX41" s="549"/>
      <c r="MJY41" s="549"/>
      <c r="MJZ41" s="549"/>
      <c r="MKA41" s="549"/>
      <c r="MKB41" s="549"/>
      <c r="MKC41" s="549"/>
      <c r="MKD41" s="549"/>
      <c r="MKE41" s="549"/>
      <c r="MKF41" s="549"/>
      <c r="MKG41" s="549"/>
      <c r="MKH41" s="549"/>
      <c r="MKI41" s="549"/>
      <c r="MKJ41" s="549"/>
      <c r="MKK41" s="549"/>
      <c r="MKL41" s="549"/>
      <c r="MKM41" s="549"/>
      <c r="MKN41" s="549"/>
      <c r="MKO41" s="549"/>
      <c r="MKP41" s="549"/>
      <c r="MKQ41" s="549"/>
      <c r="MKR41" s="549"/>
      <c r="MKS41" s="549"/>
      <c r="MKT41" s="549"/>
      <c r="MKU41" s="549"/>
      <c r="MKV41" s="549"/>
      <c r="MKW41" s="549"/>
      <c r="MKX41" s="549"/>
      <c r="MKY41" s="549"/>
      <c r="MKZ41" s="549"/>
      <c r="MLA41" s="549"/>
      <c r="MLB41" s="549"/>
      <c r="MLC41" s="549"/>
      <c r="MLD41" s="549"/>
      <c r="MLE41" s="549"/>
      <c r="MLF41" s="549"/>
      <c r="MLG41" s="549"/>
      <c r="MLH41" s="549"/>
      <c r="MLI41" s="549"/>
      <c r="MLJ41" s="549"/>
      <c r="MLK41" s="549"/>
      <c r="MLL41" s="549"/>
      <c r="MLM41" s="549"/>
      <c r="MLN41" s="549"/>
      <c r="MLO41" s="549"/>
      <c r="MLP41" s="549"/>
      <c r="MLQ41" s="549"/>
      <c r="MLR41" s="549"/>
      <c r="MLS41" s="549"/>
      <c r="MLT41" s="549"/>
      <c r="MLU41" s="549"/>
      <c r="MLV41" s="549"/>
      <c r="MLW41" s="549"/>
      <c r="MLX41" s="549"/>
      <c r="MLY41" s="549"/>
      <c r="MLZ41" s="549"/>
      <c r="MMA41" s="549"/>
      <c r="MMB41" s="549"/>
      <c r="MMC41" s="549"/>
      <c r="MMD41" s="549"/>
      <c r="MME41" s="549"/>
      <c r="MMF41" s="549"/>
      <c r="MMG41" s="549"/>
      <c r="MMH41" s="549"/>
      <c r="MMI41" s="549"/>
      <c r="MMJ41" s="549"/>
      <c r="MMK41" s="549"/>
      <c r="MML41" s="549"/>
      <c r="MMM41" s="549"/>
      <c r="MMN41" s="549"/>
      <c r="MMO41" s="549"/>
      <c r="MMP41" s="549"/>
      <c r="MMQ41" s="549"/>
      <c r="MMR41" s="549"/>
      <c r="MMS41" s="549"/>
      <c r="MMT41" s="549"/>
      <c r="MMU41" s="549"/>
      <c r="MMV41" s="549"/>
      <c r="MMW41" s="549"/>
      <c r="MMX41" s="549"/>
      <c r="MMY41" s="549"/>
      <c r="MMZ41" s="549"/>
      <c r="MNA41" s="549"/>
      <c r="MNB41" s="549"/>
      <c r="MNC41" s="549"/>
      <c r="MND41" s="549"/>
      <c r="MNE41" s="549"/>
      <c r="MNF41" s="549"/>
      <c r="MNG41" s="549"/>
      <c r="MNH41" s="549"/>
      <c r="MNI41" s="549"/>
      <c r="MNJ41" s="549"/>
      <c r="MNK41" s="549"/>
      <c r="MNL41" s="549"/>
      <c r="MNM41" s="549"/>
      <c r="MNN41" s="549"/>
      <c r="MNO41" s="549"/>
      <c r="MNP41" s="549"/>
      <c r="MNQ41" s="549"/>
      <c r="MNR41" s="549"/>
      <c r="MNS41" s="549"/>
      <c r="MNT41" s="549"/>
      <c r="MNU41" s="549"/>
      <c r="MNV41" s="549"/>
      <c r="MNW41" s="549"/>
      <c r="MNX41" s="549"/>
      <c r="MNY41" s="549"/>
      <c r="MNZ41" s="549"/>
      <c r="MOA41" s="549"/>
      <c r="MOB41" s="549"/>
      <c r="MOC41" s="549"/>
      <c r="MOD41" s="549"/>
      <c r="MOE41" s="549"/>
      <c r="MOF41" s="549"/>
      <c r="MOG41" s="549"/>
      <c r="MOH41" s="549"/>
      <c r="MOI41" s="549"/>
      <c r="MOJ41" s="549"/>
      <c r="MOK41" s="549"/>
      <c r="MOL41" s="549"/>
      <c r="MOM41" s="549"/>
      <c r="MON41" s="549"/>
      <c r="MOO41" s="549"/>
      <c r="MOP41" s="549"/>
      <c r="MOQ41" s="549"/>
      <c r="MOR41" s="549"/>
      <c r="MOS41" s="549"/>
      <c r="MOT41" s="549"/>
      <c r="MOU41" s="549"/>
      <c r="MOV41" s="549"/>
      <c r="MOW41" s="549"/>
      <c r="MOX41" s="549"/>
      <c r="MOY41" s="549"/>
      <c r="MOZ41" s="549"/>
      <c r="MPA41" s="549"/>
      <c r="MPB41" s="549"/>
      <c r="MPC41" s="549"/>
      <c r="MPD41" s="549"/>
      <c r="MPE41" s="549"/>
      <c r="MPF41" s="549"/>
      <c r="MPG41" s="549"/>
      <c r="MPH41" s="549"/>
      <c r="MPI41" s="549"/>
      <c r="MPJ41" s="549"/>
      <c r="MPK41" s="549"/>
      <c r="MPL41" s="549"/>
      <c r="MPM41" s="549"/>
      <c r="MPN41" s="549"/>
      <c r="MPO41" s="549"/>
      <c r="MPP41" s="549"/>
      <c r="MPQ41" s="549"/>
      <c r="MPR41" s="549"/>
      <c r="MPS41" s="549"/>
      <c r="MPT41" s="549"/>
      <c r="MPU41" s="549"/>
      <c r="MPV41" s="549"/>
      <c r="MPW41" s="549"/>
      <c r="MPX41" s="549"/>
      <c r="MPY41" s="549"/>
      <c r="MPZ41" s="549"/>
      <c r="MQA41" s="549"/>
      <c r="MQB41" s="549"/>
      <c r="MQC41" s="549"/>
      <c r="MQD41" s="549"/>
      <c r="MQE41" s="549"/>
      <c r="MQF41" s="549"/>
      <c r="MQG41" s="549"/>
      <c r="MQH41" s="549"/>
      <c r="MQI41" s="549"/>
      <c r="MQJ41" s="549"/>
      <c r="MQK41" s="549"/>
      <c r="MQL41" s="549"/>
      <c r="MQM41" s="549"/>
      <c r="MQN41" s="549"/>
      <c r="MQO41" s="549"/>
      <c r="MQP41" s="549"/>
      <c r="MQQ41" s="549"/>
      <c r="MQR41" s="549"/>
      <c r="MQS41" s="549"/>
      <c r="MQT41" s="549"/>
      <c r="MQU41" s="549"/>
      <c r="MQV41" s="549"/>
      <c r="MQW41" s="549"/>
      <c r="MQX41" s="549"/>
      <c r="MQY41" s="549"/>
      <c r="MQZ41" s="549"/>
      <c r="MRA41" s="549"/>
      <c r="MRB41" s="549"/>
      <c r="MRC41" s="549"/>
      <c r="MRD41" s="549"/>
      <c r="MRE41" s="549"/>
      <c r="MRF41" s="549"/>
      <c r="MRG41" s="549"/>
      <c r="MRH41" s="549"/>
      <c r="MRI41" s="549"/>
      <c r="MRJ41" s="549"/>
      <c r="MRK41" s="549"/>
      <c r="MRL41" s="549"/>
      <c r="MRM41" s="549"/>
      <c r="MRN41" s="549"/>
      <c r="MRO41" s="549"/>
      <c r="MRP41" s="549"/>
      <c r="MRQ41" s="549"/>
      <c r="MRR41" s="549"/>
      <c r="MRS41" s="549"/>
      <c r="MRT41" s="549"/>
      <c r="MRU41" s="549"/>
      <c r="MRV41" s="549"/>
      <c r="MRW41" s="549"/>
      <c r="MRX41" s="549"/>
      <c r="MRY41" s="549"/>
      <c r="MRZ41" s="549"/>
      <c r="MSA41" s="549"/>
      <c r="MSB41" s="549"/>
      <c r="MSC41" s="549"/>
      <c r="MSD41" s="549"/>
      <c r="MSE41" s="549"/>
      <c r="MSF41" s="549"/>
      <c r="MSG41" s="549"/>
      <c r="MSH41" s="549"/>
      <c r="MSI41" s="549"/>
      <c r="MSJ41" s="549"/>
      <c r="MSK41" s="549"/>
      <c r="MSL41" s="549"/>
      <c r="MSM41" s="549"/>
      <c r="MSN41" s="549"/>
      <c r="MSO41" s="549"/>
      <c r="MSP41" s="549"/>
      <c r="MSQ41" s="549"/>
      <c r="MSR41" s="549"/>
      <c r="MSS41" s="549"/>
      <c r="MST41" s="549"/>
      <c r="MSU41" s="549"/>
      <c r="MSV41" s="549"/>
      <c r="MSW41" s="549"/>
      <c r="MSX41" s="549"/>
      <c r="MSY41" s="549"/>
      <c r="MSZ41" s="549"/>
      <c r="MTA41" s="549"/>
      <c r="MTB41" s="549"/>
      <c r="MTC41" s="549"/>
      <c r="MTD41" s="549"/>
      <c r="MTE41" s="549"/>
      <c r="MTF41" s="549"/>
      <c r="MTG41" s="549"/>
      <c r="MTH41" s="549"/>
      <c r="MTI41" s="549"/>
      <c r="MTJ41" s="549"/>
      <c r="MTK41" s="549"/>
      <c r="MTL41" s="549"/>
      <c r="MTM41" s="549"/>
      <c r="MTN41" s="549"/>
      <c r="MTO41" s="549"/>
      <c r="MTP41" s="549"/>
      <c r="MTQ41" s="549"/>
      <c r="MTR41" s="549"/>
      <c r="MTS41" s="549"/>
      <c r="MTT41" s="549"/>
      <c r="MTU41" s="549"/>
      <c r="MTV41" s="549"/>
      <c r="MTW41" s="549"/>
      <c r="MTX41" s="549"/>
      <c r="MTY41" s="549"/>
      <c r="MTZ41" s="549"/>
      <c r="MUA41" s="549"/>
      <c r="MUB41" s="549"/>
      <c r="MUC41" s="549"/>
      <c r="MUD41" s="549"/>
      <c r="MUE41" s="549"/>
      <c r="MUF41" s="549"/>
      <c r="MUG41" s="549"/>
      <c r="MUH41" s="549"/>
      <c r="MUI41" s="549"/>
      <c r="MUJ41" s="549"/>
      <c r="MUK41" s="549"/>
      <c r="MUL41" s="549"/>
      <c r="MUM41" s="549"/>
      <c r="MUN41" s="549"/>
      <c r="MUO41" s="549"/>
      <c r="MUP41" s="549"/>
      <c r="MUQ41" s="549"/>
      <c r="MUR41" s="549"/>
      <c r="MUS41" s="549"/>
      <c r="MUT41" s="549"/>
      <c r="MUU41" s="549"/>
      <c r="MUV41" s="549"/>
      <c r="MUW41" s="549"/>
      <c r="MUX41" s="549"/>
      <c r="MUY41" s="549"/>
      <c r="MUZ41" s="549"/>
      <c r="MVA41" s="549"/>
      <c r="MVB41" s="549"/>
      <c r="MVC41" s="549"/>
      <c r="MVD41" s="549"/>
      <c r="MVE41" s="549"/>
      <c r="MVF41" s="549"/>
      <c r="MVG41" s="549"/>
      <c r="MVH41" s="549"/>
      <c r="MVI41" s="549"/>
      <c r="MVJ41" s="549"/>
      <c r="MVK41" s="549"/>
      <c r="MVL41" s="549"/>
      <c r="MVM41" s="549"/>
      <c r="MVN41" s="549"/>
      <c r="MVO41" s="549"/>
      <c r="MVP41" s="549"/>
      <c r="MVQ41" s="549"/>
      <c r="MVR41" s="549"/>
      <c r="MVS41" s="549"/>
      <c r="MVT41" s="549"/>
      <c r="MVU41" s="549"/>
      <c r="MVV41" s="549"/>
      <c r="MVW41" s="549"/>
      <c r="MVX41" s="549"/>
      <c r="MVY41" s="549"/>
      <c r="MVZ41" s="549"/>
      <c r="MWA41" s="549"/>
      <c r="MWB41" s="549"/>
      <c r="MWC41" s="549"/>
      <c r="MWD41" s="549"/>
      <c r="MWE41" s="549"/>
      <c r="MWF41" s="549"/>
      <c r="MWG41" s="549"/>
      <c r="MWH41" s="549"/>
      <c r="MWI41" s="549"/>
      <c r="MWJ41" s="549"/>
      <c r="MWK41" s="549"/>
      <c r="MWL41" s="549"/>
      <c r="MWM41" s="549"/>
      <c r="MWN41" s="549"/>
      <c r="MWO41" s="549"/>
      <c r="MWP41" s="549"/>
      <c r="MWQ41" s="549"/>
      <c r="MWR41" s="549"/>
      <c r="MWS41" s="549"/>
      <c r="MWT41" s="549"/>
      <c r="MWU41" s="549"/>
      <c r="MWV41" s="549"/>
      <c r="MWW41" s="549"/>
      <c r="MWX41" s="549"/>
      <c r="MWY41" s="549"/>
      <c r="MWZ41" s="549"/>
      <c r="MXA41" s="549"/>
      <c r="MXB41" s="549"/>
      <c r="MXC41" s="549"/>
      <c r="MXD41" s="549"/>
      <c r="MXE41" s="549"/>
      <c r="MXF41" s="549"/>
      <c r="MXG41" s="549"/>
      <c r="MXH41" s="549"/>
      <c r="MXI41" s="549"/>
      <c r="MXJ41" s="549"/>
      <c r="MXK41" s="549"/>
      <c r="MXL41" s="549"/>
      <c r="MXM41" s="549"/>
      <c r="MXN41" s="549"/>
      <c r="MXO41" s="549"/>
      <c r="MXP41" s="549"/>
      <c r="MXQ41" s="549"/>
      <c r="MXR41" s="549"/>
      <c r="MXS41" s="549"/>
      <c r="MXT41" s="549"/>
      <c r="MXU41" s="549"/>
      <c r="MXV41" s="549"/>
      <c r="MXW41" s="549"/>
      <c r="MXX41" s="549"/>
      <c r="MXY41" s="549"/>
      <c r="MXZ41" s="549"/>
      <c r="MYA41" s="549"/>
      <c r="MYB41" s="549"/>
      <c r="MYC41" s="549"/>
      <c r="MYD41" s="549"/>
      <c r="MYE41" s="549"/>
      <c r="MYF41" s="549"/>
      <c r="MYG41" s="549"/>
      <c r="MYH41" s="549"/>
      <c r="MYI41" s="549"/>
      <c r="MYJ41" s="549"/>
      <c r="MYK41" s="549"/>
      <c r="MYL41" s="549"/>
      <c r="MYM41" s="549"/>
      <c r="MYN41" s="549"/>
      <c r="MYO41" s="549"/>
      <c r="MYP41" s="549"/>
      <c r="MYQ41" s="549"/>
      <c r="MYR41" s="549"/>
      <c r="MYS41" s="549"/>
      <c r="MYT41" s="549"/>
      <c r="MYU41" s="549"/>
      <c r="MYV41" s="549"/>
      <c r="MYW41" s="549"/>
      <c r="MYX41" s="549"/>
      <c r="MYY41" s="549"/>
      <c r="MYZ41" s="549"/>
      <c r="MZA41" s="549"/>
      <c r="MZB41" s="549"/>
      <c r="MZC41" s="549"/>
      <c r="MZD41" s="549"/>
      <c r="MZE41" s="549"/>
      <c r="MZF41" s="549"/>
      <c r="MZG41" s="549"/>
      <c r="MZH41" s="549"/>
      <c r="MZI41" s="549"/>
      <c r="MZJ41" s="549"/>
      <c r="MZK41" s="549"/>
      <c r="MZL41" s="549"/>
      <c r="MZM41" s="549"/>
      <c r="MZN41" s="549"/>
      <c r="MZO41" s="549"/>
      <c r="MZP41" s="549"/>
      <c r="MZQ41" s="549"/>
      <c r="MZR41" s="549"/>
      <c r="MZS41" s="549"/>
      <c r="MZT41" s="549"/>
      <c r="MZU41" s="549"/>
      <c r="MZV41" s="549"/>
      <c r="MZW41" s="549"/>
      <c r="MZX41" s="549"/>
      <c r="MZY41" s="549"/>
      <c r="MZZ41" s="549"/>
      <c r="NAA41" s="549"/>
      <c r="NAB41" s="549"/>
      <c r="NAC41" s="549"/>
      <c r="NAD41" s="549"/>
      <c r="NAE41" s="549"/>
      <c r="NAF41" s="549"/>
      <c r="NAG41" s="549"/>
      <c r="NAH41" s="549"/>
      <c r="NAI41" s="549"/>
      <c r="NAJ41" s="549"/>
      <c r="NAK41" s="549"/>
      <c r="NAL41" s="549"/>
      <c r="NAM41" s="549"/>
      <c r="NAN41" s="549"/>
      <c r="NAO41" s="549"/>
      <c r="NAP41" s="549"/>
      <c r="NAQ41" s="549"/>
      <c r="NAR41" s="549"/>
      <c r="NAS41" s="549"/>
      <c r="NAT41" s="549"/>
      <c r="NAU41" s="549"/>
      <c r="NAV41" s="549"/>
      <c r="NAW41" s="549"/>
      <c r="NAX41" s="549"/>
      <c r="NAY41" s="549"/>
      <c r="NAZ41" s="549"/>
      <c r="NBA41" s="549"/>
      <c r="NBB41" s="549"/>
      <c r="NBC41" s="549"/>
      <c r="NBD41" s="549"/>
      <c r="NBE41" s="549"/>
      <c r="NBF41" s="549"/>
      <c r="NBG41" s="549"/>
      <c r="NBH41" s="549"/>
      <c r="NBI41" s="549"/>
      <c r="NBJ41" s="549"/>
      <c r="NBK41" s="549"/>
      <c r="NBL41" s="549"/>
      <c r="NBM41" s="549"/>
      <c r="NBN41" s="549"/>
      <c r="NBO41" s="549"/>
      <c r="NBP41" s="549"/>
      <c r="NBQ41" s="549"/>
      <c r="NBR41" s="549"/>
      <c r="NBS41" s="549"/>
      <c r="NBT41" s="549"/>
      <c r="NBU41" s="549"/>
      <c r="NBV41" s="549"/>
      <c r="NBW41" s="549"/>
      <c r="NBX41" s="549"/>
      <c r="NBY41" s="549"/>
      <c r="NBZ41" s="549"/>
      <c r="NCA41" s="549"/>
      <c r="NCB41" s="549"/>
      <c r="NCC41" s="549"/>
      <c r="NCD41" s="549"/>
      <c r="NCE41" s="549"/>
      <c r="NCF41" s="549"/>
      <c r="NCG41" s="549"/>
      <c r="NCH41" s="549"/>
      <c r="NCI41" s="549"/>
      <c r="NCJ41" s="549"/>
      <c r="NCK41" s="549"/>
      <c r="NCL41" s="549"/>
      <c r="NCM41" s="549"/>
      <c r="NCN41" s="549"/>
      <c r="NCO41" s="549"/>
      <c r="NCP41" s="549"/>
      <c r="NCQ41" s="549"/>
      <c r="NCR41" s="549"/>
      <c r="NCS41" s="549"/>
      <c r="NCT41" s="549"/>
      <c r="NCU41" s="549"/>
      <c r="NCV41" s="549"/>
      <c r="NCW41" s="549"/>
      <c r="NCX41" s="549"/>
      <c r="NCY41" s="549"/>
      <c r="NCZ41" s="549"/>
      <c r="NDA41" s="549"/>
      <c r="NDB41" s="549"/>
      <c r="NDC41" s="549"/>
      <c r="NDD41" s="549"/>
      <c r="NDE41" s="549"/>
      <c r="NDF41" s="549"/>
      <c r="NDG41" s="549"/>
      <c r="NDH41" s="549"/>
      <c r="NDI41" s="549"/>
      <c r="NDJ41" s="549"/>
      <c r="NDK41" s="549"/>
      <c r="NDL41" s="549"/>
      <c r="NDM41" s="549"/>
      <c r="NDN41" s="549"/>
      <c r="NDO41" s="549"/>
      <c r="NDP41" s="549"/>
      <c r="NDQ41" s="549"/>
      <c r="NDR41" s="549"/>
      <c r="NDS41" s="549"/>
      <c r="NDT41" s="549"/>
      <c r="NDU41" s="549"/>
      <c r="NDV41" s="549"/>
      <c r="NDW41" s="549"/>
      <c r="NDX41" s="549"/>
      <c r="NDY41" s="549"/>
      <c r="NDZ41" s="549"/>
      <c r="NEA41" s="549"/>
      <c r="NEB41" s="549"/>
      <c r="NEC41" s="549"/>
      <c r="NED41" s="549"/>
      <c r="NEE41" s="549"/>
      <c r="NEF41" s="549"/>
      <c r="NEG41" s="549"/>
      <c r="NEH41" s="549"/>
      <c r="NEI41" s="549"/>
      <c r="NEJ41" s="549"/>
      <c r="NEK41" s="549"/>
      <c r="NEL41" s="549"/>
      <c r="NEM41" s="549"/>
      <c r="NEN41" s="549"/>
      <c r="NEO41" s="549"/>
      <c r="NEP41" s="549"/>
      <c r="NEQ41" s="549"/>
      <c r="NER41" s="549"/>
      <c r="NES41" s="549"/>
      <c r="NET41" s="549"/>
      <c r="NEU41" s="549"/>
      <c r="NEV41" s="549"/>
      <c r="NEW41" s="549"/>
      <c r="NEX41" s="549"/>
      <c r="NEY41" s="549"/>
      <c r="NEZ41" s="549"/>
      <c r="NFA41" s="549"/>
      <c r="NFB41" s="549"/>
      <c r="NFC41" s="549"/>
      <c r="NFD41" s="549"/>
      <c r="NFE41" s="549"/>
      <c r="NFF41" s="549"/>
      <c r="NFG41" s="549"/>
      <c r="NFH41" s="549"/>
      <c r="NFI41" s="549"/>
      <c r="NFJ41" s="549"/>
      <c r="NFK41" s="549"/>
      <c r="NFL41" s="549"/>
      <c r="NFM41" s="549"/>
      <c r="NFN41" s="549"/>
      <c r="NFO41" s="549"/>
      <c r="NFP41" s="549"/>
      <c r="NFQ41" s="549"/>
      <c r="NFR41" s="549"/>
      <c r="NFS41" s="549"/>
      <c r="NFT41" s="549"/>
      <c r="NFU41" s="549"/>
      <c r="NFV41" s="549"/>
      <c r="NFW41" s="549"/>
      <c r="NFX41" s="549"/>
      <c r="NFY41" s="549"/>
      <c r="NFZ41" s="549"/>
      <c r="NGA41" s="549"/>
      <c r="NGB41" s="549"/>
      <c r="NGC41" s="549"/>
      <c r="NGD41" s="549"/>
      <c r="NGE41" s="549"/>
      <c r="NGF41" s="549"/>
      <c r="NGG41" s="549"/>
      <c r="NGH41" s="549"/>
      <c r="NGI41" s="549"/>
      <c r="NGJ41" s="549"/>
      <c r="NGK41" s="549"/>
      <c r="NGL41" s="549"/>
      <c r="NGM41" s="549"/>
      <c r="NGN41" s="549"/>
      <c r="NGO41" s="549"/>
      <c r="NGP41" s="549"/>
      <c r="NGQ41" s="549"/>
      <c r="NGR41" s="549"/>
      <c r="NGS41" s="549"/>
      <c r="NGT41" s="549"/>
      <c r="NGU41" s="549"/>
      <c r="NGV41" s="549"/>
      <c r="NGW41" s="549"/>
      <c r="NGX41" s="549"/>
      <c r="NGY41" s="549"/>
      <c r="NGZ41" s="549"/>
      <c r="NHA41" s="549"/>
      <c r="NHB41" s="549"/>
      <c r="NHC41" s="549"/>
      <c r="NHD41" s="549"/>
      <c r="NHE41" s="549"/>
      <c r="NHF41" s="549"/>
      <c r="NHG41" s="549"/>
      <c r="NHH41" s="549"/>
      <c r="NHI41" s="549"/>
      <c r="NHJ41" s="549"/>
      <c r="NHK41" s="549"/>
      <c r="NHL41" s="549"/>
      <c r="NHM41" s="549"/>
      <c r="NHN41" s="549"/>
      <c r="NHO41" s="549"/>
      <c r="NHP41" s="549"/>
      <c r="NHQ41" s="549"/>
      <c r="NHR41" s="549"/>
      <c r="NHS41" s="549"/>
      <c r="NHT41" s="549"/>
      <c r="NHU41" s="549"/>
      <c r="NHV41" s="549"/>
      <c r="NHW41" s="549"/>
      <c r="NHX41" s="549"/>
      <c r="NHY41" s="549"/>
      <c r="NHZ41" s="549"/>
      <c r="NIA41" s="549"/>
      <c r="NIB41" s="549"/>
      <c r="NIC41" s="549"/>
      <c r="NID41" s="549"/>
      <c r="NIE41" s="549"/>
      <c r="NIF41" s="549"/>
      <c r="NIG41" s="549"/>
      <c r="NIH41" s="549"/>
      <c r="NII41" s="549"/>
      <c r="NIJ41" s="549"/>
      <c r="NIK41" s="549"/>
      <c r="NIL41" s="549"/>
      <c r="NIM41" s="549"/>
      <c r="NIN41" s="549"/>
      <c r="NIO41" s="549"/>
      <c r="NIP41" s="549"/>
      <c r="NIQ41" s="549"/>
      <c r="NIR41" s="549"/>
      <c r="NIS41" s="549"/>
      <c r="NIT41" s="549"/>
      <c r="NIU41" s="549"/>
      <c r="NIV41" s="549"/>
      <c r="NIW41" s="549"/>
      <c r="NIX41" s="549"/>
      <c r="NIY41" s="549"/>
      <c r="NIZ41" s="549"/>
      <c r="NJA41" s="549"/>
      <c r="NJB41" s="549"/>
      <c r="NJC41" s="549"/>
      <c r="NJD41" s="549"/>
      <c r="NJE41" s="549"/>
      <c r="NJF41" s="549"/>
      <c r="NJG41" s="549"/>
      <c r="NJH41" s="549"/>
      <c r="NJI41" s="549"/>
      <c r="NJJ41" s="549"/>
      <c r="NJK41" s="549"/>
      <c r="NJL41" s="549"/>
      <c r="NJM41" s="549"/>
      <c r="NJN41" s="549"/>
      <c r="NJO41" s="549"/>
      <c r="NJP41" s="549"/>
      <c r="NJQ41" s="549"/>
      <c r="NJR41" s="549"/>
      <c r="NJS41" s="549"/>
      <c r="NJT41" s="549"/>
      <c r="NJU41" s="549"/>
      <c r="NJV41" s="549"/>
      <c r="NJW41" s="549"/>
      <c r="NJX41" s="549"/>
      <c r="NJY41" s="549"/>
      <c r="NJZ41" s="549"/>
      <c r="NKA41" s="549"/>
      <c r="NKB41" s="549"/>
      <c r="NKC41" s="549"/>
      <c r="NKD41" s="549"/>
      <c r="NKE41" s="549"/>
      <c r="NKF41" s="549"/>
      <c r="NKG41" s="549"/>
      <c r="NKH41" s="549"/>
      <c r="NKI41" s="549"/>
      <c r="NKJ41" s="549"/>
      <c r="NKK41" s="549"/>
      <c r="NKL41" s="549"/>
      <c r="NKM41" s="549"/>
      <c r="NKN41" s="549"/>
      <c r="NKO41" s="549"/>
      <c r="NKP41" s="549"/>
      <c r="NKQ41" s="549"/>
      <c r="NKR41" s="549"/>
      <c r="NKS41" s="549"/>
      <c r="NKT41" s="549"/>
      <c r="NKU41" s="549"/>
      <c r="NKV41" s="549"/>
      <c r="NKW41" s="549"/>
      <c r="NKX41" s="549"/>
      <c r="NKY41" s="549"/>
      <c r="NKZ41" s="549"/>
      <c r="NLA41" s="549"/>
      <c r="NLB41" s="549"/>
      <c r="NLC41" s="549"/>
      <c r="NLD41" s="549"/>
      <c r="NLE41" s="549"/>
      <c r="NLF41" s="549"/>
      <c r="NLG41" s="549"/>
      <c r="NLH41" s="549"/>
      <c r="NLI41" s="549"/>
      <c r="NLJ41" s="549"/>
      <c r="NLK41" s="549"/>
      <c r="NLL41" s="549"/>
      <c r="NLM41" s="549"/>
      <c r="NLN41" s="549"/>
      <c r="NLO41" s="549"/>
      <c r="NLP41" s="549"/>
      <c r="NLQ41" s="549"/>
      <c r="NLR41" s="549"/>
      <c r="NLS41" s="549"/>
      <c r="NLT41" s="549"/>
      <c r="NLU41" s="549"/>
      <c r="NLV41" s="549"/>
      <c r="NLW41" s="549"/>
      <c r="NLX41" s="549"/>
      <c r="NLY41" s="549"/>
      <c r="NLZ41" s="549"/>
      <c r="NMA41" s="549"/>
      <c r="NMB41" s="549"/>
      <c r="NMC41" s="549"/>
      <c r="NMD41" s="549"/>
      <c r="NME41" s="549"/>
      <c r="NMF41" s="549"/>
      <c r="NMG41" s="549"/>
      <c r="NMH41" s="549"/>
      <c r="NMI41" s="549"/>
      <c r="NMJ41" s="549"/>
      <c r="NMK41" s="549"/>
      <c r="NML41" s="549"/>
      <c r="NMM41" s="549"/>
      <c r="NMN41" s="549"/>
      <c r="NMO41" s="549"/>
      <c r="NMP41" s="549"/>
      <c r="NMQ41" s="549"/>
      <c r="NMR41" s="549"/>
      <c r="NMS41" s="549"/>
      <c r="NMT41" s="549"/>
      <c r="NMU41" s="549"/>
      <c r="NMV41" s="549"/>
      <c r="NMW41" s="549"/>
      <c r="NMX41" s="549"/>
      <c r="NMY41" s="549"/>
      <c r="NMZ41" s="549"/>
      <c r="NNA41" s="549"/>
      <c r="NNB41" s="549"/>
      <c r="NNC41" s="549"/>
      <c r="NND41" s="549"/>
      <c r="NNE41" s="549"/>
      <c r="NNF41" s="549"/>
      <c r="NNG41" s="549"/>
      <c r="NNH41" s="549"/>
      <c r="NNI41" s="549"/>
      <c r="NNJ41" s="549"/>
      <c r="NNK41" s="549"/>
      <c r="NNL41" s="549"/>
      <c r="NNM41" s="549"/>
      <c r="NNN41" s="549"/>
      <c r="NNO41" s="549"/>
      <c r="NNP41" s="549"/>
      <c r="NNQ41" s="549"/>
      <c r="NNR41" s="549"/>
      <c r="NNS41" s="549"/>
      <c r="NNT41" s="549"/>
      <c r="NNU41" s="549"/>
      <c r="NNV41" s="549"/>
      <c r="NNW41" s="549"/>
      <c r="NNX41" s="549"/>
      <c r="NNY41" s="549"/>
      <c r="NNZ41" s="549"/>
      <c r="NOA41" s="549"/>
      <c r="NOB41" s="549"/>
      <c r="NOC41" s="549"/>
      <c r="NOD41" s="549"/>
      <c r="NOE41" s="549"/>
      <c r="NOF41" s="549"/>
      <c r="NOG41" s="549"/>
      <c r="NOH41" s="549"/>
      <c r="NOI41" s="549"/>
      <c r="NOJ41" s="549"/>
      <c r="NOK41" s="549"/>
      <c r="NOL41" s="549"/>
      <c r="NOM41" s="549"/>
      <c r="NON41" s="549"/>
      <c r="NOO41" s="549"/>
      <c r="NOP41" s="549"/>
      <c r="NOQ41" s="549"/>
      <c r="NOR41" s="549"/>
      <c r="NOS41" s="549"/>
      <c r="NOT41" s="549"/>
      <c r="NOU41" s="549"/>
      <c r="NOV41" s="549"/>
      <c r="NOW41" s="549"/>
      <c r="NOX41" s="549"/>
      <c r="NOY41" s="549"/>
      <c r="NOZ41" s="549"/>
      <c r="NPA41" s="549"/>
      <c r="NPB41" s="549"/>
      <c r="NPC41" s="549"/>
      <c r="NPD41" s="549"/>
      <c r="NPE41" s="549"/>
      <c r="NPF41" s="549"/>
      <c r="NPG41" s="549"/>
      <c r="NPH41" s="549"/>
      <c r="NPI41" s="549"/>
      <c r="NPJ41" s="549"/>
      <c r="NPK41" s="549"/>
      <c r="NPL41" s="549"/>
      <c r="NPM41" s="549"/>
      <c r="NPN41" s="549"/>
      <c r="NPO41" s="549"/>
      <c r="NPP41" s="549"/>
      <c r="NPQ41" s="549"/>
      <c r="NPR41" s="549"/>
      <c r="NPS41" s="549"/>
      <c r="NPT41" s="549"/>
      <c r="NPU41" s="549"/>
      <c r="NPV41" s="549"/>
      <c r="NPW41" s="549"/>
      <c r="NPX41" s="549"/>
      <c r="NPY41" s="549"/>
      <c r="NPZ41" s="549"/>
      <c r="NQA41" s="549"/>
      <c r="NQB41" s="549"/>
      <c r="NQC41" s="549"/>
      <c r="NQD41" s="549"/>
      <c r="NQE41" s="549"/>
      <c r="NQF41" s="549"/>
      <c r="NQG41" s="549"/>
      <c r="NQH41" s="549"/>
      <c r="NQI41" s="549"/>
      <c r="NQJ41" s="549"/>
      <c r="NQK41" s="549"/>
      <c r="NQL41" s="549"/>
      <c r="NQM41" s="549"/>
      <c r="NQN41" s="549"/>
      <c r="NQO41" s="549"/>
      <c r="NQP41" s="549"/>
      <c r="NQQ41" s="549"/>
      <c r="NQR41" s="549"/>
      <c r="NQS41" s="549"/>
      <c r="NQT41" s="549"/>
      <c r="NQU41" s="549"/>
      <c r="NQV41" s="549"/>
      <c r="NQW41" s="549"/>
      <c r="NQX41" s="549"/>
      <c r="NQY41" s="549"/>
      <c r="NQZ41" s="549"/>
      <c r="NRA41" s="549"/>
      <c r="NRB41" s="549"/>
      <c r="NRC41" s="549"/>
      <c r="NRD41" s="549"/>
      <c r="NRE41" s="549"/>
      <c r="NRF41" s="549"/>
      <c r="NRG41" s="549"/>
      <c r="NRH41" s="549"/>
      <c r="NRI41" s="549"/>
      <c r="NRJ41" s="549"/>
      <c r="NRK41" s="549"/>
      <c r="NRL41" s="549"/>
      <c r="NRM41" s="549"/>
      <c r="NRN41" s="549"/>
      <c r="NRO41" s="549"/>
      <c r="NRP41" s="549"/>
      <c r="NRQ41" s="549"/>
      <c r="NRR41" s="549"/>
      <c r="NRS41" s="549"/>
      <c r="NRT41" s="549"/>
      <c r="NRU41" s="549"/>
      <c r="NRV41" s="549"/>
      <c r="NRW41" s="549"/>
      <c r="NRX41" s="549"/>
      <c r="NRY41" s="549"/>
      <c r="NRZ41" s="549"/>
      <c r="NSA41" s="549"/>
      <c r="NSB41" s="549"/>
      <c r="NSC41" s="549"/>
      <c r="NSD41" s="549"/>
      <c r="NSE41" s="549"/>
      <c r="NSF41" s="549"/>
      <c r="NSG41" s="549"/>
      <c r="NSH41" s="549"/>
      <c r="NSI41" s="549"/>
      <c r="NSJ41" s="549"/>
      <c r="NSK41" s="549"/>
      <c r="NSL41" s="549"/>
      <c r="NSM41" s="549"/>
      <c r="NSN41" s="549"/>
      <c r="NSO41" s="549"/>
      <c r="NSP41" s="549"/>
      <c r="NSQ41" s="549"/>
      <c r="NSR41" s="549"/>
      <c r="NSS41" s="549"/>
      <c r="NST41" s="549"/>
      <c r="NSU41" s="549"/>
      <c r="NSV41" s="549"/>
      <c r="NSW41" s="549"/>
      <c r="NSX41" s="549"/>
      <c r="NSY41" s="549"/>
      <c r="NSZ41" s="549"/>
      <c r="NTA41" s="549"/>
      <c r="NTB41" s="549"/>
      <c r="NTC41" s="549"/>
      <c r="NTD41" s="549"/>
      <c r="NTE41" s="549"/>
      <c r="NTF41" s="549"/>
      <c r="NTG41" s="549"/>
      <c r="NTH41" s="549"/>
      <c r="NTI41" s="549"/>
      <c r="NTJ41" s="549"/>
      <c r="NTK41" s="549"/>
      <c r="NTL41" s="549"/>
      <c r="NTM41" s="549"/>
      <c r="NTN41" s="549"/>
      <c r="NTO41" s="549"/>
      <c r="NTP41" s="549"/>
      <c r="NTQ41" s="549"/>
      <c r="NTR41" s="549"/>
      <c r="NTS41" s="549"/>
      <c r="NTT41" s="549"/>
      <c r="NTU41" s="549"/>
      <c r="NTV41" s="549"/>
      <c r="NTW41" s="549"/>
      <c r="NTX41" s="549"/>
      <c r="NTY41" s="549"/>
      <c r="NTZ41" s="549"/>
      <c r="NUA41" s="549"/>
      <c r="NUB41" s="549"/>
      <c r="NUC41" s="549"/>
      <c r="NUD41" s="549"/>
      <c r="NUE41" s="549"/>
      <c r="NUF41" s="549"/>
      <c r="NUG41" s="549"/>
      <c r="NUH41" s="549"/>
      <c r="NUI41" s="549"/>
      <c r="NUJ41" s="549"/>
      <c r="NUK41" s="549"/>
      <c r="NUL41" s="549"/>
      <c r="NUM41" s="549"/>
      <c r="NUN41" s="549"/>
      <c r="NUO41" s="549"/>
      <c r="NUP41" s="549"/>
      <c r="NUQ41" s="549"/>
      <c r="NUR41" s="549"/>
      <c r="NUS41" s="549"/>
      <c r="NUT41" s="549"/>
      <c r="NUU41" s="549"/>
      <c r="NUV41" s="549"/>
      <c r="NUW41" s="549"/>
      <c r="NUX41" s="549"/>
      <c r="NUY41" s="549"/>
      <c r="NUZ41" s="549"/>
      <c r="NVA41" s="549"/>
      <c r="NVB41" s="549"/>
      <c r="NVC41" s="549"/>
      <c r="NVD41" s="549"/>
      <c r="NVE41" s="549"/>
      <c r="NVF41" s="549"/>
      <c r="NVG41" s="549"/>
      <c r="NVH41" s="549"/>
      <c r="NVI41" s="549"/>
      <c r="NVJ41" s="549"/>
      <c r="NVK41" s="549"/>
      <c r="NVL41" s="549"/>
      <c r="NVM41" s="549"/>
      <c r="NVN41" s="549"/>
      <c r="NVO41" s="549"/>
      <c r="NVP41" s="549"/>
      <c r="NVQ41" s="549"/>
      <c r="NVR41" s="549"/>
      <c r="NVS41" s="549"/>
      <c r="NVT41" s="549"/>
      <c r="NVU41" s="549"/>
      <c r="NVV41" s="549"/>
      <c r="NVW41" s="549"/>
      <c r="NVX41" s="549"/>
      <c r="NVY41" s="549"/>
      <c r="NVZ41" s="549"/>
      <c r="NWA41" s="549"/>
      <c r="NWB41" s="549"/>
      <c r="NWC41" s="549"/>
      <c r="NWD41" s="549"/>
      <c r="NWE41" s="549"/>
      <c r="NWF41" s="549"/>
      <c r="NWG41" s="549"/>
      <c r="NWH41" s="549"/>
      <c r="NWI41" s="549"/>
      <c r="NWJ41" s="549"/>
      <c r="NWK41" s="549"/>
      <c r="NWL41" s="549"/>
      <c r="NWM41" s="549"/>
      <c r="NWN41" s="549"/>
      <c r="NWO41" s="549"/>
      <c r="NWP41" s="549"/>
      <c r="NWQ41" s="549"/>
      <c r="NWR41" s="549"/>
      <c r="NWS41" s="549"/>
      <c r="NWT41" s="549"/>
      <c r="NWU41" s="549"/>
      <c r="NWV41" s="549"/>
      <c r="NWW41" s="549"/>
      <c r="NWX41" s="549"/>
      <c r="NWY41" s="549"/>
      <c r="NWZ41" s="549"/>
      <c r="NXA41" s="549"/>
      <c r="NXB41" s="549"/>
      <c r="NXC41" s="549"/>
      <c r="NXD41" s="549"/>
      <c r="NXE41" s="549"/>
      <c r="NXF41" s="549"/>
      <c r="NXG41" s="549"/>
      <c r="NXH41" s="549"/>
      <c r="NXI41" s="549"/>
      <c r="NXJ41" s="549"/>
      <c r="NXK41" s="549"/>
      <c r="NXL41" s="549"/>
      <c r="NXM41" s="549"/>
      <c r="NXN41" s="549"/>
      <c r="NXO41" s="549"/>
      <c r="NXP41" s="549"/>
      <c r="NXQ41" s="549"/>
      <c r="NXR41" s="549"/>
      <c r="NXS41" s="549"/>
      <c r="NXT41" s="549"/>
      <c r="NXU41" s="549"/>
      <c r="NXV41" s="549"/>
      <c r="NXW41" s="549"/>
      <c r="NXX41" s="549"/>
      <c r="NXY41" s="549"/>
      <c r="NXZ41" s="549"/>
      <c r="NYA41" s="549"/>
      <c r="NYB41" s="549"/>
      <c r="NYC41" s="549"/>
      <c r="NYD41" s="549"/>
      <c r="NYE41" s="549"/>
      <c r="NYF41" s="549"/>
      <c r="NYG41" s="549"/>
      <c r="NYH41" s="549"/>
      <c r="NYI41" s="549"/>
      <c r="NYJ41" s="549"/>
      <c r="NYK41" s="549"/>
      <c r="NYL41" s="549"/>
      <c r="NYM41" s="549"/>
      <c r="NYN41" s="549"/>
      <c r="NYO41" s="549"/>
      <c r="NYP41" s="549"/>
      <c r="NYQ41" s="549"/>
      <c r="NYR41" s="549"/>
      <c r="NYS41" s="549"/>
      <c r="NYT41" s="549"/>
      <c r="NYU41" s="549"/>
      <c r="NYV41" s="549"/>
      <c r="NYW41" s="549"/>
      <c r="NYX41" s="549"/>
      <c r="NYY41" s="549"/>
      <c r="NYZ41" s="549"/>
      <c r="NZA41" s="549"/>
      <c r="NZB41" s="549"/>
      <c r="NZC41" s="549"/>
      <c r="NZD41" s="549"/>
      <c r="NZE41" s="549"/>
      <c r="NZF41" s="549"/>
      <c r="NZG41" s="549"/>
      <c r="NZH41" s="549"/>
      <c r="NZI41" s="549"/>
      <c r="NZJ41" s="549"/>
      <c r="NZK41" s="549"/>
      <c r="NZL41" s="549"/>
      <c r="NZM41" s="549"/>
      <c r="NZN41" s="549"/>
      <c r="NZO41" s="549"/>
      <c r="NZP41" s="549"/>
      <c r="NZQ41" s="549"/>
      <c r="NZR41" s="549"/>
      <c r="NZS41" s="549"/>
      <c r="NZT41" s="549"/>
      <c r="NZU41" s="549"/>
      <c r="NZV41" s="549"/>
      <c r="NZW41" s="549"/>
      <c r="NZX41" s="549"/>
      <c r="NZY41" s="549"/>
      <c r="NZZ41" s="549"/>
      <c r="OAA41" s="549"/>
      <c r="OAB41" s="549"/>
      <c r="OAC41" s="549"/>
      <c r="OAD41" s="549"/>
      <c r="OAE41" s="549"/>
      <c r="OAF41" s="549"/>
      <c r="OAG41" s="549"/>
      <c r="OAH41" s="549"/>
      <c r="OAI41" s="549"/>
      <c r="OAJ41" s="549"/>
      <c r="OAK41" s="549"/>
      <c r="OAL41" s="549"/>
      <c r="OAM41" s="549"/>
      <c r="OAN41" s="549"/>
      <c r="OAO41" s="549"/>
      <c r="OAP41" s="549"/>
      <c r="OAQ41" s="549"/>
      <c r="OAR41" s="549"/>
      <c r="OAS41" s="549"/>
      <c r="OAT41" s="549"/>
      <c r="OAU41" s="549"/>
      <c r="OAV41" s="549"/>
      <c r="OAW41" s="549"/>
      <c r="OAX41" s="549"/>
      <c r="OAY41" s="549"/>
      <c r="OAZ41" s="549"/>
      <c r="OBA41" s="549"/>
      <c r="OBB41" s="549"/>
      <c r="OBC41" s="549"/>
      <c r="OBD41" s="549"/>
      <c r="OBE41" s="549"/>
      <c r="OBF41" s="549"/>
      <c r="OBG41" s="549"/>
      <c r="OBH41" s="549"/>
      <c r="OBI41" s="549"/>
      <c r="OBJ41" s="549"/>
      <c r="OBK41" s="549"/>
      <c r="OBL41" s="549"/>
      <c r="OBM41" s="549"/>
      <c r="OBN41" s="549"/>
      <c r="OBO41" s="549"/>
      <c r="OBP41" s="549"/>
      <c r="OBQ41" s="549"/>
      <c r="OBR41" s="549"/>
      <c r="OBS41" s="549"/>
      <c r="OBT41" s="549"/>
      <c r="OBU41" s="549"/>
      <c r="OBV41" s="549"/>
      <c r="OBW41" s="549"/>
      <c r="OBX41" s="549"/>
      <c r="OBY41" s="549"/>
      <c r="OBZ41" s="549"/>
      <c r="OCA41" s="549"/>
      <c r="OCB41" s="549"/>
      <c r="OCC41" s="549"/>
      <c r="OCD41" s="549"/>
      <c r="OCE41" s="549"/>
      <c r="OCF41" s="549"/>
      <c r="OCG41" s="549"/>
      <c r="OCH41" s="549"/>
      <c r="OCI41" s="549"/>
      <c r="OCJ41" s="549"/>
      <c r="OCK41" s="549"/>
      <c r="OCL41" s="549"/>
      <c r="OCM41" s="549"/>
      <c r="OCN41" s="549"/>
      <c r="OCO41" s="549"/>
      <c r="OCP41" s="549"/>
      <c r="OCQ41" s="549"/>
      <c r="OCR41" s="549"/>
      <c r="OCS41" s="549"/>
      <c r="OCT41" s="549"/>
      <c r="OCU41" s="549"/>
      <c r="OCV41" s="549"/>
      <c r="OCW41" s="549"/>
      <c r="OCX41" s="549"/>
      <c r="OCY41" s="549"/>
      <c r="OCZ41" s="549"/>
      <c r="ODA41" s="549"/>
      <c r="ODB41" s="549"/>
      <c r="ODC41" s="549"/>
      <c r="ODD41" s="549"/>
      <c r="ODE41" s="549"/>
      <c r="ODF41" s="549"/>
      <c r="ODG41" s="549"/>
      <c r="ODH41" s="549"/>
      <c r="ODI41" s="549"/>
      <c r="ODJ41" s="549"/>
      <c r="ODK41" s="549"/>
      <c r="ODL41" s="549"/>
      <c r="ODM41" s="549"/>
      <c r="ODN41" s="549"/>
      <c r="ODO41" s="549"/>
      <c r="ODP41" s="549"/>
      <c r="ODQ41" s="549"/>
      <c r="ODR41" s="549"/>
      <c r="ODS41" s="549"/>
      <c r="ODT41" s="549"/>
      <c r="ODU41" s="549"/>
      <c r="ODV41" s="549"/>
      <c r="ODW41" s="549"/>
      <c r="ODX41" s="549"/>
      <c r="ODY41" s="549"/>
      <c r="ODZ41" s="549"/>
      <c r="OEA41" s="549"/>
      <c r="OEB41" s="549"/>
      <c r="OEC41" s="549"/>
      <c r="OED41" s="549"/>
      <c r="OEE41" s="549"/>
      <c r="OEF41" s="549"/>
      <c r="OEG41" s="549"/>
      <c r="OEH41" s="549"/>
      <c r="OEI41" s="549"/>
      <c r="OEJ41" s="549"/>
      <c r="OEK41" s="549"/>
      <c r="OEL41" s="549"/>
      <c r="OEM41" s="549"/>
      <c r="OEN41" s="549"/>
      <c r="OEO41" s="549"/>
      <c r="OEP41" s="549"/>
      <c r="OEQ41" s="549"/>
      <c r="OER41" s="549"/>
      <c r="OES41" s="549"/>
      <c r="OET41" s="549"/>
      <c r="OEU41" s="549"/>
      <c r="OEV41" s="549"/>
      <c r="OEW41" s="549"/>
      <c r="OEX41" s="549"/>
      <c r="OEY41" s="549"/>
      <c r="OEZ41" s="549"/>
      <c r="OFA41" s="549"/>
      <c r="OFB41" s="549"/>
      <c r="OFC41" s="549"/>
      <c r="OFD41" s="549"/>
      <c r="OFE41" s="549"/>
      <c r="OFF41" s="549"/>
      <c r="OFG41" s="549"/>
      <c r="OFH41" s="549"/>
      <c r="OFI41" s="549"/>
      <c r="OFJ41" s="549"/>
      <c r="OFK41" s="549"/>
      <c r="OFL41" s="549"/>
      <c r="OFM41" s="549"/>
      <c r="OFN41" s="549"/>
      <c r="OFO41" s="549"/>
      <c r="OFP41" s="549"/>
      <c r="OFQ41" s="549"/>
      <c r="OFR41" s="549"/>
      <c r="OFS41" s="549"/>
      <c r="OFT41" s="549"/>
      <c r="OFU41" s="549"/>
      <c r="OFV41" s="549"/>
      <c r="OFW41" s="549"/>
      <c r="OFX41" s="549"/>
      <c r="OFY41" s="549"/>
      <c r="OFZ41" s="549"/>
      <c r="OGA41" s="549"/>
      <c r="OGB41" s="549"/>
      <c r="OGC41" s="549"/>
      <c r="OGD41" s="549"/>
      <c r="OGE41" s="549"/>
      <c r="OGF41" s="549"/>
      <c r="OGG41" s="549"/>
      <c r="OGH41" s="549"/>
      <c r="OGI41" s="549"/>
      <c r="OGJ41" s="549"/>
      <c r="OGK41" s="549"/>
      <c r="OGL41" s="549"/>
      <c r="OGM41" s="549"/>
      <c r="OGN41" s="549"/>
      <c r="OGO41" s="549"/>
      <c r="OGP41" s="549"/>
      <c r="OGQ41" s="549"/>
      <c r="OGR41" s="549"/>
      <c r="OGS41" s="549"/>
      <c r="OGT41" s="549"/>
      <c r="OGU41" s="549"/>
      <c r="OGV41" s="549"/>
      <c r="OGW41" s="549"/>
      <c r="OGX41" s="549"/>
      <c r="OGY41" s="549"/>
      <c r="OGZ41" s="549"/>
      <c r="OHA41" s="549"/>
      <c r="OHB41" s="549"/>
      <c r="OHC41" s="549"/>
      <c r="OHD41" s="549"/>
      <c r="OHE41" s="549"/>
      <c r="OHF41" s="549"/>
      <c r="OHG41" s="549"/>
      <c r="OHH41" s="549"/>
      <c r="OHI41" s="549"/>
      <c r="OHJ41" s="549"/>
      <c r="OHK41" s="549"/>
      <c r="OHL41" s="549"/>
      <c r="OHM41" s="549"/>
      <c r="OHN41" s="549"/>
      <c r="OHO41" s="549"/>
      <c r="OHP41" s="549"/>
      <c r="OHQ41" s="549"/>
      <c r="OHR41" s="549"/>
      <c r="OHS41" s="549"/>
      <c r="OHT41" s="549"/>
      <c r="OHU41" s="549"/>
      <c r="OHV41" s="549"/>
      <c r="OHW41" s="549"/>
      <c r="OHX41" s="549"/>
      <c r="OHY41" s="549"/>
      <c r="OHZ41" s="549"/>
      <c r="OIA41" s="549"/>
      <c r="OIB41" s="549"/>
      <c r="OIC41" s="549"/>
      <c r="OID41" s="549"/>
      <c r="OIE41" s="549"/>
      <c r="OIF41" s="549"/>
      <c r="OIG41" s="549"/>
      <c r="OIH41" s="549"/>
      <c r="OII41" s="549"/>
      <c r="OIJ41" s="549"/>
      <c r="OIK41" s="549"/>
      <c r="OIL41" s="549"/>
      <c r="OIM41" s="549"/>
      <c r="OIN41" s="549"/>
      <c r="OIO41" s="549"/>
      <c r="OIP41" s="549"/>
      <c r="OIQ41" s="549"/>
      <c r="OIR41" s="549"/>
      <c r="OIS41" s="549"/>
      <c r="OIT41" s="549"/>
      <c r="OIU41" s="549"/>
      <c r="OIV41" s="549"/>
      <c r="OIW41" s="549"/>
      <c r="OIX41" s="549"/>
      <c r="OIY41" s="549"/>
      <c r="OIZ41" s="549"/>
      <c r="OJA41" s="549"/>
      <c r="OJB41" s="549"/>
      <c r="OJC41" s="549"/>
      <c r="OJD41" s="549"/>
      <c r="OJE41" s="549"/>
      <c r="OJF41" s="549"/>
      <c r="OJG41" s="549"/>
      <c r="OJH41" s="549"/>
      <c r="OJI41" s="549"/>
      <c r="OJJ41" s="549"/>
      <c r="OJK41" s="549"/>
      <c r="OJL41" s="549"/>
      <c r="OJM41" s="549"/>
      <c r="OJN41" s="549"/>
      <c r="OJO41" s="549"/>
      <c r="OJP41" s="549"/>
      <c r="OJQ41" s="549"/>
      <c r="OJR41" s="549"/>
      <c r="OJS41" s="549"/>
      <c r="OJT41" s="549"/>
      <c r="OJU41" s="549"/>
      <c r="OJV41" s="549"/>
      <c r="OJW41" s="549"/>
      <c r="OJX41" s="549"/>
      <c r="OJY41" s="549"/>
      <c r="OJZ41" s="549"/>
      <c r="OKA41" s="549"/>
      <c r="OKB41" s="549"/>
      <c r="OKC41" s="549"/>
      <c r="OKD41" s="549"/>
      <c r="OKE41" s="549"/>
      <c r="OKF41" s="549"/>
      <c r="OKG41" s="549"/>
      <c r="OKH41" s="549"/>
      <c r="OKI41" s="549"/>
      <c r="OKJ41" s="549"/>
      <c r="OKK41" s="549"/>
      <c r="OKL41" s="549"/>
      <c r="OKM41" s="549"/>
      <c r="OKN41" s="549"/>
      <c r="OKO41" s="549"/>
      <c r="OKP41" s="549"/>
      <c r="OKQ41" s="549"/>
      <c r="OKR41" s="549"/>
      <c r="OKS41" s="549"/>
      <c r="OKT41" s="549"/>
      <c r="OKU41" s="549"/>
      <c r="OKV41" s="549"/>
      <c r="OKW41" s="549"/>
      <c r="OKX41" s="549"/>
      <c r="OKY41" s="549"/>
      <c r="OKZ41" s="549"/>
      <c r="OLA41" s="549"/>
      <c r="OLB41" s="549"/>
      <c r="OLC41" s="549"/>
      <c r="OLD41" s="549"/>
      <c r="OLE41" s="549"/>
      <c r="OLF41" s="549"/>
      <c r="OLG41" s="549"/>
      <c r="OLH41" s="549"/>
      <c r="OLI41" s="549"/>
      <c r="OLJ41" s="549"/>
      <c r="OLK41" s="549"/>
      <c r="OLL41" s="549"/>
      <c r="OLM41" s="549"/>
      <c r="OLN41" s="549"/>
      <c r="OLO41" s="549"/>
      <c r="OLP41" s="549"/>
      <c r="OLQ41" s="549"/>
      <c r="OLR41" s="549"/>
      <c r="OLS41" s="549"/>
      <c r="OLT41" s="549"/>
      <c r="OLU41" s="549"/>
      <c r="OLV41" s="549"/>
      <c r="OLW41" s="549"/>
      <c r="OLX41" s="549"/>
      <c r="OLY41" s="549"/>
      <c r="OLZ41" s="549"/>
      <c r="OMA41" s="549"/>
      <c r="OMB41" s="549"/>
      <c r="OMC41" s="549"/>
      <c r="OMD41" s="549"/>
      <c r="OME41" s="549"/>
      <c r="OMF41" s="549"/>
      <c r="OMG41" s="549"/>
      <c r="OMH41" s="549"/>
      <c r="OMI41" s="549"/>
      <c r="OMJ41" s="549"/>
      <c r="OMK41" s="549"/>
      <c r="OML41" s="549"/>
      <c r="OMM41" s="549"/>
      <c r="OMN41" s="549"/>
      <c r="OMO41" s="549"/>
      <c r="OMP41" s="549"/>
      <c r="OMQ41" s="549"/>
      <c r="OMR41" s="549"/>
      <c r="OMS41" s="549"/>
      <c r="OMT41" s="549"/>
      <c r="OMU41" s="549"/>
      <c r="OMV41" s="549"/>
      <c r="OMW41" s="549"/>
      <c r="OMX41" s="549"/>
      <c r="OMY41" s="549"/>
      <c r="OMZ41" s="549"/>
      <c r="ONA41" s="549"/>
      <c r="ONB41" s="549"/>
      <c r="ONC41" s="549"/>
      <c r="OND41" s="549"/>
      <c r="ONE41" s="549"/>
      <c r="ONF41" s="549"/>
      <c r="ONG41" s="549"/>
      <c r="ONH41" s="549"/>
      <c r="ONI41" s="549"/>
      <c r="ONJ41" s="549"/>
      <c r="ONK41" s="549"/>
      <c r="ONL41" s="549"/>
      <c r="ONM41" s="549"/>
      <c r="ONN41" s="549"/>
      <c r="ONO41" s="549"/>
      <c r="ONP41" s="549"/>
      <c r="ONQ41" s="549"/>
      <c r="ONR41" s="549"/>
      <c r="ONS41" s="549"/>
      <c r="ONT41" s="549"/>
      <c r="ONU41" s="549"/>
      <c r="ONV41" s="549"/>
      <c r="ONW41" s="549"/>
      <c r="ONX41" s="549"/>
      <c r="ONY41" s="549"/>
      <c r="ONZ41" s="549"/>
      <c r="OOA41" s="549"/>
      <c r="OOB41" s="549"/>
      <c r="OOC41" s="549"/>
      <c r="OOD41" s="549"/>
      <c r="OOE41" s="549"/>
      <c r="OOF41" s="549"/>
      <c r="OOG41" s="549"/>
      <c r="OOH41" s="549"/>
      <c r="OOI41" s="549"/>
      <c r="OOJ41" s="549"/>
      <c r="OOK41" s="549"/>
      <c r="OOL41" s="549"/>
      <c r="OOM41" s="549"/>
      <c r="OON41" s="549"/>
      <c r="OOO41" s="549"/>
      <c r="OOP41" s="549"/>
      <c r="OOQ41" s="549"/>
      <c r="OOR41" s="549"/>
      <c r="OOS41" s="549"/>
      <c r="OOT41" s="549"/>
      <c r="OOU41" s="549"/>
      <c r="OOV41" s="549"/>
      <c r="OOW41" s="549"/>
      <c r="OOX41" s="549"/>
      <c r="OOY41" s="549"/>
      <c r="OOZ41" s="549"/>
      <c r="OPA41" s="549"/>
      <c r="OPB41" s="549"/>
      <c r="OPC41" s="549"/>
      <c r="OPD41" s="549"/>
      <c r="OPE41" s="549"/>
      <c r="OPF41" s="549"/>
      <c r="OPG41" s="549"/>
      <c r="OPH41" s="549"/>
      <c r="OPI41" s="549"/>
      <c r="OPJ41" s="549"/>
      <c r="OPK41" s="549"/>
      <c r="OPL41" s="549"/>
      <c r="OPM41" s="549"/>
      <c r="OPN41" s="549"/>
      <c r="OPO41" s="549"/>
      <c r="OPP41" s="549"/>
      <c r="OPQ41" s="549"/>
      <c r="OPR41" s="549"/>
      <c r="OPS41" s="549"/>
      <c r="OPT41" s="549"/>
      <c r="OPU41" s="549"/>
      <c r="OPV41" s="549"/>
      <c r="OPW41" s="549"/>
      <c r="OPX41" s="549"/>
      <c r="OPY41" s="549"/>
      <c r="OPZ41" s="549"/>
      <c r="OQA41" s="549"/>
      <c r="OQB41" s="549"/>
      <c r="OQC41" s="549"/>
      <c r="OQD41" s="549"/>
      <c r="OQE41" s="549"/>
      <c r="OQF41" s="549"/>
      <c r="OQG41" s="549"/>
      <c r="OQH41" s="549"/>
      <c r="OQI41" s="549"/>
      <c r="OQJ41" s="549"/>
      <c r="OQK41" s="549"/>
      <c r="OQL41" s="549"/>
      <c r="OQM41" s="549"/>
      <c r="OQN41" s="549"/>
      <c r="OQO41" s="549"/>
      <c r="OQP41" s="549"/>
      <c r="OQQ41" s="549"/>
      <c r="OQR41" s="549"/>
      <c r="OQS41" s="549"/>
      <c r="OQT41" s="549"/>
      <c r="OQU41" s="549"/>
      <c r="OQV41" s="549"/>
      <c r="OQW41" s="549"/>
      <c r="OQX41" s="549"/>
      <c r="OQY41" s="549"/>
      <c r="OQZ41" s="549"/>
      <c r="ORA41" s="549"/>
      <c r="ORB41" s="549"/>
      <c r="ORC41" s="549"/>
      <c r="ORD41" s="549"/>
      <c r="ORE41" s="549"/>
      <c r="ORF41" s="549"/>
      <c r="ORG41" s="549"/>
      <c r="ORH41" s="549"/>
      <c r="ORI41" s="549"/>
      <c r="ORJ41" s="549"/>
      <c r="ORK41" s="549"/>
      <c r="ORL41" s="549"/>
      <c r="ORM41" s="549"/>
      <c r="ORN41" s="549"/>
      <c r="ORO41" s="549"/>
      <c r="ORP41" s="549"/>
      <c r="ORQ41" s="549"/>
      <c r="ORR41" s="549"/>
      <c r="ORS41" s="549"/>
      <c r="ORT41" s="549"/>
      <c r="ORU41" s="549"/>
      <c r="ORV41" s="549"/>
      <c r="ORW41" s="549"/>
      <c r="ORX41" s="549"/>
      <c r="ORY41" s="549"/>
      <c r="ORZ41" s="549"/>
      <c r="OSA41" s="549"/>
      <c r="OSB41" s="549"/>
      <c r="OSC41" s="549"/>
      <c r="OSD41" s="549"/>
      <c r="OSE41" s="549"/>
      <c r="OSF41" s="549"/>
      <c r="OSG41" s="549"/>
      <c r="OSH41" s="549"/>
      <c r="OSI41" s="549"/>
      <c r="OSJ41" s="549"/>
      <c r="OSK41" s="549"/>
      <c r="OSL41" s="549"/>
      <c r="OSM41" s="549"/>
      <c r="OSN41" s="549"/>
      <c r="OSO41" s="549"/>
      <c r="OSP41" s="549"/>
      <c r="OSQ41" s="549"/>
      <c r="OSR41" s="549"/>
      <c r="OSS41" s="549"/>
      <c r="OST41" s="549"/>
      <c r="OSU41" s="549"/>
      <c r="OSV41" s="549"/>
      <c r="OSW41" s="549"/>
      <c r="OSX41" s="549"/>
      <c r="OSY41" s="549"/>
      <c r="OSZ41" s="549"/>
      <c r="OTA41" s="549"/>
      <c r="OTB41" s="549"/>
      <c r="OTC41" s="549"/>
      <c r="OTD41" s="549"/>
      <c r="OTE41" s="549"/>
      <c r="OTF41" s="549"/>
      <c r="OTG41" s="549"/>
      <c r="OTH41" s="549"/>
      <c r="OTI41" s="549"/>
      <c r="OTJ41" s="549"/>
      <c r="OTK41" s="549"/>
      <c r="OTL41" s="549"/>
      <c r="OTM41" s="549"/>
      <c r="OTN41" s="549"/>
      <c r="OTO41" s="549"/>
      <c r="OTP41" s="549"/>
      <c r="OTQ41" s="549"/>
      <c r="OTR41" s="549"/>
      <c r="OTS41" s="549"/>
      <c r="OTT41" s="549"/>
      <c r="OTU41" s="549"/>
      <c r="OTV41" s="549"/>
      <c r="OTW41" s="549"/>
      <c r="OTX41" s="549"/>
      <c r="OTY41" s="549"/>
      <c r="OTZ41" s="549"/>
      <c r="OUA41" s="549"/>
      <c r="OUB41" s="549"/>
      <c r="OUC41" s="549"/>
      <c r="OUD41" s="549"/>
      <c r="OUE41" s="549"/>
      <c r="OUF41" s="549"/>
      <c r="OUG41" s="549"/>
      <c r="OUH41" s="549"/>
      <c r="OUI41" s="549"/>
      <c r="OUJ41" s="549"/>
      <c r="OUK41" s="549"/>
      <c r="OUL41" s="549"/>
      <c r="OUM41" s="549"/>
      <c r="OUN41" s="549"/>
      <c r="OUO41" s="549"/>
      <c r="OUP41" s="549"/>
      <c r="OUQ41" s="549"/>
      <c r="OUR41" s="549"/>
      <c r="OUS41" s="549"/>
      <c r="OUT41" s="549"/>
      <c r="OUU41" s="549"/>
      <c r="OUV41" s="549"/>
      <c r="OUW41" s="549"/>
      <c r="OUX41" s="549"/>
      <c r="OUY41" s="549"/>
      <c r="OUZ41" s="549"/>
      <c r="OVA41" s="549"/>
      <c r="OVB41" s="549"/>
      <c r="OVC41" s="549"/>
      <c r="OVD41" s="549"/>
      <c r="OVE41" s="549"/>
      <c r="OVF41" s="549"/>
      <c r="OVG41" s="549"/>
      <c r="OVH41" s="549"/>
      <c r="OVI41" s="549"/>
      <c r="OVJ41" s="549"/>
      <c r="OVK41" s="549"/>
      <c r="OVL41" s="549"/>
      <c r="OVM41" s="549"/>
      <c r="OVN41" s="549"/>
      <c r="OVO41" s="549"/>
      <c r="OVP41" s="549"/>
      <c r="OVQ41" s="549"/>
      <c r="OVR41" s="549"/>
      <c r="OVS41" s="549"/>
      <c r="OVT41" s="549"/>
      <c r="OVU41" s="549"/>
      <c r="OVV41" s="549"/>
      <c r="OVW41" s="549"/>
      <c r="OVX41" s="549"/>
      <c r="OVY41" s="549"/>
      <c r="OVZ41" s="549"/>
      <c r="OWA41" s="549"/>
      <c r="OWB41" s="549"/>
      <c r="OWC41" s="549"/>
      <c r="OWD41" s="549"/>
      <c r="OWE41" s="549"/>
      <c r="OWF41" s="549"/>
      <c r="OWG41" s="549"/>
      <c r="OWH41" s="549"/>
      <c r="OWI41" s="549"/>
      <c r="OWJ41" s="549"/>
      <c r="OWK41" s="549"/>
      <c r="OWL41" s="549"/>
      <c r="OWM41" s="549"/>
      <c r="OWN41" s="549"/>
      <c r="OWO41" s="549"/>
      <c r="OWP41" s="549"/>
      <c r="OWQ41" s="549"/>
      <c r="OWR41" s="549"/>
      <c r="OWS41" s="549"/>
      <c r="OWT41" s="549"/>
      <c r="OWU41" s="549"/>
      <c r="OWV41" s="549"/>
      <c r="OWW41" s="549"/>
      <c r="OWX41" s="549"/>
      <c r="OWY41" s="549"/>
      <c r="OWZ41" s="549"/>
      <c r="OXA41" s="549"/>
      <c r="OXB41" s="549"/>
      <c r="OXC41" s="549"/>
      <c r="OXD41" s="549"/>
      <c r="OXE41" s="549"/>
      <c r="OXF41" s="549"/>
      <c r="OXG41" s="549"/>
      <c r="OXH41" s="549"/>
      <c r="OXI41" s="549"/>
      <c r="OXJ41" s="549"/>
      <c r="OXK41" s="549"/>
      <c r="OXL41" s="549"/>
      <c r="OXM41" s="549"/>
      <c r="OXN41" s="549"/>
      <c r="OXO41" s="549"/>
      <c r="OXP41" s="549"/>
      <c r="OXQ41" s="549"/>
      <c r="OXR41" s="549"/>
      <c r="OXS41" s="549"/>
      <c r="OXT41" s="549"/>
      <c r="OXU41" s="549"/>
      <c r="OXV41" s="549"/>
      <c r="OXW41" s="549"/>
      <c r="OXX41" s="549"/>
      <c r="OXY41" s="549"/>
      <c r="OXZ41" s="549"/>
      <c r="OYA41" s="549"/>
      <c r="OYB41" s="549"/>
      <c r="OYC41" s="549"/>
      <c r="OYD41" s="549"/>
      <c r="OYE41" s="549"/>
      <c r="OYF41" s="549"/>
      <c r="OYG41" s="549"/>
      <c r="OYH41" s="549"/>
      <c r="OYI41" s="549"/>
      <c r="OYJ41" s="549"/>
      <c r="OYK41" s="549"/>
      <c r="OYL41" s="549"/>
      <c r="OYM41" s="549"/>
      <c r="OYN41" s="549"/>
      <c r="OYO41" s="549"/>
      <c r="OYP41" s="549"/>
      <c r="OYQ41" s="549"/>
      <c r="OYR41" s="549"/>
      <c r="OYS41" s="549"/>
      <c r="OYT41" s="549"/>
      <c r="OYU41" s="549"/>
      <c r="OYV41" s="549"/>
      <c r="OYW41" s="549"/>
      <c r="OYX41" s="549"/>
      <c r="OYY41" s="549"/>
      <c r="OYZ41" s="549"/>
      <c r="OZA41" s="549"/>
      <c r="OZB41" s="549"/>
      <c r="OZC41" s="549"/>
      <c r="OZD41" s="549"/>
      <c r="OZE41" s="549"/>
      <c r="OZF41" s="549"/>
      <c r="OZG41" s="549"/>
      <c r="OZH41" s="549"/>
      <c r="OZI41" s="549"/>
      <c r="OZJ41" s="549"/>
      <c r="OZK41" s="549"/>
      <c r="OZL41" s="549"/>
      <c r="OZM41" s="549"/>
      <c r="OZN41" s="549"/>
      <c r="OZO41" s="549"/>
      <c r="OZP41" s="549"/>
      <c r="OZQ41" s="549"/>
      <c r="OZR41" s="549"/>
      <c r="OZS41" s="549"/>
      <c r="OZT41" s="549"/>
      <c r="OZU41" s="549"/>
      <c r="OZV41" s="549"/>
      <c r="OZW41" s="549"/>
      <c r="OZX41" s="549"/>
      <c r="OZY41" s="549"/>
      <c r="OZZ41" s="549"/>
      <c r="PAA41" s="549"/>
      <c r="PAB41" s="549"/>
      <c r="PAC41" s="549"/>
      <c r="PAD41" s="549"/>
      <c r="PAE41" s="549"/>
      <c r="PAF41" s="549"/>
      <c r="PAG41" s="549"/>
      <c r="PAH41" s="549"/>
      <c r="PAI41" s="549"/>
      <c r="PAJ41" s="549"/>
      <c r="PAK41" s="549"/>
      <c r="PAL41" s="549"/>
      <c r="PAM41" s="549"/>
      <c r="PAN41" s="549"/>
      <c r="PAO41" s="549"/>
      <c r="PAP41" s="549"/>
      <c r="PAQ41" s="549"/>
      <c r="PAR41" s="549"/>
      <c r="PAS41" s="549"/>
      <c r="PAT41" s="549"/>
      <c r="PAU41" s="549"/>
      <c r="PAV41" s="549"/>
      <c r="PAW41" s="549"/>
      <c r="PAX41" s="549"/>
      <c r="PAY41" s="549"/>
      <c r="PAZ41" s="549"/>
      <c r="PBA41" s="549"/>
      <c r="PBB41" s="549"/>
      <c r="PBC41" s="549"/>
      <c r="PBD41" s="549"/>
      <c r="PBE41" s="549"/>
      <c r="PBF41" s="549"/>
      <c r="PBG41" s="549"/>
      <c r="PBH41" s="549"/>
      <c r="PBI41" s="549"/>
      <c r="PBJ41" s="549"/>
      <c r="PBK41" s="549"/>
      <c r="PBL41" s="549"/>
      <c r="PBM41" s="549"/>
      <c r="PBN41" s="549"/>
      <c r="PBO41" s="549"/>
      <c r="PBP41" s="549"/>
      <c r="PBQ41" s="549"/>
      <c r="PBR41" s="549"/>
      <c r="PBS41" s="549"/>
      <c r="PBT41" s="549"/>
      <c r="PBU41" s="549"/>
      <c r="PBV41" s="549"/>
      <c r="PBW41" s="549"/>
      <c r="PBX41" s="549"/>
      <c r="PBY41" s="549"/>
      <c r="PBZ41" s="549"/>
      <c r="PCA41" s="549"/>
      <c r="PCB41" s="549"/>
      <c r="PCC41" s="549"/>
      <c r="PCD41" s="549"/>
      <c r="PCE41" s="549"/>
      <c r="PCF41" s="549"/>
      <c r="PCG41" s="549"/>
      <c r="PCH41" s="549"/>
      <c r="PCI41" s="549"/>
      <c r="PCJ41" s="549"/>
      <c r="PCK41" s="549"/>
      <c r="PCL41" s="549"/>
      <c r="PCM41" s="549"/>
      <c r="PCN41" s="549"/>
      <c r="PCO41" s="549"/>
      <c r="PCP41" s="549"/>
      <c r="PCQ41" s="549"/>
      <c r="PCR41" s="549"/>
      <c r="PCS41" s="549"/>
      <c r="PCT41" s="549"/>
      <c r="PCU41" s="549"/>
      <c r="PCV41" s="549"/>
      <c r="PCW41" s="549"/>
      <c r="PCX41" s="549"/>
      <c r="PCY41" s="549"/>
      <c r="PCZ41" s="549"/>
      <c r="PDA41" s="549"/>
      <c r="PDB41" s="549"/>
      <c r="PDC41" s="549"/>
      <c r="PDD41" s="549"/>
      <c r="PDE41" s="549"/>
      <c r="PDF41" s="549"/>
      <c r="PDG41" s="549"/>
      <c r="PDH41" s="549"/>
      <c r="PDI41" s="549"/>
      <c r="PDJ41" s="549"/>
      <c r="PDK41" s="549"/>
      <c r="PDL41" s="549"/>
      <c r="PDM41" s="549"/>
      <c r="PDN41" s="549"/>
      <c r="PDO41" s="549"/>
      <c r="PDP41" s="549"/>
      <c r="PDQ41" s="549"/>
      <c r="PDR41" s="549"/>
      <c r="PDS41" s="549"/>
      <c r="PDT41" s="549"/>
      <c r="PDU41" s="549"/>
      <c r="PDV41" s="549"/>
      <c r="PDW41" s="549"/>
      <c r="PDX41" s="549"/>
      <c r="PDY41" s="549"/>
      <c r="PDZ41" s="549"/>
      <c r="PEA41" s="549"/>
      <c r="PEB41" s="549"/>
      <c r="PEC41" s="549"/>
      <c r="PED41" s="549"/>
      <c r="PEE41" s="549"/>
      <c r="PEF41" s="549"/>
      <c r="PEG41" s="549"/>
      <c r="PEH41" s="549"/>
      <c r="PEI41" s="549"/>
      <c r="PEJ41" s="549"/>
      <c r="PEK41" s="549"/>
      <c r="PEL41" s="549"/>
      <c r="PEM41" s="549"/>
      <c r="PEN41" s="549"/>
      <c r="PEO41" s="549"/>
      <c r="PEP41" s="549"/>
      <c r="PEQ41" s="549"/>
      <c r="PER41" s="549"/>
      <c r="PES41" s="549"/>
      <c r="PET41" s="549"/>
      <c r="PEU41" s="549"/>
      <c r="PEV41" s="549"/>
      <c r="PEW41" s="549"/>
      <c r="PEX41" s="549"/>
      <c r="PEY41" s="549"/>
      <c r="PEZ41" s="549"/>
      <c r="PFA41" s="549"/>
      <c r="PFB41" s="549"/>
      <c r="PFC41" s="549"/>
      <c r="PFD41" s="549"/>
      <c r="PFE41" s="549"/>
      <c r="PFF41" s="549"/>
      <c r="PFG41" s="549"/>
      <c r="PFH41" s="549"/>
      <c r="PFI41" s="549"/>
      <c r="PFJ41" s="549"/>
      <c r="PFK41" s="549"/>
      <c r="PFL41" s="549"/>
      <c r="PFM41" s="549"/>
      <c r="PFN41" s="549"/>
      <c r="PFO41" s="549"/>
      <c r="PFP41" s="549"/>
      <c r="PFQ41" s="549"/>
      <c r="PFR41" s="549"/>
      <c r="PFS41" s="549"/>
      <c r="PFT41" s="549"/>
      <c r="PFU41" s="549"/>
      <c r="PFV41" s="549"/>
      <c r="PFW41" s="549"/>
      <c r="PFX41" s="549"/>
      <c r="PFY41" s="549"/>
      <c r="PFZ41" s="549"/>
      <c r="PGA41" s="549"/>
      <c r="PGB41" s="549"/>
      <c r="PGC41" s="549"/>
      <c r="PGD41" s="549"/>
      <c r="PGE41" s="549"/>
      <c r="PGF41" s="549"/>
      <c r="PGG41" s="549"/>
      <c r="PGH41" s="549"/>
      <c r="PGI41" s="549"/>
      <c r="PGJ41" s="549"/>
      <c r="PGK41" s="549"/>
      <c r="PGL41" s="549"/>
      <c r="PGM41" s="549"/>
      <c r="PGN41" s="549"/>
      <c r="PGO41" s="549"/>
      <c r="PGP41" s="549"/>
      <c r="PGQ41" s="549"/>
      <c r="PGR41" s="549"/>
      <c r="PGS41" s="549"/>
      <c r="PGT41" s="549"/>
      <c r="PGU41" s="549"/>
      <c r="PGV41" s="549"/>
      <c r="PGW41" s="549"/>
      <c r="PGX41" s="549"/>
      <c r="PGY41" s="549"/>
      <c r="PGZ41" s="549"/>
      <c r="PHA41" s="549"/>
      <c r="PHB41" s="549"/>
      <c r="PHC41" s="549"/>
      <c r="PHD41" s="549"/>
      <c r="PHE41" s="549"/>
      <c r="PHF41" s="549"/>
      <c r="PHG41" s="549"/>
      <c r="PHH41" s="549"/>
      <c r="PHI41" s="549"/>
      <c r="PHJ41" s="549"/>
      <c r="PHK41" s="549"/>
      <c r="PHL41" s="549"/>
      <c r="PHM41" s="549"/>
      <c r="PHN41" s="549"/>
      <c r="PHO41" s="549"/>
      <c r="PHP41" s="549"/>
      <c r="PHQ41" s="549"/>
      <c r="PHR41" s="549"/>
      <c r="PHS41" s="549"/>
      <c r="PHT41" s="549"/>
      <c r="PHU41" s="549"/>
      <c r="PHV41" s="549"/>
      <c r="PHW41" s="549"/>
      <c r="PHX41" s="549"/>
      <c r="PHY41" s="549"/>
      <c r="PHZ41" s="549"/>
      <c r="PIA41" s="549"/>
      <c r="PIB41" s="549"/>
      <c r="PIC41" s="549"/>
      <c r="PID41" s="549"/>
      <c r="PIE41" s="549"/>
      <c r="PIF41" s="549"/>
      <c r="PIG41" s="549"/>
      <c r="PIH41" s="549"/>
      <c r="PII41" s="549"/>
      <c r="PIJ41" s="549"/>
      <c r="PIK41" s="549"/>
      <c r="PIL41" s="549"/>
      <c r="PIM41" s="549"/>
      <c r="PIN41" s="549"/>
      <c r="PIO41" s="549"/>
      <c r="PIP41" s="549"/>
      <c r="PIQ41" s="549"/>
      <c r="PIR41" s="549"/>
      <c r="PIS41" s="549"/>
      <c r="PIT41" s="549"/>
      <c r="PIU41" s="549"/>
      <c r="PIV41" s="549"/>
      <c r="PIW41" s="549"/>
      <c r="PIX41" s="549"/>
      <c r="PIY41" s="549"/>
      <c r="PIZ41" s="549"/>
      <c r="PJA41" s="549"/>
      <c r="PJB41" s="549"/>
      <c r="PJC41" s="549"/>
      <c r="PJD41" s="549"/>
      <c r="PJE41" s="549"/>
      <c r="PJF41" s="549"/>
      <c r="PJG41" s="549"/>
      <c r="PJH41" s="549"/>
      <c r="PJI41" s="549"/>
      <c r="PJJ41" s="549"/>
      <c r="PJK41" s="549"/>
      <c r="PJL41" s="549"/>
      <c r="PJM41" s="549"/>
      <c r="PJN41" s="549"/>
      <c r="PJO41" s="549"/>
      <c r="PJP41" s="549"/>
      <c r="PJQ41" s="549"/>
      <c r="PJR41" s="549"/>
      <c r="PJS41" s="549"/>
      <c r="PJT41" s="549"/>
      <c r="PJU41" s="549"/>
      <c r="PJV41" s="549"/>
      <c r="PJW41" s="549"/>
      <c r="PJX41" s="549"/>
      <c r="PJY41" s="549"/>
      <c r="PJZ41" s="549"/>
      <c r="PKA41" s="549"/>
      <c r="PKB41" s="549"/>
      <c r="PKC41" s="549"/>
      <c r="PKD41" s="549"/>
      <c r="PKE41" s="549"/>
      <c r="PKF41" s="549"/>
      <c r="PKG41" s="549"/>
      <c r="PKH41" s="549"/>
      <c r="PKI41" s="549"/>
      <c r="PKJ41" s="549"/>
      <c r="PKK41" s="549"/>
      <c r="PKL41" s="549"/>
      <c r="PKM41" s="549"/>
      <c r="PKN41" s="549"/>
      <c r="PKO41" s="549"/>
      <c r="PKP41" s="549"/>
      <c r="PKQ41" s="549"/>
      <c r="PKR41" s="549"/>
      <c r="PKS41" s="549"/>
      <c r="PKT41" s="549"/>
      <c r="PKU41" s="549"/>
      <c r="PKV41" s="549"/>
      <c r="PKW41" s="549"/>
      <c r="PKX41" s="549"/>
      <c r="PKY41" s="549"/>
      <c r="PKZ41" s="549"/>
      <c r="PLA41" s="549"/>
      <c r="PLB41" s="549"/>
      <c r="PLC41" s="549"/>
      <c r="PLD41" s="549"/>
      <c r="PLE41" s="549"/>
      <c r="PLF41" s="549"/>
      <c r="PLG41" s="549"/>
      <c r="PLH41" s="549"/>
      <c r="PLI41" s="549"/>
      <c r="PLJ41" s="549"/>
      <c r="PLK41" s="549"/>
      <c r="PLL41" s="549"/>
      <c r="PLM41" s="549"/>
      <c r="PLN41" s="549"/>
      <c r="PLO41" s="549"/>
      <c r="PLP41" s="549"/>
      <c r="PLQ41" s="549"/>
      <c r="PLR41" s="549"/>
      <c r="PLS41" s="549"/>
      <c r="PLT41" s="549"/>
      <c r="PLU41" s="549"/>
      <c r="PLV41" s="549"/>
      <c r="PLW41" s="549"/>
      <c r="PLX41" s="549"/>
      <c r="PLY41" s="549"/>
      <c r="PLZ41" s="549"/>
      <c r="PMA41" s="549"/>
      <c r="PMB41" s="549"/>
      <c r="PMC41" s="549"/>
      <c r="PMD41" s="549"/>
      <c r="PME41" s="549"/>
      <c r="PMF41" s="549"/>
      <c r="PMG41" s="549"/>
      <c r="PMH41" s="549"/>
      <c r="PMI41" s="549"/>
      <c r="PMJ41" s="549"/>
      <c r="PMK41" s="549"/>
      <c r="PML41" s="549"/>
      <c r="PMM41" s="549"/>
      <c r="PMN41" s="549"/>
      <c r="PMO41" s="549"/>
      <c r="PMP41" s="549"/>
      <c r="PMQ41" s="549"/>
      <c r="PMR41" s="549"/>
      <c r="PMS41" s="549"/>
      <c r="PMT41" s="549"/>
      <c r="PMU41" s="549"/>
      <c r="PMV41" s="549"/>
      <c r="PMW41" s="549"/>
      <c r="PMX41" s="549"/>
      <c r="PMY41" s="549"/>
      <c r="PMZ41" s="549"/>
      <c r="PNA41" s="549"/>
      <c r="PNB41" s="549"/>
      <c r="PNC41" s="549"/>
      <c r="PND41" s="549"/>
      <c r="PNE41" s="549"/>
      <c r="PNF41" s="549"/>
      <c r="PNG41" s="549"/>
      <c r="PNH41" s="549"/>
      <c r="PNI41" s="549"/>
      <c r="PNJ41" s="549"/>
      <c r="PNK41" s="549"/>
      <c r="PNL41" s="549"/>
      <c r="PNM41" s="549"/>
      <c r="PNN41" s="549"/>
      <c r="PNO41" s="549"/>
      <c r="PNP41" s="549"/>
      <c r="PNQ41" s="549"/>
      <c r="PNR41" s="549"/>
      <c r="PNS41" s="549"/>
      <c r="PNT41" s="549"/>
      <c r="PNU41" s="549"/>
      <c r="PNV41" s="549"/>
      <c r="PNW41" s="549"/>
      <c r="PNX41" s="549"/>
      <c r="PNY41" s="549"/>
      <c r="PNZ41" s="549"/>
      <c r="POA41" s="549"/>
      <c r="POB41" s="549"/>
      <c r="POC41" s="549"/>
      <c r="POD41" s="549"/>
      <c r="POE41" s="549"/>
      <c r="POF41" s="549"/>
      <c r="POG41" s="549"/>
      <c r="POH41" s="549"/>
      <c r="POI41" s="549"/>
      <c r="POJ41" s="549"/>
      <c r="POK41" s="549"/>
      <c r="POL41" s="549"/>
      <c r="POM41" s="549"/>
      <c r="PON41" s="549"/>
      <c r="POO41" s="549"/>
      <c r="POP41" s="549"/>
      <c r="POQ41" s="549"/>
      <c r="POR41" s="549"/>
      <c r="POS41" s="549"/>
      <c r="POT41" s="549"/>
      <c r="POU41" s="549"/>
      <c r="POV41" s="549"/>
      <c r="POW41" s="549"/>
      <c r="POX41" s="549"/>
      <c r="POY41" s="549"/>
      <c r="POZ41" s="549"/>
      <c r="PPA41" s="549"/>
      <c r="PPB41" s="549"/>
      <c r="PPC41" s="549"/>
      <c r="PPD41" s="549"/>
      <c r="PPE41" s="549"/>
      <c r="PPF41" s="549"/>
      <c r="PPG41" s="549"/>
      <c r="PPH41" s="549"/>
      <c r="PPI41" s="549"/>
      <c r="PPJ41" s="549"/>
      <c r="PPK41" s="549"/>
      <c r="PPL41" s="549"/>
      <c r="PPM41" s="549"/>
      <c r="PPN41" s="549"/>
      <c r="PPO41" s="549"/>
      <c r="PPP41" s="549"/>
      <c r="PPQ41" s="549"/>
      <c r="PPR41" s="549"/>
      <c r="PPS41" s="549"/>
      <c r="PPT41" s="549"/>
      <c r="PPU41" s="549"/>
      <c r="PPV41" s="549"/>
      <c r="PPW41" s="549"/>
      <c r="PPX41" s="549"/>
      <c r="PPY41" s="549"/>
      <c r="PPZ41" s="549"/>
      <c r="PQA41" s="549"/>
      <c r="PQB41" s="549"/>
      <c r="PQC41" s="549"/>
      <c r="PQD41" s="549"/>
      <c r="PQE41" s="549"/>
      <c r="PQF41" s="549"/>
      <c r="PQG41" s="549"/>
      <c r="PQH41" s="549"/>
      <c r="PQI41" s="549"/>
      <c r="PQJ41" s="549"/>
      <c r="PQK41" s="549"/>
      <c r="PQL41" s="549"/>
      <c r="PQM41" s="549"/>
      <c r="PQN41" s="549"/>
      <c r="PQO41" s="549"/>
      <c r="PQP41" s="549"/>
      <c r="PQQ41" s="549"/>
      <c r="PQR41" s="549"/>
      <c r="PQS41" s="549"/>
      <c r="PQT41" s="549"/>
      <c r="PQU41" s="549"/>
      <c r="PQV41" s="549"/>
      <c r="PQW41" s="549"/>
      <c r="PQX41" s="549"/>
      <c r="PQY41" s="549"/>
      <c r="PQZ41" s="549"/>
      <c r="PRA41" s="549"/>
      <c r="PRB41" s="549"/>
      <c r="PRC41" s="549"/>
      <c r="PRD41" s="549"/>
      <c r="PRE41" s="549"/>
      <c r="PRF41" s="549"/>
      <c r="PRG41" s="549"/>
      <c r="PRH41" s="549"/>
      <c r="PRI41" s="549"/>
      <c r="PRJ41" s="549"/>
      <c r="PRK41" s="549"/>
      <c r="PRL41" s="549"/>
      <c r="PRM41" s="549"/>
      <c r="PRN41" s="549"/>
      <c r="PRO41" s="549"/>
      <c r="PRP41" s="549"/>
      <c r="PRQ41" s="549"/>
      <c r="PRR41" s="549"/>
      <c r="PRS41" s="549"/>
      <c r="PRT41" s="549"/>
      <c r="PRU41" s="549"/>
      <c r="PRV41" s="549"/>
      <c r="PRW41" s="549"/>
      <c r="PRX41" s="549"/>
      <c r="PRY41" s="549"/>
      <c r="PRZ41" s="549"/>
      <c r="PSA41" s="549"/>
      <c r="PSB41" s="549"/>
      <c r="PSC41" s="549"/>
      <c r="PSD41" s="549"/>
      <c r="PSE41" s="549"/>
      <c r="PSF41" s="549"/>
      <c r="PSG41" s="549"/>
      <c r="PSH41" s="549"/>
      <c r="PSI41" s="549"/>
      <c r="PSJ41" s="549"/>
      <c r="PSK41" s="549"/>
      <c r="PSL41" s="549"/>
      <c r="PSM41" s="549"/>
      <c r="PSN41" s="549"/>
      <c r="PSO41" s="549"/>
      <c r="PSP41" s="549"/>
      <c r="PSQ41" s="549"/>
      <c r="PSR41" s="549"/>
      <c r="PSS41" s="549"/>
      <c r="PST41" s="549"/>
      <c r="PSU41" s="549"/>
      <c r="PSV41" s="549"/>
      <c r="PSW41" s="549"/>
      <c r="PSX41" s="549"/>
      <c r="PSY41" s="549"/>
      <c r="PSZ41" s="549"/>
      <c r="PTA41" s="549"/>
      <c r="PTB41" s="549"/>
      <c r="PTC41" s="549"/>
      <c r="PTD41" s="549"/>
      <c r="PTE41" s="549"/>
      <c r="PTF41" s="549"/>
      <c r="PTG41" s="549"/>
      <c r="PTH41" s="549"/>
      <c r="PTI41" s="549"/>
      <c r="PTJ41" s="549"/>
      <c r="PTK41" s="549"/>
      <c r="PTL41" s="549"/>
      <c r="PTM41" s="549"/>
      <c r="PTN41" s="549"/>
      <c r="PTO41" s="549"/>
      <c r="PTP41" s="549"/>
      <c r="PTQ41" s="549"/>
      <c r="PTR41" s="549"/>
      <c r="PTS41" s="549"/>
      <c r="PTT41" s="549"/>
      <c r="PTU41" s="549"/>
      <c r="PTV41" s="549"/>
      <c r="PTW41" s="549"/>
      <c r="PTX41" s="549"/>
      <c r="PTY41" s="549"/>
      <c r="PTZ41" s="549"/>
      <c r="PUA41" s="549"/>
      <c r="PUB41" s="549"/>
      <c r="PUC41" s="549"/>
      <c r="PUD41" s="549"/>
      <c r="PUE41" s="549"/>
      <c r="PUF41" s="549"/>
      <c r="PUG41" s="549"/>
      <c r="PUH41" s="549"/>
      <c r="PUI41" s="549"/>
      <c r="PUJ41" s="549"/>
      <c r="PUK41" s="549"/>
      <c r="PUL41" s="549"/>
      <c r="PUM41" s="549"/>
      <c r="PUN41" s="549"/>
      <c r="PUO41" s="549"/>
      <c r="PUP41" s="549"/>
      <c r="PUQ41" s="549"/>
      <c r="PUR41" s="549"/>
      <c r="PUS41" s="549"/>
      <c r="PUT41" s="549"/>
      <c r="PUU41" s="549"/>
      <c r="PUV41" s="549"/>
      <c r="PUW41" s="549"/>
      <c r="PUX41" s="549"/>
      <c r="PUY41" s="549"/>
      <c r="PUZ41" s="549"/>
      <c r="PVA41" s="549"/>
      <c r="PVB41" s="549"/>
      <c r="PVC41" s="549"/>
      <c r="PVD41" s="549"/>
      <c r="PVE41" s="549"/>
      <c r="PVF41" s="549"/>
      <c r="PVG41" s="549"/>
      <c r="PVH41" s="549"/>
      <c r="PVI41" s="549"/>
      <c r="PVJ41" s="549"/>
      <c r="PVK41" s="549"/>
      <c r="PVL41" s="549"/>
      <c r="PVM41" s="549"/>
      <c r="PVN41" s="549"/>
      <c r="PVO41" s="549"/>
      <c r="PVP41" s="549"/>
      <c r="PVQ41" s="549"/>
      <c r="PVR41" s="549"/>
      <c r="PVS41" s="549"/>
      <c r="PVT41" s="549"/>
      <c r="PVU41" s="549"/>
      <c r="PVV41" s="549"/>
      <c r="PVW41" s="549"/>
      <c r="PVX41" s="549"/>
      <c r="PVY41" s="549"/>
      <c r="PVZ41" s="549"/>
      <c r="PWA41" s="549"/>
      <c r="PWB41" s="549"/>
      <c r="PWC41" s="549"/>
      <c r="PWD41" s="549"/>
      <c r="PWE41" s="549"/>
      <c r="PWF41" s="549"/>
      <c r="PWG41" s="549"/>
      <c r="PWH41" s="549"/>
      <c r="PWI41" s="549"/>
      <c r="PWJ41" s="549"/>
      <c r="PWK41" s="549"/>
      <c r="PWL41" s="549"/>
      <c r="PWM41" s="549"/>
      <c r="PWN41" s="549"/>
      <c r="PWO41" s="549"/>
      <c r="PWP41" s="549"/>
      <c r="PWQ41" s="549"/>
      <c r="PWR41" s="549"/>
      <c r="PWS41" s="549"/>
      <c r="PWT41" s="549"/>
      <c r="PWU41" s="549"/>
      <c r="PWV41" s="549"/>
      <c r="PWW41" s="549"/>
      <c r="PWX41" s="549"/>
      <c r="PWY41" s="549"/>
      <c r="PWZ41" s="549"/>
      <c r="PXA41" s="549"/>
      <c r="PXB41" s="549"/>
      <c r="PXC41" s="549"/>
      <c r="PXD41" s="549"/>
      <c r="PXE41" s="549"/>
      <c r="PXF41" s="549"/>
      <c r="PXG41" s="549"/>
      <c r="PXH41" s="549"/>
      <c r="PXI41" s="549"/>
      <c r="PXJ41" s="549"/>
      <c r="PXK41" s="549"/>
      <c r="PXL41" s="549"/>
      <c r="PXM41" s="549"/>
      <c r="PXN41" s="549"/>
      <c r="PXO41" s="549"/>
      <c r="PXP41" s="549"/>
      <c r="PXQ41" s="549"/>
      <c r="PXR41" s="549"/>
      <c r="PXS41" s="549"/>
      <c r="PXT41" s="549"/>
      <c r="PXU41" s="549"/>
      <c r="PXV41" s="549"/>
      <c r="PXW41" s="549"/>
      <c r="PXX41" s="549"/>
      <c r="PXY41" s="549"/>
      <c r="PXZ41" s="549"/>
      <c r="PYA41" s="549"/>
      <c r="PYB41" s="549"/>
      <c r="PYC41" s="549"/>
      <c r="PYD41" s="549"/>
      <c r="PYE41" s="549"/>
      <c r="PYF41" s="549"/>
      <c r="PYG41" s="549"/>
      <c r="PYH41" s="549"/>
      <c r="PYI41" s="549"/>
      <c r="PYJ41" s="549"/>
      <c r="PYK41" s="549"/>
      <c r="PYL41" s="549"/>
      <c r="PYM41" s="549"/>
      <c r="PYN41" s="549"/>
      <c r="PYO41" s="549"/>
      <c r="PYP41" s="549"/>
      <c r="PYQ41" s="549"/>
      <c r="PYR41" s="549"/>
      <c r="PYS41" s="549"/>
      <c r="PYT41" s="549"/>
      <c r="PYU41" s="549"/>
      <c r="PYV41" s="549"/>
      <c r="PYW41" s="549"/>
      <c r="PYX41" s="549"/>
      <c r="PYY41" s="549"/>
      <c r="PYZ41" s="549"/>
      <c r="PZA41" s="549"/>
      <c r="PZB41" s="549"/>
      <c r="PZC41" s="549"/>
      <c r="PZD41" s="549"/>
      <c r="PZE41" s="549"/>
      <c r="PZF41" s="549"/>
      <c r="PZG41" s="549"/>
      <c r="PZH41" s="549"/>
      <c r="PZI41" s="549"/>
      <c r="PZJ41" s="549"/>
      <c r="PZK41" s="549"/>
      <c r="PZL41" s="549"/>
      <c r="PZM41" s="549"/>
      <c r="PZN41" s="549"/>
      <c r="PZO41" s="549"/>
      <c r="PZP41" s="549"/>
      <c r="PZQ41" s="549"/>
      <c r="PZR41" s="549"/>
      <c r="PZS41" s="549"/>
      <c r="PZT41" s="549"/>
      <c r="PZU41" s="549"/>
      <c r="PZV41" s="549"/>
      <c r="PZW41" s="549"/>
      <c r="PZX41" s="549"/>
      <c r="PZY41" s="549"/>
      <c r="PZZ41" s="549"/>
      <c r="QAA41" s="549"/>
      <c r="QAB41" s="549"/>
      <c r="QAC41" s="549"/>
      <c r="QAD41" s="549"/>
      <c r="QAE41" s="549"/>
      <c r="QAF41" s="549"/>
      <c r="QAG41" s="549"/>
      <c r="QAH41" s="549"/>
      <c r="QAI41" s="549"/>
      <c r="QAJ41" s="549"/>
      <c r="QAK41" s="549"/>
      <c r="QAL41" s="549"/>
      <c r="QAM41" s="549"/>
      <c r="QAN41" s="549"/>
      <c r="QAO41" s="549"/>
      <c r="QAP41" s="549"/>
      <c r="QAQ41" s="549"/>
      <c r="QAR41" s="549"/>
      <c r="QAS41" s="549"/>
      <c r="QAT41" s="549"/>
      <c r="QAU41" s="549"/>
      <c r="QAV41" s="549"/>
      <c r="QAW41" s="549"/>
      <c r="QAX41" s="549"/>
      <c r="QAY41" s="549"/>
      <c r="QAZ41" s="549"/>
      <c r="QBA41" s="549"/>
      <c r="QBB41" s="549"/>
      <c r="QBC41" s="549"/>
      <c r="QBD41" s="549"/>
      <c r="QBE41" s="549"/>
      <c r="QBF41" s="549"/>
      <c r="QBG41" s="549"/>
      <c r="QBH41" s="549"/>
      <c r="QBI41" s="549"/>
      <c r="QBJ41" s="549"/>
      <c r="QBK41" s="549"/>
      <c r="QBL41" s="549"/>
      <c r="QBM41" s="549"/>
      <c r="QBN41" s="549"/>
      <c r="QBO41" s="549"/>
      <c r="QBP41" s="549"/>
      <c r="QBQ41" s="549"/>
      <c r="QBR41" s="549"/>
      <c r="QBS41" s="549"/>
      <c r="QBT41" s="549"/>
      <c r="QBU41" s="549"/>
      <c r="QBV41" s="549"/>
      <c r="QBW41" s="549"/>
      <c r="QBX41" s="549"/>
      <c r="QBY41" s="549"/>
      <c r="QBZ41" s="549"/>
      <c r="QCA41" s="549"/>
      <c r="QCB41" s="549"/>
      <c r="QCC41" s="549"/>
      <c r="QCD41" s="549"/>
      <c r="QCE41" s="549"/>
      <c r="QCF41" s="549"/>
      <c r="QCG41" s="549"/>
      <c r="QCH41" s="549"/>
      <c r="QCI41" s="549"/>
      <c r="QCJ41" s="549"/>
      <c r="QCK41" s="549"/>
      <c r="QCL41" s="549"/>
      <c r="QCM41" s="549"/>
      <c r="QCN41" s="549"/>
      <c r="QCO41" s="549"/>
      <c r="QCP41" s="549"/>
      <c r="QCQ41" s="549"/>
      <c r="QCR41" s="549"/>
      <c r="QCS41" s="549"/>
      <c r="QCT41" s="549"/>
      <c r="QCU41" s="549"/>
      <c r="QCV41" s="549"/>
      <c r="QCW41" s="549"/>
      <c r="QCX41" s="549"/>
      <c r="QCY41" s="549"/>
      <c r="QCZ41" s="549"/>
      <c r="QDA41" s="549"/>
      <c r="QDB41" s="549"/>
      <c r="QDC41" s="549"/>
      <c r="QDD41" s="549"/>
      <c r="QDE41" s="549"/>
      <c r="QDF41" s="549"/>
      <c r="QDG41" s="549"/>
      <c r="QDH41" s="549"/>
      <c r="QDI41" s="549"/>
      <c r="QDJ41" s="549"/>
      <c r="QDK41" s="549"/>
      <c r="QDL41" s="549"/>
      <c r="QDM41" s="549"/>
      <c r="QDN41" s="549"/>
      <c r="QDO41" s="549"/>
      <c r="QDP41" s="549"/>
      <c r="QDQ41" s="549"/>
      <c r="QDR41" s="549"/>
      <c r="QDS41" s="549"/>
      <c r="QDT41" s="549"/>
      <c r="QDU41" s="549"/>
      <c r="QDV41" s="549"/>
      <c r="QDW41" s="549"/>
      <c r="QDX41" s="549"/>
      <c r="QDY41" s="549"/>
      <c r="QDZ41" s="549"/>
      <c r="QEA41" s="549"/>
      <c r="QEB41" s="549"/>
      <c r="QEC41" s="549"/>
      <c r="QED41" s="549"/>
      <c r="QEE41" s="549"/>
      <c r="QEF41" s="549"/>
      <c r="QEG41" s="549"/>
      <c r="QEH41" s="549"/>
      <c r="QEI41" s="549"/>
      <c r="QEJ41" s="549"/>
      <c r="QEK41" s="549"/>
      <c r="QEL41" s="549"/>
      <c r="QEM41" s="549"/>
      <c r="QEN41" s="549"/>
      <c r="QEO41" s="549"/>
      <c r="QEP41" s="549"/>
      <c r="QEQ41" s="549"/>
      <c r="QER41" s="549"/>
      <c r="QES41" s="549"/>
      <c r="QET41" s="549"/>
      <c r="QEU41" s="549"/>
      <c r="QEV41" s="549"/>
      <c r="QEW41" s="549"/>
      <c r="QEX41" s="549"/>
      <c r="QEY41" s="549"/>
      <c r="QEZ41" s="549"/>
      <c r="QFA41" s="549"/>
      <c r="QFB41" s="549"/>
      <c r="QFC41" s="549"/>
      <c r="QFD41" s="549"/>
      <c r="QFE41" s="549"/>
      <c r="QFF41" s="549"/>
      <c r="QFG41" s="549"/>
      <c r="QFH41" s="549"/>
      <c r="QFI41" s="549"/>
      <c r="QFJ41" s="549"/>
      <c r="QFK41" s="549"/>
      <c r="QFL41" s="549"/>
      <c r="QFM41" s="549"/>
      <c r="QFN41" s="549"/>
      <c r="QFO41" s="549"/>
      <c r="QFP41" s="549"/>
      <c r="QFQ41" s="549"/>
      <c r="QFR41" s="549"/>
      <c r="QFS41" s="549"/>
      <c r="QFT41" s="549"/>
      <c r="QFU41" s="549"/>
      <c r="QFV41" s="549"/>
      <c r="QFW41" s="549"/>
      <c r="QFX41" s="549"/>
      <c r="QFY41" s="549"/>
      <c r="QFZ41" s="549"/>
      <c r="QGA41" s="549"/>
      <c r="QGB41" s="549"/>
      <c r="QGC41" s="549"/>
      <c r="QGD41" s="549"/>
      <c r="QGE41" s="549"/>
      <c r="QGF41" s="549"/>
      <c r="QGG41" s="549"/>
      <c r="QGH41" s="549"/>
      <c r="QGI41" s="549"/>
      <c r="QGJ41" s="549"/>
      <c r="QGK41" s="549"/>
      <c r="QGL41" s="549"/>
      <c r="QGM41" s="549"/>
      <c r="QGN41" s="549"/>
      <c r="QGO41" s="549"/>
      <c r="QGP41" s="549"/>
      <c r="QGQ41" s="549"/>
      <c r="QGR41" s="549"/>
      <c r="QGS41" s="549"/>
      <c r="QGT41" s="549"/>
      <c r="QGU41" s="549"/>
      <c r="QGV41" s="549"/>
      <c r="QGW41" s="549"/>
      <c r="QGX41" s="549"/>
      <c r="QGY41" s="549"/>
      <c r="QGZ41" s="549"/>
      <c r="QHA41" s="549"/>
      <c r="QHB41" s="549"/>
      <c r="QHC41" s="549"/>
      <c r="QHD41" s="549"/>
      <c r="QHE41" s="549"/>
      <c r="QHF41" s="549"/>
      <c r="QHG41" s="549"/>
      <c r="QHH41" s="549"/>
      <c r="QHI41" s="549"/>
      <c r="QHJ41" s="549"/>
      <c r="QHK41" s="549"/>
      <c r="QHL41" s="549"/>
      <c r="QHM41" s="549"/>
      <c r="QHN41" s="549"/>
      <c r="QHO41" s="549"/>
      <c r="QHP41" s="549"/>
      <c r="QHQ41" s="549"/>
      <c r="QHR41" s="549"/>
      <c r="QHS41" s="549"/>
      <c r="QHT41" s="549"/>
      <c r="QHU41" s="549"/>
      <c r="QHV41" s="549"/>
      <c r="QHW41" s="549"/>
      <c r="QHX41" s="549"/>
      <c r="QHY41" s="549"/>
      <c r="QHZ41" s="549"/>
      <c r="QIA41" s="549"/>
      <c r="QIB41" s="549"/>
      <c r="QIC41" s="549"/>
      <c r="QID41" s="549"/>
      <c r="QIE41" s="549"/>
      <c r="QIF41" s="549"/>
      <c r="QIG41" s="549"/>
      <c r="QIH41" s="549"/>
      <c r="QII41" s="549"/>
      <c r="QIJ41" s="549"/>
      <c r="QIK41" s="549"/>
      <c r="QIL41" s="549"/>
      <c r="QIM41" s="549"/>
      <c r="QIN41" s="549"/>
      <c r="QIO41" s="549"/>
      <c r="QIP41" s="549"/>
      <c r="QIQ41" s="549"/>
      <c r="QIR41" s="549"/>
      <c r="QIS41" s="549"/>
      <c r="QIT41" s="549"/>
      <c r="QIU41" s="549"/>
      <c r="QIV41" s="549"/>
      <c r="QIW41" s="549"/>
      <c r="QIX41" s="549"/>
      <c r="QIY41" s="549"/>
      <c r="QIZ41" s="549"/>
      <c r="QJA41" s="549"/>
      <c r="QJB41" s="549"/>
      <c r="QJC41" s="549"/>
      <c r="QJD41" s="549"/>
      <c r="QJE41" s="549"/>
      <c r="QJF41" s="549"/>
      <c r="QJG41" s="549"/>
      <c r="QJH41" s="549"/>
      <c r="QJI41" s="549"/>
      <c r="QJJ41" s="549"/>
      <c r="QJK41" s="549"/>
      <c r="QJL41" s="549"/>
      <c r="QJM41" s="549"/>
      <c r="QJN41" s="549"/>
      <c r="QJO41" s="549"/>
      <c r="QJP41" s="549"/>
      <c r="QJQ41" s="549"/>
      <c r="QJR41" s="549"/>
      <c r="QJS41" s="549"/>
      <c r="QJT41" s="549"/>
      <c r="QJU41" s="549"/>
      <c r="QJV41" s="549"/>
      <c r="QJW41" s="549"/>
      <c r="QJX41" s="549"/>
      <c r="QJY41" s="549"/>
      <c r="QJZ41" s="549"/>
      <c r="QKA41" s="549"/>
      <c r="QKB41" s="549"/>
      <c r="QKC41" s="549"/>
      <c r="QKD41" s="549"/>
      <c r="QKE41" s="549"/>
      <c r="QKF41" s="549"/>
      <c r="QKG41" s="549"/>
      <c r="QKH41" s="549"/>
      <c r="QKI41" s="549"/>
      <c r="QKJ41" s="549"/>
      <c r="QKK41" s="549"/>
      <c r="QKL41" s="549"/>
      <c r="QKM41" s="549"/>
      <c r="QKN41" s="549"/>
      <c r="QKO41" s="549"/>
      <c r="QKP41" s="549"/>
      <c r="QKQ41" s="549"/>
      <c r="QKR41" s="549"/>
      <c r="QKS41" s="549"/>
      <c r="QKT41" s="549"/>
      <c r="QKU41" s="549"/>
      <c r="QKV41" s="549"/>
      <c r="QKW41" s="549"/>
      <c r="QKX41" s="549"/>
      <c r="QKY41" s="549"/>
      <c r="QKZ41" s="549"/>
      <c r="QLA41" s="549"/>
      <c r="QLB41" s="549"/>
      <c r="QLC41" s="549"/>
      <c r="QLD41" s="549"/>
      <c r="QLE41" s="549"/>
      <c r="QLF41" s="549"/>
      <c r="QLG41" s="549"/>
      <c r="QLH41" s="549"/>
      <c r="QLI41" s="549"/>
      <c r="QLJ41" s="549"/>
      <c r="QLK41" s="549"/>
      <c r="QLL41" s="549"/>
      <c r="QLM41" s="549"/>
      <c r="QLN41" s="549"/>
      <c r="QLO41" s="549"/>
      <c r="QLP41" s="549"/>
      <c r="QLQ41" s="549"/>
      <c r="QLR41" s="549"/>
      <c r="QLS41" s="549"/>
      <c r="QLT41" s="549"/>
      <c r="QLU41" s="549"/>
      <c r="QLV41" s="549"/>
      <c r="QLW41" s="549"/>
      <c r="QLX41" s="549"/>
      <c r="QLY41" s="549"/>
      <c r="QLZ41" s="549"/>
      <c r="QMA41" s="549"/>
      <c r="QMB41" s="549"/>
      <c r="QMC41" s="549"/>
      <c r="QMD41" s="549"/>
      <c r="QME41" s="549"/>
      <c r="QMF41" s="549"/>
      <c r="QMG41" s="549"/>
      <c r="QMH41" s="549"/>
      <c r="QMI41" s="549"/>
      <c r="QMJ41" s="549"/>
      <c r="QMK41" s="549"/>
      <c r="QML41" s="549"/>
      <c r="QMM41" s="549"/>
      <c r="QMN41" s="549"/>
      <c r="QMO41" s="549"/>
      <c r="QMP41" s="549"/>
      <c r="QMQ41" s="549"/>
      <c r="QMR41" s="549"/>
      <c r="QMS41" s="549"/>
      <c r="QMT41" s="549"/>
      <c r="QMU41" s="549"/>
      <c r="QMV41" s="549"/>
      <c r="QMW41" s="549"/>
      <c r="QMX41" s="549"/>
      <c r="QMY41" s="549"/>
      <c r="QMZ41" s="549"/>
      <c r="QNA41" s="549"/>
      <c r="QNB41" s="549"/>
      <c r="QNC41" s="549"/>
      <c r="QND41" s="549"/>
      <c r="QNE41" s="549"/>
      <c r="QNF41" s="549"/>
      <c r="QNG41" s="549"/>
      <c r="QNH41" s="549"/>
      <c r="QNI41" s="549"/>
      <c r="QNJ41" s="549"/>
      <c r="QNK41" s="549"/>
      <c r="QNL41" s="549"/>
      <c r="QNM41" s="549"/>
      <c r="QNN41" s="549"/>
      <c r="QNO41" s="549"/>
      <c r="QNP41" s="549"/>
      <c r="QNQ41" s="549"/>
      <c r="QNR41" s="549"/>
      <c r="QNS41" s="549"/>
      <c r="QNT41" s="549"/>
      <c r="QNU41" s="549"/>
      <c r="QNV41" s="549"/>
      <c r="QNW41" s="549"/>
      <c r="QNX41" s="549"/>
      <c r="QNY41" s="549"/>
      <c r="QNZ41" s="549"/>
      <c r="QOA41" s="549"/>
      <c r="QOB41" s="549"/>
      <c r="QOC41" s="549"/>
      <c r="QOD41" s="549"/>
      <c r="QOE41" s="549"/>
      <c r="QOF41" s="549"/>
      <c r="QOG41" s="549"/>
      <c r="QOH41" s="549"/>
      <c r="QOI41" s="549"/>
      <c r="QOJ41" s="549"/>
      <c r="QOK41" s="549"/>
      <c r="QOL41" s="549"/>
      <c r="QOM41" s="549"/>
      <c r="QON41" s="549"/>
      <c r="QOO41" s="549"/>
      <c r="QOP41" s="549"/>
      <c r="QOQ41" s="549"/>
      <c r="QOR41" s="549"/>
      <c r="QOS41" s="549"/>
      <c r="QOT41" s="549"/>
      <c r="QOU41" s="549"/>
      <c r="QOV41" s="549"/>
      <c r="QOW41" s="549"/>
      <c r="QOX41" s="549"/>
      <c r="QOY41" s="549"/>
      <c r="QOZ41" s="549"/>
      <c r="QPA41" s="549"/>
      <c r="QPB41" s="549"/>
      <c r="QPC41" s="549"/>
      <c r="QPD41" s="549"/>
      <c r="QPE41" s="549"/>
      <c r="QPF41" s="549"/>
      <c r="QPG41" s="549"/>
      <c r="QPH41" s="549"/>
      <c r="QPI41" s="549"/>
      <c r="QPJ41" s="549"/>
      <c r="QPK41" s="549"/>
      <c r="QPL41" s="549"/>
      <c r="QPM41" s="549"/>
      <c r="QPN41" s="549"/>
      <c r="QPO41" s="549"/>
      <c r="QPP41" s="549"/>
      <c r="QPQ41" s="549"/>
      <c r="QPR41" s="549"/>
      <c r="QPS41" s="549"/>
      <c r="QPT41" s="549"/>
      <c r="QPU41" s="549"/>
      <c r="QPV41" s="549"/>
      <c r="QPW41" s="549"/>
      <c r="QPX41" s="549"/>
      <c r="QPY41" s="549"/>
      <c r="QPZ41" s="549"/>
      <c r="QQA41" s="549"/>
      <c r="QQB41" s="549"/>
      <c r="QQC41" s="549"/>
      <c r="QQD41" s="549"/>
      <c r="QQE41" s="549"/>
      <c r="QQF41" s="549"/>
      <c r="QQG41" s="549"/>
      <c r="QQH41" s="549"/>
      <c r="QQI41" s="549"/>
      <c r="QQJ41" s="549"/>
      <c r="QQK41" s="549"/>
      <c r="QQL41" s="549"/>
      <c r="QQM41" s="549"/>
      <c r="QQN41" s="549"/>
      <c r="QQO41" s="549"/>
      <c r="QQP41" s="549"/>
      <c r="QQQ41" s="549"/>
      <c r="QQR41" s="549"/>
      <c r="QQS41" s="549"/>
      <c r="QQT41" s="549"/>
      <c r="QQU41" s="549"/>
      <c r="QQV41" s="549"/>
      <c r="QQW41" s="549"/>
      <c r="QQX41" s="549"/>
      <c r="QQY41" s="549"/>
      <c r="QQZ41" s="549"/>
      <c r="QRA41" s="549"/>
      <c r="QRB41" s="549"/>
      <c r="QRC41" s="549"/>
      <c r="QRD41" s="549"/>
      <c r="QRE41" s="549"/>
      <c r="QRF41" s="549"/>
      <c r="QRG41" s="549"/>
      <c r="QRH41" s="549"/>
      <c r="QRI41" s="549"/>
      <c r="QRJ41" s="549"/>
      <c r="QRK41" s="549"/>
      <c r="QRL41" s="549"/>
      <c r="QRM41" s="549"/>
      <c r="QRN41" s="549"/>
      <c r="QRO41" s="549"/>
      <c r="QRP41" s="549"/>
      <c r="QRQ41" s="549"/>
      <c r="QRR41" s="549"/>
      <c r="QRS41" s="549"/>
      <c r="QRT41" s="549"/>
      <c r="QRU41" s="549"/>
      <c r="QRV41" s="549"/>
      <c r="QRW41" s="549"/>
      <c r="QRX41" s="549"/>
      <c r="QRY41" s="549"/>
      <c r="QRZ41" s="549"/>
      <c r="QSA41" s="549"/>
      <c r="QSB41" s="549"/>
      <c r="QSC41" s="549"/>
      <c r="QSD41" s="549"/>
      <c r="QSE41" s="549"/>
      <c r="QSF41" s="549"/>
      <c r="QSG41" s="549"/>
      <c r="QSH41" s="549"/>
      <c r="QSI41" s="549"/>
      <c r="QSJ41" s="549"/>
      <c r="QSK41" s="549"/>
      <c r="QSL41" s="549"/>
      <c r="QSM41" s="549"/>
      <c r="QSN41" s="549"/>
      <c r="QSO41" s="549"/>
      <c r="QSP41" s="549"/>
      <c r="QSQ41" s="549"/>
      <c r="QSR41" s="549"/>
      <c r="QSS41" s="549"/>
      <c r="QST41" s="549"/>
      <c r="QSU41" s="549"/>
      <c r="QSV41" s="549"/>
      <c r="QSW41" s="549"/>
      <c r="QSX41" s="549"/>
      <c r="QSY41" s="549"/>
      <c r="QSZ41" s="549"/>
      <c r="QTA41" s="549"/>
      <c r="QTB41" s="549"/>
      <c r="QTC41" s="549"/>
      <c r="QTD41" s="549"/>
      <c r="QTE41" s="549"/>
      <c r="QTF41" s="549"/>
      <c r="QTG41" s="549"/>
      <c r="QTH41" s="549"/>
      <c r="QTI41" s="549"/>
      <c r="QTJ41" s="549"/>
      <c r="QTK41" s="549"/>
      <c r="QTL41" s="549"/>
      <c r="QTM41" s="549"/>
      <c r="QTN41" s="549"/>
      <c r="QTO41" s="549"/>
      <c r="QTP41" s="549"/>
      <c r="QTQ41" s="549"/>
      <c r="QTR41" s="549"/>
      <c r="QTS41" s="549"/>
      <c r="QTT41" s="549"/>
      <c r="QTU41" s="549"/>
      <c r="QTV41" s="549"/>
      <c r="QTW41" s="549"/>
      <c r="QTX41" s="549"/>
      <c r="QTY41" s="549"/>
      <c r="QTZ41" s="549"/>
      <c r="QUA41" s="549"/>
      <c r="QUB41" s="549"/>
      <c r="QUC41" s="549"/>
      <c r="QUD41" s="549"/>
      <c r="QUE41" s="549"/>
      <c r="QUF41" s="549"/>
      <c r="QUG41" s="549"/>
      <c r="QUH41" s="549"/>
      <c r="QUI41" s="549"/>
      <c r="QUJ41" s="549"/>
      <c r="QUK41" s="549"/>
      <c r="QUL41" s="549"/>
      <c r="QUM41" s="549"/>
      <c r="QUN41" s="549"/>
      <c r="QUO41" s="549"/>
      <c r="QUP41" s="549"/>
      <c r="QUQ41" s="549"/>
      <c r="QUR41" s="549"/>
      <c r="QUS41" s="549"/>
      <c r="QUT41" s="549"/>
      <c r="QUU41" s="549"/>
      <c r="QUV41" s="549"/>
      <c r="QUW41" s="549"/>
      <c r="QUX41" s="549"/>
      <c r="QUY41" s="549"/>
      <c r="QUZ41" s="549"/>
      <c r="QVA41" s="549"/>
      <c r="QVB41" s="549"/>
      <c r="QVC41" s="549"/>
      <c r="QVD41" s="549"/>
      <c r="QVE41" s="549"/>
      <c r="QVF41" s="549"/>
      <c r="QVG41" s="549"/>
      <c r="QVH41" s="549"/>
      <c r="QVI41" s="549"/>
      <c r="QVJ41" s="549"/>
      <c r="QVK41" s="549"/>
      <c r="QVL41" s="549"/>
      <c r="QVM41" s="549"/>
      <c r="QVN41" s="549"/>
      <c r="QVO41" s="549"/>
      <c r="QVP41" s="549"/>
      <c r="QVQ41" s="549"/>
      <c r="QVR41" s="549"/>
      <c r="QVS41" s="549"/>
      <c r="QVT41" s="549"/>
      <c r="QVU41" s="549"/>
      <c r="QVV41" s="549"/>
      <c r="QVW41" s="549"/>
      <c r="QVX41" s="549"/>
      <c r="QVY41" s="549"/>
      <c r="QVZ41" s="549"/>
      <c r="QWA41" s="549"/>
      <c r="QWB41" s="549"/>
      <c r="QWC41" s="549"/>
      <c r="QWD41" s="549"/>
      <c r="QWE41" s="549"/>
      <c r="QWF41" s="549"/>
      <c r="QWG41" s="549"/>
      <c r="QWH41" s="549"/>
      <c r="QWI41" s="549"/>
      <c r="QWJ41" s="549"/>
      <c r="QWK41" s="549"/>
      <c r="QWL41" s="549"/>
      <c r="QWM41" s="549"/>
      <c r="QWN41" s="549"/>
      <c r="QWO41" s="549"/>
      <c r="QWP41" s="549"/>
      <c r="QWQ41" s="549"/>
      <c r="QWR41" s="549"/>
      <c r="QWS41" s="549"/>
      <c r="QWT41" s="549"/>
      <c r="QWU41" s="549"/>
      <c r="QWV41" s="549"/>
      <c r="QWW41" s="549"/>
      <c r="QWX41" s="549"/>
      <c r="QWY41" s="549"/>
      <c r="QWZ41" s="549"/>
      <c r="QXA41" s="549"/>
      <c r="QXB41" s="549"/>
      <c r="QXC41" s="549"/>
      <c r="QXD41" s="549"/>
      <c r="QXE41" s="549"/>
      <c r="QXF41" s="549"/>
      <c r="QXG41" s="549"/>
      <c r="QXH41" s="549"/>
      <c r="QXI41" s="549"/>
      <c r="QXJ41" s="549"/>
      <c r="QXK41" s="549"/>
      <c r="QXL41" s="549"/>
      <c r="QXM41" s="549"/>
      <c r="QXN41" s="549"/>
      <c r="QXO41" s="549"/>
      <c r="QXP41" s="549"/>
      <c r="QXQ41" s="549"/>
      <c r="QXR41" s="549"/>
      <c r="QXS41" s="549"/>
      <c r="QXT41" s="549"/>
      <c r="QXU41" s="549"/>
      <c r="QXV41" s="549"/>
      <c r="QXW41" s="549"/>
      <c r="QXX41" s="549"/>
      <c r="QXY41" s="549"/>
      <c r="QXZ41" s="549"/>
      <c r="QYA41" s="549"/>
      <c r="QYB41" s="549"/>
      <c r="QYC41" s="549"/>
      <c r="QYD41" s="549"/>
      <c r="QYE41" s="549"/>
      <c r="QYF41" s="549"/>
      <c r="QYG41" s="549"/>
      <c r="QYH41" s="549"/>
      <c r="QYI41" s="549"/>
      <c r="QYJ41" s="549"/>
      <c r="QYK41" s="549"/>
      <c r="QYL41" s="549"/>
      <c r="QYM41" s="549"/>
      <c r="QYN41" s="549"/>
      <c r="QYO41" s="549"/>
      <c r="QYP41" s="549"/>
      <c r="QYQ41" s="549"/>
      <c r="QYR41" s="549"/>
      <c r="QYS41" s="549"/>
      <c r="QYT41" s="549"/>
      <c r="QYU41" s="549"/>
      <c r="QYV41" s="549"/>
      <c r="QYW41" s="549"/>
      <c r="QYX41" s="549"/>
      <c r="QYY41" s="549"/>
      <c r="QYZ41" s="549"/>
      <c r="QZA41" s="549"/>
      <c r="QZB41" s="549"/>
      <c r="QZC41" s="549"/>
      <c r="QZD41" s="549"/>
      <c r="QZE41" s="549"/>
      <c r="QZF41" s="549"/>
      <c r="QZG41" s="549"/>
      <c r="QZH41" s="549"/>
      <c r="QZI41" s="549"/>
      <c r="QZJ41" s="549"/>
      <c r="QZK41" s="549"/>
      <c r="QZL41" s="549"/>
      <c r="QZM41" s="549"/>
      <c r="QZN41" s="549"/>
      <c r="QZO41" s="549"/>
      <c r="QZP41" s="549"/>
      <c r="QZQ41" s="549"/>
      <c r="QZR41" s="549"/>
      <c r="QZS41" s="549"/>
      <c r="QZT41" s="549"/>
      <c r="QZU41" s="549"/>
      <c r="QZV41" s="549"/>
      <c r="QZW41" s="549"/>
      <c r="QZX41" s="549"/>
      <c r="QZY41" s="549"/>
      <c r="QZZ41" s="549"/>
      <c r="RAA41" s="549"/>
      <c r="RAB41" s="549"/>
      <c r="RAC41" s="549"/>
      <c r="RAD41" s="549"/>
      <c r="RAE41" s="549"/>
      <c r="RAF41" s="549"/>
      <c r="RAG41" s="549"/>
      <c r="RAH41" s="549"/>
      <c r="RAI41" s="549"/>
      <c r="RAJ41" s="549"/>
      <c r="RAK41" s="549"/>
      <c r="RAL41" s="549"/>
      <c r="RAM41" s="549"/>
      <c r="RAN41" s="549"/>
      <c r="RAO41" s="549"/>
      <c r="RAP41" s="549"/>
      <c r="RAQ41" s="549"/>
      <c r="RAR41" s="549"/>
      <c r="RAS41" s="549"/>
      <c r="RAT41" s="549"/>
      <c r="RAU41" s="549"/>
      <c r="RAV41" s="549"/>
      <c r="RAW41" s="549"/>
      <c r="RAX41" s="549"/>
      <c r="RAY41" s="549"/>
      <c r="RAZ41" s="549"/>
      <c r="RBA41" s="549"/>
      <c r="RBB41" s="549"/>
      <c r="RBC41" s="549"/>
      <c r="RBD41" s="549"/>
      <c r="RBE41" s="549"/>
      <c r="RBF41" s="549"/>
      <c r="RBG41" s="549"/>
      <c r="RBH41" s="549"/>
      <c r="RBI41" s="549"/>
      <c r="RBJ41" s="549"/>
      <c r="RBK41" s="549"/>
      <c r="RBL41" s="549"/>
      <c r="RBM41" s="549"/>
      <c r="RBN41" s="549"/>
      <c r="RBO41" s="549"/>
      <c r="RBP41" s="549"/>
      <c r="RBQ41" s="549"/>
      <c r="RBR41" s="549"/>
      <c r="RBS41" s="549"/>
      <c r="RBT41" s="549"/>
      <c r="RBU41" s="549"/>
      <c r="RBV41" s="549"/>
      <c r="RBW41" s="549"/>
      <c r="RBX41" s="549"/>
      <c r="RBY41" s="549"/>
      <c r="RBZ41" s="549"/>
      <c r="RCA41" s="549"/>
      <c r="RCB41" s="549"/>
      <c r="RCC41" s="549"/>
      <c r="RCD41" s="549"/>
      <c r="RCE41" s="549"/>
      <c r="RCF41" s="549"/>
      <c r="RCG41" s="549"/>
      <c r="RCH41" s="549"/>
      <c r="RCI41" s="549"/>
      <c r="RCJ41" s="549"/>
      <c r="RCK41" s="549"/>
      <c r="RCL41" s="549"/>
      <c r="RCM41" s="549"/>
      <c r="RCN41" s="549"/>
      <c r="RCO41" s="549"/>
      <c r="RCP41" s="549"/>
      <c r="RCQ41" s="549"/>
      <c r="RCR41" s="549"/>
      <c r="RCS41" s="549"/>
      <c r="RCT41" s="549"/>
      <c r="RCU41" s="549"/>
      <c r="RCV41" s="549"/>
      <c r="RCW41" s="549"/>
      <c r="RCX41" s="549"/>
      <c r="RCY41" s="549"/>
      <c r="RCZ41" s="549"/>
      <c r="RDA41" s="549"/>
      <c r="RDB41" s="549"/>
      <c r="RDC41" s="549"/>
      <c r="RDD41" s="549"/>
      <c r="RDE41" s="549"/>
      <c r="RDF41" s="549"/>
      <c r="RDG41" s="549"/>
      <c r="RDH41" s="549"/>
      <c r="RDI41" s="549"/>
      <c r="RDJ41" s="549"/>
      <c r="RDK41" s="549"/>
      <c r="RDL41" s="549"/>
      <c r="RDM41" s="549"/>
      <c r="RDN41" s="549"/>
      <c r="RDO41" s="549"/>
      <c r="RDP41" s="549"/>
      <c r="RDQ41" s="549"/>
      <c r="RDR41" s="549"/>
      <c r="RDS41" s="549"/>
      <c r="RDT41" s="549"/>
      <c r="RDU41" s="549"/>
      <c r="RDV41" s="549"/>
      <c r="RDW41" s="549"/>
      <c r="RDX41" s="549"/>
      <c r="RDY41" s="549"/>
      <c r="RDZ41" s="549"/>
      <c r="REA41" s="549"/>
      <c r="REB41" s="549"/>
      <c r="REC41" s="549"/>
      <c r="RED41" s="549"/>
      <c r="REE41" s="549"/>
      <c r="REF41" s="549"/>
      <c r="REG41" s="549"/>
      <c r="REH41" s="549"/>
      <c r="REI41" s="549"/>
      <c r="REJ41" s="549"/>
      <c r="REK41" s="549"/>
      <c r="REL41" s="549"/>
      <c r="REM41" s="549"/>
      <c r="REN41" s="549"/>
      <c r="REO41" s="549"/>
      <c r="REP41" s="549"/>
      <c r="REQ41" s="549"/>
      <c r="RER41" s="549"/>
      <c r="RES41" s="549"/>
      <c r="RET41" s="549"/>
      <c r="REU41" s="549"/>
      <c r="REV41" s="549"/>
      <c r="REW41" s="549"/>
      <c r="REX41" s="549"/>
      <c r="REY41" s="549"/>
      <c r="REZ41" s="549"/>
      <c r="RFA41" s="549"/>
      <c r="RFB41" s="549"/>
      <c r="RFC41" s="549"/>
      <c r="RFD41" s="549"/>
      <c r="RFE41" s="549"/>
      <c r="RFF41" s="549"/>
      <c r="RFG41" s="549"/>
      <c r="RFH41" s="549"/>
      <c r="RFI41" s="549"/>
      <c r="RFJ41" s="549"/>
      <c r="RFK41" s="549"/>
      <c r="RFL41" s="549"/>
      <c r="RFM41" s="549"/>
      <c r="RFN41" s="549"/>
      <c r="RFO41" s="549"/>
      <c r="RFP41" s="549"/>
      <c r="RFQ41" s="549"/>
      <c r="RFR41" s="549"/>
      <c r="RFS41" s="549"/>
      <c r="RFT41" s="549"/>
      <c r="RFU41" s="549"/>
      <c r="RFV41" s="549"/>
      <c r="RFW41" s="549"/>
      <c r="RFX41" s="549"/>
      <c r="RFY41" s="549"/>
      <c r="RFZ41" s="549"/>
      <c r="RGA41" s="549"/>
      <c r="RGB41" s="549"/>
      <c r="RGC41" s="549"/>
      <c r="RGD41" s="549"/>
      <c r="RGE41" s="549"/>
      <c r="RGF41" s="549"/>
      <c r="RGG41" s="549"/>
      <c r="RGH41" s="549"/>
      <c r="RGI41" s="549"/>
      <c r="RGJ41" s="549"/>
      <c r="RGK41" s="549"/>
      <c r="RGL41" s="549"/>
      <c r="RGM41" s="549"/>
      <c r="RGN41" s="549"/>
      <c r="RGO41" s="549"/>
      <c r="RGP41" s="549"/>
      <c r="RGQ41" s="549"/>
      <c r="RGR41" s="549"/>
      <c r="RGS41" s="549"/>
      <c r="RGT41" s="549"/>
      <c r="RGU41" s="549"/>
      <c r="RGV41" s="549"/>
      <c r="RGW41" s="549"/>
      <c r="RGX41" s="549"/>
      <c r="RGY41" s="549"/>
      <c r="RGZ41" s="549"/>
      <c r="RHA41" s="549"/>
      <c r="RHB41" s="549"/>
      <c r="RHC41" s="549"/>
      <c r="RHD41" s="549"/>
      <c r="RHE41" s="549"/>
      <c r="RHF41" s="549"/>
      <c r="RHG41" s="549"/>
      <c r="RHH41" s="549"/>
      <c r="RHI41" s="549"/>
      <c r="RHJ41" s="549"/>
      <c r="RHK41" s="549"/>
      <c r="RHL41" s="549"/>
      <c r="RHM41" s="549"/>
      <c r="RHN41" s="549"/>
      <c r="RHO41" s="549"/>
      <c r="RHP41" s="549"/>
      <c r="RHQ41" s="549"/>
      <c r="RHR41" s="549"/>
      <c r="RHS41" s="549"/>
      <c r="RHT41" s="549"/>
      <c r="RHU41" s="549"/>
      <c r="RHV41" s="549"/>
      <c r="RHW41" s="549"/>
      <c r="RHX41" s="549"/>
      <c r="RHY41" s="549"/>
      <c r="RHZ41" s="549"/>
      <c r="RIA41" s="549"/>
      <c r="RIB41" s="549"/>
      <c r="RIC41" s="549"/>
      <c r="RID41" s="549"/>
      <c r="RIE41" s="549"/>
      <c r="RIF41" s="549"/>
      <c r="RIG41" s="549"/>
      <c r="RIH41" s="549"/>
      <c r="RII41" s="549"/>
      <c r="RIJ41" s="549"/>
      <c r="RIK41" s="549"/>
      <c r="RIL41" s="549"/>
      <c r="RIM41" s="549"/>
      <c r="RIN41" s="549"/>
      <c r="RIO41" s="549"/>
      <c r="RIP41" s="549"/>
      <c r="RIQ41" s="549"/>
      <c r="RIR41" s="549"/>
      <c r="RIS41" s="549"/>
      <c r="RIT41" s="549"/>
      <c r="RIU41" s="549"/>
      <c r="RIV41" s="549"/>
      <c r="RIW41" s="549"/>
      <c r="RIX41" s="549"/>
      <c r="RIY41" s="549"/>
      <c r="RIZ41" s="549"/>
      <c r="RJA41" s="549"/>
      <c r="RJB41" s="549"/>
      <c r="RJC41" s="549"/>
      <c r="RJD41" s="549"/>
      <c r="RJE41" s="549"/>
      <c r="RJF41" s="549"/>
      <c r="RJG41" s="549"/>
      <c r="RJH41" s="549"/>
      <c r="RJI41" s="549"/>
      <c r="RJJ41" s="549"/>
      <c r="RJK41" s="549"/>
      <c r="RJL41" s="549"/>
      <c r="RJM41" s="549"/>
      <c r="RJN41" s="549"/>
      <c r="RJO41" s="549"/>
      <c r="RJP41" s="549"/>
      <c r="RJQ41" s="549"/>
      <c r="RJR41" s="549"/>
      <c r="RJS41" s="549"/>
      <c r="RJT41" s="549"/>
      <c r="RJU41" s="549"/>
      <c r="RJV41" s="549"/>
      <c r="RJW41" s="549"/>
      <c r="RJX41" s="549"/>
      <c r="RJY41" s="549"/>
      <c r="RJZ41" s="549"/>
      <c r="RKA41" s="549"/>
      <c r="RKB41" s="549"/>
      <c r="RKC41" s="549"/>
      <c r="RKD41" s="549"/>
      <c r="RKE41" s="549"/>
      <c r="RKF41" s="549"/>
      <c r="RKG41" s="549"/>
      <c r="RKH41" s="549"/>
      <c r="RKI41" s="549"/>
      <c r="RKJ41" s="549"/>
      <c r="RKK41" s="549"/>
      <c r="RKL41" s="549"/>
      <c r="RKM41" s="549"/>
      <c r="RKN41" s="549"/>
      <c r="RKO41" s="549"/>
      <c r="RKP41" s="549"/>
      <c r="RKQ41" s="549"/>
      <c r="RKR41" s="549"/>
      <c r="RKS41" s="549"/>
      <c r="RKT41" s="549"/>
      <c r="RKU41" s="549"/>
      <c r="RKV41" s="549"/>
      <c r="RKW41" s="549"/>
      <c r="RKX41" s="549"/>
      <c r="RKY41" s="549"/>
      <c r="RKZ41" s="549"/>
      <c r="RLA41" s="549"/>
      <c r="RLB41" s="549"/>
      <c r="RLC41" s="549"/>
      <c r="RLD41" s="549"/>
      <c r="RLE41" s="549"/>
      <c r="RLF41" s="549"/>
      <c r="RLG41" s="549"/>
      <c r="RLH41" s="549"/>
      <c r="RLI41" s="549"/>
      <c r="RLJ41" s="549"/>
      <c r="RLK41" s="549"/>
      <c r="RLL41" s="549"/>
      <c r="RLM41" s="549"/>
      <c r="RLN41" s="549"/>
      <c r="RLO41" s="549"/>
      <c r="RLP41" s="549"/>
      <c r="RLQ41" s="549"/>
      <c r="RLR41" s="549"/>
      <c r="RLS41" s="549"/>
      <c r="RLT41" s="549"/>
      <c r="RLU41" s="549"/>
      <c r="RLV41" s="549"/>
      <c r="RLW41" s="549"/>
      <c r="RLX41" s="549"/>
      <c r="RLY41" s="549"/>
      <c r="RLZ41" s="549"/>
      <c r="RMA41" s="549"/>
      <c r="RMB41" s="549"/>
      <c r="RMC41" s="549"/>
      <c r="RMD41" s="549"/>
      <c r="RME41" s="549"/>
      <c r="RMF41" s="549"/>
      <c r="RMG41" s="549"/>
      <c r="RMH41" s="549"/>
      <c r="RMI41" s="549"/>
      <c r="RMJ41" s="549"/>
      <c r="RMK41" s="549"/>
      <c r="RML41" s="549"/>
      <c r="RMM41" s="549"/>
      <c r="RMN41" s="549"/>
      <c r="RMO41" s="549"/>
      <c r="RMP41" s="549"/>
      <c r="RMQ41" s="549"/>
      <c r="RMR41" s="549"/>
      <c r="RMS41" s="549"/>
      <c r="RMT41" s="549"/>
      <c r="RMU41" s="549"/>
      <c r="RMV41" s="549"/>
      <c r="RMW41" s="549"/>
      <c r="RMX41" s="549"/>
      <c r="RMY41" s="549"/>
      <c r="RMZ41" s="549"/>
      <c r="RNA41" s="549"/>
      <c r="RNB41" s="549"/>
      <c r="RNC41" s="549"/>
      <c r="RND41" s="549"/>
      <c r="RNE41" s="549"/>
      <c r="RNF41" s="549"/>
      <c r="RNG41" s="549"/>
      <c r="RNH41" s="549"/>
      <c r="RNI41" s="549"/>
      <c r="RNJ41" s="549"/>
      <c r="RNK41" s="549"/>
      <c r="RNL41" s="549"/>
      <c r="RNM41" s="549"/>
      <c r="RNN41" s="549"/>
      <c r="RNO41" s="549"/>
      <c r="RNP41" s="549"/>
      <c r="RNQ41" s="549"/>
      <c r="RNR41" s="549"/>
      <c r="RNS41" s="549"/>
      <c r="RNT41" s="549"/>
      <c r="RNU41" s="549"/>
      <c r="RNV41" s="549"/>
      <c r="RNW41" s="549"/>
      <c r="RNX41" s="549"/>
      <c r="RNY41" s="549"/>
      <c r="RNZ41" s="549"/>
      <c r="ROA41" s="549"/>
      <c r="ROB41" s="549"/>
      <c r="ROC41" s="549"/>
      <c r="ROD41" s="549"/>
      <c r="ROE41" s="549"/>
      <c r="ROF41" s="549"/>
      <c r="ROG41" s="549"/>
      <c r="ROH41" s="549"/>
      <c r="ROI41" s="549"/>
      <c r="ROJ41" s="549"/>
      <c r="ROK41" s="549"/>
      <c r="ROL41" s="549"/>
      <c r="ROM41" s="549"/>
      <c r="RON41" s="549"/>
      <c r="ROO41" s="549"/>
      <c r="ROP41" s="549"/>
      <c r="ROQ41" s="549"/>
      <c r="ROR41" s="549"/>
      <c r="ROS41" s="549"/>
      <c r="ROT41" s="549"/>
      <c r="ROU41" s="549"/>
      <c r="ROV41" s="549"/>
      <c r="ROW41" s="549"/>
      <c r="ROX41" s="549"/>
      <c r="ROY41" s="549"/>
      <c r="ROZ41" s="549"/>
      <c r="RPA41" s="549"/>
      <c r="RPB41" s="549"/>
      <c r="RPC41" s="549"/>
      <c r="RPD41" s="549"/>
      <c r="RPE41" s="549"/>
      <c r="RPF41" s="549"/>
      <c r="RPG41" s="549"/>
      <c r="RPH41" s="549"/>
      <c r="RPI41" s="549"/>
      <c r="RPJ41" s="549"/>
      <c r="RPK41" s="549"/>
      <c r="RPL41" s="549"/>
      <c r="RPM41" s="549"/>
      <c r="RPN41" s="549"/>
      <c r="RPO41" s="549"/>
      <c r="RPP41" s="549"/>
      <c r="RPQ41" s="549"/>
      <c r="RPR41" s="549"/>
      <c r="RPS41" s="549"/>
      <c r="RPT41" s="549"/>
      <c r="RPU41" s="549"/>
      <c r="RPV41" s="549"/>
      <c r="RPW41" s="549"/>
      <c r="RPX41" s="549"/>
      <c r="RPY41" s="549"/>
      <c r="RPZ41" s="549"/>
      <c r="RQA41" s="549"/>
      <c r="RQB41" s="549"/>
      <c r="RQC41" s="549"/>
      <c r="RQD41" s="549"/>
      <c r="RQE41" s="549"/>
      <c r="RQF41" s="549"/>
      <c r="RQG41" s="549"/>
      <c r="RQH41" s="549"/>
      <c r="RQI41" s="549"/>
      <c r="RQJ41" s="549"/>
      <c r="RQK41" s="549"/>
      <c r="RQL41" s="549"/>
      <c r="RQM41" s="549"/>
      <c r="RQN41" s="549"/>
      <c r="RQO41" s="549"/>
      <c r="RQP41" s="549"/>
      <c r="RQQ41" s="549"/>
      <c r="RQR41" s="549"/>
      <c r="RQS41" s="549"/>
      <c r="RQT41" s="549"/>
      <c r="RQU41" s="549"/>
      <c r="RQV41" s="549"/>
      <c r="RQW41" s="549"/>
      <c r="RQX41" s="549"/>
      <c r="RQY41" s="549"/>
      <c r="RQZ41" s="549"/>
      <c r="RRA41" s="549"/>
      <c r="RRB41" s="549"/>
      <c r="RRC41" s="549"/>
      <c r="RRD41" s="549"/>
      <c r="RRE41" s="549"/>
      <c r="RRF41" s="549"/>
      <c r="RRG41" s="549"/>
      <c r="RRH41" s="549"/>
      <c r="RRI41" s="549"/>
      <c r="RRJ41" s="549"/>
      <c r="RRK41" s="549"/>
      <c r="RRL41" s="549"/>
      <c r="RRM41" s="549"/>
      <c r="RRN41" s="549"/>
      <c r="RRO41" s="549"/>
      <c r="RRP41" s="549"/>
      <c r="RRQ41" s="549"/>
      <c r="RRR41" s="549"/>
      <c r="RRS41" s="549"/>
      <c r="RRT41" s="549"/>
      <c r="RRU41" s="549"/>
      <c r="RRV41" s="549"/>
      <c r="RRW41" s="549"/>
      <c r="RRX41" s="549"/>
      <c r="RRY41" s="549"/>
      <c r="RRZ41" s="549"/>
      <c r="RSA41" s="549"/>
      <c r="RSB41" s="549"/>
      <c r="RSC41" s="549"/>
      <c r="RSD41" s="549"/>
      <c r="RSE41" s="549"/>
      <c r="RSF41" s="549"/>
      <c r="RSG41" s="549"/>
      <c r="RSH41" s="549"/>
      <c r="RSI41" s="549"/>
      <c r="RSJ41" s="549"/>
      <c r="RSK41" s="549"/>
      <c r="RSL41" s="549"/>
      <c r="RSM41" s="549"/>
      <c r="RSN41" s="549"/>
      <c r="RSO41" s="549"/>
      <c r="RSP41" s="549"/>
      <c r="RSQ41" s="549"/>
      <c r="RSR41" s="549"/>
      <c r="RSS41" s="549"/>
      <c r="RST41" s="549"/>
      <c r="RSU41" s="549"/>
      <c r="RSV41" s="549"/>
      <c r="RSW41" s="549"/>
      <c r="RSX41" s="549"/>
      <c r="RSY41" s="549"/>
      <c r="RSZ41" s="549"/>
      <c r="RTA41" s="549"/>
      <c r="RTB41" s="549"/>
      <c r="RTC41" s="549"/>
      <c r="RTD41" s="549"/>
      <c r="RTE41" s="549"/>
      <c r="RTF41" s="549"/>
      <c r="RTG41" s="549"/>
      <c r="RTH41" s="549"/>
      <c r="RTI41" s="549"/>
      <c r="RTJ41" s="549"/>
      <c r="RTK41" s="549"/>
      <c r="RTL41" s="549"/>
      <c r="RTM41" s="549"/>
      <c r="RTN41" s="549"/>
      <c r="RTO41" s="549"/>
      <c r="RTP41" s="549"/>
      <c r="RTQ41" s="549"/>
      <c r="RTR41" s="549"/>
      <c r="RTS41" s="549"/>
      <c r="RTT41" s="549"/>
      <c r="RTU41" s="549"/>
      <c r="RTV41" s="549"/>
      <c r="RTW41" s="549"/>
      <c r="RTX41" s="549"/>
      <c r="RTY41" s="549"/>
      <c r="RTZ41" s="549"/>
      <c r="RUA41" s="549"/>
      <c r="RUB41" s="549"/>
      <c r="RUC41" s="549"/>
      <c r="RUD41" s="549"/>
      <c r="RUE41" s="549"/>
      <c r="RUF41" s="549"/>
      <c r="RUG41" s="549"/>
      <c r="RUH41" s="549"/>
      <c r="RUI41" s="549"/>
      <c r="RUJ41" s="549"/>
      <c r="RUK41" s="549"/>
      <c r="RUL41" s="549"/>
      <c r="RUM41" s="549"/>
      <c r="RUN41" s="549"/>
      <c r="RUO41" s="549"/>
      <c r="RUP41" s="549"/>
      <c r="RUQ41" s="549"/>
      <c r="RUR41" s="549"/>
      <c r="RUS41" s="549"/>
      <c r="RUT41" s="549"/>
      <c r="RUU41" s="549"/>
      <c r="RUV41" s="549"/>
      <c r="RUW41" s="549"/>
      <c r="RUX41" s="549"/>
      <c r="RUY41" s="549"/>
      <c r="RUZ41" s="549"/>
      <c r="RVA41" s="549"/>
      <c r="RVB41" s="549"/>
      <c r="RVC41" s="549"/>
      <c r="RVD41" s="549"/>
      <c r="RVE41" s="549"/>
      <c r="RVF41" s="549"/>
      <c r="RVG41" s="549"/>
      <c r="RVH41" s="549"/>
      <c r="RVI41" s="549"/>
      <c r="RVJ41" s="549"/>
      <c r="RVK41" s="549"/>
      <c r="RVL41" s="549"/>
      <c r="RVM41" s="549"/>
      <c r="RVN41" s="549"/>
      <c r="RVO41" s="549"/>
      <c r="RVP41" s="549"/>
      <c r="RVQ41" s="549"/>
      <c r="RVR41" s="549"/>
      <c r="RVS41" s="549"/>
      <c r="RVT41" s="549"/>
      <c r="RVU41" s="549"/>
      <c r="RVV41" s="549"/>
      <c r="RVW41" s="549"/>
      <c r="RVX41" s="549"/>
      <c r="RVY41" s="549"/>
      <c r="RVZ41" s="549"/>
      <c r="RWA41" s="549"/>
      <c r="RWB41" s="549"/>
      <c r="RWC41" s="549"/>
      <c r="RWD41" s="549"/>
      <c r="RWE41" s="549"/>
      <c r="RWF41" s="549"/>
      <c r="RWG41" s="549"/>
      <c r="RWH41" s="549"/>
      <c r="RWI41" s="549"/>
      <c r="RWJ41" s="549"/>
      <c r="RWK41" s="549"/>
      <c r="RWL41" s="549"/>
      <c r="RWM41" s="549"/>
      <c r="RWN41" s="549"/>
      <c r="RWO41" s="549"/>
      <c r="RWP41" s="549"/>
      <c r="RWQ41" s="549"/>
      <c r="RWR41" s="549"/>
      <c r="RWS41" s="549"/>
      <c r="RWT41" s="549"/>
      <c r="RWU41" s="549"/>
      <c r="RWV41" s="549"/>
      <c r="RWW41" s="549"/>
      <c r="RWX41" s="549"/>
      <c r="RWY41" s="549"/>
      <c r="RWZ41" s="549"/>
      <c r="RXA41" s="549"/>
      <c r="RXB41" s="549"/>
      <c r="RXC41" s="549"/>
      <c r="RXD41" s="549"/>
      <c r="RXE41" s="549"/>
      <c r="RXF41" s="549"/>
      <c r="RXG41" s="549"/>
      <c r="RXH41" s="549"/>
      <c r="RXI41" s="549"/>
      <c r="RXJ41" s="549"/>
      <c r="RXK41" s="549"/>
      <c r="RXL41" s="549"/>
      <c r="RXM41" s="549"/>
      <c r="RXN41" s="549"/>
      <c r="RXO41" s="549"/>
      <c r="RXP41" s="549"/>
      <c r="RXQ41" s="549"/>
      <c r="RXR41" s="549"/>
      <c r="RXS41" s="549"/>
      <c r="RXT41" s="549"/>
      <c r="RXU41" s="549"/>
      <c r="RXV41" s="549"/>
      <c r="RXW41" s="549"/>
      <c r="RXX41" s="549"/>
      <c r="RXY41" s="549"/>
      <c r="RXZ41" s="549"/>
      <c r="RYA41" s="549"/>
      <c r="RYB41" s="549"/>
      <c r="RYC41" s="549"/>
      <c r="RYD41" s="549"/>
      <c r="RYE41" s="549"/>
      <c r="RYF41" s="549"/>
      <c r="RYG41" s="549"/>
      <c r="RYH41" s="549"/>
      <c r="RYI41" s="549"/>
      <c r="RYJ41" s="549"/>
      <c r="RYK41" s="549"/>
      <c r="RYL41" s="549"/>
      <c r="RYM41" s="549"/>
      <c r="RYN41" s="549"/>
      <c r="RYO41" s="549"/>
      <c r="RYP41" s="549"/>
      <c r="RYQ41" s="549"/>
      <c r="RYR41" s="549"/>
      <c r="RYS41" s="549"/>
      <c r="RYT41" s="549"/>
      <c r="RYU41" s="549"/>
      <c r="RYV41" s="549"/>
      <c r="RYW41" s="549"/>
      <c r="RYX41" s="549"/>
      <c r="RYY41" s="549"/>
      <c r="RYZ41" s="549"/>
      <c r="RZA41" s="549"/>
      <c r="RZB41" s="549"/>
      <c r="RZC41" s="549"/>
      <c r="RZD41" s="549"/>
      <c r="RZE41" s="549"/>
      <c r="RZF41" s="549"/>
      <c r="RZG41" s="549"/>
      <c r="RZH41" s="549"/>
      <c r="RZI41" s="549"/>
      <c r="RZJ41" s="549"/>
      <c r="RZK41" s="549"/>
      <c r="RZL41" s="549"/>
      <c r="RZM41" s="549"/>
      <c r="RZN41" s="549"/>
      <c r="RZO41" s="549"/>
      <c r="RZP41" s="549"/>
      <c r="RZQ41" s="549"/>
      <c r="RZR41" s="549"/>
      <c r="RZS41" s="549"/>
      <c r="RZT41" s="549"/>
      <c r="RZU41" s="549"/>
      <c r="RZV41" s="549"/>
      <c r="RZW41" s="549"/>
      <c r="RZX41" s="549"/>
      <c r="RZY41" s="549"/>
      <c r="RZZ41" s="549"/>
      <c r="SAA41" s="549"/>
      <c r="SAB41" s="549"/>
      <c r="SAC41" s="549"/>
      <c r="SAD41" s="549"/>
      <c r="SAE41" s="549"/>
      <c r="SAF41" s="549"/>
      <c r="SAG41" s="549"/>
      <c r="SAH41" s="549"/>
      <c r="SAI41" s="549"/>
      <c r="SAJ41" s="549"/>
      <c r="SAK41" s="549"/>
      <c r="SAL41" s="549"/>
      <c r="SAM41" s="549"/>
      <c r="SAN41" s="549"/>
      <c r="SAO41" s="549"/>
      <c r="SAP41" s="549"/>
      <c r="SAQ41" s="549"/>
      <c r="SAR41" s="549"/>
      <c r="SAS41" s="549"/>
      <c r="SAT41" s="549"/>
      <c r="SAU41" s="549"/>
      <c r="SAV41" s="549"/>
      <c r="SAW41" s="549"/>
      <c r="SAX41" s="549"/>
      <c r="SAY41" s="549"/>
      <c r="SAZ41" s="549"/>
      <c r="SBA41" s="549"/>
      <c r="SBB41" s="549"/>
      <c r="SBC41" s="549"/>
      <c r="SBD41" s="549"/>
      <c r="SBE41" s="549"/>
      <c r="SBF41" s="549"/>
      <c r="SBG41" s="549"/>
      <c r="SBH41" s="549"/>
      <c r="SBI41" s="549"/>
      <c r="SBJ41" s="549"/>
      <c r="SBK41" s="549"/>
      <c r="SBL41" s="549"/>
      <c r="SBM41" s="549"/>
      <c r="SBN41" s="549"/>
      <c r="SBO41" s="549"/>
      <c r="SBP41" s="549"/>
      <c r="SBQ41" s="549"/>
      <c r="SBR41" s="549"/>
      <c r="SBS41" s="549"/>
      <c r="SBT41" s="549"/>
      <c r="SBU41" s="549"/>
      <c r="SBV41" s="549"/>
      <c r="SBW41" s="549"/>
      <c r="SBX41" s="549"/>
      <c r="SBY41" s="549"/>
      <c r="SBZ41" s="549"/>
      <c r="SCA41" s="549"/>
      <c r="SCB41" s="549"/>
      <c r="SCC41" s="549"/>
      <c r="SCD41" s="549"/>
      <c r="SCE41" s="549"/>
      <c r="SCF41" s="549"/>
      <c r="SCG41" s="549"/>
      <c r="SCH41" s="549"/>
      <c r="SCI41" s="549"/>
      <c r="SCJ41" s="549"/>
      <c r="SCK41" s="549"/>
      <c r="SCL41" s="549"/>
      <c r="SCM41" s="549"/>
      <c r="SCN41" s="549"/>
      <c r="SCO41" s="549"/>
      <c r="SCP41" s="549"/>
      <c r="SCQ41" s="549"/>
      <c r="SCR41" s="549"/>
      <c r="SCS41" s="549"/>
      <c r="SCT41" s="549"/>
      <c r="SCU41" s="549"/>
      <c r="SCV41" s="549"/>
      <c r="SCW41" s="549"/>
      <c r="SCX41" s="549"/>
      <c r="SCY41" s="549"/>
      <c r="SCZ41" s="549"/>
      <c r="SDA41" s="549"/>
      <c r="SDB41" s="549"/>
      <c r="SDC41" s="549"/>
      <c r="SDD41" s="549"/>
      <c r="SDE41" s="549"/>
      <c r="SDF41" s="549"/>
      <c r="SDG41" s="549"/>
      <c r="SDH41" s="549"/>
      <c r="SDI41" s="549"/>
      <c r="SDJ41" s="549"/>
      <c r="SDK41" s="549"/>
      <c r="SDL41" s="549"/>
      <c r="SDM41" s="549"/>
      <c r="SDN41" s="549"/>
      <c r="SDO41" s="549"/>
      <c r="SDP41" s="549"/>
      <c r="SDQ41" s="549"/>
      <c r="SDR41" s="549"/>
      <c r="SDS41" s="549"/>
      <c r="SDT41" s="549"/>
      <c r="SDU41" s="549"/>
      <c r="SDV41" s="549"/>
      <c r="SDW41" s="549"/>
      <c r="SDX41" s="549"/>
      <c r="SDY41" s="549"/>
      <c r="SDZ41" s="549"/>
      <c r="SEA41" s="549"/>
      <c r="SEB41" s="549"/>
      <c r="SEC41" s="549"/>
      <c r="SED41" s="549"/>
      <c r="SEE41" s="549"/>
      <c r="SEF41" s="549"/>
      <c r="SEG41" s="549"/>
      <c r="SEH41" s="549"/>
      <c r="SEI41" s="549"/>
      <c r="SEJ41" s="549"/>
      <c r="SEK41" s="549"/>
      <c r="SEL41" s="549"/>
      <c r="SEM41" s="549"/>
      <c r="SEN41" s="549"/>
      <c r="SEO41" s="549"/>
      <c r="SEP41" s="549"/>
      <c r="SEQ41" s="549"/>
      <c r="SER41" s="549"/>
      <c r="SES41" s="549"/>
      <c r="SET41" s="549"/>
      <c r="SEU41" s="549"/>
      <c r="SEV41" s="549"/>
      <c r="SEW41" s="549"/>
      <c r="SEX41" s="549"/>
      <c r="SEY41" s="549"/>
      <c r="SEZ41" s="549"/>
      <c r="SFA41" s="549"/>
      <c r="SFB41" s="549"/>
      <c r="SFC41" s="549"/>
      <c r="SFD41" s="549"/>
      <c r="SFE41" s="549"/>
      <c r="SFF41" s="549"/>
      <c r="SFG41" s="549"/>
      <c r="SFH41" s="549"/>
      <c r="SFI41" s="549"/>
      <c r="SFJ41" s="549"/>
      <c r="SFK41" s="549"/>
      <c r="SFL41" s="549"/>
      <c r="SFM41" s="549"/>
      <c r="SFN41" s="549"/>
      <c r="SFO41" s="549"/>
      <c r="SFP41" s="549"/>
      <c r="SFQ41" s="549"/>
      <c r="SFR41" s="549"/>
      <c r="SFS41" s="549"/>
      <c r="SFT41" s="549"/>
      <c r="SFU41" s="549"/>
      <c r="SFV41" s="549"/>
      <c r="SFW41" s="549"/>
      <c r="SFX41" s="549"/>
      <c r="SFY41" s="549"/>
      <c r="SFZ41" s="549"/>
      <c r="SGA41" s="549"/>
      <c r="SGB41" s="549"/>
      <c r="SGC41" s="549"/>
      <c r="SGD41" s="549"/>
      <c r="SGE41" s="549"/>
      <c r="SGF41" s="549"/>
      <c r="SGG41" s="549"/>
      <c r="SGH41" s="549"/>
      <c r="SGI41" s="549"/>
      <c r="SGJ41" s="549"/>
      <c r="SGK41" s="549"/>
      <c r="SGL41" s="549"/>
      <c r="SGM41" s="549"/>
      <c r="SGN41" s="549"/>
      <c r="SGO41" s="549"/>
      <c r="SGP41" s="549"/>
      <c r="SGQ41" s="549"/>
      <c r="SGR41" s="549"/>
      <c r="SGS41" s="549"/>
      <c r="SGT41" s="549"/>
      <c r="SGU41" s="549"/>
      <c r="SGV41" s="549"/>
      <c r="SGW41" s="549"/>
      <c r="SGX41" s="549"/>
      <c r="SGY41" s="549"/>
      <c r="SGZ41" s="549"/>
      <c r="SHA41" s="549"/>
      <c r="SHB41" s="549"/>
      <c r="SHC41" s="549"/>
      <c r="SHD41" s="549"/>
      <c r="SHE41" s="549"/>
      <c r="SHF41" s="549"/>
      <c r="SHG41" s="549"/>
      <c r="SHH41" s="549"/>
      <c r="SHI41" s="549"/>
      <c r="SHJ41" s="549"/>
      <c r="SHK41" s="549"/>
      <c r="SHL41" s="549"/>
      <c r="SHM41" s="549"/>
      <c r="SHN41" s="549"/>
      <c r="SHO41" s="549"/>
      <c r="SHP41" s="549"/>
      <c r="SHQ41" s="549"/>
      <c r="SHR41" s="549"/>
      <c r="SHS41" s="549"/>
      <c r="SHT41" s="549"/>
      <c r="SHU41" s="549"/>
      <c r="SHV41" s="549"/>
      <c r="SHW41" s="549"/>
      <c r="SHX41" s="549"/>
      <c r="SHY41" s="549"/>
      <c r="SHZ41" s="549"/>
      <c r="SIA41" s="549"/>
      <c r="SIB41" s="549"/>
      <c r="SIC41" s="549"/>
      <c r="SID41" s="549"/>
      <c r="SIE41" s="549"/>
      <c r="SIF41" s="549"/>
      <c r="SIG41" s="549"/>
      <c r="SIH41" s="549"/>
      <c r="SII41" s="549"/>
      <c r="SIJ41" s="549"/>
      <c r="SIK41" s="549"/>
      <c r="SIL41" s="549"/>
      <c r="SIM41" s="549"/>
      <c r="SIN41" s="549"/>
      <c r="SIO41" s="549"/>
      <c r="SIP41" s="549"/>
      <c r="SIQ41" s="549"/>
      <c r="SIR41" s="549"/>
      <c r="SIS41" s="549"/>
      <c r="SIT41" s="549"/>
      <c r="SIU41" s="549"/>
      <c r="SIV41" s="549"/>
      <c r="SIW41" s="549"/>
      <c r="SIX41" s="549"/>
      <c r="SIY41" s="549"/>
      <c r="SIZ41" s="549"/>
      <c r="SJA41" s="549"/>
      <c r="SJB41" s="549"/>
      <c r="SJC41" s="549"/>
      <c r="SJD41" s="549"/>
      <c r="SJE41" s="549"/>
      <c r="SJF41" s="549"/>
      <c r="SJG41" s="549"/>
      <c r="SJH41" s="549"/>
      <c r="SJI41" s="549"/>
      <c r="SJJ41" s="549"/>
      <c r="SJK41" s="549"/>
      <c r="SJL41" s="549"/>
      <c r="SJM41" s="549"/>
      <c r="SJN41" s="549"/>
      <c r="SJO41" s="549"/>
      <c r="SJP41" s="549"/>
      <c r="SJQ41" s="549"/>
      <c r="SJR41" s="549"/>
      <c r="SJS41" s="549"/>
      <c r="SJT41" s="549"/>
      <c r="SJU41" s="549"/>
      <c r="SJV41" s="549"/>
      <c r="SJW41" s="549"/>
      <c r="SJX41" s="549"/>
      <c r="SJY41" s="549"/>
      <c r="SJZ41" s="549"/>
      <c r="SKA41" s="549"/>
      <c r="SKB41" s="549"/>
      <c r="SKC41" s="549"/>
      <c r="SKD41" s="549"/>
      <c r="SKE41" s="549"/>
      <c r="SKF41" s="549"/>
      <c r="SKG41" s="549"/>
      <c r="SKH41" s="549"/>
      <c r="SKI41" s="549"/>
      <c r="SKJ41" s="549"/>
      <c r="SKK41" s="549"/>
      <c r="SKL41" s="549"/>
      <c r="SKM41" s="549"/>
      <c r="SKN41" s="549"/>
      <c r="SKO41" s="549"/>
      <c r="SKP41" s="549"/>
      <c r="SKQ41" s="549"/>
      <c r="SKR41" s="549"/>
      <c r="SKS41" s="549"/>
      <c r="SKT41" s="549"/>
      <c r="SKU41" s="549"/>
      <c r="SKV41" s="549"/>
      <c r="SKW41" s="549"/>
      <c r="SKX41" s="549"/>
      <c r="SKY41" s="549"/>
      <c r="SKZ41" s="549"/>
      <c r="SLA41" s="549"/>
      <c r="SLB41" s="549"/>
      <c r="SLC41" s="549"/>
      <c r="SLD41" s="549"/>
      <c r="SLE41" s="549"/>
      <c r="SLF41" s="549"/>
      <c r="SLG41" s="549"/>
      <c r="SLH41" s="549"/>
      <c r="SLI41" s="549"/>
      <c r="SLJ41" s="549"/>
      <c r="SLK41" s="549"/>
      <c r="SLL41" s="549"/>
      <c r="SLM41" s="549"/>
      <c r="SLN41" s="549"/>
      <c r="SLO41" s="549"/>
      <c r="SLP41" s="549"/>
      <c r="SLQ41" s="549"/>
      <c r="SLR41" s="549"/>
      <c r="SLS41" s="549"/>
      <c r="SLT41" s="549"/>
      <c r="SLU41" s="549"/>
      <c r="SLV41" s="549"/>
      <c r="SLW41" s="549"/>
      <c r="SLX41" s="549"/>
      <c r="SLY41" s="549"/>
      <c r="SLZ41" s="549"/>
      <c r="SMA41" s="549"/>
      <c r="SMB41" s="549"/>
      <c r="SMC41" s="549"/>
      <c r="SMD41" s="549"/>
      <c r="SME41" s="549"/>
      <c r="SMF41" s="549"/>
      <c r="SMG41" s="549"/>
      <c r="SMH41" s="549"/>
      <c r="SMI41" s="549"/>
      <c r="SMJ41" s="549"/>
      <c r="SMK41" s="549"/>
      <c r="SML41" s="549"/>
      <c r="SMM41" s="549"/>
      <c r="SMN41" s="549"/>
      <c r="SMO41" s="549"/>
      <c r="SMP41" s="549"/>
      <c r="SMQ41" s="549"/>
      <c r="SMR41" s="549"/>
      <c r="SMS41" s="549"/>
      <c r="SMT41" s="549"/>
      <c r="SMU41" s="549"/>
      <c r="SMV41" s="549"/>
      <c r="SMW41" s="549"/>
      <c r="SMX41" s="549"/>
      <c r="SMY41" s="549"/>
      <c r="SMZ41" s="549"/>
      <c r="SNA41" s="549"/>
      <c r="SNB41" s="549"/>
      <c r="SNC41" s="549"/>
      <c r="SND41" s="549"/>
      <c r="SNE41" s="549"/>
      <c r="SNF41" s="549"/>
      <c r="SNG41" s="549"/>
      <c r="SNH41" s="549"/>
      <c r="SNI41" s="549"/>
      <c r="SNJ41" s="549"/>
      <c r="SNK41" s="549"/>
      <c r="SNL41" s="549"/>
      <c r="SNM41" s="549"/>
      <c r="SNN41" s="549"/>
      <c r="SNO41" s="549"/>
      <c r="SNP41" s="549"/>
      <c r="SNQ41" s="549"/>
      <c r="SNR41" s="549"/>
      <c r="SNS41" s="549"/>
      <c r="SNT41" s="549"/>
      <c r="SNU41" s="549"/>
      <c r="SNV41" s="549"/>
      <c r="SNW41" s="549"/>
      <c r="SNX41" s="549"/>
      <c r="SNY41" s="549"/>
      <c r="SNZ41" s="549"/>
      <c r="SOA41" s="549"/>
      <c r="SOB41" s="549"/>
      <c r="SOC41" s="549"/>
      <c r="SOD41" s="549"/>
      <c r="SOE41" s="549"/>
      <c r="SOF41" s="549"/>
      <c r="SOG41" s="549"/>
      <c r="SOH41" s="549"/>
      <c r="SOI41" s="549"/>
      <c r="SOJ41" s="549"/>
      <c r="SOK41" s="549"/>
      <c r="SOL41" s="549"/>
      <c r="SOM41" s="549"/>
      <c r="SON41" s="549"/>
      <c r="SOO41" s="549"/>
      <c r="SOP41" s="549"/>
      <c r="SOQ41" s="549"/>
      <c r="SOR41" s="549"/>
      <c r="SOS41" s="549"/>
      <c r="SOT41" s="549"/>
      <c r="SOU41" s="549"/>
      <c r="SOV41" s="549"/>
      <c r="SOW41" s="549"/>
      <c r="SOX41" s="549"/>
      <c r="SOY41" s="549"/>
      <c r="SOZ41" s="549"/>
      <c r="SPA41" s="549"/>
      <c r="SPB41" s="549"/>
      <c r="SPC41" s="549"/>
      <c r="SPD41" s="549"/>
      <c r="SPE41" s="549"/>
      <c r="SPF41" s="549"/>
      <c r="SPG41" s="549"/>
      <c r="SPH41" s="549"/>
      <c r="SPI41" s="549"/>
      <c r="SPJ41" s="549"/>
      <c r="SPK41" s="549"/>
      <c r="SPL41" s="549"/>
      <c r="SPM41" s="549"/>
      <c r="SPN41" s="549"/>
      <c r="SPO41" s="549"/>
      <c r="SPP41" s="549"/>
      <c r="SPQ41" s="549"/>
      <c r="SPR41" s="549"/>
      <c r="SPS41" s="549"/>
      <c r="SPT41" s="549"/>
      <c r="SPU41" s="549"/>
      <c r="SPV41" s="549"/>
      <c r="SPW41" s="549"/>
      <c r="SPX41" s="549"/>
      <c r="SPY41" s="549"/>
      <c r="SPZ41" s="549"/>
      <c r="SQA41" s="549"/>
      <c r="SQB41" s="549"/>
      <c r="SQC41" s="549"/>
      <c r="SQD41" s="549"/>
      <c r="SQE41" s="549"/>
      <c r="SQF41" s="549"/>
      <c r="SQG41" s="549"/>
      <c r="SQH41" s="549"/>
      <c r="SQI41" s="549"/>
      <c r="SQJ41" s="549"/>
      <c r="SQK41" s="549"/>
      <c r="SQL41" s="549"/>
      <c r="SQM41" s="549"/>
      <c r="SQN41" s="549"/>
      <c r="SQO41" s="549"/>
      <c r="SQP41" s="549"/>
      <c r="SQQ41" s="549"/>
      <c r="SQR41" s="549"/>
      <c r="SQS41" s="549"/>
      <c r="SQT41" s="549"/>
      <c r="SQU41" s="549"/>
      <c r="SQV41" s="549"/>
      <c r="SQW41" s="549"/>
      <c r="SQX41" s="549"/>
      <c r="SQY41" s="549"/>
      <c r="SQZ41" s="549"/>
      <c r="SRA41" s="549"/>
      <c r="SRB41" s="549"/>
      <c r="SRC41" s="549"/>
      <c r="SRD41" s="549"/>
      <c r="SRE41" s="549"/>
      <c r="SRF41" s="549"/>
      <c r="SRG41" s="549"/>
      <c r="SRH41" s="549"/>
      <c r="SRI41" s="549"/>
      <c r="SRJ41" s="549"/>
      <c r="SRK41" s="549"/>
      <c r="SRL41" s="549"/>
      <c r="SRM41" s="549"/>
      <c r="SRN41" s="549"/>
      <c r="SRO41" s="549"/>
      <c r="SRP41" s="549"/>
      <c r="SRQ41" s="549"/>
      <c r="SRR41" s="549"/>
      <c r="SRS41" s="549"/>
      <c r="SRT41" s="549"/>
      <c r="SRU41" s="549"/>
      <c r="SRV41" s="549"/>
      <c r="SRW41" s="549"/>
      <c r="SRX41" s="549"/>
      <c r="SRY41" s="549"/>
      <c r="SRZ41" s="549"/>
      <c r="SSA41" s="549"/>
      <c r="SSB41" s="549"/>
      <c r="SSC41" s="549"/>
      <c r="SSD41" s="549"/>
      <c r="SSE41" s="549"/>
      <c r="SSF41" s="549"/>
      <c r="SSG41" s="549"/>
      <c r="SSH41" s="549"/>
      <c r="SSI41" s="549"/>
      <c r="SSJ41" s="549"/>
      <c r="SSK41" s="549"/>
      <c r="SSL41" s="549"/>
      <c r="SSM41" s="549"/>
      <c r="SSN41" s="549"/>
      <c r="SSO41" s="549"/>
      <c r="SSP41" s="549"/>
      <c r="SSQ41" s="549"/>
      <c r="SSR41" s="549"/>
      <c r="SSS41" s="549"/>
      <c r="SST41" s="549"/>
      <c r="SSU41" s="549"/>
      <c r="SSV41" s="549"/>
      <c r="SSW41" s="549"/>
      <c r="SSX41" s="549"/>
      <c r="SSY41" s="549"/>
      <c r="SSZ41" s="549"/>
      <c r="STA41" s="549"/>
      <c r="STB41" s="549"/>
      <c r="STC41" s="549"/>
      <c r="STD41" s="549"/>
      <c r="STE41" s="549"/>
      <c r="STF41" s="549"/>
      <c r="STG41" s="549"/>
      <c r="STH41" s="549"/>
      <c r="STI41" s="549"/>
      <c r="STJ41" s="549"/>
      <c r="STK41" s="549"/>
      <c r="STL41" s="549"/>
      <c r="STM41" s="549"/>
      <c r="STN41" s="549"/>
      <c r="STO41" s="549"/>
      <c r="STP41" s="549"/>
      <c r="STQ41" s="549"/>
      <c r="STR41" s="549"/>
      <c r="STS41" s="549"/>
      <c r="STT41" s="549"/>
      <c r="STU41" s="549"/>
      <c r="STV41" s="549"/>
      <c r="STW41" s="549"/>
      <c r="STX41" s="549"/>
      <c r="STY41" s="549"/>
      <c r="STZ41" s="549"/>
      <c r="SUA41" s="549"/>
      <c r="SUB41" s="549"/>
      <c r="SUC41" s="549"/>
      <c r="SUD41" s="549"/>
      <c r="SUE41" s="549"/>
      <c r="SUF41" s="549"/>
      <c r="SUG41" s="549"/>
      <c r="SUH41" s="549"/>
      <c r="SUI41" s="549"/>
      <c r="SUJ41" s="549"/>
      <c r="SUK41" s="549"/>
      <c r="SUL41" s="549"/>
      <c r="SUM41" s="549"/>
      <c r="SUN41" s="549"/>
      <c r="SUO41" s="549"/>
      <c r="SUP41" s="549"/>
      <c r="SUQ41" s="549"/>
      <c r="SUR41" s="549"/>
      <c r="SUS41" s="549"/>
      <c r="SUT41" s="549"/>
      <c r="SUU41" s="549"/>
      <c r="SUV41" s="549"/>
      <c r="SUW41" s="549"/>
      <c r="SUX41" s="549"/>
      <c r="SUY41" s="549"/>
      <c r="SUZ41" s="549"/>
      <c r="SVA41" s="549"/>
      <c r="SVB41" s="549"/>
      <c r="SVC41" s="549"/>
      <c r="SVD41" s="549"/>
      <c r="SVE41" s="549"/>
      <c r="SVF41" s="549"/>
      <c r="SVG41" s="549"/>
      <c r="SVH41" s="549"/>
      <c r="SVI41" s="549"/>
      <c r="SVJ41" s="549"/>
      <c r="SVK41" s="549"/>
      <c r="SVL41" s="549"/>
      <c r="SVM41" s="549"/>
      <c r="SVN41" s="549"/>
      <c r="SVO41" s="549"/>
      <c r="SVP41" s="549"/>
      <c r="SVQ41" s="549"/>
      <c r="SVR41" s="549"/>
      <c r="SVS41" s="549"/>
      <c r="SVT41" s="549"/>
      <c r="SVU41" s="549"/>
      <c r="SVV41" s="549"/>
      <c r="SVW41" s="549"/>
      <c r="SVX41" s="549"/>
      <c r="SVY41" s="549"/>
      <c r="SVZ41" s="549"/>
      <c r="SWA41" s="549"/>
      <c r="SWB41" s="549"/>
      <c r="SWC41" s="549"/>
      <c r="SWD41" s="549"/>
      <c r="SWE41" s="549"/>
      <c r="SWF41" s="549"/>
      <c r="SWG41" s="549"/>
      <c r="SWH41" s="549"/>
      <c r="SWI41" s="549"/>
      <c r="SWJ41" s="549"/>
      <c r="SWK41" s="549"/>
      <c r="SWL41" s="549"/>
      <c r="SWM41" s="549"/>
      <c r="SWN41" s="549"/>
      <c r="SWO41" s="549"/>
      <c r="SWP41" s="549"/>
      <c r="SWQ41" s="549"/>
      <c r="SWR41" s="549"/>
      <c r="SWS41" s="549"/>
      <c r="SWT41" s="549"/>
      <c r="SWU41" s="549"/>
      <c r="SWV41" s="549"/>
      <c r="SWW41" s="549"/>
      <c r="SWX41" s="549"/>
      <c r="SWY41" s="549"/>
      <c r="SWZ41" s="549"/>
      <c r="SXA41" s="549"/>
      <c r="SXB41" s="549"/>
      <c r="SXC41" s="549"/>
      <c r="SXD41" s="549"/>
      <c r="SXE41" s="549"/>
      <c r="SXF41" s="549"/>
      <c r="SXG41" s="549"/>
      <c r="SXH41" s="549"/>
      <c r="SXI41" s="549"/>
      <c r="SXJ41" s="549"/>
      <c r="SXK41" s="549"/>
      <c r="SXL41" s="549"/>
      <c r="SXM41" s="549"/>
      <c r="SXN41" s="549"/>
      <c r="SXO41" s="549"/>
      <c r="SXP41" s="549"/>
      <c r="SXQ41" s="549"/>
      <c r="SXR41" s="549"/>
      <c r="SXS41" s="549"/>
      <c r="SXT41" s="549"/>
      <c r="SXU41" s="549"/>
      <c r="SXV41" s="549"/>
      <c r="SXW41" s="549"/>
      <c r="SXX41" s="549"/>
      <c r="SXY41" s="549"/>
      <c r="SXZ41" s="549"/>
      <c r="SYA41" s="549"/>
      <c r="SYB41" s="549"/>
      <c r="SYC41" s="549"/>
      <c r="SYD41" s="549"/>
      <c r="SYE41" s="549"/>
      <c r="SYF41" s="549"/>
      <c r="SYG41" s="549"/>
      <c r="SYH41" s="549"/>
      <c r="SYI41" s="549"/>
      <c r="SYJ41" s="549"/>
      <c r="SYK41" s="549"/>
      <c r="SYL41" s="549"/>
      <c r="SYM41" s="549"/>
      <c r="SYN41" s="549"/>
      <c r="SYO41" s="549"/>
      <c r="SYP41" s="549"/>
      <c r="SYQ41" s="549"/>
      <c r="SYR41" s="549"/>
      <c r="SYS41" s="549"/>
      <c r="SYT41" s="549"/>
      <c r="SYU41" s="549"/>
      <c r="SYV41" s="549"/>
      <c r="SYW41" s="549"/>
      <c r="SYX41" s="549"/>
      <c r="SYY41" s="549"/>
      <c r="SYZ41" s="549"/>
      <c r="SZA41" s="549"/>
      <c r="SZB41" s="549"/>
      <c r="SZC41" s="549"/>
      <c r="SZD41" s="549"/>
      <c r="SZE41" s="549"/>
      <c r="SZF41" s="549"/>
      <c r="SZG41" s="549"/>
      <c r="SZH41" s="549"/>
      <c r="SZI41" s="549"/>
      <c r="SZJ41" s="549"/>
      <c r="SZK41" s="549"/>
      <c r="SZL41" s="549"/>
      <c r="SZM41" s="549"/>
      <c r="SZN41" s="549"/>
      <c r="SZO41" s="549"/>
      <c r="SZP41" s="549"/>
      <c r="SZQ41" s="549"/>
      <c r="SZR41" s="549"/>
      <c r="SZS41" s="549"/>
      <c r="SZT41" s="549"/>
      <c r="SZU41" s="549"/>
      <c r="SZV41" s="549"/>
      <c r="SZW41" s="549"/>
      <c r="SZX41" s="549"/>
      <c r="SZY41" s="549"/>
      <c r="SZZ41" s="549"/>
      <c r="TAA41" s="549"/>
      <c r="TAB41" s="549"/>
      <c r="TAC41" s="549"/>
      <c r="TAD41" s="549"/>
      <c r="TAE41" s="549"/>
      <c r="TAF41" s="549"/>
      <c r="TAG41" s="549"/>
      <c r="TAH41" s="549"/>
      <c r="TAI41" s="549"/>
      <c r="TAJ41" s="549"/>
      <c r="TAK41" s="549"/>
      <c r="TAL41" s="549"/>
      <c r="TAM41" s="549"/>
      <c r="TAN41" s="549"/>
      <c r="TAO41" s="549"/>
      <c r="TAP41" s="549"/>
      <c r="TAQ41" s="549"/>
      <c r="TAR41" s="549"/>
      <c r="TAS41" s="549"/>
      <c r="TAT41" s="549"/>
      <c r="TAU41" s="549"/>
      <c r="TAV41" s="549"/>
      <c r="TAW41" s="549"/>
      <c r="TAX41" s="549"/>
      <c r="TAY41" s="549"/>
      <c r="TAZ41" s="549"/>
      <c r="TBA41" s="549"/>
      <c r="TBB41" s="549"/>
      <c r="TBC41" s="549"/>
      <c r="TBD41" s="549"/>
      <c r="TBE41" s="549"/>
      <c r="TBF41" s="549"/>
      <c r="TBG41" s="549"/>
      <c r="TBH41" s="549"/>
      <c r="TBI41" s="549"/>
      <c r="TBJ41" s="549"/>
      <c r="TBK41" s="549"/>
      <c r="TBL41" s="549"/>
      <c r="TBM41" s="549"/>
      <c r="TBN41" s="549"/>
      <c r="TBO41" s="549"/>
      <c r="TBP41" s="549"/>
      <c r="TBQ41" s="549"/>
      <c r="TBR41" s="549"/>
      <c r="TBS41" s="549"/>
      <c r="TBT41" s="549"/>
      <c r="TBU41" s="549"/>
      <c r="TBV41" s="549"/>
      <c r="TBW41" s="549"/>
      <c r="TBX41" s="549"/>
      <c r="TBY41" s="549"/>
      <c r="TBZ41" s="549"/>
      <c r="TCA41" s="549"/>
      <c r="TCB41" s="549"/>
      <c r="TCC41" s="549"/>
      <c r="TCD41" s="549"/>
      <c r="TCE41" s="549"/>
      <c r="TCF41" s="549"/>
      <c r="TCG41" s="549"/>
      <c r="TCH41" s="549"/>
      <c r="TCI41" s="549"/>
      <c r="TCJ41" s="549"/>
      <c r="TCK41" s="549"/>
      <c r="TCL41" s="549"/>
      <c r="TCM41" s="549"/>
      <c r="TCN41" s="549"/>
      <c r="TCO41" s="549"/>
      <c r="TCP41" s="549"/>
      <c r="TCQ41" s="549"/>
      <c r="TCR41" s="549"/>
      <c r="TCS41" s="549"/>
      <c r="TCT41" s="549"/>
      <c r="TCU41" s="549"/>
      <c r="TCV41" s="549"/>
      <c r="TCW41" s="549"/>
      <c r="TCX41" s="549"/>
      <c r="TCY41" s="549"/>
      <c r="TCZ41" s="549"/>
      <c r="TDA41" s="549"/>
      <c r="TDB41" s="549"/>
      <c r="TDC41" s="549"/>
      <c r="TDD41" s="549"/>
      <c r="TDE41" s="549"/>
      <c r="TDF41" s="549"/>
      <c r="TDG41" s="549"/>
      <c r="TDH41" s="549"/>
      <c r="TDI41" s="549"/>
      <c r="TDJ41" s="549"/>
      <c r="TDK41" s="549"/>
      <c r="TDL41" s="549"/>
      <c r="TDM41" s="549"/>
      <c r="TDN41" s="549"/>
      <c r="TDO41" s="549"/>
      <c r="TDP41" s="549"/>
      <c r="TDQ41" s="549"/>
      <c r="TDR41" s="549"/>
      <c r="TDS41" s="549"/>
      <c r="TDT41" s="549"/>
      <c r="TDU41" s="549"/>
      <c r="TDV41" s="549"/>
      <c r="TDW41" s="549"/>
      <c r="TDX41" s="549"/>
      <c r="TDY41" s="549"/>
      <c r="TDZ41" s="549"/>
      <c r="TEA41" s="549"/>
      <c r="TEB41" s="549"/>
      <c r="TEC41" s="549"/>
      <c r="TED41" s="549"/>
      <c r="TEE41" s="549"/>
      <c r="TEF41" s="549"/>
      <c r="TEG41" s="549"/>
      <c r="TEH41" s="549"/>
      <c r="TEI41" s="549"/>
      <c r="TEJ41" s="549"/>
      <c r="TEK41" s="549"/>
      <c r="TEL41" s="549"/>
      <c r="TEM41" s="549"/>
      <c r="TEN41" s="549"/>
      <c r="TEO41" s="549"/>
      <c r="TEP41" s="549"/>
      <c r="TEQ41" s="549"/>
      <c r="TER41" s="549"/>
      <c r="TES41" s="549"/>
      <c r="TET41" s="549"/>
      <c r="TEU41" s="549"/>
      <c r="TEV41" s="549"/>
      <c r="TEW41" s="549"/>
      <c r="TEX41" s="549"/>
      <c r="TEY41" s="549"/>
      <c r="TEZ41" s="549"/>
      <c r="TFA41" s="549"/>
      <c r="TFB41" s="549"/>
      <c r="TFC41" s="549"/>
      <c r="TFD41" s="549"/>
      <c r="TFE41" s="549"/>
      <c r="TFF41" s="549"/>
      <c r="TFG41" s="549"/>
      <c r="TFH41" s="549"/>
      <c r="TFI41" s="549"/>
      <c r="TFJ41" s="549"/>
      <c r="TFK41" s="549"/>
      <c r="TFL41" s="549"/>
      <c r="TFM41" s="549"/>
      <c r="TFN41" s="549"/>
      <c r="TFO41" s="549"/>
      <c r="TFP41" s="549"/>
      <c r="TFQ41" s="549"/>
      <c r="TFR41" s="549"/>
      <c r="TFS41" s="549"/>
      <c r="TFT41" s="549"/>
      <c r="TFU41" s="549"/>
      <c r="TFV41" s="549"/>
      <c r="TFW41" s="549"/>
      <c r="TFX41" s="549"/>
      <c r="TFY41" s="549"/>
      <c r="TFZ41" s="549"/>
      <c r="TGA41" s="549"/>
      <c r="TGB41" s="549"/>
      <c r="TGC41" s="549"/>
      <c r="TGD41" s="549"/>
      <c r="TGE41" s="549"/>
      <c r="TGF41" s="549"/>
      <c r="TGG41" s="549"/>
      <c r="TGH41" s="549"/>
      <c r="TGI41" s="549"/>
      <c r="TGJ41" s="549"/>
      <c r="TGK41" s="549"/>
      <c r="TGL41" s="549"/>
      <c r="TGM41" s="549"/>
      <c r="TGN41" s="549"/>
      <c r="TGO41" s="549"/>
      <c r="TGP41" s="549"/>
      <c r="TGQ41" s="549"/>
      <c r="TGR41" s="549"/>
      <c r="TGS41" s="549"/>
      <c r="TGT41" s="549"/>
      <c r="TGU41" s="549"/>
      <c r="TGV41" s="549"/>
      <c r="TGW41" s="549"/>
      <c r="TGX41" s="549"/>
      <c r="TGY41" s="549"/>
      <c r="TGZ41" s="549"/>
      <c r="THA41" s="549"/>
      <c r="THB41" s="549"/>
      <c r="THC41" s="549"/>
      <c r="THD41" s="549"/>
      <c r="THE41" s="549"/>
      <c r="THF41" s="549"/>
      <c r="THG41" s="549"/>
      <c r="THH41" s="549"/>
      <c r="THI41" s="549"/>
      <c r="THJ41" s="549"/>
      <c r="THK41" s="549"/>
      <c r="THL41" s="549"/>
      <c r="THM41" s="549"/>
      <c r="THN41" s="549"/>
      <c r="THO41" s="549"/>
      <c r="THP41" s="549"/>
      <c r="THQ41" s="549"/>
      <c r="THR41" s="549"/>
      <c r="THS41" s="549"/>
      <c r="THT41" s="549"/>
      <c r="THU41" s="549"/>
      <c r="THV41" s="549"/>
      <c r="THW41" s="549"/>
      <c r="THX41" s="549"/>
      <c r="THY41" s="549"/>
      <c r="THZ41" s="549"/>
      <c r="TIA41" s="549"/>
      <c r="TIB41" s="549"/>
      <c r="TIC41" s="549"/>
      <c r="TID41" s="549"/>
      <c r="TIE41" s="549"/>
      <c r="TIF41" s="549"/>
      <c r="TIG41" s="549"/>
      <c r="TIH41" s="549"/>
      <c r="TII41" s="549"/>
      <c r="TIJ41" s="549"/>
      <c r="TIK41" s="549"/>
      <c r="TIL41" s="549"/>
      <c r="TIM41" s="549"/>
      <c r="TIN41" s="549"/>
      <c r="TIO41" s="549"/>
      <c r="TIP41" s="549"/>
      <c r="TIQ41" s="549"/>
      <c r="TIR41" s="549"/>
      <c r="TIS41" s="549"/>
      <c r="TIT41" s="549"/>
      <c r="TIU41" s="549"/>
      <c r="TIV41" s="549"/>
      <c r="TIW41" s="549"/>
      <c r="TIX41" s="549"/>
      <c r="TIY41" s="549"/>
      <c r="TIZ41" s="549"/>
      <c r="TJA41" s="549"/>
      <c r="TJB41" s="549"/>
      <c r="TJC41" s="549"/>
      <c r="TJD41" s="549"/>
      <c r="TJE41" s="549"/>
      <c r="TJF41" s="549"/>
      <c r="TJG41" s="549"/>
      <c r="TJH41" s="549"/>
      <c r="TJI41" s="549"/>
      <c r="TJJ41" s="549"/>
      <c r="TJK41" s="549"/>
      <c r="TJL41" s="549"/>
      <c r="TJM41" s="549"/>
      <c r="TJN41" s="549"/>
      <c r="TJO41" s="549"/>
      <c r="TJP41" s="549"/>
      <c r="TJQ41" s="549"/>
      <c r="TJR41" s="549"/>
      <c r="TJS41" s="549"/>
      <c r="TJT41" s="549"/>
      <c r="TJU41" s="549"/>
      <c r="TJV41" s="549"/>
      <c r="TJW41" s="549"/>
      <c r="TJX41" s="549"/>
      <c r="TJY41" s="549"/>
      <c r="TJZ41" s="549"/>
      <c r="TKA41" s="549"/>
      <c r="TKB41" s="549"/>
      <c r="TKC41" s="549"/>
      <c r="TKD41" s="549"/>
      <c r="TKE41" s="549"/>
      <c r="TKF41" s="549"/>
      <c r="TKG41" s="549"/>
      <c r="TKH41" s="549"/>
      <c r="TKI41" s="549"/>
      <c r="TKJ41" s="549"/>
      <c r="TKK41" s="549"/>
      <c r="TKL41" s="549"/>
      <c r="TKM41" s="549"/>
      <c r="TKN41" s="549"/>
      <c r="TKO41" s="549"/>
      <c r="TKP41" s="549"/>
      <c r="TKQ41" s="549"/>
      <c r="TKR41" s="549"/>
      <c r="TKS41" s="549"/>
      <c r="TKT41" s="549"/>
      <c r="TKU41" s="549"/>
      <c r="TKV41" s="549"/>
      <c r="TKW41" s="549"/>
      <c r="TKX41" s="549"/>
      <c r="TKY41" s="549"/>
      <c r="TKZ41" s="549"/>
      <c r="TLA41" s="549"/>
      <c r="TLB41" s="549"/>
      <c r="TLC41" s="549"/>
      <c r="TLD41" s="549"/>
      <c r="TLE41" s="549"/>
      <c r="TLF41" s="549"/>
      <c r="TLG41" s="549"/>
      <c r="TLH41" s="549"/>
      <c r="TLI41" s="549"/>
      <c r="TLJ41" s="549"/>
      <c r="TLK41" s="549"/>
      <c r="TLL41" s="549"/>
      <c r="TLM41" s="549"/>
      <c r="TLN41" s="549"/>
      <c r="TLO41" s="549"/>
      <c r="TLP41" s="549"/>
      <c r="TLQ41" s="549"/>
      <c r="TLR41" s="549"/>
      <c r="TLS41" s="549"/>
      <c r="TLT41" s="549"/>
      <c r="TLU41" s="549"/>
      <c r="TLV41" s="549"/>
      <c r="TLW41" s="549"/>
      <c r="TLX41" s="549"/>
      <c r="TLY41" s="549"/>
      <c r="TLZ41" s="549"/>
      <c r="TMA41" s="549"/>
      <c r="TMB41" s="549"/>
      <c r="TMC41" s="549"/>
      <c r="TMD41" s="549"/>
      <c r="TME41" s="549"/>
      <c r="TMF41" s="549"/>
      <c r="TMG41" s="549"/>
      <c r="TMH41" s="549"/>
      <c r="TMI41" s="549"/>
      <c r="TMJ41" s="549"/>
      <c r="TMK41" s="549"/>
      <c r="TML41" s="549"/>
      <c r="TMM41" s="549"/>
      <c r="TMN41" s="549"/>
      <c r="TMO41" s="549"/>
      <c r="TMP41" s="549"/>
      <c r="TMQ41" s="549"/>
      <c r="TMR41" s="549"/>
      <c r="TMS41" s="549"/>
      <c r="TMT41" s="549"/>
      <c r="TMU41" s="549"/>
      <c r="TMV41" s="549"/>
      <c r="TMW41" s="549"/>
      <c r="TMX41" s="549"/>
      <c r="TMY41" s="549"/>
      <c r="TMZ41" s="549"/>
      <c r="TNA41" s="549"/>
      <c r="TNB41" s="549"/>
      <c r="TNC41" s="549"/>
      <c r="TND41" s="549"/>
      <c r="TNE41" s="549"/>
      <c r="TNF41" s="549"/>
      <c r="TNG41" s="549"/>
      <c r="TNH41" s="549"/>
      <c r="TNI41" s="549"/>
      <c r="TNJ41" s="549"/>
      <c r="TNK41" s="549"/>
      <c r="TNL41" s="549"/>
      <c r="TNM41" s="549"/>
      <c r="TNN41" s="549"/>
      <c r="TNO41" s="549"/>
      <c r="TNP41" s="549"/>
      <c r="TNQ41" s="549"/>
      <c r="TNR41" s="549"/>
      <c r="TNS41" s="549"/>
      <c r="TNT41" s="549"/>
      <c r="TNU41" s="549"/>
      <c r="TNV41" s="549"/>
      <c r="TNW41" s="549"/>
      <c r="TNX41" s="549"/>
      <c r="TNY41" s="549"/>
      <c r="TNZ41" s="549"/>
      <c r="TOA41" s="549"/>
      <c r="TOB41" s="549"/>
      <c r="TOC41" s="549"/>
      <c r="TOD41" s="549"/>
      <c r="TOE41" s="549"/>
      <c r="TOF41" s="549"/>
      <c r="TOG41" s="549"/>
      <c r="TOH41" s="549"/>
      <c r="TOI41" s="549"/>
      <c r="TOJ41" s="549"/>
      <c r="TOK41" s="549"/>
      <c r="TOL41" s="549"/>
      <c r="TOM41" s="549"/>
      <c r="TON41" s="549"/>
      <c r="TOO41" s="549"/>
      <c r="TOP41" s="549"/>
      <c r="TOQ41" s="549"/>
      <c r="TOR41" s="549"/>
      <c r="TOS41" s="549"/>
      <c r="TOT41" s="549"/>
      <c r="TOU41" s="549"/>
      <c r="TOV41" s="549"/>
      <c r="TOW41" s="549"/>
      <c r="TOX41" s="549"/>
      <c r="TOY41" s="549"/>
      <c r="TOZ41" s="549"/>
      <c r="TPA41" s="549"/>
      <c r="TPB41" s="549"/>
      <c r="TPC41" s="549"/>
      <c r="TPD41" s="549"/>
      <c r="TPE41" s="549"/>
      <c r="TPF41" s="549"/>
      <c r="TPG41" s="549"/>
      <c r="TPH41" s="549"/>
      <c r="TPI41" s="549"/>
      <c r="TPJ41" s="549"/>
      <c r="TPK41" s="549"/>
      <c r="TPL41" s="549"/>
      <c r="TPM41" s="549"/>
      <c r="TPN41" s="549"/>
      <c r="TPO41" s="549"/>
      <c r="TPP41" s="549"/>
      <c r="TPQ41" s="549"/>
      <c r="TPR41" s="549"/>
      <c r="TPS41" s="549"/>
      <c r="TPT41" s="549"/>
      <c r="TPU41" s="549"/>
      <c r="TPV41" s="549"/>
      <c r="TPW41" s="549"/>
      <c r="TPX41" s="549"/>
      <c r="TPY41" s="549"/>
      <c r="TPZ41" s="549"/>
      <c r="TQA41" s="549"/>
      <c r="TQB41" s="549"/>
      <c r="TQC41" s="549"/>
      <c r="TQD41" s="549"/>
      <c r="TQE41" s="549"/>
      <c r="TQF41" s="549"/>
      <c r="TQG41" s="549"/>
      <c r="TQH41" s="549"/>
      <c r="TQI41" s="549"/>
      <c r="TQJ41" s="549"/>
      <c r="TQK41" s="549"/>
      <c r="TQL41" s="549"/>
      <c r="TQM41" s="549"/>
      <c r="TQN41" s="549"/>
      <c r="TQO41" s="549"/>
      <c r="TQP41" s="549"/>
      <c r="TQQ41" s="549"/>
      <c r="TQR41" s="549"/>
      <c r="TQS41" s="549"/>
      <c r="TQT41" s="549"/>
      <c r="TQU41" s="549"/>
      <c r="TQV41" s="549"/>
      <c r="TQW41" s="549"/>
      <c r="TQX41" s="549"/>
      <c r="TQY41" s="549"/>
      <c r="TQZ41" s="549"/>
      <c r="TRA41" s="549"/>
      <c r="TRB41" s="549"/>
      <c r="TRC41" s="549"/>
      <c r="TRD41" s="549"/>
      <c r="TRE41" s="549"/>
      <c r="TRF41" s="549"/>
      <c r="TRG41" s="549"/>
      <c r="TRH41" s="549"/>
      <c r="TRI41" s="549"/>
      <c r="TRJ41" s="549"/>
      <c r="TRK41" s="549"/>
      <c r="TRL41" s="549"/>
      <c r="TRM41" s="549"/>
      <c r="TRN41" s="549"/>
      <c r="TRO41" s="549"/>
      <c r="TRP41" s="549"/>
      <c r="TRQ41" s="549"/>
      <c r="TRR41" s="549"/>
      <c r="TRS41" s="549"/>
      <c r="TRT41" s="549"/>
      <c r="TRU41" s="549"/>
      <c r="TRV41" s="549"/>
      <c r="TRW41" s="549"/>
      <c r="TRX41" s="549"/>
      <c r="TRY41" s="549"/>
      <c r="TRZ41" s="549"/>
      <c r="TSA41" s="549"/>
      <c r="TSB41" s="549"/>
      <c r="TSC41" s="549"/>
      <c r="TSD41" s="549"/>
      <c r="TSE41" s="549"/>
      <c r="TSF41" s="549"/>
      <c r="TSG41" s="549"/>
      <c r="TSH41" s="549"/>
      <c r="TSI41" s="549"/>
      <c r="TSJ41" s="549"/>
      <c r="TSK41" s="549"/>
      <c r="TSL41" s="549"/>
      <c r="TSM41" s="549"/>
      <c r="TSN41" s="549"/>
      <c r="TSO41" s="549"/>
      <c r="TSP41" s="549"/>
      <c r="TSQ41" s="549"/>
      <c r="TSR41" s="549"/>
      <c r="TSS41" s="549"/>
      <c r="TST41" s="549"/>
      <c r="TSU41" s="549"/>
      <c r="TSV41" s="549"/>
      <c r="TSW41" s="549"/>
      <c r="TSX41" s="549"/>
      <c r="TSY41" s="549"/>
      <c r="TSZ41" s="549"/>
      <c r="TTA41" s="549"/>
      <c r="TTB41" s="549"/>
      <c r="TTC41" s="549"/>
      <c r="TTD41" s="549"/>
      <c r="TTE41" s="549"/>
      <c r="TTF41" s="549"/>
      <c r="TTG41" s="549"/>
      <c r="TTH41" s="549"/>
      <c r="TTI41" s="549"/>
      <c r="TTJ41" s="549"/>
      <c r="TTK41" s="549"/>
      <c r="TTL41" s="549"/>
      <c r="TTM41" s="549"/>
      <c r="TTN41" s="549"/>
      <c r="TTO41" s="549"/>
      <c r="TTP41" s="549"/>
      <c r="TTQ41" s="549"/>
      <c r="TTR41" s="549"/>
      <c r="TTS41" s="549"/>
      <c r="TTT41" s="549"/>
      <c r="TTU41" s="549"/>
      <c r="TTV41" s="549"/>
      <c r="TTW41" s="549"/>
      <c r="TTX41" s="549"/>
      <c r="TTY41" s="549"/>
      <c r="TTZ41" s="549"/>
      <c r="TUA41" s="549"/>
      <c r="TUB41" s="549"/>
      <c r="TUC41" s="549"/>
      <c r="TUD41" s="549"/>
      <c r="TUE41" s="549"/>
      <c r="TUF41" s="549"/>
      <c r="TUG41" s="549"/>
      <c r="TUH41" s="549"/>
      <c r="TUI41" s="549"/>
      <c r="TUJ41" s="549"/>
      <c r="TUK41" s="549"/>
      <c r="TUL41" s="549"/>
      <c r="TUM41" s="549"/>
      <c r="TUN41" s="549"/>
      <c r="TUO41" s="549"/>
      <c r="TUP41" s="549"/>
      <c r="TUQ41" s="549"/>
      <c r="TUR41" s="549"/>
      <c r="TUS41" s="549"/>
      <c r="TUT41" s="549"/>
      <c r="TUU41" s="549"/>
      <c r="TUV41" s="549"/>
      <c r="TUW41" s="549"/>
      <c r="TUX41" s="549"/>
      <c r="TUY41" s="549"/>
      <c r="TUZ41" s="549"/>
      <c r="TVA41" s="549"/>
      <c r="TVB41" s="549"/>
      <c r="TVC41" s="549"/>
      <c r="TVD41" s="549"/>
      <c r="TVE41" s="549"/>
      <c r="TVF41" s="549"/>
      <c r="TVG41" s="549"/>
      <c r="TVH41" s="549"/>
      <c r="TVI41" s="549"/>
      <c r="TVJ41" s="549"/>
      <c r="TVK41" s="549"/>
      <c r="TVL41" s="549"/>
      <c r="TVM41" s="549"/>
      <c r="TVN41" s="549"/>
      <c r="TVO41" s="549"/>
      <c r="TVP41" s="549"/>
      <c r="TVQ41" s="549"/>
      <c r="TVR41" s="549"/>
      <c r="TVS41" s="549"/>
      <c r="TVT41" s="549"/>
      <c r="TVU41" s="549"/>
      <c r="TVV41" s="549"/>
      <c r="TVW41" s="549"/>
      <c r="TVX41" s="549"/>
      <c r="TVY41" s="549"/>
      <c r="TVZ41" s="549"/>
      <c r="TWA41" s="549"/>
      <c r="TWB41" s="549"/>
      <c r="TWC41" s="549"/>
      <c r="TWD41" s="549"/>
      <c r="TWE41" s="549"/>
      <c r="TWF41" s="549"/>
      <c r="TWG41" s="549"/>
      <c r="TWH41" s="549"/>
      <c r="TWI41" s="549"/>
      <c r="TWJ41" s="549"/>
      <c r="TWK41" s="549"/>
      <c r="TWL41" s="549"/>
      <c r="TWM41" s="549"/>
      <c r="TWN41" s="549"/>
      <c r="TWO41" s="549"/>
      <c r="TWP41" s="549"/>
      <c r="TWQ41" s="549"/>
      <c r="TWR41" s="549"/>
      <c r="TWS41" s="549"/>
      <c r="TWT41" s="549"/>
      <c r="TWU41" s="549"/>
      <c r="TWV41" s="549"/>
      <c r="TWW41" s="549"/>
      <c r="TWX41" s="549"/>
      <c r="TWY41" s="549"/>
      <c r="TWZ41" s="549"/>
      <c r="TXA41" s="549"/>
      <c r="TXB41" s="549"/>
      <c r="TXC41" s="549"/>
      <c r="TXD41" s="549"/>
      <c r="TXE41" s="549"/>
      <c r="TXF41" s="549"/>
      <c r="TXG41" s="549"/>
      <c r="TXH41" s="549"/>
      <c r="TXI41" s="549"/>
      <c r="TXJ41" s="549"/>
      <c r="TXK41" s="549"/>
      <c r="TXL41" s="549"/>
      <c r="TXM41" s="549"/>
      <c r="TXN41" s="549"/>
      <c r="TXO41" s="549"/>
      <c r="TXP41" s="549"/>
      <c r="TXQ41" s="549"/>
      <c r="TXR41" s="549"/>
      <c r="TXS41" s="549"/>
      <c r="TXT41" s="549"/>
      <c r="TXU41" s="549"/>
      <c r="TXV41" s="549"/>
      <c r="TXW41" s="549"/>
      <c r="TXX41" s="549"/>
      <c r="TXY41" s="549"/>
      <c r="TXZ41" s="549"/>
      <c r="TYA41" s="549"/>
      <c r="TYB41" s="549"/>
      <c r="TYC41" s="549"/>
      <c r="TYD41" s="549"/>
      <c r="TYE41" s="549"/>
      <c r="TYF41" s="549"/>
      <c r="TYG41" s="549"/>
      <c r="TYH41" s="549"/>
      <c r="TYI41" s="549"/>
      <c r="TYJ41" s="549"/>
      <c r="TYK41" s="549"/>
      <c r="TYL41" s="549"/>
      <c r="TYM41" s="549"/>
      <c r="TYN41" s="549"/>
      <c r="TYO41" s="549"/>
      <c r="TYP41" s="549"/>
      <c r="TYQ41" s="549"/>
      <c r="TYR41" s="549"/>
      <c r="TYS41" s="549"/>
      <c r="TYT41" s="549"/>
      <c r="TYU41" s="549"/>
      <c r="TYV41" s="549"/>
      <c r="TYW41" s="549"/>
      <c r="TYX41" s="549"/>
      <c r="TYY41" s="549"/>
      <c r="TYZ41" s="549"/>
      <c r="TZA41" s="549"/>
      <c r="TZB41" s="549"/>
      <c r="TZC41" s="549"/>
      <c r="TZD41" s="549"/>
      <c r="TZE41" s="549"/>
      <c r="TZF41" s="549"/>
      <c r="TZG41" s="549"/>
      <c r="TZH41" s="549"/>
      <c r="TZI41" s="549"/>
      <c r="TZJ41" s="549"/>
      <c r="TZK41" s="549"/>
      <c r="TZL41" s="549"/>
      <c r="TZM41" s="549"/>
      <c r="TZN41" s="549"/>
      <c r="TZO41" s="549"/>
      <c r="TZP41" s="549"/>
      <c r="TZQ41" s="549"/>
      <c r="TZR41" s="549"/>
      <c r="TZS41" s="549"/>
      <c r="TZT41" s="549"/>
      <c r="TZU41" s="549"/>
      <c r="TZV41" s="549"/>
      <c r="TZW41" s="549"/>
      <c r="TZX41" s="549"/>
      <c r="TZY41" s="549"/>
      <c r="TZZ41" s="549"/>
      <c r="UAA41" s="549"/>
      <c r="UAB41" s="549"/>
      <c r="UAC41" s="549"/>
      <c r="UAD41" s="549"/>
      <c r="UAE41" s="549"/>
      <c r="UAF41" s="549"/>
      <c r="UAG41" s="549"/>
      <c r="UAH41" s="549"/>
      <c r="UAI41" s="549"/>
      <c r="UAJ41" s="549"/>
      <c r="UAK41" s="549"/>
      <c r="UAL41" s="549"/>
      <c r="UAM41" s="549"/>
      <c r="UAN41" s="549"/>
      <c r="UAO41" s="549"/>
      <c r="UAP41" s="549"/>
      <c r="UAQ41" s="549"/>
      <c r="UAR41" s="549"/>
      <c r="UAS41" s="549"/>
      <c r="UAT41" s="549"/>
      <c r="UAU41" s="549"/>
      <c r="UAV41" s="549"/>
      <c r="UAW41" s="549"/>
      <c r="UAX41" s="549"/>
      <c r="UAY41" s="549"/>
      <c r="UAZ41" s="549"/>
      <c r="UBA41" s="549"/>
      <c r="UBB41" s="549"/>
      <c r="UBC41" s="549"/>
      <c r="UBD41" s="549"/>
      <c r="UBE41" s="549"/>
      <c r="UBF41" s="549"/>
      <c r="UBG41" s="549"/>
      <c r="UBH41" s="549"/>
      <c r="UBI41" s="549"/>
      <c r="UBJ41" s="549"/>
      <c r="UBK41" s="549"/>
      <c r="UBL41" s="549"/>
      <c r="UBM41" s="549"/>
      <c r="UBN41" s="549"/>
      <c r="UBO41" s="549"/>
      <c r="UBP41" s="549"/>
      <c r="UBQ41" s="549"/>
      <c r="UBR41" s="549"/>
      <c r="UBS41" s="549"/>
      <c r="UBT41" s="549"/>
      <c r="UBU41" s="549"/>
      <c r="UBV41" s="549"/>
      <c r="UBW41" s="549"/>
      <c r="UBX41" s="549"/>
      <c r="UBY41" s="549"/>
      <c r="UBZ41" s="549"/>
      <c r="UCA41" s="549"/>
      <c r="UCB41" s="549"/>
      <c r="UCC41" s="549"/>
      <c r="UCD41" s="549"/>
      <c r="UCE41" s="549"/>
      <c r="UCF41" s="549"/>
      <c r="UCG41" s="549"/>
      <c r="UCH41" s="549"/>
      <c r="UCI41" s="549"/>
      <c r="UCJ41" s="549"/>
      <c r="UCK41" s="549"/>
      <c r="UCL41" s="549"/>
      <c r="UCM41" s="549"/>
      <c r="UCN41" s="549"/>
      <c r="UCO41" s="549"/>
      <c r="UCP41" s="549"/>
      <c r="UCQ41" s="549"/>
      <c r="UCR41" s="549"/>
      <c r="UCS41" s="549"/>
      <c r="UCT41" s="549"/>
      <c r="UCU41" s="549"/>
      <c r="UCV41" s="549"/>
      <c r="UCW41" s="549"/>
      <c r="UCX41" s="549"/>
      <c r="UCY41" s="549"/>
      <c r="UCZ41" s="549"/>
      <c r="UDA41" s="549"/>
      <c r="UDB41" s="549"/>
      <c r="UDC41" s="549"/>
      <c r="UDD41" s="549"/>
      <c r="UDE41" s="549"/>
      <c r="UDF41" s="549"/>
      <c r="UDG41" s="549"/>
      <c r="UDH41" s="549"/>
      <c r="UDI41" s="549"/>
      <c r="UDJ41" s="549"/>
      <c r="UDK41" s="549"/>
      <c r="UDL41" s="549"/>
      <c r="UDM41" s="549"/>
      <c r="UDN41" s="549"/>
      <c r="UDO41" s="549"/>
      <c r="UDP41" s="549"/>
      <c r="UDQ41" s="549"/>
      <c r="UDR41" s="549"/>
      <c r="UDS41" s="549"/>
      <c r="UDT41" s="549"/>
      <c r="UDU41" s="549"/>
      <c r="UDV41" s="549"/>
      <c r="UDW41" s="549"/>
      <c r="UDX41" s="549"/>
      <c r="UDY41" s="549"/>
      <c r="UDZ41" s="549"/>
      <c r="UEA41" s="549"/>
      <c r="UEB41" s="549"/>
      <c r="UEC41" s="549"/>
      <c r="UED41" s="549"/>
      <c r="UEE41" s="549"/>
      <c r="UEF41" s="549"/>
      <c r="UEG41" s="549"/>
      <c r="UEH41" s="549"/>
      <c r="UEI41" s="549"/>
      <c r="UEJ41" s="549"/>
      <c r="UEK41" s="549"/>
      <c r="UEL41" s="549"/>
      <c r="UEM41" s="549"/>
      <c r="UEN41" s="549"/>
      <c r="UEO41" s="549"/>
      <c r="UEP41" s="549"/>
      <c r="UEQ41" s="549"/>
      <c r="UER41" s="549"/>
      <c r="UES41" s="549"/>
      <c r="UET41" s="549"/>
      <c r="UEU41" s="549"/>
      <c r="UEV41" s="549"/>
      <c r="UEW41" s="549"/>
      <c r="UEX41" s="549"/>
      <c r="UEY41" s="549"/>
      <c r="UEZ41" s="549"/>
      <c r="UFA41" s="549"/>
      <c r="UFB41" s="549"/>
      <c r="UFC41" s="549"/>
      <c r="UFD41" s="549"/>
      <c r="UFE41" s="549"/>
      <c r="UFF41" s="549"/>
      <c r="UFG41" s="549"/>
      <c r="UFH41" s="549"/>
      <c r="UFI41" s="549"/>
      <c r="UFJ41" s="549"/>
      <c r="UFK41" s="549"/>
      <c r="UFL41" s="549"/>
      <c r="UFM41" s="549"/>
      <c r="UFN41" s="549"/>
      <c r="UFO41" s="549"/>
      <c r="UFP41" s="549"/>
      <c r="UFQ41" s="549"/>
      <c r="UFR41" s="549"/>
      <c r="UFS41" s="549"/>
      <c r="UFT41" s="549"/>
      <c r="UFU41" s="549"/>
      <c r="UFV41" s="549"/>
      <c r="UFW41" s="549"/>
      <c r="UFX41" s="549"/>
      <c r="UFY41" s="549"/>
      <c r="UFZ41" s="549"/>
      <c r="UGA41" s="549"/>
      <c r="UGB41" s="549"/>
      <c r="UGC41" s="549"/>
      <c r="UGD41" s="549"/>
      <c r="UGE41" s="549"/>
      <c r="UGF41" s="549"/>
      <c r="UGG41" s="549"/>
      <c r="UGH41" s="549"/>
      <c r="UGI41" s="549"/>
      <c r="UGJ41" s="549"/>
      <c r="UGK41" s="549"/>
      <c r="UGL41" s="549"/>
      <c r="UGM41" s="549"/>
      <c r="UGN41" s="549"/>
      <c r="UGO41" s="549"/>
      <c r="UGP41" s="549"/>
      <c r="UGQ41" s="549"/>
      <c r="UGR41" s="549"/>
      <c r="UGS41" s="549"/>
      <c r="UGT41" s="549"/>
      <c r="UGU41" s="549"/>
      <c r="UGV41" s="549"/>
      <c r="UGW41" s="549"/>
      <c r="UGX41" s="549"/>
      <c r="UGY41" s="549"/>
      <c r="UGZ41" s="549"/>
      <c r="UHA41" s="549"/>
      <c r="UHB41" s="549"/>
      <c r="UHC41" s="549"/>
      <c r="UHD41" s="549"/>
      <c r="UHE41" s="549"/>
      <c r="UHF41" s="549"/>
      <c r="UHG41" s="549"/>
      <c r="UHH41" s="549"/>
      <c r="UHI41" s="549"/>
      <c r="UHJ41" s="549"/>
      <c r="UHK41" s="549"/>
      <c r="UHL41" s="549"/>
      <c r="UHM41" s="549"/>
      <c r="UHN41" s="549"/>
      <c r="UHO41" s="549"/>
      <c r="UHP41" s="549"/>
      <c r="UHQ41" s="549"/>
      <c r="UHR41" s="549"/>
      <c r="UHS41" s="549"/>
      <c r="UHT41" s="549"/>
      <c r="UHU41" s="549"/>
      <c r="UHV41" s="549"/>
      <c r="UHW41" s="549"/>
      <c r="UHX41" s="549"/>
      <c r="UHY41" s="549"/>
      <c r="UHZ41" s="549"/>
      <c r="UIA41" s="549"/>
      <c r="UIB41" s="549"/>
      <c r="UIC41" s="549"/>
      <c r="UID41" s="549"/>
      <c r="UIE41" s="549"/>
      <c r="UIF41" s="549"/>
      <c r="UIG41" s="549"/>
      <c r="UIH41" s="549"/>
      <c r="UII41" s="549"/>
      <c r="UIJ41" s="549"/>
      <c r="UIK41" s="549"/>
      <c r="UIL41" s="549"/>
      <c r="UIM41" s="549"/>
      <c r="UIN41" s="549"/>
      <c r="UIO41" s="549"/>
      <c r="UIP41" s="549"/>
      <c r="UIQ41" s="549"/>
      <c r="UIR41" s="549"/>
      <c r="UIS41" s="549"/>
      <c r="UIT41" s="549"/>
      <c r="UIU41" s="549"/>
      <c r="UIV41" s="549"/>
      <c r="UIW41" s="549"/>
      <c r="UIX41" s="549"/>
      <c r="UIY41" s="549"/>
      <c r="UIZ41" s="549"/>
      <c r="UJA41" s="549"/>
      <c r="UJB41" s="549"/>
      <c r="UJC41" s="549"/>
      <c r="UJD41" s="549"/>
      <c r="UJE41" s="549"/>
      <c r="UJF41" s="549"/>
      <c r="UJG41" s="549"/>
      <c r="UJH41" s="549"/>
      <c r="UJI41" s="549"/>
      <c r="UJJ41" s="549"/>
      <c r="UJK41" s="549"/>
      <c r="UJL41" s="549"/>
      <c r="UJM41" s="549"/>
      <c r="UJN41" s="549"/>
      <c r="UJO41" s="549"/>
      <c r="UJP41" s="549"/>
      <c r="UJQ41" s="549"/>
      <c r="UJR41" s="549"/>
      <c r="UJS41" s="549"/>
      <c r="UJT41" s="549"/>
      <c r="UJU41" s="549"/>
      <c r="UJV41" s="549"/>
      <c r="UJW41" s="549"/>
      <c r="UJX41" s="549"/>
      <c r="UJY41" s="549"/>
      <c r="UJZ41" s="549"/>
      <c r="UKA41" s="549"/>
      <c r="UKB41" s="549"/>
      <c r="UKC41" s="549"/>
      <c r="UKD41" s="549"/>
      <c r="UKE41" s="549"/>
      <c r="UKF41" s="549"/>
      <c r="UKG41" s="549"/>
      <c r="UKH41" s="549"/>
      <c r="UKI41" s="549"/>
      <c r="UKJ41" s="549"/>
      <c r="UKK41" s="549"/>
      <c r="UKL41" s="549"/>
      <c r="UKM41" s="549"/>
      <c r="UKN41" s="549"/>
      <c r="UKO41" s="549"/>
      <c r="UKP41" s="549"/>
      <c r="UKQ41" s="549"/>
      <c r="UKR41" s="549"/>
      <c r="UKS41" s="549"/>
      <c r="UKT41" s="549"/>
      <c r="UKU41" s="549"/>
      <c r="UKV41" s="549"/>
      <c r="UKW41" s="549"/>
      <c r="UKX41" s="549"/>
      <c r="UKY41" s="549"/>
      <c r="UKZ41" s="549"/>
      <c r="ULA41" s="549"/>
      <c r="ULB41" s="549"/>
      <c r="ULC41" s="549"/>
      <c r="ULD41" s="549"/>
      <c r="ULE41" s="549"/>
      <c r="ULF41" s="549"/>
      <c r="ULG41" s="549"/>
      <c r="ULH41" s="549"/>
      <c r="ULI41" s="549"/>
      <c r="ULJ41" s="549"/>
      <c r="ULK41" s="549"/>
      <c r="ULL41" s="549"/>
      <c r="ULM41" s="549"/>
      <c r="ULN41" s="549"/>
      <c r="ULO41" s="549"/>
      <c r="ULP41" s="549"/>
      <c r="ULQ41" s="549"/>
      <c r="ULR41" s="549"/>
      <c r="ULS41" s="549"/>
      <c r="ULT41" s="549"/>
      <c r="ULU41" s="549"/>
      <c r="ULV41" s="549"/>
      <c r="ULW41" s="549"/>
      <c r="ULX41" s="549"/>
      <c r="ULY41" s="549"/>
      <c r="ULZ41" s="549"/>
      <c r="UMA41" s="549"/>
      <c r="UMB41" s="549"/>
      <c r="UMC41" s="549"/>
      <c r="UMD41" s="549"/>
      <c r="UME41" s="549"/>
      <c r="UMF41" s="549"/>
      <c r="UMG41" s="549"/>
      <c r="UMH41" s="549"/>
      <c r="UMI41" s="549"/>
      <c r="UMJ41" s="549"/>
      <c r="UMK41" s="549"/>
      <c r="UML41" s="549"/>
      <c r="UMM41" s="549"/>
      <c r="UMN41" s="549"/>
      <c r="UMO41" s="549"/>
      <c r="UMP41" s="549"/>
      <c r="UMQ41" s="549"/>
      <c r="UMR41" s="549"/>
      <c r="UMS41" s="549"/>
      <c r="UMT41" s="549"/>
      <c r="UMU41" s="549"/>
      <c r="UMV41" s="549"/>
      <c r="UMW41" s="549"/>
      <c r="UMX41" s="549"/>
      <c r="UMY41" s="549"/>
      <c r="UMZ41" s="549"/>
      <c r="UNA41" s="549"/>
      <c r="UNB41" s="549"/>
      <c r="UNC41" s="549"/>
      <c r="UND41" s="549"/>
      <c r="UNE41" s="549"/>
      <c r="UNF41" s="549"/>
      <c r="UNG41" s="549"/>
      <c r="UNH41" s="549"/>
      <c r="UNI41" s="549"/>
      <c r="UNJ41" s="549"/>
      <c r="UNK41" s="549"/>
      <c r="UNL41" s="549"/>
      <c r="UNM41" s="549"/>
      <c r="UNN41" s="549"/>
      <c r="UNO41" s="549"/>
      <c r="UNP41" s="549"/>
      <c r="UNQ41" s="549"/>
      <c r="UNR41" s="549"/>
      <c r="UNS41" s="549"/>
      <c r="UNT41" s="549"/>
      <c r="UNU41" s="549"/>
      <c r="UNV41" s="549"/>
      <c r="UNW41" s="549"/>
      <c r="UNX41" s="549"/>
      <c r="UNY41" s="549"/>
      <c r="UNZ41" s="549"/>
      <c r="UOA41" s="549"/>
      <c r="UOB41" s="549"/>
      <c r="UOC41" s="549"/>
      <c r="UOD41" s="549"/>
      <c r="UOE41" s="549"/>
      <c r="UOF41" s="549"/>
      <c r="UOG41" s="549"/>
      <c r="UOH41" s="549"/>
      <c r="UOI41" s="549"/>
      <c r="UOJ41" s="549"/>
      <c r="UOK41" s="549"/>
      <c r="UOL41" s="549"/>
      <c r="UOM41" s="549"/>
      <c r="UON41" s="549"/>
      <c r="UOO41" s="549"/>
      <c r="UOP41" s="549"/>
      <c r="UOQ41" s="549"/>
      <c r="UOR41" s="549"/>
      <c r="UOS41" s="549"/>
      <c r="UOT41" s="549"/>
      <c r="UOU41" s="549"/>
      <c r="UOV41" s="549"/>
      <c r="UOW41" s="549"/>
      <c r="UOX41" s="549"/>
      <c r="UOY41" s="549"/>
      <c r="UOZ41" s="549"/>
      <c r="UPA41" s="549"/>
      <c r="UPB41" s="549"/>
      <c r="UPC41" s="549"/>
      <c r="UPD41" s="549"/>
      <c r="UPE41" s="549"/>
      <c r="UPF41" s="549"/>
      <c r="UPG41" s="549"/>
      <c r="UPH41" s="549"/>
      <c r="UPI41" s="549"/>
      <c r="UPJ41" s="549"/>
      <c r="UPK41" s="549"/>
      <c r="UPL41" s="549"/>
      <c r="UPM41" s="549"/>
      <c r="UPN41" s="549"/>
      <c r="UPO41" s="549"/>
      <c r="UPP41" s="549"/>
      <c r="UPQ41" s="549"/>
      <c r="UPR41" s="549"/>
      <c r="UPS41" s="549"/>
      <c r="UPT41" s="549"/>
      <c r="UPU41" s="549"/>
      <c r="UPV41" s="549"/>
      <c r="UPW41" s="549"/>
      <c r="UPX41" s="549"/>
      <c r="UPY41" s="549"/>
      <c r="UPZ41" s="549"/>
      <c r="UQA41" s="549"/>
      <c r="UQB41" s="549"/>
      <c r="UQC41" s="549"/>
      <c r="UQD41" s="549"/>
      <c r="UQE41" s="549"/>
      <c r="UQF41" s="549"/>
      <c r="UQG41" s="549"/>
      <c r="UQH41" s="549"/>
      <c r="UQI41" s="549"/>
      <c r="UQJ41" s="549"/>
      <c r="UQK41" s="549"/>
      <c r="UQL41" s="549"/>
      <c r="UQM41" s="549"/>
      <c r="UQN41" s="549"/>
      <c r="UQO41" s="549"/>
      <c r="UQP41" s="549"/>
      <c r="UQQ41" s="549"/>
      <c r="UQR41" s="549"/>
      <c r="UQS41" s="549"/>
      <c r="UQT41" s="549"/>
      <c r="UQU41" s="549"/>
      <c r="UQV41" s="549"/>
      <c r="UQW41" s="549"/>
      <c r="UQX41" s="549"/>
      <c r="UQY41" s="549"/>
      <c r="UQZ41" s="549"/>
      <c r="URA41" s="549"/>
      <c r="URB41" s="549"/>
      <c r="URC41" s="549"/>
      <c r="URD41" s="549"/>
      <c r="URE41" s="549"/>
      <c r="URF41" s="549"/>
      <c r="URG41" s="549"/>
      <c r="URH41" s="549"/>
      <c r="URI41" s="549"/>
      <c r="URJ41" s="549"/>
      <c r="URK41" s="549"/>
      <c r="URL41" s="549"/>
      <c r="URM41" s="549"/>
      <c r="URN41" s="549"/>
      <c r="URO41" s="549"/>
      <c r="URP41" s="549"/>
      <c r="URQ41" s="549"/>
      <c r="URR41" s="549"/>
      <c r="URS41" s="549"/>
      <c r="URT41" s="549"/>
      <c r="URU41" s="549"/>
      <c r="URV41" s="549"/>
      <c r="URW41" s="549"/>
      <c r="URX41" s="549"/>
      <c r="URY41" s="549"/>
      <c r="URZ41" s="549"/>
      <c r="USA41" s="549"/>
      <c r="USB41" s="549"/>
      <c r="USC41" s="549"/>
      <c r="USD41" s="549"/>
      <c r="USE41" s="549"/>
      <c r="USF41" s="549"/>
      <c r="USG41" s="549"/>
      <c r="USH41" s="549"/>
      <c r="USI41" s="549"/>
      <c r="USJ41" s="549"/>
      <c r="USK41" s="549"/>
      <c r="USL41" s="549"/>
      <c r="USM41" s="549"/>
      <c r="USN41" s="549"/>
      <c r="USO41" s="549"/>
      <c r="USP41" s="549"/>
      <c r="USQ41" s="549"/>
      <c r="USR41" s="549"/>
      <c r="USS41" s="549"/>
      <c r="UST41" s="549"/>
      <c r="USU41" s="549"/>
      <c r="USV41" s="549"/>
      <c r="USW41" s="549"/>
      <c r="USX41" s="549"/>
      <c r="USY41" s="549"/>
      <c r="USZ41" s="549"/>
      <c r="UTA41" s="549"/>
      <c r="UTB41" s="549"/>
      <c r="UTC41" s="549"/>
      <c r="UTD41" s="549"/>
      <c r="UTE41" s="549"/>
      <c r="UTF41" s="549"/>
      <c r="UTG41" s="549"/>
      <c r="UTH41" s="549"/>
      <c r="UTI41" s="549"/>
      <c r="UTJ41" s="549"/>
      <c r="UTK41" s="549"/>
      <c r="UTL41" s="549"/>
      <c r="UTM41" s="549"/>
      <c r="UTN41" s="549"/>
      <c r="UTO41" s="549"/>
      <c r="UTP41" s="549"/>
      <c r="UTQ41" s="549"/>
      <c r="UTR41" s="549"/>
      <c r="UTS41" s="549"/>
      <c r="UTT41" s="549"/>
      <c r="UTU41" s="549"/>
      <c r="UTV41" s="549"/>
      <c r="UTW41" s="549"/>
      <c r="UTX41" s="549"/>
      <c r="UTY41" s="549"/>
      <c r="UTZ41" s="549"/>
      <c r="UUA41" s="549"/>
      <c r="UUB41" s="549"/>
      <c r="UUC41" s="549"/>
      <c r="UUD41" s="549"/>
      <c r="UUE41" s="549"/>
      <c r="UUF41" s="549"/>
      <c r="UUG41" s="549"/>
      <c r="UUH41" s="549"/>
      <c r="UUI41" s="549"/>
      <c r="UUJ41" s="549"/>
      <c r="UUK41" s="549"/>
      <c r="UUL41" s="549"/>
      <c r="UUM41" s="549"/>
      <c r="UUN41" s="549"/>
      <c r="UUO41" s="549"/>
      <c r="UUP41" s="549"/>
      <c r="UUQ41" s="549"/>
      <c r="UUR41" s="549"/>
      <c r="UUS41" s="549"/>
      <c r="UUT41" s="549"/>
      <c r="UUU41" s="549"/>
      <c r="UUV41" s="549"/>
      <c r="UUW41" s="549"/>
      <c r="UUX41" s="549"/>
      <c r="UUY41" s="549"/>
      <c r="UUZ41" s="549"/>
      <c r="UVA41" s="549"/>
      <c r="UVB41" s="549"/>
      <c r="UVC41" s="549"/>
      <c r="UVD41" s="549"/>
      <c r="UVE41" s="549"/>
      <c r="UVF41" s="549"/>
      <c r="UVG41" s="549"/>
      <c r="UVH41" s="549"/>
      <c r="UVI41" s="549"/>
      <c r="UVJ41" s="549"/>
      <c r="UVK41" s="549"/>
      <c r="UVL41" s="549"/>
      <c r="UVM41" s="549"/>
      <c r="UVN41" s="549"/>
      <c r="UVO41" s="549"/>
      <c r="UVP41" s="549"/>
      <c r="UVQ41" s="549"/>
      <c r="UVR41" s="549"/>
      <c r="UVS41" s="549"/>
      <c r="UVT41" s="549"/>
      <c r="UVU41" s="549"/>
      <c r="UVV41" s="549"/>
      <c r="UVW41" s="549"/>
      <c r="UVX41" s="549"/>
      <c r="UVY41" s="549"/>
      <c r="UVZ41" s="549"/>
      <c r="UWA41" s="549"/>
      <c r="UWB41" s="549"/>
      <c r="UWC41" s="549"/>
      <c r="UWD41" s="549"/>
      <c r="UWE41" s="549"/>
      <c r="UWF41" s="549"/>
      <c r="UWG41" s="549"/>
      <c r="UWH41" s="549"/>
      <c r="UWI41" s="549"/>
      <c r="UWJ41" s="549"/>
      <c r="UWK41" s="549"/>
      <c r="UWL41" s="549"/>
      <c r="UWM41" s="549"/>
      <c r="UWN41" s="549"/>
      <c r="UWO41" s="549"/>
      <c r="UWP41" s="549"/>
      <c r="UWQ41" s="549"/>
      <c r="UWR41" s="549"/>
      <c r="UWS41" s="549"/>
      <c r="UWT41" s="549"/>
      <c r="UWU41" s="549"/>
      <c r="UWV41" s="549"/>
      <c r="UWW41" s="549"/>
      <c r="UWX41" s="549"/>
      <c r="UWY41" s="549"/>
      <c r="UWZ41" s="549"/>
      <c r="UXA41" s="549"/>
      <c r="UXB41" s="549"/>
      <c r="UXC41" s="549"/>
      <c r="UXD41" s="549"/>
      <c r="UXE41" s="549"/>
      <c r="UXF41" s="549"/>
      <c r="UXG41" s="549"/>
      <c r="UXH41" s="549"/>
      <c r="UXI41" s="549"/>
      <c r="UXJ41" s="549"/>
      <c r="UXK41" s="549"/>
      <c r="UXL41" s="549"/>
      <c r="UXM41" s="549"/>
      <c r="UXN41" s="549"/>
      <c r="UXO41" s="549"/>
      <c r="UXP41" s="549"/>
      <c r="UXQ41" s="549"/>
      <c r="UXR41" s="549"/>
      <c r="UXS41" s="549"/>
      <c r="UXT41" s="549"/>
      <c r="UXU41" s="549"/>
      <c r="UXV41" s="549"/>
      <c r="UXW41" s="549"/>
      <c r="UXX41" s="549"/>
      <c r="UXY41" s="549"/>
      <c r="UXZ41" s="549"/>
      <c r="UYA41" s="549"/>
      <c r="UYB41" s="549"/>
      <c r="UYC41" s="549"/>
      <c r="UYD41" s="549"/>
      <c r="UYE41" s="549"/>
      <c r="UYF41" s="549"/>
      <c r="UYG41" s="549"/>
      <c r="UYH41" s="549"/>
      <c r="UYI41" s="549"/>
      <c r="UYJ41" s="549"/>
      <c r="UYK41" s="549"/>
      <c r="UYL41" s="549"/>
      <c r="UYM41" s="549"/>
      <c r="UYN41" s="549"/>
      <c r="UYO41" s="549"/>
      <c r="UYP41" s="549"/>
      <c r="UYQ41" s="549"/>
      <c r="UYR41" s="549"/>
      <c r="UYS41" s="549"/>
      <c r="UYT41" s="549"/>
      <c r="UYU41" s="549"/>
      <c r="UYV41" s="549"/>
      <c r="UYW41" s="549"/>
      <c r="UYX41" s="549"/>
      <c r="UYY41" s="549"/>
      <c r="UYZ41" s="549"/>
      <c r="UZA41" s="549"/>
      <c r="UZB41" s="549"/>
      <c r="UZC41" s="549"/>
      <c r="UZD41" s="549"/>
      <c r="UZE41" s="549"/>
      <c r="UZF41" s="549"/>
      <c r="UZG41" s="549"/>
      <c r="UZH41" s="549"/>
      <c r="UZI41" s="549"/>
      <c r="UZJ41" s="549"/>
      <c r="UZK41" s="549"/>
      <c r="UZL41" s="549"/>
      <c r="UZM41" s="549"/>
      <c r="UZN41" s="549"/>
      <c r="UZO41" s="549"/>
      <c r="UZP41" s="549"/>
      <c r="UZQ41" s="549"/>
      <c r="UZR41" s="549"/>
      <c r="UZS41" s="549"/>
      <c r="UZT41" s="549"/>
      <c r="UZU41" s="549"/>
      <c r="UZV41" s="549"/>
      <c r="UZW41" s="549"/>
      <c r="UZX41" s="549"/>
      <c r="UZY41" s="549"/>
      <c r="UZZ41" s="549"/>
      <c r="VAA41" s="549"/>
      <c r="VAB41" s="549"/>
      <c r="VAC41" s="549"/>
      <c r="VAD41" s="549"/>
      <c r="VAE41" s="549"/>
      <c r="VAF41" s="549"/>
      <c r="VAG41" s="549"/>
      <c r="VAH41" s="549"/>
      <c r="VAI41" s="549"/>
      <c r="VAJ41" s="549"/>
      <c r="VAK41" s="549"/>
      <c r="VAL41" s="549"/>
      <c r="VAM41" s="549"/>
      <c r="VAN41" s="549"/>
      <c r="VAO41" s="549"/>
      <c r="VAP41" s="549"/>
      <c r="VAQ41" s="549"/>
      <c r="VAR41" s="549"/>
      <c r="VAS41" s="549"/>
      <c r="VAT41" s="549"/>
      <c r="VAU41" s="549"/>
      <c r="VAV41" s="549"/>
      <c r="VAW41" s="549"/>
      <c r="VAX41" s="549"/>
      <c r="VAY41" s="549"/>
      <c r="VAZ41" s="549"/>
      <c r="VBA41" s="549"/>
      <c r="VBB41" s="549"/>
      <c r="VBC41" s="549"/>
      <c r="VBD41" s="549"/>
      <c r="VBE41" s="549"/>
      <c r="VBF41" s="549"/>
      <c r="VBG41" s="549"/>
      <c r="VBH41" s="549"/>
      <c r="VBI41" s="549"/>
      <c r="VBJ41" s="549"/>
      <c r="VBK41" s="549"/>
      <c r="VBL41" s="549"/>
      <c r="VBM41" s="549"/>
      <c r="VBN41" s="549"/>
      <c r="VBO41" s="549"/>
      <c r="VBP41" s="549"/>
      <c r="VBQ41" s="549"/>
      <c r="VBR41" s="549"/>
      <c r="VBS41" s="549"/>
      <c r="VBT41" s="549"/>
      <c r="VBU41" s="549"/>
      <c r="VBV41" s="549"/>
      <c r="VBW41" s="549"/>
      <c r="VBX41" s="549"/>
      <c r="VBY41" s="549"/>
      <c r="VBZ41" s="549"/>
      <c r="VCA41" s="549"/>
      <c r="VCB41" s="549"/>
      <c r="VCC41" s="549"/>
      <c r="VCD41" s="549"/>
      <c r="VCE41" s="549"/>
      <c r="VCF41" s="549"/>
      <c r="VCG41" s="549"/>
      <c r="VCH41" s="549"/>
      <c r="VCI41" s="549"/>
      <c r="VCJ41" s="549"/>
      <c r="VCK41" s="549"/>
      <c r="VCL41" s="549"/>
      <c r="VCM41" s="549"/>
      <c r="VCN41" s="549"/>
      <c r="VCO41" s="549"/>
      <c r="VCP41" s="549"/>
      <c r="VCQ41" s="549"/>
      <c r="VCR41" s="549"/>
      <c r="VCS41" s="549"/>
      <c r="VCT41" s="549"/>
      <c r="VCU41" s="549"/>
      <c r="VCV41" s="549"/>
      <c r="VCW41" s="549"/>
      <c r="VCX41" s="549"/>
      <c r="VCY41" s="549"/>
      <c r="VCZ41" s="549"/>
      <c r="VDA41" s="549"/>
      <c r="VDB41" s="549"/>
      <c r="VDC41" s="549"/>
      <c r="VDD41" s="549"/>
      <c r="VDE41" s="549"/>
      <c r="VDF41" s="549"/>
      <c r="VDG41" s="549"/>
      <c r="VDH41" s="549"/>
      <c r="VDI41" s="549"/>
      <c r="VDJ41" s="549"/>
      <c r="VDK41" s="549"/>
      <c r="VDL41" s="549"/>
      <c r="VDM41" s="549"/>
      <c r="VDN41" s="549"/>
      <c r="VDO41" s="549"/>
      <c r="VDP41" s="549"/>
      <c r="VDQ41" s="549"/>
      <c r="VDR41" s="549"/>
      <c r="VDS41" s="549"/>
      <c r="VDT41" s="549"/>
      <c r="VDU41" s="549"/>
      <c r="VDV41" s="549"/>
      <c r="VDW41" s="549"/>
      <c r="VDX41" s="549"/>
      <c r="VDY41" s="549"/>
      <c r="VDZ41" s="549"/>
      <c r="VEA41" s="549"/>
      <c r="VEB41" s="549"/>
      <c r="VEC41" s="549"/>
      <c r="VED41" s="549"/>
      <c r="VEE41" s="549"/>
      <c r="VEF41" s="549"/>
      <c r="VEG41" s="549"/>
      <c r="VEH41" s="549"/>
      <c r="VEI41" s="549"/>
      <c r="VEJ41" s="549"/>
      <c r="VEK41" s="549"/>
      <c r="VEL41" s="549"/>
      <c r="VEM41" s="549"/>
      <c r="VEN41" s="549"/>
      <c r="VEO41" s="549"/>
      <c r="VEP41" s="549"/>
      <c r="VEQ41" s="549"/>
      <c r="VER41" s="549"/>
      <c r="VES41" s="549"/>
      <c r="VET41" s="549"/>
      <c r="VEU41" s="549"/>
      <c r="VEV41" s="549"/>
      <c r="VEW41" s="549"/>
      <c r="VEX41" s="549"/>
      <c r="VEY41" s="549"/>
      <c r="VEZ41" s="549"/>
      <c r="VFA41" s="549"/>
      <c r="VFB41" s="549"/>
      <c r="VFC41" s="549"/>
      <c r="VFD41" s="549"/>
      <c r="VFE41" s="549"/>
      <c r="VFF41" s="549"/>
      <c r="VFG41" s="549"/>
      <c r="VFH41" s="549"/>
      <c r="VFI41" s="549"/>
      <c r="VFJ41" s="549"/>
      <c r="VFK41" s="549"/>
      <c r="VFL41" s="549"/>
      <c r="VFM41" s="549"/>
      <c r="VFN41" s="549"/>
      <c r="VFO41" s="549"/>
      <c r="VFP41" s="549"/>
      <c r="VFQ41" s="549"/>
      <c r="VFR41" s="549"/>
      <c r="VFS41" s="549"/>
      <c r="VFT41" s="549"/>
      <c r="VFU41" s="549"/>
      <c r="VFV41" s="549"/>
      <c r="VFW41" s="549"/>
      <c r="VFX41" s="549"/>
      <c r="VFY41" s="549"/>
      <c r="VFZ41" s="549"/>
      <c r="VGA41" s="549"/>
      <c r="VGB41" s="549"/>
      <c r="VGC41" s="549"/>
      <c r="VGD41" s="549"/>
      <c r="VGE41" s="549"/>
      <c r="VGF41" s="549"/>
      <c r="VGG41" s="549"/>
      <c r="VGH41" s="549"/>
      <c r="VGI41" s="549"/>
      <c r="VGJ41" s="549"/>
      <c r="VGK41" s="549"/>
      <c r="VGL41" s="549"/>
      <c r="VGM41" s="549"/>
      <c r="VGN41" s="549"/>
      <c r="VGO41" s="549"/>
      <c r="VGP41" s="549"/>
      <c r="VGQ41" s="549"/>
      <c r="VGR41" s="549"/>
      <c r="VGS41" s="549"/>
      <c r="VGT41" s="549"/>
      <c r="VGU41" s="549"/>
      <c r="VGV41" s="549"/>
      <c r="VGW41" s="549"/>
      <c r="VGX41" s="549"/>
      <c r="VGY41" s="549"/>
      <c r="VGZ41" s="549"/>
      <c r="VHA41" s="549"/>
      <c r="VHB41" s="549"/>
      <c r="VHC41" s="549"/>
      <c r="VHD41" s="549"/>
      <c r="VHE41" s="549"/>
      <c r="VHF41" s="549"/>
      <c r="VHG41" s="549"/>
      <c r="VHH41" s="549"/>
      <c r="VHI41" s="549"/>
      <c r="VHJ41" s="549"/>
      <c r="VHK41" s="549"/>
      <c r="VHL41" s="549"/>
      <c r="VHM41" s="549"/>
      <c r="VHN41" s="549"/>
      <c r="VHO41" s="549"/>
      <c r="VHP41" s="549"/>
      <c r="VHQ41" s="549"/>
      <c r="VHR41" s="549"/>
      <c r="VHS41" s="549"/>
      <c r="VHT41" s="549"/>
      <c r="VHU41" s="549"/>
      <c r="VHV41" s="549"/>
      <c r="VHW41" s="549"/>
      <c r="VHX41" s="549"/>
      <c r="VHY41" s="549"/>
      <c r="VHZ41" s="549"/>
      <c r="VIA41" s="549"/>
      <c r="VIB41" s="549"/>
      <c r="VIC41" s="549"/>
      <c r="VID41" s="549"/>
      <c r="VIE41" s="549"/>
      <c r="VIF41" s="549"/>
      <c r="VIG41" s="549"/>
      <c r="VIH41" s="549"/>
      <c r="VII41" s="549"/>
      <c r="VIJ41" s="549"/>
      <c r="VIK41" s="549"/>
      <c r="VIL41" s="549"/>
      <c r="VIM41" s="549"/>
      <c r="VIN41" s="549"/>
      <c r="VIO41" s="549"/>
      <c r="VIP41" s="549"/>
      <c r="VIQ41" s="549"/>
      <c r="VIR41" s="549"/>
      <c r="VIS41" s="549"/>
      <c r="VIT41" s="549"/>
      <c r="VIU41" s="549"/>
      <c r="VIV41" s="549"/>
      <c r="VIW41" s="549"/>
      <c r="VIX41" s="549"/>
      <c r="VIY41" s="549"/>
      <c r="VIZ41" s="549"/>
      <c r="VJA41" s="549"/>
      <c r="VJB41" s="549"/>
      <c r="VJC41" s="549"/>
      <c r="VJD41" s="549"/>
      <c r="VJE41" s="549"/>
      <c r="VJF41" s="549"/>
      <c r="VJG41" s="549"/>
      <c r="VJH41" s="549"/>
      <c r="VJI41" s="549"/>
      <c r="VJJ41" s="549"/>
      <c r="VJK41" s="549"/>
      <c r="VJL41" s="549"/>
      <c r="VJM41" s="549"/>
      <c r="VJN41" s="549"/>
      <c r="VJO41" s="549"/>
      <c r="VJP41" s="549"/>
      <c r="VJQ41" s="549"/>
      <c r="VJR41" s="549"/>
      <c r="VJS41" s="549"/>
      <c r="VJT41" s="549"/>
      <c r="VJU41" s="549"/>
      <c r="VJV41" s="549"/>
      <c r="VJW41" s="549"/>
      <c r="VJX41" s="549"/>
      <c r="VJY41" s="549"/>
      <c r="VJZ41" s="549"/>
      <c r="VKA41" s="549"/>
      <c r="VKB41" s="549"/>
      <c r="VKC41" s="549"/>
      <c r="VKD41" s="549"/>
      <c r="VKE41" s="549"/>
      <c r="VKF41" s="549"/>
      <c r="VKG41" s="549"/>
      <c r="VKH41" s="549"/>
      <c r="VKI41" s="549"/>
      <c r="VKJ41" s="549"/>
      <c r="VKK41" s="549"/>
      <c r="VKL41" s="549"/>
      <c r="VKM41" s="549"/>
      <c r="VKN41" s="549"/>
      <c r="VKO41" s="549"/>
      <c r="VKP41" s="549"/>
      <c r="VKQ41" s="549"/>
      <c r="VKR41" s="549"/>
      <c r="VKS41" s="549"/>
      <c r="VKT41" s="549"/>
      <c r="VKU41" s="549"/>
      <c r="VKV41" s="549"/>
      <c r="VKW41" s="549"/>
      <c r="VKX41" s="549"/>
      <c r="VKY41" s="549"/>
      <c r="VKZ41" s="549"/>
      <c r="VLA41" s="549"/>
      <c r="VLB41" s="549"/>
      <c r="VLC41" s="549"/>
      <c r="VLD41" s="549"/>
      <c r="VLE41" s="549"/>
      <c r="VLF41" s="549"/>
      <c r="VLG41" s="549"/>
      <c r="VLH41" s="549"/>
      <c r="VLI41" s="549"/>
      <c r="VLJ41" s="549"/>
      <c r="VLK41" s="549"/>
      <c r="VLL41" s="549"/>
      <c r="VLM41" s="549"/>
      <c r="VLN41" s="549"/>
      <c r="VLO41" s="549"/>
      <c r="VLP41" s="549"/>
      <c r="VLQ41" s="549"/>
      <c r="VLR41" s="549"/>
      <c r="VLS41" s="549"/>
      <c r="VLT41" s="549"/>
      <c r="VLU41" s="549"/>
      <c r="VLV41" s="549"/>
      <c r="VLW41" s="549"/>
      <c r="VLX41" s="549"/>
      <c r="VLY41" s="549"/>
      <c r="VLZ41" s="549"/>
      <c r="VMA41" s="549"/>
      <c r="VMB41" s="549"/>
      <c r="VMC41" s="549"/>
      <c r="VMD41" s="549"/>
      <c r="VME41" s="549"/>
      <c r="VMF41" s="549"/>
      <c r="VMG41" s="549"/>
      <c r="VMH41" s="549"/>
      <c r="VMI41" s="549"/>
      <c r="VMJ41" s="549"/>
      <c r="VMK41" s="549"/>
      <c r="VML41" s="549"/>
      <c r="VMM41" s="549"/>
      <c r="VMN41" s="549"/>
      <c r="VMO41" s="549"/>
      <c r="VMP41" s="549"/>
      <c r="VMQ41" s="549"/>
      <c r="VMR41" s="549"/>
      <c r="VMS41" s="549"/>
      <c r="VMT41" s="549"/>
      <c r="VMU41" s="549"/>
      <c r="VMV41" s="549"/>
      <c r="VMW41" s="549"/>
      <c r="VMX41" s="549"/>
      <c r="VMY41" s="549"/>
      <c r="VMZ41" s="549"/>
      <c r="VNA41" s="549"/>
      <c r="VNB41" s="549"/>
      <c r="VNC41" s="549"/>
      <c r="VND41" s="549"/>
      <c r="VNE41" s="549"/>
      <c r="VNF41" s="549"/>
      <c r="VNG41" s="549"/>
      <c r="VNH41" s="549"/>
      <c r="VNI41" s="549"/>
      <c r="VNJ41" s="549"/>
      <c r="VNK41" s="549"/>
      <c r="VNL41" s="549"/>
      <c r="VNM41" s="549"/>
      <c r="VNN41" s="549"/>
      <c r="VNO41" s="549"/>
      <c r="VNP41" s="549"/>
      <c r="VNQ41" s="549"/>
      <c r="VNR41" s="549"/>
      <c r="VNS41" s="549"/>
      <c r="VNT41" s="549"/>
      <c r="VNU41" s="549"/>
      <c r="VNV41" s="549"/>
      <c r="VNW41" s="549"/>
      <c r="VNX41" s="549"/>
      <c r="VNY41" s="549"/>
      <c r="VNZ41" s="549"/>
      <c r="VOA41" s="549"/>
      <c r="VOB41" s="549"/>
      <c r="VOC41" s="549"/>
      <c r="VOD41" s="549"/>
      <c r="VOE41" s="549"/>
      <c r="VOF41" s="549"/>
      <c r="VOG41" s="549"/>
      <c r="VOH41" s="549"/>
      <c r="VOI41" s="549"/>
      <c r="VOJ41" s="549"/>
      <c r="VOK41" s="549"/>
      <c r="VOL41" s="549"/>
      <c r="VOM41" s="549"/>
      <c r="VON41" s="549"/>
      <c r="VOO41" s="549"/>
      <c r="VOP41" s="549"/>
      <c r="VOQ41" s="549"/>
      <c r="VOR41" s="549"/>
      <c r="VOS41" s="549"/>
      <c r="VOT41" s="549"/>
      <c r="VOU41" s="549"/>
      <c r="VOV41" s="549"/>
      <c r="VOW41" s="549"/>
      <c r="VOX41" s="549"/>
      <c r="VOY41" s="549"/>
      <c r="VOZ41" s="549"/>
      <c r="VPA41" s="549"/>
      <c r="VPB41" s="549"/>
      <c r="VPC41" s="549"/>
      <c r="VPD41" s="549"/>
      <c r="VPE41" s="549"/>
      <c r="VPF41" s="549"/>
      <c r="VPG41" s="549"/>
      <c r="VPH41" s="549"/>
      <c r="VPI41" s="549"/>
      <c r="VPJ41" s="549"/>
      <c r="VPK41" s="549"/>
      <c r="VPL41" s="549"/>
      <c r="VPM41" s="549"/>
      <c r="VPN41" s="549"/>
      <c r="VPO41" s="549"/>
      <c r="VPP41" s="549"/>
      <c r="VPQ41" s="549"/>
      <c r="VPR41" s="549"/>
      <c r="VPS41" s="549"/>
      <c r="VPT41" s="549"/>
      <c r="VPU41" s="549"/>
      <c r="VPV41" s="549"/>
      <c r="VPW41" s="549"/>
      <c r="VPX41" s="549"/>
      <c r="VPY41" s="549"/>
      <c r="VPZ41" s="549"/>
      <c r="VQA41" s="549"/>
      <c r="VQB41" s="549"/>
      <c r="VQC41" s="549"/>
      <c r="VQD41" s="549"/>
      <c r="VQE41" s="549"/>
      <c r="VQF41" s="549"/>
      <c r="VQG41" s="549"/>
      <c r="VQH41" s="549"/>
      <c r="VQI41" s="549"/>
      <c r="VQJ41" s="549"/>
      <c r="VQK41" s="549"/>
      <c r="VQL41" s="549"/>
      <c r="VQM41" s="549"/>
      <c r="VQN41" s="549"/>
      <c r="VQO41" s="549"/>
      <c r="VQP41" s="549"/>
      <c r="VQQ41" s="549"/>
      <c r="VQR41" s="549"/>
      <c r="VQS41" s="549"/>
      <c r="VQT41" s="549"/>
      <c r="VQU41" s="549"/>
      <c r="VQV41" s="549"/>
      <c r="VQW41" s="549"/>
      <c r="VQX41" s="549"/>
      <c r="VQY41" s="549"/>
      <c r="VQZ41" s="549"/>
      <c r="VRA41" s="549"/>
      <c r="VRB41" s="549"/>
      <c r="VRC41" s="549"/>
      <c r="VRD41" s="549"/>
      <c r="VRE41" s="549"/>
      <c r="VRF41" s="549"/>
      <c r="VRG41" s="549"/>
      <c r="VRH41" s="549"/>
      <c r="VRI41" s="549"/>
      <c r="VRJ41" s="549"/>
      <c r="VRK41" s="549"/>
      <c r="VRL41" s="549"/>
      <c r="VRM41" s="549"/>
      <c r="VRN41" s="549"/>
      <c r="VRO41" s="549"/>
      <c r="VRP41" s="549"/>
      <c r="VRQ41" s="549"/>
      <c r="VRR41" s="549"/>
      <c r="VRS41" s="549"/>
      <c r="VRT41" s="549"/>
      <c r="VRU41" s="549"/>
      <c r="VRV41" s="549"/>
      <c r="VRW41" s="549"/>
      <c r="VRX41" s="549"/>
      <c r="VRY41" s="549"/>
      <c r="VRZ41" s="549"/>
      <c r="VSA41" s="549"/>
      <c r="VSB41" s="549"/>
      <c r="VSC41" s="549"/>
      <c r="VSD41" s="549"/>
      <c r="VSE41" s="549"/>
      <c r="VSF41" s="549"/>
      <c r="VSG41" s="549"/>
      <c r="VSH41" s="549"/>
      <c r="VSI41" s="549"/>
      <c r="VSJ41" s="549"/>
      <c r="VSK41" s="549"/>
      <c r="VSL41" s="549"/>
      <c r="VSM41" s="549"/>
      <c r="VSN41" s="549"/>
      <c r="VSO41" s="549"/>
      <c r="VSP41" s="549"/>
      <c r="VSQ41" s="549"/>
      <c r="VSR41" s="549"/>
      <c r="VSS41" s="549"/>
      <c r="VST41" s="549"/>
      <c r="VSU41" s="549"/>
      <c r="VSV41" s="549"/>
      <c r="VSW41" s="549"/>
      <c r="VSX41" s="549"/>
      <c r="VSY41" s="549"/>
      <c r="VSZ41" s="549"/>
      <c r="VTA41" s="549"/>
      <c r="VTB41" s="549"/>
      <c r="VTC41" s="549"/>
      <c r="VTD41" s="549"/>
      <c r="VTE41" s="549"/>
      <c r="VTF41" s="549"/>
      <c r="VTG41" s="549"/>
      <c r="VTH41" s="549"/>
      <c r="VTI41" s="549"/>
      <c r="VTJ41" s="549"/>
      <c r="VTK41" s="549"/>
      <c r="VTL41" s="549"/>
      <c r="VTM41" s="549"/>
      <c r="VTN41" s="549"/>
      <c r="VTO41" s="549"/>
      <c r="VTP41" s="549"/>
      <c r="VTQ41" s="549"/>
      <c r="VTR41" s="549"/>
      <c r="VTS41" s="549"/>
      <c r="VTT41" s="549"/>
      <c r="VTU41" s="549"/>
      <c r="VTV41" s="549"/>
      <c r="VTW41" s="549"/>
      <c r="VTX41" s="549"/>
      <c r="VTY41" s="549"/>
      <c r="VTZ41" s="549"/>
      <c r="VUA41" s="549"/>
      <c r="VUB41" s="549"/>
      <c r="VUC41" s="549"/>
      <c r="VUD41" s="549"/>
      <c r="VUE41" s="549"/>
      <c r="VUF41" s="549"/>
      <c r="VUG41" s="549"/>
      <c r="VUH41" s="549"/>
      <c r="VUI41" s="549"/>
      <c r="VUJ41" s="549"/>
      <c r="VUK41" s="549"/>
      <c r="VUL41" s="549"/>
      <c r="VUM41" s="549"/>
      <c r="VUN41" s="549"/>
      <c r="VUO41" s="549"/>
      <c r="VUP41" s="549"/>
      <c r="VUQ41" s="549"/>
      <c r="VUR41" s="549"/>
      <c r="VUS41" s="549"/>
      <c r="VUT41" s="549"/>
      <c r="VUU41" s="549"/>
      <c r="VUV41" s="549"/>
      <c r="VUW41" s="549"/>
      <c r="VUX41" s="549"/>
      <c r="VUY41" s="549"/>
      <c r="VUZ41" s="549"/>
      <c r="VVA41" s="549"/>
      <c r="VVB41" s="549"/>
      <c r="VVC41" s="549"/>
      <c r="VVD41" s="549"/>
      <c r="VVE41" s="549"/>
      <c r="VVF41" s="549"/>
      <c r="VVG41" s="549"/>
      <c r="VVH41" s="549"/>
      <c r="VVI41" s="549"/>
      <c r="VVJ41" s="549"/>
      <c r="VVK41" s="549"/>
      <c r="VVL41" s="549"/>
      <c r="VVM41" s="549"/>
      <c r="VVN41" s="549"/>
      <c r="VVO41" s="549"/>
      <c r="VVP41" s="549"/>
      <c r="VVQ41" s="549"/>
      <c r="VVR41" s="549"/>
      <c r="VVS41" s="549"/>
      <c r="VVT41" s="549"/>
      <c r="VVU41" s="549"/>
      <c r="VVV41" s="549"/>
      <c r="VVW41" s="549"/>
      <c r="VVX41" s="549"/>
      <c r="VVY41" s="549"/>
      <c r="VVZ41" s="549"/>
      <c r="VWA41" s="549"/>
      <c r="VWB41" s="549"/>
      <c r="VWC41" s="549"/>
      <c r="VWD41" s="549"/>
      <c r="VWE41" s="549"/>
      <c r="VWF41" s="549"/>
      <c r="VWG41" s="549"/>
      <c r="VWH41" s="549"/>
      <c r="VWI41" s="549"/>
      <c r="VWJ41" s="549"/>
      <c r="VWK41" s="549"/>
      <c r="VWL41" s="549"/>
      <c r="VWM41" s="549"/>
      <c r="VWN41" s="549"/>
      <c r="VWO41" s="549"/>
      <c r="VWP41" s="549"/>
      <c r="VWQ41" s="549"/>
      <c r="VWR41" s="549"/>
      <c r="VWS41" s="549"/>
      <c r="VWT41" s="549"/>
      <c r="VWU41" s="549"/>
      <c r="VWV41" s="549"/>
      <c r="VWW41" s="549"/>
      <c r="VWX41" s="549"/>
      <c r="VWY41" s="549"/>
      <c r="VWZ41" s="549"/>
      <c r="VXA41" s="549"/>
      <c r="VXB41" s="549"/>
      <c r="VXC41" s="549"/>
      <c r="VXD41" s="549"/>
      <c r="VXE41" s="549"/>
      <c r="VXF41" s="549"/>
      <c r="VXG41" s="549"/>
      <c r="VXH41" s="549"/>
      <c r="VXI41" s="549"/>
      <c r="VXJ41" s="549"/>
      <c r="VXK41" s="549"/>
      <c r="VXL41" s="549"/>
      <c r="VXM41" s="549"/>
      <c r="VXN41" s="549"/>
      <c r="VXO41" s="549"/>
      <c r="VXP41" s="549"/>
      <c r="VXQ41" s="549"/>
      <c r="VXR41" s="549"/>
      <c r="VXS41" s="549"/>
      <c r="VXT41" s="549"/>
      <c r="VXU41" s="549"/>
      <c r="VXV41" s="549"/>
      <c r="VXW41" s="549"/>
      <c r="VXX41" s="549"/>
      <c r="VXY41" s="549"/>
      <c r="VXZ41" s="549"/>
      <c r="VYA41" s="549"/>
      <c r="VYB41" s="549"/>
      <c r="VYC41" s="549"/>
      <c r="VYD41" s="549"/>
      <c r="VYE41" s="549"/>
      <c r="VYF41" s="549"/>
      <c r="VYG41" s="549"/>
      <c r="VYH41" s="549"/>
      <c r="VYI41" s="549"/>
      <c r="VYJ41" s="549"/>
      <c r="VYK41" s="549"/>
      <c r="VYL41" s="549"/>
      <c r="VYM41" s="549"/>
      <c r="VYN41" s="549"/>
      <c r="VYO41" s="549"/>
      <c r="VYP41" s="549"/>
      <c r="VYQ41" s="549"/>
      <c r="VYR41" s="549"/>
      <c r="VYS41" s="549"/>
      <c r="VYT41" s="549"/>
      <c r="VYU41" s="549"/>
      <c r="VYV41" s="549"/>
      <c r="VYW41" s="549"/>
      <c r="VYX41" s="549"/>
      <c r="VYY41" s="549"/>
      <c r="VYZ41" s="549"/>
      <c r="VZA41" s="549"/>
      <c r="VZB41" s="549"/>
      <c r="VZC41" s="549"/>
      <c r="VZD41" s="549"/>
      <c r="VZE41" s="549"/>
      <c r="VZF41" s="549"/>
      <c r="VZG41" s="549"/>
      <c r="VZH41" s="549"/>
      <c r="VZI41" s="549"/>
      <c r="VZJ41" s="549"/>
      <c r="VZK41" s="549"/>
      <c r="VZL41" s="549"/>
      <c r="VZM41" s="549"/>
      <c r="VZN41" s="549"/>
      <c r="VZO41" s="549"/>
      <c r="VZP41" s="549"/>
      <c r="VZQ41" s="549"/>
      <c r="VZR41" s="549"/>
      <c r="VZS41" s="549"/>
      <c r="VZT41" s="549"/>
      <c r="VZU41" s="549"/>
      <c r="VZV41" s="549"/>
      <c r="VZW41" s="549"/>
      <c r="VZX41" s="549"/>
      <c r="VZY41" s="549"/>
      <c r="VZZ41" s="549"/>
      <c r="WAA41" s="549"/>
      <c r="WAB41" s="549"/>
      <c r="WAC41" s="549"/>
      <c r="WAD41" s="549"/>
      <c r="WAE41" s="549"/>
      <c r="WAF41" s="549"/>
      <c r="WAG41" s="549"/>
      <c r="WAH41" s="549"/>
      <c r="WAI41" s="549"/>
      <c r="WAJ41" s="549"/>
      <c r="WAK41" s="549"/>
      <c r="WAL41" s="549"/>
      <c r="WAM41" s="549"/>
      <c r="WAN41" s="549"/>
      <c r="WAO41" s="549"/>
      <c r="WAP41" s="549"/>
      <c r="WAQ41" s="549"/>
      <c r="WAR41" s="549"/>
      <c r="WAS41" s="549"/>
      <c r="WAT41" s="549"/>
      <c r="WAU41" s="549"/>
      <c r="WAV41" s="549"/>
      <c r="WAW41" s="549"/>
      <c r="WAX41" s="549"/>
      <c r="WAY41" s="549"/>
      <c r="WAZ41" s="549"/>
      <c r="WBA41" s="549"/>
      <c r="WBB41" s="549"/>
      <c r="WBC41" s="549"/>
      <c r="WBD41" s="549"/>
      <c r="WBE41" s="549"/>
      <c r="WBF41" s="549"/>
      <c r="WBG41" s="549"/>
      <c r="WBH41" s="549"/>
      <c r="WBI41" s="549"/>
      <c r="WBJ41" s="549"/>
      <c r="WBK41" s="549"/>
      <c r="WBL41" s="549"/>
      <c r="WBM41" s="549"/>
      <c r="WBN41" s="549"/>
      <c r="WBO41" s="549"/>
      <c r="WBP41" s="549"/>
      <c r="WBQ41" s="549"/>
      <c r="WBR41" s="549"/>
      <c r="WBS41" s="549"/>
      <c r="WBT41" s="549"/>
      <c r="WBU41" s="549"/>
      <c r="WBV41" s="549"/>
      <c r="WBW41" s="549"/>
      <c r="WBX41" s="549"/>
      <c r="WBY41" s="549"/>
      <c r="WBZ41" s="549"/>
      <c r="WCA41" s="549"/>
      <c r="WCB41" s="549"/>
      <c r="WCC41" s="549"/>
      <c r="WCD41" s="549"/>
      <c r="WCE41" s="549"/>
      <c r="WCF41" s="549"/>
      <c r="WCG41" s="549"/>
      <c r="WCH41" s="549"/>
      <c r="WCI41" s="549"/>
      <c r="WCJ41" s="549"/>
      <c r="WCK41" s="549"/>
      <c r="WCL41" s="549"/>
      <c r="WCM41" s="549"/>
      <c r="WCN41" s="549"/>
      <c r="WCO41" s="549"/>
      <c r="WCP41" s="549"/>
      <c r="WCQ41" s="549"/>
      <c r="WCR41" s="549"/>
      <c r="WCS41" s="549"/>
      <c r="WCT41" s="549"/>
      <c r="WCU41" s="549"/>
      <c r="WCV41" s="549"/>
      <c r="WCW41" s="549"/>
      <c r="WCX41" s="549"/>
      <c r="WCY41" s="549"/>
      <c r="WCZ41" s="549"/>
      <c r="WDA41" s="549"/>
      <c r="WDB41" s="549"/>
      <c r="WDC41" s="549"/>
      <c r="WDD41" s="549"/>
      <c r="WDE41" s="549"/>
      <c r="WDF41" s="549"/>
      <c r="WDG41" s="549"/>
      <c r="WDH41" s="549"/>
      <c r="WDI41" s="549"/>
      <c r="WDJ41" s="549"/>
      <c r="WDK41" s="549"/>
      <c r="WDL41" s="549"/>
      <c r="WDM41" s="549"/>
      <c r="WDN41" s="549"/>
      <c r="WDO41" s="549"/>
      <c r="WDP41" s="549"/>
      <c r="WDQ41" s="549"/>
      <c r="WDR41" s="549"/>
      <c r="WDS41" s="549"/>
      <c r="WDT41" s="549"/>
      <c r="WDU41" s="549"/>
      <c r="WDV41" s="549"/>
      <c r="WDW41" s="549"/>
      <c r="WDX41" s="549"/>
      <c r="WDY41" s="549"/>
      <c r="WDZ41" s="549"/>
      <c r="WEA41" s="549"/>
      <c r="WEB41" s="549"/>
      <c r="WEC41" s="549"/>
      <c r="WED41" s="549"/>
      <c r="WEE41" s="549"/>
      <c r="WEF41" s="549"/>
      <c r="WEG41" s="549"/>
      <c r="WEH41" s="549"/>
      <c r="WEI41" s="549"/>
      <c r="WEJ41" s="549"/>
      <c r="WEK41" s="549"/>
      <c r="WEL41" s="549"/>
      <c r="WEM41" s="549"/>
      <c r="WEN41" s="549"/>
      <c r="WEO41" s="549"/>
      <c r="WEP41" s="549"/>
      <c r="WEQ41" s="549"/>
      <c r="WER41" s="549"/>
      <c r="WES41" s="549"/>
      <c r="WET41" s="549"/>
      <c r="WEU41" s="549"/>
      <c r="WEV41" s="549"/>
      <c r="WEW41" s="549"/>
      <c r="WEX41" s="549"/>
      <c r="WEY41" s="549"/>
      <c r="WEZ41" s="549"/>
      <c r="WFA41" s="549"/>
      <c r="WFB41" s="549"/>
      <c r="WFC41" s="549"/>
      <c r="WFD41" s="549"/>
      <c r="WFE41" s="549"/>
      <c r="WFF41" s="549"/>
      <c r="WFG41" s="549"/>
      <c r="WFH41" s="549"/>
      <c r="WFI41" s="549"/>
      <c r="WFJ41" s="549"/>
      <c r="WFK41" s="549"/>
      <c r="WFL41" s="549"/>
      <c r="WFM41" s="549"/>
      <c r="WFN41" s="549"/>
      <c r="WFO41" s="549"/>
      <c r="WFP41" s="549"/>
      <c r="WFQ41" s="549"/>
      <c r="WFR41" s="549"/>
      <c r="WFS41" s="549"/>
      <c r="WFT41" s="549"/>
      <c r="WFU41" s="549"/>
      <c r="WFV41" s="549"/>
      <c r="WFW41" s="549"/>
      <c r="WFX41" s="549"/>
      <c r="WFY41" s="549"/>
      <c r="WFZ41" s="549"/>
      <c r="WGA41" s="549"/>
      <c r="WGB41" s="549"/>
      <c r="WGC41" s="549"/>
      <c r="WGD41" s="549"/>
      <c r="WGE41" s="549"/>
      <c r="WGF41" s="549"/>
      <c r="WGG41" s="549"/>
      <c r="WGH41" s="549"/>
      <c r="WGI41" s="549"/>
      <c r="WGJ41" s="549"/>
      <c r="WGK41" s="549"/>
      <c r="WGL41" s="549"/>
      <c r="WGM41" s="549"/>
      <c r="WGN41" s="549"/>
      <c r="WGO41" s="549"/>
      <c r="WGP41" s="549"/>
      <c r="WGQ41" s="549"/>
      <c r="WGR41" s="549"/>
      <c r="WGS41" s="549"/>
      <c r="WGT41" s="549"/>
      <c r="WGU41" s="549"/>
      <c r="WGV41" s="549"/>
      <c r="WGW41" s="549"/>
      <c r="WGX41" s="549"/>
      <c r="WGY41" s="549"/>
      <c r="WGZ41" s="549"/>
      <c r="WHA41" s="549"/>
      <c r="WHB41" s="549"/>
      <c r="WHC41" s="549"/>
      <c r="WHD41" s="549"/>
      <c r="WHE41" s="549"/>
      <c r="WHF41" s="549"/>
      <c r="WHG41" s="549"/>
      <c r="WHH41" s="549"/>
      <c r="WHI41" s="549"/>
      <c r="WHJ41" s="549"/>
      <c r="WHK41" s="549"/>
      <c r="WHL41" s="549"/>
      <c r="WHM41" s="549"/>
      <c r="WHN41" s="549"/>
      <c r="WHO41" s="549"/>
      <c r="WHP41" s="549"/>
      <c r="WHQ41" s="549"/>
      <c r="WHR41" s="549"/>
      <c r="WHS41" s="549"/>
      <c r="WHT41" s="549"/>
      <c r="WHU41" s="549"/>
      <c r="WHV41" s="549"/>
      <c r="WHW41" s="549"/>
      <c r="WHX41" s="549"/>
      <c r="WHY41" s="549"/>
      <c r="WHZ41" s="549"/>
      <c r="WIA41" s="549"/>
      <c r="WIB41" s="549"/>
      <c r="WIC41" s="549"/>
      <c r="WID41" s="549"/>
      <c r="WIE41" s="549"/>
      <c r="WIF41" s="549"/>
      <c r="WIG41" s="549"/>
      <c r="WIH41" s="549"/>
      <c r="WII41" s="549"/>
      <c r="WIJ41" s="549"/>
      <c r="WIK41" s="549"/>
      <c r="WIL41" s="549"/>
      <c r="WIM41" s="549"/>
      <c r="WIN41" s="549"/>
      <c r="WIO41" s="549"/>
      <c r="WIP41" s="549"/>
      <c r="WIQ41" s="549"/>
      <c r="WIR41" s="549"/>
      <c r="WIS41" s="549"/>
      <c r="WIT41" s="549"/>
      <c r="WIU41" s="549"/>
      <c r="WIV41" s="549"/>
      <c r="WIW41" s="549"/>
      <c r="WIX41" s="549"/>
      <c r="WIY41" s="549"/>
      <c r="WIZ41" s="549"/>
      <c r="WJA41" s="549"/>
      <c r="WJB41" s="549"/>
      <c r="WJC41" s="549"/>
      <c r="WJD41" s="549"/>
      <c r="WJE41" s="549"/>
      <c r="WJF41" s="549"/>
      <c r="WJG41" s="549"/>
      <c r="WJH41" s="549"/>
      <c r="WJI41" s="549"/>
      <c r="WJJ41" s="549"/>
      <c r="WJK41" s="549"/>
      <c r="WJL41" s="549"/>
      <c r="WJM41" s="549"/>
      <c r="WJN41" s="549"/>
      <c r="WJO41" s="549"/>
      <c r="WJP41" s="549"/>
      <c r="WJQ41" s="549"/>
      <c r="WJR41" s="549"/>
      <c r="WJS41" s="549"/>
      <c r="WJT41" s="549"/>
      <c r="WJU41" s="549"/>
      <c r="WJV41" s="549"/>
      <c r="WJW41" s="549"/>
      <c r="WJX41" s="549"/>
      <c r="WJY41" s="549"/>
      <c r="WJZ41" s="549"/>
      <c r="WKA41" s="549"/>
      <c r="WKB41" s="549"/>
      <c r="WKC41" s="549"/>
      <c r="WKD41" s="549"/>
      <c r="WKE41" s="549"/>
      <c r="WKF41" s="549"/>
      <c r="WKG41" s="549"/>
      <c r="WKH41" s="549"/>
      <c r="WKI41" s="549"/>
      <c r="WKJ41" s="549"/>
      <c r="WKK41" s="549"/>
      <c r="WKL41" s="549"/>
      <c r="WKM41" s="549"/>
      <c r="WKN41" s="549"/>
      <c r="WKO41" s="549"/>
      <c r="WKP41" s="549"/>
      <c r="WKQ41" s="549"/>
      <c r="WKR41" s="549"/>
      <c r="WKS41" s="549"/>
      <c r="WKT41" s="549"/>
      <c r="WKU41" s="549"/>
      <c r="WKV41" s="549"/>
      <c r="WKW41" s="549"/>
      <c r="WKX41" s="549"/>
      <c r="WKY41" s="549"/>
      <c r="WKZ41" s="549"/>
      <c r="WLA41" s="549"/>
      <c r="WLB41" s="549"/>
      <c r="WLC41" s="549"/>
      <c r="WLD41" s="549"/>
      <c r="WLE41" s="549"/>
      <c r="WLF41" s="549"/>
      <c r="WLG41" s="549"/>
      <c r="WLH41" s="549"/>
      <c r="WLI41" s="549"/>
      <c r="WLJ41" s="549"/>
      <c r="WLK41" s="549"/>
      <c r="WLL41" s="549"/>
      <c r="WLM41" s="549"/>
      <c r="WLN41" s="549"/>
      <c r="WLO41" s="549"/>
      <c r="WLP41" s="549"/>
      <c r="WLQ41" s="549"/>
      <c r="WLR41" s="549"/>
      <c r="WLS41" s="549"/>
      <c r="WLT41" s="549"/>
      <c r="WLU41" s="549"/>
      <c r="WLV41" s="549"/>
      <c r="WLW41" s="549"/>
      <c r="WLX41" s="549"/>
      <c r="WLY41" s="549"/>
      <c r="WLZ41" s="549"/>
      <c r="WMA41" s="549"/>
      <c r="WMB41" s="549"/>
      <c r="WMC41" s="549"/>
      <c r="WMD41" s="549"/>
      <c r="WME41" s="549"/>
      <c r="WMF41" s="549"/>
      <c r="WMG41" s="549"/>
      <c r="WMH41" s="549"/>
      <c r="WMI41" s="549"/>
      <c r="WMJ41" s="549"/>
      <c r="WMK41" s="549"/>
      <c r="WML41" s="549"/>
      <c r="WMM41" s="549"/>
      <c r="WMN41" s="549"/>
      <c r="WMO41" s="549"/>
      <c r="WMP41" s="549"/>
      <c r="WMQ41" s="549"/>
      <c r="WMR41" s="549"/>
      <c r="WMS41" s="549"/>
      <c r="WMT41" s="549"/>
      <c r="WMU41" s="549"/>
      <c r="WMV41" s="549"/>
      <c r="WMW41" s="549"/>
      <c r="WMX41" s="549"/>
      <c r="WMY41" s="549"/>
      <c r="WMZ41" s="549"/>
      <c r="WNA41" s="549"/>
      <c r="WNB41" s="549"/>
      <c r="WNC41" s="549"/>
      <c r="WND41" s="549"/>
      <c r="WNE41" s="549"/>
      <c r="WNF41" s="549"/>
      <c r="WNG41" s="549"/>
      <c r="WNH41" s="549"/>
      <c r="WNI41" s="549"/>
      <c r="WNJ41" s="549"/>
      <c r="WNK41" s="549"/>
      <c r="WNL41" s="549"/>
      <c r="WNM41" s="549"/>
      <c r="WNN41" s="549"/>
      <c r="WNO41" s="549"/>
      <c r="WNP41" s="549"/>
      <c r="WNQ41" s="549"/>
      <c r="WNR41" s="549"/>
      <c r="WNS41" s="549"/>
      <c r="WNT41" s="549"/>
      <c r="WNU41" s="549"/>
      <c r="WNV41" s="549"/>
      <c r="WNW41" s="549"/>
      <c r="WNX41" s="549"/>
      <c r="WNY41" s="549"/>
      <c r="WNZ41" s="549"/>
      <c r="WOA41" s="549"/>
      <c r="WOB41" s="549"/>
      <c r="WOC41" s="549"/>
      <c r="WOD41" s="549"/>
      <c r="WOE41" s="549"/>
      <c r="WOF41" s="549"/>
      <c r="WOG41" s="549"/>
      <c r="WOH41" s="549"/>
      <c r="WOI41" s="549"/>
      <c r="WOJ41" s="549"/>
      <c r="WOK41" s="549"/>
      <c r="WOL41" s="549"/>
      <c r="WOM41" s="549"/>
      <c r="WON41" s="549"/>
      <c r="WOO41" s="549"/>
      <c r="WOP41" s="549"/>
      <c r="WOQ41" s="549"/>
      <c r="WOR41" s="549"/>
      <c r="WOS41" s="549"/>
      <c r="WOT41" s="549"/>
      <c r="WOU41" s="549"/>
      <c r="WOV41" s="549"/>
      <c r="WOW41" s="549"/>
      <c r="WOX41" s="549"/>
      <c r="WOY41" s="549"/>
      <c r="WOZ41" s="549"/>
      <c r="WPA41" s="549"/>
      <c r="WPB41" s="549"/>
      <c r="WPC41" s="549"/>
      <c r="WPD41" s="549"/>
      <c r="WPE41" s="549"/>
      <c r="WPF41" s="549"/>
      <c r="WPG41" s="549"/>
      <c r="WPH41" s="549"/>
      <c r="WPI41" s="549"/>
      <c r="WPJ41" s="549"/>
      <c r="WPK41" s="549"/>
      <c r="WPL41" s="549"/>
      <c r="WPM41" s="549"/>
      <c r="WPN41" s="549"/>
      <c r="WPO41" s="549"/>
      <c r="WPP41" s="549"/>
      <c r="WPQ41" s="549"/>
      <c r="WPR41" s="549"/>
      <c r="WPS41" s="549"/>
      <c r="WPT41" s="549"/>
      <c r="WPU41" s="549"/>
      <c r="WPV41" s="549"/>
      <c r="WPW41" s="549"/>
      <c r="WPX41" s="549"/>
      <c r="WPY41" s="549"/>
      <c r="WPZ41" s="549"/>
      <c r="WQA41" s="549"/>
      <c r="WQB41" s="549"/>
      <c r="WQC41" s="549"/>
      <c r="WQD41" s="549"/>
      <c r="WQE41" s="549"/>
      <c r="WQF41" s="549"/>
      <c r="WQG41" s="549"/>
      <c r="WQH41" s="549"/>
      <c r="WQI41" s="549"/>
      <c r="WQJ41" s="549"/>
      <c r="WQK41" s="549"/>
      <c r="WQL41" s="549"/>
      <c r="WQM41" s="549"/>
      <c r="WQN41" s="549"/>
      <c r="WQO41" s="549"/>
      <c r="WQP41" s="549"/>
      <c r="WQQ41" s="549"/>
      <c r="WQR41" s="549"/>
      <c r="WQS41" s="549"/>
      <c r="WQT41" s="549"/>
      <c r="WQU41" s="549"/>
      <c r="WQV41" s="549"/>
      <c r="WQW41" s="549"/>
      <c r="WQX41" s="549"/>
      <c r="WQY41" s="549"/>
      <c r="WQZ41" s="549"/>
      <c r="WRA41" s="549"/>
      <c r="WRB41" s="549"/>
      <c r="WRC41" s="549"/>
      <c r="WRD41" s="549"/>
      <c r="WRE41" s="549"/>
      <c r="WRF41" s="549"/>
      <c r="WRG41" s="549"/>
      <c r="WRH41" s="549"/>
      <c r="WRI41" s="549"/>
      <c r="WRJ41" s="549"/>
      <c r="WRK41" s="549"/>
      <c r="WRL41" s="549"/>
      <c r="WRM41" s="549"/>
      <c r="WRN41" s="549"/>
      <c r="WRO41" s="549"/>
      <c r="WRP41" s="549"/>
      <c r="WRQ41" s="549"/>
      <c r="WRR41" s="549"/>
      <c r="WRS41" s="549"/>
      <c r="WRT41" s="549"/>
      <c r="WRU41" s="549"/>
      <c r="WRV41" s="549"/>
      <c r="WRW41" s="549"/>
      <c r="WRX41" s="549"/>
      <c r="WRY41" s="549"/>
      <c r="WRZ41" s="549"/>
      <c r="WSA41" s="549"/>
      <c r="WSB41" s="549"/>
      <c r="WSC41" s="549"/>
      <c r="WSD41" s="549"/>
      <c r="WSE41" s="549"/>
      <c r="WSF41" s="549"/>
      <c r="WSG41" s="549"/>
      <c r="WSH41" s="549"/>
      <c r="WSI41" s="549"/>
      <c r="WSJ41" s="549"/>
      <c r="WSK41" s="549"/>
      <c r="WSL41" s="549"/>
      <c r="WSM41" s="549"/>
      <c r="WSN41" s="549"/>
      <c r="WSO41" s="549"/>
      <c r="WSP41" s="549"/>
      <c r="WSQ41" s="549"/>
      <c r="WSR41" s="549"/>
      <c r="WSS41" s="549"/>
      <c r="WST41" s="549"/>
      <c r="WSU41" s="549"/>
      <c r="WSV41" s="549"/>
      <c r="WSW41" s="549"/>
      <c r="WSX41" s="549"/>
      <c r="WSY41" s="549"/>
      <c r="WSZ41" s="549"/>
      <c r="WTA41" s="549"/>
      <c r="WTB41" s="549"/>
      <c r="WTC41" s="549"/>
      <c r="WTD41" s="549"/>
      <c r="WTE41" s="549"/>
      <c r="WTF41" s="549"/>
      <c r="WTG41" s="549"/>
      <c r="WTH41" s="549"/>
      <c r="WTI41" s="549"/>
      <c r="WTJ41" s="549"/>
      <c r="WTK41" s="549"/>
      <c r="WTL41" s="549"/>
      <c r="WTM41" s="549"/>
      <c r="WTN41" s="549"/>
      <c r="WTO41" s="549"/>
      <c r="WTP41" s="549"/>
      <c r="WTQ41" s="549"/>
      <c r="WTR41" s="549"/>
      <c r="WTS41" s="549"/>
      <c r="WTT41" s="549"/>
      <c r="WTU41" s="549"/>
      <c r="WTV41" s="549"/>
      <c r="WTW41" s="549"/>
      <c r="WTX41" s="549"/>
      <c r="WTY41" s="549"/>
      <c r="WTZ41" s="549"/>
      <c r="WUA41" s="549"/>
      <c r="WUB41" s="549"/>
      <c r="WUC41" s="549"/>
      <c r="WUD41" s="549"/>
      <c r="WUE41" s="549"/>
      <c r="WUF41" s="549"/>
      <c r="WUG41" s="549"/>
      <c r="WUH41" s="549"/>
      <c r="WUI41" s="549"/>
      <c r="WUJ41" s="549"/>
      <c r="WUK41" s="549"/>
      <c r="WUL41" s="549"/>
      <c r="WUM41" s="549"/>
      <c r="WUN41" s="549"/>
      <c r="WUO41" s="549"/>
      <c r="WUP41" s="549"/>
      <c r="WUQ41" s="549"/>
      <c r="WUR41" s="549"/>
      <c r="WUS41" s="549"/>
      <c r="WUT41" s="549"/>
      <c r="WUU41" s="549"/>
      <c r="WUV41" s="549"/>
      <c r="WUW41" s="549"/>
      <c r="WUX41" s="549"/>
      <c r="WUY41" s="549"/>
      <c r="WUZ41" s="549"/>
      <c r="WVA41" s="549"/>
      <c r="WVB41" s="549"/>
      <c r="WVC41" s="549"/>
      <c r="WVD41" s="549"/>
      <c r="WVE41" s="549"/>
      <c r="WVF41" s="549"/>
      <c r="WVG41" s="549"/>
      <c r="WVH41" s="549"/>
      <c r="WVI41" s="549"/>
      <c r="WVJ41" s="549"/>
      <c r="WVK41" s="549"/>
      <c r="WVL41" s="549"/>
      <c r="WVM41" s="549"/>
      <c r="WVN41" s="549"/>
      <c r="WVO41" s="549"/>
      <c r="WVP41" s="549"/>
      <c r="WVQ41" s="549"/>
      <c r="WVR41" s="549"/>
      <c r="WVS41" s="549"/>
      <c r="WVT41" s="549"/>
      <c r="WVU41" s="549"/>
      <c r="WVV41" s="549"/>
      <c r="WVW41" s="549"/>
      <c r="WVX41" s="549"/>
      <c r="WVY41" s="549"/>
      <c r="WVZ41" s="549"/>
      <c r="WWA41" s="549"/>
      <c r="WWB41" s="549"/>
      <c r="WWC41" s="549"/>
      <c r="WWD41" s="549"/>
      <c r="WWE41" s="549"/>
      <c r="WWF41" s="549"/>
      <c r="WWG41" s="549"/>
      <c r="WWH41" s="549"/>
      <c r="WWI41" s="549"/>
      <c r="WWJ41" s="549"/>
      <c r="WWK41" s="549"/>
      <c r="WWL41" s="549"/>
      <c r="WWM41" s="549"/>
      <c r="WWN41" s="549"/>
      <c r="WWO41" s="549"/>
      <c r="WWP41" s="549"/>
      <c r="WWQ41" s="549"/>
      <c r="WWR41" s="549"/>
      <c r="WWS41" s="549"/>
      <c r="WWT41" s="549"/>
      <c r="WWU41" s="549"/>
      <c r="WWV41" s="549"/>
      <c r="WWW41" s="549"/>
      <c r="WWX41" s="549"/>
      <c r="WWY41" s="549"/>
      <c r="WWZ41" s="549"/>
      <c r="WXA41" s="549"/>
      <c r="WXB41" s="549"/>
      <c r="WXC41" s="549"/>
      <c r="WXD41" s="549"/>
      <c r="WXE41" s="549"/>
      <c r="WXF41" s="549"/>
      <c r="WXG41" s="549"/>
      <c r="WXH41" s="549"/>
      <c r="WXI41" s="549"/>
      <c r="WXJ41" s="549"/>
      <c r="WXK41" s="549"/>
      <c r="WXL41" s="549"/>
      <c r="WXM41" s="549"/>
      <c r="WXN41" s="549"/>
      <c r="WXO41" s="549"/>
      <c r="WXP41" s="549"/>
      <c r="WXQ41" s="549"/>
      <c r="WXR41" s="549"/>
      <c r="WXS41" s="549"/>
      <c r="WXT41" s="549"/>
      <c r="WXU41" s="549"/>
      <c r="WXV41" s="549"/>
      <c r="WXW41" s="549"/>
      <c r="WXX41" s="549"/>
      <c r="WXY41" s="549"/>
      <c r="WXZ41" s="549"/>
      <c r="WYA41" s="549"/>
      <c r="WYB41" s="549"/>
      <c r="WYC41" s="549"/>
      <c r="WYD41" s="549"/>
      <c r="WYE41" s="549"/>
      <c r="WYF41" s="549"/>
      <c r="WYG41" s="549"/>
      <c r="WYH41" s="549"/>
      <c r="WYI41" s="549"/>
      <c r="WYJ41" s="549"/>
      <c r="WYK41" s="549"/>
      <c r="WYL41" s="549"/>
      <c r="WYM41" s="549"/>
      <c r="WYN41" s="549"/>
      <c r="WYO41" s="549"/>
      <c r="WYP41" s="549"/>
      <c r="WYQ41" s="549"/>
      <c r="WYR41" s="549"/>
      <c r="WYS41" s="549"/>
      <c r="WYT41" s="549"/>
      <c r="WYU41" s="549"/>
      <c r="WYV41" s="549"/>
      <c r="WYW41" s="549"/>
      <c r="WYX41" s="549"/>
      <c r="WYY41" s="549"/>
      <c r="WYZ41" s="549"/>
      <c r="WZA41" s="549"/>
      <c r="WZB41" s="549"/>
      <c r="WZC41" s="549"/>
      <c r="WZD41" s="549"/>
      <c r="WZE41" s="549"/>
      <c r="WZF41" s="549"/>
      <c r="WZG41" s="549"/>
      <c r="WZH41" s="549"/>
      <c r="WZI41" s="549"/>
      <c r="WZJ41" s="549"/>
      <c r="WZK41" s="549"/>
      <c r="WZL41" s="549"/>
      <c r="WZM41" s="549"/>
      <c r="WZN41" s="549"/>
      <c r="WZO41" s="549"/>
      <c r="WZP41" s="549"/>
      <c r="WZQ41" s="549"/>
      <c r="WZR41" s="549"/>
      <c r="WZS41" s="549"/>
      <c r="WZT41" s="549"/>
      <c r="WZU41" s="549"/>
      <c r="WZV41" s="549"/>
      <c r="WZW41" s="549"/>
      <c r="WZX41" s="549"/>
      <c r="WZY41" s="549"/>
      <c r="WZZ41" s="549"/>
      <c r="XAA41" s="549"/>
      <c r="XAB41" s="549"/>
      <c r="XAC41" s="549"/>
      <c r="XAD41" s="549"/>
      <c r="XAE41" s="549"/>
      <c r="XAF41" s="549"/>
      <c r="XAG41" s="549"/>
      <c r="XAH41" s="549"/>
      <c r="XAI41" s="549"/>
      <c r="XAJ41" s="549"/>
      <c r="XAK41" s="549"/>
      <c r="XAL41" s="549"/>
      <c r="XAM41" s="549"/>
      <c r="XAN41" s="549"/>
      <c r="XAO41" s="549"/>
      <c r="XAP41" s="549"/>
      <c r="XAQ41" s="549"/>
      <c r="XAR41" s="549"/>
      <c r="XAS41" s="549"/>
      <c r="XAT41" s="549"/>
      <c r="XAU41" s="549"/>
      <c r="XAV41" s="549"/>
      <c r="XAW41" s="549"/>
      <c r="XAX41" s="549"/>
      <c r="XAY41" s="549"/>
      <c r="XAZ41" s="549"/>
      <c r="XBA41" s="549"/>
      <c r="XBB41" s="549"/>
      <c r="XBC41" s="549"/>
      <c r="XBD41" s="549"/>
      <c r="XBE41" s="549"/>
      <c r="XBF41" s="549"/>
      <c r="XBG41" s="549"/>
      <c r="XBH41" s="549"/>
      <c r="XBI41" s="549"/>
      <c r="XBJ41" s="549"/>
      <c r="XBK41" s="549"/>
      <c r="XBL41" s="549"/>
      <c r="XBM41" s="549"/>
      <c r="XBN41" s="549"/>
      <c r="XBO41" s="549"/>
      <c r="XBP41" s="549"/>
      <c r="XBQ41" s="549"/>
      <c r="XBR41" s="549"/>
      <c r="XBS41" s="549"/>
      <c r="XBT41" s="549"/>
      <c r="XBU41" s="549"/>
      <c r="XBV41" s="549"/>
      <c r="XBW41" s="549"/>
      <c r="XBX41" s="549"/>
      <c r="XBY41" s="549"/>
      <c r="XBZ41" s="549"/>
      <c r="XCA41" s="549"/>
      <c r="XCB41" s="549"/>
      <c r="XCC41" s="549"/>
      <c r="XCD41" s="549"/>
      <c r="XCE41" s="549"/>
      <c r="XCF41" s="549"/>
      <c r="XCG41" s="549"/>
      <c r="XCH41" s="549"/>
      <c r="XCI41" s="549"/>
      <c r="XCJ41" s="549"/>
      <c r="XCK41" s="549"/>
      <c r="XCL41" s="549"/>
      <c r="XCM41" s="549"/>
      <c r="XCN41" s="549"/>
      <c r="XCO41" s="549"/>
      <c r="XCP41" s="549"/>
      <c r="XCQ41" s="549"/>
      <c r="XCR41" s="549"/>
      <c r="XCS41" s="549"/>
      <c r="XCT41" s="549"/>
      <c r="XCU41" s="549"/>
      <c r="XCV41" s="549"/>
      <c r="XCW41" s="549"/>
      <c r="XCX41" s="549"/>
      <c r="XCY41" s="549"/>
      <c r="XCZ41" s="549"/>
      <c r="XDA41" s="549"/>
      <c r="XDB41" s="549"/>
      <c r="XDC41" s="549"/>
      <c r="XDD41" s="549"/>
      <c r="XDE41" s="549"/>
      <c r="XDF41" s="549"/>
      <c r="XDG41" s="549"/>
      <c r="XDH41" s="549"/>
      <c r="XDI41" s="549"/>
      <c r="XDJ41" s="549"/>
      <c r="XDK41" s="549"/>
      <c r="XDL41" s="549"/>
      <c r="XDM41" s="549"/>
      <c r="XDN41" s="549"/>
      <c r="XDO41" s="549"/>
      <c r="XDP41" s="549"/>
      <c r="XDQ41" s="549"/>
      <c r="XDR41" s="549"/>
      <c r="XDS41" s="549"/>
      <c r="XDT41" s="549"/>
      <c r="XDU41" s="549"/>
      <c r="XDV41" s="549"/>
      <c r="XDW41" s="549"/>
      <c r="XDX41" s="549"/>
      <c r="XDY41" s="549"/>
      <c r="XDZ41" s="549"/>
      <c r="XEA41" s="549"/>
      <c r="XEB41" s="549"/>
      <c r="XEC41" s="549"/>
      <c r="XED41" s="549"/>
      <c r="XEE41" s="549"/>
      <c r="XEF41" s="549"/>
      <c r="XEG41" s="549"/>
      <c r="XEH41" s="549"/>
      <c r="XEI41" s="549"/>
      <c r="XEJ41" s="549"/>
      <c r="XEK41" s="549"/>
      <c r="XEL41" s="549"/>
      <c r="XEM41" s="549"/>
      <c r="XEN41" s="549"/>
      <c r="XEO41" s="549"/>
      <c r="XEP41" s="549"/>
      <c r="XEQ41" s="549"/>
      <c r="XER41" s="549"/>
      <c r="XES41" s="549"/>
      <c r="XET41" s="549"/>
      <c r="XEU41" s="549"/>
      <c r="XEV41" s="549"/>
      <c r="XEW41" s="549"/>
      <c r="XEX41" s="549"/>
      <c r="XEY41" s="549"/>
      <c r="XEZ41" s="549"/>
      <c r="XFA41" s="549"/>
    </row>
    <row r="43" spans="1:16381" ht="15" customHeight="1">
      <c r="A43" s="276" t="s">
        <v>138</v>
      </c>
      <c r="B43" s="277" t="s">
        <v>139</v>
      </c>
      <c r="C43" s="278" t="s">
        <v>147</v>
      </c>
      <c r="D43" s="262"/>
      <c r="E43" s="262"/>
    </row>
    <row r="44" spans="1:16381" ht="15" customHeight="1">
      <c r="A44" s="279"/>
      <c r="B44" s="277" t="s">
        <v>140</v>
      </c>
      <c r="C44" s="278" t="s">
        <v>146</v>
      </c>
      <c r="D44" s="262"/>
      <c r="E44" s="262"/>
    </row>
    <row r="45" spans="1:16381" ht="15" customHeight="1">
      <c r="A45" s="279"/>
      <c r="B45" s="280" t="s">
        <v>141</v>
      </c>
      <c r="C45" s="278" t="s">
        <v>142</v>
      </c>
      <c r="D45" s="262"/>
      <c r="E45" s="262"/>
    </row>
  </sheetData>
  <mergeCells count="208">
    <mergeCell ref="A41:C41"/>
    <mergeCell ref="A6:A8"/>
    <mergeCell ref="B6:B8"/>
    <mergeCell ref="C6:C8"/>
    <mergeCell ref="E6:E8"/>
    <mergeCell ref="D6:D8"/>
    <mergeCell ref="F5:GC5"/>
    <mergeCell ref="BQ6:BS6"/>
    <mergeCell ref="BT6:BV6"/>
    <mergeCell ref="BW6:BY6"/>
    <mergeCell ref="BZ6:CB6"/>
    <mergeCell ref="CC6:CE6"/>
    <mergeCell ref="BE7:BF7"/>
    <mergeCell ref="BH7:BI7"/>
    <mergeCell ref="CF6:CH6"/>
    <mergeCell ref="CI6:CK6"/>
    <mergeCell ref="CL6:CN6"/>
    <mergeCell ref="CO6:CQ6"/>
    <mergeCell ref="CR6:CT6"/>
    <mergeCell ref="CU6:CW6"/>
    <mergeCell ref="CX6:CZ6"/>
    <mergeCell ref="DA6:DC6"/>
    <mergeCell ref="DD6:DF6"/>
    <mergeCell ref="DG6:DI6"/>
    <mergeCell ref="GD5:KP5"/>
    <mergeCell ref="KQ5:KQ8"/>
    <mergeCell ref="KR5:KR8"/>
    <mergeCell ref="F6:H6"/>
    <mergeCell ref="I6:K6"/>
    <mergeCell ref="L6:N6"/>
    <mergeCell ref="O6:Q6"/>
    <mergeCell ref="R6:T6"/>
    <mergeCell ref="U6:W6"/>
    <mergeCell ref="X6:Z6"/>
    <mergeCell ref="AA6:AC6"/>
    <mergeCell ref="AD6:AF6"/>
    <mergeCell ref="AG6:AI6"/>
    <mergeCell ref="AJ6:AL6"/>
    <mergeCell ref="AM6:AO6"/>
    <mergeCell ref="AP6:AR6"/>
    <mergeCell ref="AS6:AU6"/>
    <mergeCell ref="AV6:AX6"/>
    <mergeCell ref="AY6:BA6"/>
    <mergeCell ref="BB6:BD6"/>
    <mergeCell ref="BE6:BG6"/>
    <mergeCell ref="BH6:BJ6"/>
    <mergeCell ref="BK6:BM6"/>
    <mergeCell ref="BN6:BP6"/>
    <mergeCell ref="DJ6:DL6"/>
    <mergeCell ref="DM6:DO6"/>
    <mergeCell ref="DP6:DR6"/>
    <mergeCell ref="DS6:DU6"/>
    <mergeCell ref="DV6:DX6"/>
    <mergeCell ref="DY6:EA6"/>
    <mergeCell ref="EB6:ED6"/>
    <mergeCell ref="EE6:EG6"/>
    <mergeCell ref="EH6:EJ6"/>
    <mergeCell ref="EK6:EM6"/>
    <mergeCell ref="EN6:EP6"/>
    <mergeCell ref="EQ6:ES6"/>
    <mergeCell ref="ET6:EV6"/>
    <mergeCell ref="EW6:EY6"/>
    <mergeCell ref="EZ6:FB6"/>
    <mergeCell ref="FC6:FE6"/>
    <mergeCell ref="FF6:FH6"/>
    <mergeCell ref="FI6:FK6"/>
    <mergeCell ref="FL6:FN6"/>
    <mergeCell ref="FO6:FQ6"/>
    <mergeCell ref="FR6:FT6"/>
    <mergeCell ref="FU6:FW6"/>
    <mergeCell ref="FX6:FZ6"/>
    <mergeCell ref="GA6:GC6"/>
    <mergeCell ref="GD6:GF6"/>
    <mergeCell ref="GG6:GI6"/>
    <mergeCell ref="GJ6:GL6"/>
    <mergeCell ref="GM6:GO6"/>
    <mergeCell ref="GP6:GR6"/>
    <mergeCell ref="GS6:GU6"/>
    <mergeCell ref="GV6:GX6"/>
    <mergeCell ref="GY6:HA6"/>
    <mergeCell ref="HB6:HD6"/>
    <mergeCell ref="HE6:HG6"/>
    <mergeCell ref="HH6:HJ6"/>
    <mergeCell ref="HK6:HM6"/>
    <mergeCell ref="HN6:HP6"/>
    <mergeCell ref="HQ6:HS6"/>
    <mergeCell ref="HT6:HV6"/>
    <mergeCell ref="HW6:HY6"/>
    <mergeCell ref="HZ6:IB6"/>
    <mergeCell ref="IC6:IE6"/>
    <mergeCell ref="IF6:IH6"/>
    <mergeCell ref="II6:IK6"/>
    <mergeCell ref="IL6:IN6"/>
    <mergeCell ref="IO6:IQ6"/>
    <mergeCell ref="IR6:IT6"/>
    <mergeCell ref="IU6:IW6"/>
    <mergeCell ref="IX6:IZ6"/>
    <mergeCell ref="JA6:JC6"/>
    <mergeCell ref="JD6:JF6"/>
    <mergeCell ref="JG6:JI6"/>
    <mergeCell ref="JJ6:JL6"/>
    <mergeCell ref="JM6:JO6"/>
    <mergeCell ref="JP6:JR6"/>
    <mergeCell ref="JS6:JU6"/>
    <mergeCell ref="JV6:JX6"/>
    <mergeCell ref="JY6:KA6"/>
    <mergeCell ref="KB6:KD6"/>
    <mergeCell ref="KE6:KG6"/>
    <mergeCell ref="KH6:KJ6"/>
    <mergeCell ref="KK6:KM6"/>
    <mergeCell ref="KN6:KP6"/>
    <mergeCell ref="F7:G7"/>
    <mergeCell ref="I7:J7"/>
    <mergeCell ref="L7:M7"/>
    <mergeCell ref="O7:P7"/>
    <mergeCell ref="R7:S7"/>
    <mergeCell ref="U7:V7"/>
    <mergeCell ref="X7:Y7"/>
    <mergeCell ref="AA7:AB7"/>
    <mergeCell ref="AD7:AE7"/>
    <mergeCell ref="AG7:AH7"/>
    <mergeCell ref="AJ7:AK7"/>
    <mergeCell ref="AM7:AN7"/>
    <mergeCell ref="AP7:AQ7"/>
    <mergeCell ref="AS7:AT7"/>
    <mergeCell ref="AV7:AW7"/>
    <mergeCell ref="AY7:AZ7"/>
    <mergeCell ref="BB7:BC7"/>
    <mergeCell ref="BK7:BL7"/>
    <mergeCell ref="BN7:BO7"/>
    <mergeCell ref="BQ7:BR7"/>
    <mergeCell ref="BT7:BU7"/>
    <mergeCell ref="BW7:BX7"/>
    <mergeCell ref="BZ7:CA7"/>
    <mergeCell ref="CC7:CD7"/>
    <mergeCell ref="CF7:CG7"/>
    <mergeCell ref="CI7:CJ7"/>
    <mergeCell ref="CL7:CM7"/>
    <mergeCell ref="CO7:CP7"/>
    <mergeCell ref="CR7:CS7"/>
    <mergeCell ref="CU7:CV7"/>
    <mergeCell ref="CX7:CY7"/>
    <mergeCell ref="DA7:DB7"/>
    <mergeCell ref="DD7:DE7"/>
    <mergeCell ref="DG7:DH7"/>
    <mergeCell ref="DJ7:DK7"/>
    <mergeCell ref="DM7:DN7"/>
    <mergeCell ref="DP7:DQ7"/>
    <mergeCell ref="DS7:DT7"/>
    <mergeCell ref="DV7:DW7"/>
    <mergeCell ref="DY7:DZ7"/>
    <mergeCell ref="EB7:EC7"/>
    <mergeCell ref="EE7:EF7"/>
    <mergeCell ref="EH7:EI7"/>
    <mergeCell ref="EK7:EL7"/>
    <mergeCell ref="EN7:EO7"/>
    <mergeCell ref="EQ7:ER7"/>
    <mergeCell ref="ET7:EU7"/>
    <mergeCell ref="EW7:EX7"/>
    <mergeCell ref="EZ7:FA7"/>
    <mergeCell ref="FC7:FD7"/>
    <mergeCell ref="FF7:FG7"/>
    <mergeCell ref="FI7:FJ7"/>
    <mergeCell ref="FL7:FM7"/>
    <mergeCell ref="FO7:FP7"/>
    <mergeCell ref="FR7:FS7"/>
    <mergeCell ref="FU7:FV7"/>
    <mergeCell ref="FX7:FY7"/>
    <mergeCell ref="GA7:GB7"/>
    <mergeCell ref="GD7:GE7"/>
    <mergeCell ref="GG7:GH7"/>
    <mergeCell ref="GJ7:GK7"/>
    <mergeCell ref="GM7:GN7"/>
    <mergeCell ref="GP7:GQ7"/>
    <mergeCell ref="GS7:GT7"/>
    <mergeCell ref="GV7:GW7"/>
    <mergeCell ref="GY7:GZ7"/>
    <mergeCell ref="HB7:HC7"/>
    <mergeCell ref="HE7:HF7"/>
    <mergeCell ref="HH7:HI7"/>
    <mergeCell ref="HK7:HL7"/>
    <mergeCell ref="HN7:HO7"/>
    <mergeCell ref="HQ7:HR7"/>
    <mergeCell ref="HT7:HU7"/>
    <mergeCell ref="HW7:HX7"/>
    <mergeCell ref="HZ7:IA7"/>
    <mergeCell ref="IC7:ID7"/>
    <mergeCell ref="IF7:IG7"/>
    <mergeCell ref="II7:IJ7"/>
    <mergeCell ref="IL7:IM7"/>
    <mergeCell ref="IO7:IP7"/>
    <mergeCell ref="IR7:IS7"/>
    <mergeCell ref="IU7:IV7"/>
    <mergeCell ref="IX7:IY7"/>
    <mergeCell ref="JA7:JB7"/>
    <mergeCell ref="JD7:JE7"/>
    <mergeCell ref="KH7:KI7"/>
    <mergeCell ref="KK7:KL7"/>
    <mergeCell ref="KN7:KO7"/>
    <mergeCell ref="JG7:JH7"/>
    <mergeCell ref="JJ7:JK7"/>
    <mergeCell ref="JM7:JN7"/>
    <mergeCell ref="JP7:JQ7"/>
    <mergeCell ref="JS7:JT7"/>
    <mergeCell ref="JV7:JW7"/>
    <mergeCell ref="JY7:JZ7"/>
    <mergeCell ref="KB7:KC7"/>
    <mergeCell ref="KE7:KF7"/>
  </mergeCells>
  <phoneticPr fontId="31" type="noConversion"/>
  <printOptions horizontalCentered="1"/>
  <pageMargins left="7.7777777777777779E-2" right="7.7777777777777779E-2" top="0.39027777777777778" bottom="0.39027777777777778" header="0" footer="0"/>
  <pageSetup firstPageNumber="4294963191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DM48"/>
  <sheetViews>
    <sheetView zoomScale="85" workbookViewId="0">
      <pane xSplit="5" ySplit="9" topLeftCell="AB24" activePane="bottomRight" state="frozen"/>
      <selection activeCell="P221" sqref="P221"/>
      <selection pane="topRight" activeCell="P221" sqref="P221"/>
      <selection pane="bottomLeft" activeCell="P221" sqref="P221"/>
      <selection pane="bottomRight" activeCell="DM42" sqref="A4:DM42"/>
    </sheetView>
  </sheetViews>
  <sheetFormatPr defaultColWidth="9.140625" defaultRowHeight="12.75"/>
  <cols>
    <col min="1" max="1" width="8" customWidth="1"/>
    <col min="4" max="4" width="12.5703125" customWidth="1"/>
    <col min="5" max="5" width="10" customWidth="1"/>
    <col min="6" max="6" width="10.5703125" bestFit="1" customWidth="1"/>
    <col min="7" max="7" width="13.140625" hidden="1" customWidth="1"/>
    <col min="8" max="8" width="8.85546875" hidden="1" customWidth="1"/>
    <col min="9" max="9" width="11.5703125" hidden="1" customWidth="1"/>
    <col min="10" max="10" width="8" hidden="1" customWidth="1"/>
    <col min="11" max="11" width="11.5703125" hidden="1" customWidth="1"/>
    <col min="12" max="12" width="8" hidden="1" customWidth="1"/>
    <col min="13" max="13" width="11.5703125" hidden="1" customWidth="1"/>
    <col min="14" max="14" width="8" hidden="1" customWidth="1"/>
    <col min="15" max="15" width="10.5703125" hidden="1" customWidth="1"/>
    <col min="16" max="16" width="8" hidden="1" customWidth="1"/>
    <col min="17" max="17" width="11.5703125" hidden="1" customWidth="1"/>
    <col min="18" max="18" width="8" hidden="1" customWidth="1"/>
    <col min="19" max="19" width="10.5703125" hidden="1" customWidth="1"/>
    <col min="20" max="20" width="8" hidden="1" customWidth="1"/>
    <col min="21" max="21" width="11.5703125" hidden="1" customWidth="1"/>
    <col min="22" max="22" width="8" hidden="1" customWidth="1"/>
    <col min="23" max="23" width="10.5703125" hidden="1" customWidth="1"/>
    <col min="24" max="24" width="8" hidden="1" customWidth="1"/>
    <col min="25" max="25" width="11.5703125" hidden="1" customWidth="1"/>
    <col min="26" max="26" width="8" hidden="1" customWidth="1"/>
    <col min="27" max="27" width="13.140625" customWidth="1"/>
    <col min="28" max="28" width="8.28515625" customWidth="1"/>
    <col min="29" max="29" width="11.28515625" customWidth="1"/>
    <col min="30" max="30" width="8" customWidth="1"/>
    <col min="31" max="31" width="10.5703125" hidden="1" customWidth="1"/>
    <col min="32" max="32" width="13.140625" hidden="1" customWidth="1"/>
    <col min="33" max="33" width="11.5703125" hidden="1" customWidth="1"/>
    <col min="34" max="34" width="13.140625" hidden="1" customWidth="1"/>
    <col min="35" max="35" width="10.5703125" hidden="1" customWidth="1"/>
    <col min="36" max="36" width="7" hidden="1" customWidth="1"/>
    <col min="37" max="37" width="10.5703125" hidden="1" customWidth="1"/>
    <col min="38" max="38" width="7" hidden="1" customWidth="1"/>
    <col min="39" max="39" width="11.5703125" customWidth="1"/>
    <col min="40" max="40" width="7" customWidth="1"/>
    <col min="41" max="41" width="10.28515625" customWidth="1"/>
    <col min="42" max="42" width="7" customWidth="1"/>
    <col min="43" max="55" width="13.42578125" hidden="1" customWidth="1"/>
    <col min="56" max="56" width="7.28515625" hidden="1" customWidth="1"/>
    <col min="57" max="57" width="13.42578125" hidden="1" customWidth="1"/>
    <col min="58" max="58" width="6" hidden="1" customWidth="1"/>
    <col min="59" max="70" width="13.42578125" hidden="1" customWidth="1"/>
    <col min="71" max="74" width="13.140625" hidden="1" customWidth="1"/>
    <col min="75" max="75" width="12.85546875" hidden="1" customWidth="1"/>
    <col min="76" max="76" width="7.7109375" hidden="1" customWidth="1"/>
    <col min="77" max="77" width="12.42578125" hidden="1" customWidth="1"/>
    <col min="78" max="78" width="7.7109375" hidden="1" customWidth="1"/>
    <col min="79" max="79" width="13.140625" hidden="1" customWidth="1"/>
    <col min="80" max="80" width="7.7109375" hidden="1" customWidth="1"/>
    <col min="81" max="81" width="13.140625" hidden="1" customWidth="1"/>
    <col min="82" max="82" width="8.85546875" hidden="1" customWidth="1"/>
    <col min="83" max="83" width="17.7109375" hidden="1" customWidth="1"/>
    <col min="84" max="84" width="9.28515625" hidden="1" customWidth="1"/>
    <col min="85" max="85" width="14.42578125" hidden="1" customWidth="1"/>
    <col min="86" max="86" width="8.140625" hidden="1" customWidth="1"/>
    <col min="87" max="87" width="17.7109375" hidden="1" customWidth="1"/>
    <col min="88" max="88" width="9.28515625" hidden="1" customWidth="1"/>
    <col min="89" max="89" width="14.42578125" hidden="1" customWidth="1"/>
    <col min="90" max="90" width="8.140625" hidden="1" customWidth="1"/>
    <col min="91" max="91" width="13.140625" hidden="1" customWidth="1"/>
    <col min="92" max="92" width="7.7109375" hidden="1" customWidth="1"/>
    <col min="93" max="93" width="13.140625" hidden="1" customWidth="1"/>
    <col min="94" max="94" width="8.85546875" hidden="1" customWidth="1"/>
    <col min="95" max="95" width="13.140625" hidden="1" customWidth="1"/>
    <col min="96" max="96" width="7.7109375" hidden="1" customWidth="1"/>
    <col min="97" max="97" width="13.140625" hidden="1" customWidth="1"/>
    <col min="98" max="98" width="8.85546875" hidden="1" customWidth="1"/>
    <col min="99" max="99" width="13.140625" bestFit="1" customWidth="1"/>
    <col min="100" max="100" width="7.7109375" customWidth="1"/>
    <col min="101" max="101" width="13.140625" bestFit="1" customWidth="1"/>
    <col min="102" max="102" width="7.7109375" customWidth="1"/>
    <col min="103" max="103" width="13.28515625" hidden="1" customWidth="1"/>
    <col min="104" max="104" width="8.140625" hidden="1" customWidth="1"/>
    <col min="105" max="105" width="11.42578125" hidden="1" customWidth="1"/>
    <col min="106" max="106" width="7.7109375" hidden="1" customWidth="1"/>
    <col min="107" max="110" width="10.85546875" hidden="1" customWidth="1"/>
    <col min="111" max="111" width="15" customWidth="1"/>
    <col min="112" max="112" width="14.42578125" bestFit="1" customWidth="1"/>
    <col min="113" max="113" width="8.85546875" bestFit="1" customWidth="1"/>
    <col min="114" max="114" width="10.28515625" bestFit="1" customWidth="1"/>
    <col min="115" max="115" width="8.28515625" customWidth="1"/>
    <col min="116" max="116" width="8.42578125" bestFit="1" customWidth="1"/>
    <col min="117" max="117" width="12.28515625" customWidth="1"/>
  </cols>
  <sheetData>
    <row r="1" spans="1:117" ht="15.75">
      <c r="A1" s="152"/>
      <c r="AO1" s="414"/>
      <c r="AQ1">
        <v>1</v>
      </c>
      <c r="AU1">
        <v>1</v>
      </c>
      <c r="BZ1" s="4"/>
      <c r="CE1" s="254"/>
      <c r="CI1" s="254"/>
      <c r="CX1" t="s">
        <v>1</v>
      </c>
    </row>
    <row r="2" spans="1:117" ht="15.75">
      <c r="A2" s="152"/>
      <c r="CE2" s="254"/>
      <c r="CI2" s="254"/>
    </row>
    <row r="3" spans="1:117" ht="15">
      <c r="A3" s="154"/>
      <c r="CE3" s="254"/>
      <c r="CI3" s="254"/>
    </row>
    <row r="4" spans="1:117" ht="15.75">
      <c r="A4" s="155" t="s">
        <v>283</v>
      </c>
      <c r="G4" s="15"/>
      <c r="AQ4" s="15"/>
      <c r="AU4" s="15"/>
      <c r="AY4" s="15"/>
      <c r="BC4" s="15"/>
      <c r="BG4" s="15"/>
      <c r="BK4" s="15"/>
      <c r="CE4" s="254"/>
      <c r="CI4" s="254"/>
    </row>
    <row r="5" spans="1:117" ht="15.75">
      <c r="A5" s="155"/>
      <c r="G5" s="15"/>
      <c r="AQ5" s="15"/>
      <c r="AU5" s="15"/>
      <c r="AY5" s="15"/>
      <c r="BC5" s="15"/>
      <c r="BG5" s="15"/>
      <c r="BK5" s="15"/>
      <c r="CE5" s="15"/>
      <c r="CI5" s="15"/>
    </row>
    <row r="6" spans="1:117" ht="18">
      <c r="A6" s="255"/>
      <c r="AQ6" s="15"/>
      <c r="AU6" s="15"/>
      <c r="AY6" s="15"/>
      <c r="BC6" s="15"/>
      <c r="BG6" s="15"/>
      <c r="BK6" s="15"/>
      <c r="CE6" s="15"/>
      <c r="CI6" s="15"/>
      <c r="DD6" s="15"/>
      <c r="DE6" s="15"/>
      <c r="DF6" s="15"/>
      <c r="DH6" s="15"/>
    </row>
    <row r="7" spans="1:117" ht="16.5" thickBot="1">
      <c r="A7" s="256"/>
      <c r="B7" s="256"/>
      <c r="C7" s="256"/>
      <c r="D7" s="256"/>
      <c r="E7" s="256"/>
      <c r="F7" s="256"/>
      <c r="G7" s="503">
        <v>222.79599999999999</v>
      </c>
      <c r="K7" s="256">
        <v>250.01900000000001</v>
      </c>
      <c r="O7" s="476">
        <v>214.10599999999999</v>
      </c>
      <c r="S7">
        <v>248.91800000000001</v>
      </c>
      <c r="W7" s="257">
        <v>250</v>
      </c>
      <c r="X7" s="257"/>
      <c r="Y7" s="257"/>
      <c r="Z7" s="257"/>
      <c r="AA7" s="256"/>
      <c r="AB7" s="256"/>
      <c r="AC7" s="257"/>
      <c r="AD7" s="257"/>
      <c r="AE7" s="257">
        <v>248.881</v>
      </c>
      <c r="AF7" s="257"/>
      <c r="AG7" s="257"/>
      <c r="AH7" s="257"/>
      <c r="AI7" s="257">
        <v>250</v>
      </c>
      <c r="AJ7" s="257"/>
      <c r="AK7" s="257"/>
      <c r="AL7" s="257"/>
      <c r="AM7" s="257"/>
      <c r="AN7" s="257"/>
      <c r="AO7" s="257"/>
      <c r="AP7" s="257"/>
      <c r="AQ7" s="256"/>
      <c r="AR7" s="256"/>
      <c r="AS7" s="256"/>
      <c r="AT7" s="256"/>
      <c r="AU7" s="256"/>
      <c r="AV7" s="256"/>
      <c r="AW7" s="256"/>
      <c r="AX7" s="256"/>
      <c r="AY7" s="256"/>
      <c r="AZ7" s="256"/>
      <c r="BA7" s="256"/>
      <c r="BB7" s="256"/>
      <c r="BC7" s="256"/>
      <c r="BD7" s="256"/>
      <c r="BE7" s="256"/>
      <c r="BF7" s="256"/>
      <c r="BG7" s="256"/>
      <c r="BH7" s="256"/>
      <c r="BI7" s="256"/>
      <c r="BJ7" s="256"/>
      <c r="BK7" s="256"/>
      <c r="BL7" s="256"/>
      <c r="BM7" s="256"/>
      <c r="BN7" s="256"/>
      <c r="BO7" s="256"/>
      <c r="BP7" s="256"/>
      <c r="BQ7" s="256"/>
      <c r="BR7" s="256"/>
      <c r="BS7" s="256"/>
      <c r="BT7" s="256"/>
      <c r="BU7" s="256"/>
      <c r="BV7" s="256"/>
      <c r="CE7" s="256"/>
      <c r="CF7" s="256"/>
      <c r="CG7" s="256"/>
      <c r="CH7" s="256"/>
      <c r="CI7" s="256"/>
      <c r="CJ7" s="256"/>
      <c r="CK7" s="256"/>
      <c r="CL7" s="256"/>
      <c r="CX7" s="256"/>
      <c r="CY7" s="256"/>
      <c r="CZ7" s="256"/>
      <c r="DA7" s="256"/>
      <c r="DB7" s="256"/>
      <c r="DC7" s="257">
        <v>193.95</v>
      </c>
      <c r="DD7" s="257"/>
      <c r="DE7" s="256"/>
      <c r="DF7" s="256"/>
      <c r="DG7" s="256"/>
      <c r="DH7" s="256"/>
      <c r="DI7" s="256"/>
      <c r="DJ7" s="256"/>
    </row>
    <row r="8" spans="1:117" ht="38.25" customHeight="1" thickTop="1">
      <c r="A8" s="760" t="s">
        <v>31</v>
      </c>
      <c r="B8" s="760" t="s">
        <v>5</v>
      </c>
      <c r="C8" s="760" t="s">
        <v>6</v>
      </c>
      <c r="D8" s="762" t="s">
        <v>46</v>
      </c>
      <c r="E8" s="749" t="s">
        <v>44</v>
      </c>
      <c r="F8" s="750"/>
      <c r="G8" s="749" t="s">
        <v>284</v>
      </c>
      <c r="H8" s="759"/>
      <c r="I8" s="759"/>
      <c r="J8" s="750"/>
      <c r="K8" s="749" t="s">
        <v>386</v>
      </c>
      <c r="L8" s="759"/>
      <c r="M8" s="759"/>
      <c r="N8" s="750"/>
      <c r="O8" s="749" t="s">
        <v>382</v>
      </c>
      <c r="P8" s="759"/>
      <c r="Q8" s="759"/>
      <c r="R8" s="750"/>
      <c r="S8" s="749" t="s">
        <v>398</v>
      </c>
      <c r="T8" s="759"/>
      <c r="U8" s="759"/>
      <c r="V8" s="750"/>
      <c r="W8" s="749" t="s">
        <v>387</v>
      </c>
      <c r="X8" s="759"/>
      <c r="Y8" s="759"/>
      <c r="Z8" s="750"/>
      <c r="AA8" s="749" t="s">
        <v>47</v>
      </c>
      <c r="AB8" s="759"/>
      <c r="AC8" s="759"/>
      <c r="AD8" s="750"/>
      <c r="AE8" s="749" t="s">
        <v>388</v>
      </c>
      <c r="AF8" s="759"/>
      <c r="AG8" s="759"/>
      <c r="AH8" s="750"/>
      <c r="AI8" s="749" t="s">
        <v>379</v>
      </c>
      <c r="AJ8" s="759"/>
      <c r="AK8" s="759"/>
      <c r="AL8" s="750"/>
      <c r="AM8" s="749" t="s">
        <v>373</v>
      </c>
      <c r="AN8" s="759"/>
      <c r="AO8" s="759"/>
      <c r="AP8" s="750"/>
      <c r="AQ8" s="756" t="s">
        <v>426</v>
      </c>
      <c r="AR8" s="757"/>
      <c r="AS8" s="757"/>
      <c r="AT8" s="758"/>
      <c r="AU8" s="756" t="s">
        <v>494</v>
      </c>
      <c r="AV8" s="757"/>
      <c r="AW8" s="757"/>
      <c r="AX8" s="758"/>
      <c r="AY8" s="756" t="s">
        <v>399</v>
      </c>
      <c r="AZ8" s="757"/>
      <c r="BA8" s="757"/>
      <c r="BB8" s="758"/>
      <c r="BC8" s="756" t="s">
        <v>400</v>
      </c>
      <c r="BD8" s="757"/>
      <c r="BE8" s="757"/>
      <c r="BF8" s="758"/>
      <c r="BG8" s="756" t="s">
        <v>401</v>
      </c>
      <c r="BH8" s="757"/>
      <c r="BI8" s="757"/>
      <c r="BJ8" s="758"/>
      <c r="BK8" s="756" t="s">
        <v>402</v>
      </c>
      <c r="BL8" s="757"/>
      <c r="BM8" s="757"/>
      <c r="BN8" s="758"/>
      <c r="BO8" s="756" t="s">
        <v>403</v>
      </c>
      <c r="BP8" s="757"/>
      <c r="BQ8" s="757"/>
      <c r="BR8" s="758"/>
      <c r="BS8" s="756" t="s">
        <v>404</v>
      </c>
      <c r="BT8" s="757"/>
      <c r="BU8" s="757"/>
      <c r="BV8" s="758"/>
      <c r="BW8" s="753" t="s">
        <v>405</v>
      </c>
      <c r="BX8" s="754"/>
      <c r="BY8" s="754"/>
      <c r="BZ8" s="755"/>
      <c r="CA8" s="753" t="s">
        <v>406</v>
      </c>
      <c r="CB8" s="754"/>
      <c r="CC8" s="754"/>
      <c r="CD8" s="755"/>
      <c r="CE8" s="756" t="s">
        <v>555</v>
      </c>
      <c r="CF8" s="757"/>
      <c r="CG8" s="757"/>
      <c r="CH8" s="758"/>
      <c r="CI8" s="756" t="s">
        <v>688</v>
      </c>
      <c r="CJ8" s="757"/>
      <c r="CK8" s="757"/>
      <c r="CL8" s="758"/>
      <c r="CM8" s="753" t="s">
        <v>407</v>
      </c>
      <c r="CN8" s="754"/>
      <c r="CO8" s="754"/>
      <c r="CP8" s="755"/>
      <c r="CQ8" s="753" t="s">
        <v>495</v>
      </c>
      <c r="CR8" s="754"/>
      <c r="CS8" s="754"/>
      <c r="CT8" s="755"/>
      <c r="CU8" s="749" t="s">
        <v>408</v>
      </c>
      <c r="CV8" s="759"/>
      <c r="CW8" s="759"/>
      <c r="CX8" s="750"/>
      <c r="CY8" s="749" t="s">
        <v>409</v>
      </c>
      <c r="CZ8" s="759"/>
      <c r="DA8" s="759"/>
      <c r="DB8" s="750"/>
      <c r="DC8" s="749" t="s">
        <v>410</v>
      </c>
      <c r="DD8" s="759"/>
      <c r="DE8" s="759"/>
      <c r="DF8" s="750"/>
      <c r="DG8" s="749" t="s">
        <v>48</v>
      </c>
      <c r="DH8" s="750"/>
      <c r="DI8" s="749" t="s">
        <v>49</v>
      </c>
      <c r="DJ8" s="750"/>
      <c r="DK8" s="751" t="s">
        <v>285</v>
      </c>
      <c r="DL8" s="752"/>
      <c r="DM8" s="614" t="s">
        <v>286</v>
      </c>
    </row>
    <row r="9" spans="1:117">
      <c r="A9" s="761"/>
      <c r="B9" s="761"/>
      <c r="C9" s="761"/>
      <c r="D9" s="763"/>
      <c r="E9" s="2" t="s">
        <v>42</v>
      </c>
      <c r="F9" s="2" t="s">
        <v>42</v>
      </c>
      <c r="G9" s="10" t="s">
        <v>42</v>
      </c>
      <c r="H9" s="10" t="s">
        <v>12</v>
      </c>
      <c r="I9" s="613" t="s">
        <v>43</v>
      </c>
      <c r="J9" s="613" t="s">
        <v>12</v>
      </c>
      <c r="K9" s="10" t="s">
        <v>42</v>
      </c>
      <c r="L9" s="10" t="s">
        <v>12</v>
      </c>
      <c r="M9" s="613" t="s">
        <v>43</v>
      </c>
      <c r="N9" s="613" t="s">
        <v>12</v>
      </c>
      <c r="O9" s="10" t="s">
        <v>42</v>
      </c>
      <c r="P9" s="10" t="s">
        <v>12</v>
      </c>
      <c r="Q9" s="613" t="s">
        <v>43</v>
      </c>
      <c r="R9" s="613" t="s">
        <v>12</v>
      </c>
      <c r="S9" s="10" t="s">
        <v>42</v>
      </c>
      <c r="T9" s="10" t="s">
        <v>12</v>
      </c>
      <c r="U9" s="613" t="s">
        <v>43</v>
      </c>
      <c r="V9" s="613" t="s">
        <v>12</v>
      </c>
      <c r="W9" s="10" t="s">
        <v>42</v>
      </c>
      <c r="X9" s="10" t="s">
        <v>12</v>
      </c>
      <c r="Y9" s="613" t="s">
        <v>43</v>
      </c>
      <c r="Z9" s="613" t="s">
        <v>12</v>
      </c>
      <c r="AA9" s="613" t="s">
        <v>42</v>
      </c>
      <c r="AB9" s="613" t="s">
        <v>12</v>
      </c>
      <c r="AC9" s="613" t="s">
        <v>43</v>
      </c>
      <c r="AD9" s="613" t="s">
        <v>12</v>
      </c>
      <c r="AE9" s="613" t="s">
        <v>42</v>
      </c>
      <c r="AF9" s="613" t="s">
        <v>12</v>
      </c>
      <c r="AG9" s="613" t="s">
        <v>43</v>
      </c>
      <c r="AH9" s="613" t="s">
        <v>12</v>
      </c>
      <c r="AI9" s="613" t="s">
        <v>42</v>
      </c>
      <c r="AJ9" s="613" t="s">
        <v>12</v>
      </c>
      <c r="AK9" s="613" t="s">
        <v>43</v>
      </c>
      <c r="AL9" s="613" t="s">
        <v>12</v>
      </c>
      <c r="AM9" s="613" t="s">
        <v>42</v>
      </c>
      <c r="AN9" s="613" t="s">
        <v>12</v>
      </c>
      <c r="AO9" s="613" t="s">
        <v>43</v>
      </c>
      <c r="AP9" s="613" t="s">
        <v>12</v>
      </c>
      <c r="AQ9" s="613" t="s">
        <v>42</v>
      </c>
      <c r="AR9" s="613" t="s">
        <v>12</v>
      </c>
      <c r="AS9" s="613" t="s">
        <v>43</v>
      </c>
      <c r="AT9" s="613" t="s">
        <v>12</v>
      </c>
      <c r="AU9" s="613" t="s">
        <v>42</v>
      </c>
      <c r="AV9" s="613" t="s">
        <v>12</v>
      </c>
      <c r="AW9" s="613" t="s">
        <v>43</v>
      </c>
      <c r="AX9" s="613" t="s">
        <v>12</v>
      </c>
      <c r="AY9" s="613" t="s">
        <v>42</v>
      </c>
      <c r="AZ9" s="613" t="s">
        <v>12</v>
      </c>
      <c r="BA9" s="613" t="s">
        <v>43</v>
      </c>
      <c r="BB9" s="613" t="s">
        <v>12</v>
      </c>
      <c r="BC9" s="613" t="s">
        <v>42</v>
      </c>
      <c r="BD9" s="613" t="s">
        <v>12</v>
      </c>
      <c r="BE9" s="613" t="s">
        <v>43</v>
      </c>
      <c r="BF9" s="613" t="s">
        <v>12</v>
      </c>
      <c r="BG9" s="613" t="s">
        <v>42</v>
      </c>
      <c r="BH9" s="613" t="s">
        <v>12</v>
      </c>
      <c r="BI9" s="613" t="s">
        <v>43</v>
      </c>
      <c r="BJ9" s="613" t="s">
        <v>12</v>
      </c>
      <c r="BK9" s="613" t="s">
        <v>42</v>
      </c>
      <c r="BL9" s="613" t="s">
        <v>12</v>
      </c>
      <c r="BM9" s="613" t="s">
        <v>43</v>
      </c>
      <c r="BN9" s="613" t="s">
        <v>12</v>
      </c>
      <c r="BO9" s="613" t="s">
        <v>42</v>
      </c>
      <c r="BP9" s="613" t="s">
        <v>12</v>
      </c>
      <c r="BQ9" s="613" t="s">
        <v>43</v>
      </c>
      <c r="BR9" s="613" t="s">
        <v>12</v>
      </c>
      <c r="BS9" s="613" t="s">
        <v>42</v>
      </c>
      <c r="BT9" s="613" t="s">
        <v>12</v>
      </c>
      <c r="BU9" s="613" t="s">
        <v>43</v>
      </c>
      <c r="BV9" s="613" t="s">
        <v>12</v>
      </c>
      <c r="BW9" s="613" t="s">
        <v>42</v>
      </c>
      <c r="BX9" s="613" t="s">
        <v>12</v>
      </c>
      <c r="BY9" s="613" t="s">
        <v>43</v>
      </c>
      <c r="BZ9" s="613" t="s">
        <v>12</v>
      </c>
      <c r="CA9" s="613" t="s">
        <v>42</v>
      </c>
      <c r="CB9" s="613" t="s">
        <v>12</v>
      </c>
      <c r="CC9" s="613" t="s">
        <v>43</v>
      </c>
      <c r="CD9" s="613" t="s">
        <v>12</v>
      </c>
      <c r="CE9" s="613" t="s">
        <v>42</v>
      </c>
      <c r="CF9" s="613" t="s">
        <v>12</v>
      </c>
      <c r="CG9" s="613" t="s">
        <v>43</v>
      </c>
      <c r="CH9" s="613" t="s">
        <v>12</v>
      </c>
      <c r="CI9" s="613" t="s">
        <v>42</v>
      </c>
      <c r="CJ9" s="613" t="s">
        <v>12</v>
      </c>
      <c r="CK9" s="613" t="s">
        <v>43</v>
      </c>
      <c r="CL9" s="613" t="s">
        <v>12</v>
      </c>
      <c r="CM9" s="613" t="s">
        <v>42</v>
      </c>
      <c r="CN9" s="613" t="s">
        <v>12</v>
      </c>
      <c r="CO9" s="613" t="s">
        <v>43</v>
      </c>
      <c r="CP9" s="613" t="s">
        <v>12</v>
      </c>
      <c r="CQ9" s="613" t="s">
        <v>42</v>
      </c>
      <c r="CR9" s="613" t="s">
        <v>12</v>
      </c>
      <c r="CS9" s="613" t="s">
        <v>43</v>
      </c>
      <c r="CT9" s="613" t="s">
        <v>12</v>
      </c>
      <c r="CU9" s="613" t="s">
        <v>42</v>
      </c>
      <c r="CV9" s="613" t="s">
        <v>12</v>
      </c>
      <c r="CW9" s="613" t="s">
        <v>43</v>
      </c>
      <c r="CX9" s="613" t="s">
        <v>12</v>
      </c>
      <c r="CY9" s="613" t="s">
        <v>42</v>
      </c>
      <c r="CZ9" s="613" t="s">
        <v>12</v>
      </c>
      <c r="DA9" s="613" t="s">
        <v>43</v>
      </c>
      <c r="DB9" s="613" t="s">
        <v>12</v>
      </c>
      <c r="DC9" s="613" t="s">
        <v>42</v>
      </c>
      <c r="DD9" s="613" t="s">
        <v>12</v>
      </c>
      <c r="DE9" s="613" t="s">
        <v>43</v>
      </c>
      <c r="DF9" s="613" t="s">
        <v>12</v>
      </c>
      <c r="DG9" s="613" t="s">
        <v>42</v>
      </c>
      <c r="DH9" s="613" t="s">
        <v>43</v>
      </c>
      <c r="DI9" s="613" t="s">
        <v>42</v>
      </c>
      <c r="DJ9" s="613" t="s">
        <v>43</v>
      </c>
      <c r="DK9" s="613" t="s">
        <v>42</v>
      </c>
      <c r="DL9" s="613" t="s">
        <v>43</v>
      </c>
      <c r="DM9" s="6" t="s">
        <v>411</v>
      </c>
    </row>
    <row r="10" spans="1:117">
      <c r="A10" s="18">
        <f>+Chem!A9</f>
        <v>45992</v>
      </c>
      <c r="B10" s="6" t="str">
        <f>+Chem!B9</f>
        <v>Towel</v>
      </c>
      <c r="C10" s="6">
        <f>+Chem!C9</f>
        <v>38</v>
      </c>
      <c r="D10" s="9">
        <f>+Chem!D9</f>
        <v>60.457999999999998</v>
      </c>
      <c r="E10" s="7">
        <f>+Chem!E9</f>
        <v>60.009</v>
      </c>
      <c r="F10" s="7">
        <f>+E10</f>
        <v>60.009</v>
      </c>
      <c r="G10" s="100"/>
      <c r="H10" s="11">
        <f t="shared" ref="H10:H37" si="0">G10/DG10*100</f>
        <v>0</v>
      </c>
      <c r="I10" s="9">
        <f>G10</f>
        <v>0</v>
      </c>
      <c r="J10" s="11">
        <f t="shared" ref="J10:J37" si="1">I10/DH10*100</f>
        <v>0</v>
      </c>
      <c r="K10" s="100">
        <v>0</v>
      </c>
      <c r="L10" s="11">
        <f t="shared" ref="L10:L37" si="2">+K10/DG10*100</f>
        <v>0</v>
      </c>
      <c r="M10" s="11">
        <f>+K10</f>
        <v>0</v>
      </c>
      <c r="N10" s="11">
        <f t="shared" ref="N10:N37" si="3">+M10/DH10*100</f>
        <v>0</v>
      </c>
      <c r="O10" s="100">
        <v>0</v>
      </c>
      <c r="P10" s="11">
        <f t="shared" ref="P10:P37" si="4">+O10/DG10*100</f>
        <v>0</v>
      </c>
      <c r="Q10" s="11">
        <f>+O10</f>
        <v>0</v>
      </c>
      <c r="R10" s="11">
        <f t="shared" ref="R10:R37" si="5">+Q10/DH10*100</f>
        <v>0</v>
      </c>
      <c r="S10" s="100"/>
      <c r="T10" s="11">
        <f t="shared" ref="T10:T37" si="6">+S10/DG10*100</f>
        <v>0</v>
      </c>
      <c r="U10" s="11">
        <f>+S10</f>
        <v>0</v>
      </c>
      <c r="V10" s="11">
        <f t="shared" ref="V10:V37" si="7">+U10/DH10*100</f>
        <v>0</v>
      </c>
      <c r="W10" s="11">
        <v>0</v>
      </c>
      <c r="X10" s="11">
        <f t="shared" ref="X10:X37" si="8">+W10/DG10*100</f>
        <v>0</v>
      </c>
      <c r="Y10" s="11">
        <f>+W10</f>
        <v>0</v>
      </c>
      <c r="Z10" s="11">
        <f t="shared" ref="Z10:Z37" si="9">+Y10/DH10*100</f>
        <v>0</v>
      </c>
      <c r="AA10" s="11">
        <f>G10+K10+W10+S10+O10</f>
        <v>0</v>
      </c>
      <c r="AB10" s="11">
        <f t="shared" ref="AB10:AB37" si="10">AA10/DG10*100</f>
        <v>0</v>
      </c>
      <c r="AC10" s="11">
        <f>AA10</f>
        <v>0</v>
      </c>
      <c r="AD10" s="11">
        <f t="shared" ref="AD10:AD37" si="11">AC10/DH10*100</f>
        <v>0</v>
      </c>
      <c r="AE10" s="11"/>
      <c r="AF10" s="11">
        <f t="shared" ref="AF10:AF37" si="12">AE10/DG10*100</f>
        <v>0</v>
      </c>
      <c r="AG10" s="11">
        <f>AE10</f>
        <v>0</v>
      </c>
      <c r="AH10" s="11">
        <f t="shared" ref="AH10:AH37" si="13">AG10/DH10*100</f>
        <v>0</v>
      </c>
      <c r="AI10" s="11"/>
      <c r="AJ10" s="11">
        <f t="shared" ref="AJ10:AJ37" si="14">AI10/DG10*100</f>
        <v>0</v>
      </c>
      <c r="AK10" s="11">
        <f>AI10</f>
        <v>0</v>
      </c>
      <c r="AL10" s="11">
        <f t="shared" ref="AL10:AL37" si="15">AK10/DH10*100</f>
        <v>0</v>
      </c>
      <c r="AM10" s="11">
        <f>+AE10+AI10</f>
        <v>0</v>
      </c>
      <c r="AN10" s="11">
        <f t="shared" ref="AN10:AN37" si="16">AM10/DG10*100</f>
        <v>0</v>
      </c>
      <c r="AO10" s="11">
        <f>AM10</f>
        <v>0</v>
      </c>
      <c r="AP10" s="11">
        <f t="shared" ref="AP10:AP37" si="17">AO10/DH10*100</f>
        <v>0</v>
      </c>
      <c r="AQ10" s="100">
        <v>24550</v>
      </c>
      <c r="AR10" s="11">
        <f t="shared" ref="AR10:AR37" si="18">AQ10/DG10*100</f>
        <v>34.88702572118801</v>
      </c>
      <c r="AS10" s="11">
        <f>AQ10</f>
        <v>24550</v>
      </c>
      <c r="AT10" s="11">
        <f t="shared" ref="AT10:AT37" si="19">AS10/DH10*100</f>
        <v>34.88702572118801</v>
      </c>
      <c r="AU10" s="100">
        <v>0</v>
      </c>
      <c r="AV10" s="11" t="e">
        <f t="shared" ref="AV10:AV37" si="20">AU10/EF10*100</f>
        <v>#DIV/0!</v>
      </c>
      <c r="AW10" s="11">
        <f>AU10</f>
        <v>0</v>
      </c>
      <c r="AX10" s="11" t="e">
        <f t="shared" ref="AX10:AX37" si="21">AW10/EG10*100</f>
        <v>#DIV/0!</v>
      </c>
      <c r="AY10" s="100">
        <v>10610</v>
      </c>
      <c r="AZ10" s="11">
        <f t="shared" ref="AZ10:AZ37" si="22">AY10/DG10*100</f>
        <v>15.077447776040925</v>
      </c>
      <c r="BA10" s="11">
        <f>AY10</f>
        <v>10610</v>
      </c>
      <c r="BB10" s="11">
        <f t="shared" ref="BB10:BB37" si="23">BA10/DH10*100</f>
        <v>15.077447776040925</v>
      </c>
      <c r="BC10" s="100"/>
      <c r="BD10" s="11">
        <f>BC10/DG10*100</f>
        <v>0</v>
      </c>
      <c r="BE10" s="11">
        <f>BC10</f>
        <v>0</v>
      </c>
      <c r="BF10" s="11">
        <f>BE10/DH10*100</f>
        <v>0</v>
      </c>
      <c r="BG10" s="100">
        <v>10440</v>
      </c>
      <c r="BH10" s="11">
        <f>BG10/DG10*100</f>
        <v>14.835867557197668</v>
      </c>
      <c r="BI10" s="11">
        <f>BG10</f>
        <v>10440</v>
      </c>
      <c r="BJ10" s="11">
        <f>BI10/DH10*100</f>
        <v>14.835867557197668</v>
      </c>
      <c r="BK10" s="100"/>
      <c r="BL10" s="11">
        <f>BK10/DG10*100</f>
        <v>0</v>
      </c>
      <c r="BM10" s="11">
        <f>BK10</f>
        <v>0</v>
      </c>
      <c r="BN10" s="11">
        <f>BM10/DH10*100</f>
        <v>0</v>
      </c>
      <c r="BO10" s="100"/>
      <c r="BP10" s="11">
        <f t="shared" ref="BP10:BP37" si="24">BO10/DG10*100</f>
        <v>0</v>
      </c>
      <c r="BQ10" s="11">
        <f>BO10</f>
        <v>0</v>
      </c>
      <c r="BR10" s="11">
        <f t="shared" ref="BR10:BR37" si="25">BQ10/DH10*100</f>
        <v>0</v>
      </c>
      <c r="BS10" s="100">
        <v>24770</v>
      </c>
      <c r="BT10" s="11">
        <f t="shared" ref="BT10:BT37" si="26">BS10/DG10*100</f>
        <v>35.199658945573397</v>
      </c>
      <c r="BU10" s="11">
        <f>BS10</f>
        <v>24770</v>
      </c>
      <c r="BV10" s="11">
        <f t="shared" ref="BV10:BV37" si="27">BU10/DH10*100</f>
        <v>35.199658945573397</v>
      </c>
      <c r="BW10" s="100"/>
      <c r="BX10" s="11">
        <f t="shared" ref="BX10:BX37" si="28">BW10/DG10*100</f>
        <v>0</v>
      </c>
      <c r="BY10" s="11">
        <f>BW10</f>
        <v>0</v>
      </c>
      <c r="BZ10" s="11">
        <f t="shared" ref="BZ10:BZ37" si="29">BY10/DH10*100</f>
        <v>0</v>
      </c>
      <c r="CA10" s="100">
        <v>0</v>
      </c>
      <c r="CB10" s="11">
        <f t="shared" ref="CB10:CB37" si="30">CA10/DG10*100</f>
        <v>0</v>
      </c>
      <c r="CC10" s="11">
        <f>CA10</f>
        <v>0</v>
      </c>
      <c r="CD10" s="11">
        <f t="shared" ref="CD10:CD37" si="31">CC10/DH10*100</f>
        <v>0</v>
      </c>
      <c r="CE10" s="100"/>
      <c r="CF10" s="11">
        <f t="shared" ref="CF10:CF37" si="32">CE10/DG10*100</f>
        <v>0</v>
      </c>
      <c r="CG10" s="11">
        <f>CE10</f>
        <v>0</v>
      </c>
      <c r="CH10" s="11">
        <f t="shared" ref="CH10:CH37" si="33">CG10/DH10*100</f>
        <v>0</v>
      </c>
      <c r="CI10" s="100"/>
      <c r="CJ10" s="11">
        <f t="shared" ref="CJ10:CJ37" si="34">CI10/DG10*100</f>
        <v>0</v>
      </c>
      <c r="CK10" s="11">
        <f>CI10</f>
        <v>0</v>
      </c>
      <c r="CL10" s="11">
        <f t="shared" ref="CL10:CL37" si="35">CK10/DH10*100</f>
        <v>0</v>
      </c>
      <c r="CM10" s="100">
        <v>0</v>
      </c>
      <c r="CN10" s="11">
        <f t="shared" ref="CN10:CN37" si="36">CM10/DG10*100</f>
        <v>0</v>
      </c>
      <c r="CO10" s="11">
        <f>CM10</f>
        <v>0</v>
      </c>
      <c r="CP10" s="11">
        <f t="shared" ref="CP10:CP37" si="37">CO10/DH10*100</f>
        <v>0</v>
      </c>
      <c r="CQ10" s="100">
        <v>0</v>
      </c>
      <c r="CR10" s="11">
        <f t="shared" ref="CR10:CR37" si="38">CQ10/DG10*100</f>
        <v>0</v>
      </c>
      <c r="CS10" s="11">
        <f>CQ10</f>
        <v>0</v>
      </c>
      <c r="CT10" s="11">
        <f t="shared" ref="CT10:CT37" si="39">CS10/DH10*100</f>
        <v>0</v>
      </c>
      <c r="CU10" s="100">
        <f t="shared" ref="CU10:CU37" si="40">+AQ10+AY10+BO10+BS10+BW10+CA10+CE10+CI10+CM10+CQ10+AU10+BG10+BC10+BK10</f>
        <v>70370</v>
      </c>
      <c r="CV10" s="11">
        <f t="shared" ref="CV10:CV37" si="41">CU10/DG10*100</f>
        <v>100</v>
      </c>
      <c r="CW10" s="11">
        <f>CU10</f>
        <v>70370</v>
      </c>
      <c r="CX10" s="11">
        <f t="shared" ref="CX10:CX37" si="42">CW10/DH10*100</f>
        <v>100</v>
      </c>
      <c r="CY10" s="100"/>
      <c r="CZ10" s="17">
        <f t="shared" ref="CZ10:CZ37" si="43">CY10/DG10*100</f>
        <v>0</v>
      </c>
      <c r="DA10" s="11">
        <f>CY10</f>
        <v>0</v>
      </c>
      <c r="DB10" s="11">
        <f t="shared" ref="DB10:DB37" si="44">DA10/DH10*100</f>
        <v>0</v>
      </c>
      <c r="DC10" s="11">
        <v>0</v>
      </c>
      <c r="DD10" s="11">
        <f t="shared" ref="DD10:DD37" si="45">DC10/DG10*100</f>
        <v>0</v>
      </c>
      <c r="DE10" s="11">
        <f>DC10</f>
        <v>0</v>
      </c>
      <c r="DF10" s="11">
        <f t="shared" ref="DF10:DF37" si="46">DE10/DH10*100</f>
        <v>0</v>
      </c>
      <c r="DG10" s="11">
        <f>+AA10+CU10+CY10+DC10</f>
        <v>70370</v>
      </c>
      <c r="DH10" s="11">
        <f>DG10</f>
        <v>70370</v>
      </c>
      <c r="DI10" s="11">
        <f t="shared" ref="DI10:DI37" si="47">DG10/1000/E10</f>
        <v>1.1726574347181258</v>
      </c>
      <c r="DJ10" s="11">
        <f t="shared" ref="DJ10:DJ37" si="48">(DH10/1000)/F10</f>
        <v>1.1726574347181258</v>
      </c>
      <c r="DK10" s="504">
        <f>+(E10*1000)/CU10</f>
        <v>0.85276396191558901</v>
      </c>
      <c r="DL10" s="505">
        <f>+(F10*1000)/CW10</f>
        <v>0.85276396191558901</v>
      </c>
      <c r="DM10" s="6" t="str">
        <f>+Efficiency1!D6</f>
        <v>RC BR</v>
      </c>
    </row>
    <row r="11" spans="1:117">
      <c r="A11" s="18">
        <f>+Chem!A10</f>
        <v>45993</v>
      </c>
      <c r="B11" s="6" t="str">
        <f>+Chem!B10</f>
        <v>Towel/Napkin</v>
      </c>
      <c r="C11" s="6" t="str">
        <f>+Chem!C10</f>
        <v>38/36/20</v>
      </c>
      <c r="D11" s="9">
        <f>+Chem!D10</f>
        <v>51.539000000000001</v>
      </c>
      <c r="E11" s="7">
        <f>+Chem!E10</f>
        <v>44.423000000000002</v>
      </c>
      <c r="F11" s="7">
        <f>+E11+F10</f>
        <v>104.432</v>
      </c>
      <c r="G11" s="100"/>
      <c r="H11" s="11">
        <f t="shared" si="0"/>
        <v>0</v>
      </c>
      <c r="I11" s="9">
        <f t="shared" ref="I11:I37" si="49">G11+I10</f>
        <v>0</v>
      </c>
      <c r="J11" s="11">
        <f t="shared" si="1"/>
        <v>0</v>
      </c>
      <c r="K11" s="100"/>
      <c r="L11" s="11">
        <f t="shared" si="2"/>
        <v>0</v>
      </c>
      <c r="M11" s="11">
        <f t="shared" ref="M11:M37" si="50">+K11+M10</f>
        <v>0</v>
      </c>
      <c r="N11" s="11">
        <f t="shared" si="3"/>
        <v>0</v>
      </c>
      <c r="O11" s="100">
        <v>0</v>
      </c>
      <c r="P11" s="11">
        <f t="shared" si="4"/>
        <v>0</v>
      </c>
      <c r="Q11" s="11">
        <f t="shared" ref="Q11:Q37" si="51">+O11+Q10</f>
        <v>0</v>
      </c>
      <c r="R11" s="11">
        <f t="shared" si="5"/>
        <v>0</v>
      </c>
      <c r="S11" s="100"/>
      <c r="T11" s="11">
        <f t="shared" si="6"/>
        <v>0</v>
      </c>
      <c r="U11" s="11">
        <f t="shared" ref="U11:U37" si="52">+S11+U10</f>
        <v>0</v>
      </c>
      <c r="V11" s="11">
        <f t="shared" si="7"/>
        <v>0</v>
      </c>
      <c r="W11" s="11"/>
      <c r="X11" s="11">
        <f t="shared" si="8"/>
        <v>0</v>
      </c>
      <c r="Y11" s="11">
        <f t="shared" ref="Y11:Y37" si="53">+W11+Y10</f>
        <v>0</v>
      </c>
      <c r="Z11" s="11">
        <f t="shared" si="9"/>
        <v>0</v>
      </c>
      <c r="AA11" s="11">
        <f t="shared" ref="AA11:AA37" si="54">G11+K11+W11+S11+O11</f>
        <v>0</v>
      </c>
      <c r="AB11" s="11">
        <f t="shared" si="10"/>
        <v>0</v>
      </c>
      <c r="AC11" s="11">
        <f t="shared" ref="AC11:AC37" si="55">AA11+AC10</f>
        <v>0</v>
      </c>
      <c r="AD11" s="11">
        <f t="shared" si="11"/>
        <v>0</v>
      </c>
      <c r="AE11" s="11"/>
      <c r="AF11" s="11">
        <f t="shared" si="12"/>
        <v>0</v>
      </c>
      <c r="AG11" s="11">
        <f>+AE11+AG10</f>
        <v>0</v>
      </c>
      <c r="AH11" s="11">
        <f t="shared" si="13"/>
        <v>0</v>
      </c>
      <c r="AI11" s="11"/>
      <c r="AJ11" s="11">
        <f t="shared" si="14"/>
        <v>0</v>
      </c>
      <c r="AK11" s="11">
        <f>+AI11+AK10</f>
        <v>0</v>
      </c>
      <c r="AL11" s="11">
        <f t="shared" si="15"/>
        <v>0</v>
      </c>
      <c r="AM11" s="11">
        <f t="shared" ref="AM11:AM37" si="56">+AE11+AI11</f>
        <v>0</v>
      </c>
      <c r="AN11" s="11">
        <f t="shared" si="16"/>
        <v>0</v>
      </c>
      <c r="AO11" s="11">
        <f>+AM11+AO10</f>
        <v>0</v>
      </c>
      <c r="AP11" s="11">
        <f t="shared" si="17"/>
        <v>0</v>
      </c>
      <c r="AQ11" s="100">
        <v>24010</v>
      </c>
      <c r="AR11" s="11">
        <f t="shared" si="18"/>
        <v>35.282880235121233</v>
      </c>
      <c r="AS11" s="11">
        <f t="shared" ref="AS11:AS37" si="57">AQ11+AS10</f>
        <v>48560</v>
      </c>
      <c r="AT11" s="11">
        <f t="shared" si="19"/>
        <v>35.081635601791646</v>
      </c>
      <c r="AU11" s="100">
        <v>0</v>
      </c>
      <c r="AV11" s="11" t="e">
        <f t="shared" si="20"/>
        <v>#DIV/0!</v>
      </c>
      <c r="AW11" s="11">
        <f t="shared" ref="AW11:AW37" si="58">AU11+AW10</f>
        <v>0</v>
      </c>
      <c r="AX11" s="11" t="e">
        <f t="shared" si="21"/>
        <v>#DIV/0!</v>
      </c>
      <c r="AY11" s="100">
        <v>9980</v>
      </c>
      <c r="AZ11" s="11">
        <f t="shared" si="22"/>
        <v>14.665686994856722</v>
      </c>
      <c r="BA11" s="11">
        <f t="shared" ref="BA11:BA37" si="59">AY11+BA10</f>
        <v>20590</v>
      </c>
      <c r="BB11" s="11">
        <f t="shared" si="23"/>
        <v>14.875018060973847</v>
      </c>
      <c r="BC11" s="100"/>
      <c r="BD11" s="11">
        <f t="shared" ref="BD11:BD37" si="60">BC11/DG11*100</f>
        <v>0</v>
      </c>
      <c r="BE11" s="11">
        <f t="shared" ref="BE11:BE32" si="61">BC11+BE10</f>
        <v>0</v>
      </c>
      <c r="BF11" s="11">
        <f t="shared" ref="BF11:BF37" si="62">BE11/DH11*100</f>
        <v>0</v>
      </c>
      <c r="BG11" s="100">
        <v>10160</v>
      </c>
      <c r="BH11" s="11">
        <f t="shared" ref="BH11:BH37" si="63">BG11/DG11*100</f>
        <v>14.930198383541512</v>
      </c>
      <c r="BI11" s="11">
        <f t="shared" ref="BI11:BI37" si="64">BG11+BI10</f>
        <v>20600</v>
      </c>
      <c r="BJ11" s="11">
        <f t="shared" ref="BJ11:BJ37" si="65">BI11/DH11*100</f>
        <v>14.882242450512932</v>
      </c>
      <c r="BK11" s="100"/>
      <c r="BL11" s="11">
        <f t="shared" ref="BL11:BL37" si="66">BK11/DG11*100</f>
        <v>0</v>
      </c>
      <c r="BM11" s="11">
        <f t="shared" ref="BM11:BM37" si="67">BK11+BM10</f>
        <v>0</v>
      </c>
      <c r="BN11" s="11">
        <f t="shared" ref="BN11:BN37" si="68">BM11/DH11*100</f>
        <v>0</v>
      </c>
      <c r="BO11" s="100"/>
      <c r="BP11" s="11">
        <f t="shared" si="24"/>
        <v>0</v>
      </c>
      <c r="BQ11" s="11">
        <f t="shared" ref="BQ11:BQ37" si="69">BO11+BQ10</f>
        <v>0</v>
      </c>
      <c r="BR11" s="11">
        <f t="shared" si="25"/>
        <v>0</v>
      </c>
      <c r="BS11" s="100">
        <v>23900</v>
      </c>
      <c r="BT11" s="11">
        <f t="shared" si="26"/>
        <v>35.121234386480523</v>
      </c>
      <c r="BU11" s="11">
        <f t="shared" ref="BU11:BU37" si="70">BS11+BU10</f>
        <v>48670</v>
      </c>
      <c r="BV11" s="11">
        <f t="shared" si="27"/>
        <v>35.16110388672157</v>
      </c>
      <c r="BW11" s="100"/>
      <c r="BX11" s="11">
        <f t="shared" si="28"/>
        <v>0</v>
      </c>
      <c r="BY11" s="11">
        <f t="shared" ref="BY11:BY37" si="71">BW11+BY10</f>
        <v>0</v>
      </c>
      <c r="BZ11" s="11">
        <f t="shared" si="29"/>
        <v>0</v>
      </c>
      <c r="CA11" s="100">
        <v>0</v>
      </c>
      <c r="CB11" s="11">
        <f t="shared" si="30"/>
        <v>0</v>
      </c>
      <c r="CC11" s="11">
        <f t="shared" ref="CC11:CC37" si="72">CA11+CC10</f>
        <v>0</v>
      </c>
      <c r="CD11" s="11">
        <f t="shared" si="31"/>
        <v>0</v>
      </c>
      <c r="CE11" s="100"/>
      <c r="CF11" s="11">
        <f t="shared" si="32"/>
        <v>0</v>
      </c>
      <c r="CG11" s="11">
        <f t="shared" ref="CG11:CG37" si="73">CE11+CG10</f>
        <v>0</v>
      </c>
      <c r="CH11" s="11">
        <f t="shared" si="33"/>
        <v>0</v>
      </c>
      <c r="CI11" s="100"/>
      <c r="CJ11" s="11">
        <f t="shared" si="34"/>
        <v>0</v>
      </c>
      <c r="CK11" s="11">
        <f t="shared" ref="CK11:CK37" si="74">CI11+CK10</f>
        <v>0</v>
      </c>
      <c r="CL11" s="11">
        <f t="shared" si="35"/>
        <v>0</v>
      </c>
      <c r="CM11" s="100">
        <v>0</v>
      </c>
      <c r="CN11" s="11">
        <f t="shared" si="36"/>
        <v>0</v>
      </c>
      <c r="CO11" s="11">
        <f t="shared" ref="CO11:CO37" si="75">CM11+CO10</f>
        <v>0</v>
      </c>
      <c r="CP11" s="11">
        <f t="shared" si="37"/>
        <v>0</v>
      </c>
      <c r="CQ11" s="100">
        <v>0</v>
      </c>
      <c r="CR11" s="11">
        <f t="shared" si="38"/>
        <v>0</v>
      </c>
      <c r="CS11" s="11">
        <f t="shared" ref="CS11:CS37" si="76">CQ11+CS10</f>
        <v>0</v>
      </c>
      <c r="CT11" s="11">
        <f t="shared" si="39"/>
        <v>0</v>
      </c>
      <c r="CU11" s="100">
        <f t="shared" si="40"/>
        <v>68050</v>
      </c>
      <c r="CV11" s="11">
        <f t="shared" si="41"/>
        <v>100</v>
      </c>
      <c r="CW11" s="11">
        <f t="shared" ref="CW11:CW37" si="77">CU11+CW10</f>
        <v>138420</v>
      </c>
      <c r="CX11" s="11">
        <f t="shared" si="42"/>
        <v>100</v>
      </c>
      <c r="CY11" s="100"/>
      <c r="CZ11" s="17">
        <f t="shared" si="43"/>
        <v>0</v>
      </c>
      <c r="DA11" s="11">
        <f t="shared" ref="DA11:DA37" si="78">CY11+DA10</f>
        <v>0</v>
      </c>
      <c r="DB11" s="11">
        <f t="shared" si="44"/>
        <v>0</v>
      </c>
      <c r="DC11" s="11"/>
      <c r="DD11" s="11">
        <f t="shared" si="45"/>
        <v>0</v>
      </c>
      <c r="DE11" s="11">
        <f t="shared" ref="DE11:DE37" si="79">DC11+DE10</f>
        <v>0</v>
      </c>
      <c r="DF11" s="11">
        <f t="shared" si="46"/>
        <v>0</v>
      </c>
      <c r="DG11" s="11">
        <f t="shared" ref="DG11:DG37" si="80">+AA11+CU11+CY11+DC11</f>
        <v>68050</v>
      </c>
      <c r="DH11" s="11">
        <f t="shared" ref="DH11:DH37" si="81">DG11+DH10</f>
        <v>138420</v>
      </c>
      <c r="DI11" s="11">
        <f t="shared" si="47"/>
        <v>1.5318641244400422</v>
      </c>
      <c r="DJ11" s="11">
        <f t="shared" si="48"/>
        <v>1.3254557989888156</v>
      </c>
      <c r="DK11" s="504">
        <f t="shared" ref="DK11:DK37" si="82">+(E11*1000)/CU11</f>
        <v>0.65279941219691406</v>
      </c>
      <c r="DL11" s="505">
        <f t="shared" ref="DL11:DL37" si="83">+(F11*1000)/CW11</f>
        <v>0.75445744834561479</v>
      </c>
      <c r="DM11" s="6" t="str">
        <f>+Efficiency1!D10</f>
        <v>RC BR</v>
      </c>
    </row>
    <row r="12" spans="1:117">
      <c r="A12" s="18">
        <f>+Chem!A11</f>
        <v>45994</v>
      </c>
      <c r="B12" s="6" t="str">
        <f>+Chem!B11</f>
        <v>Napkin</v>
      </c>
      <c r="C12" s="6" t="str">
        <f>+Chem!C11</f>
        <v>20</v>
      </c>
      <c r="D12" s="9">
        <f>+Chem!D11</f>
        <v>47.058000000000007</v>
      </c>
      <c r="E12" s="7">
        <f>+Chem!E11</f>
        <v>49.814999999999998</v>
      </c>
      <c r="F12" s="7">
        <f t="shared" ref="F12:F37" si="84">+E12+F11</f>
        <v>154.24700000000001</v>
      </c>
      <c r="G12" s="100"/>
      <c r="H12" s="11">
        <f t="shared" si="0"/>
        <v>0</v>
      </c>
      <c r="I12" s="9">
        <f t="shared" si="49"/>
        <v>0</v>
      </c>
      <c r="J12" s="11">
        <f t="shared" si="1"/>
        <v>0</v>
      </c>
      <c r="K12" s="100"/>
      <c r="L12" s="11">
        <f t="shared" si="2"/>
        <v>0</v>
      </c>
      <c r="M12" s="11">
        <f t="shared" si="50"/>
        <v>0</v>
      </c>
      <c r="N12" s="11">
        <f t="shared" si="3"/>
        <v>0</v>
      </c>
      <c r="O12" s="100">
        <v>0</v>
      </c>
      <c r="P12" s="11">
        <f t="shared" si="4"/>
        <v>0</v>
      </c>
      <c r="Q12" s="11">
        <f t="shared" si="51"/>
        <v>0</v>
      </c>
      <c r="R12" s="11">
        <f t="shared" si="5"/>
        <v>0</v>
      </c>
      <c r="S12" s="100"/>
      <c r="T12" s="11">
        <f t="shared" si="6"/>
        <v>0</v>
      </c>
      <c r="U12" s="11">
        <f t="shared" si="52"/>
        <v>0</v>
      </c>
      <c r="V12" s="11">
        <f t="shared" si="7"/>
        <v>0</v>
      </c>
      <c r="W12" s="11"/>
      <c r="X12" s="11">
        <f t="shared" si="8"/>
        <v>0</v>
      </c>
      <c r="Y12" s="11">
        <f t="shared" si="53"/>
        <v>0</v>
      </c>
      <c r="Z12" s="11">
        <f t="shared" si="9"/>
        <v>0</v>
      </c>
      <c r="AA12" s="11">
        <f t="shared" si="54"/>
        <v>0</v>
      </c>
      <c r="AB12" s="11">
        <f t="shared" si="10"/>
        <v>0</v>
      </c>
      <c r="AC12" s="11">
        <f t="shared" si="55"/>
        <v>0</v>
      </c>
      <c r="AD12" s="11">
        <f t="shared" si="11"/>
        <v>0</v>
      </c>
      <c r="AE12" s="11"/>
      <c r="AF12" s="11">
        <f t="shared" si="12"/>
        <v>0</v>
      </c>
      <c r="AG12" s="11">
        <f t="shared" ref="AG12:AG37" si="85">+AE12+AG11</f>
        <v>0</v>
      </c>
      <c r="AH12" s="11">
        <f t="shared" si="13"/>
        <v>0</v>
      </c>
      <c r="AI12" s="11"/>
      <c r="AJ12" s="11">
        <f t="shared" si="14"/>
        <v>0</v>
      </c>
      <c r="AK12" s="11">
        <f t="shared" ref="AK12:AK37" si="86">+AI12+AK11</f>
        <v>0</v>
      </c>
      <c r="AL12" s="11">
        <f t="shared" si="15"/>
        <v>0</v>
      </c>
      <c r="AM12" s="11">
        <f t="shared" si="56"/>
        <v>0</v>
      </c>
      <c r="AN12" s="11">
        <f t="shared" si="16"/>
        <v>0</v>
      </c>
      <c r="AO12" s="11">
        <f t="shared" ref="AO12:AO37" si="87">+AM12+AO11</f>
        <v>0</v>
      </c>
      <c r="AP12" s="11">
        <f t="shared" si="17"/>
        <v>0</v>
      </c>
      <c r="AQ12" s="100">
        <v>11915</v>
      </c>
      <c r="AR12" s="11">
        <f t="shared" si="18"/>
        <v>35.111242080447916</v>
      </c>
      <c r="AS12" s="11">
        <f t="shared" si="57"/>
        <v>60475</v>
      </c>
      <c r="AT12" s="11">
        <f t="shared" si="19"/>
        <v>35.087464825505499</v>
      </c>
      <c r="AU12" s="100">
        <v>0</v>
      </c>
      <c r="AV12" s="11" t="e">
        <f t="shared" si="20"/>
        <v>#DIV/0!</v>
      </c>
      <c r="AW12" s="11">
        <f t="shared" si="58"/>
        <v>0</v>
      </c>
      <c r="AX12" s="11" t="e">
        <f t="shared" si="21"/>
        <v>#DIV/0!</v>
      </c>
      <c r="AY12" s="100">
        <v>5030</v>
      </c>
      <c r="AZ12" s="11">
        <f t="shared" si="22"/>
        <v>14.82245469279505</v>
      </c>
      <c r="BA12" s="11">
        <f t="shared" si="59"/>
        <v>25620</v>
      </c>
      <c r="BB12" s="11">
        <f t="shared" si="23"/>
        <v>14.864668852078559</v>
      </c>
      <c r="BC12" s="100"/>
      <c r="BD12" s="11">
        <f t="shared" si="60"/>
        <v>0</v>
      </c>
      <c r="BE12" s="11">
        <f t="shared" si="61"/>
        <v>0</v>
      </c>
      <c r="BF12" s="11">
        <f t="shared" si="62"/>
        <v>0</v>
      </c>
      <c r="BG12" s="100">
        <v>5030</v>
      </c>
      <c r="BH12" s="11">
        <f t="shared" si="63"/>
        <v>14.82245469279505</v>
      </c>
      <c r="BI12" s="11">
        <f t="shared" si="64"/>
        <v>25630</v>
      </c>
      <c r="BJ12" s="11">
        <f t="shared" si="65"/>
        <v>14.870470830553217</v>
      </c>
      <c r="BK12" s="100"/>
      <c r="BL12" s="11">
        <f t="shared" si="66"/>
        <v>0</v>
      </c>
      <c r="BM12" s="11">
        <f t="shared" si="67"/>
        <v>0</v>
      </c>
      <c r="BN12" s="11">
        <f t="shared" si="68"/>
        <v>0</v>
      </c>
      <c r="BO12" s="100"/>
      <c r="BP12" s="11">
        <f t="shared" si="24"/>
        <v>0</v>
      </c>
      <c r="BQ12" s="11">
        <f t="shared" si="69"/>
        <v>0</v>
      </c>
      <c r="BR12" s="11">
        <f t="shared" si="25"/>
        <v>0</v>
      </c>
      <c r="BS12" s="100">
        <v>11960</v>
      </c>
      <c r="BT12" s="11">
        <f t="shared" si="26"/>
        <v>35.243848533961987</v>
      </c>
      <c r="BU12" s="11">
        <f t="shared" si="70"/>
        <v>60630</v>
      </c>
      <c r="BV12" s="11">
        <f t="shared" si="27"/>
        <v>35.177395491862725</v>
      </c>
      <c r="BW12" s="100"/>
      <c r="BX12" s="11">
        <f t="shared" si="28"/>
        <v>0</v>
      </c>
      <c r="BY12" s="11">
        <f t="shared" si="71"/>
        <v>0</v>
      </c>
      <c r="BZ12" s="11">
        <f t="shared" si="29"/>
        <v>0</v>
      </c>
      <c r="CA12" s="100">
        <v>0</v>
      </c>
      <c r="CB12" s="11">
        <f t="shared" si="30"/>
        <v>0</v>
      </c>
      <c r="CC12" s="11">
        <f t="shared" si="72"/>
        <v>0</v>
      </c>
      <c r="CD12" s="11">
        <f t="shared" si="31"/>
        <v>0</v>
      </c>
      <c r="CE12" s="100"/>
      <c r="CF12" s="11">
        <f t="shared" si="32"/>
        <v>0</v>
      </c>
      <c r="CG12" s="11">
        <f t="shared" si="73"/>
        <v>0</v>
      </c>
      <c r="CH12" s="11">
        <f t="shared" si="33"/>
        <v>0</v>
      </c>
      <c r="CI12" s="100"/>
      <c r="CJ12" s="11">
        <f t="shared" si="34"/>
        <v>0</v>
      </c>
      <c r="CK12" s="11">
        <f t="shared" si="74"/>
        <v>0</v>
      </c>
      <c r="CL12" s="11">
        <f t="shared" si="35"/>
        <v>0</v>
      </c>
      <c r="CM12" s="100">
        <v>0</v>
      </c>
      <c r="CN12" s="11">
        <f t="shared" si="36"/>
        <v>0</v>
      </c>
      <c r="CO12" s="11">
        <f t="shared" si="75"/>
        <v>0</v>
      </c>
      <c r="CP12" s="11">
        <f t="shared" si="37"/>
        <v>0</v>
      </c>
      <c r="CQ12" s="100">
        <v>0</v>
      </c>
      <c r="CR12" s="11">
        <f t="shared" si="38"/>
        <v>0</v>
      </c>
      <c r="CS12" s="11">
        <f t="shared" si="76"/>
        <v>0</v>
      </c>
      <c r="CT12" s="11">
        <f t="shared" si="39"/>
        <v>0</v>
      </c>
      <c r="CU12" s="100">
        <f t="shared" si="40"/>
        <v>33935</v>
      </c>
      <c r="CV12" s="11">
        <f t="shared" si="41"/>
        <v>100</v>
      </c>
      <c r="CW12" s="11">
        <f t="shared" si="77"/>
        <v>172355</v>
      </c>
      <c r="CX12" s="11">
        <f t="shared" si="42"/>
        <v>100</v>
      </c>
      <c r="CY12" s="100"/>
      <c r="CZ12" s="17">
        <f t="shared" si="43"/>
        <v>0</v>
      </c>
      <c r="DA12" s="11">
        <f t="shared" si="78"/>
        <v>0</v>
      </c>
      <c r="DB12" s="11">
        <f t="shared" si="44"/>
        <v>0</v>
      </c>
      <c r="DC12" s="11">
        <v>0</v>
      </c>
      <c r="DD12" s="11">
        <f t="shared" si="45"/>
        <v>0</v>
      </c>
      <c r="DE12" s="11">
        <f t="shared" si="79"/>
        <v>0</v>
      </c>
      <c r="DF12" s="11">
        <f t="shared" si="46"/>
        <v>0</v>
      </c>
      <c r="DG12" s="11">
        <f t="shared" si="80"/>
        <v>33935</v>
      </c>
      <c r="DH12" s="11">
        <f t="shared" si="81"/>
        <v>172355</v>
      </c>
      <c r="DI12" s="11">
        <f t="shared" si="47"/>
        <v>0.6812205159088629</v>
      </c>
      <c r="DJ12" s="11">
        <f t="shared" si="48"/>
        <v>1.1173961243978812</v>
      </c>
      <c r="DK12" s="504">
        <f t="shared" si="82"/>
        <v>1.4679534404007661</v>
      </c>
      <c r="DL12" s="505">
        <f t="shared" si="83"/>
        <v>0.89493777378085926</v>
      </c>
      <c r="DM12" s="6" t="str">
        <f>+Efficiency1!D15</f>
        <v>RC BR</v>
      </c>
    </row>
    <row r="13" spans="1:117">
      <c r="A13" s="18">
        <f>+Chem!A12</f>
        <v>45995</v>
      </c>
      <c r="B13" s="6" t="str">
        <f>+Chem!B12</f>
        <v>Napkin</v>
      </c>
      <c r="C13" s="6" t="str">
        <f>+Chem!C12</f>
        <v>STOP</v>
      </c>
      <c r="D13" s="9">
        <f>+Chem!D12</f>
        <v>0</v>
      </c>
      <c r="E13" s="7">
        <f>+Chem!E12</f>
        <v>0</v>
      </c>
      <c r="F13" s="7">
        <f t="shared" si="84"/>
        <v>154.24700000000001</v>
      </c>
      <c r="G13" s="100"/>
      <c r="H13" s="11" t="e">
        <f t="shared" si="0"/>
        <v>#DIV/0!</v>
      </c>
      <c r="I13" s="9">
        <f t="shared" si="49"/>
        <v>0</v>
      </c>
      <c r="J13" s="11">
        <f t="shared" si="1"/>
        <v>0</v>
      </c>
      <c r="K13" s="100"/>
      <c r="L13" s="11" t="e">
        <f t="shared" si="2"/>
        <v>#DIV/0!</v>
      </c>
      <c r="M13" s="11">
        <f t="shared" si="50"/>
        <v>0</v>
      </c>
      <c r="N13" s="11">
        <f t="shared" si="3"/>
        <v>0</v>
      </c>
      <c r="O13" s="100">
        <v>0</v>
      </c>
      <c r="P13" s="11" t="e">
        <f t="shared" si="4"/>
        <v>#DIV/0!</v>
      </c>
      <c r="Q13" s="11">
        <f t="shared" si="51"/>
        <v>0</v>
      </c>
      <c r="R13" s="11">
        <f t="shared" si="5"/>
        <v>0</v>
      </c>
      <c r="S13" s="100"/>
      <c r="T13" s="11" t="e">
        <f t="shared" si="6"/>
        <v>#DIV/0!</v>
      </c>
      <c r="U13" s="11">
        <f t="shared" si="52"/>
        <v>0</v>
      </c>
      <c r="V13" s="11">
        <f t="shared" si="7"/>
        <v>0</v>
      </c>
      <c r="W13" s="11"/>
      <c r="X13" s="11" t="e">
        <f t="shared" si="8"/>
        <v>#DIV/0!</v>
      </c>
      <c r="Y13" s="11">
        <f t="shared" si="53"/>
        <v>0</v>
      </c>
      <c r="Z13" s="11">
        <f t="shared" si="9"/>
        <v>0</v>
      </c>
      <c r="AA13" s="11">
        <f t="shared" si="54"/>
        <v>0</v>
      </c>
      <c r="AB13" s="11" t="e">
        <f t="shared" si="10"/>
        <v>#DIV/0!</v>
      </c>
      <c r="AC13" s="11">
        <f t="shared" si="55"/>
        <v>0</v>
      </c>
      <c r="AD13" s="11">
        <f t="shared" si="11"/>
        <v>0</v>
      </c>
      <c r="AE13" s="11"/>
      <c r="AF13" s="11" t="e">
        <f t="shared" si="12"/>
        <v>#DIV/0!</v>
      </c>
      <c r="AG13" s="11">
        <f t="shared" si="85"/>
        <v>0</v>
      </c>
      <c r="AH13" s="11">
        <f t="shared" si="13"/>
        <v>0</v>
      </c>
      <c r="AI13" s="11"/>
      <c r="AJ13" s="11" t="e">
        <f t="shared" si="14"/>
        <v>#DIV/0!</v>
      </c>
      <c r="AK13" s="11">
        <f t="shared" si="86"/>
        <v>0</v>
      </c>
      <c r="AL13" s="11">
        <f t="shared" si="15"/>
        <v>0</v>
      </c>
      <c r="AM13" s="11">
        <f t="shared" si="56"/>
        <v>0</v>
      </c>
      <c r="AN13" s="11" t="e">
        <f t="shared" si="16"/>
        <v>#DIV/0!</v>
      </c>
      <c r="AO13" s="11">
        <f t="shared" si="87"/>
        <v>0</v>
      </c>
      <c r="AP13" s="11">
        <f t="shared" si="17"/>
        <v>0</v>
      </c>
      <c r="AQ13" s="100">
        <v>0</v>
      </c>
      <c r="AR13" s="11" t="e">
        <f t="shared" si="18"/>
        <v>#DIV/0!</v>
      </c>
      <c r="AS13" s="11">
        <f t="shared" si="57"/>
        <v>60475</v>
      </c>
      <c r="AT13" s="11">
        <f t="shared" si="19"/>
        <v>35.087464825505499</v>
      </c>
      <c r="AU13" s="100">
        <v>0</v>
      </c>
      <c r="AV13" s="11" t="e">
        <f t="shared" si="20"/>
        <v>#DIV/0!</v>
      </c>
      <c r="AW13" s="11">
        <f t="shared" si="58"/>
        <v>0</v>
      </c>
      <c r="AX13" s="11" t="e">
        <f t="shared" si="21"/>
        <v>#DIV/0!</v>
      </c>
      <c r="AY13" s="100">
        <v>0</v>
      </c>
      <c r="AZ13" s="11" t="e">
        <f t="shared" si="22"/>
        <v>#DIV/0!</v>
      </c>
      <c r="BA13" s="11">
        <f t="shared" si="59"/>
        <v>25620</v>
      </c>
      <c r="BB13" s="11">
        <f t="shared" si="23"/>
        <v>14.864668852078559</v>
      </c>
      <c r="BC13" s="100"/>
      <c r="BD13" s="11" t="e">
        <f t="shared" si="60"/>
        <v>#DIV/0!</v>
      </c>
      <c r="BE13" s="11">
        <f t="shared" si="61"/>
        <v>0</v>
      </c>
      <c r="BF13" s="11">
        <f t="shared" si="62"/>
        <v>0</v>
      </c>
      <c r="BG13" s="100">
        <v>0</v>
      </c>
      <c r="BH13" s="11" t="e">
        <f t="shared" si="63"/>
        <v>#DIV/0!</v>
      </c>
      <c r="BI13" s="11">
        <f t="shared" si="64"/>
        <v>25630</v>
      </c>
      <c r="BJ13" s="11">
        <f t="shared" si="65"/>
        <v>14.870470830553217</v>
      </c>
      <c r="BK13" s="100"/>
      <c r="BL13" s="11" t="e">
        <f t="shared" si="66"/>
        <v>#DIV/0!</v>
      </c>
      <c r="BM13" s="11">
        <f t="shared" si="67"/>
        <v>0</v>
      </c>
      <c r="BN13" s="11">
        <f t="shared" si="68"/>
        <v>0</v>
      </c>
      <c r="BO13" s="100"/>
      <c r="BP13" s="11" t="e">
        <f t="shared" si="24"/>
        <v>#DIV/0!</v>
      </c>
      <c r="BQ13" s="11">
        <f t="shared" si="69"/>
        <v>0</v>
      </c>
      <c r="BR13" s="11">
        <f t="shared" si="25"/>
        <v>0</v>
      </c>
      <c r="BS13" s="100">
        <v>0</v>
      </c>
      <c r="BT13" s="11" t="e">
        <f t="shared" si="26"/>
        <v>#DIV/0!</v>
      </c>
      <c r="BU13" s="11">
        <f t="shared" si="70"/>
        <v>60630</v>
      </c>
      <c r="BV13" s="11">
        <f t="shared" si="27"/>
        <v>35.177395491862725</v>
      </c>
      <c r="BW13" s="100"/>
      <c r="BX13" s="11" t="e">
        <f t="shared" si="28"/>
        <v>#DIV/0!</v>
      </c>
      <c r="BY13" s="11">
        <f t="shared" si="71"/>
        <v>0</v>
      </c>
      <c r="BZ13" s="11">
        <f t="shared" si="29"/>
        <v>0</v>
      </c>
      <c r="CA13" s="100">
        <v>0</v>
      </c>
      <c r="CB13" s="11" t="e">
        <f t="shared" si="30"/>
        <v>#DIV/0!</v>
      </c>
      <c r="CC13" s="11">
        <f t="shared" si="72"/>
        <v>0</v>
      </c>
      <c r="CD13" s="11">
        <f t="shared" si="31"/>
        <v>0</v>
      </c>
      <c r="CE13" s="100"/>
      <c r="CF13" s="11" t="e">
        <f t="shared" si="32"/>
        <v>#DIV/0!</v>
      </c>
      <c r="CG13" s="11">
        <f t="shared" si="73"/>
        <v>0</v>
      </c>
      <c r="CH13" s="11">
        <f t="shared" si="33"/>
        <v>0</v>
      </c>
      <c r="CI13" s="100"/>
      <c r="CJ13" s="11" t="e">
        <f t="shared" si="34"/>
        <v>#DIV/0!</v>
      </c>
      <c r="CK13" s="11">
        <f t="shared" si="74"/>
        <v>0</v>
      </c>
      <c r="CL13" s="11">
        <f t="shared" si="35"/>
        <v>0</v>
      </c>
      <c r="CM13" s="100">
        <v>0</v>
      </c>
      <c r="CN13" s="11" t="e">
        <f t="shared" si="36"/>
        <v>#DIV/0!</v>
      </c>
      <c r="CO13" s="11">
        <f t="shared" si="75"/>
        <v>0</v>
      </c>
      <c r="CP13" s="11">
        <f t="shared" si="37"/>
        <v>0</v>
      </c>
      <c r="CQ13" s="100">
        <v>0</v>
      </c>
      <c r="CR13" s="11" t="e">
        <f t="shared" si="38"/>
        <v>#DIV/0!</v>
      </c>
      <c r="CS13" s="11">
        <f t="shared" si="76"/>
        <v>0</v>
      </c>
      <c r="CT13" s="11">
        <f t="shared" si="39"/>
        <v>0</v>
      </c>
      <c r="CU13" s="100">
        <f t="shared" si="40"/>
        <v>0</v>
      </c>
      <c r="CV13" s="11" t="e">
        <f t="shared" si="41"/>
        <v>#DIV/0!</v>
      </c>
      <c r="CW13" s="11">
        <f t="shared" si="77"/>
        <v>172355</v>
      </c>
      <c r="CX13" s="11">
        <f t="shared" si="42"/>
        <v>100</v>
      </c>
      <c r="CY13" s="100"/>
      <c r="CZ13" s="17" t="e">
        <f t="shared" si="43"/>
        <v>#DIV/0!</v>
      </c>
      <c r="DA13" s="11">
        <f t="shared" si="78"/>
        <v>0</v>
      </c>
      <c r="DB13" s="11">
        <f t="shared" si="44"/>
        <v>0</v>
      </c>
      <c r="DC13" s="11">
        <v>0</v>
      </c>
      <c r="DD13" s="11" t="e">
        <f t="shared" si="45"/>
        <v>#DIV/0!</v>
      </c>
      <c r="DE13" s="11">
        <f t="shared" si="79"/>
        <v>0</v>
      </c>
      <c r="DF13" s="11">
        <f t="shared" si="46"/>
        <v>0</v>
      </c>
      <c r="DG13" s="11">
        <f t="shared" si="80"/>
        <v>0</v>
      </c>
      <c r="DH13" s="11">
        <f t="shared" si="81"/>
        <v>172355</v>
      </c>
      <c r="DI13" s="11" t="e">
        <f t="shared" si="47"/>
        <v>#DIV/0!</v>
      </c>
      <c r="DJ13" s="11">
        <f t="shared" si="48"/>
        <v>1.1173961243978812</v>
      </c>
      <c r="DK13" s="504" t="e">
        <f t="shared" si="82"/>
        <v>#DIV/0!</v>
      </c>
      <c r="DL13" s="505">
        <f t="shared" si="83"/>
        <v>0.89493777378085926</v>
      </c>
      <c r="DM13" s="490" t="str">
        <f>+Efficiency1!D20</f>
        <v>STOP</v>
      </c>
    </row>
    <row r="14" spans="1:117">
      <c r="A14" s="18">
        <f>+Chem!A13</f>
        <v>45996</v>
      </c>
      <c r="B14" s="6" t="str">
        <f>+Chem!B13</f>
        <v>Towel</v>
      </c>
      <c r="C14" s="6" t="str">
        <f>+Chem!C13</f>
        <v>17</v>
      </c>
      <c r="D14" s="9">
        <f>+Chem!D13</f>
        <v>39.436</v>
      </c>
      <c r="E14" s="7">
        <f>+Chem!E13</f>
        <v>33.343000000000004</v>
      </c>
      <c r="F14" s="7">
        <f t="shared" si="84"/>
        <v>187.59000000000003</v>
      </c>
      <c r="G14" s="100"/>
      <c r="H14" s="91">
        <f t="shared" si="0"/>
        <v>0</v>
      </c>
      <c r="I14" s="9">
        <f t="shared" si="49"/>
        <v>0</v>
      </c>
      <c r="J14" s="91">
        <f t="shared" si="1"/>
        <v>0</v>
      </c>
      <c r="K14" s="100"/>
      <c r="L14" s="91">
        <f t="shared" si="2"/>
        <v>0</v>
      </c>
      <c r="M14" s="91">
        <f t="shared" si="50"/>
        <v>0</v>
      </c>
      <c r="N14" s="91">
        <f t="shared" si="3"/>
        <v>0</v>
      </c>
      <c r="O14" s="100">
        <f>8*O7</f>
        <v>1712.848</v>
      </c>
      <c r="P14" s="91">
        <f t="shared" si="4"/>
        <v>3.7247015833404951</v>
      </c>
      <c r="Q14" s="91">
        <f t="shared" si="51"/>
        <v>1712.848</v>
      </c>
      <c r="R14" s="91">
        <f t="shared" si="5"/>
        <v>0.78448233844191739</v>
      </c>
      <c r="S14" s="100"/>
      <c r="T14" s="91">
        <f t="shared" si="6"/>
        <v>0</v>
      </c>
      <c r="U14" s="91">
        <f t="shared" si="52"/>
        <v>0</v>
      </c>
      <c r="V14" s="91">
        <f t="shared" si="7"/>
        <v>0</v>
      </c>
      <c r="W14" s="11"/>
      <c r="X14" s="91">
        <f t="shared" si="8"/>
        <v>0</v>
      </c>
      <c r="Y14" s="91">
        <f t="shared" si="53"/>
        <v>0</v>
      </c>
      <c r="Z14" s="91">
        <f t="shared" si="9"/>
        <v>0</v>
      </c>
      <c r="AA14" s="11">
        <f t="shared" si="54"/>
        <v>1712.848</v>
      </c>
      <c r="AB14" s="91">
        <f t="shared" si="10"/>
        <v>3.7247015833404951</v>
      </c>
      <c r="AC14" s="91">
        <f t="shared" si="55"/>
        <v>1712.848</v>
      </c>
      <c r="AD14" s="91">
        <f t="shared" si="11"/>
        <v>0.78448233844191739</v>
      </c>
      <c r="AE14" s="91"/>
      <c r="AF14" s="11">
        <f t="shared" si="12"/>
        <v>0</v>
      </c>
      <c r="AG14" s="11">
        <f t="shared" si="85"/>
        <v>0</v>
      </c>
      <c r="AH14" s="11">
        <f t="shared" si="13"/>
        <v>0</v>
      </c>
      <c r="AI14" s="11"/>
      <c r="AJ14" s="11">
        <f t="shared" si="14"/>
        <v>0</v>
      </c>
      <c r="AK14" s="11">
        <f t="shared" si="86"/>
        <v>0</v>
      </c>
      <c r="AL14" s="11">
        <f t="shared" si="15"/>
        <v>0</v>
      </c>
      <c r="AM14" s="11">
        <f t="shared" si="56"/>
        <v>0</v>
      </c>
      <c r="AN14" s="11">
        <f t="shared" si="16"/>
        <v>0</v>
      </c>
      <c r="AO14" s="11">
        <f t="shared" si="87"/>
        <v>0</v>
      </c>
      <c r="AP14" s="11">
        <f t="shared" si="17"/>
        <v>0</v>
      </c>
      <c r="AQ14" s="100">
        <v>13228.616032742044</v>
      </c>
      <c r="AR14" s="11">
        <f t="shared" si="18"/>
        <v>28.766502971984526</v>
      </c>
      <c r="AS14" s="91">
        <f t="shared" si="57"/>
        <v>73703.616032742051</v>
      </c>
      <c r="AT14" s="11">
        <f t="shared" si="19"/>
        <v>33.75616812291031</v>
      </c>
      <c r="AU14" s="100">
        <v>2621.8065546727366</v>
      </c>
      <c r="AV14" s="11" t="e">
        <f t="shared" si="20"/>
        <v>#DIV/0!</v>
      </c>
      <c r="AW14" s="91">
        <f t="shared" si="58"/>
        <v>2621.8065546727366</v>
      </c>
      <c r="AX14" s="11" t="e">
        <f t="shared" si="21"/>
        <v>#DIV/0!</v>
      </c>
      <c r="AY14" s="101">
        <v>0</v>
      </c>
      <c r="AZ14" s="91">
        <f t="shared" si="22"/>
        <v>0</v>
      </c>
      <c r="BA14" s="91">
        <f t="shared" si="59"/>
        <v>25620</v>
      </c>
      <c r="BB14" s="91">
        <f t="shared" si="23"/>
        <v>11.733929403474169</v>
      </c>
      <c r="BC14" s="100"/>
      <c r="BD14" s="11">
        <f t="shared" si="60"/>
        <v>0</v>
      </c>
      <c r="BE14" s="91">
        <f t="shared" si="61"/>
        <v>0</v>
      </c>
      <c r="BF14" s="11">
        <f t="shared" si="62"/>
        <v>0</v>
      </c>
      <c r="BG14" s="101">
        <v>17849.493678154922</v>
      </c>
      <c r="BH14" s="11">
        <f t="shared" si="63"/>
        <v>38.814907898920275</v>
      </c>
      <c r="BI14" s="91">
        <f t="shared" si="64"/>
        <v>43479.493678154919</v>
      </c>
      <c r="BJ14" s="11">
        <f t="shared" si="65"/>
        <v>19.913556179479752</v>
      </c>
      <c r="BK14" s="101"/>
      <c r="BL14" s="11">
        <f t="shared" si="66"/>
        <v>0</v>
      </c>
      <c r="BM14" s="91">
        <f t="shared" si="67"/>
        <v>0</v>
      </c>
      <c r="BN14" s="11">
        <f t="shared" si="68"/>
        <v>0</v>
      </c>
      <c r="BO14" s="101"/>
      <c r="BP14" s="91">
        <f t="shared" si="24"/>
        <v>0</v>
      </c>
      <c r="BQ14" s="91">
        <f t="shared" si="69"/>
        <v>0</v>
      </c>
      <c r="BR14" s="91">
        <f t="shared" si="25"/>
        <v>0</v>
      </c>
      <c r="BS14" s="101">
        <v>0</v>
      </c>
      <c r="BT14" s="91">
        <f t="shared" si="26"/>
        <v>0</v>
      </c>
      <c r="BU14" s="91">
        <f t="shared" si="70"/>
        <v>60630</v>
      </c>
      <c r="BV14" s="91">
        <f t="shared" si="27"/>
        <v>27.768467592999173</v>
      </c>
      <c r="BW14" s="101"/>
      <c r="BX14" s="91">
        <f t="shared" si="28"/>
        <v>0</v>
      </c>
      <c r="BY14" s="91">
        <f t="shared" si="71"/>
        <v>0</v>
      </c>
      <c r="BZ14" s="91">
        <f t="shared" si="29"/>
        <v>0</v>
      </c>
      <c r="CA14" s="101">
        <v>3625.854675868406</v>
      </c>
      <c r="CB14" s="91">
        <f t="shared" si="30"/>
        <v>7.8846614831961679</v>
      </c>
      <c r="CC14" s="91">
        <f t="shared" si="72"/>
        <v>3625.854675868406</v>
      </c>
      <c r="CD14" s="91">
        <f t="shared" si="31"/>
        <v>1.6606371113933098</v>
      </c>
      <c r="CE14" s="101"/>
      <c r="CF14" s="11">
        <f t="shared" si="32"/>
        <v>0</v>
      </c>
      <c r="CG14" s="91">
        <f t="shared" si="73"/>
        <v>0</v>
      </c>
      <c r="CH14" s="11">
        <f t="shared" si="33"/>
        <v>0</v>
      </c>
      <c r="CI14" s="101"/>
      <c r="CJ14" s="91">
        <f t="shared" si="34"/>
        <v>0</v>
      </c>
      <c r="CK14" s="91">
        <f t="shared" si="74"/>
        <v>0</v>
      </c>
      <c r="CL14" s="91">
        <f t="shared" si="35"/>
        <v>0</v>
      </c>
      <c r="CM14" s="101">
        <v>6252.1738063667408</v>
      </c>
      <c r="CN14" s="11">
        <f t="shared" si="36"/>
        <v>13.595766627216291</v>
      </c>
      <c r="CO14" s="91">
        <f t="shared" si="75"/>
        <v>6252.1738063667408</v>
      </c>
      <c r="CP14" s="11">
        <f t="shared" si="37"/>
        <v>2.8634881366962417</v>
      </c>
      <c r="CQ14" s="101">
        <v>695.38793472473094</v>
      </c>
      <c r="CR14" s="11">
        <f t="shared" si="38"/>
        <v>1.5121671867585926</v>
      </c>
      <c r="CS14" s="91">
        <f t="shared" si="76"/>
        <v>695.38793472473094</v>
      </c>
      <c r="CT14" s="11">
        <f t="shared" si="39"/>
        <v>0.31848684364120594</v>
      </c>
      <c r="CU14" s="100">
        <f t="shared" si="40"/>
        <v>44273.332682529581</v>
      </c>
      <c r="CV14" s="11">
        <f t="shared" si="41"/>
        <v>96.27529841665951</v>
      </c>
      <c r="CW14" s="11">
        <f t="shared" si="77"/>
        <v>216628.33268252958</v>
      </c>
      <c r="CX14" s="11">
        <f t="shared" si="42"/>
        <v>99.215517661558081</v>
      </c>
      <c r="CY14" s="101"/>
      <c r="CZ14" s="92">
        <f t="shared" si="43"/>
        <v>0</v>
      </c>
      <c r="DA14" s="91">
        <f t="shared" si="78"/>
        <v>0</v>
      </c>
      <c r="DB14" s="91">
        <f t="shared" si="44"/>
        <v>0</v>
      </c>
      <c r="DC14" s="11">
        <v>0</v>
      </c>
      <c r="DD14" s="91">
        <f t="shared" si="45"/>
        <v>0</v>
      </c>
      <c r="DE14" s="91">
        <f t="shared" si="79"/>
        <v>0</v>
      </c>
      <c r="DF14" s="91">
        <f t="shared" si="46"/>
        <v>0</v>
      </c>
      <c r="DG14" s="11">
        <f t="shared" si="80"/>
        <v>45986.180682529579</v>
      </c>
      <c r="DH14" s="91">
        <f t="shared" si="81"/>
        <v>218341.18068252958</v>
      </c>
      <c r="DI14" s="91">
        <f t="shared" si="47"/>
        <v>1.3791854566934461</v>
      </c>
      <c r="DJ14" s="91">
        <f t="shared" si="48"/>
        <v>1.1639276117198654</v>
      </c>
      <c r="DK14" s="504">
        <f t="shared" si="82"/>
        <v>0.75311701152231691</v>
      </c>
      <c r="DL14" s="505">
        <f t="shared" si="83"/>
        <v>0.86595320970740497</v>
      </c>
      <c r="DM14" s="6" t="str">
        <f>+Efficiency1!D26</f>
        <v>RC HW</v>
      </c>
    </row>
    <row r="15" spans="1:117">
      <c r="A15" s="18">
        <f>+Chem!A14</f>
        <v>45997</v>
      </c>
      <c r="B15" s="6" t="str">
        <f>+Chem!B14</f>
        <v>Towel/Napkin</v>
      </c>
      <c r="C15" s="6" t="str">
        <f>+Chem!C14</f>
        <v>17/15,5</v>
      </c>
      <c r="D15" s="9">
        <f>+Chem!D14</f>
        <v>42.302</v>
      </c>
      <c r="E15" s="7">
        <f>+Chem!E14</f>
        <v>38.427999999999997</v>
      </c>
      <c r="F15" s="7">
        <f t="shared" si="84"/>
        <v>226.01800000000003</v>
      </c>
      <c r="G15" s="100"/>
      <c r="H15" s="91">
        <f t="shared" si="0"/>
        <v>0</v>
      </c>
      <c r="I15" s="9">
        <f t="shared" si="49"/>
        <v>0</v>
      </c>
      <c r="J15" s="91">
        <f t="shared" si="1"/>
        <v>0</v>
      </c>
      <c r="K15" s="100"/>
      <c r="L15" s="91">
        <f t="shared" si="2"/>
        <v>0</v>
      </c>
      <c r="M15" s="91">
        <f t="shared" si="50"/>
        <v>0</v>
      </c>
      <c r="N15" s="91">
        <f t="shared" si="3"/>
        <v>0</v>
      </c>
      <c r="O15" s="100">
        <f>40*O7</f>
        <v>8564.24</v>
      </c>
      <c r="P15" s="91">
        <f t="shared" si="4"/>
        <v>15.03075878098074</v>
      </c>
      <c r="Q15" s="91">
        <f t="shared" si="51"/>
        <v>10277.088</v>
      </c>
      <c r="R15" s="91">
        <f t="shared" si="5"/>
        <v>3.7327891332184122</v>
      </c>
      <c r="S15" s="100"/>
      <c r="T15" s="91">
        <f t="shared" si="6"/>
        <v>0</v>
      </c>
      <c r="U15" s="91">
        <f t="shared" si="52"/>
        <v>0</v>
      </c>
      <c r="V15" s="91">
        <f t="shared" si="7"/>
        <v>0</v>
      </c>
      <c r="W15" s="11"/>
      <c r="X15" s="91">
        <f t="shared" si="8"/>
        <v>0</v>
      </c>
      <c r="Y15" s="91">
        <f t="shared" si="53"/>
        <v>0</v>
      </c>
      <c r="Z15" s="91">
        <f t="shared" si="9"/>
        <v>0</v>
      </c>
      <c r="AA15" s="11">
        <f t="shared" si="54"/>
        <v>8564.24</v>
      </c>
      <c r="AB15" s="91">
        <f t="shared" si="10"/>
        <v>15.03075878098074</v>
      </c>
      <c r="AC15" s="91">
        <f t="shared" si="55"/>
        <v>10277.088</v>
      </c>
      <c r="AD15" s="91">
        <f t="shared" si="11"/>
        <v>3.7327891332184122</v>
      </c>
      <c r="AE15" s="91"/>
      <c r="AF15" s="11">
        <f t="shared" si="12"/>
        <v>0</v>
      </c>
      <c r="AG15" s="11">
        <f t="shared" si="85"/>
        <v>0</v>
      </c>
      <c r="AH15" s="11">
        <f t="shared" si="13"/>
        <v>0</v>
      </c>
      <c r="AI15" s="11"/>
      <c r="AJ15" s="11">
        <f t="shared" si="14"/>
        <v>0</v>
      </c>
      <c r="AK15" s="11">
        <f t="shared" si="86"/>
        <v>0</v>
      </c>
      <c r="AL15" s="11">
        <f t="shared" si="15"/>
        <v>0</v>
      </c>
      <c r="AM15" s="11">
        <f t="shared" si="56"/>
        <v>0</v>
      </c>
      <c r="AN15" s="11">
        <f t="shared" si="16"/>
        <v>0</v>
      </c>
      <c r="AO15" s="11">
        <f t="shared" si="87"/>
        <v>0</v>
      </c>
      <c r="AP15" s="11">
        <f t="shared" si="17"/>
        <v>0</v>
      </c>
      <c r="AQ15" s="100">
        <v>17588.361309429372</v>
      </c>
      <c r="AR15" s="11">
        <f t="shared" si="18"/>
        <v>30.86863705299799</v>
      </c>
      <c r="AS15" s="91">
        <f t="shared" si="57"/>
        <v>91291.97734217142</v>
      </c>
      <c r="AT15" s="11">
        <f t="shared" si="19"/>
        <v>33.158585483833455</v>
      </c>
      <c r="AU15" s="100">
        <v>2579.4175260457987</v>
      </c>
      <c r="AV15" s="11" t="e">
        <f t="shared" si="20"/>
        <v>#DIV/0!</v>
      </c>
      <c r="AW15" s="91">
        <f t="shared" si="58"/>
        <v>5201.2240807185353</v>
      </c>
      <c r="AX15" s="11" t="e">
        <f t="shared" si="21"/>
        <v>#DIV/0!</v>
      </c>
      <c r="AY15" s="101">
        <v>0</v>
      </c>
      <c r="AZ15" s="91">
        <f t="shared" si="22"/>
        <v>0</v>
      </c>
      <c r="BA15" s="91">
        <f t="shared" si="59"/>
        <v>25620</v>
      </c>
      <c r="BB15" s="91">
        <f t="shared" si="23"/>
        <v>9.3055598621959579</v>
      </c>
      <c r="BC15" s="100"/>
      <c r="BD15" s="11">
        <f t="shared" si="60"/>
        <v>0</v>
      </c>
      <c r="BE15" s="91">
        <f t="shared" si="61"/>
        <v>0</v>
      </c>
      <c r="BF15" s="11">
        <f t="shared" si="62"/>
        <v>0</v>
      </c>
      <c r="BG15" s="101">
        <v>17114.088529271776</v>
      </c>
      <c r="BH15" s="11">
        <f t="shared" si="63"/>
        <v>30.036259661083008</v>
      </c>
      <c r="BI15" s="91">
        <f t="shared" si="64"/>
        <v>60593.582207426691</v>
      </c>
      <c r="BJ15" s="11">
        <f t="shared" si="65"/>
        <v>22.008478005312291</v>
      </c>
      <c r="BK15" s="101"/>
      <c r="BL15" s="11">
        <f t="shared" si="66"/>
        <v>0</v>
      </c>
      <c r="BM15" s="91">
        <f t="shared" si="67"/>
        <v>0</v>
      </c>
      <c r="BN15" s="11">
        <f t="shared" si="68"/>
        <v>0</v>
      </c>
      <c r="BO15" s="101"/>
      <c r="BP15" s="91">
        <f t="shared" si="24"/>
        <v>0</v>
      </c>
      <c r="BQ15" s="91">
        <f t="shared" si="69"/>
        <v>0</v>
      </c>
      <c r="BR15" s="91">
        <f t="shared" si="25"/>
        <v>0</v>
      </c>
      <c r="BS15" s="101">
        <v>0</v>
      </c>
      <c r="BT15" s="91">
        <f t="shared" si="26"/>
        <v>0</v>
      </c>
      <c r="BU15" s="91">
        <f t="shared" si="70"/>
        <v>60630</v>
      </c>
      <c r="BV15" s="91">
        <f t="shared" si="27"/>
        <v>22.02170548184781</v>
      </c>
      <c r="BW15" s="101"/>
      <c r="BX15" s="91">
        <f t="shared" si="28"/>
        <v>0</v>
      </c>
      <c r="BY15" s="91">
        <f t="shared" si="71"/>
        <v>0</v>
      </c>
      <c r="BZ15" s="91">
        <f t="shared" si="29"/>
        <v>0</v>
      </c>
      <c r="CA15" s="101">
        <v>4087.2470252260832</v>
      </c>
      <c r="CB15" s="91">
        <f t="shared" si="30"/>
        <v>7.1733655425880603</v>
      </c>
      <c r="CC15" s="91">
        <f t="shared" si="72"/>
        <v>7713.1017010944888</v>
      </c>
      <c r="CD15" s="91">
        <f t="shared" si="31"/>
        <v>2.8015116940960278</v>
      </c>
      <c r="CE15" s="101"/>
      <c r="CF15" s="11">
        <f t="shared" si="32"/>
        <v>0</v>
      </c>
      <c r="CG15" s="91">
        <f t="shared" si="73"/>
        <v>0</v>
      </c>
      <c r="CH15" s="11">
        <f t="shared" si="33"/>
        <v>0</v>
      </c>
      <c r="CI15" s="101"/>
      <c r="CJ15" s="91">
        <f t="shared" si="34"/>
        <v>0</v>
      </c>
      <c r="CK15" s="91">
        <f t="shared" si="74"/>
        <v>0</v>
      </c>
      <c r="CL15" s="91">
        <f t="shared" si="35"/>
        <v>0</v>
      </c>
      <c r="CM15" s="101">
        <v>6941.832249193506</v>
      </c>
      <c r="CN15" s="11">
        <f t="shared" si="36"/>
        <v>12.183335127887657</v>
      </c>
      <c r="CO15" s="91">
        <f t="shared" si="75"/>
        <v>13194.006055560247</v>
      </c>
      <c r="CP15" s="11">
        <f t="shared" si="37"/>
        <v>4.7922565640980421</v>
      </c>
      <c r="CQ15" s="101">
        <v>102.9082447511767</v>
      </c>
      <c r="CR15" s="11">
        <f t="shared" si="38"/>
        <v>0.18061018881174098</v>
      </c>
      <c r="CS15" s="91">
        <f t="shared" si="76"/>
        <v>798.29617947590759</v>
      </c>
      <c r="CT15" s="11">
        <f t="shared" si="39"/>
        <v>0.28995288391394947</v>
      </c>
      <c r="CU15" s="100">
        <f t="shared" si="40"/>
        <v>48413.854883917709</v>
      </c>
      <c r="CV15" s="11">
        <f t="shared" si="41"/>
        <v>84.969241219019267</v>
      </c>
      <c r="CW15" s="11">
        <f t="shared" si="77"/>
        <v>265042.1875664473</v>
      </c>
      <c r="CX15" s="11">
        <f t="shared" si="42"/>
        <v>96.267210866781596</v>
      </c>
      <c r="CY15" s="101"/>
      <c r="CZ15" s="92">
        <f t="shared" si="43"/>
        <v>0</v>
      </c>
      <c r="DA15" s="91">
        <f t="shared" si="78"/>
        <v>0</v>
      </c>
      <c r="DB15" s="91">
        <f t="shared" si="44"/>
        <v>0</v>
      </c>
      <c r="DC15" s="11">
        <v>0</v>
      </c>
      <c r="DD15" s="91">
        <f t="shared" si="45"/>
        <v>0</v>
      </c>
      <c r="DE15" s="91">
        <f t="shared" si="79"/>
        <v>0</v>
      </c>
      <c r="DF15" s="91">
        <f t="shared" si="46"/>
        <v>0</v>
      </c>
      <c r="DG15" s="11">
        <f t="shared" si="80"/>
        <v>56978.094883917707</v>
      </c>
      <c r="DH15" s="91">
        <f t="shared" si="81"/>
        <v>275319.27556644729</v>
      </c>
      <c r="DI15" s="91">
        <f t="shared" si="47"/>
        <v>1.4827234017882198</v>
      </c>
      <c r="DJ15" s="91">
        <f t="shared" si="48"/>
        <v>1.2181298638446816</v>
      </c>
      <c r="DK15" s="504">
        <f t="shared" si="82"/>
        <v>0.79373972785557201</v>
      </c>
      <c r="DL15" s="505">
        <f t="shared" si="83"/>
        <v>0.85276235483581753</v>
      </c>
      <c r="DM15" s="6" t="str">
        <f>+Efficiency1!D31</f>
        <v>RC HW</v>
      </c>
    </row>
    <row r="16" spans="1:117">
      <c r="A16" s="18">
        <f>+Chem!A15</f>
        <v>45998</v>
      </c>
      <c r="B16" s="6" t="str">
        <f>+Chem!B15</f>
        <v>Napkin</v>
      </c>
      <c r="C16" s="6" t="str">
        <f>+Chem!C15</f>
        <v>15,5</v>
      </c>
      <c r="D16" s="9">
        <f>+Chem!D15</f>
        <v>49.305999999999997</v>
      </c>
      <c r="E16" s="7">
        <f>+Chem!E15</f>
        <v>48.44</v>
      </c>
      <c r="F16" s="7">
        <f t="shared" si="84"/>
        <v>274.45800000000003</v>
      </c>
      <c r="G16" s="100"/>
      <c r="H16" s="91">
        <f t="shared" si="0"/>
        <v>0</v>
      </c>
      <c r="I16" s="9">
        <f t="shared" si="49"/>
        <v>0</v>
      </c>
      <c r="J16" s="91">
        <f t="shared" si="1"/>
        <v>0</v>
      </c>
      <c r="K16" s="100"/>
      <c r="L16" s="91">
        <f t="shared" si="2"/>
        <v>0</v>
      </c>
      <c r="M16" s="91">
        <f t="shared" si="50"/>
        <v>0</v>
      </c>
      <c r="N16" s="91">
        <f t="shared" si="3"/>
        <v>0</v>
      </c>
      <c r="O16" s="100">
        <f>44*O7</f>
        <v>9420.6640000000007</v>
      </c>
      <c r="P16" s="91">
        <f t="shared" si="4"/>
        <v>16.226688262232834</v>
      </c>
      <c r="Q16" s="91">
        <f t="shared" si="51"/>
        <v>19697.752</v>
      </c>
      <c r="R16" s="91">
        <f t="shared" si="5"/>
        <v>5.908571453651982</v>
      </c>
      <c r="S16" s="100"/>
      <c r="T16" s="91">
        <f t="shared" si="6"/>
        <v>0</v>
      </c>
      <c r="U16" s="91">
        <f t="shared" si="52"/>
        <v>0</v>
      </c>
      <c r="V16" s="91">
        <f t="shared" si="7"/>
        <v>0</v>
      </c>
      <c r="W16" s="11"/>
      <c r="X16" s="91">
        <f t="shared" si="8"/>
        <v>0</v>
      </c>
      <c r="Y16" s="91">
        <f t="shared" si="53"/>
        <v>0</v>
      </c>
      <c r="Z16" s="91">
        <f t="shared" si="9"/>
        <v>0</v>
      </c>
      <c r="AA16" s="11">
        <f t="shared" si="54"/>
        <v>9420.6640000000007</v>
      </c>
      <c r="AB16" s="91">
        <f t="shared" si="10"/>
        <v>16.226688262232834</v>
      </c>
      <c r="AC16" s="91">
        <f t="shared" si="55"/>
        <v>19697.752</v>
      </c>
      <c r="AD16" s="91">
        <f t="shared" si="11"/>
        <v>5.908571453651982</v>
      </c>
      <c r="AE16" s="91"/>
      <c r="AF16" s="11">
        <f t="shared" si="12"/>
        <v>0</v>
      </c>
      <c r="AG16" s="11">
        <f t="shared" si="85"/>
        <v>0</v>
      </c>
      <c r="AH16" s="11">
        <f t="shared" si="13"/>
        <v>0</v>
      </c>
      <c r="AI16" s="11"/>
      <c r="AJ16" s="11">
        <f t="shared" si="14"/>
        <v>0</v>
      </c>
      <c r="AK16" s="11">
        <f t="shared" si="86"/>
        <v>0</v>
      </c>
      <c r="AL16" s="11">
        <f t="shared" si="15"/>
        <v>0</v>
      </c>
      <c r="AM16" s="11">
        <f t="shared" si="56"/>
        <v>0</v>
      </c>
      <c r="AN16" s="11">
        <f t="shared" si="16"/>
        <v>0</v>
      </c>
      <c r="AO16" s="11">
        <f t="shared" si="87"/>
        <v>0</v>
      </c>
      <c r="AP16" s="11">
        <f t="shared" si="17"/>
        <v>0</v>
      </c>
      <c r="AQ16" s="100">
        <v>14621.61275194364</v>
      </c>
      <c r="AR16" s="11">
        <f t="shared" si="18"/>
        <v>25.185098631781987</v>
      </c>
      <c r="AS16" s="91">
        <f t="shared" si="57"/>
        <v>105913.59009411506</v>
      </c>
      <c r="AT16" s="11">
        <f t="shared" si="19"/>
        <v>31.770022030122298</v>
      </c>
      <c r="AU16" s="100">
        <v>2869.8544094045064</v>
      </c>
      <c r="AV16" s="11" t="e">
        <f t="shared" si="20"/>
        <v>#DIV/0!</v>
      </c>
      <c r="AW16" s="91">
        <f t="shared" si="58"/>
        <v>8071.0784901230418</v>
      </c>
      <c r="AX16" s="11" t="e">
        <f t="shared" si="21"/>
        <v>#DIV/0!</v>
      </c>
      <c r="AY16" s="101">
        <v>0</v>
      </c>
      <c r="AZ16" s="91">
        <f t="shared" si="22"/>
        <v>0</v>
      </c>
      <c r="BA16" s="91">
        <f t="shared" si="59"/>
        <v>25620</v>
      </c>
      <c r="BB16" s="91">
        <f t="shared" si="23"/>
        <v>7.6850191150017402</v>
      </c>
      <c r="BC16" s="100"/>
      <c r="BD16" s="11">
        <f t="shared" si="60"/>
        <v>0</v>
      </c>
      <c r="BE16" s="91">
        <f t="shared" si="61"/>
        <v>0</v>
      </c>
      <c r="BF16" s="11">
        <f t="shared" si="62"/>
        <v>0</v>
      </c>
      <c r="BG16" s="101">
        <v>19560.22881797528</v>
      </c>
      <c r="BH16" s="11">
        <f t="shared" si="63"/>
        <v>33.691652240991502</v>
      </c>
      <c r="BI16" s="91">
        <f t="shared" si="64"/>
        <v>80153.81102540197</v>
      </c>
      <c r="BJ16" s="11">
        <f t="shared" si="65"/>
        <v>24.043074546075388</v>
      </c>
      <c r="BK16" s="101"/>
      <c r="BL16" s="11">
        <f t="shared" si="66"/>
        <v>0</v>
      </c>
      <c r="BM16" s="91">
        <f t="shared" si="67"/>
        <v>0</v>
      </c>
      <c r="BN16" s="11">
        <f t="shared" si="68"/>
        <v>0</v>
      </c>
      <c r="BO16" s="101"/>
      <c r="BP16" s="91">
        <f t="shared" si="24"/>
        <v>0</v>
      </c>
      <c r="BQ16" s="91">
        <f t="shared" si="69"/>
        <v>0</v>
      </c>
      <c r="BR16" s="91">
        <f t="shared" si="25"/>
        <v>0</v>
      </c>
      <c r="BS16" s="101">
        <v>0</v>
      </c>
      <c r="BT16" s="91">
        <f t="shared" si="26"/>
        <v>0</v>
      </c>
      <c r="BU16" s="91">
        <f t="shared" si="70"/>
        <v>60630</v>
      </c>
      <c r="BV16" s="91">
        <f t="shared" si="27"/>
        <v>18.186678725314422</v>
      </c>
      <c r="BW16" s="101"/>
      <c r="BX16" s="91">
        <f t="shared" si="28"/>
        <v>0</v>
      </c>
      <c r="BY16" s="91">
        <f t="shared" si="71"/>
        <v>0</v>
      </c>
      <c r="BZ16" s="91">
        <f t="shared" si="29"/>
        <v>0</v>
      </c>
      <c r="CA16" s="101">
        <v>3491.6133772432622</v>
      </c>
      <c r="CB16" s="91">
        <f t="shared" si="30"/>
        <v>6.0141537586701315</v>
      </c>
      <c r="CC16" s="91">
        <f t="shared" si="72"/>
        <v>11204.715078337751</v>
      </c>
      <c r="CD16" s="91">
        <f t="shared" si="31"/>
        <v>3.360985540795232</v>
      </c>
      <c r="CE16" s="101"/>
      <c r="CF16" s="11">
        <f t="shared" si="32"/>
        <v>0</v>
      </c>
      <c r="CG16" s="91">
        <f t="shared" si="73"/>
        <v>0</v>
      </c>
      <c r="CH16" s="11">
        <f t="shared" si="33"/>
        <v>0</v>
      </c>
      <c r="CI16" s="101"/>
      <c r="CJ16" s="91">
        <f t="shared" si="34"/>
        <v>0</v>
      </c>
      <c r="CK16" s="91">
        <f t="shared" si="74"/>
        <v>0</v>
      </c>
      <c r="CL16" s="91">
        <f t="shared" si="35"/>
        <v>0</v>
      </c>
      <c r="CM16" s="101">
        <v>7751.4330825187071</v>
      </c>
      <c r="CN16" s="11">
        <f t="shared" si="36"/>
        <v>13.351509852765112</v>
      </c>
      <c r="CO16" s="91">
        <f t="shared" si="75"/>
        <v>20945.439138078953</v>
      </c>
      <c r="CP16" s="11">
        <f t="shared" si="37"/>
        <v>6.2828298262389666</v>
      </c>
      <c r="CQ16" s="101">
        <v>341.19665673135046</v>
      </c>
      <c r="CR16" s="11">
        <f t="shared" si="38"/>
        <v>0.58769655566695622</v>
      </c>
      <c r="CS16" s="91">
        <f t="shared" si="76"/>
        <v>1139.4928362072581</v>
      </c>
      <c r="CT16" s="11">
        <f t="shared" si="39"/>
        <v>0.34180422434271374</v>
      </c>
      <c r="CU16" s="100">
        <f t="shared" si="40"/>
        <v>48635.939095816742</v>
      </c>
      <c r="CV16" s="11">
        <f t="shared" si="41"/>
        <v>83.773311737767159</v>
      </c>
      <c r="CW16" s="11">
        <f t="shared" si="77"/>
        <v>313678.12666226405</v>
      </c>
      <c r="CX16" s="11">
        <f t="shared" si="42"/>
        <v>94.091428546348027</v>
      </c>
      <c r="CY16" s="101"/>
      <c r="CZ16" s="92">
        <f t="shared" si="43"/>
        <v>0</v>
      </c>
      <c r="DA16" s="91">
        <f t="shared" si="78"/>
        <v>0</v>
      </c>
      <c r="DB16" s="91">
        <f t="shared" si="44"/>
        <v>0</v>
      </c>
      <c r="DC16" s="11">
        <v>0</v>
      </c>
      <c r="DD16" s="91">
        <f t="shared" si="45"/>
        <v>0</v>
      </c>
      <c r="DE16" s="91">
        <f t="shared" si="79"/>
        <v>0</v>
      </c>
      <c r="DF16" s="91">
        <f t="shared" si="46"/>
        <v>0</v>
      </c>
      <c r="DG16" s="11">
        <f t="shared" si="80"/>
        <v>58056.603095816739</v>
      </c>
      <c r="DH16" s="91">
        <f t="shared" si="81"/>
        <v>333375.87866226403</v>
      </c>
      <c r="DI16" s="91">
        <f t="shared" si="47"/>
        <v>1.198526075471031</v>
      </c>
      <c r="DJ16" s="91">
        <f t="shared" si="48"/>
        <v>1.2146699264086454</v>
      </c>
      <c r="DK16" s="504">
        <f t="shared" si="82"/>
        <v>0.99597131052757659</v>
      </c>
      <c r="DL16" s="505">
        <f t="shared" si="83"/>
        <v>0.87496696986942857</v>
      </c>
      <c r="DM16" s="6" t="str">
        <f>+Efficiency1!D38</f>
        <v>RC HW</v>
      </c>
    </row>
    <row r="17" spans="1:117">
      <c r="A17" s="18">
        <f>+Chem!A16</f>
        <v>45999</v>
      </c>
      <c r="B17" s="6" t="str">
        <f>+Chem!B16</f>
        <v>Napkin</v>
      </c>
      <c r="C17" s="6" t="str">
        <f>+Chem!C16</f>
        <v>15,5</v>
      </c>
      <c r="D17" s="9">
        <f>+Chem!D16</f>
        <v>47.400999999999996</v>
      </c>
      <c r="E17" s="7">
        <f>+Chem!E16</f>
        <v>45.993000000000002</v>
      </c>
      <c r="F17" s="7">
        <f t="shared" si="84"/>
        <v>320.45100000000002</v>
      </c>
      <c r="G17" s="100"/>
      <c r="H17" s="91">
        <f t="shared" si="0"/>
        <v>0</v>
      </c>
      <c r="I17" s="9">
        <f t="shared" si="49"/>
        <v>0</v>
      </c>
      <c r="J17" s="91">
        <f t="shared" si="1"/>
        <v>0</v>
      </c>
      <c r="K17" s="100"/>
      <c r="L17" s="91">
        <f t="shared" si="2"/>
        <v>0</v>
      </c>
      <c r="M17" s="91">
        <f t="shared" si="50"/>
        <v>0</v>
      </c>
      <c r="N17" s="91">
        <f t="shared" si="3"/>
        <v>0</v>
      </c>
      <c r="O17" s="100">
        <f>44*O7</f>
        <v>9420.6640000000007</v>
      </c>
      <c r="P17" s="91">
        <f t="shared" si="4"/>
        <v>16.423392274207764</v>
      </c>
      <c r="Q17" s="91">
        <f t="shared" si="51"/>
        <v>29118.416000000001</v>
      </c>
      <c r="R17" s="91">
        <f t="shared" si="5"/>
        <v>7.4521752493077562</v>
      </c>
      <c r="S17" s="100"/>
      <c r="T17" s="91">
        <f t="shared" si="6"/>
        <v>0</v>
      </c>
      <c r="U17" s="91">
        <f t="shared" si="52"/>
        <v>0</v>
      </c>
      <c r="V17" s="91">
        <f t="shared" si="7"/>
        <v>0</v>
      </c>
      <c r="W17" s="11"/>
      <c r="X17" s="91">
        <f t="shared" si="8"/>
        <v>0</v>
      </c>
      <c r="Y17" s="91">
        <f t="shared" si="53"/>
        <v>0</v>
      </c>
      <c r="Z17" s="91">
        <f t="shared" si="9"/>
        <v>0</v>
      </c>
      <c r="AA17" s="11">
        <f t="shared" si="54"/>
        <v>9420.6640000000007</v>
      </c>
      <c r="AB17" s="91">
        <f t="shared" si="10"/>
        <v>16.423392274207764</v>
      </c>
      <c r="AC17" s="91">
        <f t="shared" si="55"/>
        <v>29118.416000000001</v>
      </c>
      <c r="AD17" s="91">
        <f t="shared" si="11"/>
        <v>7.4521752493077562</v>
      </c>
      <c r="AE17" s="91"/>
      <c r="AF17" s="11">
        <f t="shared" si="12"/>
        <v>0</v>
      </c>
      <c r="AG17" s="11">
        <f t="shared" si="85"/>
        <v>0</v>
      </c>
      <c r="AH17" s="11">
        <f t="shared" si="13"/>
        <v>0</v>
      </c>
      <c r="AI17" s="11"/>
      <c r="AJ17" s="11">
        <f t="shared" si="14"/>
        <v>0</v>
      </c>
      <c r="AK17" s="11">
        <f t="shared" si="86"/>
        <v>0</v>
      </c>
      <c r="AL17" s="11">
        <f t="shared" si="15"/>
        <v>0</v>
      </c>
      <c r="AM17" s="11">
        <f t="shared" si="56"/>
        <v>0</v>
      </c>
      <c r="AN17" s="11">
        <f t="shared" si="16"/>
        <v>0</v>
      </c>
      <c r="AO17" s="11">
        <f t="shared" si="87"/>
        <v>0</v>
      </c>
      <c r="AP17" s="11">
        <f t="shared" si="17"/>
        <v>0</v>
      </c>
      <c r="AQ17" s="100">
        <v>14167.175989820389</v>
      </c>
      <c r="AR17" s="11">
        <f t="shared" si="18"/>
        <v>24.698162326833636</v>
      </c>
      <c r="AS17" s="91">
        <f t="shared" si="57"/>
        <v>120080.76608393545</v>
      </c>
      <c r="AT17" s="11">
        <f t="shared" si="19"/>
        <v>30.731854127251225</v>
      </c>
      <c r="AU17" s="100">
        <v>2841.7865707434053</v>
      </c>
      <c r="AV17" s="11" t="e">
        <f t="shared" si="20"/>
        <v>#DIV/0!</v>
      </c>
      <c r="AW17" s="91">
        <f t="shared" si="58"/>
        <v>10912.865060866447</v>
      </c>
      <c r="AX17" s="11" t="e">
        <f t="shared" si="21"/>
        <v>#DIV/0!</v>
      </c>
      <c r="AY17" s="101">
        <v>0</v>
      </c>
      <c r="AZ17" s="91">
        <f t="shared" si="22"/>
        <v>0</v>
      </c>
      <c r="BA17" s="91">
        <f t="shared" si="59"/>
        <v>25620</v>
      </c>
      <c r="BB17" s="91">
        <f t="shared" si="23"/>
        <v>6.5568377719194864</v>
      </c>
      <c r="BC17" s="100"/>
      <c r="BD17" s="11">
        <f t="shared" si="60"/>
        <v>0</v>
      </c>
      <c r="BE17" s="91">
        <f t="shared" si="61"/>
        <v>0</v>
      </c>
      <c r="BF17" s="11">
        <f t="shared" si="62"/>
        <v>0</v>
      </c>
      <c r="BG17" s="101">
        <v>19059.688543043118</v>
      </c>
      <c r="BH17" s="11">
        <f t="shared" si="63"/>
        <v>33.227460566115141</v>
      </c>
      <c r="BI17" s="91">
        <f t="shared" si="64"/>
        <v>99213.499568445084</v>
      </c>
      <c r="BJ17" s="11">
        <f t="shared" si="65"/>
        <v>25.3913669576385</v>
      </c>
      <c r="BK17" s="101"/>
      <c r="BL17" s="11">
        <f t="shared" si="66"/>
        <v>0</v>
      </c>
      <c r="BM17" s="91">
        <f t="shared" si="67"/>
        <v>0</v>
      </c>
      <c r="BN17" s="11">
        <f t="shared" si="68"/>
        <v>0</v>
      </c>
      <c r="BO17" s="101"/>
      <c r="BP17" s="91">
        <f t="shared" si="24"/>
        <v>0</v>
      </c>
      <c r="BQ17" s="91">
        <f t="shared" si="69"/>
        <v>0</v>
      </c>
      <c r="BR17" s="91">
        <f t="shared" si="25"/>
        <v>0</v>
      </c>
      <c r="BS17" s="101">
        <v>0</v>
      </c>
      <c r="BT17" s="91">
        <f t="shared" si="26"/>
        <v>0</v>
      </c>
      <c r="BU17" s="91">
        <f t="shared" si="70"/>
        <v>60630</v>
      </c>
      <c r="BV17" s="91">
        <f t="shared" si="27"/>
        <v>15.516825687411337</v>
      </c>
      <c r="BW17" s="101"/>
      <c r="BX17" s="91">
        <f t="shared" si="28"/>
        <v>0</v>
      </c>
      <c r="BY17" s="91">
        <f t="shared" si="71"/>
        <v>0</v>
      </c>
      <c r="BZ17" s="91">
        <f t="shared" si="29"/>
        <v>0</v>
      </c>
      <c r="CA17" s="101">
        <v>3340.5491117310235</v>
      </c>
      <c r="CB17" s="91">
        <f t="shared" si="30"/>
        <v>5.8237029229802584</v>
      </c>
      <c r="CC17" s="91">
        <f t="shared" si="72"/>
        <v>14545.264190068774</v>
      </c>
      <c r="CD17" s="91">
        <f t="shared" si="31"/>
        <v>3.7225190337232954</v>
      </c>
      <c r="CE17" s="101"/>
      <c r="CF17" s="11">
        <f t="shared" si="32"/>
        <v>0</v>
      </c>
      <c r="CG17" s="91">
        <f t="shared" si="73"/>
        <v>0</v>
      </c>
      <c r="CH17" s="11">
        <f t="shared" si="33"/>
        <v>0</v>
      </c>
      <c r="CI17" s="101"/>
      <c r="CJ17" s="91">
        <f t="shared" si="34"/>
        <v>0</v>
      </c>
      <c r="CK17" s="91">
        <f t="shared" si="74"/>
        <v>0</v>
      </c>
      <c r="CL17" s="91">
        <f t="shared" si="35"/>
        <v>0</v>
      </c>
      <c r="CM17" s="101">
        <v>7639.1862673126807</v>
      </c>
      <c r="CN17" s="11">
        <f t="shared" si="36"/>
        <v>13.317676198176381</v>
      </c>
      <c r="CO17" s="91">
        <f t="shared" si="75"/>
        <v>28584.625405391635</v>
      </c>
      <c r="CP17" s="11">
        <f t="shared" si="37"/>
        <v>7.3155640731553948</v>
      </c>
      <c r="CQ17" s="101">
        <v>892.20499192482748</v>
      </c>
      <c r="CR17" s="11">
        <f t="shared" si="38"/>
        <v>1.5554139890126437</v>
      </c>
      <c r="CS17" s="91">
        <f t="shared" si="76"/>
        <v>2031.6978281320855</v>
      </c>
      <c r="CT17" s="11">
        <f t="shared" si="39"/>
        <v>0.51996538097670741</v>
      </c>
      <c r="CU17" s="100">
        <f t="shared" si="40"/>
        <v>47940.591474575442</v>
      </c>
      <c r="CV17" s="11">
        <f t="shared" si="41"/>
        <v>83.576607725792229</v>
      </c>
      <c r="CW17" s="11">
        <f t="shared" si="77"/>
        <v>361618.71813683951</v>
      </c>
      <c r="CX17" s="11">
        <f t="shared" si="42"/>
        <v>92.547824750692257</v>
      </c>
      <c r="CY17" s="101"/>
      <c r="CZ17" s="92">
        <f t="shared" si="43"/>
        <v>0</v>
      </c>
      <c r="DA17" s="91">
        <f t="shared" si="78"/>
        <v>0</v>
      </c>
      <c r="DB17" s="91">
        <f t="shared" si="44"/>
        <v>0</v>
      </c>
      <c r="DC17" s="11">
        <v>0</v>
      </c>
      <c r="DD17" s="91">
        <f t="shared" si="45"/>
        <v>0</v>
      </c>
      <c r="DE17" s="91">
        <f t="shared" si="79"/>
        <v>0</v>
      </c>
      <c r="DF17" s="91">
        <f t="shared" si="46"/>
        <v>0</v>
      </c>
      <c r="DG17" s="11">
        <f t="shared" si="80"/>
        <v>57361.255474575446</v>
      </c>
      <c r="DH17" s="91">
        <f t="shared" si="81"/>
        <v>390737.13413683948</v>
      </c>
      <c r="DI17" s="91">
        <f t="shared" si="47"/>
        <v>1.247173601951937</v>
      </c>
      <c r="DJ17" s="91">
        <f t="shared" si="48"/>
        <v>1.2193350438501969</v>
      </c>
      <c r="DK17" s="504">
        <f t="shared" si="82"/>
        <v>0.95937489683229471</v>
      </c>
      <c r="DL17" s="505">
        <f t="shared" si="83"/>
        <v>0.88615711501620531</v>
      </c>
      <c r="DM17" s="6" t="str">
        <f>+Efficiency1!D42</f>
        <v>RC HW</v>
      </c>
    </row>
    <row r="18" spans="1:117">
      <c r="A18" s="18">
        <f>+Chem!A17</f>
        <v>46000</v>
      </c>
      <c r="B18" s="6" t="str">
        <f>+Chem!B17</f>
        <v>Napkin</v>
      </c>
      <c r="C18" s="6" t="str">
        <f>+Chem!C17</f>
        <v>15,5/17/16,5/20</v>
      </c>
      <c r="D18" s="9">
        <f>+Chem!D17</f>
        <v>54.228999999999999</v>
      </c>
      <c r="E18" s="7">
        <f>+Chem!E17</f>
        <v>51.213000000000001</v>
      </c>
      <c r="F18" s="7">
        <f t="shared" si="84"/>
        <v>371.66400000000004</v>
      </c>
      <c r="G18" s="100"/>
      <c r="H18" s="11">
        <f t="shared" si="0"/>
        <v>0</v>
      </c>
      <c r="I18" s="9">
        <f t="shared" si="49"/>
        <v>0</v>
      </c>
      <c r="J18" s="11">
        <f t="shared" si="1"/>
        <v>0</v>
      </c>
      <c r="K18" s="100"/>
      <c r="L18" s="11">
        <f t="shared" si="2"/>
        <v>0</v>
      </c>
      <c r="M18" s="11">
        <f t="shared" si="50"/>
        <v>0</v>
      </c>
      <c r="N18" s="11">
        <f t="shared" si="3"/>
        <v>0</v>
      </c>
      <c r="O18" s="100">
        <f>16*O7</f>
        <v>3425.6959999999999</v>
      </c>
      <c r="P18" s="11">
        <f t="shared" si="4"/>
        <v>6.5510567424404851</v>
      </c>
      <c r="Q18" s="11">
        <f t="shared" si="51"/>
        <v>32544.112000000001</v>
      </c>
      <c r="R18" s="11">
        <f t="shared" si="5"/>
        <v>7.3458131694301185</v>
      </c>
      <c r="S18" s="100"/>
      <c r="T18" s="11">
        <f t="shared" si="6"/>
        <v>0</v>
      </c>
      <c r="U18" s="11">
        <f t="shared" si="52"/>
        <v>0</v>
      </c>
      <c r="V18" s="11">
        <f t="shared" si="7"/>
        <v>0</v>
      </c>
      <c r="W18" s="11"/>
      <c r="X18" s="11">
        <f t="shared" si="8"/>
        <v>0</v>
      </c>
      <c r="Y18" s="11">
        <f t="shared" si="53"/>
        <v>0</v>
      </c>
      <c r="Z18" s="11">
        <f t="shared" si="9"/>
        <v>0</v>
      </c>
      <c r="AA18" s="11">
        <f t="shared" si="54"/>
        <v>3425.6959999999999</v>
      </c>
      <c r="AB18" s="11">
        <f t="shared" si="10"/>
        <v>6.5510567424404851</v>
      </c>
      <c r="AC18" s="11">
        <f t="shared" si="55"/>
        <v>32544.112000000001</v>
      </c>
      <c r="AD18" s="11">
        <f t="shared" si="11"/>
        <v>7.3458131694301185</v>
      </c>
      <c r="AE18" s="11"/>
      <c r="AF18" s="11">
        <f t="shared" si="12"/>
        <v>0</v>
      </c>
      <c r="AG18" s="11">
        <f t="shared" si="85"/>
        <v>0</v>
      </c>
      <c r="AH18" s="11">
        <f t="shared" si="13"/>
        <v>0</v>
      </c>
      <c r="AI18" s="11"/>
      <c r="AJ18" s="11">
        <f t="shared" si="14"/>
        <v>0</v>
      </c>
      <c r="AK18" s="11">
        <f t="shared" si="86"/>
        <v>0</v>
      </c>
      <c r="AL18" s="11">
        <f t="shared" si="15"/>
        <v>0</v>
      </c>
      <c r="AM18" s="11">
        <f t="shared" si="56"/>
        <v>0</v>
      </c>
      <c r="AN18" s="11">
        <f t="shared" si="16"/>
        <v>0</v>
      </c>
      <c r="AO18" s="11">
        <f t="shared" si="87"/>
        <v>0</v>
      </c>
      <c r="AP18" s="11">
        <f t="shared" si="17"/>
        <v>0</v>
      </c>
      <c r="AQ18" s="100">
        <v>14545.206182025206</v>
      </c>
      <c r="AR18" s="11">
        <f t="shared" si="18"/>
        <v>27.815215077153155</v>
      </c>
      <c r="AS18" s="11">
        <f t="shared" si="57"/>
        <v>134625.97226596065</v>
      </c>
      <c r="AT18" s="11">
        <f t="shared" si="19"/>
        <v>30.387593307773386</v>
      </c>
      <c r="AU18" s="100">
        <v>2807.9034807020298</v>
      </c>
      <c r="AV18" s="11" t="e">
        <f t="shared" si="20"/>
        <v>#DIV/0!</v>
      </c>
      <c r="AW18" s="11">
        <f t="shared" si="58"/>
        <v>13720.768541568475</v>
      </c>
      <c r="AX18" s="11" t="e">
        <f t="shared" si="21"/>
        <v>#DIV/0!</v>
      </c>
      <c r="AY18" s="101">
        <v>0</v>
      </c>
      <c r="AZ18" s="11">
        <f t="shared" si="22"/>
        <v>0</v>
      </c>
      <c r="BA18" s="11">
        <f t="shared" si="59"/>
        <v>25620</v>
      </c>
      <c r="BB18" s="11">
        <f t="shared" si="23"/>
        <v>5.7829119258439015</v>
      </c>
      <c r="BC18" s="100"/>
      <c r="BD18" s="11">
        <f t="shared" si="60"/>
        <v>0</v>
      </c>
      <c r="BE18" s="11">
        <f t="shared" si="61"/>
        <v>0</v>
      </c>
      <c r="BF18" s="11">
        <f t="shared" si="62"/>
        <v>0</v>
      </c>
      <c r="BG18" s="100">
        <v>19437.079734186656</v>
      </c>
      <c r="BH18" s="11">
        <f t="shared" si="63"/>
        <v>37.170085216550682</v>
      </c>
      <c r="BI18" s="11">
        <f t="shared" si="64"/>
        <v>118650.57930263174</v>
      </c>
      <c r="BJ18" s="11">
        <f t="shared" si="65"/>
        <v>26.781649104507281</v>
      </c>
      <c r="BK18" s="100"/>
      <c r="BL18" s="11">
        <f t="shared" si="66"/>
        <v>0</v>
      </c>
      <c r="BM18" s="11">
        <f t="shared" si="67"/>
        <v>0</v>
      </c>
      <c r="BN18" s="11">
        <f t="shared" si="68"/>
        <v>0</v>
      </c>
      <c r="BO18" s="100"/>
      <c r="BP18" s="11">
        <f t="shared" si="24"/>
        <v>0</v>
      </c>
      <c r="BQ18" s="11">
        <f t="shared" si="69"/>
        <v>0</v>
      </c>
      <c r="BR18" s="11">
        <f t="shared" si="25"/>
        <v>0</v>
      </c>
      <c r="BS18" s="101">
        <v>0</v>
      </c>
      <c r="BT18" s="11">
        <f t="shared" si="26"/>
        <v>0</v>
      </c>
      <c r="BU18" s="11">
        <f t="shared" si="70"/>
        <v>60630</v>
      </c>
      <c r="BV18" s="11">
        <f t="shared" si="27"/>
        <v>13.68532201654628</v>
      </c>
      <c r="BW18" s="100"/>
      <c r="BX18" s="11">
        <f t="shared" si="28"/>
        <v>0</v>
      </c>
      <c r="BY18" s="11">
        <f t="shared" si="71"/>
        <v>0</v>
      </c>
      <c r="BZ18" s="11">
        <f t="shared" si="29"/>
        <v>0</v>
      </c>
      <c r="CA18" s="100">
        <v>2901.0566767442774</v>
      </c>
      <c r="CB18" s="11">
        <f t="shared" si="30"/>
        <v>5.5477739129180126</v>
      </c>
      <c r="CC18" s="11">
        <f t="shared" si="72"/>
        <v>17446.32086681305</v>
      </c>
      <c r="CD18" s="11">
        <f t="shared" si="31"/>
        <v>3.9379600703666076</v>
      </c>
      <c r="CE18" s="100"/>
      <c r="CF18" s="11">
        <f t="shared" si="32"/>
        <v>0</v>
      </c>
      <c r="CG18" s="11">
        <f t="shared" si="73"/>
        <v>0</v>
      </c>
      <c r="CH18" s="11">
        <f t="shared" si="33"/>
        <v>0</v>
      </c>
      <c r="CI18" s="100"/>
      <c r="CJ18" s="11">
        <f t="shared" si="34"/>
        <v>0</v>
      </c>
      <c r="CK18" s="11">
        <f t="shared" si="74"/>
        <v>0</v>
      </c>
      <c r="CL18" s="11">
        <f t="shared" si="35"/>
        <v>0</v>
      </c>
      <c r="CM18" s="100">
        <v>8019.1594192940429</v>
      </c>
      <c r="CN18" s="11">
        <f t="shared" si="36"/>
        <v>15.335268623506396</v>
      </c>
      <c r="CO18" s="11">
        <f t="shared" si="75"/>
        <v>36603.784824685674</v>
      </c>
      <c r="CP18" s="11">
        <f t="shared" si="37"/>
        <v>8.2621570567407812</v>
      </c>
      <c r="CQ18" s="100">
        <v>1156.1642388786368</v>
      </c>
      <c r="CR18" s="11">
        <f t="shared" si="38"/>
        <v>2.2109660438271419</v>
      </c>
      <c r="CS18" s="11">
        <f t="shared" si="76"/>
        <v>3187.8620670107221</v>
      </c>
      <c r="CT18" s="11">
        <f t="shared" si="39"/>
        <v>0.71955993619288428</v>
      </c>
      <c r="CU18" s="100">
        <f t="shared" si="40"/>
        <v>48866.569731830845</v>
      </c>
      <c r="CV18" s="11">
        <f t="shared" si="41"/>
        <v>93.44894325755952</v>
      </c>
      <c r="CW18" s="11">
        <f t="shared" si="77"/>
        <v>410485.28786867036</v>
      </c>
      <c r="CX18" s="11">
        <f>CW18/DH18*100</f>
        <v>92.654186830569898</v>
      </c>
      <c r="CY18" s="100"/>
      <c r="CZ18" s="17">
        <f t="shared" si="43"/>
        <v>0</v>
      </c>
      <c r="DA18" s="11">
        <f t="shared" si="78"/>
        <v>0</v>
      </c>
      <c r="DB18" s="11">
        <f t="shared" si="44"/>
        <v>0</v>
      </c>
      <c r="DC18" s="11">
        <v>0</v>
      </c>
      <c r="DD18" s="11">
        <f t="shared" si="45"/>
        <v>0</v>
      </c>
      <c r="DE18" s="11">
        <f t="shared" si="79"/>
        <v>0</v>
      </c>
      <c r="DF18" s="11">
        <f t="shared" si="46"/>
        <v>0</v>
      </c>
      <c r="DG18" s="11">
        <f t="shared" si="80"/>
        <v>52292.265731830848</v>
      </c>
      <c r="DH18" s="11">
        <f t="shared" si="81"/>
        <v>443029.39986867033</v>
      </c>
      <c r="DI18" s="11">
        <f t="shared" si="47"/>
        <v>1.0210740579897848</v>
      </c>
      <c r="DJ18" s="11">
        <f t="shared" si="48"/>
        <v>1.1920159064872311</v>
      </c>
      <c r="DK18" s="504">
        <f t="shared" si="82"/>
        <v>1.0480170857305078</v>
      </c>
      <c r="DL18" s="505">
        <f t="shared" si="83"/>
        <v>0.90542587270243247</v>
      </c>
      <c r="DM18" s="6" t="str">
        <f>+Efficiency1!D47</f>
        <v>RC HW</v>
      </c>
    </row>
    <row r="19" spans="1:117">
      <c r="A19" s="18">
        <f>+Chem!A18</f>
        <v>46001</v>
      </c>
      <c r="B19" s="6" t="str">
        <f>+Chem!B18</f>
        <v>Napkin</v>
      </c>
      <c r="C19" s="6" t="str">
        <f>+Chem!C18</f>
        <v>20</v>
      </c>
      <c r="D19" s="9">
        <f>+Chem!D18</f>
        <v>58.541999999999994</v>
      </c>
      <c r="E19" s="7">
        <f>+Chem!E18</f>
        <v>56.856000000000002</v>
      </c>
      <c r="F19" s="7">
        <f t="shared" si="84"/>
        <v>428.52000000000004</v>
      </c>
      <c r="G19" s="100"/>
      <c r="H19" s="11">
        <f t="shared" si="0"/>
        <v>0</v>
      </c>
      <c r="I19" s="9">
        <f t="shared" si="49"/>
        <v>0</v>
      </c>
      <c r="J19" s="11">
        <f t="shared" si="1"/>
        <v>0</v>
      </c>
      <c r="K19" s="100"/>
      <c r="L19" s="11">
        <f t="shared" si="2"/>
        <v>0</v>
      </c>
      <c r="M19" s="11">
        <f t="shared" si="50"/>
        <v>0</v>
      </c>
      <c r="N19" s="11">
        <f t="shared" si="3"/>
        <v>0</v>
      </c>
      <c r="O19" s="100">
        <v>0</v>
      </c>
      <c r="P19" s="11">
        <f t="shared" si="4"/>
        <v>0</v>
      </c>
      <c r="Q19" s="11">
        <f t="shared" si="51"/>
        <v>32544.112000000001</v>
      </c>
      <c r="R19" s="11">
        <f t="shared" si="5"/>
        <v>6.444983849834804</v>
      </c>
      <c r="S19" s="100"/>
      <c r="T19" s="11">
        <f t="shared" si="6"/>
        <v>0</v>
      </c>
      <c r="U19" s="11">
        <f t="shared" si="52"/>
        <v>0</v>
      </c>
      <c r="V19" s="11">
        <f t="shared" si="7"/>
        <v>0</v>
      </c>
      <c r="W19" s="11"/>
      <c r="X19" s="11">
        <f t="shared" si="8"/>
        <v>0</v>
      </c>
      <c r="Y19" s="11">
        <f t="shared" si="53"/>
        <v>0</v>
      </c>
      <c r="Z19" s="11">
        <f t="shared" si="9"/>
        <v>0</v>
      </c>
      <c r="AA19" s="11">
        <f t="shared" si="54"/>
        <v>0</v>
      </c>
      <c r="AB19" s="11">
        <f t="shared" si="10"/>
        <v>0</v>
      </c>
      <c r="AC19" s="11">
        <f t="shared" si="55"/>
        <v>32544.112000000001</v>
      </c>
      <c r="AD19" s="11">
        <f t="shared" si="11"/>
        <v>6.444983849834804</v>
      </c>
      <c r="AE19" s="11"/>
      <c r="AF19" s="11">
        <f t="shared" si="12"/>
        <v>0</v>
      </c>
      <c r="AG19" s="11">
        <f t="shared" si="85"/>
        <v>0</v>
      </c>
      <c r="AH19" s="11">
        <f t="shared" si="13"/>
        <v>0</v>
      </c>
      <c r="AI19" s="11"/>
      <c r="AJ19" s="11">
        <f t="shared" si="14"/>
        <v>0</v>
      </c>
      <c r="AK19" s="11">
        <f t="shared" si="86"/>
        <v>0</v>
      </c>
      <c r="AL19" s="11">
        <f t="shared" si="15"/>
        <v>0</v>
      </c>
      <c r="AM19" s="11">
        <f t="shared" si="56"/>
        <v>0</v>
      </c>
      <c r="AN19" s="11">
        <f t="shared" si="16"/>
        <v>0</v>
      </c>
      <c r="AO19" s="11">
        <f t="shared" si="87"/>
        <v>0</v>
      </c>
      <c r="AP19" s="11">
        <f t="shared" si="17"/>
        <v>0</v>
      </c>
      <c r="AQ19" s="100">
        <v>3660.3121203540468</v>
      </c>
      <c r="AR19" s="11">
        <f t="shared" si="18"/>
        <v>5.9110535405872184</v>
      </c>
      <c r="AS19" s="11">
        <f t="shared" si="57"/>
        <v>138286.28438631468</v>
      </c>
      <c r="AT19" s="11">
        <f t="shared" si="19"/>
        <v>27.385994416546406</v>
      </c>
      <c r="AU19" s="100">
        <v>18967.314961133387</v>
      </c>
      <c r="AV19" s="11" t="e">
        <f t="shared" si="20"/>
        <v>#DIV/0!</v>
      </c>
      <c r="AW19" s="11">
        <f t="shared" si="58"/>
        <v>32688.083502701862</v>
      </c>
      <c r="AX19" s="11" t="e">
        <f t="shared" si="21"/>
        <v>#DIV/0!</v>
      </c>
      <c r="AY19" s="101">
        <v>0</v>
      </c>
      <c r="AZ19" s="11">
        <f t="shared" si="22"/>
        <v>0</v>
      </c>
      <c r="BA19" s="11">
        <f t="shared" si="59"/>
        <v>25620</v>
      </c>
      <c r="BB19" s="11">
        <f t="shared" si="23"/>
        <v>5.0737437922032615</v>
      </c>
      <c r="BC19" s="100"/>
      <c r="BD19" s="11">
        <f t="shared" si="60"/>
        <v>0</v>
      </c>
      <c r="BE19" s="11">
        <f t="shared" si="61"/>
        <v>0</v>
      </c>
      <c r="BF19" s="11">
        <f t="shared" si="62"/>
        <v>0</v>
      </c>
      <c r="BG19" s="100">
        <v>25258.559971500861</v>
      </c>
      <c r="BH19" s="11">
        <f t="shared" si="63"/>
        <v>40.790155440414502</v>
      </c>
      <c r="BI19" s="11">
        <f t="shared" si="64"/>
        <v>143909.13927413261</v>
      </c>
      <c r="BJ19" s="11">
        <f t="shared" si="65"/>
        <v>28.499535598495118</v>
      </c>
      <c r="BK19" s="100"/>
      <c r="BL19" s="11">
        <f t="shared" si="66"/>
        <v>0</v>
      </c>
      <c r="BM19" s="11">
        <f t="shared" si="67"/>
        <v>0</v>
      </c>
      <c r="BN19" s="11">
        <f t="shared" si="68"/>
        <v>0</v>
      </c>
      <c r="BO19" s="100"/>
      <c r="BP19" s="11">
        <f t="shared" si="24"/>
        <v>0</v>
      </c>
      <c r="BQ19" s="11">
        <f t="shared" si="69"/>
        <v>0</v>
      </c>
      <c r="BR19" s="11">
        <f t="shared" si="25"/>
        <v>0</v>
      </c>
      <c r="BS19" s="101">
        <v>0</v>
      </c>
      <c r="BT19" s="11">
        <f t="shared" si="26"/>
        <v>0</v>
      </c>
      <c r="BU19" s="11">
        <f t="shared" si="70"/>
        <v>60630</v>
      </c>
      <c r="BV19" s="11">
        <f t="shared" si="27"/>
        <v>12.007068154616853</v>
      </c>
      <c r="BW19" s="100"/>
      <c r="BX19" s="11">
        <f t="shared" si="28"/>
        <v>0</v>
      </c>
      <c r="BY19" s="11">
        <f t="shared" si="71"/>
        <v>0</v>
      </c>
      <c r="BZ19" s="11">
        <f t="shared" si="29"/>
        <v>0</v>
      </c>
      <c r="CA19" s="100">
        <v>3748.5446258118141</v>
      </c>
      <c r="CB19" s="11">
        <f t="shared" si="30"/>
        <v>6.0535405872193433</v>
      </c>
      <c r="CC19" s="11">
        <f t="shared" si="72"/>
        <v>21194.865492624864</v>
      </c>
      <c r="CD19" s="11">
        <f t="shared" si="31"/>
        <v>4.197397237306344</v>
      </c>
      <c r="CE19" s="100"/>
      <c r="CF19" s="11">
        <f t="shared" si="32"/>
        <v>0</v>
      </c>
      <c r="CG19" s="11">
        <f t="shared" si="73"/>
        <v>0</v>
      </c>
      <c r="CH19" s="11">
        <f t="shared" si="33"/>
        <v>0</v>
      </c>
      <c r="CI19" s="100"/>
      <c r="CJ19" s="11">
        <f t="shared" si="34"/>
        <v>0</v>
      </c>
      <c r="CK19" s="11">
        <f t="shared" si="74"/>
        <v>0</v>
      </c>
      <c r="CL19" s="11">
        <f t="shared" si="35"/>
        <v>0</v>
      </c>
      <c r="CM19" s="100">
        <v>8769.7763000447576</v>
      </c>
      <c r="CN19" s="11">
        <f t="shared" si="36"/>
        <v>14.162348877374784</v>
      </c>
      <c r="CO19" s="11">
        <f t="shared" si="75"/>
        <v>45373.561124730433</v>
      </c>
      <c r="CP19" s="11">
        <f t="shared" si="37"/>
        <v>8.9857074194674578</v>
      </c>
      <c r="CQ19" s="100">
        <v>1518.6685787882386</v>
      </c>
      <c r="CR19" s="11">
        <f t="shared" si="38"/>
        <v>2.452504317789292</v>
      </c>
      <c r="CS19" s="11">
        <f t="shared" si="76"/>
        <v>4706.5306457989609</v>
      </c>
      <c r="CT19" s="11">
        <f t="shared" si="39"/>
        <v>0.93207379574304783</v>
      </c>
      <c r="CU19" s="100">
        <f t="shared" si="40"/>
        <v>61923.176557633109</v>
      </c>
      <c r="CV19" s="11">
        <f t="shared" si="41"/>
        <v>100</v>
      </c>
      <c r="CW19" s="11">
        <f t="shared" si="77"/>
        <v>472408.46442630346</v>
      </c>
      <c r="CX19" s="11">
        <f t="shared" si="42"/>
        <v>93.555016150165201</v>
      </c>
      <c r="CY19" s="100"/>
      <c r="CZ19" s="17">
        <f t="shared" si="43"/>
        <v>0</v>
      </c>
      <c r="DA19" s="11">
        <f t="shared" si="78"/>
        <v>0</v>
      </c>
      <c r="DB19" s="11">
        <f t="shared" si="44"/>
        <v>0</v>
      </c>
      <c r="DC19" s="11">
        <v>0</v>
      </c>
      <c r="DD19" s="11">
        <f t="shared" si="45"/>
        <v>0</v>
      </c>
      <c r="DE19" s="11">
        <f t="shared" si="79"/>
        <v>0</v>
      </c>
      <c r="DF19" s="11">
        <f t="shared" si="46"/>
        <v>0</v>
      </c>
      <c r="DG19" s="11">
        <f t="shared" si="80"/>
        <v>61923.176557633109</v>
      </c>
      <c r="DH19" s="11">
        <f t="shared" si="81"/>
        <v>504952.57642630342</v>
      </c>
      <c r="DI19" s="11">
        <f t="shared" si="47"/>
        <v>1.0891229871540928</v>
      </c>
      <c r="DJ19" s="11">
        <f t="shared" si="48"/>
        <v>1.1783640820178833</v>
      </c>
      <c r="DK19" s="504">
        <f t="shared" si="82"/>
        <v>0.91816995123115186</v>
      </c>
      <c r="DL19" s="505">
        <f t="shared" si="83"/>
        <v>0.90709636314497055</v>
      </c>
      <c r="DM19" s="6" t="str">
        <f>+Efficiency1!D52</f>
        <v>RC HW</v>
      </c>
    </row>
    <row r="20" spans="1:117">
      <c r="A20" s="18">
        <f>+Chem!A19</f>
        <v>46002</v>
      </c>
      <c r="B20" s="6" t="str">
        <f>+Chem!B19</f>
        <v>Napkin</v>
      </c>
      <c r="C20" s="6" t="str">
        <f>+Chem!C19</f>
        <v>20</v>
      </c>
      <c r="D20" s="9">
        <f>+Chem!D19</f>
        <v>49.566000000000003</v>
      </c>
      <c r="E20" s="7">
        <f>+Chem!E19</f>
        <v>47.02</v>
      </c>
      <c r="F20" s="7">
        <f t="shared" si="84"/>
        <v>475.54</v>
      </c>
      <c r="G20" s="100"/>
      <c r="H20" s="11">
        <f t="shared" si="0"/>
        <v>0</v>
      </c>
      <c r="I20" s="9">
        <f t="shared" si="49"/>
        <v>0</v>
      </c>
      <c r="J20" s="11">
        <f t="shared" si="1"/>
        <v>0</v>
      </c>
      <c r="K20" s="100"/>
      <c r="L20" s="11">
        <f t="shared" si="2"/>
        <v>0</v>
      </c>
      <c r="M20" s="11">
        <f t="shared" si="50"/>
        <v>0</v>
      </c>
      <c r="N20" s="11">
        <f t="shared" si="3"/>
        <v>0</v>
      </c>
      <c r="O20" s="100">
        <v>0</v>
      </c>
      <c r="P20" s="11">
        <f t="shared" si="4"/>
        <v>0</v>
      </c>
      <c r="Q20" s="11">
        <f t="shared" si="51"/>
        <v>32544.112000000001</v>
      </c>
      <c r="R20" s="11">
        <f t="shared" si="5"/>
        <v>5.812823133593958</v>
      </c>
      <c r="S20" s="100"/>
      <c r="T20" s="11">
        <f t="shared" si="6"/>
        <v>0</v>
      </c>
      <c r="U20" s="11">
        <f t="shared" si="52"/>
        <v>0</v>
      </c>
      <c r="V20" s="11">
        <f t="shared" si="7"/>
        <v>0</v>
      </c>
      <c r="W20" s="11"/>
      <c r="X20" s="11">
        <f t="shared" si="8"/>
        <v>0</v>
      </c>
      <c r="Y20" s="11">
        <f t="shared" si="53"/>
        <v>0</v>
      </c>
      <c r="Z20" s="11">
        <f t="shared" si="9"/>
        <v>0</v>
      </c>
      <c r="AA20" s="11">
        <f t="shared" si="54"/>
        <v>0</v>
      </c>
      <c r="AB20" s="11">
        <f t="shared" si="10"/>
        <v>0</v>
      </c>
      <c r="AC20" s="11">
        <f t="shared" si="55"/>
        <v>32544.112000000001</v>
      </c>
      <c r="AD20" s="11">
        <f t="shared" si="11"/>
        <v>5.812823133593958</v>
      </c>
      <c r="AE20" s="11"/>
      <c r="AF20" s="11">
        <f t="shared" si="12"/>
        <v>0</v>
      </c>
      <c r="AG20" s="11">
        <f t="shared" si="85"/>
        <v>0</v>
      </c>
      <c r="AH20" s="11">
        <f t="shared" si="13"/>
        <v>0</v>
      </c>
      <c r="AI20" s="11"/>
      <c r="AJ20" s="11">
        <f t="shared" si="14"/>
        <v>0</v>
      </c>
      <c r="AK20" s="11">
        <f t="shared" si="86"/>
        <v>0</v>
      </c>
      <c r="AL20" s="11">
        <f t="shared" si="15"/>
        <v>0</v>
      </c>
      <c r="AM20" s="11">
        <f t="shared" si="56"/>
        <v>0</v>
      </c>
      <c r="AN20" s="11">
        <f t="shared" si="16"/>
        <v>0</v>
      </c>
      <c r="AO20" s="11">
        <f t="shared" si="87"/>
        <v>0</v>
      </c>
      <c r="AP20" s="11">
        <f t="shared" si="17"/>
        <v>0</v>
      </c>
      <c r="AQ20" s="100">
        <v>28125</v>
      </c>
      <c r="AR20" s="11">
        <f t="shared" si="18"/>
        <v>51.215514886643</v>
      </c>
      <c r="AS20" s="11">
        <f t="shared" si="57"/>
        <v>166411.28438631468</v>
      </c>
      <c r="AT20" s="11">
        <f t="shared" si="19"/>
        <v>29.723329478827164</v>
      </c>
      <c r="AU20" s="100">
        <v>0</v>
      </c>
      <c r="AV20" s="11" t="e">
        <f t="shared" si="20"/>
        <v>#DIV/0!</v>
      </c>
      <c r="AW20" s="11">
        <f t="shared" si="58"/>
        <v>32688.083502701862</v>
      </c>
      <c r="AX20" s="11" t="e">
        <f t="shared" si="21"/>
        <v>#DIV/0!</v>
      </c>
      <c r="AY20" s="101">
        <v>0</v>
      </c>
      <c r="AZ20" s="11">
        <f t="shared" si="22"/>
        <v>0</v>
      </c>
      <c r="BA20" s="11">
        <f t="shared" si="59"/>
        <v>25620</v>
      </c>
      <c r="BB20" s="11">
        <f t="shared" si="23"/>
        <v>4.5760821091900494</v>
      </c>
      <c r="BC20" s="100"/>
      <c r="BD20" s="11">
        <f t="shared" si="60"/>
        <v>0</v>
      </c>
      <c r="BE20" s="11">
        <f t="shared" si="61"/>
        <v>0</v>
      </c>
      <c r="BF20" s="11">
        <f t="shared" si="62"/>
        <v>0</v>
      </c>
      <c r="BG20" s="100">
        <v>21825</v>
      </c>
      <c r="BH20" s="11">
        <f t="shared" si="63"/>
        <v>39.743239552034964</v>
      </c>
      <c r="BI20" s="11">
        <f t="shared" si="64"/>
        <v>165734.13927413261</v>
      </c>
      <c r="BJ20" s="11">
        <f t="shared" si="65"/>
        <v>29.602382108289234</v>
      </c>
      <c r="BK20" s="100"/>
      <c r="BL20" s="11">
        <f t="shared" si="66"/>
        <v>0</v>
      </c>
      <c r="BM20" s="11">
        <f t="shared" si="67"/>
        <v>0</v>
      </c>
      <c r="BN20" s="11">
        <f t="shared" si="68"/>
        <v>0</v>
      </c>
      <c r="BO20" s="100"/>
      <c r="BP20" s="11">
        <f t="shared" si="24"/>
        <v>0</v>
      </c>
      <c r="BQ20" s="11">
        <f t="shared" si="69"/>
        <v>0</v>
      </c>
      <c r="BR20" s="11">
        <f t="shared" si="25"/>
        <v>0</v>
      </c>
      <c r="BS20" s="101">
        <v>0</v>
      </c>
      <c r="BT20" s="11">
        <f t="shared" si="26"/>
        <v>0</v>
      </c>
      <c r="BU20" s="11">
        <f t="shared" si="70"/>
        <v>60630</v>
      </c>
      <c r="BV20" s="11">
        <f t="shared" si="27"/>
        <v>10.829346537087927</v>
      </c>
      <c r="BW20" s="100"/>
      <c r="BX20" s="11">
        <f t="shared" si="28"/>
        <v>0</v>
      </c>
      <c r="BY20" s="11">
        <f t="shared" si="71"/>
        <v>0</v>
      </c>
      <c r="BZ20" s="11">
        <f t="shared" si="29"/>
        <v>0</v>
      </c>
      <c r="CA20" s="100"/>
      <c r="CB20" s="11">
        <f t="shared" si="30"/>
        <v>0</v>
      </c>
      <c r="CC20" s="11">
        <f t="shared" si="72"/>
        <v>21194.865492624864</v>
      </c>
      <c r="CD20" s="11">
        <f t="shared" si="31"/>
        <v>3.7856926146561354</v>
      </c>
      <c r="CE20" s="100">
        <v>3225</v>
      </c>
      <c r="CF20" s="11">
        <f t="shared" si="32"/>
        <v>5.8727123736683966</v>
      </c>
      <c r="CG20" s="11">
        <f t="shared" si="73"/>
        <v>3225</v>
      </c>
      <c r="CH20" s="11">
        <f t="shared" si="33"/>
        <v>0.57602907112169821</v>
      </c>
      <c r="CI20" s="100"/>
      <c r="CJ20" s="11">
        <f t="shared" si="34"/>
        <v>0</v>
      </c>
      <c r="CK20" s="11">
        <f t="shared" si="74"/>
        <v>0</v>
      </c>
      <c r="CL20" s="11">
        <f t="shared" si="35"/>
        <v>0</v>
      </c>
      <c r="CM20" s="100">
        <v>1740</v>
      </c>
      <c r="CN20" s="11">
        <f t="shared" si="36"/>
        <v>3.1685331876536464</v>
      </c>
      <c r="CO20" s="11">
        <f t="shared" si="75"/>
        <v>47113.561124730433</v>
      </c>
      <c r="CP20" s="11">
        <f t="shared" si="37"/>
        <v>8.4151258455546749</v>
      </c>
      <c r="CQ20" s="100"/>
      <c r="CR20" s="11">
        <f t="shared" si="38"/>
        <v>0</v>
      </c>
      <c r="CS20" s="11">
        <f t="shared" si="76"/>
        <v>4706.5306457989609</v>
      </c>
      <c r="CT20" s="11">
        <f t="shared" si="39"/>
        <v>0.84065069026523476</v>
      </c>
      <c r="CU20" s="100">
        <f t="shared" si="40"/>
        <v>54915</v>
      </c>
      <c r="CV20" s="11">
        <f t="shared" si="41"/>
        <v>100</v>
      </c>
      <c r="CW20" s="11">
        <f t="shared" si="77"/>
        <v>527323.46442630352</v>
      </c>
      <c r="CX20" s="11">
        <f t="shared" si="42"/>
        <v>94.187176866406048</v>
      </c>
      <c r="CY20" s="100"/>
      <c r="CZ20" s="17">
        <f t="shared" si="43"/>
        <v>0</v>
      </c>
      <c r="DA20" s="11">
        <f t="shared" si="78"/>
        <v>0</v>
      </c>
      <c r="DB20" s="11">
        <f t="shared" si="44"/>
        <v>0</v>
      </c>
      <c r="DC20" s="11">
        <v>0</v>
      </c>
      <c r="DD20" s="11">
        <f t="shared" si="45"/>
        <v>0</v>
      </c>
      <c r="DE20" s="11">
        <f t="shared" si="79"/>
        <v>0</v>
      </c>
      <c r="DF20" s="11">
        <f t="shared" si="46"/>
        <v>0</v>
      </c>
      <c r="DG20" s="11">
        <f t="shared" si="80"/>
        <v>54915</v>
      </c>
      <c r="DH20" s="11">
        <f t="shared" si="81"/>
        <v>559867.57642630348</v>
      </c>
      <c r="DI20" s="11">
        <f t="shared" si="47"/>
        <v>1.1679072735006379</v>
      </c>
      <c r="DJ20" s="11">
        <f t="shared" si="48"/>
        <v>1.1773301434712189</v>
      </c>
      <c r="DK20" s="504">
        <f t="shared" si="82"/>
        <v>0.85623235910042794</v>
      </c>
      <c r="DL20" s="505">
        <f t="shared" si="83"/>
        <v>0.90179943067270707</v>
      </c>
      <c r="DM20" s="6" t="s">
        <v>488</v>
      </c>
    </row>
    <row r="21" spans="1:117">
      <c r="A21" s="18">
        <f>+Chem!A20</f>
        <v>46003</v>
      </c>
      <c r="B21" s="6" t="str">
        <f>+Chem!B20</f>
        <v>Napkin</v>
      </c>
      <c r="C21" s="6" t="str">
        <f>+Chem!C20</f>
        <v>20</v>
      </c>
      <c r="D21" s="9">
        <f>+Chem!D20</f>
        <v>63.509</v>
      </c>
      <c r="E21" s="7">
        <f>+Chem!E20</f>
        <v>59.353000000000002</v>
      </c>
      <c r="F21" s="7">
        <f t="shared" si="84"/>
        <v>534.89300000000003</v>
      </c>
      <c r="G21" s="100"/>
      <c r="H21" s="11">
        <f t="shared" si="0"/>
        <v>0</v>
      </c>
      <c r="I21" s="9">
        <f t="shared" si="49"/>
        <v>0</v>
      </c>
      <c r="J21" s="11">
        <f t="shared" si="1"/>
        <v>0</v>
      </c>
      <c r="K21" s="100"/>
      <c r="L21" s="11">
        <f t="shared" si="2"/>
        <v>0</v>
      </c>
      <c r="M21" s="11">
        <f t="shared" si="50"/>
        <v>0</v>
      </c>
      <c r="N21" s="11">
        <f t="shared" si="3"/>
        <v>0</v>
      </c>
      <c r="O21" s="100">
        <f>44*O7</f>
        <v>9420.6640000000007</v>
      </c>
      <c r="P21" s="11">
        <f t="shared" si="4"/>
        <v>10.741539857819618</v>
      </c>
      <c r="Q21" s="11">
        <f t="shared" si="51"/>
        <v>41964.775999999998</v>
      </c>
      <c r="R21" s="11">
        <f t="shared" si="5"/>
        <v>6.4803390875537144</v>
      </c>
      <c r="S21" s="100"/>
      <c r="T21" s="11">
        <f t="shared" si="6"/>
        <v>0</v>
      </c>
      <c r="U21" s="11">
        <f t="shared" si="52"/>
        <v>0</v>
      </c>
      <c r="V21" s="11">
        <f t="shared" si="7"/>
        <v>0</v>
      </c>
      <c r="W21" s="11"/>
      <c r="X21" s="11">
        <f t="shared" si="8"/>
        <v>0</v>
      </c>
      <c r="Y21" s="11">
        <f t="shared" si="53"/>
        <v>0</v>
      </c>
      <c r="Z21" s="11">
        <f t="shared" si="9"/>
        <v>0</v>
      </c>
      <c r="AA21" s="11">
        <f t="shared" si="54"/>
        <v>9420.6640000000007</v>
      </c>
      <c r="AB21" s="11">
        <f t="shared" si="10"/>
        <v>10.741539857819618</v>
      </c>
      <c r="AC21" s="11">
        <f t="shared" si="55"/>
        <v>41964.775999999998</v>
      </c>
      <c r="AD21" s="11">
        <f t="shared" si="11"/>
        <v>6.4803390875537144</v>
      </c>
      <c r="AE21" s="11"/>
      <c r="AF21" s="11">
        <f t="shared" si="12"/>
        <v>0</v>
      </c>
      <c r="AG21" s="11">
        <f t="shared" si="85"/>
        <v>0</v>
      </c>
      <c r="AH21" s="11">
        <f t="shared" si="13"/>
        <v>0</v>
      </c>
      <c r="AI21" s="11"/>
      <c r="AJ21" s="11">
        <f t="shared" si="14"/>
        <v>0</v>
      </c>
      <c r="AK21" s="11">
        <f t="shared" si="86"/>
        <v>0</v>
      </c>
      <c r="AL21" s="11">
        <f t="shared" si="15"/>
        <v>0</v>
      </c>
      <c r="AM21" s="11">
        <f t="shared" si="56"/>
        <v>0</v>
      </c>
      <c r="AN21" s="11">
        <f t="shared" si="16"/>
        <v>0</v>
      </c>
      <c r="AO21" s="11">
        <f t="shared" si="87"/>
        <v>0</v>
      </c>
      <c r="AP21" s="11">
        <f t="shared" si="17"/>
        <v>0</v>
      </c>
      <c r="AQ21" s="100">
        <v>33926.683534656186</v>
      </c>
      <c r="AR21" s="11">
        <f t="shared" si="18"/>
        <v>38.683560249165225</v>
      </c>
      <c r="AS21" s="11">
        <f t="shared" si="57"/>
        <v>200337.96792097087</v>
      </c>
      <c r="AT21" s="11">
        <f t="shared" si="19"/>
        <v>30.93684961500449</v>
      </c>
      <c r="AU21" s="100">
        <v>4190.3321162384682</v>
      </c>
      <c r="AV21" s="11" t="e">
        <f t="shared" si="20"/>
        <v>#DIV/0!</v>
      </c>
      <c r="AW21" s="11">
        <f t="shared" si="58"/>
        <v>36878.415618940329</v>
      </c>
      <c r="AX21" s="11" t="e">
        <f t="shared" si="21"/>
        <v>#DIV/0!</v>
      </c>
      <c r="AY21" s="101">
        <v>0</v>
      </c>
      <c r="AZ21" s="11">
        <f t="shared" si="22"/>
        <v>0</v>
      </c>
      <c r="BA21" s="11">
        <f t="shared" si="59"/>
        <v>25620</v>
      </c>
      <c r="BB21" s="11">
        <f t="shared" si="23"/>
        <v>3.9563248812081389</v>
      </c>
      <c r="BC21" s="100"/>
      <c r="BD21" s="11">
        <f t="shared" si="60"/>
        <v>0</v>
      </c>
      <c r="BE21" s="11">
        <f t="shared" si="61"/>
        <v>0</v>
      </c>
      <c r="BF21" s="11">
        <f t="shared" si="62"/>
        <v>0</v>
      </c>
      <c r="BG21" s="100">
        <v>31418.601433926815</v>
      </c>
      <c r="BH21" s="11">
        <f t="shared" si="63"/>
        <v>35.823818743506123</v>
      </c>
      <c r="BI21" s="11">
        <f t="shared" si="64"/>
        <v>197152.74070805943</v>
      </c>
      <c r="BJ21" s="11">
        <f t="shared" si="65"/>
        <v>30.444976325592204</v>
      </c>
      <c r="BK21" s="100"/>
      <c r="BL21" s="11">
        <f t="shared" si="66"/>
        <v>0</v>
      </c>
      <c r="BM21" s="11">
        <f t="shared" si="67"/>
        <v>0</v>
      </c>
      <c r="BN21" s="11">
        <f t="shared" si="68"/>
        <v>0</v>
      </c>
      <c r="BO21" s="100"/>
      <c r="BP21" s="11">
        <f t="shared" si="24"/>
        <v>0</v>
      </c>
      <c r="BQ21" s="11">
        <f t="shared" si="69"/>
        <v>0</v>
      </c>
      <c r="BR21" s="11">
        <f t="shared" si="25"/>
        <v>0</v>
      </c>
      <c r="BS21" s="101">
        <v>0</v>
      </c>
      <c r="BT21" s="11">
        <f t="shared" si="26"/>
        <v>0</v>
      </c>
      <c r="BU21" s="11">
        <f t="shared" si="70"/>
        <v>60630</v>
      </c>
      <c r="BV21" s="11">
        <f t="shared" si="27"/>
        <v>9.3626845256693798</v>
      </c>
      <c r="BW21" s="100"/>
      <c r="BX21" s="11">
        <f t="shared" si="28"/>
        <v>0</v>
      </c>
      <c r="BY21" s="11">
        <f t="shared" si="71"/>
        <v>0</v>
      </c>
      <c r="BZ21" s="11">
        <f t="shared" si="29"/>
        <v>0</v>
      </c>
      <c r="CA21" s="100"/>
      <c r="CB21" s="11">
        <f t="shared" si="30"/>
        <v>0</v>
      </c>
      <c r="CC21" s="11">
        <f t="shared" si="72"/>
        <v>21194.865492624864</v>
      </c>
      <c r="CD21" s="11">
        <f t="shared" si="31"/>
        <v>3.2729810188263682</v>
      </c>
      <c r="CE21" s="100">
        <v>2211.9550324804809</v>
      </c>
      <c r="CF21" s="11">
        <f t="shared" si="32"/>
        <v>2.5220943178839375</v>
      </c>
      <c r="CG21" s="11">
        <f t="shared" si="73"/>
        <v>5436.9550324804804</v>
      </c>
      <c r="CH21" s="11">
        <f t="shared" si="33"/>
        <v>0.83959252431742115</v>
      </c>
      <c r="CI21" s="100"/>
      <c r="CJ21" s="11">
        <f t="shared" si="34"/>
        <v>0</v>
      </c>
      <c r="CK21" s="11">
        <f t="shared" si="74"/>
        <v>0</v>
      </c>
      <c r="CL21" s="11">
        <f t="shared" si="35"/>
        <v>0</v>
      </c>
      <c r="CM21" s="100">
        <v>5145.2209824791516</v>
      </c>
      <c r="CN21" s="11">
        <f t="shared" si="36"/>
        <v>5.8666349060522283</v>
      </c>
      <c r="CO21" s="11">
        <f t="shared" si="75"/>
        <v>52258.782107209583</v>
      </c>
      <c r="CP21" s="11">
        <f t="shared" si="37"/>
        <v>8.0699734548160809</v>
      </c>
      <c r="CQ21" s="100">
        <v>1389.6480852911723</v>
      </c>
      <c r="CR21" s="11">
        <f t="shared" si="38"/>
        <v>1.5844913157392984</v>
      </c>
      <c r="CS21" s="11">
        <f t="shared" si="76"/>
        <v>6096.1787310901327</v>
      </c>
      <c r="CT21" s="11">
        <f t="shared" si="39"/>
        <v>0.94139202162778124</v>
      </c>
      <c r="CU21" s="100">
        <f t="shared" si="40"/>
        <v>78282.441185072268</v>
      </c>
      <c r="CV21" s="11">
        <f t="shared" si="41"/>
        <v>89.258460142180382</v>
      </c>
      <c r="CW21" s="11">
        <f t="shared" si="77"/>
        <v>605605.90561137581</v>
      </c>
      <c r="CX21" s="11">
        <f t="shared" si="42"/>
        <v>93.519660912446284</v>
      </c>
      <c r="CY21" s="100"/>
      <c r="CZ21" s="17">
        <f t="shared" si="43"/>
        <v>0</v>
      </c>
      <c r="DA21" s="11">
        <f t="shared" si="78"/>
        <v>0</v>
      </c>
      <c r="DB21" s="11">
        <f t="shared" si="44"/>
        <v>0</v>
      </c>
      <c r="DC21" s="11">
        <v>0</v>
      </c>
      <c r="DD21" s="11">
        <f t="shared" si="45"/>
        <v>0</v>
      </c>
      <c r="DE21" s="11">
        <f t="shared" si="79"/>
        <v>0</v>
      </c>
      <c r="DF21" s="11">
        <f t="shared" si="46"/>
        <v>0</v>
      </c>
      <c r="DG21" s="11">
        <f t="shared" si="80"/>
        <v>87703.105185072272</v>
      </c>
      <c r="DH21" s="11">
        <f t="shared" si="81"/>
        <v>647570.68161137577</v>
      </c>
      <c r="DI21" s="11">
        <f t="shared" si="47"/>
        <v>1.4776524385468683</v>
      </c>
      <c r="DJ21" s="11">
        <f t="shared" si="48"/>
        <v>1.2106546199172092</v>
      </c>
      <c r="DK21" s="504">
        <f t="shared" si="82"/>
        <v>0.75819045882434821</v>
      </c>
      <c r="DL21" s="505">
        <f t="shared" si="83"/>
        <v>0.88323610295710508</v>
      </c>
      <c r="DM21" s="6" t="str">
        <f>+Efficiency1!D62</f>
        <v>RC HW</v>
      </c>
    </row>
    <row r="22" spans="1:117">
      <c r="A22" s="18">
        <f>+Chem!A21</f>
        <v>46004</v>
      </c>
      <c r="B22" s="6" t="str">
        <f>+Chem!B21</f>
        <v>Napkin</v>
      </c>
      <c r="C22" s="6" t="str">
        <f>+Chem!C21</f>
        <v>20</v>
      </c>
      <c r="D22" s="9">
        <f>+Chem!D21</f>
        <v>60.103000000000002</v>
      </c>
      <c r="E22" s="7">
        <f>+Chem!E21</f>
        <v>57.131999999999998</v>
      </c>
      <c r="F22" s="7">
        <f t="shared" si="84"/>
        <v>592.02499999999998</v>
      </c>
      <c r="G22" s="100"/>
      <c r="H22" s="11">
        <f t="shared" si="0"/>
        <v>0</v>
      </c>
      <c r="I22" s="9">
        <f t="shared" si="49"/>
        <v>0</v>
      </c>
      <c r="J22" s="11">
        <f t="shared" si="1"/>
        <v>0</v>
      </c>
      <c r="K22" s="100"/>
      <c r="L22" s="11">
        <f t="shared" si="2"/>
        <v>0</v>
      </c>
      <c r="M22" s="11">
        <f t="shared" si="50"/>
        <v>0</v>
      </c>
      <c r="N22" s="11">
        <f t="shared" si="3"/>
        <v>0</v>
      </c>
      <c r="O22" s="100">
        <f>52*O7</f>
        <v>11133.511999999999</v>
      </c>
      <c r="P22" s="11">
        <f t="shared" si="4"/>
        <v>17.343866270842369</v>
      </c>
      <c r="Q22" s="11">
        <f t="shared" si="51"/>
        <v>53098.288</v>
      </c>
      <c r="R22" s="11">
        <f t="shared" si="5"/>
        <v>7.4601029651869668</v>
      </c>
      <c r="S22" s="100"/>
      <c r="T22" s="11">
        <f t="shared" si="6"/>
        <v>0</v>
      </c>
      <c r="U22" s="11">
        <f t="shared" si="52"/>
        <v>0</v>
      </c>
      <c r="V22" s="11">
        <f t="shared" si="7"/>
        <v>0</v>
      </c>
      <c r="W22" s="11"/>
      <c r="X22" s="11">
        <f t="shared" si="8"/>
        <v>0</v>
      </c>
      <c r="Y22" s="11">
        <f t="shared" si="53"/>
        <v>0</v>
      </c>
      <c r="Z22" s="11">
        <f t="shared" si="9"/>
        <v>0</v>
      </c>
      <c r="AA22" s="11">
        <f t="shared" si="54"/>
        <v>11133.511999999999</v>
      </c>
      <c r="AB22" s="11">
        <f t="shared" si="10"/>
        <v>17.343866270842369</v>
      </c>
      <c r="AC22" s="11">
        <f t="shared" si="55"/>
        <v>53098.288</v>
      </c>
      <c r="AD22" s="11">
        <f t="shared" si="11"/>
        <v>7.4601029651869668</v>
      </c>
      <c r="AE22" s="11"/>
      <c r="AF22" s="11">
        <f t="shared" si="12"/>
        <v>0</v>
      </c>
      <c r="AG22" s="11">
        <f t="shared" si="85"/>
        <v>0</v>
      </c>
      <c r="AH22" s="11">
        <f t="shared" si="13"/>
        <v>0</v>
      </c>
      <c r="AI22" s="11"/>
      <c r="AJ22" s="11">
        <f t="shared" si="14"/>
        <v>0</v>
      </c>
      <c r="AK22" s="11">
        <f t="shared" si="86"/>
        <v>0</v>
      </c>
      <c r="AL22" s="11">
        <f t="shared" si="15"/>
        <v>0</v>
      </c>
      <c r="AM22" s="11">
        <f t="shared" si="56"/>
        <v>0</v>
      </c>
      <c r="AN22" s="11">
        <f t="shared" si="16"/>
        <v>0</v>
      </c>
      <c r="AO22" s="11">
        <f t="shared" si="87"/>
        <v>0</v>
      </c>
      <c r="AP22" s="11">
        <f t="shared" si="17"/>
        <v>0</v>
      </c>
      <c r="AQ22" s="100">
        <v>22478.57</v>
      </c>
      <c r="AR22" s="11">
        <f t="shared" si="18"/>
        <v>35.017280444820031</v>
      </c>
      <c r="AS22" s="11">
        <f t="shared" si="57"/>
        <v>222816.53792097088</v>
      </c>
      <c r="AT22" s="11">
        <f t="shared" si="19"/>
        <v>31.304857046180643</v>
      </c>
      <c r="AU22" s="100">
        <v>3712.27</v>
      </c>
      <c r="AV22" s="11" t="e">
        <f t="shared" si="20"/>
        <v>#DIV/0!</v>
      </c>
      <c r="AW22" s="11">
        <f t="shared" si="58"/>
        <v>40590.685618940326</v>
      </c>
      <c r="AX22" s="11" t="e">
        <f t="shared" si="21"/>
        <v>#DIV/0!</v>
      </c>
      <c r="AY22" s="101">
        <v>0</v>
      </c>
      <c r="AZ22" s="11">
        <f t="shared" si="22"/>
        <v>0</v>
      </c>
      <c r="BA22" s="11">
        <f t="shared" si="59"/>
        <v>25620</v>
      </c>
      <c r="BB22" s="11">
        <f t="shared" si="23"/>
        <v>3.599510364026993</v>
      </c>
      <c r="BC22" s="100"/>
      <c r="BD22" s="11">
        <f t="shared" si="60"/>
        <v>0</v>
      </c>
      <c r="BE22" s="11">
        <f t="shared" si="61"/>
        <v>0</v>
      </c>
      <c r="BF22" s="11">
        <f t="shared" si="62"/>
        <v>0</v>
      </c>
      <c r="BG22" s="100">
        <v>21365.67</v>
      </c>
      <c r="BH22" s="11">
        <f t="shared" si="63"/>
        <v>33.283596700389658</v>
      </c>
      <c r="BI22" s="11">
        <f t="shared" si="64"/>
        <v>218518.41070805944</v>
      </c>
      <c r="BJ22" s="11">
        <f t="shared" si="65"/>
        <v>30.700986888148591</v>
      </c>
      <c r="BK22" s="100"/>
      <c r="BL22" s="11">
        <f t="shared" si="66"/>
        <v>0</v>
      </c>
      <c r="BM22" s="11">
        <f t="shared" si="67"/>
        <v>0</v>
      </c>
      <c r="BN22" s="11">
        <f t="shared" si="68"/>
        <v>0</v>
      </c>
      <c r="BO22" s="100"/>
      <c r="BP22" s="11">
        <f t="shared" si="24"/>
        <v>0</v>
      </c>
      <c r="BQ22" s="11">
        <f t="shared" si="69"/>
        <v>0</v>
      </c>
      <c r="BR22" s="11">
        <f t="shared" si="25"/>
        <v>0</v>
      </c>
      <c r="BS22" s="101">
        <v>0</v>
      </c>
      <c r="BT22" s="11">
        <f t="shared" si="26"/>
        <v>0</v>
      </c>
      <c r="BU22" s="11">
        <f t="shared" si="70"/>
        <v>60630</v>
      </c>
      <c r="BV22" s="11">
        <f t="shared" si="27"/>
        <v>8.5182792104198501</v>
      </c>
      <c r="BW22" s="100"/>
      <c r="BX22" s="11">
        <f t="shared" si="28"/>
        <v>0</v>
      </c>
      <c r="BY22" s="11">
        <f t="shared" si="71"/>
        <v>0</v>
      </c>
      <c r="BZ22" s="11">
        <f t="shared" si="29"/>
        <v>0</v>
      </c>
      <c r="CA22" s="100"/>
      <c r="CB22" s="11">
        <f t="shared" si="30"/>
        <v>0</v>
      </c>
      <c r="CC22" s="11">
        <f t="shared" si="72"/>
        <v>21194.865492624864</v>
      </c>
      <c r="CD22" s="11">
        <f t="shared" si="31"/>
        <v>2.977796175053133</v>
      </c>
      <c r="CE22" s="100">
        <v>1779.61</v>
      </c>
      <c r="CF22" s="11">
        <f t="shared" si="32"/>
        <v>2.7722894495693531</v>
      </c>
      <c r="CG22" s="11">
        <f t="shared" si="73"/>
        <v>7216.5650324804801</v>
      </c>
      <c r="CH22" s="11">
        <f t="shared" si="33"/>
        <v>1.0138993219004011</v>
      </c>
      <c r="CI22" s="100"/>
      <c r="CJ22" s="11">
        <f t="shared" si="34"/>
        <v>0</v>
      </c>
      <c r="CK22" s="11">
        <f t="shared" si="74"/>
        <v>0</v>
      </c>
      <c r="CL22" s="11">
        <f t="shared" si="35"/>
        <v>0</v>
      </c>
      <c r="CM22" s="100">
        <v>3068.91</v>
      </c>
      <c r="CN22" s="11">
        <f t="shared" si="36"/>
        <v>4.7807704017609947</v>
      </c>
      <c r="CO22" s="11">
        <f t="shared" si="75"/>
        <v>55327.692107209587</v>
      </c>
      <c r="CP22" s="11">
        <f t="shared" si="37"/>
        <v>7.7733255721153522</v>
      </c>
      <c r="CQ22" s="100">
        <v>654.25</v>
      </c>
      <c r="CR22" s="11">
        <f t="shared" si="38"/>
        <v>1.0191954261780667</v>
      </c>
      <c r="CS22" s="11">
        <f t="shared" si="76"/>
        <v>6750.4287310901327</v>
      </c>
      <c r="CT22" s="11">
        <f t="shared" si="39"/>
        <v>0.94840898435536747</v>
      </c>
      <c r="CU22" s="100">
        <f t="shared" si="40"/>
        <v>53059.28</v>
      </c>
      <c r="CV22" s="11">
        <f t="shared" si="41"/>
        <v>82.656133729157617</v>
      </c>
      <c r="CW22" s="11">
        <f t="shared" si="77"/>
        <v>658665.18561137584</v>
      </c>
      <c r="CX22" s="11">
        <f t="shared" si="42"/>
        <v>92.539897034813052</v>
      </c>
      <c r="CY22" s="100"/>
      <c r="CZ22" s="17">
        <f t="shared" si="43"/>
        <v>0</v>
      </c>
      <c r="DA22" s="11">
        <f t="shared" si="78"/>
        <v>0</v>
      </c>
      <c r="DB22" s="11">
        <f t="shared" si="44"/>
        <v>0</v>
      </c>
      <c r="DC22" s="11">
        <v>0</v>
      </c>
      <c r="DD22" s="11">
        <f t="shared" si="45"/>
        <v>0</v>
      </c>
      <c r="DE22" s="11">
        <f t="shared" si="79"/>
        <v>0</v>
      </c>
      <c r="DF22" s="11">
        <f t="shared" si="46"/>
        <v>0</v>
      </c>
      <c r="DG22" s="11">
        <f t="shared" si="80"/>
        <v>64192.792000000001</v>
      </c>
      <c r="DH22" s="11">
        <f t="shared" si="81"/>
        <v>711763.47361137578</v>
      </c>
      <c r="DI22" s="11">
        <f t="shared" si="47"/>
        <v>1.1235873415949029</v>
      </c>
      <c r="DJ22" s="11">
        <f t="shared" si="48"/>
        <v>1.2022523940904113</v>
      </c>
      <c r="DK22" s="504">
        <f t="shared" si="82"/>
        <v>1.0767579205748741</v>
      </c>
      <c r="DL22" s="505">
        <f t="shared" si="83"/>
        <v>0.89882540163479241</v>
      </c>
      <c r="DM22" s="6" t="str">
        <f>+Efficiency1!D67</f>
        <v>RC HW</v>
      </c>
    </row>
    <row r="23" spans="1:117">
      <c r="A23" s="18">
        <f>+Chem!A22</f>
        <v>46005</v>
      </c>
      <c r="B23" s="6" t="str">
        <f>+Chem!B22</f>
        <v>Napkin</v>
      </c>
      <c r="C23" s="6" t="str">
        <f>+Chem!C22</f>
        <v>20</v>
      </c>
      <c r="D23" s="9">
        <f>+Chem!D22</f>
        <v>67.138000000000005</v>
      </c>
      <c r="E23" s="7">
        <f>+Chem!E22</f>
        <v>66.549000000000007</v>
      </c>
      <c r="F23" s="7">
        <f t="shared" si="84"/>
        <v>658.57399999999996</v>
      </c>
      <c r="G23" s="100"/>
      <c r="H23" s="11">
        <f t="shared" si="0"/>
        <v>0</v>
      </c>
      <c r="I23" s="9">
        <f t="shared" si="49"/>
        <v>0</v>
      </c>
      <c r="J23" s="11">
        <f t="shared" si="1"/>
        <v>0</v>
      </c>
      <c r="K23" s="100"/>
      <c r="L23" s="11">
        <f t="shared" si="2"/>
        <v>0</v>
      </c>
      <c r="M23" s="11">
        <f t="shared" si="50"/>
        <v>0</v>
      </c>
      <c r="N23" s="11">
        <f t="shared" si="3"/>
        <v>0</v>
      </c>
      <c r="O23" s="100">
        <f>52*O7</f>
        <v>11133.511999999999</v>
      </c>
      <c r="P23" s="11">
        <f t="shared" si="4"/>
        <v>17.054643364638007</v>
      </c>
      <c r="Q23" s="11">
        <f t="shared" si="51"/>
        <v>64231.8</v>
      </c>
      <c r="R23" s="11">
        <f t="shared" si="5"/>
        <v>8.2661634082389828</v>
      </c>
      <c r="S23" s="100"/>
      <c r="T23" s="11">
        <f t="shared" si="6"/>
        <v>0</v>
      </c>
      <c r="U23" s="11">
        <f t="shared" si="52"/>
        <v>0</v>
      </c>
      <c r="V23" s="11">
        <f t="shared" si="7"/>
        <v>0</v>
      </c>
      <c r="W23" s="11"/>
      <c r="X23" s="11">
        <f t="shared" si="8"/>
        <v>0</v>
      </c>
      <c r="Y23" s="11">
        <f t="shared" si="53"/>
        <v>0</v>
      </c>
      <c r="Z23" s="11">
        <f t="shared" si="9"/>
        <v>0</v>
      </c>
      <c r="AA23" s="11">
        <f t="shared" si="54"/>
        <v>11133.511999999999</v>
      </c>
      <c r="AB23" s="11">
        <f t="shared" si="10"/>
        <v>17.054643364638007</v>
      </c>
      <c r="AC23" s="11">
        <f t="shared" si="55"/>
        <v>64231.8</v>
      </c>
      <c r="AD23" s="11">
        <f t="shared" si="11"/>
        <v>8.2661634082389828</v>
      </c>
      <c r="AE23" s="11"/>
      <c r="AF23" s="11">
        <f t="shared" si="12"/>
        <v>0</v>
      </c>
      <c r="AG23" s="11">
        <f t="shared" si="85"/>
        <v>0</v>
      </c>
      <c r="AH23" s="11">
        <f t="shared" si="13"/>
        <v>0</v>
      </c>
      <c r="AI23" s="11"/>
      <c r="AJ23" s="11">
        <f t="shared" si="14"/>
        <v>0</v>
      </c>
      <c r="AK23" s="11">
        <f t="shared" si="86"/>
        <v>0</v>
      </c>
      <c r="AL23" s="11">
        <f t="shared" si="15"/>
        <v>0</v>
      </c>
      <c r="AM23" s="11">
        <f t="shared" si="56"/>
        <v>0</v>
      </c>
      <c r="AN23" s="11">
        <f t="shared" si="16"/>
        <v>0</v>
      </c>
      <c r="AO23" s="11">
        <f t="shared" si="87"/>
        <v>0</v>
      </c>
      <c r="AP23" s="11">
        <f t="shared" si="17"/>
        <v>0</v>
      </c>
      <c r="AQ23" s="100">
        <v>22742.33</v>
      </c>
      <c r="AR23" s="11">
        <f t="shared" si="18"/>
        <v>34.83737453472974</v>
      </c>
      <c r="AS23" s="11">
        <f t="shared" si="57"/>
        <v>245558.86792097089</v>
      </c>
      <c r="AT23" s="11">
        <f t="shared" si="19"/>
        <v>31.601632346858079</v>
      </c>
      <c r="AU23" s="100">
        <v>3508.19</v>
      </c>
      <c r="AV23" s="11" t="e">
        <f t="shared" si="20"/>
        <v>#DIV/0!</v>
      </c>
      <c r="AW23" s="11">
        <f t="shared" si="58"/>
        <v>44098.875618940328</v>
      </c>
      <c r="AX23" s="11" t="e">
        <f t="shared" si="21"/>
        <v>#DIV/0!</v>
      </c>
      <c r="AY23" s="101">
        <v>0</v>
      </c>
      <c r="AZ23" s="11">
        <f t="shared" si="22"/>
        <v>0</v>
      </c>
      <c r="BA23" s="11">
        <f t="shared" si="59"/>
        <v>25620</v>
      </c>
      <c r="BB23" s="11">
        <f t="shared" si="23"/>
        <v>3.2971068305587372</v>
      </c>
      <c r="BC23" s="100"/>
      <c r="BD23" s="11">
        <f t="shared" si="60"/>
        <v>0</v>
      </c>
      <c r="BE23" s="11">
        <f t="shared" si="61"/>
        <v>0</v>
      </c>
      <c r="BF23" s="11">
        <f t="shared" si="62"/>
        <v>0</v>
      </c>
      <c r="BG23" s="100">
        <v>21874.94</v>
      </c>
      <c r="BH23" s="11">
        <f t="shared" si="63"/>
        <v>33.508680847773334</v>
      </c>
      <c r="BI23" s="11">
        <f t="shared" si="64"/>
        <v>240393.35070805944</v>
      </c>
      <c r="BJ23" s="11">
        <f t="shared" si="65"/>
        <v>30.936868018752726</v>
      </c>
      <c r="BK23" s="100"/>
      <c r="BL23" s="11">
        <f t="shared" si="66"/>
        <v>0</v>
      </c>
      <c r="BM23" s="11">
        <f t="shared" si="67"/>
        <v>0</v>
      </c>
      <c r="BN23" s="11">
        <f t="shared" si="68"/>
        <v>0</v>
      </c>
      <c r="BO23" s="100"/>
      <c r="BP23" s="11">
        <f t="shared" si="24"/>
        <v>0</v>
      </c>
      <c r="BQ23" s="11">
        <f t="shared" si="69"/>
        <v>0</v>
      </c>
      <c r="BR23" s="11">
        <f t="shared" si="25"/>
        <v>0</v>
      </c>
      <c r="BS23" s="101">
        <v>0</v>
      </c>
      <c r="BT23" s="11">
        <f t="shared" si="26"/>
        <v>0</v>
      </c>
      <c r="BU23" s="11">
        <f t="shared" si="70"/>
        <v>60630</v>
      </c>
      <c r="BV23" s="11">
        <f t="shared" si="27"/>
        <v>7.8026380615447408</v>
      </c>
      <c r="BW23" s="100"/>
      <c r="BX23" s="11">
        <f t="shared" si="28"/>
        <v>0</v>
      </c>
      <c r="BY23" s="11">
        <f t="shared" si="71"/>
        <v>0</v>
      </c>
      <c r="BZ23" s="11">
        <f t="shared" si="29"/>
        <v>0</v>
      </c>
      <c r="CA23" s="100"/>
      <c r="CB23" s="11">
        <f t="shared" si="30"/>
        <v>0</v>
      </c>
      <c r="CC23" s="11">
        <f t="shared" si="72"/>
        <v>21194.865492624864</v>
      </c>
      <c r="CD23" s="11">
        <f t="shared" si="31"/>
        <v>2.7276243477169055</v>
      </c>
      <c r="CE23" s="100">
        <v>1681.32</v>
      </c>
      <c r="CF23" s="11">
        <f t="shared" si="32"/>
        <v>2.575495762867384</v>
      </c>
      <c r="CG23" s="11">
        <f t="shared" si="73"/>
        <v>8897.8850324804807</v>
      </c>
      <c r="CH23" s="11">
        <f t="shared" si="33"/>
        <v>1.1450927993020199</v>
      </c>
      <c r="CI23" s="100"/>
      <c r="CJ23" s="11">
        <f t="shared" si="34"/>
        <v>0</v>
      </c>
      <c r="CK23" s="11">
        <f t="shared" si="74"/>
        <v>0</v>
      </c>
      <c r="CL23" s="11">
        <f t="shared" si="35"/>
        <v>0</v>
      </c>
      <c r="CM23" s="100">
        <v>3817.12</v>
      </c>
      <c r="CN23" s="11">
        <f t="shared" si="36"/>
        <v>5.8471774476936869</v>
      </c>
      <c r="CO23" s="11">
        <f t="shared" si="75"/>
        <v>59144.812107209589</v>
      </c>
      <c r="CP23" s="11">
        <f t="shared" si="37"/>
        <v>7.6115052299295023</v>
      </c>
      <c r="CQ23" s="100">
        <v>524</v>
      </c>
      <c r="CR23" s="11">
        <f t="shared" si="38"/>
        <v>0.80267871656942713</v>
      </c>
      <c r="CS23" s="11">
        <f t="shared" si="76"/>
        <v>7274.4287310901327</v>
      </c>
      <c r="CT23" s="11">
        <f t="shared" si="39"/>
        <v>0.93616583363348971</v>
      </c>
      <c r="CU23" s="100">
        <f t="shared" si="40"/>
        <v>54147.899999999994</v>
      </c>
      <c r="CV23" s="11">
        <f t="shared" si="41"/>
        <v>82.945356635361989</v>
      </c>
      <c r="CW23" s="11">
        <f t="shared" si="77"/>
        <v>712813.08561137586</v>
      </c>
      <c r="CX23" s="11">
        <f t="shared" si="42"/>
        <v>91.733836591761033</v>
      </c>
      <c r="CY23" s="100"/>
      <c r="CZ23" s="17">
        <f t="shared" si="43"/>
        <v>0</v>
      </c>
      <c r="DA23" s="11">
        <f t="shared" si="78"/>
        <v>0</v>
      </c>
      <c r="DB23" s="11">
        <f t="shared" si="44"/>
        <v>0</v>
      </c>
      <c r="DC23" s="11">
        <v>0</v>
      </c>
      <c r="DD23" s="11">
        <f t="shared" si="45"/>
        <v>0</v>
      </c>
      <c r="DE23" s="11">
        <f t="shared" si="79"/>
        <v>0</v>
      </c>
      <c r="DF23" s="11">
        <f t="shared" si="46"/>
        <v>0</v>
      </c>
      <c r="DG23" s="11">
        <f t="shared" si="80"/>
        <v>65281.411999999997</v>
      </c>
      <c r="DH23" s="11">
        <f t="shared" si="81"/>
        <v>777044.88561137579</v>
      </c>
      <c r="DI23" s="11">
        <f t="shared" si="47"/>
        <v>0.98095256127064268</v>
      </c>
      <c r="DJ23" s="11">
        <f t="shared" si="48"/>
        <v>1.1798900132883712</v>
      </c>
      <c r="DK23" s="504">
        <f t="shared" si="82"/>
        <v>1.2290227321835197</v>
      </c>
      <c r="DL23" s="505">
        <f t="shared" si="83"/>
        <v>0.92390840361066706</v>
      </c>
      <c r="DM23" s="6" t="str">
        <f>+Efficiency1!D73</f>
        <v>RC HW</v>
      </c>
    </row>
    <row r="24" spans="1:117">
      <c r="A24" s="18">
        <f>+Chem!A23</f>
        <v>46006</v>
      </c>
      <c r="B24" s="6" t="str">
        <f>+Chem!B23</f>
        <v>Napkin</v>
      </c>
      <c r="C24" s="6" t="str">
        <f>+Chem!C23</f>
        <v>20</v>
      </c>
      <c r="D24" s="9">
        <f>+Chem!D23</f>
        <v>65.415999999999997</v>
      </c>
      <c r="E24" s="7">
        <f>+Chem!E23</f>
        <v>67.039000000000001</v>
      </c>
      <c r="F24" s="7">
        <f t="shared" si="84"/>
        <v>725.61299999999994</v>
      </c>
      <c r="G24" s="100"/>
      <c r="H24" s="11">
        <f t="shared" si="0"/>
        <v>0</v>
      </c>
      <c r="I24" s="9">
        <f t="shared" si="49"/>
        <v>0</v>
      </c>
      <c r="J24" s="11">
        <f t="shared" si="1"/>
        <v>0</v>
      </c>
      <c r="K24" s="100"/>
      <c r="L24" s="11">
        <f t="shared" si="2"/>
        <v>0</v>
      </c>
      <c r="M24" s="11">
        <f t="shared" si="50"/>
        <v>0</v>
      </c>
      <c r="N24" s="11">
        <f t="shared" si="3"/>
        <v>0</v>
      </c>
      <c r="O24" s="100">
        <f>56*O7</f>
        <v>11989.936</v>
      </c>
      <c r="P24" s="11">
        <f t="shared" si="4"/>
        <v>13.723323794405207</v>
      </c>
      <c r="Q24" s="11">
        <f t="shared" si="51"/>
        <v>76221.736000000004</v>
      </c>
      <c r="R24" s="11">
        <f t="shared" si="5"/>
        <v>8.8177357982874387</v>
      </c>
      <c r="S24" s="100"/>
      <c r="T24" s="11">
        <f t="shared" si="6"/>
        <v>0</v>
      </c>
      <c r="U24" s="11">
        <f t="shared" si="52"/>
        <v>0</v>
      </c>
      <c r="V24" s="11">
        <f t="shared" si="7"/>
        <v>0</v>
      </c>
      <c r="W24" s="11"/>
      <c r="X24" s="11">
        <f t="shared" si="8"/>
        <v>0</v>
      </c>
      <c r="Y24" s="11">
        <f t="shared" si="53"/>
        <v>0</v>
      </c>
      <c r="Z24" s="11">
        <f t="shared" si="9"/>
        <v>0</v>
      </c>
      <c r="AA24" s="11">
        <f t="shared" si="54"/>
        <v>11989.936</v>
      </c>
      <c r="AB24" s="11">
        <f t="shared" si="10"/>
        <v>13.723323794405207</v>
      </c>
      <c r="AC24" s="11">
        <f t="shared" si="55"/>
        <v>76221.736000000004</v>
      </c>
      <c r="AD24" s="11">
        <f t="shared" si="11"/>
        <v>8.8177357982874387</v>
      </c>
      <c r="AE24" s="11"/>
      <c r="AF24" s="11">
        <f t="shared" si="12"/>
        <v>0</v>
      </c>
      <c r="AG24" s="11">
        <f t="shared" si="85"/>
        <v>0</v>
      </c>
      <c r="AH24" s="11">
        <f t="shared" si="13"/>
        <v>0</v>
      </c>
      <c r="AI24" s="11"/>
      <c r="AJ24" s="11">
        <f t="shared" si="14"/>
        <v>0</v>
      </c>
      <c r="AK24" s="11">
        <f t="shared" si="86"/>
        <v>0</v>
      </c>
      <c r="AL24" s="11">
        <f t="shared" si="15"/>
        <v>0</v>
      </c>
      <c r="AM24" s="11">
        <f t="shared" si="56"/>
        <v>0</v>
      </c>
      <c r="AN24" s="11">
        <f t="shared" si="16"/>
        <v>0</v>
      </c>
      <c r="AO24" s="11">
        <f t="shared" si="87"/>
        <v>0</v>
      </c>
      <c r="AP24" s="11">
        <f t="shared" si="17"/>
        <v>0</v>
      </c>
      <c r="AQ24" s="100">
        <v>31685.117620276218</v>
      </c>
      <c r="AR24" s="11">
        <f t="shared" si="18"/>
        <v>36.26584233367587</v>
      </c>
      <c r="AS24" s="11">
        <f t="shared" si="57"/>
        <v>277243.98554124712</v>
      </c>
      <c r="AT24" s="11">
        <f t="shared" si="19"/>
        <v>32.073058742285014</v>
      </c>
      <c r="AU24" s="100">
        <v>4899.790560024283</v>
      </c>
      <c r="AV24" s="11" t="e">
        <f t="shared" si="20"/>
        <v>#DIV/0!</v>
      </c>
      <c r="AW24" s="11">
        <f t="shared" si="58"/>
        <v>48998.66617896461</v>
      </c>
      <c r="AX24" s="11" t="e">
        <f t="shared" si="21"/>
        <v>#DIV/0!</v>
      </c>
      <c r="AY24" s="101">
        <v>0</v>
      </c>
      <c r="AZ24" s="11">
        <f t="shared" si="22"/>
        <v>0</v>
      </c>
      <c r="BA24" s="11">
        <f t="shared" si="59"/>
        <v>25620</v>
      </c>
      <c r="BB24" s="11">
        <f t="shared" si="23"/>
        <v>2.9638578574505861</v>
      </c>
      <c r="BC24" s="100"/>
      <c r="BD24" s="11">
        <f t="shared" si="60"/>
        <v>0</v>
      </c>
      <c r="BE24" s="11">
        <f t="shared" si="61"/>
        <v>0</v>
      </c>
      <c r="BF24" s="11">
        <f t="shared" si="62"/>
        <v>0</v>
      </c>
      <c r="BG24" s="100">
        <v>30630.9910456822</v>
      </c>
      <c r="BH24" s="11">
        <f t="shared" si="63"/>
        <v>35.059320438693199</v>
      </c>
      <c r="BI24" s="11">
        <f t="shared" si="64"/>
        <v>271024.34175374167</v>
      </c>
      <c r="BJ24" s="11">
        <f t="shared" si="65"/>
        <v>31.353537270382521</v>
      </c>
      <c r="BK24" s="100"/>
      <c r="BL24" s="11">
        <f t="shared" si="66"/>
        <v>0</v>
      </c>
      <c r="BM24" s="11">
        <f t="shared" si="67"/>
        <v>0</v>
      </c>
      <c r="BN24" s="11">
        <f t="shared" si="68"/>
        <v>0</v>
      </c>
      <c r="BO24" s="100"/>
      <c r="BP24" s="11">
        <f t="shared" si="24"/>
        <v>0</v>
      </c>
      <c r="BQ24" s="11">
        <f t="shared" si="69"/>
        <v>0</v>
      </c>
      <c r="BR24" s="11">
        <f t="shared" si="25"/>
        <v>0</v>
      </c>
      <c r="BS24" s="101">
        <v>0</v>
      </c>
      <c r="BT24" s="11">
        <f t="shared" si="26"/>
        <v>0</v>
      </c>
      <c r="BU24" s="11">
        <f t="shared" si="70"/>
        <v>60630</v>
      </c>
      <c r="BV24" s="11">
        <f t="shared" si="27"/>
        <v>7.0140008546927799</v>
      </c>
      <c r="BW24" s="100"/>
      <c r="BX24" s="11">
        <f t="shared" si="28"/>
        <v>0</v>
      </c>
      <c r="BY24" s="11">
        <f t="shared" si="71"/>
        <v>0</v>
      </c>
      <c r="BZ24" s="11">
        <f t="shared" si="29"/>
        <v>0</v>
      </c>
      <c r="CA24" s="100"/>
      <c r="CB24" s="11">
        <f t="shared" si="30"/>
        <v>0</v>
      </c>
      <c r="CC24" s="11">
        <f t="shared" si="72"/>
        <v>21194.865492624864</v>
      </c>
      <c r="CD24" s="11">
        <f t="shared" si="31"/>
        <v>2.4519347629947106</v>
      </c>
      <c r="CE24" s="100">
        <v>2826.5776293823037</v>
      </c>
      <c r="CF24" s="11">
        <f t="shared" si="32"/>
        <v>3.235216604828886</v>
      </c>
      <c r="CG24" s="11">
        <f t="shared" si="73"/>
        <v>11724.462661862784</v>
      </c>
      <c r="CH24" s="11">
        <f t="shared" si="33"/>
        <v>1.3563481961259962</v>
      </c>
      <c r="CI24" s="100"/>
      <c r="CJ24" s="11">
        <f t="shared" si="34"/>
        <v>0</v>
      </c>
      <c r="CK24" s="11">
        <f t="shared" si="74"/>
        <v>0</v>
      </c>
      <c r="CL24" s="11">
        <f t="shared" si="35"/>
        <v>0</v>
      </c>
      <c r="CM24" s="100">
        <v>4765.4697222643799</v>
      </c>
      <c r="CN24" s="11">
        <f t="shared" si="36"/>
        <v>5.4544147717776257</v>
      </c>
      <c r="CO24" s="11">
        <f t="shared" si="75"/>
        <v>63910.28182947397</v>
      </c>
      <c r="CP24" s="11">
        <f t="shared" si="37"/>
        <v>7.3934813025826633</v>
      </c>
      <c r="CQ24" s="100">
        <v>571.15556230080438</v>
      </c>
      <c r="CR24" s="11">
        <f t="shared" si="38"/>
        <v>0.65372765279393608</v>
      </c>
      <c r="CS24" s="11">
        <f t="shared" si="76"/>
        <v>7845.5842933909371</v>
      </c>
      <c r="CT24" s="11">
        <f t="shared" si="39"/>
        <v>0.90761891702801056</v>
      </c>
      <c r="CU24" s="100">
        <f t="shared" si="40"/>
        <v>75379.102139930183</v>
      </c>
      <c r="CV24" s="11">
        <f t="shared" si="41"/>
        <v>86.276676205594796</v>
      </c>
      <c r="CW24" s="11">
        <f t="shared" si="77"/>
        <v>788192.18775130599</v>
      </c>
      <c r="CX24" s="11">
        <f t="shared" si="42"/>
        <v>91.182264201712556</v>
      </c>
      <c r="CY24" s="100"/>
      <c r="CZ24" s="17">
        <f t="shared" si="43"/>
        <v>0</v>
      </c>
      <c r="DA24" s="11">
        <f t="shared" si="78"/>
        <v>0</v>
      </c>
      <c r="DB24" s="11">
        <f t="shared" si="44"/>
        <v>0</v>
      </c>
      <c r="DC24" s="11">
        <v>0</v>
      </c>
      <c r="DD24" s="11">
        <f t="shared" si="45"/>
        <v>0</v>
      </c>
      <c r="DE24" s="11">
        <f t="shared" si="79"/>
        <v>0</v>
      </c>
      <c r="DF24" s="11">
        <f t="shared" si="46"/>
        <v>0</v>
      </c>
      <c r="DG24" s="11">
        <f t="shared" si="80"/>
        <v>87369.038139930184</v>
      </c>
      <c r="DH24" s="11">
        <f t="shared" si="81"/>
        <v>864413.92375130602</v>
      </c>
      <c r="DI24" s="11">
        <f t="shared" si="47"/>
        <v>1.3032568824106889</v>
      </c>
      <c r="DJ24" s="11">
        <f t="shared" si="48"/>
        <v>1.1912878128579643</v>
      </c>
      <c r="DK24" s="504">
        <f t="shared" si="82"/>
        <v>0.88935790022481276</v>
      </c>
      <c r="DL24" s="505">
        <f t="shared" si="83"/>
        <v>0.9206041512161609</v>
      </c>
      <c r="DM24" s="6" t="str">
        <f>+Efficiency1!D77</f>
        <v>RC HW</v>
      </c>
    </row>
    <row r="25" spans="1:117">
      <c r="A25" s="18">
        <f>+Chem!A24</f>
        <v>46007</v>
      </c>
      <c r="B25" s="6" t="str">
        <f>+Chem!B24</f>
        <v>Napkin</v>
      </c>
      <c r="C25" s="6" t="str">
        <f>+Chem!C24</f>
        <v>20/18</v>
      </c>
      <c r="D25" s="9">
        <f>+Chem!D24</f>
        <v>62.290999999999997</v>
      </c>
      <c r="E25" s="7">
        <f>+Chem!E24</f>
        <v>62.822000000000003</v>
      </c>
      <c r="F25" s="7">
        <f t="shared" si="84"/>
        <v>788.43499999999995</v>
      </c>
      <c r="G25" s="100"/>
      <c r="H25" s="11">
        <f t="shared" si="0"/>
        <v>0</v>
      </c>
      <c r="I25" s="9">
        <f t="shared" si="49"/>
        <v>0</v>
      </c>
      <c r="J25" s="11">
        <f t="shared" si="1"/>
        <v>0</v>
      </c>
      <c r="K25" s="100"/>
      <c r="L25" s="11">
        <f t="shared" si="2"/>
        <v>0</v>
      </c>
      <c r="M25" s="11">
        <f t="shared" si="50"/>
        <v>0</v>
      </c>
      <c r="N25" s="11">
        <f t="shared" si="3"/>
        <v>0</v>
      </c>
      <c r="O25" s="100">
        <f>20*O7</f>
        <v>4282.12</v>
      </c>
      <c r="P25" s="11">
        <f t="shared" si="4"/>
        <v>5.9746993588229351</v>
      </c>
      <c r="Q25" s="11">
        <f t="shared" si="51"/>
        <v>80503.856</v>
      </c>
      <c r="R25" s="11">
        <f t="shared" si="5"/>
        <v>8.6000600707201311</v>
      </c>
      <c r="S25" s="100"/>
      <c r="T25" s="11">
        <f t="shared" si="6"/>
        <v>0</v>
      </c>
      <c r="U25" s="11">
        <f t="shared" si="52"/>
        <v>0</v>
      </c>
      <c r="V25" s="11">
        <f t="shared" si="7"/>
        <v>0</v>
      </c>
      <c r="W25" s="100"/>
      <c r="X25" s="11">
        <f t="shared" si="8"/>
        <v>0</v>
      </c>
      <c r="Y25" s="11">
        <f t="shared" si="53"/>
        <v>0</v>
      </c>
      <c r="Z25" s="11">
        <f t="shared" si="9"/>
        <v>0</v>
      </c>
      <c r="AA25" s="11">
        <f t="shared" si="54"/>
        <v>4282.12</v>
      </c>
      <c r="AB25" s="11">
        <f>AA25/DG25*100</f>
        <v>5.9746993588229351</v>
      </c>
      <c r="AC25" s="11">
        <f t="shared" si="55"/>
        <v>80503.856</v>
      </c>
      <c r="AD25" s="11">
        <f t="shared" si="11"/>
        <v>8.6000600707201311</v>
      </c>
      <c r="AE25" s="11"/>
      <c r="AF25" s="11">
        <f t="shared" si="12"/>
        <v>0</v>
      </c>
      <c r="AG25" s="11">
        <f t="shared" si="85"/>
        <v>0</v>
      </c>
      <c r="AH25" s="11">
        <f t="shared" si="13"/>
        <v>0</v>
      </c>
      <c r="AI25" s="11"/>
      <c r="AJ25" s="11">
        <f t="shared" si="14"/>
        <v>0</v>
      </c>
      <c r="AK25" s="11">
        <f t="shared" si="86"/>
        <v>0</v>
      </c>
      <c r="AL25" s="11">
        <f t="shared" si="15"/>
        <v>0</v>
      </c>
      <c r="AM25" s="11">
        <f t="shared" si="56"/>
        <v>0</v>
      </c>
      <c r="AN25" s="11">
        <f t="shared" si="16"/>
        <v>0</v>
      </c>
      <c r="AO25" s="11">
        <f t="shared" si="87"/>
        <v>0</v>
      </c>
      <c r="AP25" s="11">
        <f t="shared" si="17"/>
        <v>0</v>
      </c>
      <c r="AQ25" s="100">
        <v>28031.185207383198</v>
      </c>
      <c r="AR25" s="11">
        <f t="shared" si="18"/>
        <v>39.110978740810474</v>
      </c>
      <c r="AS25" s="11">
        <f t="shared" si="57"/>
        <v>305275.17074863031</v>
      </c>
      <c r="AT25" s="11">
        <f t="shared" si="19"/>
        <v>32.611913726686154</v>
      </c>
      <c r="AU25" s="100">
        <v>4208.8016350917278</v>
      </c>
      <c r="AV25" s="11" t="e">
        <f t="shared" si="20"/>
        <v>#DIV/0!</v>
      </c>
      <c r="AW25" s="11">
        <f t="shared" si="58"/>
        <v>53207.467814056334</v>
      </c>
      <c r="AX25" s="11" t="e">
        <f t="shared" si="21"/>
        <v>#DIV/0!</v>
      </c>
      <c r="AY25" s="101">
        <v>0</v>
      </c>
      <c r="AZ25" s="11">
        <f t="shared" si="22"/>
        <v>0</v>
      </c>
      <c r="BA25" s="11">
        <f t="shared" si="59"/>
        <v>25620</v>
      </c>
      <c r="BB25" s="11">
        <f t="shared" si="23"/>
        <v>2.7369314957018922</v>
      </c>
      <c r="BC25" s="100"/>
      <c r="BD25" s="11">
        <f t="shared" si="60"/>
        <v>0</v>
      </c>
      <c r="BE25" s="11">
        <f t="shared" si="61"/>
        <v>0</v>
      </c>
      <c r="BF25" s="11">
        <f t="shared" si="62"/>
        <v>0</v>
      </c>
      <c r="BG25" s="100">
        <v>27119.925549947089</v>
      </c>
      <c r="BH25" s="11">
        <f t="shared" si="63"/>
        <v>37.839528503310191</v>
      </c>
      <c r="BI25" s="11">
        <f t="shared" si="64"/>
        <v>298144.26730368874</v>
      </c>
      <c r="BJ25" s="11">
        <f t="shared" si="65"/>
        <v>31.850134092366496</v>
      </c>
      <c r="BK25" s="100"/>
      <c r="BL25" s="11">
        <f t="shared" si="66"/>
        <v>0</v>
      </c>
      <c r="BM25" s="11">
        <f t="shared" si="67"/>
        <v>0</v>
      </c>
      <c r="BN25" s="11">
        <f t="shared" si="68"/>
        <v>0</v>
      </c>
      <c r="BO25" s="100"/>
      <c r="BP25" s="11">
        <f t="shared" si="24"/>
        <v>0</v>
      </c>
      <c r="BQ25" s="11">
        <f t="shared" si="69"/>
        <v>0</v>
      </c>
      <c r="BR25" s="11">
        <f t="shared" si="25"/>
        <v>0</v>
      </c>
      <c r="BS25" s="101">
        <v>0</v>
      </c>
      <c r="BT25" s="11">
        <f t="shared" si="26"/>
        <v>0</v>
      </c>
      <c r="BU25" s="11">
        <f t="shared" si="70"/>
        <v>60630</v>
      </c>
      <c r="BV25" s="11">
        <f t="shared" si="27"/>
        <v>6.4769772281188809</v>
      </c>
      <c r="BW25" s="100"/>
      <c r="BX25" s="11">
        <f t="shared" si="28"/>
        <v>0</v>
      </c>
      <c r="BY25" s="11">
        <f t="shared" si="71"/>
        <v>0</v>
      </c>
      <c r="BZ25" s="11">
        <f t="shared" si="29"/>
        <v>0</v>
      </c>
      <c r="CA25" s="100"/>
      <c r="CB25" s="11">
        <f t="shared" si="30"/>
        <v>0</v>
      </c>
      <c r="CC25" s="11">
        <f t="shared" si="72"/>
        <v>21194.865492624864</v>
      </c>
      <c r="CD25" s="11">
        <f t="shared" si="31"/>
        <v>2.2642035485530907</v>
      </c>
      <c r="CE25" s="100">
        <v>4499.6355693321966</v>
      </c>
      <c r="CF25" s="11">
        <f t="shared" si="32"/>
        <v>6.2781915852488837</v>
      </c>
      <c r="CG25" s="11">
        <f t="shared" si="73"/>
        <v>16224.098231194981</v>
      </c>
      <c r="CH25" s="11">
        <f t="shared" si="33"/>
        <v>1.7331867852583491</v>
      </c>
      <c r="CI25" s="100"/>
      <c r="CJ25" s="11">
        <f t="shared" si="34"/>
        <v>0</v>
      </c>
      <c r="CK25" s="11">
        <f t="shared" si="74"/>
        <v>0</v>
      </c>
      <c r="CL25" s="11">
        <f t="shared" si="35"/>
        <v>0</v>
      </c>
      <c r="CM25" s="100">
        <v>3094.6288735098283</v>
      </c>
      <c r="CN25" s="11">
        <f t="shared" si="36"/>
        <v>4.3178325563865823</v>
      </c>
      <c r="CO25" s="11">
        <f t="shared" si="75"/>
        <v>67004.910702983805</v>
      </c>
      <c r="CP25" s="11">
        <f t="shared" si="37"/>
        <v>7.1579957248122241</v>
      </c>
      <c r="CQ25" s="100">
        <v>434.58972870213421</v>
      </c>
      <c r="CR25" s="11">
        <f t="shared" si="38"/>
        <v>0.60636856823902063</v>
      </c>
      <c r="CS25" s="11">
        <f t="shared" si="76"/>
        <v>8280.1740220930715</v>
      </c>
      <c r="CT25" s="11">
        <f t="shared" si="39"/>
        <v>0.88455382790628978</v>
      </c>
      <c r="CU25" s="100">
        <f t="shared" si="40"/>
        <v>67388.766563966172</v>
      </c>
      <c r="CV25" s="11">
        <f t="shared" si="41"/>
        <v>94.025300641177068</v>
      </c>
      <c r="CW25" s="11">
        <f t="shared" si="77"/>
        <v>855580.95431527216</v>
      </c>
      <c r="CX25" s="11">
        <f t="shared" si="42"/>
        <v>91.399939929279867</v>
      </c>
      <c r="CY25" s="100"/>
      <c r="CZ25" s="17">
        <f t="shared" si="43"/>
        <v>0</v>
      </c>
      <c r="DA25" s="11">
        <f t="shared" si="78"/>
        <v>0</v>
      </c>
      <c r="DB25" s="11">
        <f t="shared" si="44"/>
        <v>0</v>
      </c>
      <c r="DC25" s="11">
        <v>0</v>
      </c>
      <c r="DD25" s="11">
        <f t="shared" si="45"/>
        <v>0</v>
      </c>
      <c r="DE25" s="11">
        <f t="shared" si="79"/>
        <v>0</v>
      </c>
      <c r="DF25" s="11">
        <f t="shared" si="46"/>
        <v>0</v>
      </c>
      <c r="DG25" s="11">
        <f t="shared" si="80"/>
        <v>71670.886563966167</v>
      </c>
      <c r="DH25" s="11">
        <f t="shared" si="81"/>
        <v>936084.81031527219</v>
      </c>
      <c r="DI25" s="11">
        <f t="shared" si="47"/>
        <v>1.140856492374744</v>
      </c>
      <c r="DJ25" s="11">
        <f t="shared" si="48"/>
        <v>1.1872694772749464</v>
      </c>
      <c r="DK25" s="504">
        <f t="shared" si="82"/>
        <v>0.93223252484327124</v>
      </c>
      <c r="DL25" s="505">
        <f t="shared" si="83"/>
        <v>0.92152004555897393</v>
      </c>
      <c r="DM25" s="7" t="str">
        <f>+Efficiency1!D81</f>
        <v>RC HW</v>
      </c>
    </row>
    <row r="26" spans="1:117">
      <c r="A26" s="18">
        <f>+Chem!A25</f>
        <v>46008</v>
      </c>
      <c r="B26" s="6" t="str">
        <f>+Chem!B25</f>
        <v>Napkin/Towel</v>
      </c>
      <c r="C26" s="6" t="str">
        <f>+Chem!C25</f>
        <v>18/17</v>
      </c>
      <c r="D26" s="9">
        <f>+Chem!D25</f>
        <v>56.00800000000001</v>
      </c>
      <c r="E26" s="7">
        <f>+Chem!E25</f>
        <v>55.435000000000002</v>
      </c>
      <c r="F26" s="7">
        <f t="shared" si="84"/>
        <v>843.86999999999989</v>
      </c>
      <c r="G26" s="100"/>
      <c r="H26" s="11">
        <f t="shared" si="0"/>
        <v>0</v>
      </c>
      <c r="I26" s="9">
        <f t="shared" si="49"/>
        <v>0</v>
      </c>
      <c r="J26" s="11">
        <f t="shared" si="1"/>
        <v>0</v>
      </c>
      <c r="K26" s="100"/>
      <c r="L26" s="11">
        <f t="shared" si="2"/>
        <v>0</v>
      </c>
      <c r="M26" s="11">
        <f t="shared" si="50"/>
        <v>0</v>
      </c>
      <c r="N26" s="11">
        <f t="shared" si="3"/>
        <v>0</v>
      </c>
      <c r="O26" s="100">
        <v>0</v>
      </c>
      <c r="P26" s="11">
        <f t="shared" si="4"/>
        <v>0</v>
      </c>
      <c r="Q26" s="11">
        <f t="shared" si="51"/>
        <v>80503.856</v>
      </c>
      <c r="R26" s="11">
        <f t="shared" si="5"/>
        <v>8.066655044895839</v>
      </c>
      <c r="S26" s="100"/>
      <c r="T26" s="11">
        <f t="shared" si="6"/>
        <v>0</v>
      </c>
      <c r="U26" s="11">
        <f t="shared" si="52"/>
        <v>0</v>
      </c>
      <c r="V26" s="11">
        <f t="shared" si="7"/>
        <v>0</v>
      </c>
      <c r="W26" s="100"/>
      <c r="X26" s="11">
        <f t="shared" si="8"/>
        <v>0</v>
      </c>
      <c r="Y26" s="11">
        <f t="shared" si="53"/>
        <v>0</v>
      </c>
      <c r="Z26" s="11">
        <f t="shared" si="9"/>
        <v>0</v>
      </c>
      <c r="AA26" s="11">
        <f t="shared" si="54"/>
        <v>0</v>
      </c>
      <c r="AB26" s="11">
        <f t="shared" si="10"/>
        <v>0</v>
      </c>
      <c r="AC26" s="11">
        <f t="shared" si="55"/>
        <v>80503.856</v>
      </c>
      <c r="AD26" s="11">
        <f t="shared" si="11"/>
        <v>8.066655044895839</v>
      </c>
      <c r="AE26" s="11"/>
      <c r="AF26" s="11">
        <f t="shared" si="12"/>
        <v>0</v>
      </c>
      <c r="AG26" s="11">
        <f t="shared" si="85"/>
        <v>0</v>
      </c>
      <c r="AH26" s="11">
        <f t="shared" si="13"/>
        <v>0</v>
      </c>
      <c r="AI26" s="11"/>
      <c r="AJ26" s="11">
        <f t="shared" si="14"/>
        <v>0</v>
      </c>
      <c r="AK26" s="11">
        <f t="shared" si="86"/>
        <v>0</v>
      </c>
      <c r="AL26" s="11">
        <f t="shared" si="15"/>
        <v>0</v>
      </c>
      <c r="AM26" s="11">
        <f t="shared" si="56"/>
        <v>0</v>
      </c>
      <c r="AN26" s="11">
        <f t="shared" si="16"/>
        <v>0</v>
      </c>
      <c r="AO26" s="11">
        <f t="shared" si="87"/>
        <v>0</v>
      </c>
      <c r="AP26" s="11">
        <f t="shared" si="17"/>
        <v>0</v>
      </c>
      <c r="AQ26" s="100">
        <v>26078.940799035066</v>
      </c>
      <c r="AR26" s="11">
        <f t="shared" si="18"/>
        <v>42.131908524933912</v>
      </c>
      <c r="AS26" s="11">
        <f t="shared" si="57"/>
        <v>331354.11154766538</v>
      </c>
      <c r="AT26" s="11">
        <f t="shared" si="19"/>
        <v>33.202376238511526</v>
      </c>
      <c r="AU26" s="100">
        <v>4466.9231909992386</v>
      </c>
      <c r="AV26" s="11" t="e">
        <f t="shared" si="20"/>
        <v>#DIV/0!</v>
      </c>
      <c r="AW26" s="11">
        <f t="shared" si="58"/>
        <v>57674.391005055571</v>
      </c>
      <c r="AX26" s="11" t="e">
        <f t="shared" si="21"/>
        <v>#DIV/0!</v>
      </c>
      <c r="AY26" s="101">
        <v>0</v>
      </c>
      <c r="AZ26" s="11">
        <f t="shared" si="22"/>
        <v>0</v>
      </c>
      <c r="BA26" s="11">
        <f t="shared" si="59"/>
        <v>25620</v>
      </c>
      <c r="BB26" s="11">
        <f t="shared" si="23"/>
        <v>2.567177679665821</v>
      </c>
      <c r="BC26" s="100"/>
      <c r="BD26" s="11">
        <f t="shared" si="60"/>
        <v>0</v>
      </c>
      <c r="BE26" s="11">
        <f t="shared" si="61"/>
        <v>0</v>
      </c>
      <c r="BF26" s="11">
        <f t="shared" si="62"/>
        <v>0</v>
      </c>
      <c r="BG26" s="100">
        <v>25029.58669065815</v>
      </c>
      <c r="BH26" s="11">
        <f t="shared" si="63"/>
        <v>40.436621448472756</v>
      </c>
      <c r="BI26" s="11">
        <f t="shared" si="64"/>
        <v>323173.85399434692</v>
      </c>
      <c r="BJ26" s="11">
        <f t="shared" si="65"/>
        <v>32.38269729218846</v>
      </c>
      <c r="BK26" s="100"/>
      <c r="BL26" s="11">
        <f t="shared" si="66"/>
        <v>0</v>
      </c>
      <c r="BM26" s="11">
        <f t="shared" si="67"/>
        <v>0</v>
      </c>
      <c r="BN26" s="11">
        <f t="shared" si="68"/>
        <v>0</v>
      </c>
      <c r="BO26" s="100"/>
      <c r="BP26" s="11">
        <f t="shared" si="24"/>
        <v>0</v>
      </c>
      <c r="BQ26" s="11">
        <f t="shared" si="69"/>
        <v>0</v>
      </c>
      <c r="BR26" s="11">
        <f t="shared" si="25"/>
        <v>0</v>
      </c>
      <c r="BS26" s="101">
        <v>0</v>
      </c>
      <c r="BT26" s="11">
        <f t="shared" si="26"/>
        <v>0</v>
      </c>
      <c r="BU26" s="11">
        <f t="shared" si="70"/>
        <v>60630</v>
      </c>
      <c r="BV26" s="11">
        <f t="shared" si="27"/>
        <v>6.0752530334948771</v>
      </c>
      <c r="BW26" s="100"/>
      <c r="BX26" s="11">
        <f t="shared" si="28"/>
        <v>0</v>
      </c>
      <c r="BY26" s="11">
        <f t="shared" si="71"/>
        <v>0</v>
      </c>
      <c r="BZ26" s="11">
        <f t="shared" si="29"/>
        <v>0</v>
      </c>
      <c r="CA26" s="100"/>
      <c r="CB26" s="11">
        <f t="shared" si="30"/>
        <v>0</v>
      </c>
      <c r="CC26" s="11">
        <f t="shared" si="72"/>
        <v>21194.865492624864</v>
      </c>
      <c r="CD26" s="11">
        <f t="shared" si="31"/>
        <v>2.1237699303741562</v>
      </c>
      <c r="CE26" s="100">
        <v>3559.7563941589965</v>
      </c>
      <c r="CF26" s="11">
        <f t="shared" si="32"/>
        <v>5.7509747779060394</v>
      </c>
      <c r="CG26" s="11">
        <f t="shared" si="73"/>
        <v>19783.854625353979</v>
      </c>
      <c r="CH26" s="11">
        <f t="shared" si="33"/>
        <v>1.9823836850882963</v>
      </c>
      <c r="CI26" s="100"/>
      <c r="CJ26" s="11">
        <f t="shared" si="34"/>
        <v>0</v>
      </c>
      <c r="CK26" s="11">
        <f t="shared" si="74"/>
        <v>0</v>
      </c>
      <c r="CL26" s="11">
        <f t="shared" si="35"/>
        <v>0</v>
      </c>
      <c r="CM26" s="100">
        <v>2763.1063699368246</v>
      </c>
      <c r="CN26" s="11">
        <f t="shared" si="36"/>
        <v>4.4639445182968442</v>
      </c>
      <c r="CO26" s="11">
        <f t="shared" si="75"/>
        <v>69768.017072920629</v>
      </c>
      <c r="CP26" s="11">
        <f t="shared" si="37"/>
        <v>6.9909014904038171</v>
      </c>
      <c r="CQ26" s="100"/>
      <c r="CR26" s="11">
        <f t="shared" si="38"/>
        <v>0</v>
      </c>
      <c r="CS26" s="11">
        <f t="shared" si="76"/>
        <v>8280.1740220930715</v>
      </c>
      <c r="CT26" s="11">
        <f t="shared" si="39"/>
        <v>0.82969078584176814</v>
      </c>
      <c r="CU26" s="100">
        <f t="shared" si="40"/>
        <v>61898.313444788277</v>
      </c>
      <c r="CV26" s="11">
        <f t="shared" si="41"/>
        <v>100</v>
      </c>
      <c r="CW26" s="11">
        <f t="shared" si="77"/>
        <v>917479.26776006049</v>
      </c>
      <c r="CX26" s="11">
        <f t="shared" si="42"/>
        <v>91.933344955104161</v>
      </c>
      <c r="CY26" s="100"/>
      <c r="CZ26" s="17">
        <f t="shared" si="43"/>
        <v>0</v>
      </c>
      <c r="DA26" s="11">
        <f t="shared" si="78"/>
        <v>0</v>
      </c>
      <c r="DB26" s="11">
        <f t="shared" si="44"/>
        <v>0</v>
      </c>
      <c r="DC26" s="11">
        <v>0</v>
      </c>
      <c r="DD26" s="11">
        <f t="shared" si="45"/>
        <v>0</v>
      </c>
      <c r="DE26" s="11">
        <f t="shared" si="79"/>
        <v>0</v>
      </c>
      <c r="DF26" s="11">
        <f t="shared" si="46"/>
        <v>0</v>
      </c>
      <c r="DG26" s="11">
        <f t="shared" si="80"/>
        <v>61898.313444788277</v>
      </c>
      <c r="DH26" s="11">
        <f t="shared" si="81"/>
        <v>997983.12376006041</v>
      </c>
      <c r="DI26" s="11">
        <f t="shared" si="47"/>
        <v>1.1165926480524628</v>
      </c>
      <c r="DJ26" s="11">
        <f t="shared" si="48"/>
        <v>1.1826266175596485</v>
      </c>
      <c r="DK26" s="504">
        <f t="shared" si="82"/>
        <v>0.89558175198822842</v>
      </c>
      <c r="DL26" s="505">
        <f t="shared" si="83"/>
        <v>0.91977010233727596</v>
      </c>
      <c r="DM26" s="7" t="str">
        <f>+Efficiency1!D86</f>
        <v>RC HW</v>
      </c>
    </row>
    <row r="27" spans="1:117">
      <c r="A27" s="18">
        <f>+Chem!A26</f>
        <v>46009</v>
      </c>
      <c r="B27" s="6" t="str">
        <f>+Chem!B26</f>
        <v>Towel/Napkin</v>
      </c>
      <c r="C27" s="6" t="str">
        <f>+Chem!C26</f>
        <v>17/15,5/17,5</v>
      </c>
      <c r="D27" s="9">
        <f>+Chem!D26</f>
        <v>49.829000000000001</v>
      </c>
      <c r="E27" s="7">
        <f>+Chem!E26</f>
        <v>45.792999999999999</v>
      </c>
      <c r="F27" s="7">
        <f t="shared" si="84"/>
        <v>889.6629999999999</v>
      </c>
      <c r="G27" s="100"/>
      <c r="H27" s="11">
        <f t="shared" si="0"/>
        <v>0</v>
      </c>
      <c r="I27" s="9">
        <f t="shared" si="49"/>
        <v>0</v>
      </c>
      <c r="J27" s="11">
        <f t="shared" si="1"/>
        <v>0</v>
      </c>
      <c r="K27" s="100"/>
      <c r="L27" s="11">
        <f t="shared" si="2"/>
        <v>0</v>
      </c>
      <c r="M27" s="11">
        <f t="shared" si="50"/>
        <v>0</v>
      </c>
      <c r="N27" s="11">
        <f t="shared" si="3"/>
        <v>0</v>
      </c>
      <c r="O27" s="100">
        <f>24*O7</f>
        <v>5138.5439999999999</v>
      </c>
      <c r="P27" s="11">
        <f t="shared" si="4"/>
        <v>7.4824236260575425</v>
      </c>
      <c r="Q27" s="11">
        <f t="shared" si="51"/>
        <v>85642.4</v>
      </c>
      <c r="R27" s="11">
        <f t="shared" si="5"/>
        <v>8.0290403531446906</v>
      </c>
      <c r="S27" s="100"/>
      <c r="T27" s="11">
        <f t="shared" si="6"/>
        <v>0</v>
      </c>
      <c r="U27" s="11">
        <f t="shared" si="52"/>
        <v>0</v>
      </c>
      <c r="V27" s="11">
        <f t="shared" si="7"/>
        <v>0</v>
      </c>
      <c r="W27" s="100"/>
      <c r="X27" s="11">
        <f t="shared" si="8"/>
        <v>0</v>
      </c>
      <c r="Y27" s="11">
        <f t="shared" si="53"/>
        <v>0</v>
      </c>
      <c r="Z27" s="11">
        <f t="shared" si="9"/>
        <v>0</v>
      </c>
      <c r="AA27" s="11">
        <f t="shared" si="54"/>
        <v>5138.5439999999999</v>
      </c>
      <c r="AB27" s="11">
        <f t="shared" si="10"/>
        <v>7.4824236260575425</v>
      </c>
      <c r="AC27" s="11">
        <f t="shared" si="55"/>
        <v>85642.4</v>
      </c>
      <c r="AD27" s="11">
        <f t="shared" si="11"/>
        <v>8.0290403531446906</v>
      </c>
      <c r="AE27" s="11"/>
      <c r="AF27" s="11">
        <f t="shared" si="12"/>
        <v>0</v>
      </c>
      <c r="AG27" s="11">
        <f t="shared" si="85"/>
        <v>0</v>
      </c>
      <c r="AH27" s="11">
        <f t="shared" si="13"/>
        <v>0</v>
      </c>
      <c r="AI27" s="11"/>
      <c r="AJ27" s="11">
        <f t="shared" si="14"/>
        <v>0</v>
      </c>
      <c r="AK27" s="11">
        <f t="shared" si="86"/>
        <v>0</v>
      </c>
      <c r="AL27" s="11">
        <f t="shared" si="15"/>
        <v>0</v>
      </c>
      <c r="AM27" s="11">
        <f t="shared" si="56"/>
        <v>0</v>
      </c>
      <c r="AN27" s="11">
        <f t="shared" si="16"/>
        <v>0</v>
      </c>
      <c r="AO27" s="11">
        <f t="shared" si="87"/>
        <v>0</v>
      </c>
      <c r="AP27" s="11">
        <f t="shared" si="17"/>
        <v>0</v>
      </c>
      <c r="AQ27" s="100">
        <v>26210.10427199191</v>
      </c>
      <c r="AR27" s="11">
        <f t="shared" si="18"/>
        <v>38.165500469818689</v>
      </c>
      <c r="AS27" s="11">
        <f t="shared" si="57"/>
        <v>357564.21581965731</v>
      </c>
      <c r="AT27" s="11">
        <f t="shared" si="19"/>
        <v>33.521918087963044</v>
      </c>
      <c r="AU27" s="100">
        <v>4323.8460566228514</v>
      </c>
      <c r="AV27" s="11" t="e">
        <f t="shared" si="20"/>
        <v>#DIV/0!</v>
      </c>
      <c r="AW27" s="11">
        <f t="shared" si="58"/>
        <v>61998.237061678425</v>
      </c>
      <c r="AX27" s="11" t="e">
        <f t="shared" si="21"/>
        <v>#DIV/0!</v>
      </c>
      <c r="AY27" s="101">
        <v>0</v>
      </c>
      <c r="AZ27" s="11">
        <f t="shared" si="22"/>
        <v>0</v>
      </c>
      <c r="BA27" s="11">
        <f t="shared" si="59"/>
        <v>25620</v>
      </c>
      <c r="BB27" s="11">
        <f t="shared" si="23"/>
        <v>2.4018945504512597</v>
      </c>
      <c r="BC27" s="100"/>
      <c r="BD27" s="11">
        <f t="shared" si="60"/>
        <v>0</v>
      </c>
      <c r="BE27" s="11">
        <f t="shared" si="61"/>
        <v>0</v>
      </c>
      <c r="BF27" s="11">
        <f t="shared" si="62"/>
        <v>0</v>
      </c>
      <c r="BG27" s="100">
        <v>25197.015135237612</v>
      </c>
      <c r="BH27" s="11">
        <f t="shared" si="63"/>
        <v>36.690303975996194</v>
      </c>
      <c r="BI27" s="11">
        <f t="shared" si="64"/>
        <v>348370.86912958452</v>
      </c>
      <c r="BJ27" s="11">
        <f t="shared" si="65"/>
        <v>32.660034820387125</v>
      </c>
      <c r="BK27" s="100"/>
      <c r="BL27" s="11">
        <f t="shared" si="66"/>
        <v>0</v>
      </c>
      <c r="BM27" s="11">
        <f t="shared" si="67"/>
        <v>0</v>
      </c>
      <c r="BN27" s="11">
        <f t="shared" si="68"/>
        <v>0</v>
      </c>
      <c r="BO27" s="100"/>
      <c r="BP27" s="11">
        <f t="shared" si="24"/>
        <v>0</v>
      </c>
      <c r="BQ27" s="11">
        <f t="shared" si="69"/>
        <v>0</v>
      </c>
      <c r="BR27" s="11">
        <f t="shared" si="25"/>
        <v>0</v>
      </c>
      <c r="BS27" s="101">
        <v>0</v>
      </c>
      <c r="BT27" s="11">
        <f t="shared" si="26"/>
        <v>0</v>
      </c>
      <c r="BU27" s="11">
        <f t="shared" si="70"/>
        <v>60630</v>
      </c>
      <c r="BV27" s="11">
        <f t="shared" si="27"/>
        <v>5.6841087663489418</v>
      </c>
      <c r="BW27" s="100"/>
      <c r="BX27" s="11">
        <f t="shared" si="28"/>
        <v>0</v>
      </c>
      <c r="BY27" s="11">
        <f t="shared" si="71"/>
        <v>0</v>
      </c>
      <c r="BZ27" s="11">
        <f t="shared" si="29"/>
        <v>0</v>
      </c>
      <c r="CA27" s="100"/>
      <c r="CB27" s="11">
        <f t="shared" si="30"/>
        <v>0</v>
      </c>
      <c r="CC27" s="11">
        <f t="shared" si="72"/>
        <v>21194.865492624864</v>
      </c>
      <c r="CD27" s="11">
        <f t="shared" si="31"/>
        <v>1.9870348135941889</v>
      </c>
      <c r="CE27" s="100">
        <v>3533.2744038591168</v>
      </c>
      <c r="CF27" s="11">
        <f t="shared" si="32"/>
        <v>5.1449313028709751</v>
      </c>
      <c r="CG27" s="11">
        <f t="shared" si="73"/>
        <v>23317.129029213094</v>
      </c>
      <c r="CH27" s="11">
        <f t="shared" si="33"/>
        <v>2.185998639634497</v>
      </c>
      <c r="CI27" s="100"/>
      <c r="CJ27" s="11">
        <f t="shared" si="34"/>
        <v>0</v>
      </c>
      <c r="CK27" s="11">
        <f t="shared" si="74"/>
        <v>0</v>
      </c>
      <c r="CL27" s="11">
        <f t="shared" si="35"/>
        <v>0</v>
      </c>
      <c r="CM27" s="100">
        <v>3946.685203909673</v>
      </c>
      <c r="CN27" s="11">
        <f t="shared" si="36"/>
        <v>5.7469140313570275</v>
      </c>
      <c r="CO27" s="11">
        <f t="shared" si="75"/>
        <v>73714.7022768303</v>
      </c>
      <c r="CP27" s="11">
        <f t="shared" si="37"/>
        <v>6.9108095896508885</v>
      </c>
      <c r="CQ27" s="100">
        <v>325.39159925851027</v>
      </c>
      <c r="CR27" s="11">
        <f t="shared" si="38"/>
        <v>0.47381472067039326</v>
      </c>
      <c r="CS27" s="11">
        <f t="shared" si="76"/>
        <v>8605.5656213515813</v>
      </c>
      <c r="CT27" s="11">
        <f t="shared" si="39"/>
        <v>0.80677834385148617</v>
      </c>
      <c r="CU27" s="100">
        <f t="shared" si="40"/>
        <v>63536.316670879671</v>
      </c>
      <c r="CV27" s="11">
        <f t="shared" si="41"/>
        <v>92.517576373942461</v>
      </c>
      <c r="CW27" s="11">
        <f t="shared" si="77"/>
        <v>981015.58443094022</v>
      </c>
      <c r="CX27" s="11">
        <f t="shared" si="42"/>
        <v>91.97095964685532</v>
      </c>
      <c r="CY27" s="100"/>
      <c r="CZ27" s="17">
        <f t="shared" si="43"/>
        <v>0</v>
      </c>
      <c r="DA27" s="11">
        <f t="shared" si="78"/>
        <v>0</v>
      </c>
      <c r="DB27" s="11">
        <f t="shared" si="44"/>
        <v>0</v>
      </c>
      <c r="DC27" s="11">
        <v>0</v>
      </c>
      <c r="DD27" s="11">
        <f t="shared" si="45"/>
        <v>0</v>
      </c>
      <c r="DE27" s="11">
        <f t="shared" si="79"/>
        <v>0</v>
      </c>
      <c r="DF27" s="11">
        <f t="shared" si="46"/>
        <v>0</v>
      </c>
      <c r="DG27" s="11">
        <f t="shared" si="80"/>
        <v>68674.860670879672</v>
      </c>
      <c r="DH27" s="11">
        <f t="shared" si="81"/>
        <v>1066657.9844309401</v>
      </c>
      <c r="DI27" s="11">
        <f t="shared" si="47"/>
        <v>1.4996803151328733</v>
      </c>
      <c r="DJ27" s="11">
        <f t="shared" si="48"/>
        <v>1.1989461002997093</v>
      </c>
      <c r="DK27" s="504">
        <f t="shared" si="82"/>
        <v>0.72073740499011507</v>
      </c>
      <c r="DL27" s="505">
        <f t="shared" si="83"/>
        <v>0.90687957879493686</v>
      </c>
      <c r="DM27" s="7" t="str">
        <f>+Efficiency1!D90</f>
        <v>RC HW</v>
      </c>
    </row>
    <row r="28" spans="1:117">
      <c r="A28" s="18">
        <f>+Chem!A27</f>
        <v>46010</v>
      </c>
      <c r="B28" s="6" t="str">
        <f>+Chem!B27</f>
        <v>Towel</v>
      </c>
      <c r="C28" s="6" t="str">
        <f>+Chem!C27</f>
        <v>17,5/22</v>
      </c>
      <c r="D28" s="9">
        <f>+Chem!D27</f>
        <v>67.625</v>
      </c>
      <c r="E28" s="7">
        <f>+Chem!E27</f>
        <v>67.891999999999996</v>
      </c>
      <c r="F28" s="7">
        <f t="shared" si="84"/>
        <v>957.55499999999984</v>
      </c>
      <c r="G28" s="100"/>
      <c r="H28" s="11">
        <f t="shared" si="0"/>
        <v>0</v>
      </c>
      <c r="I28" s="9">
        <f t="shared" si="49"/>
        <v>0</v>
      </c>
      <c r="J28" s="11">
        <f t="shared" si="1"/>
        <v>0</v>
      </c>
      <c r="K28" s="100"/>
      <c r="L28" s="11">
        <f t="shared" si="2"/>
        <v>0</v>
      </c>
      <c r="M28" s="11">
        <f t="shared" si="50"/>
        <v>0</v>
      </c>
      <c r="N28" s="11">
        <f t="shared" si="3"/>
        <v>0</v>
      </c>
      <c r="O28" s="100">
        <f>56*O7</f>
        <v>11989.936</v>
      </c>
      <c r="P28" s="11">
        <f t="shared" si="4"/>
        <v>14.047951962253041</v>
      </c>
      <c r="Q28" s="11">
        <f t="shared" si="51"/>
        <v>97632.335999999996</v>
      </c>
      <c r="R28" s="11">
        <f t="shared" si="5"/>
        <v>8.4749699559156184</v>
      </c>
      <c r="S28" s="100"/>
      <c r="T28" s="11">
        <f t="shared" si="6"/>
        <v>0</v>
      </c>
      <c r="U28" s="11">
        <f t="shared" si="52"/>
        <v>0</v>
      </c>
      <c r="V28" s="11">
        <f t="shared" si="7"/>
        <v>0</v>
      </c>
      <c r="W28" s="100"/>
      <c r="X28" s="11">
        <f t="shared" si="8"/>
        <v>0</v>
      </c>
      <c r="Y28" s="11">
        <f t="shared" si="53"/>
        <v>0</v>
      </c>
      <c r="Z28" s="11">
        <f t="shared" si="9"/>
        <v>0</v>
      </c>
      <c r="AA28" s="11">
        <f t="shared" si="54"/>
        <v>11989.936</v>
      </c>
      <c r="AB28" s="11">
        <f t="shared" si="10"/>
        <v>14.047951962253041</v>
      </c>
      <c r="AC28" s="11">
        <f t="shared" si="55"/>
        <v>97632.335999999996</v>
      </c>
      <c r="AD28" s="11">
        <f t="shared" si="11"/>
        <v>8.4749699559156184</v>
      </c>
      <c r="AE28" s="11"/>
      <c r="AF28" s="11">
        <f t="shared" si="12"/>
        <v>0</v>
      </c>
      <c r="AG28" s="11">
        <f t="shared" si="85"/>
        <v>0</v>
      </c>
      <c r="AH28" s="11">
        <f t="shared" si="13"/>
        <v>0</v>
      </c>
      <c r="AI28" s="11"/>
      <c r="AJ28" s="11">
        <f t="shared" si="14"/>
        <v>0</v>
      </c>
      <c r="AK28" s="11">
        <f t="shared" si="86"/>
        <v>0</v>
      </c>
      <c r="AL28" s="11">
        <f t="shared" si="15"/>
        <v>0</v>
      </c>
      <c r="AM28" s="11">
        <f t="shared" si="56"/>
        <v>0</v>
      </c>
      <c r="AN28" s="11">
        <f t="shared" si="16"/>
        <v>0</v>
      </c>
      <c r="AO28" s="11">
        <f t="shared" si="87"/>
        <v>0</v>
      </c>
      <c r="AP28" s="11">
        <f t="shared" si="17"/>
        <v>0</v>
      </c>
      <c r="AQ28" s="100">
        <v>30405.235615363232</v>
      </c>
      <c r="AR28" s="11">
        <f t="shared" si="18"/>
        <v>35.624150898354081</v>
      </c>
      <c r="AS28" s="11">
        <f t="shared" si="57"/>
        <v>387969.45143502054</v>
      </c>
      <c r="AT28" s="11">
        <f t="shared" si="19"/>
        <v>33.677668479886236</v>
      </c>
      <c r="AU28" s="100">
        <v>5234.4498765512844</v>
      </c>
      <c r="AV28" s="11" t="e">
        <f t="shared" si="20"/>
        <v>#DIV/0!</v>
      </c>
      <c r="AW28" s="11">
        <f t="shared" si="58"/>
        <v>67232.686938229715</v>
      </c>
      <c r="AX28" s="11" t="e">
        <f t="shared" si="21"/>
        <v>#DIV/0!</v>
      </c>
      <c r="AY28" s="101">
        <v>0</v>
      </c>
      <c r="AZ28" s="11">
        <f t="shared" si="22"/>
        <v>0</v>
      </c>
      <c r="BA28" s="11">
        <f t="shared" si="59"/>
        <v>25620</v>
      </c>
      <c r="BB28" s="11">
        <f t="shared" si="23"/>
        <v>2.223942795658993</v>
      </c>
      <c r="BC28" s="100"/>
      <c r="BD28" s="11">
        <f t="shared" si="60"/>
        <v>0</v>
      </c>
      <c r="BE28" s="11">
        <f t="shared" si="61"/>
        <v>0</v>
      </c>
      <c r="BF28" s="11">
        <f t="shared" si="62"/>
        <v>0</v>
      </c>
      <c r="BG28" s="100">
        <v>29379.317721022253</v>
      </c>
      <c r="BH28" s="11">
        <f t="shared" si="63"/>
        <v>34.422139036329312</v>
      </c>
      <c r="BI28" s="11">
        <f t="shared" si="64"/>
        <v>377750.18685060675</v>
      </c>
      <c r="BJ28" s="11">
        <f t="shared" si="65"/>
        <v>32.790585737909652</v>
      </c>
      <c r="BK28" s="100"/>
      <c r="BL28" s="11">
        <f t="shared" si="66"/>
        <v>0</v>
      </c>
      <c r="BM28" s="11">
        <f t="shared" si="67"/>
        <v>0</v>
      </c>
      <c r="BN28" s="11">
        <f t="shared" si="68"/>
        <v>0</v>
      </c>
      <c r="BO28" s="100"/>
      <c r="BP28" s="11">
        <f t="shared" si="24"/>
        <v>0</v>
      </c>
      <c r="BQ28" s="11">
        <f t="shared" si="69"/>
        <v>0</v>
      </c>
      <c r="BR28" s="11">
        <f t="shared" si="25"/>
        <v>0</v>
      </c>
      <c r="BS28" s="101">
        <v>0</v>
      </c>
      <c r="BT28" s="11">
        <f t="shared" si="26"/>
        <v>0</v>
      </c>
      <c r="BU28" s="11">
        <f t="shared" si="70"/>
        <v>60630</v>
      </c>
      <c r="BV28" s="11">
        <f t="shared" si="27"/>
        <v>5.2629840632632607</v>
      </c>
      <c r="BW28" s="100"/>
      <c r="BX28" s="11">
        <f t="shared" si="28"/>
        <v>0</v>
      </c>
      <c r="BY28" s="11">
        <f t="shared" si="71"/>
        <v>0</v>
      </c>
      <c r="BZ28" s="11">
        <f t="shared" si="29"/>
        <v>0</v>
      </c>
      <c r="CA28" s="100"/>
      <c r="CB28" s="11">
        <f t="shared" si="30"/>
        <v>0</v>
      </c>
      <c r="CC28" s="11">
        <f t="shared" si="72"/>
        <v>21194.865492624864</v>
      </c>
      <c r="CD28" s="11">
        <f t="shared" si="31"/>
        <v>1.839819220034522</v>
      </c>
      <c r="CE28" s="100">
        <v>4349.648743439232</v>
      </c>
      <c r="CF28" s="11">
        <f t="shared" si="32"/>
        <v>5.0962454345468267</v>
      </c>
      <c r="CG28" s="11">
        <f t="shared" si="73"/>
        <v>27666.777772652327</v>
      </c>
      <c r="CH28" s="11">
        <f t="shared" si="33"/>
        <v>2.4016132360104798</v>
      </c>
      <c r="CI28" s="100"/>
      <c r="CJ28" s="11">
        <f t="shared" si="34"/>
        <v>0</v>
      </c>
      <c r="CK28" s="11">
        <f t="shared" si="74"/>
        <v>0</v>
      </c>
      <c r="CL28" s="11">
        <f t="shared" si="35"/>
        <v>0</v>
      </c>
      <c r="CM28" s="100">
        <v>3933.4685001389821</v>
      </c>
      <c r="CN28" s="11">
        <f t="shared" si="36"/>
        <v>4.6086298154542229</v>
      </c>
      <c r="CO28" s="11">
        <f t="shared" si="75"/>
        <v>77648.170776969288</v>
      </c>
      <c r="CP28" s="11">
        <f t="shared" si="37"/>
        <v>6.7402455111451989</v>
      </c>
      <c r="CQ28" s="100">
        <v>58.007611308229372</v>
      </c>
      <c r="CR28" s="11">
        <f t="shared" si="38"/>
        <v>6.7964344188580536E-2</v>
      </c>
      <c r="CS28" s="11">
        <f t="shared" si="76"/>
        <v>8663.5732326598099</v>
      </c>
      <c r="CT28" s="11">
        <f t="shared" si="39"/>
        <v>0.75204103338945649</v>
      </c>
      <c r="CU28" s="100">
        <f t="shared" si="40"/>
        <v>73360.128067823214</v>
      </c>
      <c r="CV28" s="11">
        <f t="shared" si="41"/>
        <v>85.952048037746948</v>
      </c>
      <c r="CW28" s="11">
        <f t="shared" si="77"/>
        <v>1054375.7124987633</v>
      </c>
      <c r="CX28" s="11">
        <f t="shared" si="42"/>
        <v>91.525030044084389</v>
      </c>
      <c r="CY28" s="100"/>
      <c r="CZ28" s="17">
        <f t="shared" si="43"/>
        <v>0</v>
      </c>
      <c r="DA28" s="11">
        <f t="shared" si="78"/>
        <v>0</v>
      </c>
      <c r="DB28" s="11">
        <f t="shared" si="44"/>
        <v>0</v>
      </c>
      <c r="DC28" s="11">
        <v>0</v>
      </c>
      <c r="DD28" s="11">
        <f t="shared" si="45"/>
        <v>0</v>
      </c>
      <c r="DE28" s="11">
        <f t="shared" si="79"/>
        <v>0</v>
      </c>
      <c r="DF28" s="11">
        <f t="shared" si="46"/>
        <v>0</v>
      </c>
      <c r="DG28" s="11">
        <f t="shared" si="80"/>
        <v>85350.064067823216</v>
      </c>
      <c r="DH28" s="11">
        <f t="shared" si="81"/>
        <v>1152008.0484987632</v>
      </c>
      <c r="DI28" s="11">
        <f t="shared" si="47"/>
        <v>1.2571446424884112</v>
      </c>
      <c r="DJ28" s="11">
        <f t="shared" si="48"/>
        <v>1.2030724590219501</v>
      </c>
      <c r="DK28" s="504">
        <f t="shared" si="82"/>
        <v>0.92546185220985711</v>
      </c>
      <c r="DL28" s="505">
        <f t="shared" si="83"/>
        <v>0.90817247462073247</v>
      </c>
      <c r="DM28" s="7" t="str">
        <f>+Efficiency1!D96</f>
        <v>RC HW</v>
      </c>
    </row>
    <row r="29" spans="1:117">
      <c r="A29" s="18">
        <f>+Chem!A28</f>
        <v>46011</v>
      </c>
      <c r="B29" s="6" t="str">
        <f>+Chem!B28</f>
        <v>Towel</v>
      </c>
      <c r="C29" s="6" t="str">
        <f>+Chem!C28</f>
        <v>22/31,5</v>
      </c>
      <c r="D29" s="9">
        <f>+Chem!D28</f>
        <v>68.740000000000009</v>
      </c>
      <c r="E29" s="7">
        <f>+Chem!E28</f>
        <v>67.406999999999996</v>
      </c>
      <c r="F29" s="7">
        <f t="shared" si="84"/>
        <v>1024.9619999999998</v>
      </c>
      <c r="G29" s="100"/>
      <c r="H29" s="11">
        <f t="shared" si="0"/>
        <v>0</v>
      </c>
      <c r="I29" s="9">
        <f t="shared" si="49"/>
        <v>0</v>
      </c>
      <c r="J29" s="11">
        <f t="shared" si="1"/>
        <v>0</v>
      </c>
      <c r="K29" s="100"/>
      <c r="L29" s="11">
        <f t="shared" si="2"/>
        <v>0</v>
      </c>
      <c r="M29" s="11">
        <f t="shared" si="50"/>
        <v>0</v>
      </c>
      <c r="N29" s="11">
        <f t="shared" si="3"/>
        <v>0</v>
      </c>
      <c r="O29" s="100">
        <f>76*O7</f>
        <v>16272.056</v>
      </c>
      <c r="P29" s="11">
        <f t="shared" si="4"/>
        <v>17.255312724107799</v>
      </c>
      <c r="Q29" s="11">
        <f t="shared" si="51"/>
        <v>113904.39199999999</v>
      </c>
      <c r="R29" s="11">
        <f t="shared" si="5"/>
        <v>9.1393323910777262</v>
      </c>
      <c r="S29" s="100"/>
      <c r="T29" s="11">
        <f t="shared" si="6"/>
        <v>0</v>
      </c>
      <c r="U29" s="11">
        <f t="shared" si="52"/>
        <v>0</v>
      </c>
      <c r="V29" s="11">
        <f t="shared" si="7"/>
        <v>0</v>
      </c>
      <c r="W29" s="100"/>
      <c r="X29" s="11">
        <f t="shared" si="8"/>
        <v>0</v>
      </c>
      <c r="Y29" s="11">
        <f t="shared" si="53"/>
        <v>0</v>
      </c>
      <c r="Z29" s="11">
        <f t="shared" si="9"/>
        <v>0</v>
      </c>
      <c r="AA29" s="11">
        <f t="shared" si="54"/>
        <v>16272.056</v>
      </c>
      <c r="AB29" s="11">
        <f t="shared" si="10"/>
        <v>17.255312724107799</v>
      </c>
      <c r="AC29" s="11">
        <f t="shared" si="55"/>
        <v>113904.39199999999</v>
      </c>
      <c r="AD29" s="11">
        <f t="shared" si="11"/>
        <v>9.1393323910777262</v>
      </c>
      <c r="AE29" s="11"/>
      <c r="AF29" s="11">
        <f t="shared" si="12"/>
        <v>0</v>
      </c>
      <c r="AG29" s="11">
        <f t="shared" si="85"/>
        <v>0</v>
      </c>
      <c r="AH29" s="11">
        <f t="shared" si="13"/>
        <v>0</v>
      </c>
      <c r="AI29" s="11"/>
      <c r="AJ29" s="11">
        <f t="shared" si="14"/>
        <v>0</v>
      </c>
      <c r="AK29" s="11">
        <f t="shared" si="86"/>
        <v>0</v>
      </c>
      <c r="AL29" s="11">
        <f t="shared" si="15"/>
        <v>0</v>
      </c>
      <c r="AM29" s="11">
        <f t="shared" si="56"/>
        <v>0</v>
      </c>
      <c r="AN29" s="11">
        <f t="shared" si="16"/>
        <v>0</v>
      </c>
      <c r="AO29" s="11">
        <f t="shared" si="87"/>
        <v>0</v>
      </c>
      <c r="AP29" s="11">
        <f t="shared" si="17"/>
        <v>0</v>
      </c>
      <c r="AQ29" s="100">
        <v>32616.65</v>
      </c>
      <c r="AR29" s="11">
        <f t="shared" si="18"/>
        <v>34.587546635948812</v>
      </c>
      <c r="AS29" s="11">
        <f t="shared" si="57"/>
        <v>420586.10143502057</v>
      </c>
      <c r="AT29" s="11">
        <f t="shared" si="19"/>
        <v>33.746514182545177</v>
      </c>
      <c r="AU29" s="100">
        <v>5211.68</v>
      </c>
      <c r="AV29" s="11" t="e">
        <f t="shared" si="20"/>
        <v>#DIV/0!</v>
      </c>
      <c r="AW29" s="11">
        <f t="shared" si="58"/>
        <v>72444.366938229708</v>
      </c>
      <c r="AX29" s="11" t="e">
        <f t="shared" si="21"/>
        <v>#DIV/0!</v>
      </c>
      <c r="AY29" s="101">
        <v>0</v>
      </c>
      <c r="AZ29" s="11">
        <f t="shared" si="22"/>
        <v>0</v>
      </c>
      <c r="BA29" s="11">
        <f t="shared" si="59"/>
        <v>25620</v>
      </c>
      <c r="BB29" s="11">
        <f t="shared" si="23"/>
        <v>2.0556687213554623</v>
      </c>
      <c r="BC29" s="100"/>
      <c r="BD29" s="11">
        <f t="shared" si="60"/>
        <v>0</v>
      </c>
      <c r="BE29" s="11">
        <f t="shared" si="61"/>
        <v>0</v>
      </c>
      <c r="BF29" s="11">
        <f t="shared" si="62"/>
        <v>0</v>
      </c>
      <c r="BG29" s="100">
        <v>31288.34</v>
      </c>
      <c r="BH29" s="11">
        <f t="shared" si="63"/>
        <v>33.178972056033423</v>
      </c>
      <c r="BI29" s="11">
        <f t="shared" si="64"/>
        <v>409038.52685060678</v>
      </c>
      <c r="BJ29" s="11">
        <f t="shared" si="65"/>
        <v>32.819972891339141</v>
      </c>
      <c r="BK29" s="100"/>
      <c r="BL29" s="11">
        <f t="shared" si="66"/>
        <v>0</v>
      </c>
      <c r="BM29" s="11">
        <f t="shared" si="67"/>
        <v>0</v>
      </c>
      <c r="BN29" s="11">
        <f t="shared" si="68"/>
        <v>0</v>
      </c>
      <c r="BO29" s="100"/>
      <c r="BP29" s="11">
        <f t="shared" si="24"/>
        <v>0</v>
      </c>
      <c r="BQ29" s="11">
        <f t="shared" si="69"/>
        <v>0</v>
      </c>
      <c r="BR29" s="11">
        <f t="shared" si="25"/>
        <v>0</v>
      </c>
      <c r="BS29" s="101">
        <v>0</v>
      </c>
      <c r="BT29" s="11">
        <f t="shared" si="26"/>
        <v>0</v>
      </c>
      <c r="BU29" s="11">
        <f t="shared" si="70"/>
        <v>60630</v>
      </c>
      <c r="BV29" s="11">
        <f t="shared" si="27"/>
        <v>4.8647616930437811</v>
      </c>
      <c r="BW29" s="100"/>
      <c r="BX29" s="11">
        <f t="shared" si="28"/>
        <v>0</v>
      </c>
      <c r="BY29" s="11">
        <f t="shared" si="71"/>
        <v>0</v>
      </c>
      <c r="BZ29" s="11">
        <f t="shared" si="29"/>
        <v>0</v>
      </c>
      <c r="CA29" s="100"/>
      <c r="CB29" s="11">
        <f t="shared" si="30"/>
        <v>0</v>
      </c>
      <c r="CC29" s="11">
        <f t="shared" si="72"/>
        <v>21194.865492624864</v>
      </c>
      <c r="CD29" s="11">
        <f t="shared" si="31"/>
        <v>1.7006097598175316</v>
      </c>
      <c r="CE29" s="100">
        <v>3288.56</v>
      </c>
      <c r="CF29" s="11">
        <f t="shared" si="32"/>
        <v>3.4872748232916568</v>
      </c>
      <c r="CG29" s="11">
        <f t="shared" si="73"/>
        <v>30955.337772652329</v>
      </c>
      <c r="CH29" s="11">
        <f t="shared" si="33"/>
        <v>2.4837595479404628</v>
      </c>
      <c r="CI29" s="100"/>
      <c r="CJ29" s="11">
        <f t="shared" si="34"/>
        <v>0</v>
      </c>
      <c r="CK29" s="11">
        <f t="shared" si="74"/>
        <v>0</v>
      </c>
      <c r="CL29" s="11">
        <f t="shared" si="35"/>
        <v>0</v>
      </c>
      <c r="CM29" s="100">
        <v>4724.1499999999996</v>
      </c>
      <c r="CN29" s="11">
        <f t="shared" si="36"/>
        <v>5.0096119141670759</v>
      </c>
      <c r="CO29" s="11">
        <f t="shared" si="75"/>
        <v>82372.320776969282</v>
      </c>
      <c r="CP29" s="11">
        <f t="shared" si="37"/>
        <v>6.6092975537343657</v>
      </c>
      <c r="CQ29" s="100">
        <v>900.28</v>
      </c>
      <c r="CR29" s="11">
        <f t="shared" si="38"/>
        <v>0.95468040051360248</v>
      </c>
      <c r="CS29" s="11">
        <f t="shared" si="76"/>
        <v>9563.8532326598106</v>
      </c>
      <c r="CT29" s="11">
        <f t="shared" si="39"/>
        <v>0.76737369032057368</v>
      </c>
      <c r="CU29" s="100">
        <f t="shared" si="40"/>
        <v>78029.66</v>
      </c>
      <c r="CV29" s="11">
        <f t="shared" si="41"/>
        <v>82.744687275892204</v>
      </c>
      <c r="CW29" s="11">
        <f t="shared" si="77"/>
        <v>1132405.3724987633</v>
      </c>
      <c r="CX29" s="11">
        <f t="shared" si="42"/>
        <v>90.86066760892227</v>
      </c>
      <c r="CY29" s="100"/>
      <c r="CZ29" s="17">
        <f t="shared" si="43"/>
        <v>0</v>
      </c>
      <c r="DA29" s="11">
        <f t="shared" si="78"/>
        <v>0</v>
      </c>
      <c r="DB29" s="11">
        <f t="shared" si="44"/>
        <v>0</v>
      </c>
      <c r="DC29" s="11">
        <v>0</v>
      </c>
      <c r="DD29" s="11">
        <f t="shared" si="45"/>
        <v>0</v>
      </c>
      <c r="DE29" s="11">
        <f t="shared" si="79"/>
        <v>0</v>
      </c>
      <c r="DF29" s="11">
        <f t="shared" si="46"/>
        <v>0</v>
      </c>
      <c r="DG29" s="11">
        <f t="shared" si="80"/>
        <v>94301.716</v>
      </c>
      <c r="DH29" s="11">
        <f t="shared" si="81"/>
        <v>1246309.7644987633</v>
      </c>
      <c r="DI29" s="11">
        <f t="shared" si="47"/>
        <v>1.3989899565327044</v>
      </c>
      <c r="DJ29" s="11">
        <f t="shared" si="48"/>
        <v>1.2159570447477699</v>
      </c>
      <c r="DK29" s="504">
        <f t="shared" si="82"/>
        <v>0.8638638179379482</v>
      </c>
      <c r="DL29" s="505">
        <f t="shared" si="83"/>
        <v>0.90511933702532765</v>
      </c>
      <c r="DM29" s="506" t="str">
        <f>+Efficiency1!D101</f>
        <v>RC HW</v>
      </c>
    </row>
    <row r="30" spans="1:117">
      <c r="A30" s="18">
        <f>+Chem!A29</f>
        <v>46012</v>
      </c>
      <c r="B30" s="6" t="str">
        <f>+Chem!B29</f>
        <v>Towel</v>
      </c>
      <c r="C30" s="6" t="str">
        <f>+Chem!C29</f>
        <v>31,5</v>
      </c>
      <c r="D30" s="9">
        <f>+Chem!D29</f>
        <v>68.177999999999997</v>
      </c>
      <c r="E30" s="7">
        <f>+Chem!E29</f>
        <v>67.566999999999993</v>
      </c>
      <c r="F30" s="7">
        <f t="shared" si="84"/>
        <v>1092.5289999999998</v>
      </c>
      <c r="G30" s="100"/>
      <c r="H30" s="11">
        <f t="shared" si="0"/>
        <v>0</v>
      </c>
      <c r="I30" s="9">
        <f t="shared" si="49"/>
        <v>0</v>
      </c>
      <c r="J30" s="11">
        <f t="shared" si="1"/>
        <v>0</v>
      </c>
      <c r="K30" s="100"/>
      <c r="L30" s="11">
        <f t="shared" si="2"/>
        <v>0</v>
      </c>
      <c r="M30" s="11">
        <f t="shared" si="50"/>
        <v>0</v>
      </c>
      <c r="N30" s="11">
        <f t="shared" si="3"/>
        <v>0</v>
      </c>
      <c r="O30" s="100">
        <f>92*O7</f>
        <v>19697.752</v>
      </c>
      <c r="P30" s="11">
        <f t="shared" si="4"/>
        <v>22.56898610652922</v>
      </c>
      <c r="Q30" s="11">
        <f t="shared" si="51"/>
        <v>133602.144</v>
      </c>
      <c r="R30" s="11">
        <f t="shared" si="5"/>
        <v>10.018249340009859</v>
      </c>
      <c r="S30" s="100"/>
      <c r="T30" s="11">
        <f t="shared" si="6"/>
        <v>0</v>
      </c>
      <c r="U30" s="11">
        <f t="shared" si="52"/>
        <v>0</v>
      </c>
      <c r="V30" s="11">
        <f t="shared" si="7"/>
        <v>0</v>
      </c>
      <c r="W30" s="100"/>
      <c r="X30" s="11">
        <f t="shared" si="8"/>
        <v>0</v>
      </c>
      <c r="Y30" s="11">
        <f t="shared" si="53"/>
        <v>0</v>
      </c>
      <c r="Z30" s="11">
        <f t="shared" si="9"/>
        <v>0</v>
      </c>
      <c r="AA30" s="11">
        <f t="shared" si="54"/>
        <v>19697.752</v>
      </c>
      <c r="AB30" s="11">
        <f t="shared" si="10"/>
        <v>22.56898610652922</v>
      </c>
      <c r="AC30" s="11">
        <f t="shared" si="55"/>
        <v>133602.144</v>
      </c>
      <c r="AD30" s="11">
        <f t="shared" si="11"/>
        <v>10.018249340009859</v>
      </c>
      <c r="AE30" s="11"/>
      <c r="AF30" s="11">
        <f t="shared" si="12"/>
        <v>0</v>
      </c>
      <c r="AG30" s="11">
        <f t="shared" si="85"/>
        <v>0</v>
      </c>
      <c r="AH30" s="11">
        <f t="shared" si="13"/>
        <v>0</v>
      </c>
      <c r="AI30" s="11"/>
      <c r="AJ30" s="11">
        <f t="shared" si="14"/>
        <v>0</v>
      </c>
      <c r="AK30" s="11">
        <f t="shared" si="86"/>
        <v>0</v>
      </c>
      <c r="AL30" s="11">
        <f t="shared" si="15"/>
        <v>0</v>
      </c>
      <c r="AM30" s="11">
        <f t="shared" si="56"/>
        <v>0</v>
      </c>
      <c r="AN30" s="11">
        <f t="shared" si="16"/>
        <v>0</v>
      </c>
      <c r="AO30" s="11">
        <f t="shared" si="87"/>
        <v>0</v>
      </c>
      <c r="AP30" s="11">
        <f t="shared" si="17"/>
        <v>0</v>
      </c>
      <c r="AQ30" s="100">
        <v>28032.04</v>
      </c>
      <c r="AR30" s="11">
        <f t="shared" si="18"/>
        <v>32.118117909986452</v>
      </c>
      <c r="AS30" s="11">
        <f t="shared" si="57"/>
        <v>448618.14143502055</v>
      </c>
      <c r="AT30" s="11">
        <f t="shared" si="19"/>
        <v>33.639942180477611</v>
      </c>
      <c r="AU30" s="100">
        <v>4585.33</v>
      </c>
      <c r="AV30" s="11" t="e">
        <f t="shared" si="20"/>
        <v>#DIV/0!</v>
      </c>
      <c r="AW30" s="11">
        <f t="shared" si="58"/>
        <v>77029.69693822971</v>
      </c>
      <c r="AX30" s="11" t="e">
        <f t="shared" si="21"/>
        <v>#DIV/0!</v>
      </c>
      <c r="AY30" s="101">
        <v>0</v>
      </c>
      <c r="AZ30" s="11">
        <f t="shared" si="22"/>
        <v>0</v>
      </c>
      <c r="BA30" s="11">
        <f t="shared" si="59"/>
        <v>25620</v>
      </c>
      <c r="BB30" s="11">
        <f t="shared" si="23"/>
        <v>1.9211334519530807</v>
      </c>
      <c r="BC30" s="100"/>
      <c r="BD30" s="11">
        <f t="shared" si="60"/>
        <v>0</v>
      </c>
      <c r="BE30" s="11">
        <f t="shared" si="61"/>
        <v>0</v>
      </c>
      <c r="BF30" s="11">
        <f t="shared" si="62"/>
        <v>0</v>
      </c>
      <c r="BG30" s="100">
        <v>26846.19</v>
      </c>
      <c r="BH30" s="11">
        <f t="shared" si="63"/>
        <v>30.759413009324295</v>
      </c>
      <c r="BI30" s="11">
        <f t="shared" si="64"/>
        <v>435884.71685060678</v>
      </c>
      <c r="BJ30" s="11">
        <f t="shared" si="65"/>
        <v>32.685117515097481</v>
      </c>
      <c r="BK30" s="100"/>
      <c r="BL30" s="11">
        <f t="shared" si="66"/>
        <v>0</v>
      </c>
      <c r="BM30" s="11">
        <f t="shared" si="67"/>
        <v>0</v>
      </c>
      <c r="BN30" s="11">
        <f t="shared" si="68"/>
        <v>0</v>
      </c>
      <c r="BO30" s="100"/>
      <c r="BP30" s="11">
        <f t="shared" si="24"/>
        <v>0</v>
      </c>
      <c r="BQ30" s="11">
        <f t="shared" si="69"/>
        <v>0</v>
      </c>
      <c r="BR30" s="11">
        <f t="shared" si="25"/>
        <v>0</v>
      </c>
      <c r="BS30" s="101">
        <v>0</v>
      </c>
      <c r="BT30" s="11">
        <f t="shared" si="26"/>
        <v>0</v>
      </c>
      <c r="BU30" s="11">
        <f t="shared" si="70"/>
        <v>60630</v>
      </c>
      <c r="BV30" s="11">
        <f t="shared" si="27"/>
        <v>4.5463825601840471</v>
      </c>
      <c r="BW30" s="100"/>
      <c r="BX30" s="11">
        <f t="shared" si="28"/>
        <v>0</v>
      </c>
      <c r="BY30" s="11">
        <f t="shared" si="71"/>
        <v>0</v>
      </c>
      <c r="BZ30" s="11">
        <f t="shared" si="29"/>
        <v>0</v>
      </c>
      <c r="CA30" s="100"/>
      <c r="CB30" s="11">
        <f t="shared" si="30"/>
        <v>0</v>
      </c>
      <c r="CC30" s="11">
        <f t="shared" si="72"/>
        <v>21194.865492624864</v>
      </c>
      <c r="CD30" s="11">
        <f t="shared" si="31"/>
        <v>1.5893116747668867</v>
      </c>
      <c r="CE30" s="100">
        <v>3537.97</v>
      </c>
      <c r="CF30" s="11">
        <f t="shared" si="32"/>
        <v>4.0536806319481116</v>
      </c>
      <c r="CG30" s="11">
        <f t="shared" si="73"/>
        <v>34493.307772652326</v>
      </c>
      <c r="CH30" s="11">
        <f t="shared" si="33"/>
        <v>2.5865045835501794</v>
      </c>
      <c r="CI30" s="100"/>
      <c r="CJ30" s="11">
        <f t="shared" si="34"/>
        <v>0</v>
      </c>
      <c r="CK30" s="11">
        <f t="shared" si="74"/>
        <v>0</v>
      </c>
      <c r="CL30" s="11">
        <f t="shared" si="35"/>
        <v>0</v>
      </c>
      <c r="CM30" s="100">
        <v>4007.4839087185492</v>
      </c>
      <c r="CN30" s="11">
        <f t="shared" si="36"/>
        <v>4.5916330278708122</v>
      </c>
      <c r="CO30" s="11">
        <f t="shared" si="75"/>
        <v>86379.804685687835</v>
      </c>
      <c r="CP30" s="11">
        <f t="shared" si="37"/>
        <v>6.4772495064343625</v>
      </c>
      <c r="CQ30" s="100">
        <v>571.20000000000005</v>
      </c>
      <c r="CR30" s="11">
        <f t="shared" si="38"/>
        <v>0.65446071531662553</v>
      </c>
      <c r="CS30" s="11">
        <f t="shared" si="76"/>
        <v>10135.053232659811</v>
      </c>
      <c r="CT30" s="11">
        <f t="shared" si="39"/>
        <v>0.75998398917205212</v>
      </c>
      <c r="CU30" s="100">
        <f t="shared" si="40"/>
        <v>67580.21390871855</v>
      </c>
      <c r="CV30" s="11">
        <f t="shared" si="41"/>
        <v>77.431013893470762</v>
      </c>
      <c r="CW30" s="11">
        <f t="shared" si="77"/>
        <v>1199985.5864074817</v>
      </c>
      <c r="CX30" s="11">
        <f t="shared" si="42"/>
        <v>89.981750659990141</v>
      </c>
      <c r="CY30" s="100"/>
      <c r="CZ30" s="17">
        <f t="shared" si="43"/>
        <v>0</v>
      </c>
      <c r="DA30" s="11">
        <f t="shared" si="78"/>
        <v>0</v>
      </c>
      <c r="DB30" s="11">
        <f t="shared" si="44"/>
        <v>0</v>
      </c>
      <c r="DC30" s="11">
        <v>0</v>
      </c>
      <c r="DD30" s="11">
        <f t="shared" si="45"/>
        <v>0</v>
      </c>
      <c r="DE30" s="11">
        <f t="shared" si="79"/>
        <v>0</v>
      </c>
      <c r="DF30" s="11">
        <f t="shared" si="46"/>
        <v>0</v>
      </c>
      <c r="DG30" s="11">
        <f t="shared" si="80"/>
        <v>87277.965908718557</v>
      </c>
      <c r="DH30" s="11">
        <f t="shared" si="81"/>
        <v>1333587.7304074818</v>
      </c>
      <c r="DI30" s="11">
        <f t="shared" si="47"/>
        <v>1.2917247459369006</v>
      </c>
      <c r="DJ30" s="11">
        <f t="shared" si="48"/>
        <v>1.2206428666035245</v>
      </c>
      <c r="DK30" s="504">
        <f t="shared" si="82"/>
        <v>0.999804470747364</v>
      </c>
      <c r="DL30" s="505">
        <f t="shared" si="83"/>
        <v>0.91045176906733893</v>
      </c>
      <c r="DM30" s="7" t="str">
        <f>+Efficiency1!D106</f>
        <v>RC HW</v>
      </c>
    </row>
    <row r="31" spans="1:117">
      <c r="A31" s="18">
        <f>+Chem!A30</f>
        <v>46013</v>
      </c>
      <c r="B31" s="6" t="str">
        <f>+Chem!B30</f>
        <v>Towel</v>
      </c>
      <c r="C31" s="6" t="str">
        <f>+Chem!C30</f>
        <v>31,5/32/33,5/34</v>
      </c>
      <c r="D31" s="9">
        <f>+Chem!D30</f>
        <v>73.667000000000002</v>
      </c>
      <c r="E31" s="7">
        <f>+Chem!E30</f>
        <v>72.754999999999995</v>
      </c>
      <c r="F31" s="7">
        <f t="shared" si="84"/>
        <v>1165.2839999999997</v>
      </c>
      <c r="G31" s="100"/>
      <c r="H31" s="11">
        <f t="shared" si="0"/>
        <v>0</v>
      </c>
      <c r="I31" s="9">
        <f t="shared" si="49"/>
        <v>0</v>
      </c>
      <c r="J31" s="11">
        <f t="shared" si="1"/>
        <v>0</v>
      </c>
      <c r="K31" s="100"/>
      <c r="L31" s="11">
        <f t="shared" si="2"/>
        <v>0</v>
      </c>
      <c r="M31" s="11">
        <f t="shared" si="50"/>
        <v>0</v>
      </c>
      <c r="N31" s="11">
        <f t="shared" si="3"/>
        <v>0</v>
      </c>
      <c r="O31" s="100">
        <f>20*O7</f>
        <v>4282.12</v>
      </c>
      <c r="P31" s="11">
        <f t="shared" si="4"/>
        <v>5.2530225719567625</v>
      </c>
      <c r="Q31" s="11">
        <f t="shared" si="51"/>
        <v>137884.264</v>
      </c>
      <c r="R31" s="11">
        <f t="shared" si="5"/>
        <v>9.7437479947076291</v>
      </c>
      <c r="S31" s="100"/>
      <c r="T31" s="11">
        <f t="shared" si="6"/>
        <v>0</v>
      </c>
      <c r="U31" s="11">
        <f t="shared" si="52"/>
        <v>0</v>
      </c>
      <c r="V31" s="11">
        <f t="shared" si="7"/>
        <v>0</v>
      </c>
      <c r="W31" s="100"/>
      <c r="X31" s="11">
        <f t="shared" si="8"/>
        <v>0</v>
      </c>
      <c r="Y31" s="11">
        <f t="shared" si="53"/>
        <v>0</v>
      </c>
      <c r="Z31" s="11">
        <f t="shared" si="9"/>
        <v>0</v>
      </c>
      <c r="AA31" s="11">
        <f t="shared" si="54"/>
        <v>4282.12</v>
      </c>
      <c r="AB31" s="11">
        <f t="shared" si="10"/>
        <v>5.2530225719567625</v>
      </c>
      <c r="AC31" s="11">
        <f t="shared" si="55"/>
        <v>137884.264</v>
      </c>
      <c r="AD31" s="11">
        <f t="shared" si="11"/>
        <v>9.7437479947076291</v>
      </c>
      <c r="AE31" s="11"/>
      <c r="AF31" s="11">
        <f t="shared" si="12"/>
        <v>0</v>
      </c>
      <c r="AG31" s="11">
        <f t="shared" si="85"/>
        <v>0</v>
      </c>
      <c r="AH31" s="11">
        <f t="shared" si="13"/>
        <v>0</v>
      </c>
      <c r="AI31" s="11"/>
      <c r="AJ31" s="11">
        <f t="shared" si="14"/>
        <v>0</v>
      </c>
      <c r="AK31" s="11">
        <f t="shared" si="86"/>
        <v>0</v>
      </c>
      <c r="AL31" s="11">
        <f t="shared" si="15"/>
        <v>0</v>
      </c>
      <c r="AM31" s="11">
        <f t="shared" si="56"/>
        <v>0</v>
      </c>
      <c r="AN31" s="11">
        <f t="shared" si="16"/>
        <v>0</v>
      </c>
      <c r="AO31" s="11">
        <f t="shared" si="87"/>
        <v>0</v>
      </c>
      <c r="AP31" s="11">
        <f t="shared" si="17"/>
        <v>0</v>
      </c>
      <c r="AQ31" s="100">
        <v>32120.993576238099</v>
      </c>
      <c r="AR31" s="11">
        <f t="shared" si="18"/>
        <v>39.403917753275699</v>
      </c>
      <c r="AS31" s="11">
        <f t="shared" si="57"/>
        <v>480739.13501125865</v>
      </c>
      <c r="AT31" s="11">
        <f t="shared" si="19"/>
        <v>33.971976546529135</v>
      </c>
      <c r="AU31" s="100">
        <v>5080.2882953382577</v>
      </c>
      <c r="AV31" s="11" t="e">
        <f t="shared" si="20"/>
        <v>#DIV/0!</v>
      </c>
      <c r="AW31" s="11">
        <f t="shared" si="58"/>
        <v>82109.985233567975</v>
      </c>
      <c r="AX31" s="11" t="e">
        <f t="shared" si="21"/>
        <v>#DIV/0!</v>
      </c>
      <c r="AY31" s="101">
        <v>0</v>
      </c>
      <c r="AZ31" s="11">
        <f t="shared" si="22"/>
        <v>0</v>
      </c>
      <c r="BA31" s="11">
        <f t="shared" si="59"/>
        <v>25620</v>
      </c>
      <c r="BB31" s="11">
        <f t="shared" si="23"/>
        <v>1.8104663750782284</v>
      </c>
      <c r="BC31" s="100"/>
      <c r="BD31" s="11">
        <f t="shared" si="60"/>
        <v>0</v>
      </c>
      <c r="BE31" s="11">
        <f t="shared" si="61"/>
        <v>0</v>
      </c>
      <c r="BF31" s="11">
        <f t="shared" si="62"/>
        <v>0</v>
      </c>
      <c r="BG31" s="100">
        <v>30753.691814218269</v>
      </c>
      <c r="BH31" s="11">
        <f t="shared" si="63"/>
        <v>37.726602073526784</v>
      </c>
      <c r="BI31" s="11">
        <f t="shared" si="64"/>
        <v>466638.40866482502</v>
      </c>
      <c r="BJ31" s="11">
        <f t="shared" si="65"/>
        <v>32.975532716927354</v>
      </c>
      <c r="BK31" s="100"/>
      <c r="BL31" s="11">
        <f t="shared" si="66"/>
        <v>0</v>
      </c>
      <c r="BM31" s="11">
        <f t="shared" si="67"/>
        <v>0</v>
      </c>
      <c r="BN31" s="11">
        <f t="shared" si="68"/>
        <v>0</v>
      </c>
      <c r="BO31" s="100"/>
      <c r="BP31" s="11">
        <f t="shared" si="24"/>
        <v>0</v>
      </c>
      <c r="BQ31" s="11">
        <f t="shared" si="69"/>
        <v>0</v>
      </c>
      <c r="BR31" s="11">
        <f t="shared" si="25"/>
        <v>0</v>
      </c>
      <c r="BS31" s="101">
        <v>0</v>
      </c>
      <c r="BT31" s="11">
        <f t="shared" si="26"/>
        <v>0</v>
      </c>
      <c r="BU31" s="11">
        <f t="shared" si="70"/>
        <v>60630</v>
      </c>
      <c r="BV31" s="11">
        <f t="shared" si="27"/>
        <v>4.2844877564790389</v>
      </c>
      <c r="BW31" s="100"/>
      <c r="BX31" s="11">
        <f t="shared" si="28"/>
        <v>0</v>
      </c>
      <c r="BY31" s="11">
        <f t="shared" si="71"/>
        <v>0</v>
      </c>
      <c r="BZ31" s="11">
        <f t="shared" si="29"/>
        <v>0</v>
      </c>
      <c r="CA31" s="100"/>
      <c r="CB31" s="11">
        <f t="shared" si="30"/>
        <v>0</v>
      </c>
      <c r="CC31" s="11">
        <f t="shared" si="72"/>
        <v>21194.865492624864</v>
      </c>
      <c r="CD31" s="11">
        <f t="shared" si="31"/>
        <v>1.4977592232124577</v>
      </c>
      <c r="CE31" s="100">
        <v>4250.2306362706058</v>
      </c>
      <c r="CF31" s="11">
        <f t="shared" si="32"/>
        <v>5.2139028024323579</v>
      </c>
      <c r="CG31" s="11">
        <f t="shared" si="73"/>
        <v>38743.538408922934</v>
      </c>
      <c r="CH31" s="11">
        <f t="shared" si="33"/>
        <v>2.7378561101056524</v>
      </c>
      <c r="CI31" s="100"/>
      <c r="CJ31" s="11">
        <f t="shared" si="34"/>
        <v>0</v>
      </c>
      <c r="CK31" s="11">
        <f t="shared" si="74"/>
        <v>0</v>
      </c>
      <c r="CL31" s="11">
        <f t="shared" si="35"/>
        <v>0</v>
      </c>
      <c r="CM31" s="100">
        <v>4906.4032522981934</v>
      </c>
      <c r="CN31" s="11">
        <f t="shared" si="36"/>
        <v>6.018852117979991</v>
      </c>
      <c r="CO31" s="11">
        <f t="shared" si="75"/>
        <v>91286.207937986022</v>
      </c>
      <c r="CP31" s="11">
        <f t="shared" si="37"/>
        <v>6.450843480879116</v>
      </c>
      <c r="CQ31" s="100">
        <v>123.53113417664915</v>
      </c>
      <c r="CR31" s="11">
        <f t="shared" si="38"/>
        <v>0.15153985319639746</v>
      </c>
      <c r="CS31" s="11">
        <f t="shared" si="76"/>
        <v>10258.58436683646</v>
      </c>
      <c r="CT31" s="11">
        <f t="shared" si="39"/>
        <v>0.7249345063255499</v>
      </c>
      <c r="CU31" s="100">
        <f t="shared" si="40"/>
        <v>77235.138708540078</v>
      </c>
      <c r="CV31" s="11">
        <f t="shared" si="41"/>
        <v>94.746977428043238</v>
      </c>
      <c r="CW31" s="11">
        <f t="shared" si="77"/>
        <v>1277220.7251160217</v>
      </c>
      <c r="CX31" s="11">
        <f t="shared" si="42"/>
        <v>90.256252005292353</v>
      </c>
      <c r="CY31" s="100">
        <v>0</v>
      </c>
      <c r="CZ31" s="17">
        <f t="shared" si="43"/>
        <v>0</v>
      </c>
      <c r="DA31" s="11">
        <f t="shared" si="78"/>
        <v>0</v>
      </c>
      <c r="DB31" s="11">
        <f t="shared" si="44"/>
        <v>0</v>
      </c>
      <c r="DC31" s="11">
        <v>0</v>
      </c>
      <c r="DD31" s="11">
        <f t="shared" si="45"/>
        <v>0</v>
      </c>
      <c r="DE31" s="11">
        <f t="shared" si="79"/>
        <v>0</v>
      </c>
      <c r="DF31" s="11">
        <f t="shared" si="46"/>
        <v>0</v>
      </c>
      <c r="DG31" s="11">
        <f t="shared" si="80"/>
        <v>81517.258708540074</v>
      </c>
      <c r="DH31" s="11">
        <f t="shared" si="81"/>
        <v>1415104.9891160219</v>
      </c>
      <c r="DI31" s="11">
        <f t="shared" si="47"/>
        <v>1.1204351413447884</v>
      </c>
      <c r="DJ31" s="11">
        <f t="shared" si="48"/>
        <v>1.2143863548422722</v>
      </c>
      <c r="DK31" s="504">
        <f t="shared" si="82"/>
        <v>0.9419935176727442</v>
      </c>
      <c r="DL31" s="505">
        <f t="shared" si="83"/>
        <v>0.91235913815456293</v>
      </c>
      <c r="DM31" s="7" t="str">
        <f>+Efficiency1!D110</f>
        <v>RC HW</v>
      </c>
    </row>
    <row r="32" spans="1:117">
      <c r="A32" s="18">
        <f>+Chem!A31</f>
        <v>46014</v>
      </c>
      <c r="B32" s="6" t="str">
        <f>+Chem!B31</f>
        <v>Towel</v>
      </c>
      <c r="C32" s="6" t="str">
        <f>+Chem!C31</f>
        <v>34</v>
      </c>
      <c r="D32" s="9">
        <f>+Chem!D31</f>
        <v>76.463999999999999</v>
      </c>
      <c r="E32" s="7">
        <f>+Chem!E31</f>
        <v>75.751999999999995</v>
      </c>
      <c r="F32" s="7">
        <f t="shared" si="84"/>
        <v>1241.0359999999996</v>
      </c>
      <c r="G32" s="100"/>
      <c r="H32" s="11">
        <f t="shared" si="0"/>
        <v>0</v>
      </c>
      <c r="I32" s="9">
        <f t="shared" si="49"/>
        <v>0</v>
      </c>
      <c r="J32" s="11">
        <f t="shared" si="1"/>
        <v>0</v>
      </c>
      <c r="K32" s="100"/>
      <c r="L32" s="11">
        <f t="shared" si="2"/>
        <v>0</v>
      </c>
      <c r="M32" s="11">
        <f t="shared" si="50"/>
        <v>0</v>
      </c>
      <c r="N32" s="11">
        <f t="shared" si="3"/>
        <v>0</v>
      </c>
      <c r="O32" s="100">
        <v>0</v>
      </c>
      <c r="P32" s="11">
        <f t="shared" si="4"/>
        <v>0</v>
      </c>
      <c r="Q32" s="11">
        <f t="shared" si="51"/>
        <v>137884.264</v>
      </c>
      <c r="R32" s="11">
        <f t="shared" si="5"/>
        <v>9.2012105837093134</v>
      </c>
      <c r="S32" s="100"/>
      <c r="T32" s="11">
        <f t="shared" si="6"/>
        <v>0</v>
      </c>
      <c r="U32" s="11">
        <f t="shared" si="52"/>
        <v>0</v>
      </c>
      <c r="V32" s="11">
        <f t="shared" si="7"/>
        <v>0</v>
      </c>
      <c r="W32" s="100"/>
      <c r="X32" s="11">
        <f t="shared" si="8"/>
        <v>0</v>
      </c>
      <c r="Y32" s="11">
        <f t="shared" si="53"/>
        <v>0</v>
      </c>
      <c r="Z32" s="11">
        <f t="shared" si="9"/>
        <v>0</v>
      </c>
      <c r="AA32" s="11">
        <f t="shared" si="54"/>
        <v>0</v>
      </c>
      <c r="AB32" s="11">
        <f t="shared" si="10"/>
        <v>0</v>
      </c>
      <c r="AC32" s="11">
        <f t="shared" si="55"/>
        <v>137884.264</v>
      </c>
      <c r="AD32" s="11">
        <f t="shared" si="11"/>
        <v>9.2012105837093134</v>
      </c>
      <c r="AE32" s="11"/>
      <c r="AF32" s="11">
        <f t="shared" si="12"/>
        <v>0</v>
      </c>
      <c r="AG32" s="11">
        <f t="shared" si="85"/>
        <v>0</v>
      </c>
      <c r="AH32" s="11">
        <f t="shared" si="13"/>
        <v>0</v>
      </c>
      <c r="AI32" s="11"/>
      <c r="AJ32" s="11">
        <f t="shared" si="14"/>
        <v>0</v>
      </c>
      <c r="AK32" s="11">
        <f t="shared" si="86"/>
        <v>0</v>
      </c>
      <c r="AL32" s="11">
        <f t="shared" si="15"/>
        <v>0</v>
      </c>
      <c r="AM32" s="11">
        <f t="shared" si="56"/>
        <v>0</v>
      </c>
      <c r="AN32" s="11">
        <f t="shared" si="16"/>
        <v>0</v>
      </c>
      <c r="AO32" s="11">
        <f t="shared" si="87"/>
        <v>0</v>
      </c>
      <c r="AP32" s="11">
        <f t="shared" si="17"/>
        <v>0</v>
      </c>
      <c r="AQ32" s="100">
        <v>33602.413813208506</v>
      </c>
      <c r="AR32" s="11">
        <f t="shared" si="18"/>
        <v>40.271433910406138</v>
      </c>
      <c r="AS32" s="11">
        <f t="shared" si="57"/>
        <v>514341.54882446717</v>
      </c>
      <c r="AT32" s="11">
        <f t="shared" si="19"/>
        <v>34.322733903015418</v>
      </c>
      <c r="AU32" s="100">
        <v>5112.2858761109128</v>
      </c>
      <c r="AV32" s="11" t="e">
        <f t="shared" si="20"/>
        <v>#DIV/0!</v>
      </c>
      <c r="AW32" s="11">
        <f t="shared" si="58"/>
        <v>87222.271109678884</v>
      </c>
      <c r="AX32" s="11" t="e">
        <f t="shared" si="21"/>
        <v>#DIV/0!</v>
      </c>
      <c r="AY32" s="101">
        <v>0</v>
      </c>
      <c r="AZ32" s="11">
        <f t="shared" si="22"/>
        <v>0</v>
      </c>
      <c r="BA32" s="11">
        <f t="shared" si="59"/>
        <v>25620</v>
      </c>
      <c r="BB32" s="11">
        <f t="shared" si="23"/>
        <v>1.7096585811607379</v>
      </c>
      <c r="BC32" s="100"/>
      <c r="BD32" s="11">
        <f t="shared" si="60"/>
        <v>0</v>
      </c>
      <c r="BE32" s="11">
        <f t="shared" si="61"/>
        <v>0</v>
      </c>
      <c r="BF32" s="11">
        <f t="shared" si="62"/>
        <v>0</v>
      </c>
      <c r="BG32" s="100">
        <v>32621.694375265495</v>
      </c>
      <c r="BH32" s="11">
        <f t="shared" si="63"/>
        <v>39.096072573291487</v>
      </c>
      <c r="BI32" s="11">
        <f t="shared" si="64"/>
        <v>499260.10304009053</v>
      </c>
      <c r="BJ32" s="11">
        <f t="shared" si="65"/>
        <v>33.316327845186763</v>
      </c>
      <c r="BK32" s="100"/>
      <c r="BL32" s="11">
        <f t="shared" si="66"/>
        <v>0</v>
      </c>
      <c r="BM32" s="11">
        <f t="shared" si="67"/>
        <v>0</v>
      </c>
      <c r="BN32" s="11">
        <f t="shared" si="68"/>
        <v>0</v>
      </c>
      <c r="BO32" s="100"/>
      <c r="BP32" s="11">
        <f t="shared" si="24"/>
        <v>0</v>
      </c>
      <c r="BQ32" s="11">
        <f t="shared" si="69"/>
        <v>0</v>
      </c>
      <c r="BR32" s="11">
        <f t="shared" si="25"/>
        <v>0</v>
      </c>
      <c r="BS32" s="101">
        <v>0</v>
      </c>
      <c r="BT32" s="11">
        <f t="shared" si="26"/>
        <v>0</v>
      </c>
      <c r="BU32" s="11">
        <f t="shared" si="70"/>
        <v>60630</v>
      </c>
      <c r="BV32" s="11">
        <f t="shared" si="27"/>
        <v>4.0459250497960788</v>
      </c>
      <c r="BW32" s="100"/>
      <c r="BX32" s="11">
        <f t="shared" si="28"/>
        <v>0</v>
      </c>
      <c r="BY32" s="11">
        <f t="shared" si="71"/>
        <v>0</v>
      </c>
      <c r="BZ32" s="11">
        <f t="shared" si="29"/>
        <v>0</v>
      </c>
      <c r="CA32" s="100"/>
      <c r="CB32" s="11">
        <f t="shared" si="30"/>
        <v>0</v>
      </c>
      <c r="CC32" s="11">
        <f t="shared" si="72"/>
        <v>21194.865492624864</v>
      </c>
      <c r="CD32" s="11">
        <f t="shared" si="31"/>
        <v>1.4143631407499497</v>
      </c>
      <c r="CE32" s="100">
        <v>4432.1282452794039</v>
      </c>
      <c r="CF32" s="11">
        <f t="shared" si="32"/>
        <v>5.3117660149180512</v>
      </c>
      <c r="CG32" s="11">
        <f t="shared" si="73"/>
        <v>43175.666654202338</v>
      </c>
      <c r="CH32" s="11">
        <f t="shared" si="33"/>
        <v>2.8811728724704353</v>
      </c>
      <c r="CI32" s="100"/>
      <c r="CJ32" s="11">
        <f t="shared" si="34"/>
        <v>0</v>
      </c>
      <c r="CK32" s="11">
        <f t="shared" si="74"/>
        <v>0</v>
      </c>
      <c r="CL32" s="11">
        <f t="shared" si="35"/>
        <v>0</v>
      </c>
      <c r="CM32" s="100">
        <v>5875.2813200176588</v>
      </c>
      <c r="CN32" s="11">
        <f t="shared" si="36"/>
        <v>7.0413394912459921</v>
      </c>
      <c r="CO32" s="11">
        <f t="shared" si="75"/>
        <v>97161.489258003683</v>
      </c>
      <c r="CP32" s="11">
        <f t="shared" si="37"/>
        <v>6.4837226334232181</v>
      </c>
      <c r="CQ32" s="100">
        <v>1796.0209563631215</v>
      </c>
      <c r="CR32" s="11">
        <f t="shared" si="38"/>
        <v>2.1524745111451158</v>
      </c>
      <c r="CS32" s="11">
        <f t="shared" si="76"/>
        <v>12054.605323199581</v>
      </c>
      <c r="CT32" s="11">
        <f t="shared" si="39"/>
        <v>0.80442074290843391</v>
      </c>
      <c r="CU32" s="100">
        <f t="shared" si="40"/>
        <v>83439.8245862451</v>
      </c>
      <c r="CV32" s="11">
        <f t="shared" si="41"/>
        <v>100</v>
      </c>
      <c r="CW32" s="11">
        <f t="shared" si="77"/>
        <v>1360660.5497022667</v>
      </c>
      <c r="CX32" s="11">
        <f t="shared" si="42"/>
        <v>90.798789416290674</v>
      </c>
      <c r="CY32" s="100">
        <v>0</v>
      </c>
      <c r="CZ32" s="17">
        <f t="shared" si="43"/>
        <v>0</v>
      </c>
      <c r="DA32" s="11">
        <f t="shared" si="78"/>
        <v>0</v>
      </c>
      <c r="DB32" s="11">
        <f t="shared" si="44"/>
        <v>0</v>
      </c>
      <c r="DC32" s="11">
        <v>0</v>
      </c>
      <c r="DD32" s="11">
        <f t="shared" si="45"/>
        <v>0</v>
      </c>
      <c r="DE32" s="11">
        <f t="shared" si="79"/>
        <v>0</v>
      </c>
      <c r="DF32" s="11">
        <f t="shared" si="46"/>
        <v>0</v>
      </c>
      <c r="DG32" s="11">
        <f t="shared" si="80"/>
        <v>83439.8245862451</v>
      </c>
      <c r="DH32" s="11">
        <f t="shared" si="81"/>
        <v>1498544.8137022669</v>
      </c>
      <c r="DI32" s="11">
        <f t="shared" si="47"/>
        <v>1.1014867539635271</v>
      </c>
      <c r="DJ32" s="11">
        <f t="shared" si="48"/>
        <v>1.2074950393882751</v>
      </c>
      <c r="DK32" s="504">
        <f t="shared" si="82"/>
        <v>0.90786384529968889</v>
      </c>
      <c r="DL32" s="505">
        <f t="shared" si="83"/>
        <v>0.91208347318628236</v>
      </c>
      <c r="DM32" s="7" t="str">
        <f>+Efficiency1!D111</f>
        <v>RC HW</v>
      </c>
    </row>
    <row r="33" spans="1:117">
      <c r="A33" s="18">
        <f>+Chem!A32</f>
        <v>46015</v>
      </c>
      <c r="B33" s="6" t="str">
        <f>+Chem!B32</f>
        <v>Towel</v>
      </c>
      <c r="C33" s="6" t="str">
        <f>+Chem!C32</f>
        <v>34/35,5</v>
      </c>
      <c r="D33" s="9">
        <f>+Chem!D32</f>
        <v>74.287999999999997</v>
      </c>
      <c r="E33" s="7">
        <f>+Chem!E32</f>
        <v>75.150999999999996</v>
      </c>
      <c r="F33" s="7">
        <f t="shared" si="84"/>
        <v>1316.1869999999997</v>
      </c>
      <c r="G33" s="100"/>
      <c r="H33" s="11">
        <f t="shared" si="0"/>
        <v>0</v>
      </c>
      <c r="I33" s="9">
        <f t="shared" si="49"/>
        <v>0</v>
      </c>
      <c r="J33" s="11">
        <f t="shared" si="1"/>
        <v>0</v>
      </c>
      <c r="K33" s="100"/>
      <c r="L33" s="11">
        <f t="shared" si="2"/>
        <v>0</v>
      </c>
      <c r="M33" s="11">
        <f t="shared" si="50"/>
        <v>0</v>
      </c>
      <c r="N33" s="11">
        <f t="shared" si="3"/>
        <v>0</v>
      </c>
      <c r="O33" s="100">
        <v>0</v>
      </c>
      <c r="P33" s="11">
        <f t="shared" si="4"/>
        <v>0</v>
      </c>
      <c r="Q33" s="11">
        <f t="shared" si="51"/>
        <v>137884.264</v>
      </c>
      <c r="R33" s="11">
        <f t="shared" si="5"/>
        <v>8.7426862895888355</v>
      </c>
      <c r="S33" s="100"/>
      <c r="T33" s="11">
        <f t="shared" si="6"/>
        <v>0</v>
      </c>
      <c r="U33" s="11">
        <f t="shared" si="52"/>
        <v>0</v>
      </c>
      <c r="V33" s="11">
        <f t="shared" si="7"/>
        <v>0</v>
      </c>
      <c r="W33" s="100"/>
      <c r="X33" s="11">
        <f t="shared" si="8"/>
        <v>0</v>
      </c>
      <c r="Y33" s="11">
        <f t="shared" si="53"/>
        <v>0</v>
      </c>
      <c r="Z33" s="11">
        <f t="shared" si="9"/>
        <v>0</v>
      </c>
      <c r="AA33" s="11">
        <f t="shared" si="54"/>
        <v>0</v>
      </c>
      <c r="AB33" s="11">
        <f t="shared" si="10"/>
        <v>0</v>
      </c>
      <c r="AC33" s="11">
        <f t="shared" si="55"/>
        <v>137884.264</v>
      </c>
      <c r="AD33" s="11">
        <f t="shared" si="11"/>
        <v>8.7426862895888355</v>
      </c>
      <c r="AE33" s="11"/>
      <c r="AF33" s="11">
        <f t="shared" si="12"/>
        <v>0</v>
      </c>
      <c r="AG33" s="11">
        <f t="shared" si="85"/>
        <v>0</v>
      </c>
      <c r="AH33" s="11">
        <f t="shared" si="13"/>
        <v>0</v>
      </c>
      <c r="AI33" s="11"/>
      <c r="AJ33" s="11">
        <f t="shared" si="14"/>
        <v>0</v>
      </c>
      <c r="AK33" s="11">
        <f t="shared" si="86"/>
        <v>0</v>
      </c>
      <c r="AL33" s="11">
        <f t="shared" si="15"/>
        <v>0</v>
      </c>
      <c r="AM33" s="11">
        <f t="shared" si="56"/>
        <v>0</v>
      </c>
      <c r="AN33" s="11">
        <f t="shared" si="16"/>
        <v>0</v>
      </c>
      <c r="AO33" s="11">
        <f t="shared" si="87"/>
        <v>0</v>
      </c>
      <c r="AP33" s="11">
        <f t="shared" si="17"/>
        <v>0</v>
      </c>
      <c r="AQ33" s="100">
        <v>32069.02865586929</v>
      </c>
      <c r="AR33" s="11">
        <f t="shared" si="18"/>
        <v>40.803612526387631</v>
      </c>
      <c r="AS33" s="11">
        <f t="shared" si="57"/>
        <v>546410.57748033642</v>
      </c>
      <c r="AT33" s="11">
        <f t="shared" si="19"/>
        <v>34.645695786022799</v>
      </c>
      <c r="AU33" s="100">
        <v>4696.6796806125794</v>
      </c>
      <c r="AV33" s="11" t="e">
        <f t="shared" si="20"/>
        <v>#DIV/0!</v>
      </c>
      <c r="AW33" s="11">
        <f t="shared" si="58"/>
        <v>91918.950790291463</v>
      </c>
      <c r="AX33" s="11" t="e">
        <f t="shared" si="21"/>
        <v>#DIV/0!</v>
      </c>
      <c r="AY33" s="101">
        <v>0</v>
      </c>
      <c r="AZ33" s="11">
        <f t="shared" si="22"/>
        <v>0</v>
      </c>
      <c r="BA33" s="11">
        <f>AY33+BA32</f>
        <v>25620</v>
      </c>
      <c r="BB33" s="11">
        <f t="shared" si="23"/>
        <v>1.6244610968751734</v>
      </c>
      <c r="BC33" s="100"/>
      <c r="BD33" s="11">
        <f t="shared" si="60"/>
        <v>0</v>
      </c>
      <c r="BE33" s="11">
        <f t="shared" ref="BE33:BE40" si="88">BC33+BE32</f>
        <v>0</v>
      </c>
      <c r="BF33" s="11">
        <f t="shared" si="62"/>
        <v>0</v>
      </c>
      <c r="BG33" s="100">
        <v>31155.265610438026</v>
      </c>
      <c r="BH33" s="11">
        <f t="shared" si="63"/>
        <v>39.640969477643914</v>
      </c>
      <c r="BI33" s="11">
        <f t="shared" si="64"/>
        <v>530415.3686505286</v>
      </c>
      <c r="BJ33" s="11">
        <f t="shared" si="65"/>
        <v>33.631503963992472</v>
      </c>
      <c r="BK33" s="100"/>
      <c r="BL33" s="11">
        <f t="shared" si="66"/>
        <v>0</v>
      </c>
      <c r="BM33" s="11">
        <f t="shared" si="67"/>
        <v>0</v>
      </c>
      <c r="BN33" s="11">
        <f t="shared" si="68"/>
        <v>0</v>
      </c>
      <c r="BO33" s="100"/>
      <c r="BP33" s="11">
        <f t="shared" si="24"/>
        <v>0</v>
      </c>
      <c r="BQ33" s="11">
        <f t="shared" si="69"/>
        <v>0</v>
      </c>
      <c r="BR33" s="11">
        <f t="shared" si="25"/>
        <v>0</v>
      </c>
      <c r="BS33" s="101">
        <v>0</v>
      </c>
      <c r="BT33" s="11">
        <f t="shared" si="26"/>
        <v>0</v>
      </c>
      <c r="BU33" s="11">
        <f t="shared" si="70"/>
        <v>60630</v>
      </c>
      <c r="BV33" s="11">
        <f t="shared" si="27"/>
        <v>3.8443043053685311</v>
      </c>
      <c r="BW33" s="100"/>
      <c r="BX33" s="11">
        <f t="shared" si="28"/>
        <v>0</v>
      </c>
      <c r="BY33" s="11">
        <f t="shared" si="71"/>
        <v>0</v>
      </c>
      <c r="BZ33" s="11">
        <f t="shared" si="29"/>
        <v>0</v>
      </c>
      <c r="CA33" s="100"/>
      <c r="CB33" s="11">
        <f t="shared" si="30"/>
        <v>0</v>
      </c>
      <c r="CC33" s="11">
        <f t="shared" si="72"/>
        <v>21194.865492624864</v>
      </c>
      <c r="CD33" s="11">
        <f t="shared" si="31"/>
        <v>1.3438811259278356</v>
      </c>
      <c r="CE33" s="100">
        <v>4082.3065749813186</v>
      </c>
      <c r="CF33" s="11">
        <f t="shared" si="32"/>
        <v>5.1941971017253143</v>
      </c>
      <c r="CG33" s="11">
        <f t="shared" si="73"/>
        <v>47257.973229183655</v>
      </c>
      <c r="CH33" s="11">
        <f t="shared" si="33"/>
        <v>2.9964379011700721</v>
      </c>
      <c r="CI33" s="100"/>
      <c r="CJ33" s="11">
        <f t="shared" si="34"/>
        <v>0</v>
      </c>
      <c r="CK33" s="11">
        <f t="shared" si="74"/>
        <v>0</v>
      </c>
      <c r="CL33" s="11">
        <f t="shared" si="35"/>
        <v>0</v>
      </c>
      <c r="CM33" s="100">
        <v>5588.6122096000945</v>
      </c>
      <c r="CN33" s="11">
        <f t="shared" si="36"/>
        <v>7.1107725028966868</v>
      </c>
      <c r="CO33" s="11">
        <f t="shared" si="75"/>
        <v>102750.10146760377</v>
      </c>
      <c r="CP33" s="11">
        <f t="shared" si="37"/>
        <v>6.5149704345862203</v>
      </c>
      <c r="CQ33" s="100">
        <v>1001.7088402475168</v>
      </c>
      <c r="CR33" s="11">
        <f t="shared" si="38"/>
        <v>1.2745424821040265</v>
      </c>
      <c r="CS33" s="11">
        <f t="shared" si="76"/>
        <v>13056.314163447098</v>
      </c>
      <c r="CT33" s="11">
        <f t="shared" si="39"/>
        <v>0.8278483382943066</v>
      </c>
      <c r="CU33" s="100">
        <f t="shared" si="40"/>
        <v>78593.601571748834</v>
      </c>
      <c r="CV33" s="11">
        <f t="shared" si="41"/>
        <v>100</v>
      </c>
      <c r="CW33" s="11">
        <f t="shared" si="77"/>
        <v>1439254.1512740154</v>
      </c>
      <c r="CX33" s="11">
        <f t="shared" si="42"/>
        <v>91.257313710411154</v>
      </c>
      <c r="CY33" s="100">
        <v>0</v>
      </c>
      <c r="CZ33" s="17">
        <f t="shared" si="43"/>
        <v>0</v>
      </c>
      <c r="DA33" s="11">
        <f t="shared" si="78"/>
        <v>0</v>
      </c>
      <c r="DB33" s="11">
        <f t="shared" si="44"/>
        <v>0</v>
      </c>
      <c r="DC33" s="11">
        <v>0</v>
      </c>
      <c r="DD33" s="11">
        <f t="shared" si="45"/>
        <v>0</v>
      </c>
      <c r="DE33" s="11">
        <f t="shared" si="79"/>
        <v>0</v>
      </c>
      <c r="DF33" s="11">
        <f t="shared" si="46"/>
        <v>0</v>
      </c>
      <c r="DG33" s="11">
        <f t="shared" si="80"/>
        <v>78593.601571748834</v>
      </c>
      <c r="DH33" s="11">
        <f t="shared" si="81"/>
        <v>1577138.4152740156</v>
      </c>
      <c r="DI33" s="11">
        <f t="shared" si="47"/>
        <v>1.0458091252511454</v>
      </c>
      <c r="DJ33" s="11">
        <f t="shared" si="48"/>
        <v>1.1982631763374172</v>
      </c>
      <c r="DK33" s="504">
        <f t="shared" si="82"/>
        <v>0.95619743206950436</v>
      </c>
      <c r="DL33" s="505">
        <f t="shared" si="83"/>
        <v>0.91449241180574137</v>
      </c>
      <c r="DM33" s="7" t="str">
        <f>+Efficiency1!D112</f>
        <v>RC HW</v>
      </c>
    </row>
    <row r="34" spans="1:117">
      <c r="A34" s="18">
        <f>+Chem!A33</f>
        <v>46016</v>
      </c>
      <c r="B34" s="6" t="str">
        <f>+Chem!B33</f>
        <v>Towel</v>
      </c>
      <c r="C34" s="6" t="str">
        <f>+Chem!C33</f>
        <v>35,5/36</v>
      </c>
      <c r="D34" s="9">
        <f>+Chem!D33</f>
        <v>73.519000000000005</v>
      </c>
      <c r="E34" s="7">
        <f>+Chem!E33</f>
        <v>72.998000000000005</v>
      </c>
      <c r="F34" s="7">
        <f t="shared" si="84"/>
        <v>1389.1849999999997</v>
      </c>
      <c r="G34" s="100"/>
      <c r="H34" s="11">
        <f t="shared" si="0"/>
        <v>0</v>
      </c>
      <c r="I34" s="9">
        <f t="shared" si="49"/>
        <v>0</v>
      </c>
      <c r="J34" s="11">
        <f t="shared" si="1"/>
        <v>0</v>
      </c>
      <c r="K34" s="100"/>
      <c r="L34" s="11">
        <f t="shared" si="2"/>
        <v>0</v>
      </c>
      <c r="M34" s="11">
        <f t="shared" si="50"/>
        <v>0</v>
      </c>
      <c r="N34" s="11">
        <f t="shared" si="3"/>
        <v>0</v>
      </c>
      <c r="O34" s="100">
        <v>0</v>
      </c>
      <c r="P34" s="11">
        <f t="shared" si="4"/>
        <v>0</v>
      </c>
      <c r="Q34" s="11">
        <f t="shared" si="51"/>
        <v>137884.264</v>
      </c>
      <c r="R34" s="11">
        <f t="shared" si="5"/>
        <v>8.3404650323633156</v>
      </c>
      <c r="S34" s="100"/>
      <c r="T34" s="11">
        <f t="shared" si="6"/>
        <v>0</v>
      </c>
      <c r="U34" s="11">
        <f t="shared" si="52"/>
        <v>0</v>
      </c>
      <c r="V34" s="11">
        <f t="shared" si="7"/>
        <v>0</v>
      </c>
      <c r="W34" s="100"/>
      <c r="X34" s="11">
        <f t="shared" si="8"/>
        <v>0</v>
      </c>
      <c r="Y34" s="11">
        <f t="shared" si="53"/>
        <v>0</v>
      </c>
      <c r="Z34" s="11">
        <f t="shared" si="9"/>
        <v>0</v>
      </c>
      <c r="AA34" s="11">
        <f t="shared" si="54"/>
        <v>0</v>
      </c>
      <c r="AB34" s="11">
        <f t="shared" si="10"/>
        <v>0</v>
      </c>
      <c r="AC34" s="11">
        <f t="shared" si="55"/>
        <v>137884.264</v>
      </c>
      <c r="AD34" s="11">
        <f t="shared" si="11"/>
        <v>8.3404650323633156</v>
      </c>
      <c r="AE34" s="11"/>
      <c r="AF34" s="11">
        <f t="shared" si="12"/>
        <v>0</v>
      </c>
      <c r="AG34" s="11">
        <f t="shared" si="85"/>
        <v>0</v>
      </c>
      <c r="AH34" s="11">
        <f t="shared" si="13"/>
        <v>0</v>
      </c>
      <c r="AI34" s="11"/>
      <c r="AJ34" s="11">
        <f t="shared" si="14"/>
        <v>0</v>
      </c>
      <c r="AK34" s="11">
        <f t="shared" si="86"/>
        <v>0</v>
      </c>
      <c r="AL34" s="11">
        <f t="shared" si="15"/>
        <v>0</v>
      </c>
      <c r="AM34" s="11">
        <f t="shared" si="56"/>
        <v>0</v>
      </c>
      <c r="AN34" s="11">
        <f t="shared" si="16"/>
        <v>0</v>
      </c>
      <c r="AO34" s="11">
        <f t="shared" si="87"/>
        <v>0</v>
      </c>
      <c r="AP34" s="11">
        <f t="shared" si="17"/>
        <v>0</v>
      </c>
      <c r="AQ34" s="100">
        <v>32048.241571120445</v>
      </c>
      <c r="AR34" s="11">
        <f t="shared" si="18"/>
        <v>42.136614805815732</v>
      </c>
      <c r="AS34" s="11">
        <f t="shared" si="57"/>
        <v>578458.81905145687</v>
      </c>
      <c r="AT34" s="11">
        <f t="shared" si="19"/>
        <v>34.990327489153181</v>
      </c>
      <c r="AU34" s="100">
        <v>4876.3879473914667</v>
      </c>
      <c r="AV34" s="11" t="e">
        <f t="shared" si="20"/>
        <v>#DIV/0!</v>
      </c>
      <c r="AW34" s="11">
        <f t="shared" si="58"/>
        <v>96795.338737682934</v>
      </c>
      <c r="AX34" s="11" t="e">
        <f t="shared" si="21"/>
        <v>#DIV/0!</v>
      </c>
      <c r="AY34" s="101">
        <v>0</v>
      </c>
      <c r="AZ34" s="11">
        <f t="shared" si="22"/>
        <v>0</v>
      </c>
      <c r="BA34" s="11">
        <f>AY34+BA33</f>
        <v>25620</v>
      </c>
      <c r="BB34" s="11">
        <f t="shared" si="23"/>
        <v>1.5497251675444861</v>
      </c>
      <c r="BC34" s="100"/>
      <c r="BD34" s="11">
        <f t="shared" si="60"/>
        <v>0</v>
      </c>
      <c r="BE34" s="11">
        <f t="shared" si="88"/>
        <v>0</v>
      </c>
      <c r="BF34" s="11">
        <f t="shared" si="62"/>
        <v>0</v>
      </c>
      <c r="BG34" s="100">
        <v>30852.990002108236</v>
      </c>
      <c r="BH34" s="11">
        <f t="shared" si="63"/>
        <v>40.565113453775922</v>
      </c>
      <c r="BI34" s="11">
        <f t="shared" si="64"/>
        <v>561268.35865263687</v>
      </c>
      <c r="BJ34" s="11">
        <f t="shared" si="65"/>
        <v>33.950495751380814</v>
      </c>
      <c r="BK34" s="100"/>
      <c r="BL34" s="11">
        <f t="shared" si="66"/>
        <v>0</v>
      </c>
      <c r="BM34" s="11">
        <f t="shared" si="67"/>
        <v>0</v>
      </c>
      <c r="BN34" s="11">
        <f t="shared" si="68"/>
        <v>0</v>
      </c>
      <c r="BO34" s="100"/>
      <c r="BP34" s="11">
        <f t="shared" si="24"/>
        <v>0</v>
      </c>
      <c r="BQ34" s="11">
        <f t="shared" si="69"/>
        <v>0</v>
      </c>
      <c r="BR34" s="11">
        <f t="shared" si="25"/>
        <v>0</v>
      </c>
      <c r="BS34" s="101">
        <v>0</v>
      </c>
      <c r="BT34" s="11">
        <f t="shared" si="26"/>
        <v>0</v>
      </c>
      <c r="BU34" s="11">
        <f t="shared" si="70"/>
        <v>60630</v>
      </c>
      <c r="BV34" s="11">
        <f t="shared" si="27"/>
        <v>3.6674409409922797</v>
      </c>
      <c r="BW34" s="100"/>
      <c r="BX34" s="11">
        <f t="shared" si="28"/>
        <v>0</v>
      </c>
      <c r="BY34" s="11">
        <f t="shared" si="71"/>
        <v>0</v>
      </c>
      <c r="BZ34" s="11">
        <f t="shared" si="29"/>
        <v>0</v>
      </c>
      <c r="CA34" s="100"/>
      <c r="CB34" s="11">
        <f t="shared" si="30"/>
        <v>0</v>
      </c>
      <c r="CC34" s="11">
        <f t="shared" si="72"/>
        <v>21194.865492624864</v>
      </c>
      <c r="CD34" s="11">
        <f t="shared" si="31"/>
        <v>1.2820537266448444</v>
      </c>
      <c r="CE34" s="100">
        <v>4962.8275870457164</v>
      </c>
      <c r="CF34" s="11">
        <f t="shared" si="32"/>
        <v>6.5250617235568447</v>
      </c>
      <c r="CG34" s="11">
        <f t="shared" si="73"/>
        <v>52220.80081622937</v>
      </c>
      <c r="CH34" s="11">
        <f t="shared" si="33"/>
        <v>3.15877788033717</v>
      </c>
      <c r="CI34" s="100"/>
      <c r="CJ34" s="11">
        <f t="shared" si="34"/>
        <v>0</v>
      </c>
      <c r="CK34" s="11">
        <f t="shared" si="74"/>
        <v>0</v>
      </c>
      <c r="CL34" s="11">
        <f t="shared" si="35"/>
        <v>0</v>
      </c>
      <c r="CM34" s="100">
        <v>3317.4937563855151</v>
      </c>
      <c r="CN34" s="11">
        <f t="shared" si="36"/>
        <v>4.3617980170082697</v>
      </c>
      <c r="CO34" s="11">
        <f t="shared" si="75"/>
        <v>106067.59522398929</v>
      </c>
      <c r="CP34" s="11">
        <f t="shared" si="37"/>
        <v>6.4159102958445571</v>
      </c>
      <c r="CQ34" s="100">
        <v>0</v>
      </c>
      <c r="CR34" s="11">
        <f t="shared" si="38"/>
        <v>0</v>
      </c>
      <c r="CS34" s="11">
        <f t="shared" si="76"/>
        <v>13056.314163447098</v>
      </c>
      <c r="CT34" s="11">
        <f t="shared" si="39"/>
        <v>0.78976185224283768</v>
      </c>
      <c r="CU34" s="100">
        <f t="shared" si="40"/>
        <v>76057.940864051372</v>
      </c>
      <c r="CV34" s="11">
        <f t="shared" si="41"/>
        <v>100</v>
      </c>
      <c r="CW34" s="11">
        <f t="shared" si="77"/>
        <v>1515312.0921380669</v>
      </c>
      <c r="CX34" s="11">
        <f t="shared" si="42"/>
        <v>91.659534967636674</v>
      </c>
      <c r="CY34" s="100">
        <v>0</v>
      </c>
      <c r="CZ34" s="17">
        <f t="shared" si="43"/>
        <v>0</v>
      </c>
      <c r="DA34" s="11">
        <f t="shared" si="78"/>
        <v>0</v>
      </c>
      <c r="DB34" s="11">
        <f t="shared" si="44"/>
        <v>0</v>
      </c>
      <c r="DC34" s="11">
        <v>0</v>
      </c>
      <c r="DD34" s="11">
        <f t="shared" si="45"/>
        <v>0</v>
      </c>
      <c r="DE34" s="11">
        <f t="shared" si="79"/>
        <v>0</v>
      </c>
      <c r="DF34" s="11">
        <f t="shared" si="46"/>
        <v>0</v>
      </c>
      <c r="DG34" s="11">
        <f t="shared" si="80"/>
        <v>76057.940864051372</v>
      </c>
      <c r="DH34" s="11">
        <f t="shared" si="81"/>
        <v>1653196.3561380671</v>
      </c>
      <c r="DI34" s="11">
        <f t="shared" si="47"/>
        <v>1.041918146580062</v>
      </c>
      <c r="DJ34" s="11">
        <f t="shared" si="48"/>
        <v>1.1900476582586679</v>
      </c>
      <c r="DK34" s="504">
        <f t="shared" si="82"/>
        <v>0.95976829205091396</v>
      </c>
      <c r="DL34" s="505">
        <f t="shared" si="83"/>
        <v>0.91676494050799462</v>
      </c>
      <c r="DM34" s="7" t="str">
        <f>+Efficiency1!D113</f>
        <v>RC HW</v>
      </c>
    </row>
    <row r="35" spans="1:117">
      <c r="A35" s="18">
        <f>+Chem!A34</f>
        <v>46017</v>
      </c>
      <c r="B35" s="6" t="str">
        <f>+Chem!B34</f>
        <v>Towel</v>
      </c>
      <c r="C35" s="6" t="str">
        <f>+Chem!C34</f>
        <v>36/38</v>
      </c>
      <c r="D35" s="9">
        <f>+Chem!D34</f>
        <v>79.518000000000001</v>
      </c>
      <c r="E35" s="7">
        <f>+Chem!E34</f>
        <v>78.66</v>
      </c>
      <c r="F35" s="7">
        <f t="shared" si="84"/>
        <v>1467.8449999999998</v>
      </c>
      <c r="G35" s="100"/>
      <c r="H35" s="11">
        <f t="shared" si="0"/>
        <v>0</v>
      </c>
      <c r="I35" s="9">
        <f t="shared" si="49"/>
        <v>0</v>
      </c>
      <c r="J35" s="11">
        <f t="shared" si="1"/>
        <v>0</v>
      </c>
      <c r="K35" s="100"/>
      <c r="L35" s="11">
        <f t="shared" si="2"/>
        <v>0</v>
      </c>
      <c r="M35" s="11">
        <f t="shared" si="50"/>
        <v>0</v>
      </c>
      <c r="N35" s="11">
        <f t="shared" si="3"/>
        <v>0</v>
      </c>
      <c r="O35" s="100">
        <v>0</v>
      </c>
      <c r="P35" s="11">
        <f t="shared" si="4"/>
        <v>0</v>
      </c>
      <c r="Q35" s="11">
        <f t="shared" si="51"/>
        <v>137884.264</v>
      </c>
      <c r="R35" s="11">
        <f t="shared" si="5"/>
        <v>7.9279398219853707</v>
      </c>
      <c r="S35" s="100"/>
      <c r="T35" s="11">
        <f t="shared" si="6"/>
        <v>0</v>
      </c>
      <c r="U35" s="11">
        <f t="shared" si="52"/>
        <v>0</v>
      </c>
      <c r="V35" s="11">
        <f t="shared" si="7"/>
        <v>0</v>
      </c>
      <c r="W35" s="100"/>
      <c r="X35" s="11">
        <f t="shared" si="8"/>
        <v>0</v>
      </c>
      <c r="Y35" s="11">
        <f t="shared" si="53"/>
        <v>0</v>
      </c>
      <c r="Z35" s="11">
        <f t="shared" si="9"/>
        <v>0</v>
      </c>
      <c r="AA35" s="11">
        <f t="shared" si="54"/>
        <v>0</v>
      </c>
      <c r="AB35" s="11">
        <f t="shared" si="10"/>
        <v>0</v>
      </c>
      <c r="AC35" s="11">
        <f t="shared" si="55"/>
        <v>137884.264</v>
      </c>
      <c r="AD35" s="11">
        <f t="shared" si="11"/>
        <v>7.9279398219853707</v>
      </c>
      <c r="AE35" s="11"/>
      <c r="AF35" s="11">
        <f t="shared" si="12"/>
        <v>0</v>
      </c>
      <c r="AG35" s="11">
        <f t="shared" si="85"/>
        <v>0</v>
      </c>
      <c r="AH35" s="11">
        <f t="shared" si="13"/>
        <v>0</v>
      </c>
      <c r="AI35" s="11"/>
      <c r="AJ35" s="11">
        <f t="shared" si="14"/>
        <v>0</v>
      </c>
      <c r="AK35" s="11">
        <f t="shared" si="86"/>
        <v>0</v>
      </c>
      <c r="AL35" s="11">
        <f t="shared" si="15"/>
        <v>0</v>
      </c>
      <c r="AM35" s="11">
        <f t="shared" si="56"/>
        <v>0</v>
      </c>
      <c r="AN35" s="11">
        <f t="shared" si="16"/>
        <v>0</v>
      </c>
      <c r="AO35" s="11">
        <f t="shared" si="87"/>
        <v>0</v>
      </c>
      <c r="AP35" s="11">
        <f t="shared" si="17"/>
        <v>0</v>
      </c>
      <c r="AQ35" s="100">
        <v>35394.34612866462</v>
      </c>
      <c r="AR35" s="11">
        <f t="shared" si="18"/>
        <v>41.145212035768139</v>
      </c>
      <c r="AS35" s="11">
        <f t="shared" si="57"/>
        <v>613853.16518012155</v>
      </c>
      <c r="AT35" s="11">
        <f t="shared" si="19"/>
        <v>35.294752366254414</v>
      </c>
      <c r="AU35" s="100">
        <v>5567.7196343267296</v>
      </c>
      <c r="AV35" s="11" t="e">
        <f t="shared" si="20"/>
        <v>#DIV/0!</v>
      </c>
      <c r="AW35" s="11">
        <f t="shared" si="58"/>
        <v>102363.05837200966</v>
      </c>
      <c r="AX35" s="11" t="e">
        <f t="shared" si="21"/>
        <v>#DIV/0!</v>
      </c>
      <c r="AY35" s="101">
        <v>0</v>
      </c>
      <c r="AZ35" s="11">
        <f t="shared" si="22"/>
        <v>0</v>
      </c>
      <c r="BA35" s="11">
        <f>AY35+BA34</f>
        <v>25620</v>
      </c>
      <c r="BB35" s="11">
        <f t="shared" si="23"/>
        <v>1.4730746812360342</v>
      </c>
      <c r="BC35" s="100"/>
      <c r="BD35" s="11">
        <f t="shared" si="60"/>
        <v>0</v>
      </c>
      <c r="BE35" s="11">
        <f t="shared" si="88"/>
        <v>0</v>
      </c>
      <c r="BF35" s="11">
        <f t="shared" si="62"/>
        <v>0</v>
      </c>
      <c r="BG35" s="100">
        <v>34038.456315623567</v>
      </c>
      <c r="BH35" s="11">
        <f t="shared" si="63"/>
        <v>39.56901753137155</v>
      </c>
      <c r="BI35" s="11">
        <f t="shared" si="64"/>
        <v>595306.81496826047</v>
      </c>
      <c r="BJ35" s="11">
        <f t="shared" si="65"/>
        <v>34.228391752420336</v>
      </c>
      <c r="BK35" s="100"/>
      <c r="BL35" s="11">
        <f t="shared" si="66"/>
        <v>0</v>
      </c>
      <c r="BM35" s="11">
        <f t="shared" si="67"/>
        <v>0</v>
      </c>
      <c r="BN35" s="11">
        <f t="shared" si="68"/>
        <v>0</v>
      </c>
      <c r="BO35" s="100"/>
      <c r="BP35" s="11">
        <f t="shared" si="24"/>
        <v>0</v>
      </c>
      <c r="BQ35" s="11">
        <f t="shared" si="69"/>
        <v>0</v>
      </c>
      <c r="BR35" s="11">
        <f t="shared" si="25"/>
        <v>0</v>
      </c>
      <c r="BS35" s="101">
        <v>0</v>
      </c>
      <c r="BT35" s="11">
        <f t="shared" si="26"/>
        <v>0</v>
      </c>
      <c r="BU35" s="11">
        <f t="shared" si="70"/>
        <v>60630</v>
      </c>
      <c r="BV35" s="11">
        <f t="shared" si="27"/>
        <v>3.4860467573513172</v>
      </c>
      <c r="BW35" s="100"/>
      <c r="BX35" s="11">
        <f t="shared" si="28"/>
        <v>0</v>
      </c>
      <c r="BY35" s="11">
        <f t="shared" si="71"/>
        <v>0</v>
      </c>
      <c r="BZ35" s="11">
        <f t="shared" si="29"/>
        <v>0</v>
      </c>
      <c r="CA35" s="100"/>
      <c r="CB35" s="11">
        <f t="shared" si="30"/>
        <v>0</v>
      </c>
      <c r="CC35" s="11">
        <f t="shared" si="72"/>
        <v>21194.865492624864</v>
      </c>
      <c r="CD35" s="11">
        <f t="shared" si="31"/>
        <v>1.2186424562603042</v>
      </c>
      <c r="CE35" s="100">
        <v>7529.1809937195376</v>
      </c>
      <c r="CF35" s="11">
        <f t="shared" si="32"/>
        <v>8.752520736394624</v>
      </c>
      <c r="CG35" s="11">
        <f t="shared" si="73"/>
        <v>59749.981809948906</v>
      </c>
      <c r="CH35" s="11">
        <f t="shared" si="33"/>
        <v>3.4354482985382253</v>
      </c>
      <c r="CI35" s="100"/>
      <c r="CJ35" s="11">
        <f t="shared" si="34"/>
        <v>0</v>
      </c>
      <c r="CK35" s="11">
        <f t="shared" si="74"/>
        <v>0</v>
      </c>
      <c r="CL35" s="11">
        <f t="shared" si="35"/>
        <v>0</v>
      </c>
      <c r="CM35" s="100">
        <v>3081.9435485826525</v>
      </c>
      <c r="CN35" s="11">
        <f t="shared" si="36"/>
        <v>3.5826970874877748</v>
      </c>
      <c r="CO35" s="11">
        <f t="shared" si="75"/>
        <v>109149.53877257195</v>
      </c>
      <c r="CP35" s="11">
        <f t="shared" si="37"/>
        <v>6.2757775969737155</v>
      </c>
      <c r="CQ35" s="100">
        <v>411.35430054075027</v>
      </c>
      <c r="CR35" s="11">
        <f t="shared" si="38"/>
        <v>0.47819106068658512</v>
      </c>
      <c r="CS35" s="11">
        <f t="shared" si="76"/>
        <v>13467.668463987848</v>
      </c>
      <c r="CT35" s="11">
        <f t="shared" si="39"/>
        <v>0.77435134385563975</v>
      </c>
      <c r="CU35" s="100">
        <f t="shared" si="40"/>
        <v>86023.00092145786</v>
      </c>
      <c r="CV35" s="11">
        <f t="shared" si="41"/>
        <v>100</v>
      </c>
      <c r="CW35" s="11">
        <f t="shared" si="77"/>
        <v>1601335.0930595247</v>
      </c>
      <c r="CX35" s="11">
        <f t="shared" si="42"/>
        <v>92.07206017801461</v>
      </c>
      <c r="CY35" s="100">
        <v>0</v>
      </c>
      <c r="CZ35" s="17">
        <f t="shared" si="43"/>
        <v>0</v>
      </c>
      <c r="DA35" s="11">
        <f t="shared" si="78"/>
        <v>0</v>
      </c>
      <c r="DB35" s="11">
        <f t="shared" si="44"/>
        <v>0</v>
      </c>
      <c r="DC35" s="11">
        <v>0</v>
      </c>
      <c r="DD35" s="11">
        <f t="shared" si="45"/>
        <v>0</v>
      </c>
      <c r="DE35" s="11">
        <f t="shared" si="79"/>
        <v>0</v>
      </c>
      <c r="DF35" s="11">
        <f t="shared" si="46"/>
        <v>0</v>
      </c>
      <c r="DG35" s="11">
        <f t="shared" si="80"/>
        <v>86023.00092145786</v>
      </c>
      <c r="DH35" s="11">
        <f t="shared" si="81"/>
        <v>1739219.3570595249</v>
      </c>
      <c r="DI35" s="11">
        <f t="shared" si="47"/>
        <v>1.0936054020017527</v>
      </c>
      <c r="DJ35" s="11">
        <f t="shared" si="48"/>
        <v>1.1848794369020741</v>
      </c>
      <c r="DK35" s="504">
        <f t="shared" si="82"/>
        <v>0.91440660239020788</v>
      </c>
      <c r="DL35" s="505">
        <f t="shared" si="83"/>
        <v>0.9166382516450835</v>
      </c>
      <c r="DM35" s="7" t="str">
        <f>+Efficiency1!D128</f>
        <v>RC HW</v>
      </c>
    </row>
    <row r="36" spans="1:117">
      <c r="A36" s="18">
        <f>+Chem!A35</f>
        <v>46018</v>
      </c>
      <c r="B36" s="6" t="str">
        <f>+Chem!B35</f>
        <v>Towel</v>
      </c>
      <c r="C36" s="6" t="str">
        <f>+Chem!C35</f>
        <v>38</v>
      </c>
      <c r="D36" s="9">
        <f>+Chem!D35</f>
        <v>78.304000000000002</v>
      </c>
      <c r="E36" s="7">
        <f>+Chem!E35</f>
        <v>75.625</v>
      </c>
      <c r="F36" s="7">
        <f t="shared" si="84"/>
        <v>1543.4699999999998</v>
      </c>
      <c r="G36" s="100"/>
      <c r="H36" s="11">
        <f t="shared" si="0"/>
        <v>0</v>
      </c>
      <c r="I36" s="9">
        <f t="shared" si="49"/>
        <v>0</v>
      </c>
      <c r="J36" s="11">
        <f t="shared" si="1"/>
        <v>0</v>
      </c>
      <c r="K36" s="100"/>
      <c r="L36" s="11">
        <f t="shared" si="2"/>
        <v>0</v>
      </c>
      <c r="M36" s="11">
        <f t="shared" si="50"/>
        <v>0</v>
      </c>
      <c r="N36" s="11">
        <f t="shared" si="3"/>
        <v>0</v>
      </c>
      <c r="O36" s="100">
        <v>0</v>
      </c>
      <c r="P36" s="11">
        <f t="shared" si="4"/>
        <v>0</v>
      </c>
      <c r="Q36" s="11">
        <f t="shared" si="51"/>
        <v>137884.264</v>
      </c>
      <c r="R36" s="11">
        <f t="shared" si="5"/>
        <v>7.5819941830420925</v>
      </c>
      <c r="S36" s="100"/>
      <c r="T36" s="11">
        <f t="shared" si="6"/>
        <v>0</v>
      </c>
      <c r="U36" s="11">
        <f t="shared" si="52"/>
        <v>0</v>
      </c>
      <c r="V36" s="11">
        <f t="shared" si="7"/>
        <v>0</v>
      </c>
      <c r="W36" s="100"/>
      <c r="X36" s="11">
        <f t="shared" si="8"/>
        <v>0</v>
      </c>
      <c r="Y36" s="11">
        <f t="shared" si="53"/>
        <v>0</v>
      </c>
      <c r="Z36" s="11">
        <f t="shared" si="9"/>
        <v>0</v>
      </c>
      <c r="AA36" s="11">
        <f t="shared" si="54"/>
        <v>0</v>
      </c>
      <c r="AB36" s="11">
        <f t="shared" si="10"/>
        <v>0</v>
      </c>
      <c r="AC36" s="11">
        <f t="shared" si="55"/>
        <v>137884.264</v>
      </c>
      <c r="AD36" s="11">
        <f t="shared" si="11"/>
        <v>7.5819941830420925</v>
      </c>
      <c r="AE36" s="11"/>
      <c r="AF36" s="11">
        <f t="shared" si="12"/>
        <v>0</v>
      </c>
      <c r="AG36" s="11">
        <f t="shared" si="85"/>
        <v>0</v>
      </c>
      <c r="AH36" s="11">
        <f t="shared" si="13"/>
        <v>0</v>
      </c>
      <c r="AI36" s="11"/>
      <c r="AJ36" s="11">
        <f t="shared" si="14"/>
        <v>0</v>
      </c>
      <c r="AK36" s="11">
        <f t="shared" si="86"/>
        <v>0</v>
      </c>
      <c r="AL36" s="11">
        <f t="shared" si="15"/>
        <v>0</v>
      </c>
      <c r="AM36" s="11">
        <f t="shared" si="56"/>
        <v>0</v>
      </c>
      <c r="AN36" s="11">
        <f t="shared" si="16"/>
        <v>0</v>
      </c>
      <c r="AO36" s="11">
        <f t="shared" si="87"/>
        <v>0</v>
      </c>
      <c r="AP36" s="11">
        <f t="shared" si="17"/>
        <v>0</v>
      </c>
      <c r="AQ36" s="100">
        <v>32977.767928967136</v>
      </c>
      <c r="AR36" s="11">
        <f t="shared" si="18"/>
        <v>41.556836902800654</v>
      </c>
      <c r="AS36" s="11">
        <f t="shared" si="57"/>
        <v>646830.93310908868</v>
      </c>
      <c r="AT36" s="11">
        <f t="shared" si="19"/>
        <v>35.568006311763021</v>
      </c>
      <c r="AU36" s="100">
        <v>5193.7236093192678</v>
      </c>
      <c r="AV36" s="11" t="e">
        <f t="shared" si="20"/>
        <v>#DIV/0!</v>
      </c>
      <c r="AW36" s="11">
        <f t="shared" si="58"/>
        <v>107556.78198132892</v>
      </c>
      <c r="AX36" s="11" t="e">
        <f t="shared" si="21"/>
        <v>#DIV/0!</v>
      </c>
      <c r="AY36" s="101">
        <v>0</v>
      </c>
      <c r="AZ36" s="11">
        <f t="shared" si="22"/>
        <v>0</v>
      </c>
      <c r="BA36" s="11">
        <f t="shared" si="59"/>
        <v>25620</v>
      </c>
      <c r="BB36" s="11">
        <f t="shared" si="23"/>
        <v>1.4087952122624987</v>
      </c>
      <c r="BC36" s="100"/>
      <c r="BD36" s="11">
        <f t="shared" si="60"/>
        <v>0</v>
      </c>
      <c r="BE36" s="11">
        <f t="shared" si="88"/>
        <v>0</v>
      </c>
      <c r="BF36" s="11">
        <f t="shared" si="62"/>
        <v>0</v>
      </c>
      <c r="BG36" s="100">
        <v>31655.567124535173</v>
      </c>
      <c r="BH36" s="11">
        <f t="shared" si="63"/>
        <v>39.890669462333378</v>
      </c>
      <c r="BI36" s="11">
        <f t="shared" si="64"/>
        <v>626962.38209279568</v>
      </c>
      <c r="BJ36" s="11">
        <f t="shared" si="65"/>
        <v>34.475472371624591</v>
      </c>
      <c r="BK36" s="100"/>
      <c r="BL36" s="11">
        <f t="shared" si="66"/>
        <v>0</v>
      </c>
      <c r="BM36" s="11">
        <f t="shared" si="67"/>
        <v>0</v>
      </c>
      <c r="BN36" s="11">
        <f t="shared" si="68"/>
        <v>0</v>
      </c>
      <c r="BO36" s="100"/>
      <c r="BP36" s="11">
        <f t="shared" si="24"/>
        <v>0</v>
      </c>
      <c r="BQ36" s="11">
        <f t="shared" si="69"/>
        <v>0</v>
      </c>
      <c r="BR36" s="11">
        <f t="shared" si="25"/>
        <v>0</v>
      </c>
      <c r="BS36" s="101">
        <v>0</v>
      </c>
      <c r="BT36" s="11">
        <f t="shared" si="26"/>
        <v>0</v>
      </c>
      <c r="BU36" s="11">
        <f t="shared" si="70"/>
        <v>60630</v>
      </c>
      <c r="BV36" s="11">
        <f t="shared" si="27"/>
        <v>3.3339287166071547</v>
      </c>
      <c r="BW36" s="100"/>
      <c r="BX36" s="11">
        <f t="shared" si="28"/>
        <v>0</v>
      </c>
      <c r="BY36" s="11">
        <f t="shared" si="71"/>
        <v>0</v>
      </c>
      <c r="BZ36" s="11">
        <f t="shared" si="29"/>
        <v>0</v>
      </c>
      <c r="CA36" s="100"/>
      <c r="CB36" s="11">
        <f t="shared" si="30"/>
        <v>0</v>
      </c>
      <c r="CC36" s="11">
        <f t="shared" si="72"/>
        <v>21194.865492624864</v>
      </c>
      <c r="CD36" s="11">
        <f t="shared" si="31"/>
        <v>1.1654654578671959</v>
      </c>
      <c r="CE36" s="100">
        <v>4228.071336419519</v>
      </c>
      <c r="CF36" s="11">
        <f t="shared" si="32"/>
        <v>5.3279916129998499</v>
      </c>
      <c r="CG36" s="11">
        <f t="shared" si="73"/>
        <v>63978.053146368424</v>
      </c>
      <c r="CH36" s="11">
        <f t="shared" si="33"/>
        <v>3.5180318096205907</v>
      </c>
      <c r="CI36" s="100"/>
      <c r="CJ36" s="11">
        <f t="shared" si="34"/>
        <v>0</v>
      </c>
      <c r="CK36" s="11">
        <f t="shared" si="74"/>
        <v>0</v>
      </c>
      <c r="CL36" s="11">
        <f t="shared" si="35"/>
        <v>0</v>
      </c>
      <c r="CM36" s="100">
        <v>5300.6881687789328</v>
      </c>
      <c r="CN36" s="11">
        <f t="shared" si="36"/>
        <v>6.6796465478508305</v>
      </c>
      <c r="CO36" s="11">
        <f t="shared" si="75"/>
        <v>114450.22694135088</v>
      </c>
      <c r="CP36" s="11">
        <f t="shared" si="37"/>
        <v>6.2934009272963136</v>
      </c>
      <c r="CQ36" s="100"/>
      <c r="CR36" s="11">
        <f t="shared" si="38"/>
        <v>0</v>
      </c>
      <c r="CS36" s="11">
        <f t="shared" si="76"/>
        <v>13467.668463987848</v>
      </c>
      <c r="CT36" s="11">
        <f t="shared" si="39"/>
        <v>0.74056154771290861</v>
      </c>
      <c r="CU36" s="100">
        <f t="shared" si="40"/>
        <v>79355.818168020036</v>
      </c>
      <c r="CV36" s="11">
        <f t="shared" si="41"/>
        <v>100</v>
      </c>
      <c r="CW36" s="11">
        <f t="shared" si="77"/>
        <v>1680690.9112275448</v>
      </c>
      <c r="CX36" s="11">
        <f t="shared" si="42"/>
        <v>92.418005816957887</v>
      </c>
      <c r="CY36" s="100">
        <v>0</v>
      </c>
      <c r="CZ36" s="17">
        <f t="shared" si="43"/>
        <v>0</v>
      </c>
      <c r="DA36" s="11">
        <f t="shared" si="78"/>
        <v>0</v>
      </c>
      <c r="DB36" s="11">
        <f t="shared" si="44"/>
        <v>0</v>
      </c>
      <c r="DC36" s="11">
        <v>0</v>
      </c>
      <c r="DD36" s="11">
        <f t="shared" si="45"/>
        <v>0</v>
      </c>
      <c r="DE36" s="11">
        <f t="shared" si="79"/>
        <v>0</v>
      </c>
      <c r="DF36" s="11">
        <f t="shared" si="46"/>
        <v>0</v>
      </c>
      <c r="DG36" s="11">
        <f t="shared" si="80"/>
        <v>79355.818168020036</v>
      </c>
      <c r="DH36" s="11">
        <f t="shared" si="81"/>
        <v>1818575.175227545</v>
      </c>
      <c r="DI36" s="11">
        <f t="shared" si="47"/>
        <v>1.0493331328002649</v>
      </c>
      <c r="DJ36" s="11">
        <f t="shared" si="48"/>
        <v>1.178238109731673</v>
      </c>
      <c r="DK36" s="504">
        <f t="shared" si="82"/>
        <v>0.95298620499229458</v>
      </c>
      <c r="DL36" s="505">
        <f t="shared" si="83"/>
        <v>0.91835446344663019</v>
      </c>
      <c r="DM36" s="6" t="str">
        <f>+Efficiency1!D132</f>
        <v>RC HW</v>
      </c>
    </row>
    <row r="37" spans="1:117">
      <c r="A37" s="18">
        <f>+Chem!A36</f>
        <v>46019</v>
      </c>
      <c r="B37" s="6" t="str">
        <f>+Chem!B36</f>
        <v>Towel</v>
      </c>
      <c r="C37" s="6" t="str">
        <f>+Chem!C36</f>
        <v>38</v>
      </c>
      <c r="D37" s="9">
        <f>+Chem!D36</f>
        <v>70.75200000000001</v>
      </c>
      <c r="E37" s="7">
        <f>+Chem!E36</f>
        <v>70.376999999999995</v>
      </c>
      <c r="F37" s="7">
        <f t="shared" si="84"/>
        <v>1613.8469999999998</v>
      </c>
      <c r="G37" s="100"/>
      <c r="H37" s="11">
        <f t="shared" si="0"/>
        <v>0</v>
      </c>
      <c r="I37" s="9">
        <f t="shared" si="49"/>
        <v>0</v>
      </c>
      <c r="J37" s="11">
        <f t="shared" si="1"/>
        <v>0</v>
      </c>
      <c r="K37" s="100"/>
      <c r="L37" s="11">
        <f t="shared" si="2"/>
        <v>0</v>
      </c>
      <c r="M37" s="11">
        <f t="shared" si="50"/>
        <v>0</v>
      </c>
      <c r="N37" s="11">
        <f t="shared" si="3"/>
        <v>0</v>
      </c>
      <c r="O37" s="100">
        <v>0</v>
      </c>
      <c r="P37" s="11">
        <f t="shared" si="4"/>
        <v>0</v>
      </c>
      <c r="Q37" s="11">
        <f t="shared" si="51"/>
        <v>137884.264</v>
      </c>
      <c r="R37" s="11">
        <f t="shared" si="5"/>
        <v>7.2548988551162568</v>
      </c>
      <c r="S37" s="100"/>
      <c r="T37" s="11">
        <f t="shared" si="6"/>
        <v>0</v>
      </c>
      <c r="U37" s="11">
        <f t="shared" si="52"/>
        <v>0</v>
      </c>
      <c r="V37" s="11">
        <f t="shared" si="7"/>
        <v>0</v>
      </c>
      <c r="W37" s="100"/>
      <c r="X37" s="11">
        <f t="shared" si="8"/>
        <v>0</v>
      </c>
      <c r="Y37" s="11">
        <f t="shared" si="53"/>
        <v>0</v>
      </c>
      <c r="Z37" s="11">
        <f t="shared" si="9"/>
        <v>0</v>
      </c>
      <c r="AA37" s="11">
        <f t="shared" si="54"/>
        <v>0</v>
      </c>
      <c r="AB37" s="11">
        <f t="shared" si="10"/>
        <v>0</v>
      </c>
      <c r="AC37" s="11">
        <f t="shared" si="55"/>
        <v>137884.264</v>
      </c>
      <c r="AD37" s="11">
        <f t="shared" si="11"/>
        <v>7.2548988551162568</v>
      </c>
      <c r="AE37" s="11"/>
      <c r="AF37" s="11">
        <f t="shared" si="12"/>
        <v>0</v>
      </c>
      <c r="AG37" s="11">
        <f t="shared" si="85"/>
        <v>0</v>
      </c>
      <c r="AH37" s="11">
        <f t="shared" si="13"/>
        <v>0</v>
      </c>
      <c r="AI37" s="11"/>
      <c r="AJ37" s="11">
        <f t="shared" si="14"/>
        <v>0</v>
      </c>
      <c r="AK37" s="11">
        <f t="shared" si="86"/>
        <v>0</v>
      </c>
      <c r="AL37" s="11">
        <f t="shared" si="15"/>
        <v>0</v>
      </c>
      <c r="AM37" s="11">
        <f t="shared" si="56"/>
        <v>0</v>
      </c>
      <c r="AN37" s="11">
        <f t="shared" si="16"/>
        <v>0</v>
      </c>
      <c r="AO37" s="11">
        <f t="shared" si="87"/>
        <v>0</v>
      </c>
      <c r="AP37" s="11">
        <f t="shared" si="17"/>
        <v>0</v>
      </c>
      <c r="AQ37" s="100">
        <v>33540.495488544722</v>
      </c>
      <c r="AR37" s="11">
        <f t="shared" si="18"/>
        <v>40.90677451186933</v>
      </c>
      <c r="AS37" s="11">
        <f t="shared" si="57"/>
        <v>680371.42859763338</v>
      </c>
      <c r="AT37" s="11">
        <f t="shared" si="19"/>
        <v>35.798326474635154</v>
      </c>
      <c r="AU37" s="100">
        <v>4878.417945115365</v>
      </c>
      <c r="AV37" s="11" t="e">
        <f t="shared" si="20"/>
        <v>#DIV/0!</v>
      </c>
      <c r="AW37" s="11">
        <f t="shared" si="58"/>
        <v>112435.19992644429</v>
      </c>
      <c r="AX37" s="11" t="e">
        <f t="shared" si="21"/>
        <v>#DIV/0!</v>
      </c>
      <c r="AY37" s="101">
        <v>710</v>
      </c>
      <c r="AZ37" s="11">
        <f t="shared" si="22"/>
        <v>0.8659326429255263</v>
      </c>
      <c r="BA37" s="11">
        <f t="shared" si="59"/>
        <v>26330</v>
      </c>
      <c r="BB37" s="11">
        <f t="shared" si="23"/>
        <v>1.3853755411510267</v>
      </c>
      <c r="BC37" s="100"/>
      <c r="BD37" s="11">
        <f t="shared" si="60"/>
        <v>0</v>
      </c>
      <c r="BE37" s="11">
        <f t="shared" si="88"/>
        <v>0</v>
      </c>
      <c r="BF37" s="11">
        <f t="shared" si="62"/>
        <v>0</v>
      </c>
      <c r="BG37" s="100">
        <v>31460.233328731189</v>
      </c>
      <c r="BH37" s="11">
        <f t="shared" si="63"/>
        <v>38.369638018875953</v>
      </c>
      <c r="BI37" s="11">
        <f t="shared" si="64"/>
        <v>658422.61542152683</v>
      </c>
      <c r="BJ37" s="11">
        <f t="shared" si="65"/>
        <v>34.643470837283409</v>
      </c>
      <c r="BK37" s="100"/>
      <c r="BL37" s="11">
        <f t="shared" si="66"/>
        <v>0</v>
      </c>
      <c r="BM37" s="11">
        <f t="shared" si="67"/>
        <v>0</v>
      </c>
      <c r="BN37" s="11">
        <f t="shared" si="68"/>
        <v>0</v>
      </c>
      <c r="BO37" s="100">
        <v>455</v>
      </c>
      <c r="BP37" s="11">
        <f t="shared" si="24"/>
        <v>0.55492866553678089</v>
      </c>
      <c r="BQ37" s="11">
        <f t="shared" si="69"/>
        <v>455</v>
      </c>
      <c r="BR37" s="11">
        <f t="shared" si="25"/>
        <v>2.3940215390190551E-2</v>
      </c>
      <c r="BS37" s="101">
        <v>1430</v>
      </c>
      <c r="BT37" s="11">
        <f t="shared" si="26"/>
        <v>1.7440615202584542</v>
      </c>
      <c r="BU37" s="11">
        <f t="shared" si="70"/>
        <v>62060</v>
      </c>
      <c r="BV37" s="11">
        <f t="shared" si="27"/>
        <v>3.2653401475059898</v>
      </c>
      <c r="BW37" s="100"/>
      <c r="BX37" s="11">
        <f t="shared" si="28"/>
        <v>0</v>
      </c>
      <c r="BY37" s="11">
        <f t="shared" si="71"/>
        <v>0</v>
      </c>
      <c r="BZ37" s="11">
        <f t="shared" si="29"/>
        <v>0</v>
      </c>
      <c r="CA37" s="100"/>
      <c r="CB37" s="11">
        <f t="shared" si="30"/>
        <v>0</v>
      </c>
      <c r="CC37" s="11">
        <f t="shared" si="72"/>
        <v>21194.865492624864</v>
      </c>
      <c r="CD37" s="11">
        <f t="shared" si="31"/>
        <v>1.1151860330979262</v>
      </c>
      <c r="CE37" s="100">
        <v>3976.2841201647025</v>
      </c>
      <c r="CF37" s="11">
        <f t="shared" si="32"/>
        <v>4.8495693199958056</v>
      </c>
      <c r="CG37" s="11">
        <f t="shared" si="73"/>
        <v>67954.337266533126</v>
      </c>
      <c r="CH37" s="11">
        <f t="shared" si="33"/>
        <v>3.5754757601284735</v>
      </c>
      <c r="CI37" s="100"/>
      <c r="CJ37" s="11">
        <f t="shared" si="34"/>
        <v>0</v>
      </c>
      <c r="CK37" s="11">
        <f t="shared" si="74"/>
        <v>0</v>
      </c>
      <c r="CL37" s="11">
        <f t="shared" si="35"/>
        <v>0</v>
      </c>
      <c r="CM37" s="100">
        <v>5542.0896443625079</v>
      </c>
      <c r="CN37" s="11">
        <f t="shared" si="36"/>
        <v>6.7592624409479107</v>
      </c>
      <c r="CO37" s="11">
        <f t="shared" si="75"/>
        <v>119992.31658571339</v>
      </c>
      <c r="CP37" s="11">
        <f t="shared" si="37"/>
        <v>6.3134986906151918</v>
      </c>
      <c r="CQ37" s="100"/>
      <c r="CR37" s="11">
        <f t="shared" si="38"/>
        <v>0</v>
      </c>
      <c r="CS37" s="11">
        <f t="shared" si="76"/>
        <v>13467.668463987848</v>
      </c>
      <c r="CT37" s="11">
        <f t="shared" si="39"/>
        <v>0.70861293149790294</v>
      </c>
      <c r="CU37" s="100">
        <f t="shared" si="40"/>
        <v>81992.520526918495</v>
      </c>
      <c r="CV37" s="11">
        <f t="shared" si="41"/>
        <v>100</v>
      </c>
      <c r="CW37" s="11">
        <f t="shared" si="77"/>
        <v>1762683.4317544634</v>
      </c>
      <c r="CX37" s="11">
        <f t="shared" si="42"/>
        <v>92.745101144883733</v>
      </c>
      <c r="CY37" s="100"/>
      <c r="CZ37" s="17">
        <f t="shared" si="43"/>
        <v>0</v>
      </c>
      <c r="DA37" s="11">
        <f t="shared" si="78"/>
        <v>0</v>
      </c>
      <c r="DB37" s="11">
        <f t="shared" si="44"/>
        <v>0</v>
      </c>
      <c r="DC37" s="11">
        <v>0</v>
      </c>
      <c r="DD37" s="11">
        <f t="shared" si="45"/>
        <v>0</v>
      </c>
      <c r="DE37" s="11">
        <f t="shared" si="79"/>
        <v>0</v>
      </c>
      <c r="DF37" s="11">
        <f t="shared" si="46"/>
        <v>0</v>
      </c>
      <c r="DG37" s="11">
        <f t="shared" si="80"/>
        <v>81992.520526918495</v>
      </c>
      <c r="DH37" s="11">
        <f t="shared" si="81"/>
        <v>1900567.6957544636</v>
      </c>
      <c r="DI37" s="11">
        <f t="shared" si="47"/>
        <v>1.1650471109441793</v>
      </c>
      <c r="DJ37" s="11">
        <f t="shared" si="48"/>
        <v>1.1776628737138426</v>
      </c>
      <c r="DK37" s="504">
        <f t="shared" si="82"/>
        <v>0.85833438888971503</v>
      </c>
      <c r="DL37" s="505">
        <f t="shared" si="83"/>
        <v>0.9155625853892998</v>
      </c>
      <c r="DM37" s="6" t="str">
        <f>+Efficiency1!D136</f>
        <v>RC HW</v>
      </c>
    </row>
    <row r="38" spans="1:117">
      <c r="A38" s="18">
        <f>+Chem!A37</f>
        <v>46020</v>
      </c>
      <c r="B38" s="6" t="str">
        <f>+Chem!B37</f>
        <v>Towel/Napkin</v>
      </c>
      <c r="C38" s="6" t="str">
        <f>+Chem!C37</f>
        <v>38/16</v>
      </c>
      <c r="D38" s="9">
        <f>+Chem!D37</f>
        <v>51.736999999999995</v>
      </c>
      <c r="E38" s="7">
        <f>+Chem!E37</f>
        <v>50.091000000000001</v>
      </c>
      <c r="F38" s="7">
        <f>+E38+F37</f>
        <v>1663.9379999999996</v>
      </c>
      <c r="G38" s="100"/>
      <c r="H38" s="11">
        <f>G38/DG38*100</f>
        <v>0</v>
      </c>
      <c r="I38" s="9">
        <f>G38+I37</f>
        <v>0</v>
      </c>
      <c r="J38" s="11">
        <f>I38/DH38*100</f>
        <v>0</v>
      </c>
      <c r="K38" s="100"/>
      <c r="L38" s="11">
        <f>+K38/DG38*100</f>
        <v>0</v>
      </c>
      <c r="M38" s="11">
        <f>+K38+M37</f>
        <v>0</v>
      </c>
      <c r="N38" s="11">
        <f>+M38/DH38*100</f>
        <v>0</v>
      </c>
      <c r="O38" s="100">
        <v>0</v>
      </c>
      <c r="P38" s="11">
        <f>+O38/DG38*100</f>
        <v>0</v>
      </c>
      <c r="Q38" s="11">
        <f>+O38+Q37</f>
        <v>137884.264</v>
      </c>
      <c r="R38" s="11">
        <f>+Q38/DH38*100</f>
        <v>6.9285098093918265</v>
      </c>
      <c r="S38" s="100"/>
      <c r="T38" s="11">
        <f>+S38/DG38*100</f>
        <v>0</v>
      </c>
      <c r="U38" s="11">
        <f>+S38+U37</f>
        <v>0</v>
      </c>
      <c r="V38" s="11">
        <f>+U38/DH38*100</f>
        <v>0</v>
      </c>
      <c r="W38" s="100"/>
      <c r="X38" s="11">
        <f>+W38/DG38*100</f>
        <v>0</v>
      </c>
      <c r="Y38" s="11">
        <f>+W38+Y37</f>
        <v>0</v>
      </c>
      <c r="Z38" s="11">
        <f>+Y38/DH38*100</f>
        <v>0</v>
      </c>
      <c r="AA38" s="11">
        <f>G38+K38+W38+S38+O38</f>
        <v>0</v>
      </c>
      <c r="AB38" s="11">
        <f>AA38/DG38*100</f>
        <v>0</v>
      </c>
      <c r="AC38" s="11">
        <f>AA38+AC37</f>
        <v>137884.264</v>
      </c>
      <c r="AD38" s="11">
        <f>AC38/DH38*100</f>
        <v>6.9285098093918265</v>
      </c>
      <c r="AE38" s="11"/>
      <c r="AF38" s="11">
        <f>AE38/DG38*100</f>
        <v>0</v>
      </c>
      <c r="AG38" s="11">
        <f>+AE38+AG37</f>
        <v>0</v>
      </c>
      <c r="AH38" s="11">
        <f>AG38/DH38*100</f>
        <v>0</v>
      </c>
      <c r="AI38" s="11"/>
      <c r="AJ38" s="11">
        <f>AI38/DG38*100</f>
        <v>0</v>
      </c>
      <c r="AK38" s="11">
        <f>+AI38+AK37</f>
        <v>0</v>
      </c>
      <c r="AL38" s="11">
        <f>AK38/DH38*100</f>
        <v>0</v>
      </c>
      <c r="AM38" s="11">
        <f>+AE38+AI38</f>
        <v>0</v>
      </c>
      <c r="AN38" s="11">
        <f>AM38/DG38*100</f>
        <v>0</v>
      </c>
      <c r="AO38" s="11">
        <f>+AM38+AO37</f>
        <v>0</v>
      </c>
      <c r="AP38" s="11">
        <f>AO38/DH38*100</f>
        <v>0</v>
      </c>
      <c r="AQ38" s="100">
        <v>32525.822192836753</v>
      </c>
      <c r="AR38" s="11">
        <f>AQ38/DG38*100</f>
        <v>36.328645191339845</v>
      </c>
      <c r="AS38" s="11">
        <f>AQ38+AS37</f>
        <v>712897.25079047016</v>
      </c>
      <c r="AT38" s="11">
        <f>AS38/DH38*100</f>
        <v>35.822184866506873</v>
      </c>
      <c r="AU38" s="100">
        <v>551.72187192594856</v>
      </c>
      <c r="AV38" s="11" t="e">
        <f>AU38/EF38*100</f>
        <v>#DIV/0!</v>
      </c>
      <c r="AW38" s="11">
        <f>AU38+AW37</f>
        <v>112986.92179837024</v>
      </c>
      <c r="AX38" s="11" t="e">
        <f>AW38/EG38*100</f>
        <v>#DIV/0!</v>
      </c>
      <c r="AY38" s="101">
        <v>4610</v>
      </c>
      <c r="AZ38" s="11">
        <f>AY38/DG38*100</f>
        <v>5.1489875748309339</v>
      </c>
      <c r="BA38" s="11">
        <f>AY38+BA37</f>
        <v>30940</v>
      </c>
      <c r="BB38" s="11">
        <f>BA38/DH38*100</f>
        <v>1.5546958534919049</v>
      </c>
      <c r="BC38" s="100"/>
      <c r="BD38" s="11">
        <f>BC38/DG38*100</f>
        <v>0</v>
      </c>
      <c r="BE38" s="11">
        <f t="shared" si="88"/>
        <v>0</v>
      </c>
      <c r="BF38" s="11">
        <f>BE38/DH38*100</f>
        <v>0</v>
      </c>
      <c r="BG38" s="100">
        <v>15132.130992888358</v>
      </c>
      <c r="BH38" s="11">
        <f>BG38/DG38*100</f>
        <v>16.901335024532806</v>
      </c>
      <c r="BI38" s="11">
        <f>BG38+BI37</f>
        <v>673554.74641441519</v>
      </c>
      <c r="BJ38" s="11">
        <f>BI38/DH38*100</f>
        <v>33.845273799298084</v>
      </c>
      <c r="BK38" s="100"/>
      <c r="BL38" s="11">
        <f>BK38/DG38*100</f>
        <v>0</v>
      </c>
      <c r="BM38" s="11">
        <f>BK38+BM37</f>
        <v>0</v>
      </c>
      <c r="BN38" s="11">
        <f>BM38/DH38*100</f>
        <v>0</v>
      </c>
      <c r="BO38" s="100">
        <v>5915</v>
      </c>
      <c r="BP38" s="11">
        <f>BO38/DG38*100</f>
        <v>6.6065643178145272</v>
      </c>
      <c r="BQ38" s="11">
        <f>BO38+BQ37</f>
        <v>6370</v>
      </c>
      <c r="BR38" s="11">
        <f>BQ38/DH38*100</f>
        <v>0.32008444042480394</v>
      </c>
      <c r="BS38" s="101">
        <v>24515</v>
      </c>
      <c r="BT38" s="11">
        <f>BS38/DG38*100</f>
        <v>27.381221344247358</v>
      </c>
      <c r="BU38" s="11">
        <f>BS38+BU37</f>
        <v>86575</v>
      </c>
      <c r="BV38" s="11">
        <f>BU38/DH38*100</f>
        <v>4.350284211895981</v>
      </c>
      <c r="BW38" s="100">
        <v>1720</v>
      </c>
      <c r="BX38" s="11">
        <f>BW38/DG38*100</f>
        <v>1.9210973164228211</v>
      </c>
      <c r="BY38" s="11">
        <f>BW38+BY37</f>
        <v>1720</v>
      </c>
      <c r="BZ38" s="11">
        <f>BY38/DH38*100</f>
        <v>8.6427823788173125E-2</v>
      </c>
      <c r="CA38" s="100"/>
      <c r="CB38" s="11">
        <f>CA38/DG38*100</f>
        <v>0</v>
      </c>
      <c r="CC38" s="11">
        <f>CA38+CC37</f>
        <v>21194.865492624864</v>
      </c>
      <c r="CD38" s="11">
        <f>CC38/DH38*100</f>
        <v>1.0650151744247749</v>
      </c>
      <c r="CE38" s="100">
        <v>491.79976133266672</v>
      </c>
      <c r="CF38" s="11">
        <f>CE38/DG38*100</f>
        <v>0.54929953587998259</v>
      </c>
      <c r="CG38" s="11">
        <f>CE38+CG37</f>
        <v>68446.1370278658</v>
      </c>
      <c r="CH38" s="11">
        <f>CG38/DH38*100</f>
        <v>3.4393317848985681</v>
      </c>
      <c r="CI38" s="100">
        <v>3400</v>
      </c>
      <c r="CJ38" s="11">
        <f>CI38/DG38*100</f>
        <v>3.7975179510683672</v>
      </c>
      <c r="CK38" s="11">
        <f>CI38+CK37</f>
        <v>3400</v>
      </c>
      <c r="CL38" s="11">
        <f>CK38/DH38*100</f>
        <v>0.17084569818592363</v>
      </c>
      <c r="CM38" s="100">
        <v>640.14352292335229</v>
      </c>
      <c r="CN38" s="11">
        <f>CM38/DG38*100</f>
        <v>0.7149872116357574</v>
      </c>
      <c r="CO38" s="11">
        <f>CM38+CO37</f>
        <v>120632.46010863673</v>
      </c>
      <c r="CP38" s="11">
        <f>CO38/DH38*100</f>
        <v>6.0616284915134182</v>
      </c>
      <c r="CQ38" s="100">
        <v>30.545661253648543</v>
      </c>
      <c r="CR38" s="11">
        <f>CQ38/DG38*100</f>
        <v>3.4116969687642308E-2</v>
      </c>
      <c r="CS38" s="11">
        <f>CQ38+CS37</f>
        <v>13498.214125241497</v>
      </c>
      <c r="CT38" s="11">
        <f>CS38/DH38*100</f>
        <v>0.67826818132058231</v>
      </c>
      <c r="CU38" s="100">
        <f>+AQ38+AY38+BO38+BS38+BW38+CA38+CE38+CI38+CM38+CQ38+AU38+BG38+BC38+BK38</f>
        <v>89532.164003160739</v>
      </c>
      <c r="CV38" s="11">
        <f>CU38/DG38*100</f>
        <v>100</v>
      </c>
      <c r="CW38" s="11">
        <f>CU38+CW37</f>
        <v>1852215.5957576241</v>
      </c>
      <c r="CX38" s="11">
        <f>CW38/DH38*100</f>
        <v>93.071490190608159</v>
      </c>
      <c r="CY38" s="100"/>
      <c r="CZ38" s="17">
        <f>CY38/DG38*100</f>
        <v>0</v>
      </c>
      <c r="DA38" s="11">
        <f>CY38+DA37</f>
        <v>0</v>
      </c>
      <c r="DB38" s="11">
        <f>DA38/DH38*100</f>
        <v>0</v>
      </c>
      <c r="DC38" s="11">
        <v>0</v>
      </c>
      <c r="DD38" s="11">
        <f>DC38/DG38*100</f>
        <v>0</v>
      </c>
      <c r="DE38" s="11">
        <f>DC38+DE37</f>
        <v>0</v>
      </c>
      <c r="DF38" s="11">
        <f>DE38/DH38*100</f>
        <v>0</v>
      </c>
      <c r="DG38" s="11">
        <f>+AA38+CU38+CY38+DC38</f>
        <v>89532.164003160739</v>
      </c>
      <c r="DH38" s="11">
        <f>DG38+DH37</f>
        <v>1990099.8597576243</v>
      </c>
      <c r="DI38" s="11">
        <f>DG38/1000/E38</f>
        <v>1.7873902298448971</v>
      </c>
      <c r="DJ38" s="11">
        <f>(DH38/1000)/F38</f>
        <v>1.1960180365840702</v>
      </c>
      <c r="DK38" s="504">
        <f>+(E38*1000)/CU38</f>
        <v>0.5594749167263694</v>
      </c>
      <c r="DL38" s="505">
        <f>+(F38*1000)/CW38</f>
        <v>0.89835006454493649</v>
      </c>
      <c r="DM38" s="6" t="s">
        <v>689</v>
      </c>
    </row>
    <row r="39" spans="1:117">
      <c r="A39" s="18">
        <f>+Chem!A38</f>
        <v>46021</v>
      </c>
      <c r="B39" s="6" t="str">
        <f>+Chem!B38</f>
        <v>Napkin</v>
      </c>
      <c r="C39" s="6" t="str">
        <f>+Chem!C38</f>
        <v>16/16,5</v>
      </c>
      <c r="D39" s="9">
        <f>+Chem!D38</f>
        <v>50.889000000000003</v>
      </c>
      <c r="E39" s="7">
        <f>+Chem!E38</f>
        <v>52.561</v>
      </c>
      <c r="F39" s="7">
        <f>+E39+F38</f>
        <v>1716.4989999999996</v>
      </c>
      <c r="G39" s="100"/>
      <c r="H39" s="11">
        <f>G39/DG39*100</f>
        <v>0</v>
      </c>
      <c r="I39" s="9">
        <f>G39+I38</f>
        <v>0</v>
      </c>
      <c r="J39" s="11">
        <f>I39/DH39*100</f>
        <v>0</v>
      </c>
      <c r="K39" s="100"/>
      <c r="L39" s="11">
        <f>+K39/DG39*100</f>
        <v>0</v>
      </c>
      <c r="M39" s="11">
        <f>+K39+M38</f>
        <v>0</v>
      </c>
      <c r="N39" s="11">
        <f>+M39/DH39*100</f>
        <v>0</v>
      </c>
      <c r="O39" s="100">
        <f>32*O7</f>
        <v>6851.3919999999998</v>
      </c>
      <c r="P39" s="11">
        <f>+O39/DG39*100</f>
        <v>9.8071220796745653</v>
      </c>
      <c r="Q39" s="11">
        <f>+O39+Q38</f>
        <v>144735.65599999999</v>
      </c>
      <c r="R39" s="11">
        <f>+Q39/DH39*100</f>
        <v>7.0261348788239069</v>
      </c>
      <c r="S39" s="100"/>
      <c r="T39" s="11">
        <f>+S39/DG39*100</f>
        <v>0</v>
      </c>
      <c r="U39" s="11">
        <f>+S39+U38</f>
        <v>0</v>
      </c>
      <c r="V39" s="11">
        <f>+U39/DH39*100</f>
        <v>0</v>
      </c>
      <c r="W39" s="100"/>
      <c r="X39" s="11">
        <f>+W39/DG39*100</f>
        <v>0</v>
      </c>
      <c r="Y39" s="11">
        <f>+W39+Y38</f>
        <v>0</v>
      </c>
      <c r="Z39" s="11">
        <f>+Y39/DH39*100</f>
        <v>0</v>
      </c>
      <c r="AA39" s="11">
        <f>G39+K39+W39+S39+O39</f>
        <v>6851.3919999999998</v>
      </c>
      <c r="AB39" s="11">
        <f>AA39/DG39*100</f>
        <v>9.8071220796745653</v>
      </c>
      <c r="AC39" s="11">
        <f>AA39+AC38</f>
        <v>144735.65599999999</v>
      </c>
      <c r="AD39" s="11">
        <f>AC39/DH39*100</f>
        <v>7.0261348788239069</v>
      </c>
      <c r="AE39" s="11"/>
      <c r="AF39" s="11">
        <f>AE39/DG39*100</f>
        <v>0</v>
      </c>
      <c r="AG39" s="11">
        <f>+AE39+AG38</f>
        <v>0</v>
      </c>
      <c r="AH39" s="11">
        <f>AG39/DH39*100</f>
        <v>0</v>
      </c>
      <c r="AI39" s="11"/>
      <c r="AJ39" s="11">
        <f>AI39/DG39*100</f>
        <v>0</v>
      </c>
      <c r="AK39" s="11">
        <f>+AI39+AK38</f>
        <v>0</v>
      </c>
      <c r="AL39" s="11">
        <f>AK39/DH39*100</f>
        <v>0</v>
      </c>
      <c r="AM39" s="11">
        <f>+AE39+AI39</f>
        <v>0</v>
      </c>
      <c r="AN39" s="11">
        <f>AM39/DG39*100</f>
        <v>0</v>
      </c>
      <c r="AO39" s="11">
        <f>+AM39+AO38</f>
        <v>0</v>
      </c>
      <c r="AP39" s="11">
        <f>AO39/DH39*100</f>
        <v>0</v>
      </c>
      <c r="AQ39" s="100">
        <v>19085</v>
      </c>
      <c r="AR39" s="11">
        <f>AQ39/DG39*100</f>
        <v>27.318379227256166</v>
      </c>
      <c r="AS39" s="11">
        <f>AQ39+AS38</f>
        <v>731982.25079047016</v>
      </c>
      <c r="AT39" s="11">
        <f>AS39/DH39*100</f>
        <v>35.533787354782511</v>
      </c>
      <c r="AU39" s="100"/>
      <c r="AV39" s="11" t="e">
        <f>AU39/EF39*100</f>
        <v>#DIV/0!</v>
      </c>
      <c r="AW39" s="11">
        <f>AU39+AW38</f>
        <v>112986.92179837024</v>
      </c>
      <c r="AX39" s="11" t="e">
        <f>AW39/EG39*100</f>
        <v>#DIV/0!</v>
      </c>
      <c r="AY39" s="101">
        <v>7000</v>
      </c>
      <c r="AZ39" s="11">
        <f>AY39/DG39*100</f>
        <v>10.019840429174387</v>
      </c>
      <c r="BA39" s="11">
        <f>AY39+BA38</f>
        <v>37940</v>
      </c>
      <c r="BB39" s="11">
        <f>BA39/DH39*100</f>
        <v>1.8417822164192841</v>
      </c>
      <c r="BC39" s="100"/>
      <c r="BD39" s="11">
        <f>BC39/DG39*100</f>
        <v>0</v>
      </c>
      <c r="BE39" s="11">
        <f t="shared" si="88"/>
        <v>0</v>
      </c>
      <c r="BF39" s="11">
        <f>BE39/DH39*100</f>
        <v>0</v>
      </c>
      <c r="BG39" s="100">
        <v>9530</v>
      </c>
      <c r="BH39" s="11">
        <f>BG39/DG39*100</f>
        <v>13.641297041433129</v>
      </c>
      <c r="BI39" s="11">
        <f>BG39+BI38</f>
        <v>683084.74641441519</v>
      </c>
      <c r="BJ39" s="11">
        <f>BI39/DH39*100</f>
        <v>33.160077444737638</v>
      </c>
      <c r="BK39" s="100"/>
      <c r="BL39" s="11">
        <f>BK39/DG39*100</f>
        <v>0</v>
      </c>
      <c r="BM39" s="11">
        <f>BK39+BM38</f>
        <v>0</v>
      </c>
      <c r="BN39" s="11">
        <f>BM39/DH39*100</f>
        <v>0</v>
      </c>
      <c r="BO39" s="100">
        <v>4020</v>
      </c>
      <c r="BP39" s="11">
        <f>BO39/DG39*100</f>
        <v>5.7542512178972913</v>
      </c>
      <c r="BQ39" s="11">
        <f>BO39+BQ38</f>
        <v>10390</v>
      </c>
      <c r="BR39" s="11">
        <f>BQ39/DH39*100</f>
        <v>0.50437841930934002</v>
      </c>
      <c r="BS39" s="101">
        <v>18635</v>
      </c>
      <c r="BT39" s="11">
        <f>BS39/DG39*100</f>
        <v>26.674246628237814</v>
      </c>
      <c r="BU39" s="11">
        <f>BS39+BU38</f>
        <v>105210</v>
      </c>
      <c r="BV39" s="11">
        <f>BU39/DH39*100</f>
        <v>5.1073776222844725</v>
      </c>
      <c r="BW39" s="100">
        <v>4740</v>
      </c>
      <c r="BX39" s="11">
        <f>BW39/DG39*100</f>
        <v>6.7848633763266566</v>
      </c>
      <c r="BY39" s="11">
        <f>BW39+BY38</f>
        <v>6460</v>
      </c>
      <c r="BZ39" s="11">
        <f>BY39/DH39*100</f>
        <v>0.31359813173612477</v>
      </c>
      <c r="CA39" s="100"/>
      <c r="CB39" s="11">
        <f>CA39/DG39*100</f>
        <v>0</v>
      </c>
      <c r="CC39" s="11">
        <f>CA39+CC38</f>
        <v>21194.865492624864</v>
      </c>
      <c r="CD39" s="11">
        <f>CC39/DH39*100</f>
        <v>1.0288963190225413</v>
      </c>
      <c r="CE39" s="100">
        <v>0</v>
      </c>
      <c r="CF39" s="11">
        <f>CE39/DG39*100</f>
        <v>0</v>
      </c>
      <c r="CG39" s="11">
        <f>CE39+CG38</f>
        <v>68446.1370278658</v>
      </c>
      <c r="CH39" s="11">
        <f>CG39/DH39*100</f>
        <v>3.3226905102931128</v>
      </c>
      <c r="CI39" s="100"/>
      <c r="CJ39" s="11">
        <f>CI39/DG39*100</f>
        <v>0</v>
      </c>
      <c r="CK39" s="11">
        <f>CI39+CK38</f>
        <v>3400</v>
      </c>
      <c r="CL39" s="11">
        <f>CK39/DH39*100</f>
        <v>0.16505164828217095</v>
      </c>
      <c r="CM39" s="100"/>
      <c r="CN39" s="11">
        <f>CM39/DG39*100</f>
        <v>0</v>
      </c>
      <c r="CO39" s="11">
        <f>CM39+CO38</f>
        <v>120632.46010863673</v>
      </c>
      <c r="CP39" s="11">
        <f>CO39/DH39*100</f>
        <v>5.8560548168422724</v>
      </c>
      <c r="CQ39" s="100"/>
      <c r="CR39" s="11">
        <f>CQ39/DG39*100</f>
        <v>0</v>
      </c>
      <c r="CS39" s="11">
        <f>CQ39+CS38</f>
        <v>13498.214125241497</v>
      </c>
      <c r="CT39" s="11">
        <f>CS39/DH39*100</f>
        <v>0.65526543830493866</v>
      </c>
      <c r="CU39" s="100">
        <f>+AQ39+AY39+BO39+BS39+BW39+CA39+CE39+CI39+CM39+CQ39+AU39+BG39+BC39+BK39</f>
        <v>63010</v>
      </c>
      <c r="CV39" s="11">
        <f>CU39/DG39*100</f>
        <v>90.192877920325444</v>
      </c>
      <c r="CW39" s="11">
        <f>CU39+CW38</f>
        <v>1915225.5957576241</v>
      </c>
      <c r="CX39" s="11">
        <f>CW39/DH39*100</f>
        <v>92.973865121176075</v>
      </c>
      <c r="CY39" s="100"/>
      <c r="CZ39" s="17">
        <f>CY39/DG39*100</f>
        <v>0</v>
      </c>
      <c r="DA39" s="11">
        <f>CY39+DA38</f>
        <v>0</v>
      </c>
      <c r="DB39" s="11">
        <f>DA39/DH39*100</f>
        <v>0</v>
      </c>
      <c r="DC39" s="11">
        <v>0</v>
      </c>
      <c r="DD39" s="11">
        <f>DC39/DG39*100</f>
        <v>0</v>
      </c>
      <c r="DE39" s="11">
        <f>DC39+DE38</f>
        <v>0</v>
      </c>
      <c r="DF39" s="11">
        <f>DE39/DH39*100</f>
        <v>0</v>
      </c>
      <c r="DG39" s="11">
        <f>+AA39+CU39+CY39+DC39</f>
        <v>69861.391999999993</v>
      </c>
      <c r="DH39" s="11">
        <f>DG39+DH38</f>
        <v>2059961.2517576243</v>
      </c>
      <c r="DI39" s="11">
        <f>DG39/1000/E39</f>
        <v>1.3291488365898669</v>
      </c>
      <c r="DJ39" s="11">
        <f>(DH39/1000)/F39</f>
        <v>1.2000946413354303</v>
      </c>
      <c r="DK39" s="504">
        <f>+(E39*1000)/CU39</f>
        <v>0.83416917949531821</v>
      </c>
      <c r="DL39" s="505">
        <f>+(F39*1000)/CW39</f>
        <v>0.89623854432719585</v>
      </c>
      <c r="DM39" s="6" t="s">
        <v>384</v>
      </c>
    </row>
    <row r="40" spans="1:117">
      <c r="A40" s="18">
        <f>+Chem!A39</f>
        <v>46022</v>
      </c>
      <c r="B40" s="6" t="str">
        <f>+Chem!B39</f>
        <v>Napkin</v>
      </c>
      <c r="C40" s="6" t="str">
        <f>+Chem!C39</f>
        <v>16.5/17/19</v>
      </c>
      <c r="D40" s="9">
        <f>+Chem!D39</f>
        <v>56.41</v>
      </c>
      <c r="E40" s="7">
        <f>+Chem!E39</f>
        <v>57.401000000000003</v>
      </c>
      <c r="F40" s="7">
        <f>+E40+F39</f>
        <v>1773.8999999999996</v>
      </c>
      <c r="G40" s="100"/>
      <c r="H40" s="11">
        <f>G40/DG40*100</f>
        <v>0</v>
      </c>
      <c r="I40" s="9">
        <f>G40+I39</f>
        <v>0</v>
      </c>
      <c r="J40" s="11">
        <f>I40/DH40*100</f>
        <v>0</v>
      </c>
      <c r="K40" s="100"/>
      <c r="L40" s="11">
        <f>+K40/DG40*100</f>
        <v>0</v>
      </c>
      <c r="M40" s="11">
        <f>+K40+M39</f>
        <v>0</v>
      </c>
      <c r="N40" s="11">
        <f>+M40/DH40*100</f>
        <v>0</v>
      </c>
      <c r="O40" s="100">
        <f>40*O7</f>
        <v>8564.24</v>
      </c>
      <c r="P40" s="11">
        <f>+O40/DG40*100</f>
        <v>12.79271248093993</v>
      </c>
      <c r="Q40" s="11">
        <f>+O40+Q39</f>
        <v>153299.89599999998</v>
      </c>
      <c r="R40" s="11">
        <f>+Q40/DH40*100</f>
        <v>7.2076428614822694</v>
      </c>
      <c r="S40" s="100"/>
      <c r="T40" s="11">
        <f>+S40/DG40*100</f>
        <v>0</v>
      </c>
      <c r="U40" s="11">
        <f>+S40+U39</f>
        <v>0</v>
      </c>
      <c r="V40" s="11">
        <f>+U40/DH40*100</f>
        <v>0</v>
      </c>
      <c r="W40" s="100"/>
      <c r="X40" s="11">
        <f>+W40/DG40*100</f>
        <v>0</v>
      </c>
      <c r="Y40" s="11">
        <f>+W40+Y39</f>
        <v>0</v>
      </c>
      <c r="Z40" s="11">
        <f>+Y40/DH40*100</f>
        <v>0</v>
      </c>
      <c r="AA40" s="11">
        <f>G40+K40+W40+S40+O40</f>
        <v>8564.24</v>
      </c>
      <c r="AB40" s="11">
        <f>AA40/DG40*100</f>
        <v>12.79271248093993</v>
      </c>
      <c r="AC40" s="11">
        <f>AA40+AC39</f>
        <v>153299.89599999998</v>
      </c>
      <c r="AD40" s="11">
        <f>AC40/DH40*100</f>
        <v>7.2076428614822694</v>
      </c>
      <c r="AE40" s="11"/>
      <c r="AF40" s="11">
        <f>AE40/DG40*100</f>
        <v>0</v>
      </c>
      <c r="AG40" s="11">
        <f>+AE40+AG39</f>
        <v>0</v>
      </c>
      <c r="AH40" s="11">
        <f>AG40/DH40*100</f>
        <v>0</v>
      </c>
      <c r="AI40" s="11"/>
      <c r="AJ40" s="11">
        <f>AI40/DG40*100</f>
        <v>0</v>
      </c>
      <c r="AK40" s="11">
        <f>+AI40+AK39</f>
        <v>0</v>
      </c>
      <c r="AL40" s="11">
        <f>AK40/DH40*100</f>
        <v>0</v>
      </c>
      <c r="AM40" s="11">
        <f>+AE40+AI40</f>
        <v>0</v>
      </c>
      <c r="AN40" s="11">
        <f>AM40/DG40*100</f>
        <v>0</v>
      </c>
      <c r="AO40" s="11">
        <f>+AM40+AO39</f>
        <v>0</v>
      </c>
      <c r="AP40" s="11">
        <f>AO40/DH40*100</f>
        <v>0</v>
      </c>
      <c r="AQ40" s="100">
        <v>17640</v>
      </c>
      <c r="AR40" s="11">
        <f>AQ40/DG40*100</f>
        <v>26.349500733723058</v>
      </c>
      <c r="AS40" s="11">
        <f>AQ40+AS39</f>
        <v>749622.25079047016</v>
      </c>
      <c r="AT40" s="11">
        <f>AS40/DH40*100</f>
        <v>35.244704045449602</v>
      </c>
      <c r="AU40" s="100"/>
      <c r="AV40" s="11" t="e">
        <f>AU40/EF40*100</f>
        <v>#DIV/0!</v>
      </c>
      <c r="AW40" s="11">
        <f>AU40+AW39</f>
        <v>112986.92179837024</v>
      </c>
      <c r="AX40" s="11" t="e">
        <f>AW40/EG40*100</f>
        <v>#DIV/0!</v>
      </c>
      <c r="AY40" s="101"/>
      <c r="AZ40" s="11">
        <f>AY40/DG40*100</f>
        <v>0</v>
      </c>
      <c r="BA40" s="11">
        <f>AY40+BA39</f>
        <v>37940</v>
      </c>
      <c r="BB40" s="11">
        <f>BA40/DH40*100</f>
        <v>1.7838105393407264</v>
      </c>
      <c r="BC40" s="100"/>
      <c r="BD40" s="11">
        <f>BC40/DG40*100</f>
        <v>0</v>
      </c>
      <c r="BE40" s="11">
        <f t="shared" si="88"/>
        <v>0</v>
      </c>
      <c r="BF40" s="11">
        <f>BE40/DH40*100</f>
        <v>0</v>
      </c>
      <c r="BG40" s="100">
        <v>8342</v>
      </c>
      <c r="BH40" s="11">
        <f>BG40/DG40*100</f>
        <v>12.460744621355881</v>
      </c>
      <c r="BI40" s="11">
        <f>BG40+BI39</f>
        <v>691426.74641441519</v>
      </c>
      <c r="BJ40" s="11">
        <f>BI40/DH40*100</f>
        <v>32.508548166476068</v>
      </c>
      <c r="BK40" s="100"/>
      <c r="BL40" s="11">
        <f>BK40/DG40*100</f>
        <v>0</v>
      </c>
      <c r="BM40" s="11">
        <f>BK40+BM39</f>
        <v>0</v>
      </c>
      <c r="BN40" s="11">
        <f>BM40/DH40*100</f>
        <v>0</v>
      </c>
      <c r="BO40" s="100">
        <v>4000</v>
      </c>
      <c r="BP40" s="11">
        <f>BO40/DG40*100</f>
        <v>5.9749434770347065</v>
      </c>
      <c r="BQ40" s="11">
        <f>BO40+BQ39</f>
        <v>14390</v>
      </c>
      <c r="BR40" s="11">
        <f>BQ40/DH40*100</f>
        <v>0.67656915290229458</v>
      </c>
      <c r="BS40" s="101">
        <v>17520</v>
      </c>
      <c r="BT40" s="11">
        <f>BS40/DG40*100</f>
        <v>26.170252429412017</v>
      </c>
      <c r="BU40" s="11">
        <f>BS40+BU39</f>
        <v>122730</v>
      </c>
      <c r="BV40" s="11">
        <f>BU40/DH40*100</f>
        <v>5.7703496967128984</v>
      </c>
      <c r="BW40" s="100"/>
      <c r="BX40" s="11">
        <f>BW40/DG40*100</f>
        <v>0</v>
      </c>
      <c r="BY40" s="11">
        <f>BW40+BY39</f>
        <v>6460</v>
      </c>
      <c r="BZ40" s="11">
        <f>BY40/DH40*100</f>
        <v>0.30372736120561661</v>
      </c>
      <c r="CA40" s="100"/>
      <c r="CB40" s="11">
        <f>CA40/DG40*100</f>
        <v>0</v>
      </c>
      <c r="CC40" s="11">
        <f>CA40+CC39</f>
        <v>21194.865492624864</v>
      </c>
      <c r="CD40" s="11">
        <f>CC40/DH40*100</f>
        <v>0.99651092371252814</v>
      </c>
      <c r="CE40" s="100">
        <v>10880</v>
      </c>
      <c r="CF40" s="11">
        <f>CE40/DG40*100</f>
        <v>16.251846257534403</v>
      </c>
      <c r="CG40" s="11">
        <f>CE40+CG39</f>
        <v>79326.1370278658</v>
      </c>
      <c r="CH40" s="11">
        <f>CG40/DH40*100</f>
        <v>3.7296467916577138</v>
      </c>
      <c r="CI40" s="100"/>
      <c r="CJ40" s="11">
        <f>CI40/DG40*100</f>
        <v>0</v>
      </c>
      <c r="CK40" s="11">
        <f>CI40+CK39</f>
        <v>3400</v>
      </c>
      <c r="CL40" s="11">
        <f>CK40/DH40*100</f>
        <v>0.15985650589769296</v>
      </c>
      <c r="CM40" s="100"/>
      <c r="CN40" s="11">
        <f>CM40/DG40*100</f>
        <v>0</v>
      </c>
      <c r="CO40" s="11">
        <f>CM40+CO39</f>
        <v>120632.46010863673</v>
      </c>
      <c r="CP40" s="11">
        <f>CO40/DH40*100</f>
        <v>5.6717304620027935</v>
      </c>
      <c r="CQ40" s="100"/>
      <c r="CR40" s="11">
        <f>CQ40/DG40*100</f>
        <v>0</v>
      </c>
      <c r="CS40" s="11">
        <f>CQ40+CS39</f>
        <v>13498.214125241497</v>
      </c>
      <c r="CT40" s="11">
        <f>CS40/DH40*100</f>
        <v>0.63464039585882048</v>
      </c>
      <c r="CU40" s="100">
        <f>+AQ40+AY40+BO40+BS40+BW40+CA40+CE40+CI40+CM40+CQ40+AU40+BG40+BC40+BK40</f>
        <v>58382</v>
      </c>
      <c r="CV40" s="11">
        <f>CU40/DG40*100</f>
        <v>87.20728751906006</v>
      </c>
      <c r="CW40" s="11">
        <f>CU40+CW39</f>
        <v>1973607.5957576241</v>
      </c>
      <c r="CX40" s="11">
        <f>CW40/DH40*100</f>
        <v>92.79235713851773</v>
      </c>
      <c r="CY40" s="100"/>
      <c r="CZ40" s="17">
        <f>CY40/DG40*100</f>
        <v>0</v>
      </c>
      <c r="DA40" s="11">
        <f>CY40+DA39</f>
        <v>0</v>
      </c>
      <c r="DB40" s="11">
        <f>DA40/DH40*100</f>
        <v>0</v>
      </c>
      <c r="DC40" s="11">
        <v>0</v>
      </c>
      <c r="DD40" s="11">
        <f>DC40/DG40*100</f>
        <v>0</v>
      </c>
      <c r="DE40" s="11">
        <f>DC40+DE39</f>
        <v>0</v>
      </c>
      <c r="DF40" s="11">
        <f>DE40/DH40*100</f>
        <v>0</v>
      </c>
      <c r="DG40" s="11">
        <f>+AA40+CU40+CY40+DC40</f>
        <v>66946.240000000005</v>
      </c>
      <c r="DH40" s="11">
        <f>DG40+DH39</f>
        <v>2126907.4917576243</v>
      </c>
      <c r="DI40" s="11">
        <f>DG40/1000/E40</f>
        <v>1.1662904827442031</v>
      </c>
      <c r="DJ40" s="11">
        <f>(DH40/1000)/F40</f>
        <v>1.1990007845750184</v>
      </c>
      <c r="DK40" s="504">
        <f>+(E40*1000)/CU40</f>
        <v>0.98319687574937475</v>
      </c>
      <c r="DL40" s="505">
        <f>+(F40*1000)/CW40</f>
        <v>0.89881089017548021</v>
      </c>
      <c r="DM40" s="6" t="str">
        <f>+Efficiency1!D152</f>
        <v>RC BR</v>
      </c>
    </row>
    <row r="41" spans="1:117">
      <c r="A41" s="18"/>
      <c r="B41" s="18"/>
      <c r="C41" s="18"/>
      <c r="D41" s="9"/>
      <c r="E41" s="7"/>
      <c r="F41" s="7"/>
      <c r="G41" s="100"/>
      <c r="H41" s="11"/>
      <c r="I41" s="9"/>
      <c r="J41" s="11"/>
      <c r="K41" s="100"/>
      <c r="L41" s="11"/>
      <c r="M41" s="11"/>
      <c r="N41" s="11"/>
      <c r="O41" s="100"/>
      <c r="P41" s="11"/>
      <c r="Q41" s="11"/>
      <c r="R41" s="11"/>
      <c r="S41" s="100"/>
      <c r="T41" s="11"/>
      <c r="U41" s="11"/>
      <c r="V41" s="11"/>
      <c r="W41" s="100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00"/>
      <c r="AR41" s="11"/>
      <c r="AS41" s="11"/>
      <c r="AT41" s="11"/>
      <c r="AU41" s="100"/>
      <c r="AV41" s="11"/>
      <c r="AW41" s="11"/>
      <c r="AX41" s="11"/>
      <c r="AY41" s="100"/>
      <c r="AZ41" s="11"/>
      <c r="BA41" s="11"/>
      <c r="BB41" s="11"/>
      <c r="BC41" s="100"/>
      <c r="BD41" s="11"/>
      <c r="BE41" s="11"/>
      <c r="BF41" s="11"/>
      <c r="BG41" s="100"/>
      <c r="BH41" s="11"/>
      <c r="BI41" s="11"/>
      <c r="BJ41" s="11"/>
      <c r="BK41" s="100"/>
      <c r="BL41" s="11"/>
      <c r="BM41" s="11"/>
      <c r="BN41" s="11"/>
      <c r="BO41" s="100"/>
      <c r="BP41" s="11"/>
      <c r="BQ41" s="11"/>
      <c r="BR41" s="11"/>
      <c r="BS41" s="100"/>
      <c r="BT41" s="11"/>
      <c r="BU41" s="11"/>
      <c r="BV41" s="11"/>
      <c r="BW41" s="100"/>
      <c r="BX41" s="11"/>
      <c r="BY41" s="11"/>
      <c r="BZ41" s="11"/>
      <c r="CA41" s="100"/>
      <c r="CB41" s="11"/>
      <c r="CC41" s="11"/>
      <c r="CD41" s="11"/>
      <c r="CE41" s="100"/>
      <c r="CF41" s="11"/>
      <c r="CG41" s="11"/>
      <c r="CH41" s="11"/>
      <c r="CI41" s="100"/>
      <c r="CJ41" s="11"/>
      <c r="CK41" s="11"/>
      <c r="CL41" s="11"/>
      <c r="CM41" s="100"/>
      <c r="CN41" s="11"/>
      <c r="CO41" s="11"/>
      <c r="CP41" s="11"/>
      <c r="CQ41" s="100"/>
      <c r="CR41" s="11"/>
      <c r="CS41" s="11"/>
      <c r="CT41" s="11"/>
      <c r="CU41" s="100"/>
      <c r="CV41" s="11"/>
      <c r="CW41" s="11"/>
      <c r="CX41" s="11"/>
      <c r="CY41" s="100"/>
      <c r="CZ41" s="17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6"/>
      <c r="DL41" s="504"/>
      <c r="DM41" s="6"/>
    </row>
    <row r="42" spans="1:117" ht="13.5" thickBot="1">
      <c r="A42" s="12" t="s">
        <v>29</v>
      </c>
      <c r="B42" s="12"/>
      <c r="C42" s="13"/>
      <c r="D42" s="13">
        <f>SUM(D10:D41)</f>
        <v>1814.222</v>
      </c>
      <c r="E42" s="13">
        <f>SUM(E10:E41)</f>
        <v>1773.8999999999996</v>
      </c>
      <c r="F42" s="13">
        <f>SUM(F10:F41)</f>
        <v>25756.485999999997</v>
      </c>
      <c r="G42" s="13">
        <f>SUM(G10:G41)</f>
        <v>0</v>
      </c>
      <c r="H42" s="21">
        <f>G42/$DG$42*100</f>
        <v>0</v>
      </c>
      <c r="I42" s="13"/>
      <c r="J42" s="13"/>
      <c r="K42" s="13">
        <f>SUM(K10:K41)</f>
        <v>0</v>
      </c>
      <c r="L42" s="21">
        <f>K42/$DG$42*100</f>
        <v>0</v>
      </c>
      <c r="M42" s="13"/>
      <c r="N42" s="13"/>
      <c r="O42" s="13">
        <f>SUM(O10:O41)</f>
        <v>153299.89599999998</v>
      </c>
      <c r="P42" s="21">
        <f>O42/$DG$42*100</f>
        <v>7.2076428614822694</v>
      </c>
      <c r="Q42" s="13"/>
      <c r="R42" s="13"/>
      <c r="S42" s="13">
        <f>SUM(S10:S41)</f>
        <v>0</v>
      </c>
      <c r="T42" s="21">
        <f>S42/$DG$42*100</f>
        <v>0</v>
      </c>
      <c r="U42" s="13"/>
      <c r="V42" s="13"/>
      <c r="W42" s="13">
        <f>SUM(W10:W41)</f>
        <v>0</v>
      </c>
      <c r="X42" s="21">
        <f>W42/$DG$42*100</f>
        <v>0</v>
      </c>
      <c r="Y42" s="13"/>
      <c r="Z42" s="13"/>
      <c r="AA42" s="13">
        <f>SUM(AA10:AA41)</f>
        <v>153299.89599999998</v>
      </c>
      <c r="AB42" s="21">
        <f>AA42/$DG$42*100</f>
        <v>7.2076428614822694</v>
      </c>
      <c r="AC42" s="13"/>
      <c r="AD42" s="13"/>
      <c r="AE42" s="13">
        <f>SUM(AE10:AE41)</f>
        <v>0</v>
      </c>
      <c r="AF42" s="21">
        <f>AE42/$DG$42*100</f>
        <v>0</v>
      </c>
      <c r="AG42" s="13"/>
      <c r="AH42" s="13"/>
      <c r="AI42" s="13">
        <f>SUM(AI10:AI41)</f>
        <v>0</v>
      </c>
      <c r="AJ42" s="21">
        <f>AI42/$DG$42*100</f>
        <v>0</v>
      </c>
      <c r="AK42" s="13"/>
      <c r="AL42" s="13"/>
      <c r="AM42" s="13">
        <f>SUM(AM10:AM41)</f>
        <v>0</v>
      </c>
      <c r="AN42" s="21">
        <f>AM42/$DG$42*100</f>
        <v>0</v>
      </c>
      <c r="AO42" s="13"/>
      <c r="AP42" s="13"/>
      <c r="AQ42" s="13">
        <f>SUM(AQ10:AQ41)</f>
        <v>749622.25079047016</v>
      </c>
      <c r="AR42" s="13">
        <f>AQ42/$DG$42*100</f>
        <v>35.244704045449602</v>
      </c>
      <c r="AS42" s="13"/>
      <c r="AT42" s="13"/>
      <c r="AU42" s="13">
        <f>SUM(AU10:AU41)</f>
        <v>112986.92179837024</v>
      </c>
      <c r="AV42" s="13">
        <f>AU42/$DG$42*100</f>
        <v>5.3122630973009839</v>
      </c>
      <c r="AW42" s="13"/>
      <c r="AX42" s="13"/>
      <c r="AY42" s="13">
        <f>SUM(AY10:AY41)</f>
        <v>37940</v>
      </c>
      <c r="AZ42" s="13">
        <f>AY42/$DG$42*100</f>
        <v>1.7838105393407264</v>
      </c>
      <c r="BA42" s="13"/>
      <c r="BB42" s="13"/>
      <c r="BC42" s="13">
        <f>SUM(BC10:BC41)</f>
        <v>0</v>
      </c>
      <c r="BD42" s="13">
        <f>BC42/$DG$42*100</f>
        <v>0</v>
      </c>
      <c r="BE42" s="13"/>
      <c r="BF42" s="13"/>
      <c r="BG42" s="13">
        <f>SUM(BG10:BG41)</f>
        <v>691426.74641441519</v>
      </c>
      <c r="BH42" s="13">
        <f>BG42/$DG$42*100</f>
        <v>32.508548166476068</v>
      </c>
      <c r="BI42" s="13"/>
      <c r="BJ42" s="13"/>
      <c r="BK42" s="13">
        <f>SUM(BK10:BK41)</f>
        <v>0</v>
      </c>
      <c r="BL42" s="13">
        <f>BK42/$DG$42*100</f>
        <v>0</v>
      </c>
      <c r="BM42" s="13"/>
      <c r="BN42" s="13"/>
      <c r="BO42" s="13">
        <f>SUM(BO10:BO41)</f>
        <v>14390</v>
      </c>
      <c r="BP42" s="13">
        <f>BO42/$DG$42*100</f>
        <v>0.67656915290229458</v>
      </c>
      <c r="BQ42" s="13"/>
      <c r="BR42" s="13"/>
      <c r="BS42" s="13">
        <f>SUM(BS10:BS41)</f>
        <v>122730</v>
      </c>
      <c r="BT42" s="13">
        <f>BS42/$DG$42*100</f>
        <v>5.7703496967128984</v>
      </c>
      <c r="BU42" s="13"/>
      <c r="BV42" s="13"/>
      <c r="BW42" s="13">
        <f>SUM(BW10:BW41)</f>
        <v>6460</v>
      </c>
      <c r="BX42" s="13">
        <f>BW42/$DG$42*100</f>
        <v>0.30372736120561661</v>
      </c>
      <c r="BY42" s="13"/>
      <c r="BZ42" s="13"/>
      <c r="CA42" s="13">
        <f>SUM(CA10:CA41)</f>
        <v>21194.865492624864</v>
      </c>
      <c r="CB42" s="13">
        <f>CA42/$DG$42*100</f>
        <v>0.99651092371252814</v>
      </c>
      <c r="CC42" s="13"/>
      <c r="CD42" s="13"/>
      <c r="CE42" s="13">
        <f>SUM(CE10:CE41)</f>
        <v>79326.1370278658</v>
      </c>
      <c r="CF42" s="13">
        <f>CE42/$DG$42*100</f>
        <v>3.7296467916577138</v>
      </c>
      <c r="CG42" s="13"/>
      <c r="CH42" s="13"/>
      <c r="CI42" s="13">
        <f>SUM(CI10:CI41)</f>
        <v>3400</v>
      </c>
      <c r="CJ42" s="13">
        <f>CI42/$DG$42*100</f>
        <v>0.15985650589769296</v>
      </c>
      <c r="CK42" s="13"/>
      <c r="CL42" s="13"/>
      <c r="CM42" s="13">
        <f>SUM(CM10:CM41)</f>
        <v>120632.46010863673</v>
      </c>
      <c r="CN42" s="13">
        <f>CM42/$DG$42*100</f>
        <v>5.6717304620027935</v>
      </c>
      <c r="CO42" s="13"/>
      <c r="CP42" s="13"/>
      <c r="CQ42" s="13">
        <f>SUM(CQ10:CQ41)</f>
        <v>13498.214125241497</v>
      </c>
      <c r="CR42" s="13">
        <f>CQ42/$DG$42*100</f>
        <v>0.63464039585882048</v>
      </c>
      <c r="CS42" s="13"/>
      <c r="CT42" s="13"/>
      <c r="CU42" s="13">
        <f>SUM(CU10:CU41)</f>
        <v>1973607.5957576241</v>
      </c>
      <c r="CV42" s="13">
        <f>CU42/$DG$42*100</f>
        <v>92.79235713851773</v>
      </c>
      <c r="CW42" s="13"/>
      <c r="CX42" s="13"/>
      <c r="CY42" s="13">
        <f>SUM(CY10:CY41)</f>
        <v>0</v>
      </c>
      <c r="CZ42" s="13">
        <f>CY42/$DG$42*100</f>
        <v>0</v>
      </c>
      <c r="DA42" s="13"/>
      <c r="DB42" s="13"/>
      <c r="DC42" s="13">
        <f>SUM(DC10:DC41)</f>
        <v>0</v>
      </c>
      <c r="DD42" s="585">
        <f>DC42/$DG$42*100</f>
        <v>0</v>
      </c>
      <c r="DE42" s="13"/>
      <c r="DF42" s="13"/>
      <c r="DG42" s="564">
        <f>+AA42+CU42+CY42+DC42</f>
        <v>2126907.4917576243</v>
      </c>
      <c r="DH42" s="13">
        <f>DG42/$DG$42*100</f>
        <v>100</v>
      </c>
      <c r="DI42" s="13">
        <f>DG42/1000/E42</f>
        <v>1.1990007845750184</v>
      </c>
      <c r="DJ42" s="13"/>
      <c r="DK42" s="6"/>
      <c r="DL42" s="504"/>
      <c r="DM42" s="6"/>
    </row>
    <row r="43" spans="1:117" ht="13.5" thickTop="1"/>
    <row r="44" spans="1:117">
      <c r="G44" s="15">
        <f>+G42+K42</f>
        <v>0</v>
      </c>
      <c r="AQ44" s="15"/>
      <c r="AU44" s="15"/>
      <c r="AY44" s="15"/>
      <c r="BC44" s="15"/>
      <c r="BG44" s="15"/>
      <c r="BK44" s="15"/>
      <c r="CE44" s="15"/>
      <c r="CI44" s="15"/>
      <c r="DD44" s="15"/>
    </row>
    <row r="45" spans="1:117">
      <c r="E45" s="15"/>
      <c r="F45" s="15"/>
      <c r="G45" s="15">
        <f>+DG42</f>
        <v>2126907.4917576243</v>
      </c>
      <c r="I45" s="15"/>
      <c r="AQ45" s="15"/>
      <c r="AU45" s="15"/>
      <c r="AY45" s="15"/>
      <c r="BC45" s="15"/>
      <c r="BG45" s="15"/>
      <c r="BK45" s="15"/>
      <c r="CE45" s="15"/>
      <c r="CI45" s="15"/>
    </row>
    <row r="46" spans="1:117">
      <c r="G46" s="507">
        <f>+G44/G45</f>
        <v>0</v>
      </c>
    </row>
    <row r="48" spans="1:117">
      <c r="G48">
        <f>+G42/G7</f>
        <v>0</v>
      </c>
      <c r="K48">
        <f>+K42/K7</f>
        <v>0</v>
      </c>
    </row>
  </sheetData>
  <mergeCells count="34">
    <mergeCell ref="A8:A9"/>
    <mergeCell ref="B8:B9"/>
    <mergeCell ref="C8:C9"/>
    <mergeCell ref="D8:D9"/>
    <mergeCell ref="E8:F8"/>
    <mergeCell ref="G8:J8"/>
    <mergeCell ref="K8:N8"/>
    <mergeCell ref="O8:R8"/>
    <mergeCell ref="S8:V8"/>
    <mergeCell ref="W8:Z8"/>
    <mergeCell ref="BO8:BR8"/>
    <mergeCell ref="BS8:BV8"/>
    <mergeCell ref="AA8:AD8"/>
    <mergeCell ref="AE8:AH8"/>
    <mergeCell ref="AI8:AL8"/>
    <mergeCell ref="AM8:AP8"/>
    <mergeCell ref="AQ8:AT8"/>
    <mergeCell ref="AU8:AX8"/>
    <mergeCell ref="AY8:BB8"/>
    <mergeCell ref="BC8:BF8"/>
    <mergeCell ref="BG8:BJ8"/>
    <mergeCell ref="BK8:BN8"/>
    <mergeCell ref="DG8:DH8"/>
    <mergeCell ref="DI8:DJ8"/>
    <mergeCell ref="DK8:DL8"/>
    <mergeCell ref="BW8:BZ8"/>
    <mergeCell ref="CA8:CD8"/>
    <mergeCell ref="CE8:CH8"/>
    <mergeCell ref="CY8:DB8"/>
    <mergeCell ref="DC8:DF8"/>
    <mergeCell ref="CM8:CP8"/>
    <mergeCell ref="CI8:CL8"/>
    <mergeCell ref="CQ8:CT8"/>
    <mergeCell ref="CU8:CX8"/>
  </mergeCells>
  <phoneticPr fontId="31" type="noConversion"/>
  <pageMargins left="0.19513888888888889" right="0.19513888888888889" top="0.05" bottom="0.05" header="0" footer="0"/>
  <pageSetup paperSize="9" scale="70" firstPageNumber="4294963191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39"/>
  <sheetViews>
    <sheetView workbookViewId="0">
      <pane xSplit="1" topLeftCell="AB1" activePane="topRight" state="frozen"/>
      <selection activeCell="DM11" sqref="A4:DM11"/>
      <selection pane="topRight" activeCell="AG4" sqref="AG4"/>
    </sheetView>
  </sheetViews>
  <sheetFormatPr defaultRowHeight="12.75"/>
  <cols>
    <col min="1" max="1" width="17.5703125" bestFit="1" customWidth="1"/>
    <col min="2" max="13" width="9.140625" hidden="1" customWidth="1"/>
    <col min="14" max="14" width="9.42578125" hidden="1" customWidth="1"/>
    <col min="15" max="27" width="9.140625" hidden="1" customWidth="1"/>
    <col min="28" max="32" width="9.140625" customWidth="1"/>
    <col min="34" max="34" width="10.85546875" bestFit="1" customWidth="1"/>
    <col min="35" max="35" width="16.28515625" bestFit="1" customWidth="1"/>
  </cols>
  <sheetData>
    <row r="1" spans="1:35">
      <c r="B1">
        <v>3900</v>
      </c>
      <c r="C1">
        <v>3800</v>
      </c>
      <c r="D1">
        <v>0</v>
      </c>
      <c r="E1">
        <v>0</v>
      </c>
      <c r="F1">
        <v>5610</v>
      </c>
      <c r="G1">
        <v>5560</v>
      </c>
      <c r="H1">
        <v>5570</v>
      </c>
      <c r="I1">
        <v>5250</v>
      </c>
      <c r="J1">
        <v>3400</v>
      </c>
      <c r="K1">
        <v>3700</v>
      </c>
      <c r="L1">
        <v>3200</v>
      </c>
      <c r="M1">
        <v>6000</v>
      </c>
      <c r="N1">
        <v>6500</v>
      </c>
      <c r="O1">
        <v>5900</v>
      </c>
      <c r="P1">
        <v>6000</v>
      </c>
      <c r="Q1">
        <v>3800</v>
      </c>
      <c r="R1">
        <v>3600</v>
      </c>
      <c r="S1">
        <v>5400</v>
      </c>
      <c r="T1">
        <v>6400</v>
      </c>
      <c r="U1">
        <v>6600</v>
      </c>
      <c r="V1">
        <v>5400</v>
      </c>
      <c r="W1">
        <v>3700</v>
      </c>
      <c r="X1">
        <v>3900</v>
      </c>
      <c r="Y1">
        <v>3600</v>
      </c>
      <c r="Z1">
        <v>3500</v>
      </c>
      <c r="AA1">
        <v>3100</v>
      </c>
      <c r="AB1">
        <v>3840</v>
      </c>
      <c r="AC1">
        <v>3460</v>
      </c>
      <c r="AD1">
        <v>3950</v>
      </c>
      <c r="AE1">
        <v>6170</v>
      </c>
      <c r="AF1">
        <v>5170</v>
      </c>
    </row>
    <row r="2" spans="1:35" ht="15">
      <c r="A2" s="6"/>
      <c r="B2" s="6">
        <v>1</v>
      </c>
      <c r="C2" s="6">
        <v>2</v>
      </c>
      <c r="D2" s="6">
        <v>3</v>
      </c>
      <c r="E2" s="6">
        <v>4</v>
      </c>
      <c r="F2" s="6">
        <v>5</v>
      </c>
      <c r="G2" s="6">
        <v>6</v>
      </c>
      <c r="H2" s="6">
        <v>7</v>
      </c>
      <c r="I2" s="6">
        <v>8</v>
      </c>
      <c r="J2" s="6">
        <v>9</v>
      </c>
      <c r="K2" s="6">
        <v>10</v>
      </c>
      <c r="L2" s="6">
        <v>11</v>
      </c>
      <c r="M2" s="6">
        <v>12</v>
      </c>
      <c r="N2" s="6">
        <v>13</v>
      </c>
      <c r="O2" s="6">
        <v>14</v>
      </c>
      <c r="P2" s="6">
        <v>15</v>
      </c>
      <c r="Q2" s="6">
        <v>16</v>
      </c>
      <c r="R2" s="6">
        <v>17</v>
      </c>
      <c r="S2" s="6">
        <v>18</v>
      </c>
      <c r="T2" s="6">
        <v>19</v>
      </c>
      <c r="U2" s="6">
        <v>20</v>
      </c>
      <c r="V2" s="6">
        <v>21</v>
      </c>
      <c r="W2" s="6">
        <v>22</v>
      </c>
      <c r="X2" s="6">
        <v>23</v>
      </c>
      <c r="Y2" s="6">
        <v>24</v>
      </c>
      <c r="Z2" s="6">
        <v>25</v>
      </c>
      <c r="AA2" s="6">
        <v>26</v>
      </c>
      <c r="AB2" s="6">
        <v>27</v>
      </c>
      <c r="AC2" s="6">
        <v>28</v>
      </c>
      <c r="AD2" s="6">
        <v>29</v>
      </c>
      <c r="AE2" s="6">
        <v>30</v>
      </c>
      <c r="AF2" s="6">
        <v>31</v>
      </c>
      <c r="AG2" s="481" t="s">
        <v>259</v>
      </c>
      <c r="AH2" s="483" t="s">
        <v>260</v>
      </c>
      <c r="AI2" s="493" t="s">
        <v>274</v>
      </c>
    </row>
    <row r="3" spans="1:35">
      <c r="A3" s="471" t="s">
        <v>204</v>
      </c>
      <c r="B3" s="6">
        <v>1.5</v>
      </c>
      <c r="C3" s="6">
        <v>5.0999999999999996</v>
      </c>
      <c r="D3" s="6">
        <v>0</v>
      </c>
      <c r="E3" s="6">
        <v>0</v>
      </c>
      <c r="F3" s="6">
        <v>2.4</v>
      </c>
      <c r="G3" s="6">
        <v>3.3</v>
      </c>
      <c r="H3" s="6">
        <v>3.3</v>
      </c>
      <c r="I3" s="6">
        <v>3.4</v>
      </c>
      <c r="J3" s="6">
        <v>4.4000000000000004</v>
      </c>
      <c r="K3" s="6">
        <v>2.8</v>
      </c>
      <c r="L3" s="6">
        <v>4.8</v>
      </c>
      <c r="M3" s="6">
        <v>7.3</v>
      </c>
      <c r="N3" s="6">
        <v>8.6</v>
      </c>
      <c r="O3" s="6">
        <v>8</v>
      </c>
      <c r="P3" s="6">
        <v>4.5999999999999996</v>
      </c>
      <c r="Q3" s="6">
        <v>2.4</v>
      </c>
      <c r="R3" s="6">
        <v>2</v>
      </c>
      <c r="S3" s="6">
        <v>4.4000000000000004</v>
      </c>
      <c r="T3" s="6">
        <v>3.6</v>
      </c>
      <c r="U3" s="6">
        <v>4.0999999999999996</v>
      </c>
      <c r="V3" s="6">
        <v>2.8</v>
      </c>
      <c r="W3" s="6">
        <v>3</v>
      </c>
      <c r="X3" s="6">
        <v>3</v>
      </c>
      <c r="Y3" s="6">
        <v>1.5</v>
      </c>
      <c r="Z3" s="6">
        <v>1.5</v>
      </c>
      <c r="AA3" s="6">
        <v>1.4</v>
      </c>
      <c r="AB3" s="6">
        <v>3</v>
      </c>
      <c r="AC3" s="6">
        <v>3</v>
      </c>
      <c r="AD3" s="6">
        <v>4.4000000000000004</v>
      </c>
      <c r="AE3" s="6">
        <v>2.2000000000000002</v>
      </c>
      <c r="AF3" s="6">
        <v>0.9</v>
      </c>
      <c r="AG3" s="6">
        <f>+AF3</f>
        <v>0.9</v>
      </c>
      <c r="AH3" s="482">
        <f>+AG3/Efficiency1!$K$158</f>
        <v>4.4137447987969796E-4</v>
      </c>
      <c r="AI3" s="764">
        <f>SUM(AH3:AH4)</f>
        <v>5.3945769763074193E-4</v>
      </c>
    </row>
    <row r="4" spans="1:35">
      <c r="A4" s="471" t="s">
        <v>275</v>
      </c>
      <c r="B4" s="6">
        <v>0.3</v>
      </c>
      <c r="C4" s="6">
        <v>0.2</v>
      </c>
      <c r="D4" s="6">
        <v>0.5</v>
      </c>
      <c r="E4" s="6">
        <v>0</v>
      </c>
      <c r="F4" s="6">
        <v>1.3</v>
      </c>
      <c r="G4" s="6">
        <v>1.5</v>
      </c>
      <c r="H4" s="6">
        <v>1.1000000000000001</v>
      </c>
      <c r="I4" s="6">
        <v>1.4</v>
      </c>
      <c r="J4" s="6">
        <v>0.1</v>
      </c>
      <c r="K4" s="6">
        <v>1.7</v>
      </c>
      <c r="L4" s="6">
        <v>1.3</v>
      </c>
      <c r="M4" s="6">
        <v>0.6</v>
      </c>
      <c r="N4" s="472">
        <v>3.2</v>
      </c>
      <c r="O4" s="472">
        <v>2.4</v>
      </c>
      <c r="P4" s="6">
        <v>1.5</v>
      </c>
      <c r="Q4" s="6">
        <v>1</v>
      </c>
      <c r="R4" s="6">
        <v>0.2</v>
      </c>
      <c r="S4" s="6">
        <v>0.4</v>
      </c>
      <c r="T4" s="6">
        <v>0.5</v>
      </c>
      <c r="U4" s="6">
        <v>0.1</v>
      </c>
      <c r="V4" s="6">
        <v>1.2</v>
      </c>
      <c r="W4" s="472">
        <v>1</v>
      </c>
      <c r="X4" s="6">
        <v>0.3</v>
      </c>
      <c r="Y4" s="6">
        <v>0.6</v>
      </c>
      <c r="Z4" s="6">
        <v>1.6</v>
      </c>
      <c r="AA4" s="6">
        <v>0.3</v>
      </c>
      <c r="AB4" s="6">
        <v>1</v>
      </c>
      <c r="AC4" s="6">
        <v>1</v>
      </c>
      <c r="AD4" s="6">
        <v>0.2</v>
      </c>
      <c r="AE4" s="6">
        <v>0.6</v>
      </c>
      <c r="AF4" s="6">
        <v>0.2</v>
      </c>
      <c r="AG4" s="6">
        <f>+AF4</f>
        <v>0.2</v>
      </c>
      <c r="AH4" s="482">
        <f>+AG4/Efficiency1!$K$158</f>
        <v>9.8083217751043992E-5</v>
      </c>
      <c r="AI4" s="765"/>
    </row>
    <row r="5" spans="1:35">
      <c r="A5" s="494"/>
      <c r="B5" s="495"/>
      <c r="C5" s="495"/>
      <c r="D5" s="495"/>
      <c r="E5" s="495"/>
      <c r="F5" s="495"/>
      <c r="G5" s="495"/>
      <c r="H5" s="495"/>
      <c r="I5" s="495"/>
      <c r="J5" s="495"/>
      <c r="K5" s="495"/>
      <c r="L5" s="495"/>
      <c r="M5" s="495"/>
      <c r="N5" s="496"/>
      <c r="O5" s="496"/>
      <c r="P5" s="495"/>
      <c r="Q5" s="495"/>
      <c r="R5" s="495"/>
      <c r="S5" s="495"/>
      <c r="T5" s="495"/>
      <c r="U5" s="495"/>
      <c r="V5" s="495"/>
      <c r="W5" s="496"/>
      <c r="X5" s="495"/>
      <c r="Y5" s="495"/>
      <c r="Z5" s="495"/>
      <c r="AA5" s="495"/>
      <c r="AB5" s="495"/>
      <c r="AC5" s="495"/>
      <c r="AD5" s="495"/>
      <c r="AE5" s="495"/>
      <c r="AF5" s="495"/>
      <c r="AG5" s="495"/>
      <c r="AH5" s="497"/>
    </row>
    <row r="6" spans="1:35">
      <c r="A6" s="471" t="s">
        <v>205</v>
      </c>
      <c r="B6" s="472">
        <v>0.3</v>
      </c>
      <c r="C6" s="472">
        <v>0.3</v>
      </c>
      <c r="D6" s="6">
        <v>0.3</v>
      </c>
      <c r="E6" s="6">
        <v>0</v>
      </c>
      <c r="F6" s="6">
        <v>0.4</v>
      </c>
      <c r="G6" s="6">
        <v>0.3</v>
      </c>
      <c r="H6" s="6">
        <v>0.3</v>
      </c>
      <c r="I6" s="6">
        <v>0.3</v>
      </c>
      <c r="J6" s="6">
        <v>0.3</v>
      </c>
      <c r="K6" s="6">
        <v>0.3</v>
      </c>
      <c r="L6" s="6">
        <v>0.3</v>
      </c>
      <c r="M6" s="6">
        <v>0.3</v>
      </c>
      <c r="N6" s="6">
        <v>0.4</v>
      </c>
      <c r="O6" s="6">
        <v>0.3</v>
      </c>
      <c r="P6" s="6">
        <v>0.3</v>
      </c>
      <c r="Q6" s="6">
        <v>0.3</v>
      </c>
      <c r="R6" s="6">
        <v>0.3</v>
      </c>
      <c r="S6" s="6">
        <v>0.3</v>
      </c>
      <c r="T6" s="6">
        <v>0.3</v>
      </c>
      <c r="U6" s="6">
        <v>0.3</v>
      </c>
      <c r="V6" s="6">
        <v>0.3</v>
      </c>
      <c r="W6" s="472">
        <v>0.3</v>
      </c>
      <c r="X6" s="6">
        <v>0.3</v>
      </c>
      <c r="Y6" s="6">
        <v>0.3</v>
      </c>
      <c r="Z6" s="472">
        <v>0.3</v>
      </c>
      <c r="AA6" s="6">
        <v>0.3</v>
      </c>
      <c r="AB6" s="6">
        <v>0.3</v>
      </c>
      <c r="AC6" s="6">
        <v>0.3</v>
      </c>
      <c r="AD6" s="6">
        <v>0.25</v>
      </c>
      <c r="AE6" s="6">
        <v>0.3</v>
      </c>
      <c r="AF6" s="6">
        <v>0.3</v>
      </c>
      <c r="AG6" s="6">
        <f t="shared" ref="AG6:AG37" si="0">+SUM(B6:AF6)</f>
        <v>9.1499999999999986</v>
      </c>
      <c r="AH6" s="498">
        <f t="shared" ref="AH6:AH36" si="1">+AG6/$AG$39</f>
        <v>0.22187196896217259</v>
      </c>
    </row>
    <row r="7" spans="1:35">
      <c r="A7" s="471" t="s">
        <v>276</v>
      </c>
      <c r="B7" s="6"/>
      <c r="C7" s="6"/>
      <c r="D7" s="6"/>
      <c r="E7" s="6"/>
      <c r="F7" s="6">
        <v>0.9</v>
      </c>
      <c r="G7" s="6"/>
      <c r="H7" s="6"/>
      <c r="I7" s="6"/>
      <c r="J7" s="6"/>
      <c r="K7" s="6"/>
      <c r="L7" s="6"/>
      <c r="M7" s="6"/>
      <c r="N7" s="6">
        <f>0.6+0.4</f>
        <v>1</v>
      </c>
      <c r="O7" s="6"/>
      <c r="P7" s="6">
        <v>0.3</v>
      </c>
      <c r="Q7" s="6"/>
      <c r="R7">
        <v>0.2</v>
      </c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>
        <f t="shared" si="0"/>
        <v>2.4</v>
      </c>
      <c r="AH7" s="482">
        <f t="shared" si="1"/>
        <v>5.8195926285160036E-2</v>
      </c>
    </row>
    <row r="8" spans="1:35">
      <c r="A8" s="499" t="s">
        <v>455</v>
      </c>
      <c r="B8" s="6"/>
      <c r="C8" s="6"/>
      <c r="D8" s="6">
        <v>0.5</v>
      </c>
      <c r="E8" s="6"/>
      <c r="F8" s="6"/>
      <c r="G8" s="6"/>
      <c r="H8" s="6"/>
      <c r="I8" s="6"/>
      <c r="J8" s="6"/>
      <c r="K8" s="6"/>
      <c r="L8" s="6"/>
      <c r="M8" s="6"/>
      <c r="N8" s="6"/>
      <c r="O8" s="7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>
        <f t="shared" si="0"/>
        <v>0.5</v>
      </c>
      <c r="AH8" s="482">
        <f t="shared" si="1"/>
        <v>1.2124151309408341E-2</v>
      </c>
    </row>
    <row r="9" spans="1:35">
      <c r="A9" s="471" t="s">
        <v>206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7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>
        <f t="shared" si="0"/>
        <v>0</v>
      </c>
      <c r="AH9" s="482">
        <f t="shared" si="1"/>
        <v>0</v>
      </c>
    </row>
    <row r="10" spans="1:35">
      <c r="A10" s="471" t="s">
        <v>207</v>
      </c>
      <c r="B10" s="6">
        <v>0.5</v>
      </c>
      <c r="C10" s="6"/>
      <c r="D10" s="6">
        <v>0.5</v>
      </c>
      <c r="E10" s="6"/>
      <c r="F10" s="6"/>
      <c r="G10" s="6">
        <v>0.2</v>
      </c>
      <c r="H10" s="6"/>
      <c r="I10" s="6"/>
      <c r="J10" s="6"/>
      <c r="K10" s="6">
        <v>2.2000000000000002</v>
      </c>
      <c r="L10" s="6"/>
      <c r="M10" s="6"/>
      <c r="N10" s="6">
        <v>0.4</v>
      </c>
      <c r="O10" s="6"/>
      <c r="P10" s="6"/>
      <c r="Q10" s="6">
        <v>0.45</v>
      </c>
      <c r="R10" s="6"/>
      <c r="S10" s="6"/>
      <c r="T10" s="6"/>
      <c r="U10" s="6"/>
      <c r="V10" s="6"/>
      <c r="W10" s="6">
        <v>0.6</v>
      </c>
      <c r="X10" s="6"/>
      <c r="Y10" s="6"/>
      <c r="Z10" s="6"/>
      <c r="AA10" s="6">
        <v>0.65</v>
      </c>
      <c r="AB10" s="6"/>
      <c r="AC10" s="6"/>
      <c r="AD10" s="6"/>
      <c r="AE10" s="6"/>
      <c r="AF10" s="6"/>
      <c r="AG10" s="6">
        <f t="shared" si="0"/>
        <v>5.5</v>
      </c>
      <c r="AH10" s="482">
        <f t="shared" si="1"/>
        <v>0.13336566440349176</v>
      </c>
    </row>
    <row r="11" spans="1:35">
      <c r="A11" s="471" t="s">
        <v>208</v>
      </c>
      <c r="B11" s="6"/>
      <c r="C11" s="6">
        <v>0.7</v>
      </c>
      <c r="D11" s="6"/>
      <c r="E11" s="6"/>
      <c r="F11" s="6"/>
      <c r="G11" s="6">
        <v>0.3</v>
      </c>
      <c r="H11" s="6"/>
      <c r="I11" s="6"/>
      <c r="J11" s="6">
        <v>0.3</v>
      </c>
      <c r="K11" s="6">
        <v>0.2</v>
      </c>
      <c r="L11" s="6"/>
      <c r="M11" s="6">
        <v>0.4</v>
      </c>
      <c r="N11" s="6"/>
      <c r="O11" s="6"/>
      <c r="P11" s="6"/>
      <c r="Q11" s="6"/>
      <c r="R11" s="6"/>
      <c r="S11" s="6">
        <v>0.2</v>
      </c>
      <c r="T11" s="6">
        <v>0.2</v>
      </c>
      <c r="U11" s="6">
        <v>0.5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f t="shared" si="0"/>
        <v>2.8000000000000003</v>
      </c>
      <c r="AH11" s="482">
        <f t="shared" si="1"/>
        <v>6.7895247332686717E-2</v>
      </c>
    </row>
    <row r="12" spans="1:35">
      <c r="A12" s="471" t="s">
        <v>209</v>
      </c>
      <c r="B12" s="6"/>
      <c r="C12" s="6"/>
      <c r="D12" s="6"/>
      <c r="E12" s="6"/>
      <c r="F12" s="6"/>
      <c r="G12" s="6">
        <f>0.28+0.2</f>
        <v>0.48000000000000004</v>
      </c>
      <c r="H12" s="6">
        <f>0.4+0.2</f>
        <v>0.60000000000000009</v>
      </c>
      <c r="I12" s="6"/>
      <c r="J12" s="6">
        <v>1.66</v>
      </c>
      <c r="K12" s="6"/>
      <c r="L12" s="6"/>
      <c r="M12" s="6">
        <v>0.55000000000000004</v>
      </c>
      <c r="N12" s="6"/>
      <c r="O12" s="6"/>
      <c r="P12" s="6">
        <v>0.1</v>
      </c>
      <c r="Q12" s="6">
        <f>0.4+0.3</f>
        <v>0.7</v>
      </c>
      <c r="R12" s="6"/>
      <c r="S12" s="6">
        <f>0.5+0.4</f>
        <v>0.9</v>
      </c>
      <c r="T12" s="6"/>
      <c r="U12" s="6"/>
      <c r="V12" s="6">
        <v>0.7</v>
      </c>
      <c r="W12" s="6"/>
      <c r="X12" s="6">
        <v>0.2</v>
      </c>
      <c r="Y12" s="6">
        <v>0.3</v>
      </c>
      <c r="Z12" s="6"/>
      <c r="AA12" s="6"/>
      <c r="AB12" s="6"/>
      <c r="AC12" s="6"/>
      <c r="AD12" s="6">
        <v>0.1</v>
      </c>
      <c r="AE12" s="6">
        <v>0.1</v>
      </c>
      <c r="AF12" s="6">
        <v>0.5</v>
      </c>
      <c r="AG12" s="6">
        <f t="shared" si="0"/>
        <v>6.89</v>
      </c>
      <c r="AH12" s="482">
        <f t="shared" si="1"/>
        <v>0.16707080504364694</v>
      </c>
    </row>
    <row r="13" spans="1:35">
      <c r="A13" s="471" t="s">
        <v>210</v>
      </c>
      <c r="B13" s="6"/>
      <c r="C13" s="6">
        <v>1.5</v>
      </c>
      <c r="D13" s="6"/>
      <c r="E13" s="6"/>
      <c r="F13" s="6"/>
      <c r="G13" s="6">
        <v>0.8</v>
      </c>
      <c r="H13" s="6"/>
      <c r="I13" s="6">
        <v>0.8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0.7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>
        <f t="shared" si="0"/>
        <v>3.8</v>
      </c>
      <c r="AH13" s="482">
        <f t="shared" si="1"/>
        <v>9.2143549951503381E-2</v>
      </c>
    </row>
    <row r="14" spans="1:35">
      <c r="A14" s="471" t="s">
        <v>445</v>
      </c>
      <c r="B14" s="6"/>
      <c r="C14" s="6">
        <v>0.7</v>
      </c>
      <c r="D14" s="6"/>
      <c r="E14" s="6"/>
      <c r="F14" s="6">
        <v>0.5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f t="shared" si="0"/>
        <v>1.2</v>
      </c>
      <c r="AH14" s="482">
        <f t="shared" si="1"/>
        <v>2.9097963142580018E-2</v>
      </c>
    </row>
    <row r="15" spans="1:35">
      <c r="A15" s="471" t="s">
        <v>456</v>
      </c>
      <c r="B15" s="6"/>
      <c r="C15" s="6"/>
      <c r="D15" s="6">
        <v>1.2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>
        <f t="shared" si="0"/>
        <v>1.2</v>
      </c>
      <c r="AH15" s="482">
        <f t="shared" si="1"/>
        <v>2.9097963142580018E-2</v>
      </c>
    </row>
    <row r="16" spans="1:35">
      <c r="A16" s="471" t="s">
        <v>396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>
        <f t="shared" si="0"/>
        <v>0</v>
      </c>
      <c r="AH16" s="482">
        <f t="shared" si="1"/>
        <v>0</v>
      </c>
    </row>
    <row r="17" spans="1:34">
      <c r="A17" s="471" t="s">
        <v>277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>
        <f t="shared" si="0"/>
        <v>0</v>
      </c>
      <c r="AH17" s="482">
        <f t="shared" si="1"/>
        <v>0</v>
      </c>
    </row>
    <row r="18" spans="1:34">
      <c r="A18" s="471" t="s">
        <v>278</v>
      </c>
      <c r="B18" s="6"/>
      <c r="C18" s="6">
        <f>1+0.3</f>
        <v>1.3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472"/>
      <c r="P18" s="6">
        <f>0.5+0.4</f>
        <v>0.9</v>
      </c>
      <c r="Q18" s="6">
        <v>0.3</v>
      </c>
      <c r="R18" s="6">
        <v>0.3</v>
      </c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>
        <f t="shared" si="0"/>
        <v>2.8</v>
      </c>
      <c r="AH18" s="482">
        <f t="shared" si="1"/>
        <v>6.7895247332686703E-2</v>
      </c>
    </row>
    <row r="19" spans="1:34">
      <c r="A19" s="471" t="s">
        <v>211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>
        <f t="shared" si="0"/>
        <v>0</v>
      </c>
      <c r="AH19" s="482">
        <f t="shared" si="1"/>
        <v>0</v>
      </c>
    </row>
    <row r="20" spans="1:34">
      <c r="A20" s="471" t="s">
        <v>212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>
        <v>0.9</v>
      </c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>
        <f t="shared" si="0"/>
        <v>0.9</v>
      </c>
      <c r="AH20" s="482">
        <f t="shared" si="1"/>
        <v>2.1823472356935013E-2</v>
      </c>
    </row>
    <row r="21" spans="1:34">
      <c r="A21" s="471" t="s">
        <v>213</v>
      </c>
      <c r="B21" s="6"/>
      <c r="C21" s="6"/>
      <c r="D21" s="6"/>
      <c r="E21" s="6"/>
      <c r="F21" s="6">
        <v>0.9</v>
      </c>
      <c r="G21" s="6">
        <v>0.4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>
        <f t="shared" si="0"/>
        <v>1.3</v>
      </c>
      <c r="AH21" s="482">
        <f t="shared" si="1"/>
        <v>3.1522793404461687E-2</v>
      </c>
    </row>
    <row r="22" spans="1:34">
      <c r="A22" s="471" t="s">
        <v>214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>
        <f t="shared" si="0"/>
        <v>0</v>
      </c>
      <c r="AH22" s="482">
        <f t="shared" si="1"/>
        <v>0</v>
      </c>
    </row>
    <row r="23" spans="1:34">
      <c r="A23" s="471" t="s">
        <v>215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>
        <f t="shared" si="0"/>
        <v>0</v>
      </c>
      <c r="AH23" s="482">
        <f t="shared" si="1"/>
        <v>0</v>
      </c>
    </row>
    <row r="24" spans="1:34">
      <c r="A24" s="471" t="s">
        <v>279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>
        <f t="shared" si="0"/>
        <v>0</v>
      </c>
      <c r="AH24" s="482">
        <f t="shared" si="1"/>
        <v>0</v>
      </c>
    </row>
    <row r="25" spans="1:34">
      <c r="A25" s="471" t="s">
        <v>216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>
        <f t="shared" si="0"/>
        <v>0</v>
      </c>
      <c r="AH25" s="482">
        <f t="shared" si="1"/>
        <v>0</v>
      </c>
    </row>
    <row r="26" spans="1:34">
      <c r="A26" s="471" t="s">
        <v>217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>
        <f t="shared" si="0"/>
        <v>0</v>
      </c>
      <c r="AH26" s="482">
        <f t="shared" si="1"/>
        <v>0</v>
      </c>
    </row>
    <row r="27" spans="1:34">
      <c r="A27" s="471" t="s">
        <v>280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>
        <v>0.6</v>
      </c>
      <c r="AE27" s="6"/>
      <c r="AF27" s="6"/>
      <c r="AG27" s="6">
        <f t="shared" si="0"/>
        <v>0.6</v>
      </c>
      <c r="AH27" s="482">
        <f t="shared" si="1"/>
        <v>1.4548981571290009E-2</v>
      </c>
    </row>
    <row r="28" spans="1:34">
      <c r="A28" s="471" t="s">
        <v>218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>
        <f t="shared" si="0"/>
        <v>0</v>
      </c>
      <c r="AH28" s="482">
        <f t="shared" si="1"/>
        <v>0</v>
      </c>
    </row>
    <row r="29" spans="1:34">
      <c r="A29" s="471" t="s">
        <v>219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>
        <f t="shared" si="0"/>
        <v>0</v>
      </c>
      <c r="AH29" s="482">
        <f t="shared" si="1"/>
        <v>0</v>
      </c>
    </row>
    <row r="30" spans="1:34">
      <c r="A30" s="471" t="s">
        <v>220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>
        <f t="shared" si="0"/>
        <v>0</v>
      </c>
      <c r="AH30" s="482">
        <f t="shared" si="1"/>
        <v>0</v>
      </c>
    </row>
    <row r="31" spans="1:34">
      <c r="A31" s="471" t="s">
        <v>281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>
        <f t="shared" si="0"/>
        <v>0</v>
      </c>
      <c r="AH31" s="482">
        <f t="shared" si="1"/>
        <v>0</v>
      </c>
    </row>
    <row r="32" spans="1:34">
      <c r="A32" s="471" t="s">
        <v>221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>
        <f t="shared" si="0"/>
        <v>0</v>
      </c>
      <c r="AH32" s="482">
        <f t="shared" si="1"/>
        <v>0</v>
      </c>
    </row>
    <row r="33" spans="1:34">
      <c r="A33" s="471" t="s">
        <v>222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>
        <f t="shared" si="0"/>
        <v>0</v>
      </c>
      <c r="AH33" s="482">
        <f t="shared" si="1"/>
        <v>0</v>
      </c>
    </row>
    <row r="34" spans="1:34">
      <c r="A34" s="473" t="s">
        <v>223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>
        <f t="shared" si="0"/>
        <v>0</v>
      </c>
      <c r="AH34" s="482">
        <f t="shared" si="1"/>
        <v>0</v>
      </c>
    </row>
    <row r="35" spans="1:34">
      <c r="A35" s="473" t="s">
        <v>224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>
        <f t="shared" si="0"/>
        <v>0</v>
      </c>
      <c r="AH35" s="482">
        <f t="shared" si="1"/>
        <v>0</v>
      </c>
    </row>
    <row r="36" spans="1:34">
      <c r="A36" s="473" t="s">
        <v>225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>
        <f t="shared" si="0"/>
        <v>0</v>
      </c>
      <c r="AH36" s="482">
        <f t="shared" si="1"/>
        <v>0</v>
      </c>
    </row>
    <row r="37" spans="1:34">
      <c r="A37" s="473" t="s">
        <v>378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>
        <v>2.2000000000000002</v>
      </c>
      <c r="AE37" s="6"/>
      <c r="AF37" s="6"/>
      <c r="AG37" s="6">
        <f t="shared" si="0"/>
        <v>2.2000000000000002</v>
      </c>
      <c r="AH37" s="482">
        <f>+AG37/$AG$39</f>
        <v>5.3346265761396706E-2</v>
      </c>
    </row>
    <row r="38" spans="1:34">
      <c r="A38" s="500" t="s">
        <v>282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501">
        <f>+AG39/Efficiency1!$K$158</f>
        <v>2.0224759500265272E-2</v>
      </c>
    </row>
    <row r="39" spans="1:34">
      <c r="A39" s="473" t="s">
        <v>3</v>
      </c>
      <c r="B39" s="6">
        <f t="shared" ref="B39:AF39" si="2">SUM(B3:B37)</f>
        <v>2.6</v>
      </c>
      <c r="C39" s="6">
        <f t="shared" si="2"/>
        <v>9.8000000000000007</v>
      </c>
      <c r="D39" s="6">
        <f t="shared" si="2"/>
        <v>3</v>
      </c>
      <c r="E39" s="6">
        <f t="shared" si="2"/>
        <v>0</v>
      </c>
      <c r="F39" s="6">
        <f t="shared" si="2"/>
        <v>6.4000000000000012</v>
      </c>
      <c r="G39" s="6">
        <f t="shared" si="2"/>
        <v>7.28</v>
      </c>
      <c r="H39" s="6">
        <f t="shared" si="2"/>
        <v>5.3000000000000007</v>
      </c>
      <c r="I39" s="6">
        <f t="shared" si="2"/>
        <v>5.8999999999999995</v>
      </c>
      <c r="J39" s="6">
        <f t="shared" si="2"/>
        <v>6.76</v>
      </c>
      <c r="K39" s="6">
        <f t="shared" si="2"/>
        <v>7.2</v>
      </c>
      <c r="L39" s="6">
        <f t="shared" si="2"/>
        <v>6.3999999999999995</v>
      </c>
      <c r="M39" s="6">
        <f t="shared" si="2"/>
        <v>9.15</v>
      </c>
      <c r="N39" s="6">
        <f t="shared" si="2"/>
        <v>13.600000000000001</v>
      </c>
      <c r="O39" s="7">
        <f t="shared" si="2"/>
        <v>11.600000000000001</v>
      </c>
      <c r="P39" s="6">
        <f t="shared" si="2"/>
        <v>7.6999999999999993</v>
      </c>
      <c r="Q39" s="6">
        <f t="shared" si="2"/>
        <v>5.1499999999999995</v>
      </c>
      <c r="R39" s="6">
        <f t="shared" si="2"/>
        <v>3</v>
      </c>
      <c r="S39" s="6">
        <f t="shared" si="2"/>
        <v>6.2000000000000011</v>
      </c>
      <c r="T39" s="6">
        <f t="shared" si="2"/>
        <v>4.5999999999999996</v>
      </c>
      <c r="U39" s="6">
        <f t="shared" si="2"/>
        <v>4.9999999999999991</v>
      </c>
      <c r="V39" s="6">
        <f t="shared" si="2"/>
        <v>5.7</v>
      </c>
      <c r="W39" s="6">
        <f t="shared" si="2"/>
        <v>4.8999999999999995</v>
      </c>
      <c r="X39" s="6">
        <f t="shared" si="2"/>
        <v>3.8</v>
      </c>
      <c r="Y39" s="6">
        <f t="shared" si="2"/>
        <v>2.6999999999999997</v>
      </c>
      <c r="Z39" s="6">
        <f t="shared" si="2"/>
        <v>3.4</v>
      </c>
      <c r="AA39" s="6">
        <f t="shared" si="2"/>
        <v>2.65</v>
      </c>
      <c r="AB39" s="6">
        <f t="shared" si="2"/>
        <v>4.3</v>
      </c>
      <c r="AC39" s="6">
        <f t="shared" si="2"/>
        <v>4.3</v>
      </c>
      <c r="AD39" s="6">
        <f t="shared" si="2"/>
        <v>7.75</v>
      </c>
      <c r="AE39" s="6">
        <f t="shared" si="2"/>
        <v>3.2</v>
      </c>
      <c r="AF39" s="6">
        <f t="shared" si="2"/>
        <v>1.9000000000000001</v>
      </c>
      <c r="AG39" s="19">
        <f>SUM(AG6:AG38)</f>
        <v>41.24</v>
      </c>
      <c r="AH39" s="484">
        <f>SUM(AH6:AH37)</f>
        <v>1.0000000000000002</v>
      </c>
    </row>
  </sheetData>
  <mergeCells count="1">
    <mergeCell ref="AI3:AI4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60"/>
  <sheetViews>
    <sheetView topLeftCell="G125" workbookViewId="0">
      <selection activeCell="P142" sqref="P142"/>
    </sheetView>
  </sheetViews>
  <sheetFormatPr defaultRowHeight="12.75"/>
  <cols>
    <col min="2" max="2" width="10.7109375" bestFit="1" customWidth="1"/>
    <col min="4" max="4" width="52.42578125" bestFit="1" customWidth="1"/>
    <col min="5" max="5" width="18.140625" bestFit="1" customWidth="1"/>
    <col min="6" max="6" width="22.42578125" bestFit="1" customWidth="1"/>
    <col min="8" max="8" width="27.7109375" bestFit="1" customWidth="1"/>
    <col min="13" max="13" width="10.7109375" bestFit="1" customWidth="1"/>
    <col min="15" max="15" width="52.42578125" bestFit="1" customWidth="1"/>
    <col min="16" max="16" width="18.140625" bestFit="1" customWidth="1"/>
    <col min="17" max="17" width="22.42578125" bestFit="1" customWidth="1"/>
    <col min="19" max="19" width="27.7109375" bestFit="1" customWidth="1"/>
  </cols>
  <sheetData>
    <row r="1" spans="1:21" ht="45">
      <c r="A1" s="474" t="s">
        <v>262</v>
      </c>
      <c r="B1" s="486" t="s">
        <v>9</v>
      </c>
      <c r="C1" s="487" t="s">
        <v>263</v>
      </c>
      <c r="D1" s="488" t="s">
        <v>129</v>
      </c>
      <c r="E1" s="488" t="s">
        <v>264</v>
      </c>
      <c r="F1" s="488" t="s">
        <v>265</v>
      </c>
      <c r="H1" s="485" t="s">
        <v>266</v>
      </c>
      <c r="I1" s="479" t="s">
        <v>267</v>
      </c>
      <c r="J1" s="479" t="s">
        <v>268</v>
      </c>
      <c r="L1" s="474" t="s">
        <v>367</v>
      </c>
      <c r="M1" s="486" t="s">
        <v>9</v>
      </c>
      <c r="N1" s="487" t="s">
        <v>263</v>
      </c>
      <c r="O1" s="488" t="s">
        <v>129</v>
      </c>
      <c r="P1" s="488" t="s">
        <v>264</v>
      </c>
      <c r="Q1" s="488" t="s">
        <v>265</v>
      </c>
      <c r="S1" s="485" t="s">
        <v>266</v>
      </c>
      <c r="T1" s="479" t="s">
        <v>267</v>
      </c>
      <c r="U1" s="479" t="s">
        <v>268</v>
      </c>
    </row>
    <row r="2" spans="1:21">
      <c r="B2" s="378">
        <v>45992</v>
      </c>
      <c r="C2" s="4">
        <v>0</v>
      </c>
      <c r="D2" s="502" t="s">
        <v>395</v>
      </c>
      <c r="E2" t="s">
        <v>252</v>
      </c>
      <c r="F2" t="s">
        <v>250</v>
      </c>
      <c r="H2" s="6" t="s">
        <v>148</v>
      </c>
      <c r="I2" s="353">
        <f>+Efficiency1!Z158</f>
        <v>21.292999999999999</v>
      </c>
      <c r="J2" s="489">
        <f>I2/$I$8</f>
        <v>1.0442429777864897E-2</v>
      </c>
      <c r="M2" s="378">
        <v>45992</v>
      </c>
      <c r="N2" s="4">
        <v>0</v>
      </c>
      <c r="O2" s="502" t="s">
        <v>395</v>
      </c>
      <c r="P2" t="s">
        <v>252</v>
      </c>
      <c r="Q2" t="s">
        <v>250</v>
      </c>
      <c r="S2" s="6" t="s">
        <v>148</v>
      </c>
      <c r="T2" s="353">
        <f>+Efficiency2!Z158</f>
        <v>21.292999999999999</v>
      </c>
      <c r="U2" s="489">
        <f>T2/$T$8</f>
        <v>1.0804982169887111E-2</v>
      </c>
    </row>
    <row r="3" spans="1:21">
      <c r="B3" s="378"/>
      <c r="C3" s="4">
        <v>2</v>
      </c>
      <c r="D3" s="502" t="s">
        <v>393</v>
      </c>
      <c r="E3" t="s">
        <v>251</v>
      </c>
      <c r="F3" t="s">
        <v>250</v>
      </c>
      <c r="H3" s="6" t="s">
        <v>244</v>
      </c>
      <c r="I3" s="353">
        <f>+Efficiency1!Y158+Efficiency1!AA158</f>
        <v>41.373107672451283</v>
      </c>
      <c r="J3" s="489">
        <f>I3/$I$8</f>
        <v>2.0290037644372139E-2</v>
      </c>
      <c r="M3" s="378"/>
      <c r="N3" s="4">
        <v>2</v>
      </c>
      <c r="O3" s="502" t="s">
        <v>393</v>
      </c>
      <c r="P3" t="s">
        <v>251</v>
      </c>
      <c r="Q3" t="s">
        <v>250</v>
      </c>
      <c r="S3" s="6" t="s">
        <v>244</v>
      </c>
      <c r="T3" s="353">
        <f>+Efficiency2!Y158+Efficiency2!AA158</f>
        <v>42.995380393346004</v>
      </c>
      <c r="U3" s="489">
        <f>T3/$T$8</f>
        <v>2.1817701523393483E-2</v>
      </c>
    </row>
    <row r="4" spans="1:21">
      <c r="B4" s="44"/>
      <c r="C4" s="4">
        <v>6</v>
      </c>
      <c r="D4" t="s">
        <v>226</v>
      </c>
      <c r="E4" t="s">
        <v>14</v>
      </c>
      <c r="F4" t="s">
        <v>250</v>
      </c>
      <c r="H4" s="6" t="s">
        <v>269</v>
      </c>
      <c r="I4" s="353">
        <f>+Efficiency1!AB158</f>
        <v>-13.348581050704029</v>
      </c>
      <c r="J4" s="489">
        <f>I4/$I$8</f>
        <v>-6.5463589093183137E-3</v>
      </c>
      <c r="M4" s="44"/>
      <c r="N4" s="4">
        <v>6</v>
      </c>
      <c r="O4" t="s">
        <v>226</v>
      </c>
      <c r="P4" t="s">
        <v>14</v>
      </c>
      <c r="Q4" t="s">
        <v>250</v>
      </c>
      <c r="S4" s="6" t="s">
        <v>269</v>
      </c>
      <c r="T4" s="353">
        <f>+Efficiency2!AB158</f>
        <v>-2.7946744485987778</v>
      </c>
      <c r="U4" s="489">
        <f>T4/$T$8</f>
        <v>-1.4181377724016761E-3</v>
      </c>
    </row>
    <row r="5" spans="1:21">
      <c r="B5" s="378"/>
      <c r="C5" s="4"/>
      <c r="D5" s="502"/>
      <c r="E5" s="502"/>
      <c r="H5" s="6" t="s">
        <v>247</v>
      </c>
      <c r="I5" s="353">
        <f>+Efficiency1!AC158</f>
        <v>40.681556577350619</v>
      </c>
      <c r="J5" s="489">
        <f>I5/$I$8</f>
        <v>1.9950889861138483E-2</v>
      </c>
      <c r="M5" s="378"/>
      <c r="N5" s="4"/>
      <c r="O5" s="502"/>
      <c r="P5" s="502"/>
      <c r="S5" s="6" t="s">
        <v>247</v>
      </c>
      <c r="T5" s="353">
        <f>+Efficiency2!AC158</f>
        <v>30.056084577350628</v>
      </c>
      <c r="U5" s="489">
        <f>T5/$T$8</f>
        <v>1.525174742661403E-2</v>
      </c>
    </row>
    <row r="6" spans="1:21">
      <c r="B6" s="378">
        <v>45993</v>
      </c>
      <c r="C6" s="4">
        <v>2</v>
      </c>
      <c r="D6" t="s">
        <v>392</v>
      </c>
      <c r="E6" t="s">
        <v>252</v>
      </c>
      <c r="F6" t="s">
        <v>250</v>
      </c>
      <c r="M6" s="378">
        <v>45993</v>
      </c>
      <c r="N6" s="4">
        <v>2</v>
      </c>
      <c r="O6" t="s">
        <v>392</v>
      </c>
      <c r="P6" t="s">
        <v>252</v>
      </c>
      <c r="Q6" t="s">
        <v>250</v>
      </c>
    </row>
    <row r="7" spans="1:21">
      <c r="B7" s="378"/>
      <c r="C7" s="4">
        <v>40</v>
      </c>
      <c r="D7" s="502" t="s">
        <v>440</v>
      </c>
      <c r="E7" t="s">
        <v>251</v>
      </c>
      <c r="F7" t="s">
        <v>250</v>
      </c>
      <c r="M7" s="378"/>
      <c r="N7" s="4">
        <v>40</v>
      </c>
      <c r="O7" s="502" t="s">
        <v>440</v>
      </c>
      <c r="P7" t="s">
        <v>251</v>
      </c>
      <c r="Q7" t="s">
        <v>250</v>
      </c>
    </row>
    <row r="8" spans="1:21">
      <c r="B8" s="378"/>
      <c r="C8" s="4">
        <v>18</v>
      </c>
      <c r="D8" s="502" t="s">
        <v>226</v>
      </c>
      <c r="E8" t="s">
        <v>14</v>
      </c>
      <c r="F8" t="s">
        <v>250</v>
      </c>
      <c r="H8" s="490" t="s">
        <v>270</v>
      </c>
      <c r="I8" s="7">
        <f>+Efficiency1!K158</f>
        <v>2039.0848157902244</v>
      </c>
      <c r="M8" s="378"/>
      <c r="N8" s="4">
        <v>18</v>
      </c>
      <c r="O8" s="502" t="s">
        <v>226</v>
      </c>
      <c r="P8" t="s">
        <v>14</v>
      </c>
      <c r="Q8" t="s">
        <v>250</v>
      </c>
      <c r="S8" s="490" t="s">
        <v>270</v>
      </c>
      <c r="T8" s="7">
        <f>+Efficiency2!K158</f>
        <v>1970.664982617224</v>
      </c>
    </row>
    <row r="9" spans="1:21">
      <c r="B9" s="44"/>
      <c r="C9" s="4">
        <v>105</v>
      </c>
      <c r="D9" t="s">
        <v>441</v>
      </c>
      <c r="E9" t="s">
        <v>442</v>
      </c>
      <c r="F9" t="s">
        <v>368</v>
      </c>
      <c r="H9" s="490" t="s">
        <v>271</v>
      </c>
      <c r="I9" s="7">
        <f>+Efficiency1!AD158</f>
        <v>3949</v>
      </c>
      <c r="M9" s="44"/>
      <c r="N9" s="4">
        <v>105</v>
      </c>
      <c r="O9" t="s">
        <v>441</v>
      </c>
      <c r="P9" t="s">
        <v>442</v>
      </c>
      <c r="Q9" t="s">
        <v>368</v>
      </c>
      <c r="S9" s="490" t="s">
        <v>271</v>
      </c>
      <c r="T9" s="7">
        <f>+Efficiency2!AD158</f>
        <v>2449</v>
      </c>
    </row>
    <row r="10" spans="1:21">
      <c r="B10" s="378"/>
      <c r="C10" s="4"/>
      <c r="D10" s="502"/>
      <c r="H10" s="490" t="s">
        <v>272</v>
      </c>
      <c r="I10" s="7">
        <f>+Efficiency1!V158</f>
        <v>175.18573259112657</v>
      </c>
      <c r="M10" s="378"/>
      <c r="N10" s="4"/>
      <c r="O10" s="502"/>
      <c r="S10" s="490" t="s">
        <v>272</v>
      </c>
      <c r="T10" s="7">
        <f>+Efficiency2!V158</f>
        <v>105.21519209512645</v>
      </c>
    </row>
    <row r="11" spans="1:21">
      <c r="B11" s="378">
        <v>45994</v>
      </c>
      <c r="C11" s="4">
        <v>0</v>
      </c>
      <c r="D11" t="s">
        <v>395</v>
      </c>
      <c r="E11" t="s">
        <v>252</v>
      </c>
      <c r="F11" t="s">
        <v>250</v>
      </c>
      <c r="G11" s="529"/>
      <c r="H11" s="490" t="s">
        <v>273</v>
      </c>
      <c r="I11" s="482">
        <f>I10/I8</f>
        <v>8.5913901783058147E-2</v>
      </c>
      <c r="M11" s="378">
        <v>45994</v>
      </c>
      <c r="N11" s="4">
        <v>0</v>
      </c>
      <c r="O11" t="s">
        <v>395</v>
      </c>
      <c r="P11" t="s">
        <v>252</v>
      </c>
      <c r="Q11" t="s">
        <v>250</v>
      </c>
      <c r="R11" s="529"/>
      <c r="S11" s="490" t="s">
        <v>273</v>
      </c>
      <c r="T11" s="482">
        <f>T10/T8</f>
        <v>5.3390704672384756E-2</v>
      </c>
    </row>
    <row r="12" spans="1:21">
      <c r="B12" s="378"/>
      <c r="C12" s="4">
        <v>7</v>
      </c>
      <c r="D12" s="502" t="s">
        <v>394</v>
      </c>
      <c r="E12" t="s">
        <v>251</v>
      </c>
      <c r="F12" t="s">
        <v>250</v>
      </c>
      <c r="M12" s="378"/>
      <c r="N12" s="4">
        <v>7</v>
      </c>
      <c r="O12" s="502" t="s">
        <v>394</v>
      </c>
      <c r="P12" t="s">
        <v>251</v>
      </c>
      <c r="Q12" t="s">
        <v>250</v>
      </c>
    </row>
    <row r="13" spans="1:21">
      <c r="B13" s="378"/>
      <c r="C13" s="4">
        <v>11</v>
      </c>
      <c r="D13" s="502" t="s">
        <v>226</v>
      </c>
      <c r="E13" t="s">
        <v>14</v>
      </c>
      <c r="F13" t="s">
        <v>250</v>
      </c>
      <c r="M13" s="378"/>
      <c r="N13" s="4">
        <v>11</v>
      </c>
      <c r="O13" s="502" t="s">
        <v>226</v>
      </c>
      <c r="P13" t="s">
        <v>14</v>
      </c>
      <c r="Q13" t="s">
        <v>250</v>
      </c>
    </row>
    <row r="14" spans="1:21">
      <c r="B14" s="44"/>
      <c r="C14" s="4">
        <v>260</v>
      </c>
      <c r="D14" t="s">
        <v>457</v>
      </c>
      <c r="E14" t="s">
        <v>458</v>
      </c>
      <c r="F14" t="s">
        <v>243</v>
      </c>
      <c r="M14" s="44"/>
      <c r="N14" s="4">
        <v>0</v>
      </c>
      <c r="O14" t="s">
        <v>457</v>
      </c>
      <c r="P14" t="s">
        <v>458</v>
      </c>
      <c r="Q14" t="s">
        <v>243</v>
      </c>
    </row>
    <row r="15" spans="1:21">
      <c r="B15" s="378"/>
      <c r="C15" s="4"/>
      <c r="D15" s="502"/>
      <c r="M15" s="378"/>
      <c r="N15" s="4"/>
      <c r="O15" s="502"/>
    </row>
    <row r="16" spans="1:21">
      <c r="B16" s="44">
        <v>45995</v>
      </c>
      <c r="C16" s="4">
        <v>0</v>
      </c>
      <c r="D16" t="s">
        <v>395</v>
      </c>
      <c r="E16" t="s">
        <v>252</v>
      </c>
      <c r="F16" t="s">
        <v>250</v>
      </c>
      <c r="M16" s="44">
        <v>45995</v>
      </c>
      <c r="N16" s="4">
        <v>0</v>
      </c>
      <c r="O16" t="s">
        <v>395</v>
      </c>
      <c r="P16" t="s">
        <v>252</v>
      </c>
      <c r="Q16" t="s">
        <v>250</v>
      </c>
    </row>
    <row r="17" spans="2:17">
      <c r="B17" s="378"/>
      <c r="C17" s="4">
        <v>0</v>
      </c>
      <c r="D17" s="502" t="s">
        <v>424</v>
      </c>
      <c r="E17" t="s">
        <v>251</v>
      </c>
      <c r="F17" t="s">
        <v>250</v>
      </c>
      <c r="M17" s="378"/>
      <c r="N17" s="4">
        <v>0</v>
      </c>
      <c r="O17" s="502" t="s">
        <v>424</v>
      </c>
      <c r="P17" t="s">
        <v>251</v>
      </c>
      <c r="Q17" t="s">
        <v>250</v>
      </c>
    </row>
    <row r="18" spans="2:17">
      <c r="B18" s="378"/>
      <c r="C18" s="4">
        <v>0</v>
      </c>
      <c r="D18" s="502" t="s">
        <v>226</v>
      </c>
      <c r="E18" t="s">
        <v>14</v>
      </c>
      <c r="F18" t="s">
        <v>250</v>
      </c>
      <c r="M18" s="378"/>
      <c r="N18" s="4">
        <v>0</v>
      </c>
      <c r="O18" s="502" t="s">
        <v>226</v>
      </c>
      <c r="P18" t="s">
        <v>14</v>
      </c>
      <c r="Q18" t="s">
        <v>250</v>
      </c>
    </row>
    <row r="19" spans="2:17">
      <c r="B19" s="44"/>
      <c r="C19" s="4">
        <v>1180</v>
      </c>
      <c r="D19" t="s">
        <v>472</v>
      </c>
      <c r="E19" t="s">
        <v>458</v>
      </c>
      <c r="F19" t="s">
        <v>243</v>
      </c>
      <c r="M19" s="44"/>
      <c r="N19" s="4">
        <v>0</v>
      </c>
      <c r="O19" t="s">
        <v>472</v>
      </c>
      <c r="P19" t="s">
        <v>458</v>
      </c>
      <c r="Q19" t="s">
        <v>243</v>
      </c>
    </row>
    <row r="20" spans="2:17">
      <c r="B20" s="378"/>
      <c r="C20" s="4">
        <v>260</v>
      </c>
      <c r="D20" s="502" t="s">
        <v>484</v>
      </c>
      <c r="E20" s="502" t="s">
        <v>491</v>
      </c>
      <c r="F20" t="s">
        <v>255</v>
      </c>
      <c r="M20" s="378"/>
      <c r="N20" s="4">
        <v>260</v>
      </c>
      <c r="O20" s="502" t="s">
        <v>484</v>
      </c>
      <c r="P20" s="502" t="s">
        <v>491</v>
      </c>
      <c r="Q20" t="s">
        <v>255</v>
      </c>
    </row>
    <row r="21" spans="2:17">
      <c r="B21" s="378"/>
      <c r="C21" s="4"/>
      <c r="M21" s="378"/>
      <c r="N21" s="4"/>
    </row>
    <row r="22" spans="2:17">
      <c r="B22" s="378">
        <v>45996</v>
      </c>
      <c r="C22" s="4">
        <v>2</v>
      </c>
      <c r="D22" t="s">
        <v>392</v>
      </c>
      <c r="E22" t="s">
        <v>252</v>
      </c>
      <c r="F22" t="s">
        <v>250</v>
      </c>
      <c r="M22" s="378">
        <v>45996</v>
      </c>
      <c r="N22" s="4">
        <v>2</v>
      </c>
      <c r="O22" t="s">
        <v>392</v>
      </c>
      <c r="P22" t="s">
        <v>252</v>
      </c>
      <c r="Q22" t="s">
        <v>250</v>
      </c>
    </row>
    <row r="23" spans="2:17">
      <c r="B23" s="378"/>
      <c r="C23" s="4">
        <v>9</v>
      </c>
      <c r="D23" s="502" t="s">
        <v>489</v>
      </c>
      <c r="E23" t="s">
        <v>251</v>
      </c>
      <c r="F23" t="s">
        <v>250</v>
      </c>
      <c r="M23" s="378"/>
      <c r="N23" s="4">
        <v>9</v>
      </c>
      <c r="O23" s="502" t="s">
        <v>489</v>
      </c>
      <c r="P23" t="s">
        <v>251</v>
      </c>
      <c r="Q23" t="s">
        <v>250</v>
      </c>
    </row>
    <row r="24" spans="2:17">
      <c r="B24" s="44"/>
      <c r="C24" s="4">
        <v>26</v>
      </c>
      <c r="D24" s="502" t="s">
        <v>226</v>
      </c>
      <c r="E24" t="s">
        <v>14</v>
      </c>
      <c r="F24" t="s">
        <v>250</v>
      </c>
      <c r="M24" s="44"/>
      <c r="N24" s="4">
        <v>26</v>
      </c>
      <c r="O24" s="502" t="s">
        <v>226</v>
      </c>
      <c r="P24" t="s">
        <v>14</v>
      </c>
      <c r="Q24" t="s">
        <v>250</v>
      </c>
    </row>
    <row r="25" spans="2:17">
      <c r="B25" s="378"/>
      <c r="C25" s="4">
        <v>285</v>
      </c>
      <c r="D25" t="s">
        <v>490</v>
      </c>
      <c r="E25" t="s">
        <v>492</v>
      </c>
      <c r="F25" t="s">
        <v>254</v>
      </c>
      <c r="M25" s="378"/>
      <c r="N25" s="4">
        <v>285</v>
      </c>
      <c r="O25" t="s">
        <v>490</v>
      </c>
      <c r="P25" t="s">
        <v>492</v>
      </c>
      <c r="Q25" t="s">
        <v>254</v>
      </c>
    </row>
    <row r="26" spans="2:17">
      <c r="B26" s="44"/>
      <c r="C26" s="4"/>
      <c r="M26" s="44"/>
      <c r="N26" s="4"/>
    </row>
    <row r="27" spans="2:17">
      <c r="B27" s="378">
        <v>45997</v>
      </c>
      <c r="C27" s="4">
        <v>0</v>
      </c>
      <c r="D27" t="s">
        <v>395</v>
      </c>
      <c r="E27" t="s">
        <v>252</v>
      </c>
      <c r="F27" t="s">
        <v>250</v>
      </c>
      <c r="M27" s="378">
        <v>45997</v>
      </c>
      <c r="N27" s="4">
        <v>0</v>
      </c>
      <c r="O27" t="s">
        <v>395</v>
      </c>
      <c r="P27" t="s">
        <v>252</v>
      </c>
      <c r="Q27" t="s">
        <v>250</v>
      </c>
    </row>
    <row r="28" spans="2:17">
      <c r="B28" s="378"/>
      <c r="C28" s="4">
        <v>10</v>
      </c>
      <c r="D28" t="s">
        <v>454</v>
      </c>
      <c r="E28" t="s">
        <v>251</v>
      </c>
      <c r="F28" t="s">
        <v>250</v>
      </c>
      <c r="M28" s="378"/>
      <c r="N28" s="4">
        <v>10</v>
      </c>
      <c r="O28" t="s">
        <v>454</v>
      </c>
      <c r="P28" t="s">
        <v>251</v>
      </c>
      <c r="Q28" t="s">
        <v>250</v>
      </c>
    </row>
    <row r="29" spans="2:17">
      <c r="B29" s="378"/>
      <c r="C29" s="4">
        <v>28</v>
      </c>
      <c r="D29" t="s">
        <v>226</v>
      </c>
      <c r="E29" t="s">
        <v>14</v>
      </c>
      <c r="F29" t="s">
        <v>250</v>
      </c>
      <c r="M29" s="378"/>
      <c r="N29" s="4">
        <v>28</v>
      </c>
      <c r="O29" t="s">
        <v>226</v>
      </c>
      <c r="P29" t="s">
        <v>14</v>
      </c>
      <c r="Q29" t="s">
        <v>250</v>
      </c>
    </row>
    <row r="30" spans="2:17">
      <c r="B30" s="44"/>
      <c r="C30" s="4">
        <v>70</v>
      </c>
      <c r="D30" t="s">
        <v>503</v>
      </c>
      <c r="E30" t="s">
        <v>510</v>
      </c>
      <c r="F30" t="s">
        <v>255</v>
      </c>
      <c r="M30" s="44"/>
      <c r="N30" s="4">
        <v>70</v>
      </c>
      <c r="O30" t="s">
        <v>503</v>
      </c>
      <c r="P30" t="s">
        <v>510</v>
      </c>
      <c r="Q30" t="s">
        <v>255</v>
      </c>
    </row>
    <row r="31" spans="2:17">
      <c r="B31" s="378"/>
      <c r="C31" s="4">
        <v>66</v>
      </c>
      <c r="D31" s="502" t="s">
        <v>511</v>
      </c>
      <c r="E31" t="s">
        <v>512</v>
      </c>
      <c r="F31" t="s">
        <v>248</v>
      </c>
      <c r="M31" s="378"/>
      <c r="N31" s="4">
        <v>66</v>
      </c>
      <c r="O31" s="502" t="s">
        <v>511</v>
      </c>
      <c r="P31" t="s">
        <v>512</v>
      </c>
      <c r="Q31" t="s">
        <v>248</v>
      </c>
    </row>
    <row r="32" spans="2:17">
      <c r="B32" s="378"/>
      <c r="C32" s="4">
        <v>22</v>
      </c>
      <c r="D32" t="s">
        <v>499</v>
      </c>
      <c r="E32" t="s">
        <v>397</v>
      </c>
      <c r="F32" t="s">
        <v>250</v>
      </c>
      <c r="M32" s="378"/>
      <c r="N32" s="4">
        <v>22</v>
      </c>
      <c r="O32" t="s">
        <v>499</v>
      </c>
      <c r="P32" t="s">
        <v>397</v>
      </c>
      <c r="Q32" t="s">
        <v>250</v>
      </c>
    </row>
    <row r="33" spans="2:17">
      <c r="B33" s="378"/>
      <c r="C33" s="4"/>
      <c r="M33" s="378"/>
      <c r="N33" s="4"/>
    </row>
    <row r="34" spans="2:17">
      <c r="B34" s="378">
        <v>45998</v>
      </c>
      <c r="C34" s="4">
        <v>5</v>
      </c>
      <c r="D34" t="s">
        <v>392</v>
      </c>
      <c r="E34" t="s">
        <v>252</v>
      </c>
      <c r="F34" t="s">
        <v>250</v>
      </c>
      <c r="M34" s="378">
        <v>45998</v>
      </c>
      <c r="N34" s="4">
        <v>5</v>
      </c>
      <c r="O34" t="s">
        <v>392</v>
      </c>
      <c r="P34" t="s">
        <v>252</v>
      </c>
      <c r="Q34" t="s">
        <v>250</v>
      </c>
    </row>
    <row r="35" spans="2:17">
      <c r="B35" s="44"/>
      <c r="C35" s="4">
        <v>7</v>
      </c>
      <c r="D35" t="s">
        <v>454</v>
      </c>
      <c r="E35" t="s">
        <v>251</v>
      </c>
      <c r="F35" t="s">
        <v>250</v>
      </c>
      <c r="M35" s="44"/>
      <c r="N35" s="4">
        <v>7</v>
      </c>
      <c r="O35" t="s">
        <v>454</v>
      </c>
      <c r="P35" t="s">
        <v>251</v>
      </c>
      <c r="Q35" t="s">
        <v>250</v>
      </c>
    </row>
    <row r="36" spans="2:17">
      <c r="B36" s="378"/>
      <c r="C36" s="4">
        <v>18</v>
      </c>
      <c r="D36" t="s">
        <v>226</v>
      </c>
      <c r="E36" t="s">
        <v>14</v>
      </c>
      <c r="F36" t="s">
        <v>250</v>
      </c>
      <c r="M36" s="378"/>
      <c r="N36" s="4">
        <v>18</v>
      </c>
      <c r="O36" t="s">
        <v>226</v>
      </c>
      <c r="P36" t="s">
        <v>14</v>
      </c>
      <c r="Q36" t="s">
        <v>250</v>
      </c>
    </row>
    <row r="37" spans="2:17">
      <c r="B37" s="44"/>
      <c r="C37" s="4"/>
      <c r="M37" s="44"/>
      <c r="N37" s="4"/>
    </row>
    <row r="38" spans="2:17">
      <c r="B38" s="378">
        <v>45999</v>
      </c>
      <c r="C38" s="4">
        <v>3</v>
      </c>
      <c r="D38" t="s">
        <v>392</v>
      </c>
      <c r="E38" t="s">
        <v>252</v>
      </c>
      <c r="F38" t="s">
        <v>250</v>
      </c>
      <c r="M38" s="378">
        <v>45999</v>
      </c>
      <c r="N38" s="4">
        <v>3</v>
      </c>
      <c r="O38" t="s">
        <v>392</v>
      </c>
      <c r="P38" t="s">
        <v>252</v>
      </c>
      <c r="Q38" t="s">
        <v>250</v>
      </c>
    </row>
    <row r="39" spans="2:17">
      <c r="B39" s="378"/>
      <c r="C39" s="4">
        <v>11</v>
      </c>
      <c r="D39" t="s">
        <v>394</v>
      </c>
      <c r="E39" t="s">
        <v>251</v>
      </c>
      <c r="F39" t="s">
        <v>250</v>
      </c>
      <c r="M39" s="378"/>
      <c r="N39" s="4">
        <v>11</v>
      </c>
      <c r="O39" t="s">
        <v>394</v>
      </c>
      <c r="P39" t="s">
        <v>251</v>
      </c>
      <c r="Q39" t="s">
        <v>250</v>
      </c>
    </row>
    <row r="40" spans="2:17">
      <c r="B40" s="44"/>
      <c r="C40" s="4">
        <v>14</v>
      </c>
      <c r="D40" t="s">
        <v>226</v>
      </c>
      <c r="E40" t="s">
        <v>14</v>
      </c>
      <c r="F40" t="s">
        <v>250</v>
      </c>
      <c r="M40" s="44"/>
      <c r="N40" s="4">
        <v>14</v>
      </c>
      <c r="O40" t="s">
        <v>226</v>
      </c>
      <c r="P40" t="s">
        <v>14</v>
      </c>
      <c r="Q40" t="s">
        <v>250</v>
      </c>
    </row>
    <row r="41" spans="2:17">
      <c r="B41" s="378"/>
      <c r="C41" s="4">
        <v>70</v>
      </c>
      <c r="D41" t="s">
        <v>523</v>
      </c>
      <c r="E41" t="s">
        <v>512</v>
      </c>
      <c r="F41" t="s">
        <v>248</v>
      </c>
      <c r="M41" s="378"/>
      <c r="N41" s="4">
        <v>70</v>
      </c>
      <c r="O41" t="s">
        <v>523</v>
      </c>
      <c r="P41" t="s">
        <v>512</v>
      </c>
      <c r="Q41" t="s">
        <v>248</v>
      </c>
    </row>
    <row r="42" spans="2:17">
      <c r="B42" s="378"/>
      <c r="C42" s="4"/>
      <c r="M42" s="378"/>
      <c r="N42" s="4"/>
    </row>
    <row r="43" spans="2:17">
      <c r="B43" s="44">
        <v>46000</v>
      </c>
      <c r="C43" s="4">
        <v>2</v>
      </c>
      <c r="D43" t="s">
        <v>392</v>
      </c>
      <c r="E43" t="s">
        <v>252</v>
      </c>
      <c r="F43" t="s">
        <v>250</v>
      </c>
      <c r="M43" s="44">
        <v>46000</v>
      </c>
      <c r="N43" s="4">
        <v>2</v>
      </c>
      <c r="O43" t="s">
        <v>392</v>
      </c>
      <c r="P43" t="s">
        <v>252</v>
      </c>
      <c r="Q43" t="s">
        <v>250</v>
      </c>
    </row>
    <row r="44" spans="2:17">
      <c r="B44" s="378"/>
      <c r="C44" s="4">
        <v>9</v>
      </c>
      <c r="D44" t="s">
        <v>394</v>
      </c>
      <c r="E44" t="s">
        <v>251</v>
      </c>
      <c r="F44" t="s">
        <v>250</v>
      </c>
      <c r="M44" s="378"/>
      <c r="N44" s="4">
        <v>9</v>
      </c>
      <c r="O44" t="s">
        <v>394</v>
      </c>
      <c r="P44" t="s">
        <v>251</v>
      </c>
      <c r="Q44" t="s">
        <v>250</v>
      </c>
    </row>
    <row r="45" spans="2:17">
      <c r="B45" s="378"/>
      <c r="C45" s="4">
        <v>9</v>
      </c>
      <c r="D45" t="s">
        <v>226</v>
      </c>
      <c r="E45" t="s">
        <v>14</v>
      </c>
      <c r="F45" t="s">
        <v>250</v>
      </c>
      <c r="M45" s="378"/>
      <c r="N45" s="4">
        <v>9</v>
      </c>
      <c r="O45" t="s">
        <v>226</v>
      </c>
      <c r="P45" t="s">
        <v>14</v>
      </c>
      <c r="Q45" t="s">
        <v>250</v>
      </c>
    </row>
    <row r="46" spans="2:17">
      <c r="B46" s="378"/>
      <c r="C46" s="4">
        <v>11</v>
      </c>
      <c r="D46" t="s">
        <v>531</v>
      </c>
      <c r="E46" t="s">
        <v>201</v>
      </c>
      <c r="F46" t="s">
        <v>249</v>
      </c>
      <c r="M46" s="378"/>
      <c r="N46" s="4">
        <v>11</v>
      </c>
      <c r="O46" t="s">
        <v>531</v>
      </c>
      <c r="P46" t="s">
        <v>201</v>
      </c>
      <c r="Q46" t="s">
        <v>249</v>
      </c>
    </row>
    <row r="47" spans="2:17">
      <c r="B47" s="44"/>
      <c r="C47" s="4"/>
      <c r="M47" s="44"/>
      <c r="N47" s="4"/>
    </row>
    <row r="48" spans="2:17">
      <c r="B48" s="378">
        <v>46001</v>
      </c>
      <c r="C48" s="4">
        <v>0</v>
      </c>
      <c r="D48" t="s">
        <v>395</v>
      </c>
      <c r="E48" t="s">
        <v>252</v>
      </c>
      <c r="F48" t="s">
        <v>250</v>
      </c>
      <c r="M48" s="378">
        <v>46001</v>
      </c>
      <c r="N48" s="4">
        <v>0</v>
      </c>
      <c r="O48" t="s">
        <v>395</v>
      </c>
      <c r="P48" t="s">
        <v>252</v>
      </c>
      <c r="Q48" t="s">
        <v>250</v>
      </c>
    </row>
    <row r="49" spans="2:17">
      <c r="B49" s="378"/>
      <c r="C49" s="4">
        <v>29</v>
      </c>
      <c r="D49" t="s">
        <v>440</v>
      </c>
      <c r="E49" t="s">
        <v>251</v>
      </c>
      <c r="F49" t="s">
        <v>250</v>
      </c>
      <c r="M49" s="378"/>
      <c r="N49" s="4">
        <v>29</v>
      </c>
      <c r="O49" t="s">
        <v>440</v>
      </c>
      <c r="P49" t="s">
        <v>251</v>
      </c>
      <c r="Q49" t="s">
        <v>250</v>
      </c>
    </row>
    <row r="50" spans="2:17">
      <c r="B50" s="44"/>
      <c r="C50" s="4">
        <v>26</v>
      </c>
      <c r="D50" t="s">
        <v>226</v>
      </c>
      <c r="E50" t="s">
        <v>14</v>
      </c>
      <c r="F50" t="s">
        <v>250</v>
      </c>
      <c r="M50" s="44"/>
      <c r="N50" s="4">
        <v>26</v>
      </c>
      <c r="O50" t="s">
        <v>226</v>
      </c>
      <c r="P50" t="s">
        <v>14</v>
      </c>
      <c r="Q50" t="s">
        <v>250</v>
      </c>
    </row>
    <row r="51" spans="2:17">
      <c r="B51" s="378"/>
      <c r="C51" s="4">
        <v>85</v>
      </c>
      <c r="D51" t="s">
        <v>545</v>
      </c>
      <c r="E51" t="s">
        <v>512</v>
      </c>
      <c r="F51" t="s">
        <v>248</v>
      </c>
      <c r="M51" s="378"/>
      <c r="N51" s="4">
        <v>85</v>
      </c>
      <c r="O51" t="s">
        <v>545</v>
      </c>
      <c r="P51" t="s">
        <v>512</v>
      </c>
      <c r="Q51" t="s">
        <v>248</v>
      </c>
    </row>
    <row r="52" spans="2:17">
      <c r="B52" s="378"/>
      <c r="C52" s="4"/>
      <c r="M52" s="378"/>
      <c r="N52" s="4"/>
    </row>
    <row r="53" spans="2:17">
      <c r="B53" s="44">
        <v>46003</v>
      </c>
      <c r="C53" s="4">
        <v>6</v>
      </c>
      <c r="D53" t="s">
        <v>392</v>
      </c>
      <c r="E53" t="s">
        <v>252</v>
      </c>
      <c r="F53" t="s">
        <v>250</v>
      </c>
      <c r="M53" s="44">
        <v>46003</v>
      </c>
      <c r="N53" s="4">
        <v>6</v>
      </c>
      <c r="O53" t="s">
        <v>392</v>
      </c>
      <c r="P53" t="s">
        <v>252</v>
      </c>
      <c r="Q53" t="s">
        <v>250</v>
      </c>
    </row>
    <row r="54" spans="2:17">
      <c r="B54" s="378"/>
      <c r="C54" s="4">
        <v>2</v>
      </c>
      <c r="D54" t="s">
        <v>393</v>
      </c>
      <c r="E54" t="s">
        <v>251</v>
      </c>
      <c r="F54" t="s">
        <v>250</v>
      </c>
      <c r="M54" s="378"/>
      <c r="N54" s="4">
        <v>2</v>
      </c>
      <c r="O54" t="s">
        <v>393</v>
      </c>
      <c r="P54" t="s">
        <v>251</v>
      </c>
      <c r="Q54" t="s">
        <v>250</v>
      </c>
    </row>
    <row r="55" spans="2:17">
      <c r="B55" s="378"/>
      <c r="C55" s="4">
        <v>11</v>
      </c>
      <c r="D55" t="s">
        <v>226</v>
      </c>
      <c r="E55" t="s">
        <v>14</v>
      </c>
      <c r="F55" t="s">
        <v>250</v>
      </c>
      <c r="M55" s="378"/>
      <c r="N55" s="4">
        <v>11</v>
      </c>
      <c r="O55" t="s">
        <v>226</v>
      </c>
      <c r="P55" t="s">
        <v>14</v>
      </c>
      <c r="Q55" t="s">
        <v>250</v>
      </c>
    </row>
    <row r="56" spans="2:17">
      <c r="B56" s="378"/>
      <c r="C56" s="4">
        <v>370</v>
      </c>
      <c r="D56" t="s">
        <v>554</v>
      </c>
      <c r="E56" t="s">
        <v>558</v>
      </c>
      <c r="F56" t="s">
        <v>248</v>
      </c>
      <c r="M56" s="378"/>
      <c r="N56" s="4">
        <v>370</v>
      </c>
      <c r="O56" t="s">
        <v>554</v>
      </c>
      <c r="P56" t="s">
        <v>558</v>
      </c>
      <c r="Q56" t="s">
        <v>248</v>
      </c>
    </row>
    <row r="57" spans="2:17">
      <c r="B57" s="44"/>
      <c r="C57" s="4"/>
      <c r="E57" s="414"/>
      <c r="F57" s="414"/>
      <c r="M57" s="44"/>
      <c r="N57" s="4"/>
      <c r="P57" s="414"/>
      <c r="Q57" s="414"/>
    </row>
    <row r="58" spans="2:17">
      <c r="B58" s="44">
        <v>46003</v>
      </c>
      <c r="C58" s="4">
        <v>5</v>
      </c>
      <c r="D58" t="s">
        <v>392</v>
      </c>
      <c r="E58" t="s">
        <v>252</v>
      </c>
      <c r="F58" t="s">
        <v>250</v>
      </c>
      <c r="M58" s="44">
        <v>46003</v>
      </c>
      <c r="N58" s="4">
        <v>5</v>
      </c>
      <c r="O58" t="s">
        <v>392</v>
      </c>
      <c r="P58" t="s">
        <v>252</v>
      </c>
      <c r="Q58" t="s">
        <v>250</v>
      </c>
    </row>
    <row r="59" spans="2:17">
      <c r="B59" s="378"/>
      <c r="C59" s="4">
        <v>20</v>
      </c>
      <c r="D59" t="s">
        <v>394</v>
      </c>
      <c r="E59" t="s">
        <v>251</v>
      </c>
      <c r="F59" t="s">
        <v>250</v>
      </c>
      <c r="M59" s="378"/>
      <c r="N59" s="4">
        <v>20</v>
      </c>
      <c r="O59" t="s">
        <v>394</v>
      </c>
      <c r="P59" t="s">
        <v>251</v>
      </c>
      <c r="Q59" t="s">
        <v>250</v>
      </c>
    </row>
    <row r="60" spans="2:17">
      <c r="B60" s="378"/>
      <c r="C60" s="4">
        <v>19</v>
      </c>
      <c r="D60" t="s">
        <v>226</v>
      </c>
      <c r="E60" t="s">
        <v>14</v>
      </c>
      <c r="F60" t="s">
        <v>250</v>
      </c>
      <c r="M60" s="378"/>
      <c r="N60" s="4">
        <v>19</v>
      </c>
      <c r="O60" t="s">
        <v>226</v>
      </c>
      <c r="P60" t="s">
        <v>14</v>
      </c>
      <c r="Q60" t="s">
        <v>250</v>
      </c>
    </row>
    <row r="61" spans="2:17">
      <c r="B61" s="378"/>
      <c r="C61" s="4">
        <v>10</v>
      </c>
      <c r="D61" t="s">
        <v>531</v>
      </c>
      <c r="E61" t="s">
        <v>201</v>
      </c>
      <c r="F61" t="s">
        <v>249</v>
      </c>
      <c r="M61" s="378"/>
      <c r="N61" s="4">
        <v>10</v>
      </c>
      <c r="O61" t="s">
        <v>531</v>
      </c>
      <c r="P61" t="s">
        <v>201</v>
      </c>
      <c r="Q61" t="s">
        <v>249</v>
      </c>
    </row>
    <row r="62" spans="2:17">
      <c r="B62" s="378"/>
      <c r="M62" s="378"/>
    </row>
    <row r="63" spans="2:17">
      <c r="B63" s="378">
        <v>46004</v>
      </c>
      <c r="C63">
        <v>4</v>
      </c>
      <c r="D63" t="s">
        <v>392</v>
      </c>
      <c r="E63" t="s">
        <v>252</v>
      </c>
      <c r="F63" t="s">
        <v>250</v>
      </c>
      <c r="M63" s="378">
        <v>46004</v>
      </c>
      <c r="N63">
        <v>4</v>
      </c>
      <c r="O63" t="s">
        <v>392</v>
      </c>
      <c r="P63" t="s">
        <v>252</v>
      </c>
      <c r="Q63" t="s">
        <v>250</v>
      </c>
    </row>
    <row r="64" spans="2:17">
      <c r="B64" s="44"/>
      <c r="C64">
        <v>15</v>
      </c>
      <c r="D64" t="s">
        <v>394</v>
      </c>
      <c r="E64" t="s">
        <v>251</v>
      </c>
      <c r="F64" t="s">
        <v>250</v>
      </c>
      <c r="M64" s="44"/>
      <c r="N64">
        <v>15</v>
      </c>
      <c r="O64" t="s">
        <v>394</v>
      </c>
      <c r="P64" t="s">
        <v>251</v>
      </c>
      <c r="Q64" t="s">
        <v>250</v>
      </c>
    </row>
    <row r="65" spans="2:18">
      <c r="B65" s="44"/>
      <c r="C65">
        <v>17</v>
      </c>
      <c r="D65" t="s">
        <v>226</v>
      </c>
      <c r="E65" t="s">
        <v>14</v>
      </c>
      <c r="F65" t="s">
        <v>250</v>
      </c>
      <c r="M65" s="44"/>
      <c r="N65">
        <v>17</v>
      </c>
      <c r="O65" t="s">
        <v>226</v>
      </c>
      <c r="P65" t="s">
        <v>14</v>
      </c>
      <c r="Q65" t="s">
        <v>250</v>
      </c>
    </row>
    <row r="66" spans="2:18">
      <c r="B66" s="378"/>
      <c r="C66">
        <v>30</v>
      </c>
      <c r="D66" t="s">
        <v>560</v>
      </c>
      <c r="E66" t="s">
        <v>567</v>
      </c>
      <c r="F66" t="s">
        <v>254</v>
      </c>
      <c r="M66" s="378"/>
      <c r="N66">
        <v>30</v>
      </c>
      <c r="O66" t="s">
        <v>560</v>
      </c>
      <c r="P66" t="s">
        <v>567</v>
      </c>
      <c r="Q66" t="s">
        <v>254</v>
      </c>
      <c r="R66" s="529">
        <f>+summary!Q55</f>
        <v>0</v>
      </c>
    </row>
    <row r="67" spans="2:18">
      <c r="B67" s="378"/>
      <c r="C67">
        <v>30</v>
      </c>
      <c r="D67" t="s">
        <v>563</v>
      </c>
      <c r="E67" t="s">
        <v>566</v>
      </c>
      <c r="F67" t="s">
        <v>250</v>
      </c>
      <c r="M67" s="378"/>
      <c r="N67">
        <v>30</v>
      </c>
      <c r="O67" t="s">
        <v>563</v>
      </c>
      <c r="P67" t="s">
        <v>566</v>
      </c>
      <c r="Q67" t="s">
        <v>250</v>
      </c>
    </row>
    <row r="68" spans="2:18">
      <c r="B68" s="44"/>
      <c r="G68" s="529">
        <f>+summary!H55</f>
        <v>0</v>
      </c>
      <c r="M68" s="44"/>
    </row>
    <row r="69" spans="2:18">
      <c r="B69" s="378">
        <v>46005</v>
      </c>
      <c r="C69">
        <v>0</v>
      </c>
      <c r="D69" t="s">
        <v>395</v>
      </c>
      <c r="E69" t="s">
        <v>252</v>
      </c>
      <c r="F69" t="s">
        <v>250</v>
      </c>
      <c r="M69" s="378">
        <v>46005</v>
      </c>
      <c r="N69">
        <v>0</v>
      </c>
      <c r="O69" t="s">
        <v>395</v>
      </c>
      <c r="P69" t="s">
        <v>252</v>
      </c>
      <c r="Q69" t="s">
        <v>250</v>
      </c>
    </row>
    <row r="70" spans="2:18">
      <c r="B70" s="378"/>
      <c r="C70">
        <v>18</v>
      </c>
      <c r="D70" t="s">
        <v>489</v>
      </c>
      <c r="E70" t="s">
        <v>251</v>
      </c>
      <c r="F70" t="s">
        <v>250</v>
      </c>
      <c r="M70" s="378"/>
      <c r="N70">
        <v>18</v>
      </c>
      <c r="O70" t="s">
        <v>489</v>
      </c>
      <c r="P70" t="s">
        <v>251</v>
      </c>
      <c r="Q70" t="s">
        <v>250</v>
      </c>
    </row>
    <row r="71" spans="2:18">
      <c r="B71" s="378"/>
      <c r="C71">
        <v>13</v>
      </c>
      <c r="D71" t="s">
        <v>226</v>
      </c>
      <c r="E71" t="s">
        <v>14</v>
      </c>
      <c r="F71" t="s">
        <v>250</v>
      </c>
      <c r="M71" s="378"/>
      <c r="N71">
        <v>13</v>
      </c>
      <c r="O71" t="s">
        <v>226</v>
      </c>
      <c r="P71" t="s">
        <v>14</v>
      </c>
      <c r="Q71" t="s">
        <v>250</v>
      </c>
    </row>
    <row r="72" spans="2:18">
      <c r="B72" s="44"/>
      <c r="E72" s="414"/>
      <c r="F72" s="414"/>
      <c r="M72" s="44"/>
      <c r="P72" s="414"/>
      <c r="Q72" s="414"/>
    </row>
    <row r="73" spans="2:18">
      <c r="B73" s="44">
        <v>46006</v>
      </c>
      <c r="C73">
        <v>0</v>
      </c>
      <c r="D73" t="s">
        <v>395</v>
      </c>
      <c r="E73" t="s">
        <v>252</v>
      </c>
      <c r="F73" t="s">
        <v>250</v>
      </c>
      <c r="M73" s="44">
        <v>46006</v>
      </c>
      <c r="N73">
        <v>0</v>
      </c>
      <c r="O73" t="s">
        <v>395</v>
      </c>
      <c r="P73" t="s">
        <v>252</v>
      </c>
      <c r="Q73" t="s">
        <v>250</v>
      </c>
    </row>
    <row r="74" spans="2:18">
      <c r="B74" s="44"/>
      <c r="C74">
        <v>17</v>
      </c>
      <c r="D74" t="s">
        <v>489</v>
      </c>
      <c r="E74" t="s">
        <v>251</v>
      </c>
      <c r="F74" t="s">
        <v>250</v>
      </c>
      <c r="M74" s="44"/>
      <c r="N74">
        <v>17</v>
      </c>
      <c r="O74" t="s">
        <v>489</v>
      </c>
      <c r="P74" t="s">
        <v>251</v>
      </c>
      <c r="Q74" t="s">
        <v>250</v>
      </c>
    </row>
    <row r="75" spans="2:18">
      <c r="B75" s="378"/>
      <c r="C75">
        <v>11</v>
      </c>
      <c r="D75" t="s">
        <v>226</v>
      </c>
      <c r="E75" t="s">
        <v>14</v>
      </c>
      <c r="F75" t="s">
        <v>250</v>
      </c>
      <c r="M75" s="378"/>
      <c r="N75">
        <v>11</v>
      </c>
      <c r="O75" t="s">
        <v>226</v>
      </c>
      <c r="P75" t="s">
        <v>14</v>
      </c>
      <c r="Q75" t="s">
        <v>250</v>
      </c>
    </row>
    <row r="76" spans="2:18">
      <c r="B76" s="378"/>
      <c r="M76" s="378"/>
    </row>
    <row r="77" spans="2:18">
      <c r="B77" s="44">
        <v>46007</v>
      </c>
      <c r="C77">
        <v>2</v>
      </c>
      <c r="D77" t="s">
        <v>392</v>
      </c>
      <c r="E77" t="s">
        <v>252</v>
      </c>
      <c r="F77" t="s">
        <v>250</v>
      </c>
      <c r="M77" s="44">
        <v>46007</v>
      </c>
      <c r="N77">
        <v>2</v>
      </c>
      <c r="O77" t="s">
        <v>392</v>
      </c>
      <c r="P77" t="s">
        <v>252</v>
      </c>
      <c r="Q77" t="s">
        <v>250</v>
      </c>
    </row>
    <row r="78" spans="2:18">
      <c r="B78" s="44"/>
      <c r="C78">
        <v>14</v>
      </c>
      <c r="D78" t="s">
        <v>394</v>
      </c>
      <c r="E78" t="s">
        <v>251</v>
      </c>
      <c r="F78" t="s">
        <v>250</v>
      </c>
      <c r="M78" s="44"/>
      <c r="N78">
        <v>14</v>
      </c>
      <c r="O78" t="s">
        <v>394</v>
      </c>
      <c r="P78" t="s">
        <v>251</v>
      </c>
      <c r="Q78" t="s">
        <v>250</v>
      </c>
    </row>
    <row r="79" spans="2:18">
      <c r="B79" s="378"/>
      <c r="C79">
        <v>12</v>
      </c>
      <c r="D79" t="s">
        <v>226</v>
      </c>
      <c r="E79" t="s">
        <v>14</v>
      </c>
      <c r="F79" t="s">
        <v>250</v>
      </c>
      <c r="M79" s="378"/>
      <c r="N79">
        <v>12</v>
      </c>
      <c r="O79" t="s">
        <v>226</v>
      </c>
      <c r="P79" t="s">
        <v>14</v>
      </c>
      <c r="Q79" t="s">
        <v>250</v>
      </c>
    </row>
    <row r="80" spans="2:18">
      <c r="B80" s="378"/>
      <c r="C80">
        <v>3</v>
      </c>
      <c r="D80" t="s">
        <v>531</v>
      </c>
      <c r="E80" t="s">
        <v>201</v>
      </c>
      <c r="F80" t="s">
        <v>249</v>
      </c>
      <c r="M80" s="378"/>
      <c r="N80">
        <v>3</v>
      </c>
      <c r="O80" t="s">
        <v>201</v>
      </c>
      <c r="P80" t="s">
        <v>201</v>
      </c>
      <c r="Q80" t="s">
        <v>249</v>
      </c>
    </row>
    <row r="81" spans="2:17">
      <c r="B81" s="44"/>
      <c r="M81" s="44"/>
    </row>
    <row r="82" spans="2:17">
      <c r="B82" s="44">
        <v>46008</v>
      </c>
      <c r="C82">
        <v>1</v>
      </c>
      <c r="D82" t="s">
        <v>392</v>
      </c>
      <c r="E82" t="s">
        <v>252</v>
      </c>
      <c r="F82" t="s">
        <v>250</v>
      </c>
      <c r="M82" s="44">
        <v>46008</v>
      </c>
      <c r="N82">
        <v>1</v>
      </c>
      <c r="O82" t="s">
        <v>392</v>
      </c>
      <c r="P82" t="s">
        <v>252</v>
      </c>
      <c r="Q82" t="s">
        <v>250</v>
      </c>
    </row>
    <row r="83" spans="2:17">
      <c r="B83" s="378"/>
      <c r="C83">
        <v>10</v>
      </c>
      <c r="D83" t="s">
        <v>394</v>
      </c>
      <c r="E83" t="s">
        <v>251</v>
      </c>
      <c r="F83" t="s">
        <v>250</v>
      </c>
      <c r="M83" s="378"/>
      <c r="N83">
        <v>10</v>
      </c>
      <c r="O83" t="s">
        <v>394</v>
      </c>
      <c r="P83" t="s">
        <v>251</v>
      </c>
      <c r="Q83" t="s">
        <v>250</v>
      </c>
    </row>
    <row r="84" spans="2:17">
      <c r="B84" s="378"/>
      <c r="C84">
        <v>8</v>
      </c>
      <c r="D84" t="s">
        <v>226</v>
      </c>
      <c r="E84" t="s">
        <v>14</v>
      </c>
      <c r="F84" t="s">
        <v>250</v>
      </c>
      <c r="M84" s="378"/>
      <c r="N84">
        <v>8</v>
      </c>
      <c r="O84" t="s">
        <v>226</v>
      </c>
      <c r="P84" t="s">
        <v>14</v>
      </c>
      <c r="Q84" t="s">
        <v>250</v>
      </c>
    </row>
    <row r="85" spans="2:17">
      <c r="B85" s="44"/>
      <c r="M85" s="44"/>
    </row>
    <row r="86" spans="2:17">
      <c r="B86" s="44">
        <v>46009</v>
      </c>
      <c r="C86">
        <v>0</v>
      </c>
      <c r="D86" t="s">
        <v>395</v>
      </c>
      <c r="E86" t="s">
        <v>252</v>
      </c>
      <c r="F86" t="s">
        <v>250</v>
      </c>
      <c r="M86" s="44">
        <v>46009</v>
      </c>
      <c r="N86">
        <v>0</v>
      </c>
      <c r="O86" t="s">
        <v>395</v>
      </c>
      <c r="P86" t="s">
        <v>252</v>
      </c>
      <c r="Q86" t="s">
        <v>250</v>
      </c>
    </row>
    <row r="87" spans="2:17">
      <c r="B87" s="44"/>
      <c r="C87">
        <v>11</v>
      </c>
      <c r="D87" t="s">
        <v>394</v>
      </c>
      <c r="E87" t="s">
        <v>251</v>
      </c>
      <c r="F87" t="s">
        <v>250</v>
      </c>
      <c r="M87" s="44"/>
      <c r="N87">
        <v>11</v>
      </c>
      <c r="O87" t="s">
        <v>394</v>
      </c>
      <c r="P87" t="s">
        <v>251</v>
      </c>
      <c r="Q87" t="s">
        <v>250</v>
      </c>
    </row>
    <row r="88" spans="2:17">
      <c r="B88" s="378"/>
      <c r="C88">
        <v>11</v>
      </c>
      <c r="D88" t="s">
        <v>226</v>
      </c>
      <c r="E88" t="s">
        <v>14</v>
      </c>
      <c r="F88" t="s">
        <v>250</v>
      </c>
      <c r="M88" s="378"/>
      <c r="N88">
        <v>11</v>
      </c>
      <c r="O88" t="s">
        <v>226</v>
      </c>
      <c r="P88" t="s">
        <v>14</v>
      </c>
      <c r="Q88" t="s">
        <v>250</v>
      </c>
    </row>
    <row r="89" spans="2:17">
      <c r="B89" s="378"/>
      <c r="C89">
        <v>8</v>
      </c>
      <c r="D89" t="s">
        <v>531</v>
      </c>
      <c r="E89" t="s">
        <v>201</v>
      </c>
      <c r="F89" t="s">
        <v>249</v>
      </c>
      <c r="M89" s="378"/>
      <c r="N89">
        <v>8</v>
      </c>
      <c r="O89" t="s">
        <v>531</v>
      </c>
      <c r="P89" t="s">
        <v>201</v>
      </c>
      <c r="Q89" t="s">
        <v>249</v>
      </c>
    </row>
    <row r="90" spans="2:17">
      <c r="B90" s="378"/>
      <c r="C90">
        <v>65</v>
      </c>
      <c r="D90" t="s">
        <v>585</v>
      </c>
      <c r="E90" t="s">
        <v>512</v>
      </c>
      <c r="F90" t="s">
        <v>248</v>
      </c>
      <c r="M90" s="378"/>
      <c r="N90">
        <v>65</v>
      </c>
      <c r="O90" t="s">
        <v>585</v>
      </c>
      <c r="P90" t="s">
        <v>512</v>
      </c>
      <c r="Q90" t="s">
        <v>248</v>
      </c>
    </row>
    <row r="91" spans="2:17">
      <c r="B91" s="378"/>
      <c r="E91" s="414"/>
      <c r="F91" s="414"/>
      <c r="M91" s="378"/>
      <c r="P91" s="414"/>
      <c r="Q91" s="414"/>
    </row>
    <row r="92" spans="2:17">
      <c r="B92" s="378">
        <v>46010</v>
      </c>
      <c r="C92">
        <v>0</v>
      </c>
      <c r="D92" t="s">
        <v>395</v>
      </c>
      <c r="E92" t="s">
        <v>252</v>
      </c>
      <c r="F92" t="s">
        <v>250</v>
      </c>
      <c r="M92" s="378">
        <v>46010</v>
      </c>
      <c r="N92">
        <v>0</v>
      </c>
      <c r="O92" t="s">
        <v>395</v>
      </c>
      <c r="P92" t="s">
        <v>252</v>
      </c>
      <c r="Q92" t="s">
        <v>250</v>
      </c>
    </row>
    <row r="93" spans="2:17">
      <c r="B93" s="378"/>
      <c r="C93">
        <v>9</v>
      </c>
      <c r="D93" t="s">
        <v>454</v>
      </c>
      <c r="E93" t="s">
        <v>251</v>
      </c>
      <c r="F93" t="s">
        <v>250</v>
      </c>
      <c r="M93" s="378"/>
      <c r="N93">
        <v>9</v>
      </c>
      <c r="O93" t="s">
        <v>454</v>
      </c>
      <c r="P93" t="s">
        <v>251</v>
      </c>
      <c r="Q93" t="s">
        <v>250</v>
      </c>
    </row>
    <row r="94" spans="2:17">
      <c r="B94" s="378"/>
      <c r="C94">
        <v>11</v>
      </c>
      <c r="D94" t="s">
        <v>226</v>
      </c>
      <c r="E94" t="s">
        <v>14</v>
      </c>
      <c r="F94" t="s">
        <v>250</v>
      </c>
      <c r="M94" s="378"/>
      <c r="N94">
        <v>11</v>
      </c>
      <c r="O94" t="s">
        <v>226</v>
      </c>
      <c r="P94" t="s">
        <v>14</v>
      </c>
      <c r="Q94" t="s">
        <v>250</v>
      </c>
    </row>
    <row r="95" spans="2:17">
      <c r="B95" s="378"/>
      <c r="C95">
        <v>5</v>
      </c>
      <c r="D95" t="s">
        <v>531</v>
      </c>
      <c r="E95" t="s">
        <v>201</v>
      </c>
      <c r="F95" t="s">
        <v>249</v>
      </c>
      <c r="M95" s="378"/>
      <c r="N95">
        <v>5</v>
      </c>
      <c r="O95" t="s">
        <v>531</v>
      </c>
      <c r="P95" t="s">
        <v>201</v>
      </c>
      <c r="Q95" t="s">
        <v>249</v>
      </c>
    </row>
    <row r="96" spans="2:17">
      <c r="B96" s="378"/>
      <c r="E96" s="414"/>
      <c r="F96" s="414"/>
      <c r="M96" s="378"/>
      <c r="P96" s="414"/>
      <c r="Q96" s="414"/>
    </row>
    <row r="97" spans="2:17">
      <c r="B97" s="378">
        <v>46011</v>
      </c>
      <c r="C97">
        <v>0</v>
      </c>
      <c r="D97" t="s">
        <v>395</v>
      </c>
      <c r="E97" t="s">
        <v>252</v>
      </c>
      <c r="F97" t="s">
        <v>250</v>
      </c>
      <c r="M97" s="378">
        <v>46011</v>
      </c>
      <c r="N97">
        <v>0</v>
      </c>
      <c r="O97" t="s">
        <v>395</v>
      </c>
      <c r="P97" t="s">
        <v>252</v>
      </c>
      <c r="Q97" t="s">
        <v>250</v>
      </c>
    </row>
    <row r="98" spans="2:17">
      <c r="B98" s="378"/>
      <c r="C98">
        <v>7</v>
      </c>
      <c r="D98" t="s">
        <v>394</v>
      </c>
      <c r="E98" t="s">
        <v>251</v>
      </c>
      <c r="F98" t="s">
        <v>250</v>
      </c>
      <c r="M98" s="378"/>
      <c r="N98">
        <v>7</v>
      </c>
      <c r="O98" t="s">
        <v>394</v>
      </c>
      <c r="P98" t="s">
        <v>251</v>
      </c>
      <c r="Q98" t="s">
        <v>250</v>
      </c>
    </row>
    <row r="99" spans="2:17">
      <c r="B99" s="378"/>
      <c r="C99">
        <v>7</v>
      </c>
      <c r="D99" t="s">
        <v>226</v>
      </c>
      <c r="E99" t="s">
        <v>14</v>
      </c>
      <c r="F99" t="s">
        <v>250</v>
      </c>
      <c r="M99" s="378"/>
      <c r="N99">
        <v>7</v>
      </c>
      <c r="O99" t="s">
        <v>226</v>
      </c>
      <c r="P99" t="s">
        <v>14</v>
      </c>
      <c r="Q99" t="s">
        <v>250</v>
      </c>
    </row>
    <row r="100" spans="2:17">
      <c r="B100" s="378"/>
      <c r="C100">
        <v>5</v>
      </c>
      <c r="D100" t="s">
        <v>531</v>
      </c>
      <c r="E100" t="s">
        <v>201</v>
      </c>
      <c r="F100" t="s">
        <v>249</v>
      </c>
      <c r="M100" s="378"/>
      <c r="N100">
        <v>5</v>
      </c>
      <c r="O100" t="s">
        <v>531</v>
      </c>
      <c r="P100" t="s">
        <v>201</v>
      </c>
      <c r="Q100" t="s">
        <v>249</v>
      </c>
    </row>
    <row r="101" spans="2:17">
      <c r="B101" s="378"/>
      <c r="E101" s="414"/>
      <c r="F101" s="414"/>
      <c r="M101" s="378"/>
      <c r="P101" s="414"/>
      <c r="Q101" s="414"/>
    </row>
    <row r="102" spans="2:17">
      <c r="B102" s="378">
        <v>46012</v>
      </c>
      <c r="C102">
        <v>4</v>
      </c>
      <c r="D102" t="s">
        <v>392</v>
      </c>
      <c r="E102" t="s">
        <v>252</v>
      </c>
      <c r="F102" t="s">
        <v>250</v>
      </c>
      <c r="M102" s="378">
        <v>46012</v>
      </c>
      <c r="N102">
        <v>4</v>
      </c>
      <c r="O102" t="s">
        <v>392</v>
      </c>
      <c r="P102" t="s">
        <v>252</v>
      </c>
      <c r="Q102" t="s">
        <v>250</v>
      </c>
    </row>
    <row r="103" spans="2:17">
      <c r="B103" s="378"/>
      <c r="C103">
        <v>20</v>
      </c>
      <c r="D103" t="s">
        <v>489</v>
      </c>
      <c r="E103" t="s">
        <v>251</v>
      </c>
      <c r="F103" t="s">
        <v>250</v>
      </c>
      <c r="M103" s="378"/>
      <c r="N103">
        <v>20</v>
      </c>
      <c r="O103" t="s">
        <v>489</v>
      </c>
      <c r="P103" t="s">
        <v>251</v>
      </c>
      <c r="Q103" t="s">
        <v>250</v>
      </c>
    </row>
    <row r="104" spans="2:17">
      <c r="B104" s="378"/>
      <c r="C104">
        <v>13</v>
      </c>
      <c r="D104" t="s">
        <v>226</v>
      </c>
      <c r="E104" t="s">
        <v>14</v>
      </c>
      <c r="F104" t="s">
        <v>250</v>
      </c>
      <c r="M104" s="378"/>
      <c r="N104">
        <v>13</v>
      </c>
      <c r="O104" t="s">
        <v>226</v>
      </c>
      <c r="P104" t="s">
        <v>14</v>
      </c>
      <c r="Q104" t="s">
        <v>250</v>
      </c>
    </row>
    <row r="105" spans="2:17">
      <c r="B105" s="378"/>
      <c r="M105" s="378"/>
    </row>
    <row r="106" spans="2:17">
      <c r="B106" s="378">
        <v>46013</v>
      </c>
      <c r="C106">
        <v>0</v>
      </c>
      <c r="D106" t="s">
        <v>395</v>
      </c>
      <c r="E106" t="s">
        <v>252</v>
      </c>
      <c r="F106" t="s">
        <v>250</v>
      </c>
      <c r="M106" s="378">
        <v>46013</v>
      </c>
      <c r="N106">
        <v>0</v>
      </c>
      <c r="O106" t="s">
        <v>395</v>
      </c>
      <c r="P106" t="s">
        <v>252</v>
      </c>
      <c r="Q106" t="s">
        <v>250</v>
      </c>
    </row>
    <row r="107" spans="2:17">
      <c r="B107" s="378"/>
      <c r="C107">
        <v>2</v>
      </c>
      <c r="D107" t="s">
        <v>393</v>
      </c>
      <c r="E107" t="s">
        <v>251</v>
      </c>
      <c r="F107" t="s">
        <v>250</v>
      </c>
      <c r="M107" s="378"/>
      <c r="N107">
        <v>2</v>
      </c>
      <c r="O107" t="s">
        <v>393</v>
      </c>
      <c r="P107" t="s">
        <v>251</v>
      </c>
      <c r="Q107" t="s">
        <v>250</v>
      </c>
    </row>
    <row r="108" spans="2:17">
      <c r="B108" s="378"/>
      <c r="C108">
        <v>9</v>
      </c>
      <c r="D108" t="s">
        <v>226</v>
      </c>
      <c r="E108" t="s">
        <v>14</v>
      </c>
      <c r="F108" t="s">
        <v>250</v>
      </c>
      <c r="M108" s="378"/>
      <c r="N108">
        <v>9</v>
      </c>
      <c r="O108" t="s">
        <v>226</v>
      </c>
      <c r="P108" t="s">
        <v>14</v>
      </c>
      <c r="Q108" t="s">
        <v>250</v>
      </c>
    </row>
    <row r="109" spans="2:17">
      <c r="B109" s="378"/>
      <c r="C109">
        <v>5</v>
      </c>
      <c r="D109" t="s">
        <v>531</v>
      </c>
      <c r="E109" t="s">
        <v>201</v>
      </c>
      <c r="F109" t="s">
        <v>249</v>
      </c>
      <c r="M109" s="378"/>
      <c r="N109">
        <v>5</v>
      </c>
      <c r="O109" t="s">
        <v>531</v>
      </c>
      <c r="P109" t="s">
        <v>201</v>
      </c>
      <c r="Q109" t="s">
        <v>249</v>
      </c>
    </row>
    <row r="110" spans="2:17">
      <c r="B110" s="378"/>
      <c r="M110" s="378"/>
    </row>
    <row r="111" spans="2:17">
      <c r="B111" s="378">
        <v>46014</v>
      </c>
      <c r="C111">
        <v>0</v>
      </c>
      <c r="D111" t="s">
        <v>395</v>
      </c>
      <c r="E111" t="s">
        <v>252</v>
      </c>
      <c r="F111" t="s">
        <v>250</v>
      </c>
      <c r="M111" s="378">
        <v>46014</v>
      </c>
      <c r="N111">
        <v>0</v>
      </c>
      <c r="O111" t="s">
        <v>395</v>
      </c>
      <c r="P111" t="s">
        <v>252</v>
      </c>
      <c r="Q111" t="s">
        <v>250</v>
      </c>
    </row>
    <row r="112" spans="2:17">
      <c r="B112" s="378"/>
      <c r="C112">
        <v>5</v>
      </c>
      <c r="D112" t="s">
        <v>393</v>
      </c>
      <c r="E112" t="s">
        <v>251</v>
      </c>
      <c r="F112" t="s">
        <v>250</v>
      </c>
      <c r="M112" s="378"/>
      <c r="N112">
        <v>5</v>
      </c>
      <c r="O112" t="s">
        <v>393</v>
      </c>
      <c r="P112" t="s">
        <v>251</v>
      </c>
      <c r="Q112" t="s">
        <v>250</v>
      </c>
    </row>
    <row r="113" spans="2:17">
      <c r="B113" s="378"/>
      <c r="C113">
        <v>14</v>
      </c>
      <c r="D113" t="s">
        <v>226</v>
      </c>
      <c r="E113" t="s">
        <v>14</v>
      </c>
      <c r="F113" t="s">
        <v>250</v>
      </c>
      <c r="M113" s="378"/>
      <c r="N113">
        <v>14</v>
      </c>
      <c r="O113" t="s">
        <v>226</v>
      </c>
      <c r="P113" t="s">
        <v>14</v>
      </c>
      <c r="Q113" t="s">
        <v>250</v>
      </c>
    </row>
    <row r="114" spans="2:17">
      <c r="B114" s="378"/>
      <c r="M114" s="378"/>
    </row>
    <row r="115" spans="2:17">
      <c r="B115" s="378">
        <v>46015</v>
      </c>
      <c r="C115">
        <v>2</v>
      </c>
      <c r="D115" t="s">
        <v>395</v>
      </c>
      <c r="E115" t="s">
        <v>252</v>
      </c>
      <c r="F115" t="s">
        <v>250</v>
      </c>
      <c r="M115" s="378">
        <v>46015</v>
      </c>
      <c r="N115">
        <v>2</v>
      </c>
      <c r="O115" t="s">
        <v>395</v>
      </c>
      <c r="P115" t="s">
        <v>252</v>
      </c>
      <c r="Q115" t="s">
        <v>250</v>
      </c>
    </row>
    <row r="116" spans="2:17">
      <c r="B116" s="378"/>
      <c r="C116">
        <v>2</v>
      </c>
      <c r="D116" t="s">
        <v>393</v>
      </c>
      <c r="E116" t="s">
        <v>251</v>
      </c>
      <c r="F116" t="s">
        <v>250</v>
      </c>
      <c r="M116" s="378"/>
      <c r="N116">
        <v>2</v>
      </c>
      <c r="O116" t="s">
        <v>393</v>
      </c>
      <c r="P116" t="s">
        <v>251</v>
      </c>
      <c r="Q116" t="s">
        <v>250</v>
      </c>
    </row>
    <row r="117" spans="2:17">
      <c r="B117" s="378"/>
      <c r="C117">
        <v>9</v>
      </c>
      <c r="D117" t="s">
        <v>226</v>
      </c>
      <c r="E117" t="s">
        <v>14</v>
      </c>
      <c r="F117" t="s">
        <v>250</v>
      </c>
      <c r="M117" s="378"/>
      <c r="N117">
        <v>9</v>
      </c>
      <c r="O117" t="s">
        <v>226</v>
      </c>
      <c r="P117" t="s">
        <v>14</v>
      </c>
      <c r="Q117" t="s">
        <v>250</v>
      </c>
    </row>
    <row r="118" spans="2:17">
      <c r="B118" s="378"/>
      <c r="C118">
        <v>5</v>
      </c>
      <c r="D118" t="s">
        <v>531</v>
      </c>
      <c r="E118" t="s">
        <v>201</v>
      </c>
      <c r="F118" t="s">
        <v>249</v>
      </c>
      <c r="M118" s="378"/>
      <c r="N118">
        <v>5</v>
      </c>
      <c r="O118" t="s">
        <v>531</v>
      </c>
      <c r="P118" t="s">
        <v>201</v>
      </c>
      <c r="Q118" t="s">
        <v>249</v>
      </c>
    </row>
    <row r="119" spans="2:17">
      <c r="B119" s="378"/>
      <c r="M119" s="378"/>
    </row>
    <row r="120" spans="2:17">
      <c r="B120" s="378">
        <v>46016</v>
      </c>
      <c r="C120">
        <v>2</v>
      </c>
      <c r="D120" t="s">
        <v>395</v>
      </c>
      <c r="E120" t="s">
        <v>252</v>
      </c>
      <c r="F120" t="s">
        <v>250</v>
      </c>
      <c r="M120" s="378">
        <v>46016</v>
      </c>
      <c r="N120">
        <v>2</v>
      </c>
      <c r="O120" t="s">
        <v>395</v>
      </c>
      <c r="P120" t="s">
        <v>252</v>
      </c>
      <c r="Q120" t="s">
        <v>250</v>
      </c>
    </row>
    <row r="121" spans="2:17">
      <c r="B121" s="378"/>
      <c r="C121">
        <v>5</v>
      </c>
      <c r="D121" t="s">
        <v>393</v>
      </c>
      <c r="E121" t="s">
        <v>251</v>
      </c>
      <c r="F121" t="s">
        <v>250</v>
      </c>
      <c r="M121" s="378"/>
      <c r="N121">
        <v>5</v>
      </c>
      <c r="O121" t="s">
        <v>393</v>
      </c>
      <c r="P121" t="s">
        <v>251</v>
      </c>
      <c r="Q121" t="s">
        <v>250</v>
      </c>
    </row>
    <row r="122" spans="2:17">
      <c r="B122" s="378"/>
      <c r="C122">
        <v>9</v>
      </c>
      <c r="D122" t="s">
        <v>226</v>
      </c>
      <c r="E122" t="s">
        <v>14</v>
      </c>
      <c r="F122" t="s">
        <v>250</v>
      </c>
      <c r="M122" s="378"/>
      <c r="N122">
        <v>9</v>
      </c>
      <c r="O122" t="s">
        <v>226</v>
      </c>
      <c r="P122" t="s">
        <v>14</v>
      </c>
      <c r="Q122" t="s">
        <v>250</v>
      </c>
    </row>
    <row r="123" spans="2:17">
      <c r="B123" s="378"/>
      <c r="M123" s="378"/>
    </row>
    <row r="124" spans="2:17">
      <c r="B124" s="44">
        <v>46017</v>
      </c>
      <c r="C124">
        <v>0</v>
      </c>
      <c r="D124" t="s">
        <v>395</v>
      </c>
      <c r="E124" t="s">
        <v>252</v>
      </c>
      <c r="F124" t="s">
        <v>250</v>
      </c>
      <c r="M124" s="44">
        <v>46017</v>
      </c>
      <c r="N124">
        <v>0</v>
      </c>
      <c r="O124" t="s">
        <v>395</v>
      </c>
      <c r="P124" t="s">
        <v>252</v>
      </c>
      <c r="Q124" t="s">
        <v>250</v>
      </c>
    </row>
    <row r="125" spans="2:17">
      <c r="B125" s="378"/>
      <c r="C125">
        <v>4</v>
      </c>
      <c r="D125" t="s">
        <v>454</v>
      </c>
      <c r="E125" t="s">
        <v>251</v>
      </c>
      <c r="F125" t="s">
        <v>250</v>
      </c>
      <c r="M125" s="378"/>
      <c r="N125">
        <v>4</v>
      </c>
      <c r="O125" t="s">
        <v>454</v>
      </c>
      <c r="P125" t="s">
        <v>251</v>
      </c>
      <c r="Q125" t="s">
        <v>250</v>
      </c>
    </row>
    <row r="126" spans="2:17">
      <c r="B126" s="378"/>
      <c r="C126">
        <v>9</v>
      </c>
      <c r="D126" t="s">
        <v>226</v>
      </c>
      <c r="E126" t="s">
        <v>14</v>
      </c>
      <c r="F126" t="s">
        <v>250</v>
      </c>
      <c r="M126" s="378"/>
      <c r="N126">
        <v>9</v>
      </c>
      <c r="O126" t="s">
        <v>226</v>
      </c>
      <c r="P126" t="s">
        <v>14</v>
      </c>
      <c r="Q126" t="s">
        <v>250</v>
      </c>
    </row>
    <row r="127" spans="2:17">
      <c r="B127" s="378"/>
      <c r="M127" s="378"/>
    </row>
    <row r="128" spans="2:17">
      <c r="B128" s="378">
        <v>46018</v>
      </c>
      <c r="C128">
        <v>0</v>
      </c>
      <c r="D128" t="s">
        <v>395</v>
      </c>
      <c r="E128" t="s">
        <v>252</v>
      </c>
      <c r="F128" t="s">
        <v>250</v>
      </c>
      <c r="M128" s="378">
        <v>46018</v>
      </c>
      <c r="N128">
        <v>0</v>
      </c>
      <c r="O128" t="s">
        <v>395</v>
      </c>
      <c r="P128" t="s">
        <v>252</v>
      </c>
      <c r="Q128" t="s">
        <v>250</v>
      </c>
    </row>
    <row r="129" spans="2:17">
      <c r="B129" s="378"/>
      <c r="C129">
        <v>0</v>
      </c>
      <c r="D129" t="s">
        <v>424</v>
      </c>
      <c r="E129" t="s">
        <v>251</v>
      </c>
      <c r="F129" t="s">
        <v>250</v>
      </c>
      <c r="M129" s="378"/>
      <c r="N129">
        <v>0</v>
      </c>
      <c r="O129" t="s">
        <v>424</v>
      </c>
      <c r="P129" t="s">
        <v>251</v>
      </c>
      <c r="Q129" t="s">
        <v>250</v>
      </c>
    </row>
    <row r="130" spans="2:17">
      <c r="B130" s="378"/>
      <c r="C130">
        <v>14</v>
      </c>
      <c r="D130" t="s">
        <v>226</v>
      </c>
      <c r="E130" t="s">
        <v>14</v>
      </c>
      <c r="F130" t="s">
        <v>250</v>
      </c>
      <c r="M130" s="378"/>
      <c r="N130">
        <v>14</v>
      </c>
      <c r="O130" t="s">
        <v>226</v>
      </c>
      <c r="P130" t="s">
        <v>14</v>
      </c>
      <c r="Q130" t="s">
        <v>250</v>
      </c>
    </row>
    <row r="131" spans="2:17">
      <c r="B131" s="378"/>
      <c r="M131" s="378"/>
    </row>
    <row r="132" spans="2:17">
      <c r="B132" s="378">
        <v>46019</v>
      </c>
      <c r="C132">
        <v>0</v>
      </c>
      <c r="D132" t="s">
        <v>395</v>
      </c>
      <c r="E132" t="s">
        <v>252</v>
      </c>
      <c r="F132" t="s">
        <v>250</v>
      </c>
      <c r="M132" s="378">
        <v>46019</v>
      </c>
      <c r="N132">
        <v>0</v>
      </c>
      <c r="O132" t="s">
        <v>395</v>
      </c>
      <c r="P132" t="s">
        <v>252</v>
      </c>
      <c r="Q132" t="s">
        <v>250</v>
      </c>
    </row>
    <row r="133" spans="2:17">
      <c r="B133" s="378"/>
      <c r="C133">
        <v>5</v>
      </c>
      <c r="D133" t="s">
        <v>393</v>
      </c>
      <c r="E133" t="s">
        <v>251</v>
      </c>
      <c r="F133" t="s">
        <v>250</v>
      </c>
      <c r="M133" s="378"/>
      <c r="N133">
        <v>5</v>
      </c>
      <c r="O133" t="s">
        <v>393</v>
      </c>
      <c r="P133" t="s">
        <v>251</v>
      </c>
      <c r="Q133" t="s">
        <v>250</v>
      </c>
    </row>
    <row r="134" spans="2:17">
      <c r="B134" s="378"/>
      <c r="C134">
        <v>15</v>
      </c>
      <c r="D134" t="s">
        <v>226</v>
      </c>
      <c r="E134" t="s">
        <v>14</v>
      </c>
      <c r="F134" t="s">
        <v>250</v>
      </c>
      <c r="M134" s="378"/>
      <c r="N134">
        <v>15</v>
      </c>
      <c r="O134" t="s">
        <v>226</v>
      </c>
      <c r="P134" t="s">
        <v>14</v>
      </c>
      <c r="Q134" t="s">
        <v>250</v>
      </c>
    </row>
    <row r="135" spans="2:17">
      <c r="B135" s="378"/>
      <c r="M135" s="378"/>
    </row>
    <row r="136" spans="2:17">
      <c r="B136" s="378">
        <v>46020</v>
      </c>
      <c r="C136">
        <v>3</v>
      </c>
      <c r="D136" t="s">
        <v>392</v>
      </c>
      <c r="E136" t="s">
        <v>252</v>
      </c>
      <c r="F136" t="s">
        <v>250</v>
      </c>
      <c r="M136" s="378">
        <v>46020</v>
      </c>
      <c r="N136">
        <v>3</v>
      </c>
      <c r="O136" t="s">
        <v>392</v>
      </c>
      <c r="P136" t="s">
        <v>252</v>
      </c>
      <c r="Q136" t="s">
        <v>250</v>
      </c>
    </row>
    <row r="137" spans="2:17">
      <c r="B137" s="378"/>
      <c r="C137">
        <v>14</v>
      </c>
      <c r="D137" t="s">
        <v>680</v>
      </c>
      <c r="E137" t="s">
        <v>251</v>
      </c>
      <c r="F137" t="s">
        <v>250</v>
      </c>
      <c r="M137" s="378"/>
      <c r="N137">
        <v>14</v>
      </c>
      <c r="O137" t="s">
        <v>680</v>
      </c>
      <c r="P137" t="s">
        <v>251</v>
      </c>
      <c r="Q137" t="s">
        <v>250</v>
      </c>
    </row>
    <row r="138" spans="2:17">
      <c r="B138" s="378"/>
      <c r="C138">
        <v>18</v>
      </c>
      <c r="D138" t="s">
        <v>226</v>
      </c>
      <c r="E138" t="s">
        <v>14</v>
      </c>
      <c r="F138" t="s">
        <v>250</v>
      </c>
      <c r="M138" s="378"/>
      <c r="N138">
        <v>18</v>
      </c>
      <c r="O138" t="s">
        <v>226</v>
      </c>
      <c r="P138" t="s">
        <v>14</v>
      </c>
      <c r="Q138" t="s">
        <v>250</v>
      </c>
    </row>
    <row r="139" spans="2:17">
      <c r="B139" s="378"/>
      <c r="C139">
        <v>10</v>
      </c>
      <c r="D139" t="s">
        <v>668</v>
      </c>
      <c r="E139" t="s">
        <v>682</v>
      </c>
      <c r="F139" t="s">
        <v>249</v>
      </c>
      <c r="M139" s="378"/>
      <c r="N139">
        <v>10</v>
      </c>
      <c r="O139" t="s">
        <v>668</v>
      </c>
      <c r="P139" t="s">
        <v>682</v>
      </c>
      <c r="Q139" t="s">
        <v>249</v>
      </c>
    </row>
    <row r="140" spans="2:17">
      <c r="B140" s="378"/>
      <c r="C140">
        <v>60</v>
      </c>
      <c r="D140" t="s">
        <v>681</v>
      </c>
      <c r="E140" t="s">
        <v>683</v>
      </c>
      <c r="F140" t="s">
        <v>297</v>
      </c>
      <c r="M140" s="378"/>
      <c r="N140">
        <v>0</v>
      </c>
      <c r="O140" t="s">
        <v>681</v>
      </c>
      <c r="P140" t="s">
        <v>683</v>
      </c>
      <c r="Q140" t="s">
        <v>297</v>
      </c>
    </row>
    <row r="141" spans="2:17">
      <c r="B141" s="378"/>
      <c r="C141">
        <v>65</v>
      </c>
      <c r="D141" s="502" t="s">
        <v>687</v>
      </c>
      <c r="E141" t="s">
        <v>684</v>
      </c>
      <c r="F141" t="s">
        <v>255</v>
      </c>
      <c r="M141" s="378"/>
      <c r="N141">
        <v>65</v>
      </c>
      <c r="O141" s="502" t="s">
        <v>687</v>
      </c>
      <c r="P141" t="s">
        <v>684</v>
      </c>
      <c r="Q141" t="s">
        <v>255</v>
      </c>
    </row>
    <row r="142" spans="2:17">
      <c r="B142" s="378"/>
      <c r="C142">
        <v>60</v>
      </c>
      <c r="D142" s="502" t="s">
        <v>685</v>
      </c>
      <c r="E142" s="502" t="s">
        <v>686</v>
      </c>
      <c r="F142" t="s">
        <v>248</v>
      </c>
      <c r="M142" s="378"/>
      <c r="N142">
        <v>60</v>
      </c>
      <c r="O142" s="502" t="s">
        <v>685</v>
      </c>
      <c r="P142" s="502" t="s">
        <v>686</v>
      </c>
      <c r="Q142" t="s">
        <v>248</v>
      </c>
    </row>
    <row r="143" spans="2:17">
      <c r="B143" s="378"/>
      <c r="M143" s="378"/>
    </row>
    <row r="144" spans="2:17">
      <c r="B144" s="44">
        <v>46386</v>
      </c>
      <c r="C144">
        <v>6</v>
      </c>
      <c r="D144" t="s">
        <v>701</v>
      </c>
      <c r="E144" t="s">
        <v>252</v>
      </c>
      <c r="F144" t="s">
        <v>250</v>
      </c>
      <c r="M144" s="44">
        <v>46386</v>
      </c>
      <c r="N144">
        <v>6</v>
      </c>
      <c r="O144" t="s">
        <v>701</v>
      </c>
      <c r="P144" t="s">
        <v>252</v>
      </c>
      <c r="Q144" t="s">
        <v>250</v>
      </c>
    </row>
    <row r="145" spans="2:17">
      <c r="B145" s="378"/>
      <c r="C145">
        <v>21</v>
      </c>
      <c r="D145" t="s">
        <v>680</v>
      </c>
      <c r="E145" t="s">
        <v>251</v>
      </c>
      <c r="F145" t="s">
        <v>250</v>
      </c>
      <c r="M145" s="378"/>
      <c r="N145">
        <v>21</v>
      </c>
      <c r="O145" t="s">
        <v>680</v>
      </c>
      <c r="P145" t="s">
        <v>251</v>
      </c>
      <c r="Q145" t="s">
        <v>250</v>
      </c>
    </row>
    <row r="146" spans="2:17">
      <c r="B146" s="378"/>
      <c r="C146">
        <v>19</v>
      </c>
      <c r="D146" t="s">
        <v>226</v>
      </c>
      <c r="E146" t="s">
        <v>14</v>
      </c>
      <c r="F146" t="s">
        <v>250</v>
      </c>
      <c r="M146" s="378"/>
      <c r="N146">
        <v>19</v>
      </c>
      <c r="O146" t="s">
        <v>226</v>
      </c>
      <c r="P146" t="s">
        <v>14</v>
      </c>
      <c r="Q146" t="s">
        <v>250</v>
      </c>
    </row>
    <row r="147" spans="2:17">
      <c r="B147" s="378"/>
      <c r="M147" s="378"/>
    </row>
    <row r="148" spans="2:17">
      <c r="B148" s="378">
        <v>46387</v>
      </c>
      <c r="C148">
        <v>0</v>
      </c>
      <c r="D148" t="s">
        <v>395</v>
      </c>
      <c r="E148" t="s">
        <v>252</v>
      </c>
      <c r="F148" t="s">
        <v>250</v>
      </c>
      <c r="M148" s="378">
        <v>46387</v>
      </c>
      <c r="N148">
        <v>0</v>
      </c>
      <c r="O148" t="s">
        <v>395</v>
      </c>
      <c r="P148" t="s">
        <v>252</v>
      </c>
      <c r="Q148" t="s">
        <v>250</v>
      </c>
    </row>
    <row r="149" spans="2:17">
      <c r="B149" s="378"/>
      <c r="C149">
        <v>7</v>
      </c>
      <c r="D149" t="s">
        <v>440</v>
      </c>
      <c r="E149" t="s">
        <v>251</v>
      </c>
      <c r="F149" t="s">
        <v>250</v>
      </c>
      <c r="M149" s="378"/>
      <c r="N149">
        <v>7</v>
      </c>
      <c r="O149" t="s">
        <v>440</v>
      </c>
      <c r="P149" t="s">
        <v>251</v>
      </c>
      <c r="Q149" t="s">
        <v>250</v>
      </c>
    </row>
    <row r="150" spans="2:17">
      <c r="B150" s="378"/>
      <c r="C150">
        <v>8</v>
      </c>
      <c r="D150" t="s">
        <v>226</v>
      </c>
      <c r="E150" t="s">
        <v>14</v>
      </c>
      <c r="F150" t="s">
        <v>250</v>
      </c>
      <c r="M150" s="378"/>
      <c r="N150">
        <v>8</v>
      </c>
      <c r="O150" t="s">
        <v>226</v>
      </c>
      <c r="P150" t="s">
        <v>14</v>
      </c>
      <c r="Q150" t="s">
        <v>250</v>
      </c>
    </row>
    <row r="151" spans="2:17">
      <c r="B151" s="378"/>
      <c r="C151">
        <v>10</v>
      </c>
      <c r="D151" t="s">
        <v>531</v>
      </c>
      <c r="E151" t="s">
        <v>682</v>
      </c>
      <c r="F151" t="s">
        <v>249</v>
      </c>
      <c r="M151" s="378"/>
      <c r="N151">
        <v>10</v>
      </c>
      <c r="O151" t="s">
        <v>531</v>
      </c>
      <c r="P151" t="s">
        <v>682</v>
      </c>
      <c r="Q151" t="s">
        <v>249</v>
      </c>
    </row>
    <row r="152" spans="2:17">
      <c r="B152" s="378"/>
      <c r="E152" s="414"/>
      <c r="F152" s="414"/>
      <c r="M152" s="378"/>
      <c r="P152" s="414"/>
      <c r="Q152" s="414"/>
    </row>
    <row r="153" spans="2:17">
      <c r="B153" s="378"/>
      <c r="F153" s="414"/>
      <c r="M153" s="378"/>
      <c r="Q153" s="414"/>
    </row>
    <row r="154" spans="2:17">
      <c r="B154" s="378"/>
      <c r="F154" s="414"/>
      <c r="M154" s="378"/>
      <c r="Q154" s="414"/>
    </row>
    <row r="155" spans="2:17">
      <c r="B155" s="378"/>
      <c r="M155" s="378"/>
    </row>
    <row r="156" spans="2:17">
      <c r="B156" s="378"/>
      <c r="M156" s="378"/>
    </row>
    <row r="157" spans="2:17">
      <c r="B157" s="378"/>
      <c r="M157" s="378"/>
    </row>
    <row r="158" spans="2:17">
      <c r="B158" s="378"/>
      <c r="M158" s="378"/>
    </row>
    <row r="159" spans="2:17">
      <c r="B159" s="378"/>
      <c r="M159" s="378"/>
    </row>
    <row r="160" spans="2:17">
      <c r="B160" s="378"/>
      <c r="M160" s="378"/>
    </row>
    <row r="161" spans="2:13">
      <c r="B161" s="378"/>
      <c r="M161" s="378"/>
    </row>
    <row r="162" spans="2:13">
      <c r="B162" s="378"/>
      <c r="M162" s="378"/>
    </row>
    <row r="163" spans="2:13">
      <c r="B163" s="378"/>
      <c r="M163" s="378"/>
    </row>
    <row r="164" spans="2:13">
      <c r="B164" s="378"/>
      <c r="M164" s="378"/>
    </row>
    <row r="165" spans="2:13">
      <c r="B165" s="378"/>
      <c r="M165" s="378"/>
    </row>
    <row r="166" spans="2:13">
      <c r="B166" s="378"/>
      <c r="M166" s="378"/>
    </row>
    <row r="167" spans="2:13">
      <c r="B167" s="378"/>
      <c r="M167" s="378"/>
    </row>
    <row r="168" spans="2:13">
      <c r="B168" s="378"/>
      <c r="M168" s="378"/>
    </row>
    <row r="169" spans="2:13">
      <c r="B169" s="378"/>
      <c r="M169" s="378"/>
    </row>
    <row r="170" spans="2:13">
      <c r="B170" s="378"/>
      <c r="M170" s="378"/>
    </row>
    <row r="171" spans="2:13">
      <c r="B171" s="378"/>
      <c r="M171" s="378"/>
    </row>
    <row r="172" spans="2:13">
      <c r="B172" s="378"/>
      <c r="M172" s="378"/>
    </row>
    <row r="173" spans="2:13">
      <c r="B173" s="378"/>
      <c r="M173" s="378"/>
    </row>
    <row r="174" spans="2:13">
      <c r="B174" s="378"/>
      <c r="M174" s="378"/>
    </row>
    <row r="175" spans="2:13">
      <c r="B175" s="378"/>
      <c r="M175" s="378"/>
    </row>
    <row r="176" spans="2:13">
      <c r="B176" s="378"/>
      <c r="M176" s="378"/>
    </row>
    <row r="177" spans="2:13">
      <c r="B177" s="378"/>
      <c r="M177" s="378"/>
    </row>
    <row r="178" spans="2:13">
      <c r="B178" s="378"/>
      <c r="M178" s="378"/>
    </row>
    <row r="179" spans="2:13">
      <c r="B179" s="378"/>
      <c r="M179" s="378"/>
    </row>
    <row r="180" spans="2:13">
      <c r="B180" s="378"/>
      <c r="M180" s="378"/>
    </row>
    <row r="181" spans="2:13">
      <c r="B181" s="378"/>
      <c r="M181" s="378"/>
    </row>
    <row r="182" spans="2:13">
      <c r="B182" s="378"/>
      <c r="M182" s="378"/>
    </row>
    <row r="183" spans="2:13">
      <c r="B183" s="378"/>
      <c r="M183" s="378"/>
    </row>
    <row r="184" spans="2:13">
      <c r="B184" s="378"/>
      <c r="M184" s="378"/>
    </row>
    <row r="185" spans="2:13">
      <c r="B185" s="378"/>
    </row>
    <row r="186" spans="2:13">
      <c r="B186" s="378"/>
    </row>
    <row r="187" spans="2:13">
      <c r="B187" s="378"/>
    </row>
    <row r="188" spans="2:13">
      <c r="B188" s="378"/>
    </row>
    <row r="189" spans="2:13">
      <c r="B189" s="378"/>
    </row>
    <row r="190" spans="2:13">
      <c r="B190" s="378"/>
    </row>
    <row r="191" spans="2:13">
      <c r="B191" s="378"/>
    </row>
    <row r="192" spans="2:13">
      <c r="B192" s="378"/>
    </row>
    <row r="193" spans="2:2">
      <c r="B193" s="378"/>
    </row>
    <row r="194" spans="2:2">
      <c r="B194" s="378"/>
    </row>
    <row r="195" spans="2:2">
      <c r="B195" s="378"/>
    </row>
    <row r="196" spans="2:2">
      <c r="B196" s="378"/>
    </row>
    <row r="197" spans="2:2">
      <c r="B197" s="378"/>
    </row>
    <row r="198" spans="2:2">
      <c r="B198" s="378"/>
    </row>
    <row r="199" spans="2:2">
      <c r="B199" s="378"/>
    </row>
    <row r="200" spans="2:2">
      <c r="B200" s="378"/>
    </row>
    <row r="201" spans="2:2">
      <c r="B201" s="378"/>
    </row>
    <row r="202" spans="2:2">
      <c r="B202" s="378"/>
    </row>
    <row r="203" spans="2:2">
      <c r="B203" s="378"/>
    </row>
    <row r="204" spans="2:2">
      <c r="B204" s="378"/>
    </row>
    <row r="205" spans="2:2">
      <c r="B205" s="378"/>
    </row>
    <row r="206" spans="2:2">
      <c r="B206" s="378"/>
    </row>
    <row r="207" spans="2:2">
      <c r="B207" s="378"/>
    </row>
    <row r="208" spans="2:2">
      <c r="B208" s="378"/>
    </row>
    <row r="209" spans="2:2">
      <c r="B209" s="378"/>
    </row>
    <row r="210" spans="2:2">
      <c r="B210" s="378"/>
    </row>
    <row r="211" spans="2:2">
      <c r="B211" s="378"/>
    </row>
    <row r="212" spans="2:2">
      <c r="B212" s="378"/>
    </row>
    <row r="213" spans="2:2">
      <c r="B213" s="378"/>
    </row>
    <row r="214" spans="2:2">
      <c r="B214" s="378"/>
    </row>
    <row r="215" spans="2:2">
      <c r="B215" s="378"/>
    </row>
    <row r="216" spans="2:2">
      <c r="B216" s="378"/>
    </row>
    <row r="217" spans="2:2">
      <c r="B217" s="378"/>
    </row>
    <row r="218" spans="2:2">
      <c r="B218" s="378"/>
    </row>
    <row r="219" spans="2:2">
      <c r="B219" s="378"/>
    </row>
    <row r="220" spans="2:2">
      <c r="B220" s="378"/>
    </row>
    <row r="221" spans="2:2">
      <c r="B221" s="378"/>
    </row>
    <row r="222" spans="2:2">
      <c r="B222" s="378"/>
    </row>
    <row r="223" spans="2:2">
      <c r="B223" s="378"/>
    </row>
    <row r="224" spans="2:2">
      <c r="B224" s="378"/>
    </row>
    <row r="225" spans="2:2">
      <c r="B225" s="378"/>
    </row>
    <row r="226" spans="2:2">
      <c r="B226" s="378"/>
    </row>
    <row r="227" spans="2:2">
      <c r="B227" s="378"/>
    </row>
    <row r="228" spans="2:2">
      <c r="B228" s="378"/>
    </row>
    <row r="229" spans="2:2">
      <c r="B229" s="378"/>
    </row>
    <row r="230" spans="2:2">
      <c r="B230" s="378"/>
    </row>
    <row r="231" spans="2:2">
      <c r="B231" s="378"/>
    </row>
    <row r="232" spans="2:2">
      <c r="B232" s="378"/>
    </row>
    <row r="233" spans="2:2">
      <c r="B233" s="378"/>
    </row>
    <row r="234" spans="2:2">
      <c r="B234" s="378"/>
    </row>
    <row r="235" spans="2:2">
      <c r="B235" s="378"/>
    </row>
    <row r="236" spans="2:2">
      <c r="B236" s="378"/>
    </row>
    <row r="237" spans="2:2">
      <c r="B237" s="378"/>
    </row>
    <row r="238" spans="2:2">
      <c r="B238" s="378"/>
    </row>
    <row r="239" spans="2:2">
      <c r="B239" s="378"/>
    </row>
    <row r="240" spans="2:2">
      <c r="B240" s="378"/>
    </row>
    <row r="241" spans="2:2">
      <c r="B241" s="378"/>
    </row>
    <row r="242" spans="2:2">
      <c r="B242" s="378"/>
    </row>
    <row r="243" spans="2:2">
      <c r="B243" s="378"/>
    </row>
    <row r="244" spans="2:2">
      <c r="B244" s="378"/>
    </row>
    <row r="245" spans="2:2">
      <c r="B245" s="378"/>
    </row>
    <row r="246" spans="2:2">
      <c r="B246" s="378"/>
    </row>
    <row r="247" spans="2:2">
      <c r="B247" s="378"/>
    </row>
    <row r="248" spans="2:2">
      <c r="B248" s="378"/>
    </row>
    <row r="249" spans="2:2">
      <c r="B249" s="378"/>
    </row>
    <row r="250" spans="2:2">
      <c r="B250" s="378"/>
    </row>
    <row r="251" spans="2:2">
      <c r="B251" s="378"/>
    </row>
    <row r="252" spans="2:2">
      <c r="B252" s="378"/>
    </row>
    <row r="253" spans="2:2">
      <c r="B253" s="378"/>
    </row>
    <row r="254" spans="2:2">
      <c r="B254" s="378"/>
    </row>
    <row r="255" spans="2:2">
      <c r="B255" s="378"/>
    </row>
    <row r="256" spans="2:2">
      <c r="B256" s="378"/>
    </row>
    <row r="257" spans="2:2">
      <c r="B257" s="378"/>
    </row>
    <row r="258" spans="2:2">
      <c r="B258" s="378"/>
    </row>
    <row r="259" spans="2:2">
      <c r="B259" s="378"/>
    </row>
    <row r="260" spans="2:2">
      <c r="B260" s="378"/>
    </row>
  </sheetData>
  <autoFilter ref="B1:F106"/>
  <conditionalFormatting sqref="G2:G14">
    <cfRule type="cellIs" dxfId="19" priority="2" operator="greaterThan">
      <formula>0</formula>
    </cfRule>
  </conditionalFormatting>
  <conditionalFormatting sqref="R2:R14">
    <cfRule type="cellIs" dxfId="18" priority="1" operator="greaterThan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4"/>
  <sheetViews>
    <sheetView tabSelected="1" topLeftCell="G22" workbookViewId="0">
      <selection activeCell="H43" sqref="H43"/>
    </sheetView>
  </sheetViews>
  <sheetFormatPr defaultRowHeight="12.75"/>
  <cols>
    <col min="1" max="1" width="15.28515625" bestFit="1" customWidth="1"/>
    <col min="2" max="2" width="23.28515625" bestFit="1" customWidth="1"/>
    <col min="3" max="3" width="34.28515625" style="571" customWidth="1"/>
    <col min="4" max="8" width="13.5703125" customWidth="1"/>
    <col min="10" max="10" width="15.28515625" bestFit="1" customWidth="1"/>
    <col min="11" max="11" width="23.28515625" bestFit="1" customWidth="1"/>
    <col min="12" max="12" width="34.28515625" style="571" customWidth="1"/>
    <col min="13" max="17" width="13.5703125" customWidth="1"/>
  </cols>
  <sheetData>
    <row r="1" spans="1:17" ht="15">
      <c r="A1" s="474" t="s">
        <v>261</v>
      </c>
      <c r="E1" s="477"/>
      <c r="F1" s="1"/>
      <c r="J1" s="474" t="s">
        <v>371</v>
      </c>
      <c r="N1" s="477"/>
      <c r="O1" s="1"/>
    </row>
    <row r="2" spans="1:17" ht="30">
      <c r="A2" s="767" t="s">
        <v>234</v>
      </c>
      <c r="B2" s="767" t="s">
        <v>235</v>
      </c>
      <c r="C2" s="768" t="s">
        <v>236</v>
      </c>
      <c r="D2" s="478" t="s">
        <v>237</v>
      </c>
      <c r="E2" s="479" t="s">
        <v>238</v>
      </c>
      <c r="F2" s="480" t="s">
        <v>239</v>
      </c>
      <c r="G2" s="479" t="s">
        <v>240</v>
      </c>
      <c r="H2" s="479" t="s">
        <v>241</v>
      </c>
      <c r="J2" s="767" t="s">
        <v>234</v>
      </c>
      <c r="K2" s="767" t="s">
        <v>235</v>
      </c>
      <c r="L2" s="766" t="s">
        <v>236</v>
      </c>
      <c r="M2" s="478" t="s">
        <v>237</v>
      </c>
      <c r="N2" s="479" t="s">
        <v>238</v>
      </c>
      <c r="O2" s="480" t="s">
        <v>239</v>
      </c>
      <c r="P2" s="479" t="s">
        <v>240</v>
      </c>
      <c r="Q2" s="479" t="s">
        <v>241</v>
      </c>
    </row>
    <row r="3" spans="1:17" ht="15">
      <c r="A3" s="767"/>
      <c r="B3" s="767"/>
      <c r="C3" s="769"/>
      <c r="D3" s="478" t="s">
        <v>416</v>
      </c>
      <c r="E3" s="478" t="str">
        <f>+D3</f>
        <v>DESEMBER</v>
      </c>
      <c r="F3" s="478" t="str">
        <f>+E3</f>
        <v>DESEMBER</v>
      </c>
      <c r="G3" s="478" t="str">
        <f>+F3</f>
        <v>DESEMBER</v>
      </c>
      <c r="H3" s="478" t="str">
        <f>+G3</f>
        <v>DESEMBER</v>
      </c>
      <c r="J3" s="767"/>
      <c r="K3" s="767"/>
      <c r="L3" s="766"/>
      <c r="M3" s="478" t="str">
        <f>+H3</f>
        <v>DESEMBER</v>
      </c>
      <c r="N3" s="478" t="str">
        <f>+M3</f>
        <v>DESEMBER</v>
      </c>
      <c r="O3" s="478" t="str">
        <f>+N3</f>
        <v>DESEMBER</v>
      </c>
      <c r="P3" s="478" t="str">
        <f>+O3</f>
        <v>DESEMBER</v>
      </c>
      <c r="Q3" s="478" t="str">
        <f>+P3</f>
        <v>DESEMBER</v>
      </c>
    </row>
    <row r="4" spans="1:17" ht="15">
      <c r="A4" s="770" t="s">
        <v>242</v>
      </c>
      <c r="B4" s="570" t="s">
        <v>297</v>
      </c>
      <c r="C4" s="580" t="s">
        <v>683</v>
      </c>
      <c r="D4" s="7">
        <f>SUMIFS(Sheet1!$C$2:$C$180,Sheet1!$F$2:$F$180,B4,Sheet1!$E$2:$E$180,C4)</f>
        <v>60</v>
      </c>
      <c r="E4" s="7">
        <f>D4/Sheet1!$I$9*Sheet1!$I$10</f>
        <v>2.6617229565630778</v>
      </c>
      <c r="F4" s="491">
        <f>D4/Sheet1!$I$9*Sheet1!$I$11</f>
        <v>1.3053517617076446E-3</v>
      </c>
      <c r="G4" s="569">
        <f>F4</f>
        <v>1.3053517617076446E-3</v>
      </c>
      <c r="H4" s="771">
        <f>SUM(G4:G11)</f>
        <v>3.4918159625679492E-2</v>
      </c>
      <c r="J4" s="770" t="s">
        <v>242</v>
      </c>
      <c r="K4" s="570" t="s">
        <v>297</v>
      </c>
      <c r="L4" s="580" t="s">
        <v>683</v>
      </c>
      <c r="M4" s="7">
        <f>SUMIFS(Sheet1!$N$2:$N$180,Sheet1!$Q$2:$Q$180,K4,Sheet1!$P$2:$P$180,L4)</f>
        <v>0</v>
      </c>
      <c r="N4" s="7">
        <f>M4/Sheet1!$T$9*Sheet1!$T$10</f>
        <v>0</v>
      </c>
      <c r="O4" s="491">
        <f>M4/Sheet1!$T$9*Sheet1!$T$11</f>
        <v>0</v>
      </c>
      <c r="P4" s="569">
        <f>O4</f>
        <v>0</v>
      </c>
      <c r="Q4" s="771">
        <f>SUM(P4:P11)</f>
        <v>2.2891073869336052E-3</v>
      </c>
    </row>
    <row r="5" spans="1:17" ht="15">
      <c r="A5" s="770"/>
      <c r="B5" s="570" t="s">
        <v>243</v>
      </c>
      <c r="C5" s="572" t="s">
        <v>458</v>
      </c>
      <c r="D5" s="7">
        <f>SUMIFS(Sheet1!$C$2:$C$180,Sheet1!$F$2:$F$180,B5,Sheet1!$E$2:$E$180,C5)</f>
        <v>1440</v>
      </c>
      <c r="E5" s="7">
        <f>D5/Sheet1!$I$9*Sheet1!$I$10</f>
        <v>63.88135095751386</v>
      </c>
      <c r="F5" s="491">
        <f>D5/Sheet1!$I$9*Sheet1!$I$11</f>
        <v>3.1328442280983471E-2</v>
      </c>
      <c r="G5" s="573">
        <f t="shared" ref="G5:G14" si="0">F5</f>
        <v>3.1328442280983471E-2</v>
      </c>
      <c r="H5" s="770"/>
      <c r="J5" s="770"/>
      <c r="K5" s="570" t="s">
        <v>243</v>
      </c>
      <c r="L5" s="572" t="s">
        <v>458</v>
      </c>
      <c r="M5" s="7">
        <f>SUMIFS(Sheet1!$N$2:$N$180,Sheet1!$Q$2:$Q$180,K5,Sheet1!$P$2:$P$180,L5)</f>
        <v>0</v>
      </c>
      <c r="N5" s="7">
        <f>M5/Sheet1!$T$9*Sheet1!$T$10</f>
        <v>0</v>
      </c>
      <c r="O5" s="491">
        <f>M5/Sheet1!$T$9*Sheet1!$T$11</f>
        <v>0</v>
      </c>
      <c r="P5" s="573">
        <f t="shared" ref="P5:P14" si="1">O5</f>
        <v>0</v>
      </c>
      <c r="Q5" s="770"/>
    </row>
    <row r="6" spans="1:17" ht="15">
      <c r="A6" s="770"/>
      <c r="B6" s="772" t="s">
        <v>306</v>
      </c>
      <c r="C6" s="572"/>
      <c r="D6" s="7">
        <f>SUMIFS(Sheet1!$C$2:$C$180,Sheet1!$F$2:$F$180,B6,Sheet1!$E$2:$E$180,C6)</f>
        <v>0</v>
      </c>
      <c r="E6" s="7">
        <f>D6/Sheet1!$I$9*Sheet1!$I$10</f>
        <v>0</v>
      </c>
      <c r="F6" s="491">
        <f>D6/Sheet1!$I$9*Sheet1!$I$11</f>
        <v>0</v>
      </c>
      <c r="G6" s="573">
        <f t="shared" si="0"/>
        <v>0</v>
      </c>
      <c r="H6" s="770"/>
      <c r="J6" s="770"/>
      <c r="K6" s="772" t="s">
        <v>306</v>
      </c>
      <c r="L6" s="572"/>
      <c r="M6" s="7">
        <f>SUMIFS(Sheet1!$N$2:$N$180,Sheet1!$Q$2:$Q$180,K6,Sheet1!$P$2:$P$180,L6)</f>
        <v>0</v>
      </c>
      <c r="N6" s="7">
        <f>M6/Sheet1!$T$9*Sheet1!$T$10</f>
        <v>0</v>
      </c>
      <c r="O6" s="491">
        <f>M6/Sheet1!$T$9*Sheet1!$T$11</f>
        <v>0</v>
      </c>
      <c r="P6" s="573">
        <f t="shared" si="1"/>
        <v>0</v>
      </c>
      <c r="Q6" s="770"/>
    </row>
    <row r="7" spans="1:17" ht="15">
      <c r="A7" s="770"/>
      <c r="B7" s="773"/>
      <c r="C7" s="572"/>
      <c r="D7" s="7">
        <f>SUMIFS(Sheet1!$C$2:$C$180,Sheet1!$F$2:$F$180,B6,Sheet1!$E$2:$E$180,C7)</f>
        <v>0</v>
      </c>
      <c r="E7" s="7">
        <f>D7/Sheet1!$I$9*Sheet1!$I$10</f>
        <v>0</v>
      </c>
      <c r="F7" s="491">
        <f>D7/Sheet1!$I$9*Sheet1!$I$11</f>
        <v>0</v>
      </c>
      <c r="G7" s="573">
        <f t="shared" si="0"/>
        <v>0</v>
      </c>
      <c r="H7" s="770"/>
      <c r="J7" s="770"/>
      <c r="K7" s="773"/>
      <c r="L7" s="572"/>
      <c r="M7" s="7">
        <f>SUMIFS(Sheet1!$N$2:$N$180,Sheet1!$Q$2:$Q$180,K6,Sheet1!$P$2:$P$180,L7)</f>
        <v>0</v>
      </c>
      <c r="N7" s="7">
        <f>M7/Sheet1!$T$9*Sheet1!$T$10</f>
        <v>0</v>
      </c>
      <c r="O7" s="491">
        <f>M7/Sheet1!$T$9*Sheet1!$T$11</f>
        <v>0</v>
      </c>
      <c r="P7" s="573">
        <f t="shared" si="1"/>
        <v>0</v>
      </c>
      <c r="Q7" s="770"/>
    </row>
    <row r="8" spans="1:17">
      <c r="A8" s="770"/>
      <c r="B8" s="772" t="s">
        <v>305</v>
      </c>
      <c r="C8" s="572"/>
      <c r="D8" s="7">
        <f>SUMIFS(Sheet1!$C$2:$C$180,Sheet1!$F$2:$F$180,B8,Sheet1!$E$2:$E$180,C8)</f>
        <v>0</v>
      </c>
      <c r="E8" s="7">
        <f>D8/Sheet1!$I$9*Sheet1!$I$10</f>
        <v>0</v>
      </c>
      <c r="F8" s="491">
        <f>D8/Sheet1!$I$9*Sheet1!$I$11</f>
        <v>0</v>
      </c>
      <c r="G8" s="574">
        <f t="shared" si="0"/>
        <v>0</v>
      </c>
      <c r="H8" s="770"/>
      <c r="J8" s="770"/>
      <c r="K8" s="772" t="s">
        <v>305</v>
      </c>
      <c r="L8" s="572"/>
      <c r="M8" s="7">
        <f>SUMIFS(Sheet1!$N$2:$N$180,Sheet1!$Q$2:$Q$180,K8,Sheet1!$P$2:$P$180,L8)</f>
        <v>0</v>
      </c>
      <c r="N8" s="7">
        <f>M8/Sheet1!$T$9*Sheet1!$T$10</f>
        <v>0</v>
      </c>
      <c r="O8" s="491">
        <f>M8/Sheet1!$T$9*Sheet1!$T$11</f>
        <v>0</v>
      </c>
      <c r="P8" s="574">
        <f t="shared" si="1"/>
        <v>0</v>
      </c>
      <c r="Q8" s="770"/>
    </row>
    <row r="9" spans="1:17">
      <c r="A9" s="770"/>
      <c r="B9" s="773"/>
      <c r="C9" s="572"/>
      <c r="D9" s="7">
        <f>SUMIFS(Sheet1!$C$2:$C$180,Sheet1!$F$2:$F$180,B8,Sheet1!$E$2:$E$180,C9)</f>
        <v>0</v>
      </c>
      <c r="E9" s="7">
        <f>D9/Sheet1!$I$9*Sheet1!$I$10</f>
        <v>0</v>
      </c>
      <c r="F9" s="491">
        <f>D9/Sheet1!$I$9*Sheet1!$I$11</f>
        <v>0</v>
      </c>
      <c r="G9" s="574">
        <f t="shared" si="0"/>
        <v>0</v>
      </c>
      <c r="H9" s="770"/>
      <c r="J9" s="770"/>
      <c r="K9" s="773"/>
      <c r="L9" s="572"/>
      <c r="M9" s="7">
        <f>SUMIFS(Sheet1!$N$2:$N$180,Sheet1!$Q$2:$Q$180,K8,Sheet1!$P$2:$P$180,L9)</f>
        <v>0</v>
      </c>
      <c r="N9" s="7">
        <f>M9/Sheet1!$T$9*Sheet1!$T$10</f>
        <v>0</v>
      </c>
      <c r="O9" s="491">
        <f>M9/Sheet1!$T$9*Sheet1!$T$11</f>
        <v>0</v>
      </c>
      <c r="P9" s="574">
        <f t="shared" si="1"/>
        <v>0</v>
      </c>
      <c r="Q9" s="770"/>
    </row>
    <row r="10" spans="1:17" ht="15" customHeight="1">
      <c r="A10" s="770"/>
      <c r="B10" s="772" t="s">
        <v>368</v>
      </c>
      <c r="C10" s="572" t="s">
        <v>442</v>
      </c>
      <c r="D10" s="7">
        <f>SUMIFS(Sheet1!$C$2:$C$180,Sheet1!$F$2:$F$180,B10,Sheet1!$E$2:$E$180,C10)</f>
        <v>105</v>
      </c>
      <c r="E10" s="7">
        <f>D10/Sheet1!$I$9*Sheet1!$I$10</f>
        <v>4.6580151739853859</v>
      </c>
      <c r="F10" s="491">
        <f>D10/Sheet1!$I$9*Sheet1!$I$11</f>
        <v>2.2843655829883781E-3</v>
      </c>
      <c r="G10" s="574">
        <f t="shared" si="0"/>
        <v>2.2843655829883781E-3</v>
      </c>
      <c r="H10" s="770"/>
      <c r="J10" s="770"/>
      <c r="K10" s="772" t="s">
        <v>368</v>
      </c>
      <c r="L10" s="572" t="s">
        <v>442</v>
      </c>
      <c r="M10" s="7">
        <f>SUMIFS(Sheet1!$N$2:$N$180,Sheet1!$Q$2:$Q$180,K10,Sheet1!$P$2:$P$180,L10)</f>
        <v>105</v>
      </c>
      <c r="N10" s="7">
        <f>M10/Sheet1!$T$9*Sheet1!$T$10</f>
        <v>4.5110637688804722</v>
      </c>
      <c r="O10" s="491">
        <f>M10/Sheet1!$T$9*Sheet1!$T$11</f>
        <v>2.2891073869336052E-3</v>
      </c>
      <c r="P10" s="574">
        <f t="shared" si="1"/>
        <v>2.2891073869336052E-3</v>
      </c>
      <c r="Q10" s="770"/>
    </row>
    <row r="11" spans="1:17" ht="15" customHeight="1">
      <c r="A11" s="770"/>
      <c r="B11" s="773"/>
      <c r="C11" s="572"/>
      <c r="D11" s="7">
        <f>SUMIFS(Sheet1!$C$2:$C$180,Sheet1!$F$2:$F$180,B10,Sheet1!$E$2:$E$180,C11)</f>
        <v>0</v>
      </c>
      <c r="E11" s="7">
        <f>D11/Sheet1!$I$9*Sheet1!$I$10</f>
        <v>0</v>
      </c>
      <c r="F11" s="491">
        <f>D11/Sheet1!$I$9*Sheet1!$I$11</f>
        <v>0</v>
      </c>
      <c r="G11" s="574">
        <f t="shared" si="0"/>
        <v>0</v>
      </c>
      <c r="H11" s="770"/>
      <c r="J11" s="770"/>
      <c r="K11" s="773"/>
      <c r="L11" s="572"/>
      <c r="M11" s="7">
        <f>SUMIFS(Sheet1!$N$2:$N$180,Sheet1!$Q$2:$Q$180,K10,Sheet1!$P$2:$P$180,L11)</f>
        <v>0</v>
      </c>
      <c r="N11" s="7">
        <f>M11/Sheet1!$T$9*Sheet1!$T$10</f>
        <v>0</v>
      </c>
      <c r="O11" s="491">
        <f>M11/Sheet1!$T$9*Sheet1!$T$11</f>
        <v>0</v>
      </c>
      <c r="P11" s="574">
        <f t="shared" si="1"/>
        <v>0</v>
      </c>
      <c r="Q11" s="770"/>
    </row>
    <row r="12" spans="1:17" ht="15">
      <c r="A12" s="770" t="s">
        <v>11</v>
      </c>
      <c r="B12" s="570" t="s">
        <v>148</v>
      </c>
      <c r="C12" s="572" t="s">
        <v>148</v>
      </c>
      <c r="D12" s="7"/>
      <c r="E12" s="7">
        <f>+Sheet1!I2</f>
        <v>21.292999999999999</v>
      </c>
      <c r="F12" s="491">
        <f>E12/Sheet1!$I$8</f>
        <v>1.0442429777864897E-2</v>
      </c>
      <c r="G12" s="573">
        <f t="shared" si="0"/>
        <v>1.0442429777864897E-2</v>
      </c>
      <c r="H12" s="774">
        <f>SUM(G12:G13)</f>
        <v>3.0732467422237036E-2</v>
      </c>
      <c r="J12" s="770" t="s">
        <v>11</v>
      </c>
      <c r="K12" s="570" t="s">
        <v>148</v>
      </c>
      <c r="L12" s="572" t="s">
        <v>148</v>
      </c>
      <c r="M12" s="7"/>
      <c r="N12" s="7">
        <f>+Sheet1!T2</f>
        <v>21.292999999999999</v>
      </c>
      <c r="O12" s="491">
        <f>+Sheet1!U2</f>
        <v>1.0804982169887111E-2</v>
      </c>
      <c r="P12" s="573">
        <f t="shared" si="1"/>
        <v>1.0804982169887111E-2</v>
      </c>
      <c r="Q12" s="774">
        <f>SUM(P12:P13)</f>
        <v>3.2622683693280592E-2</v>
      </c>
    </row>
    <row r="13" spans="1:17" ht="15">
      <c r="A13" s="770"/>
      <c r="B13" s="570" t="s">
        <v>244</v>
      </c>
      <c r="C13" s="572" t="s">
        <v>245</v>
      </c>
      <c r="D13" s="7"/>
      <c r="E13" s="7">
        <f>+Sheet1!I3</f>
        <v>41.373107672451283</v>
      </c>
      <c r="F13" s="491">
        <f>E13/Sheet1!$I$8</f>
        <v>2.0290037644372139E-2</v>
      </c>
      <c r="G13" s="573">
        <f t="shared" si="0"/>
        <v>2.0290037644372139E-2</v>
      </c>
      <c r="H13" s="775"/>
      <c r="J13" s="770"/>
      <c r="K13" s="570" t="s">
        <v>244</v>
      </c>
      <c r="L13" s="572" t="s">
        <v>245</v>
      </c>
      <c r="M13" s="7"/>
      <c r="N13" s="7">
        <f>+Sheet1!T3</f>
        <v>42.995380393346004</v>
      </c>
      <c r="O13" s="491">
        <f>+Sheet1!U3</f>
        <v>2.1817701523393483E-2</v>
      </c>
      <c r="P13" s="573">
        <f t="shared" si="1"/>
        <v>2.1817701523393483E-2</v>
      </c>
      <c r="Q13" s="775"/>
    </row>
    <row r="14" spans="1:17" ht="15">
      <c r="A14" s="776" t="s">
        <v>13</v>
      </c>
      <c r="B14" s="570" t="s">
        <v>246</v>
      </c>
      <c r="C14" s="572" t="s">
        <v>246</v>
      </c>
      <c r="D14" s="7"/>
      <c r="E14" s="7">
        <f>+Sheet1!I4</f>
        <v>-13.348581050704029</v>
      </c>
      <c r="F14" s="491">
        <f>E14/Sheet1!$I$8</f>
        <v>-6.5463589093183137E-3</v>
      </c>
      <c r="G14" s="573">
        <f t="shared" si="0"/>
        <v>-6.5463589093183137E-3</v>
      </c>
      <c r="H14" s="778">
        <f>SUM(G14:G24)</f>
        <v>4.8953610595658358E-2</v>
      </c>
      <c r="J14" s="776" t="s">
        <v>13</v>
      </c>
      <c r="K14" s="570" t="s">
        <v>246</v>
      </c>
      <c r="L14" s="572" t="s">
        <v>246</v>
      </c>
      <c r="M14" s="7"/>
      <c r="N14" s="7">
        <f>+Sheet1!T4</f>
        <v>-2.7946744485987778</v>
      </c>
      <c r="O14" s="491">
        <f>+Sheet1!U4</f>
        <v>-1.4181377724016761E-3</v>
      </c>
      <c r="P14" s="573">
        <f t="shared" si="1"/>
        <v>-1.4181377724016761E-3</v>
      </c>
      <c r="Q14" s="778">
        <f>SUM(P14:P24)</f>
        <v>4.9456480799445798E-2</v>
      </c>
    </row>
    <row r="15" spans="1:17" ht="15">
      <c r="A15" s="777"/>
      <c r="B15" s="570" t="s">
        <v>247</v>
      </c>
      <c r="C15" s="572" t="s">
        <v>247</v>
      </c>
      <c r="D15" s="7"/>
      <c r="E15" s="7">
        <f>+Sheet1!I5</f>
        <v>40.681556577350619</v>
      </c>
      <c r="F15" s="491">
        <f>E15/Sheet1!$I$8</f>
        <v>1.9950889861138483E-2</v>
      </c>
      <c r="G15" s="573">
        <f>F15</f>
        <v>1.9950889861138483E-2</v>
      </c>
      <c r="H15" s="778"/>
      <c r="J15" s="777"/>
      <c r="K15" s="570" t="s">
        <v>247</v>
      </c>
      <c r="L15" s="572" t="s">
        <v>247</v>
      </c>
      <c r="M15" s="7"/>
      <c r="N15" s="7">
        <f>+Sheet1!T5</f>
        <v>30.056084577350628</v>
      </c>
      <c r="O15" s="491">
        <f>+Sheet1!U5</f>
        <v>1.525174742661403E-2</v>
      </c>
      <c r="P15" s="573">
        <f>O15</f>
        <v>1.525174742661403E-2</v>
      </c>
      <c r="Q15" s="778"/>
    </row>
    <row r="16" spans="1:17" ht="25.5">
      <c r="A16" s="777"/>
      <c r="B16" s="779" t="s">
        <v>248</v>
      </c>
      <c r="C16" s="572" t="s">
        <v>512</v>
      </c>
      <c r="D16" s="7">
        <f>SUMIFS(Sheet1!$C$2:$C$180,Sheet1!$F$2:$F$180,B16,Sheet1!$E$2:$E$180,C16)</f>
        <v>286</v>
      </c>
      <c r="E16" s="7">
        <f>D16/Sheet1!$I$9*Sheet1!$I$10</f>
        <v>12.68754609295067</v>
      </c>
      <c r="F16" s="491">
        <f>D16/Sheet1!$I$9*Sheet1!$I$11</f>
        <v>6.2221767308064399E-3</v>
      </c>
      <c r="G16" s="780">
        <f>SUM(F16:F18)</f>
        <v>1.5577197689711227E-2</v>
      </c>
      <c r="H16" s="778"/>
      <c r="J16" s="777"/>
      <c r="K16" s="779" t="s">
        <v>248</v>
      </c>
      <c r="L16" s="572" t="s">
        <v>512</v>
      </c>
      <c r="M16" s="7">
        <f>SUMIFS(Sheet1!$N$2:$N$180,Sheet1!$Q$2:$Q$180,K16,Sheet1!$P$2:$P$180,L16)</f>
        <v>286</v>
      </c>
      <c r="N16" s="7">
        <f>M16/Sheet1!$T$9*Sheet1!$T$10</f>
        <v>12.287278456188716</v>
      </c>
      <c r="O16" s="491">
        <f>M16/Sheet1!$T$9*Sheet1!$T$11</f>
        <v>6.2350925015524873E-3</v>
      </c>
      <c r="P16" s="780">
        <f>SUM(O16:O18)</f>
        <v>1.5609532276613918E-2</v>
      </c>
      <c r="Q16" s="778"/>
    </row>
    <row r="17" spans="1:17">
      <c r="A17" s="777"/>
      <c r="B17" s="779"/>
      <c r="C17" s="572" t="s">
        <v>558</v>
      </c>
      <c r="D17" s="7">
        <f>SUMIFS(Sheet1!$C$2:$C$180,Sheet1!$F$2:$F$180,B16,Sheet1!$E$2:$E$180,C17)</f>
        <v>370</v>
      </c>
      <c r="E17" s="7">
        <f>D17/Sheet1!$I$9*Sheet1!$I$10</f>
        <v>16.413958232138981</v>
      </c>
      <c r="F17" s="491">
        <f>D17/Sheet1!$I$9*Sheet1!$I$11</f>
        <v>8.0496691971971429E-3</v>
      </c>
      <c r="G17" s="780"/>
      <c r="H17" s="778"/>
      <c r="J17" s="777"/>
      <c r="K17" s="779"/>
      <c r="L17" s="572" t="s">
        <v>558</v>
      </c>
      <c r="M17" s="7">
        <f>SUMIFS(Sheet1!$N$2:$N$180,Sheet1!$Q$2:$Q$180,K16,Sheet1!$P$2:$P$180,L17)</f>
        <v>370</v>
      </c>
      <c r="N17" s="7">
        <f>M17/Sheet1!$T$9*Sheet1!$T$10</f>
        <v>15.896129471293094</v>
      </c>
      <c r="O17" s="491">
        <f>M17/Sheet1!$T$9*Sheet1!$T$11</f>
        <v>8.0663784110993706E-3</v>
      </c>
      <c r="P17" s="780"/>
      <c r="Q17" s="778"/>
    </row>
    <row r="18" spans="1:17">
      <c r="A18" s="777"/>
      <c r="B18" s="779"/>
      <c r="C18" s="572" t="s">
        <v>686</v>
      </c>
      <c r="D18" s="7">
        <f>SUMIFS(Sheet1!$C$2:$C$180,Sheet1!$F$2:$F$180,B16,Sheet1!$E$2:$E$180,C18)</f>
        <v>60</v>
      </c>
      <c r="E18" s="7">
        <f>D18/Sheet1!$I$9*Sheet1!$I$10</f>
        <v>2.6617229565630778</v>
      </c>
      <c r="F18" s="491">
        <f>D18/Sheet1!$I$9*Sheet1!$I$11</f>
        <v>1.3053517617076446E-3</v>
      </c>
      <c r="G18" s="780"/>
      <c r="H18" s="778"/>
      <c r="J18" s="777"/>
      <c r="K18" s="779"/>
      <c r="L18" s="572" t="s">
        <v>686</v>
      </c>
      <c r="M18" s="7">
        <f>SUMIFS(Sheet1!$N$2:$N$180,Sheet1!$Q$2:$Q$180,K16,Sheet1!$P$2:$P$180,L18)</f>
        <v>60</v>
      </c>
      <c r="N18" s="7">
        <f>M18/Sheet1!$T$9*Sheet1!$T$10</f>
        <v>2.5777507250745559</v>
      </c>
      <c r="O18" s="491">
        <f>M18/Sheet1!$T$9*Sheet1!$T$11</f>
        <v>1.3080613639620603E-3</v>
      </c>
      <c r="P18" s="780"/>
      <c r="Q18" s="778"/>
    </row>
    <row r="19" spans="1:17" ht="15">
      <c r="A19" s="777"/>
      <c r="B19" s="570" t="s">
        <v>249</v>
      </c>
      <c r="C19" s="572" t="s">
        <v>201</v>
      </c>
      <c r="D19" s="7">
        <f>SUMIFS(Sheet1!$C$2:$C$180,Sheet1!$F$2:$F$180,B19,Sheet1!$E$2:$E$180,C19)</f>
        <v>72</v>
      </c>
      <c r="E19" s="7">
        <f>D19/Sheet1!$I$9*Sheet1!$I$10</f>
        <v>3.1940675478756932</v>
      </c>
      <c r="F19" s="491">
        <f>D19/Sheet1!$I$9*Sheet1!$I$11</f>
        <v>1.5664221140491736E-3</v>
      </c>
      <c r="G19" s="573">
        <f>F19</f>
        <v>1.5664221140491736E-3</v>
      </c>
      <c r="H19" s="778"/>
      <c r="J19" s="777"/>
      <c r="K19" s="570" t="s">
        <v>249</v>
      </c>
      <c r="L19" s="572" t="s">
        <v>201</v>
      </c>
      <c r="M19" s="7">
        <f>SUMIFS(Sheet1!$N$2:$N$180,Sheet1!$Q$2:$Q$180,K19,Sheet1!$P$2:$P$180,L19)</f>
        <v>72</v>
      </c>
      <c r="N19" s="7">
        <f>M19/Sheet1!$T$9*Sheet1!$T$10</f>
        <v>3.0933008700894673</v>
      </c>
      <c r="O19" s="491">
        <f>M19/Sheet1!$T$9*Sheet1!$T$11</f>
        <v>1.5696736367544722E-3</v>
      </c>
      <c r="P19" s="573">
        <f>O19</f>
        <v>1.5696736367544722E-3</v>
      </c>
      <c r="Q19" s="778"/>
    </row>
    <row r="20" spans="1:17">
      <c r="A20" s="777"/>
      <c r="B20" s="772" t="s">
        <v>250</v>
      </c>
      <c r="C20" s="572" t="s">
        <v>251</v>
      </c>
      <c r="D20" s="7">
        <f>SUMIFS(Sheet1!$C$2:$C$180,Sheet1!$F$2:$F$180,B20,Sheet1!$E$2:$E$180,C20)</f>
        <v>332</v>
      </c>
      <c r="E20" s="7">
        <f>D20/Sheet1!$I$9*Sheet1!$I$10</f>
        <v>14.72820035964903</v>
      </c>
      <c r="F20" s="491">
        <f>D20/Sheet1!$I$9*Sheet1!$I$11</f>
        <v>7.2229464147823006E-3</v>
      </c>
      <c r="G20" s="782">
        <f>SUM(F20:F24)</f>
        <v>1.8405459840077788E-2</v>
      </c>
      <c r="H20" s="778"/>
      <c r="J20" s="777"/>
      <c r="K20" s="772" t="s">
        <v>250</v>
      </c>
      <c r="L20" s="572" t="s">
        <v>251</v>
      </c>
      <c r="M20" s="7">
        <f>SUMIFS(Sheet1!$N$2:$N$180,Sheet1!$Q$2:$Q$180,$K$20,Sheet1!$P$2:$P$180,L20)</f>
        <v>332</v>
      </c>
      <c r="N20" s="7">
        <f>M20/Sheet1!$T$9*Sheet1!$T$10</f>
        <v>14.26355401207921</v>
      </c>
      <c r="O20" s="491">
        <f>M20/Sheet1!$T$9*Sheet1!$T$11</f>
        <v>7.2379395472567335E-3</v>
      </c>
      <c r="P20" s="782">
        <f>SUM(O20:O24)</f>
        <v>1.8443665231865049E-2</v>
      </c>
      <c r="Q20" s="778"/>
    </row>
    <row r="21" spans="1:17">
      <c r="A21" s="777"/>
      <c r="B21" s="781"/>
      <c r="C21" s="572" t="s">
        <v>14</v>
      </c>
      <c r="D21" s="7">
        <f>SUMIFS(Sheet1!$C$2:$C$180,Sheet1!$F$2:$F$180,B20,Sheet1!$E$2:$E$180,C21)</f>
        <v>413</v>
      </c>
      <c r="E21" s="7">
        <f>D21/Sheet1!$I$9*Sheet1!$I$10</f>
        <v>18.321526351009183</v>
      </c>
      <c r="F21" s="491">
        <f>D21/Sheet1!$I$9*Sheet1!$I$11</f>
        <v>8.9851712930876203E-3</v>
      </c>
      <c r="G21" s="783"/>
      <c r="H21" s="778"/>
      <c r="J21" s="777"/>
      <c r="K21" s="781"/>
      <c r="L21" s="572" t="s">
        <v>14</v>
      </c>
      <c r="M21" s="7">
        <f>SUMIFS(Sheet1!$N$2:$N$180,Sheet1!$Q$2:$Q$180,$K$20,Sheet1!$P$2:$P$180,L21)</f>
        <v>413</v>
      </c>
      <c r="N21" s="7">
        <f>M21/Sheet1!$T$9*Sheet1!$T$10</f>
        <v>17.743517490929857</v>
      </c>
      <c r="O21" s="491">
        <f>M21/Sheet1!$T$9*Sheet1!$T$11</f>
        <v>9.003822388605514E-3</v>
      </c>
      <c r="P21" s="783"/>
      <c r="Q21" s="778"/>
    </row>
    <row r="22" spans="1:17">
      <c r="A22" s="777"/>
      <c r="B22" s="781"/>
      <c r="C22" s="572" t="s">
        <v>252</v>
      </c>
      <c r="D22" s="7">
        <f>SUMIFS(Sheet1!$C$2:$C$180,Sheet1!$F$2:$F$180,B20,Sheet1!$E$2:$E$180,C22)</f>
        <v>49</v>
      </c>
      <c r="E22" s="7">
        <f>D22/Sheet1!$I$9*Sheet1!$I$10</f>
        <v>2.1737404145265136</v>
      </c>
      <c r="F22" s="491">
        <f>D22/Sheet1!$I$9*Sheet1!$I$11</f>
        <v>1.0660372720612433E-3</v>
      </c>
      <c r="G22" s="783"/>
      <c r="H22" s="778"/>
      <c r="J22" s="777"/>
      <c r="K22" s="781"/>
      <c r="L22" s="572" t="s">
        <v>252</v>
      </c>
      <c r="M22" s="7">
        <f>SUMIFS(Sheet1!$N$2:$N$180,Sheet1!$Q$2:$Q$180,$K$20,Sheet1!$P$2:$P$180,L22)</f>
        <v>49</v>
      </c>
      <c r="N22" s="7">
        <f>M22/Sheet1!$T$9*Sheet1!$T$10</f>
        <v>2.1051630921442208</v>
      </c>
      <c r="O22" s="491">
        <f>M22/Sheet1!$T$9*Sheet1!$T$11</f>
        <v>1.0682501139023491E-3</v>
      </c>
      <c r="P22" s="783"/>
      <c r="Q22" s="778"/>
    </row>
    <row r="23" spans="1:17">
      <c r="A23" s="777"/>
      <c r="B23" s="781"/>
      <c r="C23" s="572" t="s">
        <v>397</v>
      </c>
      <c r="D23" s="7">
        <f>SUMIFS(Sheet1!$C$2:$C$180,Sheet1!$F$2:$F$180,B20,Sheet1!$E$2:$E$180,C23)</f>
        <v>22</v>
      </c>
      <c r="E23" s="7">
        <f>D23/Sheet1!$I$9*Sheet1!$I$10</f>
        <v>0.97596508407312854</v>
      </c>
      <c r="F23" s="491">
        <f>D23/Sheet1!$I$9*Sheet1!$I$11</f>
        <v>4.7862897929280303E-4</v>
      </c>
      <c r="G23" s="783"/>
      <c r="H23" s="778"/>
      <c r="J23" s="777"/>
      <c r="K23" s="781"/>
      <c r="L23" s="572" t="s">
        <v>397</v>
      </c>
      <c r="M23" s="7">
        <f>SUMIFS(Sheet1!$N$2:$N$180,Sheet1!$Q$2:$Q$180,$K$20,Sheet1!$P$2:$P$180,L23)</f>
        <v>22</v>
      </c>
      <c r="N23" s="7">
        <f>M23/Sheet1!$T$9*Sheet1!$T$10</f>
        <v>0.94517526586067058</v>
      </c>
      <c r="O23" s="491">
        <f>M23/Sheet1!$T$9*Sheet1!$T$11</f>
        <v>4.7962250011942208E-4</v>
      </c>
      <c r="P23" s="783"/>
      <c r="Q23" s="778"/>
    </row>
    <row r="24" spans="1:17" ht="25.5">
      <c r="A24" s="777"/>
      <c r="B24" s="773"/>
      <c r="C24" s="572" t="s">
        <v>566</v>
      </c>
      <c r="D24" s="7">
        <f>SUMIFS(Sheet1!$C$2:$C$180,Sheet1!$F$2:$F$180,B20,Sheet1!$E$2:$E$180,C24)</f>
        <v>30</v>
      </c>
      <c r="E24" s="7">
        <f>D24/Sheet1!$I$9*Sheet1!$I$10</f>
        <v>1.3308614782815389</v>
      </c>
      <c r="F24" s="491">
        <f>D24/Sheet1!$I$9*Sheet1!$I$11</f>
        <v>6.526758808538223E-4</v>
      </c>
      <c r="G24" s="784"/>
      <c r="H24" s="778"/>
      <c r="J24" s="777"/>
      <c r="K24" s="773"/>
      <c r="L24" s="572" t="s">
        <v>566</v>
      </c>
      <c r="M24" s="7">
        <f>SUMIFS(Sheet1!$N$2:$N$180,Sheet1!$Q$2:$Q$180,$K$20,Sheet1!$P$2:$P$180,L24)</f>
        <v>30</v>
      </c>
      <c r="N24" s="7">
        <f>M24/Sheet1!$T$9*Sheet1!$T$10</f>
        <v>1.288875362537278</v>
      </c>
      <c r="O24" s="491">
        <f>M24/Sheet1!$T$9*Sheet1!$T$11</f>
        <v>6.5403068198103013E-4</v>
      </c>
      <c r="P24" s="784"/>
      <c r="Q24" s="778"/>
    </row>
    <row r="25" spans="1:17" ht="12.75" customHeight="1">
      <c r="A25" s="770" t="s">
        <v>253</v>
      </c>
      <c r="B25" s="779" t="s">
        <v>254</v>
      </c>
      <c r="C25" s="575" t="s">
        <v>492</v>
      </c>
      <c r="D25" s="7">
        <f>SUMIFS(Sheet1!$C$2:$C$180,Sheet1!$F$2:$F$180,B25,Sheet1!$E$2:$E$180,C25)</f>
        <v>285</v>
      </c>
      <c r="E25" s="7">
        <f>D25/Sheet1!$I$9*Sheet1!$I$10</f>
        <v>12.643184043674619</v>
      </c>
      <c r="F25" s="491">
        <f>D25/Sheet1!$I$9*Sheet1!$I$11</f>
        <v>6.2004208681113119E-3</v>
      </c>
      <c r="G25" s="780">
        <f>SUM(F25:F31)</f>
        <v>6.8530967489651342E-3</v>
      </c>
      <c r="H25" s="778">
        <f>SUM(G25:G39)</f>
        <v>1.5446662513540462E-2</v>
      </c>
      <c r="J25" s="770" t="s">
        <v>253</v>
      </c>
      <c r="K25" s="779" t="s">
        <v>254</v>
      </c>
      <c r="L25" s="575" t="s">
        <v>492</v>
      </c>
      <c r="M25" s="7">
        <f>SUMIFS(Sheet1!$N$2:$N$180,Sheet1!$Q$2:$Q$180,$K$25,Sheet1!$P$2:$P$180,L25)</f>
        <v>285</v>
      </c>
      <c r="N25" s="7">
        <f>M25/Sheet1!$T$9*Sheet1!$T$10</f>
        <v>12.244315944104141</v>
      </c>
      <c r="O25" s="491">
        <f>M25/Sheet1!$T$9*Sheet1!$T$11</f>
        <v>6.213291478819786E-3</v>
      </c>
      <c r="P25" s="780">
        <f>SUM(O25:O31)</f>
        <v>6.8673221608008157E-3</v>
      </c>
      <c r="Q25" s="778">
        <f>SUM(P25:P39)</f>
        <v>1.5478726140217712E-2</v>
      </c>
    </row>
    <row r="26" spans="1:17" ht="38.25">
      <c r="A26" s="770"/>
      <c r="B26" s="779"/>
      <c r="C26" s="575" t="s">
        <v>567</v>
      </c>
      <c r="D26" s="7">
        <f>SUMIFS(Sheet1!$C$2:$C$180,Sheet1!$F$2:$F$180,B25,Sheet1!$E$2:$E$180,C26)</f>
        <v>30</v>
      </c>
      <c r="E26" s="7">
        <f>D26/Sheet1!$I$9*Sheet1!$I$10</f>
        <v>1.3308614782815389</v>
      </c>
      <c r="F26" s="491">
        <f>D26/Sheet1!$I$9*Sheet1!$I$11</f>
        <v>6.526758808538223E-4</v>
      </c>
      <c r="G26" s="780"/>
      <c r="H26" s="778"/>
      <c r="J26" s="770"/>
      <c r="K26" s="779"/>
      <c r="L26" s="575" t="s">
        <v>567</v>
      </c>
      <c r="M26" s="7">
        <f>SUMIFS(Sheet1!$N$2:$N$180,Sheet1!$Q$2:$Q$180,$K$25,Sheet1!$P$2:$P$180,L26)</f>
        <v>30</v>
      </c>
      <c r="N26" s="7">
        <f>M26/Sheet1!$T$9*Sheet1!$T$10</f>
        <v>1.288875362537278</v>
      </c>
      <c r="O26" s="491">
        <f>M26/Sheet1!$T$9*Sheet1!$T$11</f>
        <v>6.5403068198103013E-4</v>
      </c>
      <c r="P26" s="780"/>
      <c r="Q26" s="778"/>
    </row>
    <row r="27" spans="1:17" ht="12.75" customHeight="1">
      <c r="A27" s="770"/>
      <c r="B27" s="779"/>
      <c r="C27" s="550"/>
      <c r="D27" s="7">
        <f>SUMIFS(Sheet1!$C$2:$C$180,Sheet1!$F$2:$F$180,B25,Sheet1!$E$2:$E$180,C27)</f>
        <v>0</v>
      </c>
      <c r="E27" s="7">
        <f>D27/Sheet1!$I$9*Sheet1!$I$10</f>
        <v>0</v>
      </c>
      <c r="F27" s="491">
        <f>D27/Sheet1!$I$9*Sheet1!$I$11</f>
        <v>0</v>
      </c>
      <c r="G27" s="780"/>
      <c r="H27" s="778"/>
      <c r="J27" s="770"/>
      <c r="K27" s="779"/>
      <c r="L27" s="550"/>
      <c r="M27" s="7">
        <f>SUMIFS(Sheet1!$N$2:$N$180,Sheet1!$Q$2:$Q$180,$K$25,Sheet1!$P$2:$P$180,L27)</f>
        <v>0</v>
      </c>
      <c r="N27" s="7">
        <f>M27/Sheet1!$T$9*Sheet1!$T$10</f>
        <v>0</v>
      </c>
      <c r="O27" s="491">
        <f>M27/Sheet1!$T$9*Sheet1!$T$11</f>
        <v>0</v>
      </c>
      <c r="P27" s="780"/>
      <c r="Q27" s="778"/>
    </row>
    <row r="28" spans="1:17" ht="12.75" customHeight="1">
      <c r="A28" s="770"/>
      <c r="B28" s="779"/>
      <c r="D28" s="7">
        <f>SUMIFS(Sheet1!$C$2:$C$180,Sheet1!$F$2:$F$180,B25,Sheet1!$E$2:$E$180,C28)</f>
        <v>0</v>
      </c>
      <c r="E28" s="7">
        <f>D28/Sheet1!$I$9*Sheet1!$I$10</f>
        <v>0</v>
      </c>
      <c r="F28" s="491">
        <f>D28/Sheet1!$I$9*Sheet1!$I$11</f>
        <v>0</v>
      </c>
      <c r="G28" s="780"/>
      <c r="H28" s="778"/>
      <c r="J28" s="770"/>
      <c r="K28" s="779"/>
      <c r="M28" s="7">
        <f>SUMIFS(Sheet1!$N$2:$N$180,Sheet1!$Q$2:$Q$180,$K$25,Sheet1!$P$2:$P$180,L28)</f>
        <v>0</v>
      </c>
      <c r="N28" s="7">
        <f>M28/Sheet1!$T$9*Sheet1!$T$10</f>
        <v>0</v>
      </c>
      <c r="O28" s="491">
        <f>M28/Sheet1!$T$9*Sheet1!$T$11</f>
        <v>0</v>
      </c>
      <c r="P28" s="780"/>
      <c r="Q28" s="778"/>
    </row>
    <row r="29" spans="1:17" ht="12.75" customHeight="1">
      <c r="A29" s="770"/>
      <c r="B29" s="779"/>
      <c r="C29" s="572"/>
      <c r="D29" s="7">
        <f>SUMIFS(Sheet1!$C$2:$C$180,Sheet1!$F$2:$F$180,B25,Sheet1!$E$2:$E$180,C29)</f>
        <v>0</v>
      </c>
      <c r="E29" s="7">
        <f>D29/Sheet1!$I$9*Sheet1!$I$10</f>
        <v>0</v>
      </c>
      <c r="F29" s="491">
        <f>D29/Sheet1!$I$9*Sheet1!$I$11</f>
        <v>0</v>
      </c>
      <c r="G29" s="780"/>
      <c r="H29" s="778"/>
      <c r="J29" s="770"/>
      <c r="K29" s="779"/>
      <c r="L29" s="572"/>
      <c r="M29" s="7">
        <f>SUMIFS(Sheet1!$N$2:$N$180,Sheet1!$Q$2:$Q$180,$K$25,Sheet1!$P$2:$P$180,L29)</f>
        <v>0</v>
      </c>
      <c r="N29" s="7">
        <f>M29/Sheet1!$T$9*Sheet1!$T$10</f>
        <v>0</v>
      </c>
      <c r="O29" s="491">
        <f>M29/Sheet1!$T$9*Sheet1!$T$11</f>
        <v>0</v>
      </c>
      <c r="P29" s="780"/>
      <c r="Q29" s="778"/>
    </row>
    <row r="30" spans="1:17" ht="12.75" customHeight="1">
      <c r="A30" s="770"/>
      <c r="B30" s="779"/>
      <c r="C30" s="572"/>
      <c r="D30" s="7">
        <f>SUMIFS(Sheet1!$C$2:$C$180,Sheet1!$F$2:$F$180,B25,Sheet1!$E$2:$E$180,C30)</f>
        <v>0</v>
      </c>
      <c r="E30" s="7">
        <f>D30/Sheet1!$I$9*Sheet1!$I$10</f>
        <v>0</v>
      </c>
      <c r="F30" s="491">
        <f>D30/Sheet1!$I$9*Sheet1!$I$11</f>
        <v>0</v>
      </c>
      <c r="G30" s="780"/>
      <c r="H30" s="778"/>
      <c r="J30" s="770"/>
      <c r="K30" s="779"/>
      <c r="L30" s="572"/>
      <c r="M30" s="7">
        <f>SUMIFS(Sheet1!$N$2:$N$180,Sheet1!$Q$2:$Q$180,$K$25,Sheet1!$P$2:$P$180,L30)</f>
        <v>0</v>
      </c>
      <c r="N30" s="7">
        <f>M30/Sheet1!$T$9*Sheet1!$T$10</f>
        <v>0</v>
      </c>
      <c r="O30" s="491">
        <f>M30/Sheet1!$T$9*Sheet1!$T$11</f>
        <v>0</v>
      </c>
      <c r="P30" s="780"/>
      <c r="Q30" s="778"/>
    </row>
    <row r="31" spans="1:17" ht="12.75" customHeight="1">
      <c r="A31" s="770"/>
      <c r="B31" s="779"/>
      <c r="C31" s="572"/>
      <c r="D31" s="7">
        <f>SUMIFS(Sheet1!$C$2:$C$180,Sheet1!$F$2:$F$180,B25,Sheet1!$E$2:$E$180,C31)</f>
        <v>0</v>
      </c>
      <c r="E31" s="7">
        <f>D31/Sheet1!$I$9*Sheet1!$I$10</f>
        <v>0</v>
      </c>
      <c r="F31" s="491">
        <f>D31/Sheet1!$I$9*Sheet1!$I$11</f>
        <v>0</v>
      </c>
      <c r="G31" s="780"/>
      <c r="H31" s="778"/>
      <c r="J31" s="770"/>
      <c r="K31" s="779"/>
      <c r="L31" s="572"/>
      <c r="M31" s="7">
        <f>SUMIFS(Sheet1!$N$2:$N$180,Sheet1!$Q$2:$Q$180,$K$25,Sheet1!$P$2:$P$180,L31)</f>
        <v>0</v>
      </c>
      <c r="N31" s="7">
        <f>M31/Sheet1!$T$9*Sheet1!$T$10</f>
        <v>0</v>
      </c>
      <c r="O31" s="491">
        <f>M31/Sheet1!$T$9*Sheet1!$T$11</f>
        <v>0</v>
      </c>
      <c r="P31" s="780"/>
      <c r="Q31" s="778"/>
    </row>
    <row r="32" spans="1:17" ht="12.75" customHeight="1">
      <c r="A32" s="770"/>
      <c r="B32" s="772" t="s">
        <v>255</v>
      </c>
      <c r="C32" s="571" t="s">
        <v>491</v>
      </c>
      <c r="D32" s="7">
        <f>SUMIFS(Sheet1!$C$2:$C$180,Sheet1!$F$2:$F$180,B32,Sheet1!$E$2:$E$180,C32)</f>
        <v>260</v>
      </c>
      <c r="E32" s="7">
        <f>D32/Sheet1!$I$9*Sheet1!$I$10</f>
        <v>11.534132811773338</v>
      </c>
      <c r="F32" s="491">
        <f>D32/Sheet1!$I$9*Sheet1!$I$11</f>
        <v>5.6565243007331272E-3</v>
      </c>
      <c r="G32" s="782">
        <f>SUM(F32:F34)</f>
        <v>8.5935657645753276E-3</v>
      </c>
      <c r="H32" s="778"/>
      <c r="J32" s="770"/>
      <c r="K32" s="772" t="s">
        <v>255</v>
      </c>
      <c r="L32" s="571" t="s">
        <v>491</v>
      </c>
      <c r="M32" s="7">
        <f>SUMIFS(Sheet1!$N$2:$N$180,Sheet1!$Q$2:$Q$180,$K$32,Sheet1!$P$2:$P$180,L32)</f>
        <v>260</v>
      </c>
      <c r="N32" s="7">
        <f>M32/Sheet1!$T$9*Sheet1!$T$10</f>
        <v>11.170253141989742</v>
      </c>
      <c r="O32" s="491">
        <f>M32/Sheet1!$T$9*Sheet1!$T$11</f>
        <v>5.6682659105022608E-3</v>
      </c>
      <c r="P32" s="782">
        <f>SUM(O32:O34)</f>
        <v>8.6114039794168967E-3</v>
      </c>
      <c r="Q32" s="778"/>
    </row>
    <row r="33" spans="1:17" ht="12.75" customHeight="1">
      <c r="A33" s="770"/>
      <c r="B33" s="781"/>
      <c r="C33" s="572" t="s">
        <v>510</v>
      </c>
      <c r="D33" s="7">
        <f>SUMIFS(Sheet1!$C$2:$C$180,Sheet1!$F$2:$F$180,B32,Sheet1!$E$2:$E$180,C33)</f>
        <v>70</v>
      </c>
      <c r="E33" s="7">
        <f>D33/Sheet1!$I$9*Sheet1!$I$10</f>
        <v>3.1053434493235912</v>
      </c>
      <c r="F33" s="491">
        <f>D33/Sheet1!$I$9*Sheet1!$I$11</f>
        <v>1.522910388658919E-3</v>
      </c>
      <c r="G33" s="783"/>
      <c r="H33" s="778"/>
      <c r="J33" s="770"/>
      <c r="K33" s="781"/>
      <c r="L33" s="572" t="s">
        <v>510</v>
      </c>
      <c r="M33" s="7">
        <f>SUMIFS(Sheet1!$N$2:$N$180,Sheet1!$Q$2:$Q$180,$K$32,Sheet1!$P$2:$P$180,L33)</f>
        <v>70</v>
      </c>
      <c r="N33" s="7">
        <f>M33/Sheet1!$T$9*Sheet1!$T$10</f>
        <v>3.0073758459203153</v>
      </c>
      <c r="O33" s="491">
        <f>M33/Sheet1!$T$9*Sheet1!$T$11</f>
        <v>1.5260715912890702E-3</v>
      </c>
      <c r="P33" s="783"/>
      <c r="Q33" s="778"/>
    </row>
    <row r="34" spans="1:17" ht="12.75" customHeight="1">
      <c r="A34" s="770"/>
      <c r="B34" s="773"/>
      <c r="C34" s="572" t="s">
        <v>684</v>
      </c>
      <c r="D34" s="7">
        <f>SUMIFS(Sheet1!$C$2:$C$180,Sheet1!$F$2:$F$180,B32,Sheet1!$E$2:$E$180,C34)</f>
        <v>65</v>
      </c>
      <c r="E34" s="7">
        <f>D34/Sheet1!$I$9*Sheet1!$I$10</f>
        <v>2.8835332029433345</v>
      </c>
      <c r="F34" s="491">
        <f>D34/Sheet1!$I$9*Sheet1!$I$11</f>
        <v>1.4141310751832818E-3</v>
      </c>
      <c r="G34" s="784"/>
      <c r="H34" s="778"/>
      <c r="J34" s="770"/>
      <c r="K34" s="773"/>
      <c r="L34" s="572" t="s">
        <v>684</v>
      </c>
      <c r="M34" s="7">
        <f>SUMIFS(Sheet1!$N$2:$N$180,Sheet1!$Q$2:$Q$180,$K$32,Sheet1!$P$2:$P$180,L34)</f>
        <v>65</v>
      </c>
      <c r="N34" s="7">
        <f>M34/Sheet1!$T$9*Sheet1!$T$10</f>
        <v>2.7925632854974354</v>
      </c>
      <c r="O34" s="491">
        <f>M34/Sheet1!$T$9*Sheet1!$T$11</f>
        <v>1.4170664776255652E-3</v>
      </c>
      <c r="P34" s="784"/>
      <c r="Q34" s="778"/>
    </row>
    <row r="35" spans="1:17" ht="12.75" customHeight="1">
      <c r="A35" s="770"/>
      <c r="B35" s="779" t="s">
        <v>256</v>
      </c>
      <c r="C35" s="572"/>
      <c r="D35" s="7">
        <f>SUMIFS(Sheet1!$C$2:$C$180,Sheet1!$F$2:$F$180,B35,Sheet1!$E$2:$E$180,C35)</f>
        <v>0</v>
      </c>
      <c r="E35" s="7">
        <f>D35/Sheet1!$I$9*Sheet1!$I$10</f>
        <v>0</v>
      </c>
      <c r="F35" s="491">
        <f>D35/Sheet1!$I$9*Sheet1!$I$11</f>
        <v>0</v>
      </c>
      <c r="G35" s="780">
        <f>SUM(F35:F37)</f>
        <v>0</v>
      </c>
      <c r="H35" s="778"/>
      <c r="J35" s="770"/>
      <c r="K35" s="779" t="s">
        <v>256</v>
      </c>
      <c r="L35" s="572"/>
      <c r="M35" s="7">
        <f>SUMIFS(Sheet1!$N$2:$N$180,Sheet1!$Q$2:$Q$180,$K$35,Sheet1!$P$2:$P$180,L35)</f>
        <v>0</v>
      </c>
      <c r="N35" s="7">
        <f>M35/Sheet1!$T$9*Sheet1!$T$10</f>
        <v>0</v>
      </c>
      <c r="O35" s="491">
        <f>M35/Sheet1!$T$9*Sheet1!$T$11</f>
        <v>0</v>
      </c>
      <c r="P35" s="780">
        <f>SUM(O35:O37)</f>
        <v>0</v>
      </c>
      <c r="Q35" s="778"/>
    </row>
    <row r="36" spans="1:17" ht="12.75" customHeight="1">
      <c r="A36" s="770"/>
      <c r="B36" s="779"/>
      <c r="C36" s="572"/>
      <c r="D36" s="7">
        <f>SUMIFS(Sheet1!$C$2:$C$180,Sheet1!$F$2:$F$180,B35,Sheet1!$E$2:$E$180,C36)</f>
        <v>0</v>
      </c>
      <c r="E36" s="7">
        <f>D36/Sheet1!$I$9*Sheet1!$I$10</f>
        <v>0</v>
      </c>
      <c r="F36" s="491">
        <f>D36/Sheet1!$I$9*Sheet1!$I$11</f>
        <v>0</v>
      </c>
      <c r="G36" s="780"/>
      <c r="H36" s="778"/>
      <c r="J36" s="770"/>
      <c r="K36" s="779"/>
      <c r="L36" s="572"/>
      <c r="M36" s="7">
        <f>SUMIFS(Sheet1!$N$2:$N$180,Sheet1!$Q$2:$Q$180,$K$35,Sheet1!$P$2:$P$180,L36)</f>
        <v>0</v>
      </c>
      <c r="N36" s="7">
        <f>M36/Sheet1!$T$9*Sheet1!$T$10</f>
        <v>0</v>
      </c>
      <c r="O36" s="491">
        <f>M36/Sheet1!$T$9*Sheet1!$T$11</f>
        <v>0</v>
      </c>
      <c r="P36" s="780"/>
      <c r="Q36" s="778"/>
    </row>
    <row r="37" spans="1:17" ht="12.75" customHeight="1">
      <c r="A37" s="770"/>
      <c r="B37" s="779"/>
      <c r="C37" s="572"/>
      <c r="D37" s="7">
        <f>SUMIFS(Sheet1!$C$2:$C$180,Sheet1!$F$2:$F$180,B35,Sheet1!$E$2:$E$180,C37)</f>
        <v>0</v>
      </c>
      <c r="E37" s="7">
        <f>D37/Sheet1!$I$9*Sheet1!$I$10</f>
        <v>0</v>
      </c>
      <c r="F37" s="491">
        <f>D37/Sheet1!$I$9*Sheet1!$I$11</f>
        <v>0</v>
      </c>
      <c r="G37" s="780"/>
      <c r="H37" s="778"/>
      <c r="J37" s="770"/>
      <c r="K37" s="779"/>
      <c r="L37" s="572"/>
      <c r="M37" s="7">
        <f>SUMIFS(Sheet1!$N$2:$N$180,Sheet1!$Q$2:$Q$180,$K$35,Sheet1!$P$2:$P$180,L37)</f>
        <v>0</v>
      </c>
      <c r="N37" s="7">
        <f>M37/Sheet1!$T$9*Sheet1!$T$10</f>
        <v>0</v>
      </c>
      <c r="O37" s="491">
        <f>M37/Sheet1!$T$9*Sheet1!$T$11</f>
        <v>0</v>
      </c>
      <c r="P37" s="780"/>
      <c r="Q37" s="778"/>
    </row>
    <row r="38" spans="1:17" ht="12.75" customHeight="1">
      <c r="A38" s="770"/>
      <c r="B38" s="772" t="s">
        <v>257</v>
      </c>
      <c r="C38" s="572"/>
      <c r="D38" s="7">
        <f>SUMIFS(Sheet1!$C$2:$C$180,Sheet1!$F$2:$F$180,B38,Sheet1!$E$2:$E$180,C38)</f>
        <v>0</v>
      </c>
      <c r="E38" s="7">
        <f>D38/Sheet1!$I$9*Sheet1!$I$10</f>
        <v>0</v>
      </c>
      <c r="F38" s="491">
        <f>D38/Sheet1!$I$9*Sheet1!$I$11</f>
        <v>0</v>
      </c>
      <c r="G38" s="782">
        <f>SUM(F38:F39)</f>
        <v>0</v>
      </c>
      <c r="H38" s="778"/>
      <c r="J38" s="770"/>
      <c r="K38" s="772" t="s">
        <v>257</v>
      </c>
      <c r="L38" s="572"/>
      <c r="M38" s="7">
        <f>SUMIFS(Sheet1!$N$2:$N$180,Sheet1!$Q$2:$Q$180,$K$38,Sheet1!$P$2:$P$180,L38)</f>
        <v>0</v>
      </c>
      <c r="N38" s="7">
        <f>M38/Sheet1!$T$9*Sheet1!$T$10</f>
        <v>0</v>
      </c>
      <c r="O38" s="491">
        <f>M38/Sheet1!$T$9*Sheet1!$T$11</f>
        <v>0</v>
      </c>
      <c r="P38" s="782">
        <f>SUM(O38:O39)</f>
        <v>0</v>
      </c>
      <c r="Q38" s="778"/>
    </row>
    <row r="39" spans="1:17" ht="12.75" customHeight="1">
      <c r="A39" s="770"/>
      <c r="B39" s="773"/>
      <c r="C39" s="572"/>
      <c r="D39" s="7">
        <f>SUMIFS(Sheet1!$C$2:$C$180,Sheet1!$F$2:$F$180,B38,Sheet1!$E$2:$E$180,C39)</f>
        <v>0</v>
      </c>
      <c r="E39" s="7">
        <f>D39/Sheet1!$I$9*Sheet1!$I$10</f>
        <v>0</v>
      </c>
      <c r="F39" s="491">
        <f>D39/Sheet1!$I$9*Sheet1!$I$11</f>
        <v>0</v>
      </c>
      <c r="G39" s="784"/>
      <c r="H39" s="778"/>
      <c r="J39" s="770"/>
      <c r="K39" s="773"/>
      <c r="L39" s="572"/>
      <c r="M39" s="7">
        <f>SUMIFS(Sheet1!$N$2:$N$180,Sheet1!$Q$2:$Q$180,$K$38,Sheet1!$P$2:$P$180,L39)</f>
        <v>0</v>
      </c>
      <c r="N39" s="7">
        <f>M39/Sheet1!$T$9*Sheet1!$T$10</f>
        <v>0</v>
      </c>
      <c r="O39" s="491">
        <f>M39/Sheet1!$T$9*Sheet1!$T$11</f>
        <v>0</v>
      </c>
      <c r="P39" s="784"/>
      <c r="Q39" s="778"/>
    </row>
    <row r="40" spans="1:17" ht="12.75" customHeight="1">
      <c r="A40" s="770" t="s">
        <v>389</v>
      </c>
      <c r="B40" s="772" t="s">
        <v>258</v>
      </c>
      <c r="C40" s="572"/>
      <c r="D40" s="7">
        <f>SUMIFS(Sheet1!$C$2:$C$180,Sheet1!$F$2:$F$180,B40,Sheet1!$E$2:$E$180,C40)</f>
        <v>0</v>
      </c>
      <c r="E40" s="7">
        <f>D40/Sheet1!$I$9*Sheet1!$I$10</f>
        <v>0</v>
      </c>
      <c r="F40" s="491">
        <f>D40/Sheet1!$I$9*Sheet1!$I$11</f>
        <v>0</v>
      </c>
      <c r="G40" s="782">
        <f>SUM(F40:F41)</f>
        <v>0</v>
      </c>
      <c r="H40" s="786">
        <f>SUM(G40:G41)</f>
        <v>0</v>
      </c>
      <c r="J40" s="770" t="s">
        <v>389</v>
      </c>
      <c r="K40" s="772" t="s">
        <v>258</v>
      </c>
      <c r="L40" s="572"/>
      <c r="M40" s="7">
        <f>SUMIFS(Sheet1!$N$2:$N$180,Sheet1!$Q$2:$Q$180,K40,Sheet1!$P$2:$P$180,L40)</f>
        <v>0</v>
      </c>
      <c r="N40" s="7">
        <f>M40/Sheet1!$T$9*Sheet1!$T$10</f>
        <v>0</v>
      </c>
      <c r="O40" s="491">
        <f>M40/Sheet1!$T$9*Sheet1!$T$11</f>
        <v>0</v>
      </c>
      <c r="P40" s="782">
        <f>SUM(O40:O41)</f>
        <v>0</v>
      </c>
      <c r="Q40" s="786">
        <f>SUM(P40:P41)</f>
        <v>0</v>
      </c>
    </row>
    <row r="41" spans="1:17" ht="12.75" customHeight="1">
      <c r="A41" s="770"/>
      <c r="B41" s="773"/>
      <c r="C41" s="575"/>
      <c r="D41" s="7">
        <f>SUMIFS(Sheet1!$C$2:$C$180,Sheet1!$F$2:$F$180,B40,Sheet1!$E$2:$E$180,C41)</f>
        <v>0</v>
      </c>
      <c r="E41" s="7">
        <f>D41/Sheet1!$I$9*Sheet1!$I$10</f>
        <v>0</v>
      </c>
      <c r="F41" s="491">
        <f>D41/Sheet1!$I$9*Sheet1!$I$11</f>
        <v>0</v>
      </c>
      <c r="G41" s="784"/>
      <c r="H41" s="787"/>
      <c r="J41" s="770"/>
      <c r="K41" s="773"/>
      <c r="L41" s="575"/>
      <c r="M41" s="7">
        <f>SUMIFS(Sheet1!$N$2:$N$180,Sheet1!$Q$2:$Q$180,K40,Sheet1!$P$2:$P$180,L41)</f>
        <v>0</v>
      </c>
      <c r="N41" s="7">
        <f>M41/Sheet1!$T$9*Sheet1!$T$10</f>
        <v>0</v>
      </c>
      <c r="O41" s="491">
        <f>M41/Sheet1!$T$9*Sheet1!$T$11</f>
        <v>0</v>
      </c>
      <c r="P41" s="784"/>
      <c r="Q41" s="787"/>
    </row>
    <row r="42" spans="1:17" ht="15">
      <c r="A42" s="576"/>
      <c r="B42" s="785" t="s">
        <v>3</v>
      </c>
      <c r="C42" s="785"/>
      <c r="D42" s="353">
        <f>SUM(D4:D41)</f>
        <v>3949</v>
      </c>
      <c r="E42" s="353">
        <f>SUM(E4:E41)</f>
        <v>265.18481579022449</v>
      </c>
      <c r="F42" s="489">
        <f>SUM(F4:F41)</f>
        <v>0.13005090015711537</v>
      </c>
      <c r="G42" s="489">
        <f>SUM(G4:G41)</f>
        <v>0.13005090015711532</v>
      </c>
      <c r="H42" s="489">
        <f>SUM(H4:H41)</f>
        <v>0.13005090015711535</v>
      </c>
      <c r="J42" s="576"/>
      <c r="K42" s="785" t="s">
        <v>3</v>
      </c>
      <c r="L42" s="785"/>
      <c r="M42" s="353">
        <f>SUM(M4:M41)</f>
        <v>2449</v>
      </c>
      <c r="N42" s="353">
        <f>SUM(N4:N41)</f>
        <v>196.76498261722429</v>
      </c>
      <c r="O42" s="489">
        <f>SUM(O4:O41)</f>
        <v>9.9846998019877689E-2</v>
      </c>
      <c r="P42" s="489">
        <f>SUM(P4:P41)</f>
        <v>9.9846998019877717E-2</v>
      </c>
      <c r="Q42" s="489">
        <f>SUM(Q4:Q41)</f>
        <v>9.9846998019877703E-2</v>
      </c>
    </row>
    <row r="43" spans="1:17" ht="15">
      <c r="A43" s="576"/>
      <c r="B43" s="785" t="s">
        <v>2</v>
      </c>
      <c r="C43" s="785"/>
      <c r="D43" s="785"/>
      <c r="E43" s="785"/>
      <c r="F43" s="577">
        <f>+Efficiency1!X158</f>
        <v>0.8699490998428846</v>
      </c>
      <c r="G43" s="577">
        <f>+F43</f>
        <v>0.8699490998428846</v>
      </c>
      <c r="H43" s="577">
        <f>+G43</f>
        <v>0.8699490998428846</v>
      </c>
      <c r="J43" s="576"/>
      <c r="K43" s="785" t="s">
        <v>2</v>
      </c>
      <c r="L43" s="785"/>
      <c r="M43" s="785"/>
      <c r="N43" s="785"/>
      <c r="O43" s="577">
        <f>+Efficiency2!X158</f>
        <v>0.90015300198012238</v>
      </c>
      <c r="P43" s="577">
        <f>+O43</f>
        <v>0.90015300198012238</v>
      </c>
      <c r="Q43" s="577">
        <f>+P43</f>
        <v>0.90015300198012238</v>
      </c>
    </row>
    <row r="44" spans="1:17" ht="15">
      <c r="A44" s="576"/>
      <c r="B44" s="785" t="s">
        <v>60</v>
      </c>
      <c r="C44" s="785"/>
      <c r="D44" s="785"/>
      <c r="E44" s="785"/>
      <c r="F44" s="492">
        <f>SUM(F42:F43)</f>
        <v>1</v>
      </c>
      <c r="G44" s="492">
        <f>SUM(G42:G43)</f>
        <v>0.99999999999999989</v>
      </c>
      <c r="H44" s="569">
        <f>SUM(H42:H43)</f>
        <v>1</v>
      </c>
      <c r="J44" s="576"/>
      <c r="K44" s="785" t="s">
        <v>60</v>
      </c>
      <c r="L44" s="785"/>
      <c r="M44" s="785"/>
      <c r="N44" s="785"/>
      <c r="O44" s="492">
        <f>SUM(O42:O43)</f>
        <v>1</v>
      </c>
      <c r="P44" s="492">
        <f>SUM(P42:P43)</f>
        <v>1</v>
      </c>
      <c r="Q44" s="569">
        <f>SUM(Q42:Q43)</f>
        <v>1</v>
      </c>
    </row>
  </sheetData>
  <mergeCells count="66">
    <mergeCell ref="Q40:Q41"/>
    <mergeCell ref="B42:C42"/>
    <mergeCell ref="K42:L42"/>
    <mergeCell ref="B43:E43"/>
    <mergeCell ref="K43:N43"/>
    <mergeCell ref="J40:J41"/>
    <mergeCell ref="B44:E44"/>
    <mergeCell ref="K44:N44"/>
    <mergeCell ref="P38:P39"/>
    <mergeCell ref="B40:B41"/>
    <mergeCell ref="G40:G41"/>
    <mergeCell ref="H40:H41"/>
    <mergeCell ref="K40:K41"/>
    <mergeCell ref="P40:P41"/>
    <mergeCell ref="J25:J39"/>
    <mergeCell ref="P25:P31"/>
    <mergeCell ref="Q25:Q39"/>
    <mergeCell ref="B32:B34"/>
    <mergeCell ref="G32:G34"/>
    <mergeCell ref="K32:K34"/>
    <mergeCell ref="P32:P34"/>
    <mergeCell ref="B35:B37"/>
    <mergeCell ref="G35:G37"/>
    <mergeCell ref="K35:K37"/>
    <mergeCell ref="P35:P37"/>
    <mergeCell ref="K25:K31"/>
    <mergeCell ref="K38:K39"/>
    <mergeCell ref="B25:B31"/>
    <mergeCell ref="G25:G31"/>
    <mergeCell ref="H25:H39"/>
    <mergeCell ref="B38:B39"/>
    <mergeCell ref="G38:G39"/>
    <mergeCell ref="A25:A39"/>
    <mergeCell ref="A40:A41"/>
    <mergeCell ref="A12:A13"/>
    <mergeCell ref="H12:H13"/>
    <mergeCell ref="J12:J13"/>
    <mergeCell ref="Q12:Q13"/>
    <mergeCell ref="A14:A24"/>
    <mergeCell ref="H14:H24"/>
    <mergeCell ref="J14:J24"/>
    <mergeCell ref="Q14:Q24"/>
    <mergeCell ref="B16:B18"/>
    <mergeCell ref="G16:G18"/>
    <mergeCell ref="K16:K18"/>
    <mergeCell ref="P16:P18"/>
    <mergeCell ref="B20:B24"/>
    <mergeCell ref="G20:G24"/>
    <mergeCell ref="K20:K24"/>
    <mergeCell ref="P20:P24"/>
    <mergeCell ref="A4:A11"/>
    <mergeCell ref="H4:H11"/>
    <mergeCell ref="J4:J11"/>
    <mergeCell ref="Q4:Q11"/>
    <mergeCell ref="B6:B7"/>
    <mergeCell ref="K6:K7"/>
    <mergeCell ref="B8:B9"/>
    <mergeCell ref="K8:K9"/>
    <mergeCell ref="B10:B11"/>
    <mergeCell ref="K10:K11"/>
    <mergeCell ref="L2:L3"/>
    <mergeCell ref="A2:A3"/>
    <mergeCell ref="B2:B3"/>
    <mergeCell ref="C2:C3"/>
    <mergeCell ref="J2:J3"/>
    <mergeCell ref="K2:K3"/>
  </mergeCells>
  <conditionalFormatting sqref="D4:D16 D34:D41 D18:D32">
    <cfRule type="cellIs" dxfId="17" priority="17" operator="between">
      <formula>180</formula>
      <formula>360</formula>
    </cfRule>
    <cfRule type="cellIs" dxfId="16" priority="18" operator="greaterThan">
      <formula>360</formula>
    </cfRule>
  </conditionalFormatting>
  <conditionalFormatting sqref="M5:M16 M34:M41 M18:M32">
    <cfRule type="cellIs" dxfId="15" priority="15" operator="between">
      <formula>180</formula>
      <formula>360</formula>
    </cfRule>
    <cfRule type="cellIs" dxfId="14" priority="16" operator="greaterThan">
      <formula>360</formula>
    </cfRule>
  </conditionalFormatting>
  <conditionalFormatting sqref="M4:M16 M34:M41 M18:M32">
    <cfRule type="cellIs" dxfId="13" priority="13" operator="between">
      <formula>180</formula>
      <formula>360</formula>
    </cfRule>
    <cfRule type="cellIs" dxfId="12" priority="14" operator="greaterThan">
      <formula>360</formula>
    </cfRule>
  </conditionalFormatting>
  <conditionalFormatting sqref="M33">
    <cfRule type="cellIs" dxfId="11" priority="11" operator="between">
      <formula>180</formula>
      <formula>360</formula>
    </cfRule>
    <cfRule type="cellIs" dxfId="10" priority="12" operator="greaterThan">
      <formula>360</formula>
    </cfRule>
  </conditionalFormatting>
  <conditionalFormatting sqref="M33">
    <cfRule type="cellIs" dxfId="9" priority="9" operator="between">
      <formula>180</formula>
      <formula>360</formula>
    </cfRule>
    <cfRule type="cellIs" dxfId="8" priority="10" operator="greaterThan">
      <formula>360</formula>
    </cfRule>
  </conditionalFormatting>
  <conditionalFormatting sqref="D33">
    <cfRule type="cellIs" dxfId="7" priority="7" operator="between">
      <formula>180</formula>
      <formula>360</formula>
    </cfRule>
    <cfRule type="cellIs" dxfId="6" priority="8" operator="greaterThan">
      <formula>360</formula>
    </cfRule>
  </conditionalFormatting>
  <conditionalFormatting sqref="D17">
    <cfRule type="cellIs" dxfId="5" priority="5" operator="between">
      <formula>180</formula>
      <formula>360</formula>
    </cfRule>
    <cfRule type="cellIs" dxfId="4" priority="6" operator="greaterThan">
      <formula>360</formula>
    </cfRule>
  </conditionalFormatting>
  <conditionalFormatting sqref="M17">
    <cfRule type="cellIs" dxfId="3" priority="3" operator="between">
      <formula>180</formula>
      <formula>360</formula>
    </cfRule>
    <cfRule type="cellIs" dxfId="2" priority="4" operator="greaterThan">
      <formula>360</formula>
    </cfRule>
  </conditionalFormatting>
  <conditionalFormatting sqref="M17">
    <cfRule type="cellIs" dxfId="1" priority="1" operator="between">
      <formula>180</formula>
      <formula>360</formula>
    </cfRule>
    <cfRule type="cellIs" dxfId="0" priority="2" operator="greaterThan">
      <formula>360</formula>
    </cfRule>
  </conditionalFormatting>
  <pageMargins left="0.39370078740157483" right="0.31496062992125984" top="0.15748031496062992" bottom="0.15748031496062992" header="0.31496062992125984" footer="0.31496062992125984"/>
  <pageSetup paperSize="9" scale="33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P61"/>
  <sheetViews>
    <sheetView topLeftCell="A3" zoomScale="80" zoomScaleNormal="80" workbookViewId="0">
      <selection activeCell="K29" sqref="K29"/>
    </sheetView>
  </sheetViews>
  <sheetFormatPr defaultColWidth="9.140625" defaultRowHeight="12.75"/>
  <cols>
    <col min="1" max="1" width="8" style="153" customWidth="1"/>
    <col min="2" max="2" width="7" style="153" bestFit="1" customWidth="1"/>
    <col min="3" max="3" width="14.85546875" style="153" bestFit="1" customWidth="1"/>
    <col min="4" max="4" width="12.5703125" style="153" bestFit="1" customWidth="1"/>
    <col min="5" max="5" width="13.85546875" style="153" bestFit="1" customWidth="1"/>
    <col min="6" max="6" width="12.140625" style="114" bestFit="1" customWidth="1"/>
    <col min="7" max="7" width="11.42578125" style="153" bestFit="1" customWidth="1"/>
    <col min="8" max="8" width="64.85546875" style="153" customWidth="1"/>
    <col min="9" max="9" width="14.7109375" style="153" bestFit="1" customWidth="1"/>
    <col min="10" max="10" width="18.28515625" style="153" customWidth="1"/>
    <col min="11" max="11" width="12.5703125" style="153" bestFit="1" customWidth="1"/>
    <col min="12" max="12" width="8.28515625" style="153" customWidth="1"/>
    <col min="13" max="13" width="15.140625" style="153" customWidth="1"/>
    <col min="14" max="16384" width="9.140625" style="153"/>
  </cols>
  <sheetData>
    <row r="1" spans="1:16" ht="15.75">
      <c r="A1" s="152"/>
    </row>
    <row r="2" spans="1:16" ht="15.75">
      <c r="A2" s="152" t="s">
        <v>175</v>
      </c>
    </row>
    <row r="3" spans="1:16" ht="15">
      <c r="A3" s="154"/>
    </row>
    <row r="4" spans="1:16" ht="20.25">
      <c r="A4" s="155" t="s">
        <v>4</v>
      </c>
      <c r="B4" s="156"/>
      <c r="F4" s="157" t="s">
        <v>31</v>
      </c>
      <c r="G4" s="158">
        <v>31</v>
      </c>
      <c r="H4" s="158" t="str">
        <f>+'1'!H4</f>
        <v>.12.25</v>
      </c>
    </row>
    <row r="5" spans="1:16" ht="13.5" thickBot="1">
      <c r="C5" s="159"/>
      <c r="D5" s="159"/>
    </row>
    <row r="6" spans="1:16" ht="26.25" thickBot="1">
      <c r="A6" s="160" t="s">
        <v>50</v>
      </c>
      <c r="B6" s="161" t="s">
        <v>10</v>
      </c>
      <c r="C6" s="161" t="s">
        <v>51</v>
      </c>
      <c r="D6" s="161" t="s">
        <v>52</v>
      </c>
      <c r="E6" s="162" t="s">
        <v>53</v>
      </c>
      <c r="F6" s="106" t="s">
        <v>54</v>
      </c>
      <c r="G6" s="161" t="s">
        <v>55</v>
      </c>
      <c r="H6" s="163" t="s">
        <v>56</v>
      </c>
      <c r="I6" s="164" t="s">
        <v>57</v>
      </c>
      <c r="J6" s="165" t="s">
        <v>10</v>
      </c>
      <c r="K6" s="166" t="s">
        <v>58</v>
      </c>
      <c r="L6" s="213" t="s">
        <v>143</v>
      </c>
      <c r="M6" s="167" t="s">
        <v>59</v>
      </c>
      <c r="N6" s="153">
        <f>367+469+396</f>
        <v>1232</v>
      </c>
    </row>
    <row r="7" spans="1:16" ht="13.5" customHeight="1" thickBot="1">
      <c r="A7" s="789" t="s">
        <v>415</v>
      </c>
      <c r="B7" s="218" t="s">
        <v>714</v>
      </c>
      <c r="C7" s="219">
        <v>10287</v>
      </c>
      <c r="D7" s="220"/>
      <c r="E7" s="221"/>
      <c r="F7" s="230"/>
      <c r="G7" s="231" t="s">
        <v>13</v>
      </c>
      <c r="H7" s="232" t="s">
        <v>395</v>
      </c>
      <c r="I7" s="792" t="s">
        <v>508</v>
      </c>
      <c r="J7" s="217" t="str">
        <f>+'30'!J7</f>
        <v>TW 38 RC BR</v>
      </c>
      <c r="K7" s="240"/>
      <c r="L7" s="244"/>
      <c r="M7" s="121">
        <f>+L7+'30'!M7+K7</f>
        <v>78513</v>
      </c>
    </row>
    <row r="8" spans="1:16" ht="13.5" thickBot="1">
      <c r="A8" s="790"/>
      <c r="B8" s="218" t="s">
        <v>712</v>
      </c>
      <c r="C8" s="219">
        <f>17723-C7</f>
        <v>7436</v>
      </c>
      <c r="D8" s="220"/>
      <c r="E8" s="222"/>
      <c r="F8" s="233">
        <v>3</v>
      </c>
      <c r="G8" s="234" t="s">
        <v>13</v>
      </c>
      <c r="H8" s="232" t="s">
        <v>454</v>
      </c>
      <c r="I8" s="793"/>
      <c r="J8" s="217" t="str">
        <f>+'30'!J8</f>
        <v>TW 36 RC BR</v>
      </c>
      <c r="K8" s="241"/>
      <c r="L8" s="241"/>
      <c r="M8" s="121">
        <f>+L8+'30'!M8+K8</f>
        <v>1530</v>
      </c>
      <c r="N8" s="153">
        <v>830</v>
      </c>
      <c r="O8" s="153">
        <f>+N8-N8*0.14</f>
        <v>713.8</v>
      </c>
      <c r="P8" s="153">
        <v>348</v>
      </c>
    </row>
    <row r="9" spans="1:16" ht="13.5" thickBot="1">
      <c r="A9" s="790"/>
      <c r="B9" s="218"/>
      <c r="C9" s="219"/>
      <c r="D9" s="220"/>
      <c r="E9" s="223"/>
      <c r="F9" s="230">
        <v>2</v>
      </c>
      <c r="G9" s="234" t="s">
        <v>13</v>
      </c>
      <c r="H9" s="235" t="s">
        <v>226</v>
      </c>
      <c r="I9" s="793"/>
      <c r="J9" s="217" t="str">
        <f>+'30'!J9</f>
        <v>N 20 RC BR</v>
      </c>
      <c r="K9" s="241"/>
      <c r="L9" s="241"/>
      <c r="M9" s="121">
        <f>+L9+'30'!M9+K9</f>
        <v>74204</v>
      </c>
      <c r="P9" s="153">
        <f>480-P8+480+180+40</f>
        <v>832</v>
      </c>
    </row>
    <row r="10" spans="1:16" ht="13.5" thickBot="1">
      <c r="A10" s="790"/>
      <c r="B10" s="218"/>
      <c r="C10" s="219"/>
      <c r="D10" s="220"/>
      <c r="E10" s="222"/>
      <c r="F10" s="230"/>
      <c r="G10" s="234"/>
      <c r="H10" s="235" t="s">
        <v>707</v>
      </c>
      <c r="I10" s="793"/>
      <c r="J10" s="217" t="str">
        <f>+'30'!J10</f>
        <v>TW 17 RC HW</v>
      </c>
      <c r="K10" s="241"/>
      <c r="L10" s="241"/>
      <c r="M10" s="121">
        <f>+L10+'30'!M10+K10</f>
        <v>99162</v>
      </c>
      <c r="P10" s="153">
        <f>20+240</f>
        <v>260</v>
      </c>
    </row>
    <row r="11" spans="1:16" ht="13.5" thickBot="1">
      <c r="A11" s="790"/>
      <c r="B11" s="218"/>
      <c r="C11" s="219"/>
      <c r="D11" s="220"/>
      <c r="E11" s="222"/>
      <c r="F11" s="230">
        <v>5</v>
      </c>
      <c r="G11" s="234" t="s">
        <v>13</v>
      </c>
      <c r="H11" s="235" t="s">
        <v>708</v>
      </c>
      <c r="I11" s="793"/>
      <c r="J11" s="217" t="str">
        <f>+'30'!J11</f>
        <v>N 15,5 RC HW</v>
      </c>
      <c r="K11" s="241"/>
      <c r="L11" s="241"/>
      <c r="M11" s="121">
        <f>+L11+'30'!M11+K11</f>
        <v>159490</v>
      </c>
      <c r="P11" s="153">
        <f>SUM(P8:P10)</f>
        <v>1440</v>
      </c>
    </row>
    <row r="12" spans="1:16" ht="13.5" thickBot="1">
      <c r="A12" s="790"/>
      <c r="B12" s="218"/>
      <c r="C12" s="219"/>
      <c r="D12" s="220"/>
      <c r="E12" s="222"/>
      <c r="F12" s="230"/>
      <c r="G12" s="234"/>
      <c r="H12" s="235"/>
      <c r="I12" s="793"/>
      <c r="J12" s="217" t="str">
        <f>+'30'!J12</f>
        <v>N 17 RC HW</v>
      </c>
      <c r="K12" s="241"/>
      <c r="L12" s="241"/>
      <c r="M12" s="121">
        <f>+L12+'30'!M12+K12</f>
        <v>6572</v>
      </c>
    </row>
    <row r="13" spans="1:16" ht="13.5" thickBot="1">
      <c r="A13" s="790"/>
      <c r="B13" s="218"/>
      <c r="C13" s="219"/>
      <c r="D13" s="219"/>
      <c r="E13" s="222"/>
      <c r="F13" s="230"/>
      <c r="G13" s="234"/>
      <c r="H13" s="235"/>
      <c r="I13" s="794"/>
      <c r="J13" s="217" t="str">
        <f>+'30'!J13</f>
        <v>N 16,5 RC HW</v>
      </c>
      <c r="K13" s="241"/>
      <c r="L13" s="241"/>
      <c r="M13" s="121">
        <f>+L13+'30'!M13+K13</f>
        <v>18880</v>
      </c>
    </row>
    <row r="14" spans="1:16" ht="13.5" thickBot="1">
      <c r="A14" s="791"/>
      <c r="B14" s="169" t="s">
        <v>3</v>
      </c>
      <c r="C14" s="103">
        <f>SUM(C7:C13)</f>
        <v>17723</v>
      </c>
      <c r="D14" s="115">
        <f>SUM(D7:D13)</f>
        <v>0</v>
      </c>
      <c r="E14" s="116">
        <f>SUM(E5:E13)</f>
        <v>0</v>
      </c>
      <c r="F14" s="120">
        <f>SUM(F7:F13)</f>
        <v>10</v>
      </c>
      <c r="G14" s="163"/>
      <c r="H14" s="170"/>
      <c r="I14" s="171"/>
      <c r="J14" s="217" t="str">
        <f>+'30'!J14</f>
        <v>N 20 RC HW</v>
      </c>
      <c r="K14" s="241"/>
      <c r="L14" s="241"/>
      <c r="M14" s="121">
        <f>+L14+'30'!M14+K14</f>
        <v>394199</v>
      </c>
    </row>
    <row r="15" spans="1:16" ht="13.5" customHeight="1" thickBot="1">
      <c r="A15" s="789" t="s">
        <v>486</v>
      </c>
      <c r="B15" s="169"/>
      <c r="C15" s="117">
        <f>C14/($C$23+$D$23+$E$23)</f>
        <v>0.88077725872179702</v>
      </c>
      <c r="D15" s="118">
        <f>D14/($C$23+$D$23+$E$23)</f>
        <v>0</v>
      </c>
      <c r="E15" s="119">
        <f>E14/($C$23+$D$23+$E$23)</f>
        <v>0</v>
      </c>
      <c r="F15" s="230"/>
      <c r="G15" s="231" t="s">
        <v>13</v>
      </c>
      <c r="H15" s="232" t="s">
        <v>395</v>
      </c>
      <c r="I15" s="792" t="s">
        <v>508</v>
      </c>
      <c r="J15" s="217" t="str">
        <f>+'30'!J15</f>
        <v>N 18 RC HW</v>
      </c>
      <c r="K15" s="241"/>
      <c r="L15" s="241"/>
      <c r="M15" s="121">
        <f>+L15+'30'!M15+K15</f>
        <v>50657</v>
      </c>
    </row>
    <row r="16" spans="1:16" ht="13.5" thickBot="1">
      <c r="A16" s="795"/>
      <c r="B16" s="218" t="s">
        <v>712</v>
      </c>
      <c r="C16" s="224">
        <v>20122</v>
      </c>
      <c r="D16" s="225"/>
      <c r="E16" s="226"/>
      <c r="F16" s="230">
        <v>2</v>
      </c>
      <c r="G16" s="234" t="s">
        <v>13</v>
      </c>
      <c r="H16" s="232" t="s">
        <v>393</v>
      </c>
      <c r="I16" s="793"/>
      <c r="J16" s="217" t="str">
        <f>+'30'!J16</f>
        <v>TW 17,5 RC HW</v>
      </c>
      <c r="K16" s="231"/>
      <c r="L16" s="231"/>
      <c r="M16" s="121">
        <f>+L16+'30'!M16+K16</f>
        <v>11537</v>
      </c>
    </row>
    <row r="17" spans="1:14" ht="13.5" thickBot="1">
      <c r="A17" s="795"/>
      <c r="B17" s="218"/>
      <c r="C17" s="219"/>
      <c r="D17" s="220"/>
      <c r="E17" s="227"/>
      <c r="F17" s="230">
        <v>3</v>
      </c>
      <c r="G17" s="234" t="s">
        <v>13</v>
      </c>
      <c r="H17" s="235" t="s">
        <v>226</v>
      </c>
      <c r="I17" s="793"/>
      <c r="J17" s="217" t="str">
        <f>+'30'!J17</f>
        <v>TW 22 RC HW</v>
      </c>
      <c r="K17" s="231"/>
      <c r="L17" s="231"/>
      <c r="M17" s="121">
        <f>+L17+'30'!M17+K17</f>
        <v>100201</v>
      </c>
    </row>
    <row r="18" spans="1:14" ht="13.5" thickBot="1">
      <c r="A18" s="795"/>
      <c r="B18" s="218"/>
      <c r="C18" s="219"/>
      <c r="D18" s="220"/>
      <c r="E18" s="227"/>
      <c r="F18" s="230"/>
      <c r="G18" s="234"/>
      <c r="H18" s="235" t="s">
        <v>709</v>
      </c>
      <c r="I18" s="793"/>
      <c r="J18" s="217" t="str">
        <f>+'30'!J18</f>
        <v>TW 31,5 RC HW</v>
      </c>
      <c r="K18" s="241"/>
      <c r="L18" s="241"/>
      <c r="M18" s="121">
        <f>+L18+'30'!M18+K18</f>
        <v>108399</v>
      </c>
    </row>
    <row r="19" spans="1:14" ht="13.5" thickBot="1">
      <c r="A19" s="795"/>
      <c r="B19" s="218"/>
      <c r="C19" s="219"/>
      <c r="D19" s="220"/>
      <c r="E19" s="227"/>
      <c r="F19" s="237"/>
      <c r="G19" s="234"/>
      <c r="H19" s="235"/>
      <c r="I19" s="793"/>
      <c r="J19" s="217" t="str">
        <f>+'30'!J19</f>
        <v>TW 32 RC HW</v>
      </c>
      <c r="K19" s="241"/>
      <c r="L19" s="241"/>
      <c r="M19" s="121">
        <f>+L19+'30'!M19+K19</f>
        <v>12437</v>
      </c>
    </row>
    <row r="20" spans="1:14" ht="13.5" thickBot="1">
      <c r="A20" s="795"/>
      <c r="B20" s="218"/>
      <c r="C20" s="219"/>
      <c r="D20" s="220"/>
      <c r="E20" s="227"/>
      <c r="F20" s="230"/>
      <c r="G20" s="234"/>
      <c r="H20" s="235"/>
      <c r="I20" s="793"/>
      <c r="J20" s="217" t="str">
        <f>+'30'!J20</f>
        <v>TW 33,5 RC HW</v>
      </c>
      <c r="K20" s="242"/>
      <c r="L20" s="242"/>
      <c r="M20" s="121">
        <f>+L20+'30'!M20+K20</f>
        <v>9545</v>
      </c>
    </row>
    <row r="21" spans="1:14" ht="13.5" thickBot="1">
      <c r="A21" s="795"/>
      <c r="B21" s="218"/>
      <c r="C21" s="219"/>
      <c r="D21" s="220"/>
      <c r="E21" s="227"/>
      <c r="F21" s="233"/>
      <c r="G21" s="234"/>
      <c r="H21" s="235"/>
      <c r="I21" s="793"/>
      <c r="J21" s="217" t="str">
        <f>+'30'!J21</f>
        <v>TW 34 RC HW</v>
      </c>
      <c r="K21" s="241"/>
      <c r="L21" s="241"/>
      <c r="M21" s="121">
        <f>+L21+'30'!M21+K21</f>
        <v>155277</v>
      </c>
    </row>
    <row r="22" spans="1:14" ht="13.5" thickBot="1">
      <c r="A22" s="795"/>
      <c r="B22" s="218"/>
      <c r="C22" s="219"/>
      <c r="D22" s="220"/>
      <c r="E22" s="227"/>
      <c r="F22" s="238"/>
      <c r="G22" s="234"/>
      <c r="H22" s="235"/>
      <c r="I22" s="794"/>
      <c r="J22" s="217" t="str">
        <f>+'30'!J22</f>
        <v>TW 35,5 RC HW</v>
      </c>
      <c r="K22" s="241"/>
      <c r="L22" s="241"/>
      <c r="M22" s="121">
        <f>+L22+'30'!M22+K22</f>
        <v>98067</v>
      </c>
    </row>
    <row r="23" spans="1:14" ht="13.5" thickBot="1">
      <c r="A23" s="796"/>
      <c r="B23" s="169" t="s">
        <v>3</v>
      </c>
      <c r="C23" s="104">
        <f>SUM(C16:C22)</f>
        <v>20122</v>
      </c>
      <c r="D23" s="115">
        <f>SUM(D16:D22)</f>
        <v>0</v>
      </c>
      <c r="E23" s="116">
        <f>SUM(E18:E22)</f>
        <v>0</v>
      </c>
      <c r="F23" s="120">
        <f>SUM(F15:F22)</f>
        <v>5</v>
      </c>
      <c r="G23" s="163"/>
      <c r="H23" s="170"/>
      <c r="I23" s="172"/>
      <c r="J23" s="217" t="str">
        <f>+'30'!J23</f>
        <v>TW 36 RC HW</v>
      </c>
      <c r="K23" s="241"/>
      <c r="L23" s="241"/>
      <c r="M23" s="121">
        <f>+L23+'30'!M23+K23</f>
        <v>63613</v>
      </c>
    </row>
    <row r="24" spans="1:14" ht="13.5" customHeight="1" thickBot="1">
      <c r="A24" s="789" t="s">
        <v>413</v>
      </c>
      <c r="B24" s="173"/>
      <c r="C24" s="117">
        <f>C23/($C$23+$D$23+$E$23)</f>
        <v>1</v>
      </c>
      <c r="D24" s="118">
        <f>D23/($C$23+$D$23+$E$23)</f>
        <v>0</v>
      </c>
      <c r="E24" s="119">
        <f>E23/($C$23+$D$23+$E$23)</f>
        <v>0</v>
      </c>
      <c r="F24" s="238"/>
      <c r="G24" s="231" t="s">
        <v>13</v>
      </c>
      <c r="H24" s="232" t="s">
        <v>395</v>
      </c>
      <c r="I24" s="792" t="s">
        <v>508</v>
      </c>
      <c r="J24" s="217" t="str">
        <f>+'30'!J24</f>
        <v>TW 38 RC HW</v>
      </c>
      <c r="K24" s="241"/>
      <c r="L24" s="241"/>
      <c r="M24" s="121">
        <f>+L24+'30'!M24+K24</f>
        <v>191503</v>
      </c>
    </row>
    <row r="25" spans="1:14" ht="13.5" thickBot="1">
      <c r="A25" s="795"/>
      <c r="B25" s="218" t="s">
        <v>712</v>
      </c>
      <c r="C25" s="228">
        <v>15215</v>
      </c>
      <c r="D25" s="220">
        <v>500</v>
      </c>
      <c r="E25" s="227"/>
      <c r="F25" s="233">
        <v>2</v>
      </c>
      <c r="G25" s="234" t="s">
        <v>13</v>
      </c>
      <c r="H25" s="232" t="s">
        <v>454</v>
      </c>
      <c r="I25" s="793"/>
      <c r="J25" s="217" t="str">
        <f>+'30'!J25</f>
        <v>N 16 RC BR</v>
      </c>
      <c r="K25" s="241"/>
      <c r="L25" s="241"/>
      <c r="M25" s="121">
        <f>+L25+'30'!M25+K25</f>
        <v>54202</v>
      </c>
    </row>
    <row r="26" spans="1:14" ht="13.5" thickBot="1">
      <c r="A26" s="795"/>
      <c r="B26" s="218" t="s">
        <v>713</v>
      </c>
      <c r="C26" s="228">
        <v>4341</v>
      </c>
      <c r="D26" s="220"/>
      <c r="E26" s="229"/>
      <c r="F26" s="233">
        <v>3</v>
      </c>
      <c r="G26" s="234" t="s">
        <v>13</v>
      </c>
      <c r="H26" s="235" t="s">
        <v>226</v>
      </c>
      <c r="I26" s="793"/>
      <c r="J26" s="217" t="str">
        <f>+'30'!J26</f>
        <v>N 16,5 RC BR</v>
      </c>
      <c r="K26" s="241">
        <f>+C7</f>
        <v>10287</v>
      </c>
      <c r="L26" s="241"/>
      <c r="M26" s="121">
        <f>+L26+'30'!M26+K26</f>
        <v>38798</v>
      </c>
    </row>
    <row r="27" spans="1:14" ht="13.5" thickBot="1">
      <c r="A27" s="795"/>
      <c r="B27" s="218"/>
      <c r="C27" s="219"/>
      <c r="D27" s="220"/>
      <c r="E27" s="227"/>
      <c r="F27" s="233"/>
      <c r="G27" s="234"/>
      <c r="H27" s="235" t="s">
        <v>709</v>
      </c>
      <c r="I27" s="793"/>
      <c r="J27" s="217" t="s">
        <v>712</v>
      </c>
      <c r="K27" s="241">
        <f>+C8+C16+C25</f>
        <v>42773</v>
      </c>
      <c r="L27" s="241"/>
      <c r="M27" s="121">
        <f>+L27+'30'!M27+K27</f>
        <v>42773</v>
      </c>
    </row>
    <row r="28" spans="1:14" ht="13.5" thickBot="1">
      <c r="A28" s="795"/>
      <c r="B28" s="218"/>
      <c r="C28" s="219"/>
      <c r="D28" s="220"/>
      <c r="E28" s="227"/>
      <c r="F28" s="233">
        <v>5</v>
      </c>
      <c r="G28" s="234" t="s">
        <v>13</v>
      </c>
      <c r="H28" s="235" t="s">
        <v>710</v>
      </c>
      <c r="I28" s="793"/>
      <c r="J28" s="217" t="s">
        <v>713</v>
      </c>
      <c r="K28" s="241">
        <f>+C26</f>
        <v>4341</v>
      </c>
      <c r="L28" s="241"/>
      <c r="M28" s="121">
        <f>+L28+'30'!M28+K28</f>
        <v>4341</v>
      </c>
    </row>
    <row r="29" spans="1:14" ht="13.5" thickBot="1">
      <c r="A29" s="795"/>
      <c r="B29" s="218"/>
      <c r="C29" s="219"/>
      <c r="D29" s="220"/>
      <c r="E29" s="227"/>
      <c r="F29" s="238"/>
      <c r="G29" s="234"/>
      <c r="H29" s="235"/>
      <c r="I29" s="793"/>
      <c r="J29" s="217">
        <f>+'30'!J29</f>
        <v>0</v>
      </c>
      <c r="K29" s="241"/>
      <c r="L29" s="241"/>
      <c r="M29" s="121">
        <f>+L29+'30'!M29+K29</f>
        <v>0</v>
      </c>
    </row>
    <row r="30" spans="1:14" ht="13.5" thickBot="1">
      <c r="A30" s="795"/>
      <c r="B30" s="218"/>
      <c r="C30" s="228"/>
      <c r="D30" s="220"/>
      <c r="E30" s="227"/>
      <c r="F30" s="238"/>
      <c r="G30" s="234"/>
      <c r="H30" s="235"/>
      <c r="I30" s="793"/>
      <c r="J30" s="217">
        <f>+'30'!J30</f>
        <v>0</v>
      </c>
      <c r="K30" s="241"/>
      <c r="L30" s="241"/>
      <c r="M30" s="121">
        <f>+L30+'30'!M30+K30</f>
        <v>0</v>
      </c>
      <c r="N30" s="159"/>
    </row>
    <row r="31" spans="1:14" ht="13.5" thickBot="1">
      <c r="A31" s="795"/>
      <c r="B31" s="218"/>
      <c r="C31" s="228"/>
      <c r="D31" s="220"/>
      <c r="E31" s="227"/>
      <c r="F31" s="238"/>
      <c r="G31" s="239"/>
      <c r="H31" s="236"/>
      <c r="I31" s="794"/>
      <c r="J31" s="217">
        <f>+'30'!J31</f>
        <v>0</v>
      </c>
      <c r="K31" s="241"/>
      <c r="L31" s="241"/>
      <c r="M31" s="121">
        <f>+L31+'30'!M31+K31</f>
        <v>0</v>
      </c>
    </row>
    <row r="32" spans="1:14" ht="13.5" thickBot="1">
      <c r="A32" s="796"/>
      <c r="B32" s="169" t="s">
        <v>3</v>
      </c>
      <c r="C32" s="103">
        <f>SUM(C25:C31)</f>
        <v>19556</v>
      </c>
      <c r="D32" s="104">
        <f>SUM(D25:D31)</f>
        <v>500</v>
      </c>
      <c r="E32" s="105">
        <f>SUM(E25:E31)</f>
        <v>0</v>
      </c>
      <c r="F32" s="106">
        <f>SUM(F24:F31)</f>
        <v>10</v>
      </c>
      <c r="G32" s="174"/>
      <c r="H32" s="175"/>
      <c r="I32" s="172"/>
      <c r="J32" s="217">
        <f>+'30'!J32</f>
        <v>0</v>
      </c>
      <c r="K32" s="241"/>
      <c r="L32" s="245"/>
      <c r="M32" s="121">
        <f>+L32+'30'!M32+K32</f>
        <v>0</v>
      </c>
    </row>
    <row r="33" spans="1:14" ht="13.5" thickBot="1">
      <c r="A33" s="176"/>
      <c r="B33" s="177"/>
      <c r="C33" s="107">
        <f>C32/($C$32+$D$32+$E$32)</f>
        <v>0.97506980454726766</v>
      </c>
      <c r="D33" s="108">
        <f>D32/($C$32+$D$32+$E$32)</f>
        <v>2.493019545273235E-2</v>
      </c>
      <c r="E33" s="109">
        <f>E32/($C$32+$D$32+$E$32)</f>
        <v>0</v>
      </c>
      <c r="F33" s="110"/>
      <c r="G33" s="178"/>
      <c r="H33" s="179"/>
      <c r="I33" s="180"/>
      <c r="J33" s="125"/>
      <c r="K33" s="464"/>
      <c r="L33" s="216"/>
      <c r="M33" s="123"/>
    </row>
    <row r="34" spans="1:14" ht="13.5" thickBot="1">
      <c r="A34" s="797" t="s">
        <v>60</v>
      </c>
      <c r="B34" s="798"/>
      <c r="C34" s="111">
        <f>C14+C23+C32</f>
        <v>57401</v>
      </c>
      <c r="D34" s="111">
        <f>D14+D23+D32</f>
        <v>500</v>
      </c>
      <c r="E34" s="111">
        <f>E14+E23+E32</f>
        <v>0</v>
      </c>
      <c r="F34" s="112">
        <f>F14+F23+F32</f>
        <v>25</v>
      </c>
      <c r="H34" s="181"/>
      <c r="I34" s="181"/>
      <c r="J34" s="127" t="s">
        <v>29</v>
      </c>
      <c r="K34" s="128">
        <f>SUM(K7:K33)</f>
        <v>57401</v>
      </c>
      <c r="L34" s="215">
        <f>SUM(L7:L32)</f>
        <v>0</v>
      </c>
      <c r="M34" s="128">
        <f>SUM(M7:M33)</f>
        <v>1773900</v>
      </c>
      <c r="N34" s="159"/>
    </row>
    <row r="35" spans="1:14" ht="13.5" thickBot="1">
      <c r="A35" s="182"/>
      <c r="B35" s="183"/>
      <c r="C35" s="108">
        <f>C34/($C$34+$D$34+$E$34)</f>
        <v>0.99136457056009397</v>
      </c>
      <c r="D35" s="108">
        <f>D34/($C$34+$D$34+$E$34)</f>
        <v>8.6354294399060474E-3</v>
      </c>
      <c r="E35" s="113">
        <f>E34/($C$34+$D$34+$E$34)</f>
        <v>0</v>
      </c>
      <c r="K35" s="159"/>
      <c r="L35" s="788" t="s">
        <v>186</v>
      </c>
      <c r="M35" s="788"/>
    </row>
    <row r="36" spans="1:14" ht="13.5" thickBot="1">
      <c r="A36" s="181"/>
      <c r="B36" s="181"/>
      <c r="C36" s="159"/>
      <c r="D36" s="159"/>
      <c r="E36" s="159"/>
      <c r="G36" s="159"/>
      <c r="H36" s="184"/>
      <c r="I36" s="166" t="s">
        <v>42</v>
      </c>
      <c r="J36" s="166" t="s">
        <v>43</v>
      </c>
      <c r="K36" s="185"/>
      <c r="L36" s="166" t="s">
        <v>42</v>
      </c>
      <c r="M36" s="166" t="s">
        <v>43</v>
      </c>
    </row>
    <row r="37" spans="1:14" ht="17.45" customHeight="1" thickBot="1">
      <c r="A37" s="801" t="s">
        <v>61</v>
      </c>
      <c r="B37" s="802"/>
      <c r="C37" s="166" t="s">
        <v>62</v>
      </c>
      <c r="D37" s="186" t="s">
        <v>63</v>
      </c>
      <c r="E37" s="187" t="s">
        <v>64</v>
      </c>
      <c r="F37" s="372"/>
      <c r="G37" s="374"/>
      <c r="H37" s="189" t="s">
        <v>65</v>
      </c>
      <c r="I37" s="246">
        <f>(16.5*348+17*832+19*260)/1440*G42*3.4*1440/1000000</f>
        <v>60.25071591999999</v>
      </c>
      <c r="J37" s="129">
        <f>+I37+'30'!J37</f>
        <v>1991.5636741956002</v>
      </c>
      <c r="K37" s="130" t="s">
        <v>66</v>
      </c>
      <c r="L37" s="437"/>
      <c r="M37" s="438"/>
      <c r="N37" s="567">
        <f>+I38-N38-N39</f>
        <v>13.810999999999993</v>
      </c>
    </row>
    <row r="38" spans="1:14" ht="17.45" customHeight="1">
      <c r="A38" s="803" t="s">
        <v>13</v>
      </c>
      <c r="B38" s="804"/>
      <c r="C38" s="168">
        <f>SUMIF($G$7:$G$31,"Process",$F$7:$F$31)</f>
        <v>25</v>
      </c>
      <c r="D38" s="122">
        <f>+C38+'30'!D38</f>
        <v>1259</v>
      </c>
      <c r="E38" s="147">
        <f t="shared" ref="E38:E51" si="0">D38/60</f>
        <v>20.983333333333334</v>
      </c>
      <c r="F38" s="372">
        <v>830</v>
      </c>
      <c r="G38" s="372">
        <f>+F38-F38*0.14</f>
        <v>713.8</v>
      </c>
      <c r="H38" s="190" t="s">
        <v>67</v>
      </c>
      <c r="I38" s="247">
        <f>18.231+19.617+18.562</f>
        <v>56.41</v>
      </c>
      <c r="J38" s="131">
        <f>+I38+'30'!J38</f>
        <v>1814.222</v>
      </c>
      <c r="K38" s="132" t="s">
        <v>66</v>
      </c>
      <c r="L38" s="439"/>
      <c r="M38" s="440"/>
      <c r="N38" s="153">
        <v>33.989000000000004</v>
      </c>
    </row>
    <row r="39" spans="1:14" ht="17.45" customHeight="1">
      <c r="A39" s="799" t="s">
        <v>14</v>
      </c>
      <c r="B39" s="800"/>
      <c r="C39" s="168">
        <f>SUMIF($G$7:$G$31,"Cleaning",$F$7:$F$31)</f>
        <v>0</v>
      </c>
      <c r="D39" s="122">
        <f>+C39+'30'!D39</f>
        <v>0</v>
      </c>
      <c r="E39" s="147">
        <f t="shared" si="0"/>
        <v>0</v>
      </c>
      <c r="F39" s="372">
        <v>830</v>
      </c>
      <c r="G39" s="372">
        <f>+F39-F39*0.14</f>
        <v>713.8</v>
      </c>
      <c r="H39" s="190" t="s">
        <v>68</v>
      </c>
      <c r="I39" s="146"/>
      <c r="J39" s="133">
        <f>J37/G4</f>
        <v>64.243989490180653</v>
      </c>
      <c r="K39" s="134" t="s">
        <v>66</v>
      </c>
      <c r="L39" s="439"/>
      <c r="M39" s="440"/>
      <c r="N39" s="567">
        <v>8.61</v>
      </c>
    </row>
    <row r="40" spans="1:14" ht="17.45" customHeight="1">
      <c r="A40" s="799" t="s">
        <v>69</v>
      </c>
      <c r="B40" s="800"/>
      <c r="C40" s="168">
        <f>SUMIF($G$7:$G$31,"Mechanical",$F$7:$F$31)</f>
        <v>0</v>
      </c>
      <c r="D40" s="122">
        <f>+C40+'30'!D40</f>
        <v>765</v>
      </c>
      <c r="E40" s="147">
        <f t="shared" si="0"/>
        <v>12.75</v>
      </c>
      <c r="F40" s="372">
        <v>830</v>
      </c>
      <c r="G40" s="372">
        <f>+F40-F40*0.14</f>
        <v>713.8</v>
      </c>
      <c r="H40" s="190" t="s">
        <v>70</v>
      </c>
      <c r="I40" s="122">
        <f>(K34+L34)/1000</f>
        <v>57.401000000000003</v>
      </c>
      <c r="J40" s="135">
        <f>+I40+'30'!J40</f>
        <v>1773.8999999999996</v>
      </c>
      <c r="K40" s="134" t="s">
        <v>66</v>
      </c>
      <c r="L40" s="439"/>
      <c r="M40" s="440"/>
    </row>
    <row r="41" spans="1:14" ht="17.45" customHeight="1">
      <c r="A41" s="799" t="s">
        <v>71</v>
      </c>
      <c r="B41" s="800"/>
      <c r="C41" s="168">
        <f>SUMIF($G$7:$G$31,"Electrical",$F$7:$F$31)</f>
        <v>0</v>
      </c>
      <c r="D41" s="122">
        <f>+C41+'30'!D41</f>
        <v>315</v>
      </c>
      <c r="E41" s="147">
        <f t="shared" si="0"/>
        <v>5.25</v>
      </c>
      <c r="F41" s="372"/>
      <c r="G41" s="372"/>
      <c r="H41" s="190" t="s">
        <v>72</v>
      </c>
      <c r="I41" s="146"/>
      <c r="J41" s="133">
        <f>J40/G4</f>
        <v>57.22258064516128</v>
      </c>
      <c r="K41" s="134" t="s">
        <v>66</v>
      </c>
      <c r="L41" s="439"/>
      <c r="M41" s="440"/>
    </row>
    <row r="42" spans="1:14" ht="17.45" customHeight="1">
      <c r="A42" s="799" t="s">
        <v>17</v>
      </c>
      <c r="B42" s="800"/>
      <c r="C42" s="168">
        <f>SUMIF($G$7:$G$31,"Instrument",$F$7:$F$31)</f>
        <v>0</v>
      </c>
      <c r="D42" s="122">
        <f>+C42+'30'!D42</f>
        <v>0</v>
      </c>
      <c r="E42" s="147">
        <f t="shared" si="0"/>
        <v>0</v>
      </c>
      <c r="F42" s="372">
        <f>+(F38*480+F39*480+F40*480)/1440</f>
        <v>830</v>
      </c>
      <c r="G42" s="372">
        <f>+(G38*480+G39*480+G40*480)/1440</f>
        <v>713.8</v>
      </c>
      <c r="H42" s="190" t="s">
        <v>73</v>
      </c>
      <c r="I42" s="248" t="s">
        <v>508</v>
      </c>
      <c r="J42" s="136"/>
      <c r="K42" s="134" t="s">
        <v>74</v>
      </c>
      <c r="L42" s="439"/>
      <c r="M42" s="440"/>
    </row>
    <row r="43" spans="1:14" ht="17.45" customHeight="1">
      <c r="A43" s="799" t="s">
        <v>75</v>
      </c>
      <c r="B43" s="800"/>
      <c r="C43" s="168">
        <f>SUMIF($G$7:$G$31,"Water",$F$7:$F$31)</f>
        <v>0</v>
      </c>
      <c r="D43" s="122">
        <f>+C43+'30'!D43</f>
        <v>5</v>
      </c>
      <c r="E43" s="147">
        <f t="shared" si="0"/>
        <v>8.3333333333333329E-2</v>
      </c>
      <c r="F43" s="372"/>
      <c r="G43" s="373"/>
      <c r="H43" s="191" t="s">
        <v>76</v>
      </c>
      <c r="I43" s="122">
        <f>+Report1!AH39</f>
        <v>107.744</v>
      </c>
      <c r="J43" s="137">
        <f>+I43+'30'!J43</f>
        <v>3572.108999999999</v>
      </c>
      <c r="K43" s="134" t="s">
        <v>66</v>
      </c>
      <c r="L43" s="441">
        <f>+Report1!AN39</f>
        <v>13.3</v>
      </c>
      <c r="M43" s="442">
        <f>+L43+'30'!M43</f>
        <v>325.29175181394419</v>
      </c>
    </row>
    <row r="44" spans="1:14" ht="17.45" customHeight="1">
      <c r="A44" s="799" t="s">
        <v>18</v>
      </c>
      <c r="B44" s="800"/>
      <c r="C44" s="168">
        <f>SUMIF($G$7:$G$31,"PLN",$F$7:$F$31)</f>
        <v>0</v>
      </c>
      <c r="D44" s="122">
        <f>+C44+'30'!D44</f>
        <v>105</v>
      </c>
      <c r="E44" s="147">
        <f t="shared" si="0"/>
        <v>1.75</v>
      </c>
      <c r="F44" s="372"/>
      <c r="G44" s="373"/>
      <c r="H44" s="191" t="s">
        <v>77</v>
      </c>
      <c r="I44" s="122">
        <f>I43/I38</f>
        <v>1.9100159546179756</v>
      </c>
      <c r="J44" s="138">
        <f>J43/J38</f>
        <v>1.9689481221151541</v>
      </c>
      <c r="K44" s="134" t="s">
        <v>66</v>
      </c>
      <c r="L44" s="443">
        <f>+L43/I38</f>
        <v>0.23577379897181353</v>
      </c>
      <c r="M44" s="444">
        <f>+M43/J38</f>
        <v>0.17930096306512885</v>
      </c>
    </row>
    <row r="45" spans="1:14" ht="17.45" customHeight="1">
      <c r="A45" s="799" t="s">
        <v>19</v>
      </c>
      <c r="B45" s="800"/>
      <c r="C45" s="168">
        <f>SUMIF($G$7:$G$31,"Boiler",$F$7:$F$31)</f>
        <v>0</v>
      </c>
      <c r="D45" s="122">
        <f>+C45+'30'!D45</f>
        <v>0</v>
      </c>
      <c r="E45" s="147">
        <f t="shared" si="0"/>
        <v>0</v>
      </c>
      <c r="F45" s="372"/>
      <c r="G45" s="375"/>
      <c r="H45" s="191" t="s">
        <v>78</v>
      </c>
      <c r="I45" s="122">
        <f>I43/I40</f>
        <v>1.8770404696782286</v>
      </c>
      <c r="J45" s="138">
        <f>J43/J40</f>
        <v>2.0137037037037038</v>
      </c>
      <c r="K45" s="134" t="s">
        <v>66</v>
      </c>
      <c r="L45" s="443">
        <f>+L43/I40</f>
        <v>0.23170328043065452</v>
      </c>
      <c r="M45" s="444">
        <f>+M43/J40</f>
        <v>0.18337660060541419</v>
      </c>
    </row>
    <row r="46" spans="1:14" ht="17.45" customHeight="1">
      <c r="A46" s="799" t="s">
        <v>79</v>
      </c>
      <c r="B46" s="800"/>
      <c r="C46" s="168">
        <f>SUMIF($G$7:$G$31,"Gas",$F$7:$F$31)</f>
        <v>0</v>
      </c>
      <c r="D46" s="122">
        <f>+C46+'30'!D46</f>
        <v>0</v>
      </c>
      <c r="E46" s="147">
        <f t="shared" si="0"/>
        <v>0</v>
      </c>
      <c r="F46" s="372"/>
      <c r="G46" s="373"/>
      <c r="H46" s="191" t="s">
        <v>80</v>
      </c>
      <c r="I46" s="144">
        <f>+SUMIF(Listrik!AC38,"&gt;0")</f>
        <v>34819.680000000939</v>
      </c>
      <c r="J46" s="139">
        <f>+I46+'30'!J46</f>
        <v>1040322.1500000014</v>
      </c>
      <c r="K46" s="134" t="s">
        <v>81</v>
      </c>
      <c r="L46" s="443">
        <f>+Listrik!AF38</f>
        <v>29179</v>
      </c>
      <c r="M46" s="445">
        <f>+L46+'30'!M46</f>
        <v>257506.8</v>
      </c>
    </row>
    <row r="47" spans="1:14" ht="17.45" customHeight="1">
      <c r="A47" s="799" t="s">
        <v>82</v>
      </c>
      <c r="B47" s="800"/>
      <c r="C47" s="168">
        <f>SUMIF($G$7:$G$31,"Gas",$F$7:$F$31)</f>
        <v>0</v>
      </c>
      <c r="D47" s="122">
        <f>+C47+'30'!D47</f>
        <v>0</v>
      </c>
      <c r="E47" s="147">
        <f t="shared" si="0"/>
        <v>0</v>
      </c>
      <c r="F47" s="372"/>
      <c r="G47" s="373"/>
      <c r="H47" s="191" t="s">
        <v>83</v>
      </c>
      <c r="I47" s="122">
        <f>I46/I38</f>
        <v>617.26076936715015</v>
      </c>
      <c r="J47" s="139">
        <f>J46/J38</f>
        <v>573.42604708795363</v>
      </c>
      <c r="K47" s="134" t="s">
        <v>25</v>
      </c>
      <c r="L47" s="443">
        <f>+L46/I38</f>
        <v>517.26644212019153</v>
      </c>
      <c r="M47" s="444">
        <f>+M46/J38</f>
        <v>141.9378664794055</v>
      </c>
    </row>
    <row r="48" spans="1:14" ht="17.45" customHeight="1">
      <c r="A48" s="799" t="s">
        <v>15</v>
      </c>
      <c r="B48" s="800"/>
      <c r="C48" s="168">
        <f>SUMIF($G$7:$G$31,"Start Up",$F$7:$F$31)</f>
        <v>0</v>
      </c>
      <c r="D48" s="122">
        <f>+C48+'30'!D48</f>
        <v>0</v>
      </c>
      <c r="E48" s="147">
        <f t="shared" si="0"/>
        <v>0</v>
      </c>
      <c r="F48" s="372"/>
      <c r="G48" s="373"/>
      <c r="H48" s="191" t="s">
        <v>84</v>
      </c>
      <c r="I48" s="122">
        <f>I46/I40</f>
        <v>606.60406613126838</v>
      </c>
      <c r="J48" s="139">
        <f>J46/J40</f>
        <v>586.46042617960518</v>
      </c>
      <c r="K48" s="134" t="s">
        <v>25</v>
      </c>
      <c r="L48" s="443">
        <f>+L46/I38</f>
        <v>517.26644212019153</v>
      </c>
      <c r="M48" s="444">
        <f>+M46/J40</f>
        <v>145.16421444275329</v>
      </c>
    </row>
    <row r="49" spans="1:13" ht="17.45" customHeight="1">
      <c r="A49" s="799" t="s">
        <v>21</v>
      </c>
      <c r="B49" s="800"/>
      <c r="C49" s="168">
        <f>SUMIF($G$7:$G$31,"Others",$F$7:$F$31)</f>
        <v>0</v>
      </c>
      <c r="D49" s="122">
        <f>+C49+'30'!D49</f>
        <v>1500</v>
      </c>
      <c r="E49" s="147">
        <f t="shared" si="0"/>
        <v>25</v>
      </c>
      <c r="F49" s="188"/>
      <c r="H49" s="191" t="s">
        <v>85</v>
      </c>
      <c r="I49" s="122">
        <f>+Report1!AB39</f>
        <v>0</v>
      </c>
      <c r="J49" s="139">
        <f>+I49+'30'!J49</f>
        <v>0</v>
      </c>
      <c r="K49" s="134" t="s">
        <v>86</v>
      </c>
      <c r="L49" s="439"/>
      <c r="M49" s="440"/>
    </row>
    <row r="50" spans="1:13" ht="17.45" customHeight="1">
      <c r="A50" s="799" t="s">
        <v>20</v>
      </c>
      <c r="B50" s="800"/>
      <c r="C50" s="168">
        <f>SUMIF($G$7:$G$31,"Steam",$F$7:$F$31)</f>
        <v>0</v>
      </c>
      <c r="D50" s="122">
        <f>+C50+'30'!D50</f>
        <v>0</v>
      </c>
      <c r="E50" s="147">
        <f t="shared" si="0"/>
        <v>0</v>
      </c>
      <c r="F50" s="188"/>
      <c r="H50" s="191" t="s">
        <v>87</v>
      </c>
      <c r="I50" s="144">
        <f>I49/I38</f>
        <v>0</v>
      </c>
      <c r="J50" s="137">
        <f>J49/J38</f>
        <v>0</v>
      </c>
      <c r="K50" s="134" t="s">
        <v>86</v>
      </c>
      <c r="L50" s="439"/>
      <c r="M50" s="440"/>
    </row>
    <row r="51" spans="1:13" ht="17.45" customHeight="1" thickBot="1">
      <c r="A51" s="805" t="s">
        <v>88</v>
      </c>
      <c r="B51" s="806"/>
      <c r="C51" s="168">
        <f>SUMIF($G$7:$G$31,"Planned shut",$F$7:$F$31)</f>
        <v>0</v>
      </c>
      <c r="D51" s="122">
        <f>+C51+'30'!D51</f>
        <v>0</v>
      </c>
      <c r="E51" s="147">
        <f t="shared" si="0"/>
        <v>0</v>
      </c>
      <c r="F51" s="188"/>
      <c r="H51" s="193" t="s">
        <v>89</v>
      </c>
      <c r="I51" s="145">
        <f>I49/I40</f>
        <v>0</v>
      </c>
      <c r="J51" s="140">
        <f>J49/J40</f>
        <v>0</v>
      </c>
      <c r="K51" s="141" t="s">
        <v>86</v>
      </c>
      <c r="L51" s="439"/>
      <c r="M51" s="440"/>
    </row>
    <row r="52" spans="1:13" ht="13.5" thickBot="1">
      <c r="A52" s="803" t="s">
        <v>29</v>
      </c>
      <c r="B52" s="804"/>
      <c r="C52" s="148">
        <f>SUM(C38:C51)</f>
        <v>25</v>
      </c>
      <c r="D52" s="148">
        <f>SUM(D38:D51)</f>
        <v>3949</v>
      </c>
      <c r="E52" s="149">
        <f>SUM(E38:E51)</f>
        <v>65.816666666666663</v>
      </c>
      <c r="F52" s="188"/>
      <c r="H52" s="194"/>
      <c r="I52" s="195"/>
      <c r="J52" s="142"/>
      <c r="K52" s="143"/>
      <c r="L52" s="446"/>
      <c r="M52" s="447"/>
    </row>
    <row r="53" spans="1:13" ht="13.5" thickBot="1">
      <c r="A53" s="807"/>
      <c r="B53" s="808"/>
      <c r="C53" s="150">
        <f>C52/(24*60)</f>
        <v>1.7361111111111112E-2</v>
      </c>
      <c r="D53" s="150">
        <f>D52/(24*60*G4)</f>
        <v>8.8463261648745517E-2</v>
      </c>
      <c r="E53" s="151">
        <f>E52/(G4*24)</f>
        <v>8.8463261648745517E-2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90</v>
      </c>
      <c r="B56" s="198"/>
      <c r="C56" s="199"/>
      <c r="D56" s="199"/>
      <c r="E56" s="199"/>
      <c r="F56" s="200"/>
      <c r="G56" s="199"/>
      <c r="H56" s="201"/>
      <c r="I56" s="202" t="s">
        <v>91</v>
      </c>
      <c r="J56" s="203">
        <f>+D34+'30'!J56</f>
        <v>21293</v>
      </c>
      <c r="K56" s="204">
        <f>J56/(J40+J56/1000)/1000</f>
        <v>1.1861120224956317E-2</v>
      </c>
    </row>
    <row r="57" spans="1:13">
      <c r="A57" s="179"/>
      <c r="I57" s="202" t="s">
        <v>92</v>
      </c>
      <c r="J57" s="203">
        <f>+E34+'30'!J57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A49:B49"/>
    <mergeCell ref="A50:B50"/>
    <mergeCell ref="A51:B51"/>
    <mergeCell ref="A52:B52"/>
    <mergeCell ref="A53:B53"/>
    <mergeCell ref="A48:B48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L35:M35"/>
    <mergeCell ref="A7:A14"/>
    <mergeCell ref="I7:I13"/>
    <mergeCell ref="A15:A23"/>
    <mergeCell ref="I15:I22"/>
    <mergeCell ref="A24:A32"/>
    <mergeCell ref="I24:I31"/>
    <mergeCell ref="A34:B34"/>
  </mergeCells>
  <phoneticPr fontId="31" type="noConversion"/>
  <printOptions horizontalCentered="1"/>
  <pageMargins left="0.25" right="0.25" top="0.25" bottom="0.5" header="0.5" footer="0.5"/>
  <pageSetup paperSize="9" scale="60" firstPageNumber="4294963191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pageSetUpPr fitToPage="1"/>
  </sheetPr>
  <dimension ref="A1:S61"/>
  <sheetViews>
    <sheetView zoomScale="80" zoomScaleNormal="80" workbookViewId="0">
      <selection activeCell="A7" sqref="A7:A32"/>
    </sheetView>
  </sheetViews>
  <sheetFormatPr defaultColWidth="9.140625" defaultRowHeight="12.75"/>
  <cols>
    <col min="1" max="1" width="8" style="153" customWidth="1"/>
    <col min="2" max="2" width="7" style="153" bestFit="1" customWidth="1"/>
    <col min="3" max="3" width="14.85546875" style="153" bestFit="1" customWidth="1"/>
    <col min="4" max="4" width="12.5703125" style="153" bestFit="1" customWidth="1"/>
    <col min="5" max="5" width="13.85546875" style="153" bestFit="1" customWidth="1"/>
    <col min="6" max="6" width="12.140625" style="114" bestFit="1" customWidth="1"/>
    <col min="7" max="7" width="11.42578125" style="153" bestFit="1" customWidth="1"/>
    <col min="8" max="8" width="64.85546875" style="153" customWidth="1"/>
    <col min="9" max="9" width="14.7109375" style="153" bestFit="1" customWidth="1"/>
    <col min="10" max="10" width="19.7109375" style="153" customWidth="1"/>
    <col min="11" max="11" width="12.5703125" style="153" bestFit="1" customWidth="1"/>
    <col min="12" max="12" width="8.28515625" style="153" customWidth="1"/>
    <col min="13" max="13" width="14.7109375" style="153" customWidth="1"/>
    <col min="14" max="16384" width="9.140625" style="153"/>
  </cols>
  <sheetData>
    <row r="1" spans="1:19" ht="15.75">
      <c r="A1" s="152"/>
    </row>
    <row r="2" spans="1:19" ht="15.75">
      <c r="A2" s="152" t="s">
        <v>175</v>
      </c>
    </row>
    <row r="3" spans="1:19" ht="15">
      <c r="A3" s="154"/>
    </row>
    <row r="4" spans="1:19" ht="20.25">
      <c r="A4" s="155" t="s">
        <v>4</v>
      </c>
      <c r="B4" s="156"/>
      <c r="F4" s="157" t="s">
        <v>31</v>
      </c>
      <c r="G4" s="158">
        <v>30</v>
      </c>
      <c r="H4" s="158" t="str">
        <f>+'1'!H4</f>
        <v>.12.25</v>
      </c>
      <c r="J4" s="153" t="s">
        <v>697</v>
      </c>
    </row>
    <row r="5" spans="1:19" ht="13.5" thickBot="1">
      <c r="C5" s="159"/>
      <c r="D5" s="159"/>
    </row>
    <row r="6" spans="1:19" ht="26.25" thickBot="1">
      <c r="A6" s="160" t="s">
        <v>50</v>
      </c>
      <c r="B6" s="161" t="s">
        <v>10</v>
      </c>
      <c r="C6" s="161" t="s">
        <v>51</v>
      </c>
      <c r="D6" s="161" t="s">
        <v>52</v>
      </c>
      <c r="E6" s="162" t="s">
        <v>53</v>
      </c>
      <c r="F6" s="106" t="s">
        <v>54</v>
      </c>
      <c r="G6" s="161" t="s">
        <v>55</v>
      </c>
      <c r="H6" s="163" t="s">
        <v>56</v>
      </c>
      <c r="I6" s="164" t="s">
        <v>57</v>
      </c>
      <c r="J6" s="165" t="s">
        <v>10</v>
      </c>
      <c r="K6" s="166" t="s">
        <v>58</v>
      </c>
      <c r="L6" s="213" t="s">
        <v>143</v>
      </c>
      <c r="M6" s="167" t="s">
        <v>59</v>
      </c>
      <c r="N6" s="153" t="s">
        <v>691</v>
      </c>
      <c r="O6" s="153">
        <v>830</v>
      </c>
      <c r="P6" s="153">
        <f>+O6-(O6*0.14)</f>
        <v>713.8</v>
      </c>
      <c r="Q6" s="153">
        <v>480</v>
      </c>
      <c r="R6" s="153">
        <f>+O6*Q6</f>
        <v>398400</v>
      </c>
      <c r="S6" s="153">
        <f>+P6*Q6</f>
        <v>342624</v>
      </c>
    </row>
    <row r="7" spans="1:19" ht="13.5" customHeight="1" thickBot="1">
      <c r="A7" s="789" t="s">
        <v>414</v>
      </c>
      <c r="B7" s="218" t="s">
        <v>690</v>
      </c>
      <c r="C7" s="219">
        <v>18108</v>
      </c>
      <c r="D7" s="220">
        <v>110</v>
      </c>
      <c r="E7" s="221"/>
      <c r="F7" s="230">
        <v>4</v>
      </c>
      <c r="G7" s="231" t="s">
        <v>13</v>
      </c>
      <c r="H7" s="232" t="s">
        <v>698</v>
      </c>
      <c r="I7" s="792" t="s">
        <v>553</v>
      </c>
      <c r="J7" s="217" t="str">
        <f>+'29'!J7</f>
        <v>TW 38 RC BR</v>
      </c>
      <c r="K7" s="240"/>
      <c r="L7" s="244"/>
      <c r="M7" s="121">
        <f>+K7+'29'!M7+L7</f>
        <v>78513</v>
      </c>
      <c r="P7" s="153">
        <f>+O7-(O7*0.12)</f>
        <v>0</v>
      </c>
      <c r="R7" s="153">
        <f>+O7*Q7</f>
        <v>0</v>
      </c>
      <c r="S7" s="153">
        <f>+P7*Q7</f>
        <v>0</v>
      </c>
    </row>
    <row r="8" spans="1:19" ht="13.5" thickBot="1">
      <c r="A8" s="790"/>
      <c r="B8" s="218"/>
      <c r="C8" s="219"/>
      <c r="D8" s="220"/>
      <c r="E8" s="222"/>
      <c r="F8" s="233">
        <v>10</v>
      </c>
      <c r="G8" s="234" t="s">
        <v>13</v>
      </c>
      <c r="H8" s="232" t="s">
        <v>394</v>
      </c>
      <c r="I8" s="793"/>
      <c r="J8" s="217" t="str">
        <f>+'29'!J8</f>
        <v>TW 36 RC BR</v>
      </c>
      <c r="K8" s="241"/>
      <c r="L8" s="241"/>
      <c r="M8" s="121">
        <f>+K8+'29'!M8+L8</f>
        <v>1530</v>
      </c>
    </row>
    <row r="9" spans="1:19" ht="13.5" thickBot="1">
      <c r="A9" s="790"/>
      <c r="B9" s="218"/>
      <c r="C9" s="219"/>
      <c r="D9" s="220"/>
      <c r="E9" s="223"/>
      <c r="F9" s="230">
        <v>7</v>
      </c>
      <c r="G9" s="234" t="s">
        <v>13</v>
      </c>
      <c r="H9" s="235" t="s">
        <v>226</v>
      </c>
      <c r="I9" s="793"/>
      <c r="J9" s="217" t="str">
        <f>+'29'!J9</f>
        <v>N 20 RC BR</v>
      </c>
      <c r="K9" s="241"/>
      <c r="L9" s="241"/>
      <c r="M9" s="121">
        <f>+K9+'29'!M9+L9</f>
        <v>74204</v>
      </c>
    </row>
    <row r="10" spans="1:19" ht="13.5" thickBot="1">
      <c r="A10" s="790"/>
      <c r="B10" s="218"/>
      <c r="C10" s="219"/>
      <c r="D10" s="220"/>
      <c r="E10" s="222"/>
      <c r="F10" s="230"/>
      <c r="G10" s="234"/>
      <c r="H10" s="235" t="s">
        <v>695</v>
      </c>
      <c r="I10" s="793"/>
      <c r="J10" s="217" t="str">
        <f>+'29'!J10</f>
        <v>TW 17 RC HW</v>
      </c>
      <c r="K10" s="241"/>
      <c r="L10" s="241"/>
      <c r="M10" s="121">
        <f>+K10+'29'!M10+L10</f>
        <v>99162</v>
      </c>
    </row>
    <row r="11" spans="1:19" ht="13.5" thickBot="1">
      <c r="A11" s="790"/>
      <c r="B11" s="218"/>
      <c r="C11" s="219"/>
      <c r="D11" s="220"/>
      <c r="E11" s="222"/>
      <c r="F11" s="230"/>
      <c r="G11" s="234"/>
      <c r="H11" s="235"/>
      <c r="I11" s="793"/>
      <c r="J11" s="217" t="str">
        <f>+'29'!J11</f>
        <v>N 15,5 RC HW</v>
      </c>
      <c r="K11" s="241"/>
      <c r="L11" s="241"/>
      <c r="M11" s="121">
        <f>+K11+'29'!M11+L11</f>
        <v>159490</v>
      </c>
    </row>
    <row r="12" spans="1:19" ht="13.5" thickBot="1">
      <c r="A12" s="790"/>
      <c r="B12" s="218"/>
      <c r="C12" s="219"/>
      <c r="D12" s="220"/>
      <c r="E12" s="222"/>
      <c r="F12" s="230"/>
      <c r="G12" s="234"/>
      <c r="H12" s="235"/>
      <c r="I12" s="793"/>
      <c r="J12" s="217" t="str">
        <f>+'29'!J12</f>
        <v>N 17 RC HW</v>
      </c>
      <c r="K12" s="241"/>
      <c r="L12" s="241"/>
      <c r="M12" s="121">
        <f>+K12+'29'!M12+L12</f>
        <v>6572</v>
      </c>
    </row>
    <row r="13" spans="1:19" ht="13.5" thickBot="1">
      <c r="A13" s="790"/>
      <c r="B13" s="218"/>
      <c r="C13" s="219"/>
      <c r="D13" s="219"/>
      <c r="E13" s="222"/>
      <c r="F13" s="230"/>
      <c r="G13" s="234"/>
      <c r="H13" s="235"/>
      <c r="I13" s="794"/>
      <c r="J13" s="217" t="str">
        <f>+'29'!J13</f>
        <v>N 16,5 RC HW</v>
      </c>
      <c r="K13" s="241"/>
      <c r="L13" s="241"/>
      <c r="M13" s="121">
        <f>+K13+'29'!M13+L13</f>
        <v>18880</v>
      </c>
    </row>
    <row r="14" spans="1:19" ht="13.5" thickBot="1">
      <c r="A14" s="791"/>
      <c r="B14" s="169" t="s">
        <v>3</v>
      </c>
      <c r="C14" s="103">
        <f>SUM(C7:C13)</f>
        <v>18108</v>
      </c>
      <c r="D14" s="115">
        <f>SUM(D7:D13)</f>
        <v>110</v>
      </c>
      <c r="E14" s="116">
        <f>SUM(E5:E13)</f>
        <v>0</v>
      </c>
      <c r="F14" s="120">
        <f>SUM(F7:F13)</f>
        <v>21</v>
      </c>
      <c r="G14" s="163"/>
      <c r="H14" s="170"/>
      <c r="I14" s="171"/>
      <c r="J14" s="217" t="str">
        <f>+'29'!J14</f>
        <v>N 20 RC HW</v>
      </c>
      <c r="K14" s="241"/>
      <c r="L14" s="241"/>
      <c r="M14" s="121">
        <f>+K14+'29'!M14+L14</f>
        <v>394199</v>
      </c>
      <c r="Q14" s="179">
        <f>SUM(Q6:Q11)</f>
        <v>480</v>
      </c>
      <c r="R14" s="179">
        <f>SUM(R6:R11)</f>
        <v>398400</v>
      </c>
      <c r="S14" s="179">
        <f>SUM(S6:S11)</f>
        <v>342624</v>
      </c>
    </row>
    <row r="15" spans="1:19" ht="13.5" customHeight="1" thickBot="1">
      <c r="A15" s="789" t="s">
        <v>486</v>
      </c>
      <c r="B15" s="169"/>
      <c r="C15" s="117">
        <f>C14/($C$23+$D$23+$E$23)</f>
        <v>1.0343882097566548</v>
      </c>
      <c r="D15" s="118">
        <f>D14/($C$23+$D$23+$E$23)</f>
        <v>6.28355992231235E-3</v>
      </c>
      <c r="E15" s="119">
        <f>E14/($C$23+$D$23+$E$23)</f>
        <v>0</v>
      </c>
      <c r="F15" s="230">
        <v>2</v>
      </c>
      <c r="G15" s="231" t="s">
        <v>13</v>
      </c>
      <c r="H15" s="232" t="s">
        <v>392</v>
      </c>
      <c r="I15" s="792" t="s">
        <v>553</v>
      </c>
      <c r="J15" s="217" t="str">
        <f>+'29'!J15</f>
        <v>N 18 RC HW</v>
      </c>
      <c r="K15" s="241"/>
      <c r="L15" s="241"/>
      <c r="M15" s="121">
        <f>+K15+'29'!M15+L15</f>
        <v>50657</v>
      </c>
      <c r="Q15" s="153">
        <f>480-Q14</f>
        <v>0</v>
      </c>
      <c r="R15" s="179">
        <f>+R14/Q14</f>
        <v>830</v>
      </c>
      <c r="S15" s="179">
        <f>+S14/Q14</f>
        <v>713.8</v>
      </c>
    </row>
    <row r="16" spans="1:19" ht="13.5" thickBot="1">
      <c r="A16" s="795"/>
      <c r="B16" s="218" t="s">
        <v>690</v>
      </c>
      <c r="C16" s="224">
        <v>5942</v>
      </c>
      <c r="D16" s="225">
        <v>87</v>
      </c>
      <c r="E16" s="226"/>
      <c r="F16" s="230">
        <v>6</v>
      </c>
      <c r="G16" s="234" t="s">
        <v>13</v>
      </c>
      <c r="H16" s="232" t="s">
        <v>454</v>
      </c>
      <c r="I16" s="793"/>
      <c r="J16" s="217" t="str">
        <f>+'29'!J16</f>
        <v>TW 17,5 RC HW</v>
      </c>
      <c r="K16" s="231"/>
      <c r="L16" s="231"/>
      <c r="M16" s="121">
        <f>+K16+'29'!M16+L16</f>
        <v>11537</v>
      </c>
    </row>
    <row r="17" spans="1:19" ht="13.5" thickBot="1">
      <c r="A17" s="795"/>
      <c r="B17" s="218" t="s">
        <v>706</v>
      </c>
      <c r="C17" s="219">
        <f>17419-C16</f>
        <v>11477</v>
      </c>
      <c r="D17" s="220"/>
      <c r="E17" s="227"/>
      <c r="F17" s="230">
        <v>7</v>
      </c>
      <c r="G17" s="234" t="s">
        <v>13</v>
      </c>
      <c r="H17" s="235" t="s">
        <v>226</v>
      </c>
      <c r="I17" s="793"/>
      <c r="J17" s="217" t="str">
        <f>+'29'!J17</f>
        <v>TW 22 RC HW</v>
      </c>
      <c r="K17" s="231"/>
      <c r="L17" s="231"/>
      <c r="M17" s="121">
        <f>+K17+'29'!M17+L17</f>
        <v>100201</v>
      </c>
      <c r="N17" s="153" t="s">
        <v>691</v>
      </c>
      <c r="O17" s="153">
        <v>830</v>
      </c>
      <c r="P17" s="153">
        <f>+O17-(O17*0.14)</f>
        <v>713.8</v>
      </c>
      <c r="Q17" s="153">
        <f>60*4</f>
        <v>240</v>
      </c>
      <c r="R17" s="153">
        <f>+O17*Q17</f>
        <v>199200</v>
      </c>
      <c r="S17" s="153">
        <f>+P17*Q17</f>
        <v>171312</v>
      </c>
    </row>
    <row r="18" spans="1:19" ht="13.5" thickBot="1">
      <c r="A18" s="795"/>
      <c r="B18" s="218"/>
      <c r="C18" s="219"/>
      <c r="D18" s="220"/>
      <c r="E18" s="227"/>
      <c r="F18" s="230"/>
      <c r="G18" s="234"/>
      <c r="H18" s="235" t="s">
        <v>693</v>
      </c>
      <c r="I18" s="793"/>
      <c r="J18" s="217" t="str">
        <f>+'29'!J18</f>
        <v>TW 31,5 RC HW</v>
      </c>
      <c r="K18" s="241"/>
      <c r="L18" s="241"/>
      <c r="M18" s="121">
        <f>+K18+'29'!M18+L18</f>
        <v>108399</v>
      </c>
      <c r="N18" s="153" t="s">
        <v>534</v>
      </c>
      <c r="O18" s="153">
        <v>830</v>
      </c>
      <c r="P18" s="153">
        <f>+O18-(O18*0.14)</f>
        <v>713.8</v>
      </c>
      <c r="Q18" s="153">
        <v>240</v>
      </c>
      <c r="R18" s="153">
        <f>+O18*Q18</f>
        <v>199200</v>
      </c>
      <c r="S18" s="153">
        <f>+P18*Q18</f>
        <v>171312</v>
      </c>
    </row>
    <row r="19" spans="1:19" ht="13.5" thickBot="1">
      <c r="A19" s="795"/>
      <c r="B19" s="218"/>
      <c r="C19" s="219"/>
      <c r="D19" s="220"/>
      <c r="E19" s="227"/>
      <c r="F19" s="237"/>
      <c r="G19" s="234"/>
      <c r="H19" s="235" t="s">
        <v>694</v>
      </c>
      <c r="I19" s="793"/>
      <c r="J19" s="217" t="str">
        <f>+'29'!J19</f>
        <v>TW 32 RC HW</v>
      </c>
      <c r="K19" s="241"/>
      <c r="L19" s="241"/>
      <c r="M19" s="121">
        <f>+K19+'29'!M19+L19</f>
        <v>12437</v>
      </c>
    </row>
    <row r="20" spans="1:19" ht="13.5" thickBot="1">
      <c r="A20" s="795"/>
      <c r="B20" s="218"/>
      <c r="C20" s="219"/>
      <c r="D20" s="220"/>
      <c r="E20" s="227"/>
      <c r="F20" s="230"/>
      <c r="G20" s="234"/>
      <c r="H20" s="235"/>
      <c r="I20" s="793"/>
      <c r="J20" s="217" t="str">
        <f>+'29'!J20</f>
        <v>TW 33,5 RC HW</v>
      </c>
      <c r="K20" s="242"/>
      <c r="L20" s="242"/>
      <c r="M20" s="121">
        <f>+K20+'29'!M20+L20</f>
        <v>9545</v>
      </c>
    </row>
    <row r="21" spans="1:19" ht="13.5" thickBot="1">
      <c r="A21" s="795"/>
      <c r="B21" s="218"/>
      <c r="C21" s="219"/>
      <c r="D21" s="220"/>
      <c r="E21" s="227"/>
      <c r="F21" s="233"/>
      <c r="G21" s="234"/>
      <c r="H21" s="235"/>
      <c r="I21" s="793"/>
      <c r="J21" s="217" t="str">
        <f>+'29'!J21</f>
        <v>TW 34 RC HW</v>
      </c>
      <c r="K21" s="241"/>
      <c r="L21" s="241"/>
      <c r="M21" s="121">
        <f>+K21+'29'!M21+L21</f>
        <v>155277</v>
      </c>
    </row>
    <row r="22" spans="1:19" ht="13.5" thickBot="1">
      <c r="A22" s="795"/>
      <c r="B22" s="218"/>
      <c r="C22" s="219"/>
      <c r="D22" s="220"/>
      <c r="E22" s="227"/>
      <c r="F22" s="238"/>
      <c r="G22" s="234"/>
      <c r="H22" s="235"/>
      <c r="I22" s="794"/>
      <c r="J22" s="217" t="str">
        <f>+'29'!J22</f>
        <v>TW 35,5 RC HW</v>
      </c>
      <c r="K22" s="241"/>
      <c r="L22" s="241"/>
      <c r="M22" s="121">
        <f>+K22+'29'!M22+L22</f>
        <v>98067</v>
      </c>
    </row>
    <row r="23" spans="1:19" ht="13.5" thickBot="1">
      <c r="A23" s="796"/>
      <c r="B23" s="169" t="s">
        <v>3</v>
      </c>
      <c r="C23" s="104">
        <f>SUM(C16:C22)</f>
        <v>17419</v>
      </c>
      <c r="D23" s="115">
        <f>SUM(D16:D22)</f>
        <v>87</v>
      </c>
      <c r="E23" s="116">
        <f>SUM(E18:E22)</f>
        <v>0</v>
      </c>
      <c r="F23" s="120">
        <f>SUM(F15:F22)</f>
        <v>15</v>
      </c>
      <c r="G23" s="163"/>
      <c r="H23" s="170"/>
      <c r="I23" s="172"/>
      <c r="J23" s="217" t="str">
        <f>+'29'!J23</f>
        <v>TW 36 RC HW</v>
      </c>
      <c r="K23" s="241"/>
      <c r="L23" s="241"/>
      <c r="M23" s="121">
        <f>+K23+'29'!M23+L23</f>
        <v>63613</v>
      </c>
    </row>
    <row r="24" spans="1:19" ht="13.5" customHeight="1" thickBot="1">
      <c r="A24" s="789" t="s">
        <v>413</v>
      </c>
      <c r="B24" s="173"/>
      <c r="C24" s="117">
        <f>C23/($C$23+$D$23+$E$23)</f>
        <v>0.9950302753341711</v>
      </c>
      <c r="D24" s="118">
        <f>D23/($C$23+$D$23+$E$23)</f>
        <v>4.9697246658288591E-3</v>
      </c>
      <c r="E24" s="119">
        <f>E23/($C$23+$D$23+$E$23)</f>
        <v>0</v>
      </c>
      <c r="F24" s="238"/>
      <c r="G24" s="231" t="s">
        <v>13</v>
      </c>
      <c r="H24" s="232" t="s">
        <v>395</v>
      </c>
      <c r="I24" s="792" t="s">
        <v>553</v>
      </c>
      <c r="J24" s="217" t="str">
        <f>+'29'!J24</f>
        <v>TW 38 RC HW</v>
      </c>
      <c r="K24" s="241"/>
      <c r="L24" s="241"/>
      <c r="M24" s="121">
        <f>+K24+'29'!M24+L24</f>
        <v>191503</v>
      </c>
    </row>
    <row r="25" spans="1:19" ht="13.5" thickBot="1">
      <c r="A25" s="795"/>
      <c r="B25" s="218" t="s">
        <v>706</v>
      </c>
      <c r="C25" s="228">
        <v>17034</v>
      </c>
      <c r="D25" s="220">
        <v>100</v>
      </c>
      <c r="E25" s="227"/>
      <c r="F25" s="233">
        <v>5</v>
      </c>
      <c r="G25" s="234" t="s">
        <v>13</v>
      </c>
      <c r="H25" s="232" t="s">
        <v>393</v>
      </c>
      <c r="I25" s="793"/>
      <c r="J25" s="217" t="str">
        <f>+'29'!J25</f>
        <v>N 16 RC BR</v>
      </c>
      <c r="K25" s="241">
        <f>+C7+C16</f>
        <v>24050</v>
      </c>
      <c r="L25" s="241"/>
      <c r="M25" s="121">
        <f>+K25+'29'!M25+L25</f>
        <v>54202</v>
      </c>
      <c r="Q25" s="179">
        <f>SUM(Q17:Q22)</f>
        <v>480</v>
      </c>
      <c r="R25" s="179">
        <f>SUM(R17:R22)</f>
        <v>398400</v>
      </c>
      <c r="S25" s="179">
        <f>SUM(S17:S22)</f>
        <v>342624</v>
      </c>
    </row>
    <row r="26" spans="1:19" ht="13.5" thickBot="1">
      <c r="A26" s="795"/>
      <c r="B26" s="218"/>
      <c r="C26" s="228"/>
      <c r="D26" s="220"/>
      <c r="E26" s="229"/>
      <c r="F26" s="233">
        <v>5</v>
      </c>
      <c r="G26" s="234" t="s">
        <v>13</v>
      </c>
      <c r="H26" s="235" t="s">
        <v>226</v>
      </c>
      <c r="I26" s="793"/>
      <c r="J26" s="217" t="s">
        <v>706</v>
      </c>
      <c r="K26" s="241">
        <f>+C17+C25</f>
        <v>28511</v>
      </c>
      <c r="L26" s="241"/>
      <c r="M26" s="121">
        <f>+K26+'29'!M26+L26</f>
        <v>28511</v>
      </c>
      <c r="Q26" s="153">
        <f>480-Q25</f>
        <v>0</v>
      </c>
      <c r="R26" s="179">
        <f>+R25/Q25</f>
        <v>830</v>
      </c>
      <c r="S26" s="179">
        <f>+S25/Q25</f>
        <v>713.8</v>
      </c>
    </row>
    <row r="27" spans="1:19" ht="13.5" thickBot="1">
      <c r="A27" s="795"/>
      <c r="B27" s="218"/>
      <c r="C27" s="219"/>
      <c r="D27" s="220"/>
      <c r="E27" s="227"/>
      <c r="F27" s="233"/>
      <c r="G27" s="234"/>
      <c r="H27" s="235" t="s">
        <v>696</v>
      </c>
      <c r="I27" s="793"/>
      <c r="J27" s="217">
        <f>+'29'!J27</f>
        <v>0</v>
      </c>
      <c r="K27" s="241"/>
      <c r="L27" s="241"/>
      <c r="M27" s="121">
        <f>+K27+'29'!M27+L27</f>
        <v>0</v>
      </c>
      <c r="N27" s="153" t="s">
        <v>534</v>
      </c>
      <c r="O27" s="153">
        <v>830</v>
      </c>
      <c r="P27" s="153">
        <f>+O27-(O27*0.14)</f>
        <v>713.8</v>
      </c>
      <c r="Q27" s="153">
        <v>480</v>
      </c>
      <c r="R27" s="153">
        <f>+O27*Q27</f>
        <v>398400</v>
      </c>
      <c r="S27" s="153">
        <f>+P27*Q27</f>
        <v>342624</v>
      </c>
    </row>
    <row r="28" spans="1:19" ht="13.5" thickBot="1">
      <c r="A28" s="795"/>
      <c r="B28" s="218"/>
      <c r="C28" s="219"/>
      <c r="D28" s="220"/>
      <c r="E28" s="227"/>
      <c r="F28" s="233"/>
      <c r="G28" s="234"/>
      <c r="H28" s="235"/>
      <c r="I28" s="793"/>
      <c r="J28" s="217">
        <f>+'29'!J28</f>
        <v>0</v>
      </c>
      <c r="K28" s="241"/>
      <c r="L28" s="241"/>
      <c r="M28" s="121">
        <f>+K28+'29'!M28+L28</f>
        <v>0</v>
      </c>
      <c r="P28" s="153">
        <f>+O28-(O28*0.12)</f>
        <v>0</v>
      </c>
      <c r="R28" s="153">
        <f>+O28*Q28</f>
        <v>0</v>
      </c>
      <c r="S28" s="153">
        <f>+P28*Q28</f>
        <v>0</v>
      </c>
    </row>
    <row r="29" spans="1:19" ht="13.5" thickBot="1">
      <c r="A29" s="795"/>
      <c r="B29" s="218"/>
      <c r="C29" s="219"/>
      <c r="D29" s="220"/>
      <c r="E29" s="227"/>
      <c r="F29" s="238"/>
      <c r="G29" s="234"/>
      <c r="H29" s="235"/>
      <c r="I29" s="793"/>
      <c r="J29" s="217">
        <f>+'29'!J29</f>
        <v>0</v>
      </c>
      <c r="K29" s="241"/>
      <c r="L29" s="241"/>
      <c r="M29" s="121">
        <f>+K29+'29'!M29+L29</f>
        <v>0</v>
      </c>
    </row>
    <row r="30" spans="1:19" ht="13.5" thickBot="1">
      <c r="A30" s="795"/>
      <c r="B30" s="218"/>
      <c r="C30" s="228"/>
      <c r="D30" s="220"/>
      <c r="E30" s="227"/>
      <c r="F30" s="238"/>
      <c r="G30" s="234"/>
      <c r="H30" s="235"/>
      <c r="I30" s="793"/>
      <c r="J30" s="217">
        <f>+'29'!J30</f>
        <v>0</v>
      </c>
      <c r="K30" s="241"/>
      <c r="L30" s="241"/>
      <c r="M30" s="121">
        <f>+K30+'29'!M30+L30</f>
        <v>0</v>
      </c>
    </row>
    <row r="31" spans="1:19" ht="13.5" thickBot="1">
      <c r="A31" s="795"/>
      <c r="B31" s="218"/>
      <c r="C31" s="228"/>
      <c r="D31" s="220"/>
      <c r="E31" s="227"/>
      <c r="F31" s="238"/>
      <c r="G31" s="239"/>
      <c r="H31" s="236"/>
      <c r="I31" s="794"/>
      <c r="J31" s="217">
        <f>+'29'!J31</f>
        <v>0</v>
      </c>
      <c r="K31" s="241"/>
      <c r="L31" s="241"/>
      <c r="M31" s="121">
        <f>+K31+'29'!M31+L31</f>
        <v>0</v>
      </c>
    </row>
    <row r="32" spans="1:19" ht="13.5" thickBot="1">
      <c r="A32" s="796"/>
      <c r="B32" s="169" t="s">
        <v>3</v>
      </c>
      <c r="C32" s="103">
        <f>SUM(C25:C31)</f>
        <v>17034</v>
      </c>
      <c r="D32" s="104">
        <f>SUM(D25:D31)</f>
        <v>100</v>
      </c>
      <c r="E32" s="105">
        <f>SUM(E25:E31)</f>
        <v>0</v>
      </c>
      <c r="F32" s="106">
        <f>SUM(F24:F31)</f>
        <v>10</v>
      </c>
      <c r="G32" s="174"/>
      <c r="H32" s="175"/>
      <c r="I32" s="172"/>
      <c r="J32" s="217">
        <f>+'29'!J32</f>
        <v>0</v>
      </c>
      <c r="K32" s="241"/>
      <c r="L32" s="245"/>
      <c r="M32" s="121">
        <f>+K32+'29'!M32+L32</f>
        <v>0</v>
      </c>
    </row>
    <row r="33" spans="1:19" ht="13.5" thickBot="1">
      <c r="A33" s="176"/>
      <c r="B33" s="177"/>
      <c r="C33" s="107">
        <f>C32/($C$32+$D$32+$E$32)</f>
        <v>0.99416365121979688</v>
      </c>
      <c r="D33" s="108">
        <f>D32/($C$32+$D$32+$E$32)</f>
        <v>5.8363487802031051E-3</v>
      </c>
      <c r="E33" s="109">
        <f>E32/($C$32+$D$32+$E$32)</f>
        <v>0</v>
      </c>
      <c r="F33" s="110"/>
      <c r="G33" s="178"/>
      <c r="H33" s="179"/>
      <c r="I33" s="180"/>
      <c r="J33" s="125"/>
      <c r="K33" s="126"/>
      <c r="L33" s="216"/>
      <c r="M33" s="123"/>
    </row>
    <row r="34" spans="1:19" ht="13.5" thickBot="1">
      <c r="A34" s="797" t="s">
        <v>60</v>
      </c>
      <c r="B34" s="798"/>
      <c r="C34" s="111">
        <f>C14+C23+C32</f>
        <v>52561</v>
      </c>
      <c r="D34" s="111">
        <f>D14+D23+D32</f>
        <v>297</v>
      </c>
      <c r="E34" s="111">
        <f>E14+E23+E32</f>
        <v>0</v>
      </c>
      <c r="F34" s="112">
        <f>F14+F23+F32</f>
        <v>46</v>
      </c>
      <c r="H34" s="181"/>
      <c r="I34" s="181"/>
      <c r="J34" s="127" t="s">
        <v>29</v>
      </c>
      <c r="K34" s="128">
        <f>SUM(K7:K32)</f>
        <v>52561</v>
      </c>
      <c r="L34" s="215">
        <f>SUM(L7:L32)</f>
        <v>0</v>
      </c>
      <c r="M34" s="124">
        <f>SUM(M7:M32)</f>
        <v>1716499</v>
      </c>
    </row>
    <row r="35" spans="1:19" ht="13.5" thickBot="1">
      <c r="A35" s="182"/>
      <c r="B35" s="183"/>
      <c r="C35" s="108">
        <f>C34/($C$34+$D$34+$E$34)</f>
        <v>0.99438117219720756</v>
      </c>
      <c r="D35" s="108">
        <f>D34/($C$34+$D$34+$E$34)</f>
        <v>5.6188278027923871E-3</v>
      </c>
      <c r="E35" s="113">
        <f>E34/($C$34+$D$34+$E$34)</f>
        <v>0</v>
      </c>
      <c r="K35" s="159"/>
      <c r="L35" s="788" t="s">
        <v>186</v>
      </c>
      <c r="M35" s="788"/>
      <c r="Q35" s="179">
        <f>SUM(Q27:Q32)</f>
        <v>480</v>
      </c>
      <c r="R35" s="179">
        <f>SUM(R27:R32)</f>
        <v>398400</v>
      </c>
      <c r="S35" s="179">
        <f>SUM(S27:S32)</f>
        <v>342624</v>
      </c>
    </row>
    <row r="36" spans="1:19" ht="13.5" thickBot="1">
      <c r="A36" s="181"/>
      <c r="B36" s="181"/>
      <c r="C36" s="159"/>
      <c r="D36" s="159"/>
      <c r="E36" s="159"/>
      <c r="G36" s="159"/>
      <c r="H36" s="184"/>
      <c r="I36" s="166" t="s">
        <v>42</v>
      </c>
      <c r="J36" s="166" t="s">
        <v>43</v>
      </c>
      <c r="K36" s="185"/>
      <c r="L36" s="166" t="s">
        <v>42</v>
      </c>
      <c r="M36" s="166" t="s">
        <v>43</v>
      </c>
      <c r="Q36" s="153">
        <f>480-Q35</f>
        <v>0</v>
      </c>
      <c r="R36" s="179">
        <f>+R35/Q35</f>
        <v>830</v>
      </c>
      <c r="S36" s="179">
        <f>+S35/Q35</f>
        <v>713.8</v>
      </c>
    </row>
    <row r="37" spans="1:19" ht="17.45" customHeight="1" thickBot="1">
      <c r="A37" s="801" t="s">
        <v>61</v>
      </c>
      <c r="B37" s="802"/>
      <c r="C37" s="166" t="s">
        <v>62</v>
      </c>
      <c r="D37" s="186" t="s">
        <v>63</v>
      </c>
      <c r="E37" s="187" t="s">
        <v>64</v>
      </c>
      <c r="F37" s="372"/>
      <c r="G37" s="374"/>
      <c r="H37" s="189" t="s">
        <v>65</v>
      </c>
      <c r="I37" s="246">
        <f>(16*720+16.5*720)/1440*G42*3.4*1440/1000000</f>
        <v>56.789927999999989</v>
      </c>
      <c r="J37" s="129">
        <f>+I37+'29'!J37</f>
        <v>1931.3129582756003</v>
      </c>
      <c r="K37" s="130" t="s">
        <v>66</v>
      </c>
      <c r="L37" s="437"/>
      <c r="M37" s="438"/>
      <c r="N37" s="153">
        <f>16.222+9.102</f>
        <v>25.324000000000002</v>
      </c>
    </row>
    <row r="38" spans="1:19" ht="17.45" customHeight="1">
      <c r="A38" s="803" t="s">
        <v>13</v>
      </c>
      <c r="B38" s="804"/>
      <c r="C38" s="168">
        <f>SUMIF($G$7:$G$31,"Process",$F$7:$F$31)</f>
        <v>46</v>
      </c>
      <c r="D38" s="122">
        <f>+C38+'29'!D38</f>
        <v>1234</v>
      </c>
      <c r="E38" s="147">
        <f t="shared" ref="E38:E51" si="0">D38/60</f>
        <v>20.566666666666666</v>
      </c>
      <c r="F38" s="372">
        <v>830</v>
      </c>
      <c r="G38" s="372">
        <v>713.8</v>
      </c>
      <c r="H38" s="190" t="s">
        <v>67</v>
      </c>
      <c r="I38" s="247">
        <f>16.222+17.509+17.158</f>
        <v>50.889000000000003</v>
      </c>
      <c r="J38" s="131">
        <f>+I38+'29'!J38</f>
        <v>1757.8119999999999</v>
      </c>
      <c r="K38" s="132" t="s">
        <v>66</v>
      </c>
      <c r="L38" s="439"/>
      <c r="M38" s="440"/>
      <c r="N38" s="159">
        <f>+I38-N37</f>
        <v>25.565000000000001</v>
      </c>
    </row>
    <row r="39" spans="1:19" ht="17.45" customHeight="1">
      <c r="A39" s="799" t="s">
        <v>14</v>
      </c>
      <c r="B39" s="800"/>
      <c r="C39" s="168">
        <f>SUMIF($G$7:$G$31,"Cleaning",$F$7:$F$31)</f>
        <v>0</v>
      </c>
      <c r="D39" s="122">
        <f>+C39+'29'!D39</f>
        <v>0</v>
      </c>
      <c r="E39" s="147">
        <f t="shared" si="0"/>
        <v>0</v>
      </c>
      <c r="F39" s="372">
        <v>830</v>
      </c>
      <c r="G39" s="372">
        <v>713.8</v>
      </c>
      <c r="H39" s="190" t="s">
        <v>68</v>
      </c>
      <c r="I39" s="146"/>
      <c r="J39" s="133">
        <f>J37/G4</f>
        <v>64.377098609186675</v>
      </c>
      <c r="K39" s="134" t="s">
        <v>66</v>
      </c>
      <c r="L39" s="439"/>
      <c r="M39" s="440"/>
      <c r="N39" s="153" t="s">
        <v>691</v>
      </c>
      <c r="O39" s="153">
        <v>830</v>
      </c>
      <c r="P39" s="153">
        <v>713.8</v>
      </c>
      <c r="Q39" s="153">
        <f>480+240</f>
        <v>720</v>
      </c>
    </row>
    <row r="40" spans="1:19" ht="17.45" customHeight="1">
      <c r="A40" s="799" t="s">
        <v>69</v>
      </c>
      <c r="B40" s="800"/>
      <c r="C40" s="168">
        <f>SUMIF($G$7:$G$31,"Mechanical",$F$7:$F$31)</f>
        <v>0</v>
      </c>
      <c r="D40" s="122">
        <f>+C40+'29'!D40</f>
        <v>765</v>
      </c>
      <c r="E40" s="147">
        <f t="shared" si="0"/>
        <v>12.75</v>
      </c>
      <c r="F40" s="372">
        <v>830</v>
      </c>
      <c r="G40" s="372">
        <v>713.8</v>
      </c>
      <c r="H40" s="190" t="s">
        <v>70</v>
      </c>
      <c r="I40" s="122">
        <f>(K34+L34)/1000</f>
        <v>52.561</v>
      </c>
      <c r="J40" s="135">
        <f>+I40+'29'!J40</f>
        <v>1716.4989999999996</v>
      </c>
      <c r="K40" s="134" t="s">
        <v>66</v>
      </c>
      <c r="L40" s="439"/>
      <c r="M40" s="440"/>
      <c r="N40" s="153" t="s">
        <v>534</v>
      </c>
      <c r="O40" s="153">
        <v>830</v>
      </c>
      <c r="P40" s="153">
        <v>713.8</v>
      </c>
      <c r="Q40" s="153">
        <f>480+240</f>
        <v>720</v>
      </c>
    </row>
    <row r="41" spans="1:19" ht="17.45" customHeight="1">
      <c r="A41" s="799" t="s">
        <v>71</v>
      </c>
      <c r="B41" s="800"/>
      <c r="C41" s="168">
        <f>SUMIF($G$7:$G$31,"Electrical",$F$7:$F$31)</f>
        <v>0</v>
      </c>
      <c r="D41" s="122">
        <f>+C41+'29'!D41</f>
        <v>315</v>
      </c>
      <c r="E41" s="147">
        <f t="shared" si="0"/>
        <v>5.25</v>
      </c>
      <c r="F41" s="372"/>
      <c r="G41" s="372"/>
      <c r="H41" s="190" t="s">
        <v>72</v>
      </c>
      <c r="I41" s="146"/>
      <c r="J41" s="133">
        <f>J40/G4</f>
        <v>57.21663333333332</v>
      </c>
      <c r="K41" s="134" t="s">
        <v>66</v>
      </c>
      <c r="L41" s="439"/>
      <c r="M41" s="440"/>
      <c r="Q41" s="153">
        <f>+Q39+Q40</f>
        <v>1440</v>
      </c>
    </row>
    <row r="42" spans="1:19" ht="17.45" customHeight="1">
      <c r="A42" s="799" t="s">
        <v>17</v>
      </c>
      <c r="B42" s="800"/>
      <c r="C42" s="168">
        <f>SUMIF($G$7:$G$31,"Instrument",$F$7:$F$31)</f>
        <v>0</v>
      </c>
      <c r="D42" s="122">
        <f>+C42+'29'!D42</f>
        <v>0</v>
      </c>
      <c r="E42" s="147">
        <f t="shared" si="0"/>
        <v>0</v>
      </c>
      <c r="F42" s="372">
        <f>+(F38*480+F39*480+F40*480)/1440</f>
        <v>830</v>
      </c>
      <c r="G42" s="372">
        <f>+(G38*480+G39*480+G40*480)/1440</f>
        <v>713.8</v>
      </c>
      <c r="H42" s="190" t="s">
        <v>73</v>
      </c>
      <c r="I42" s="248" t="s">
        <v>553</v>
      </c>
      <c r="J42" s="136"/>
      <c r="K42" s="134" t="s">
        <v>74</v>
      </c>
      <c r="L42" s="439"/>
      <c r="M42" s="440"/>
    </row>
    <row r="43" spans="1:19" ht="17.45" customHeight="1">
      <c r="A43" s="799" t="s">
        <v>75</v>
      </c>
      <c r="B43" s="800"/>
      <c r="C43" s="168">
        <f>SUMIF($G$7:$G$31,"Water",$F$7:$F$31)</f>
        <v>0</v>
      </c>
      <c r="D43" s="122">
        <f>+C43+'29'!D43</f>
        <v>5</v>
      </c>
      <c r="E43" s="147">
        <f t="shared" si="0"/>
        <v>8.3333333333333329E-2</v>
      </c>
      <c r="F43" s="372"/>
      <c r="G43" s="373"/>
      <c r="H43" s="191" t="s">
        <v>76</v>
      </c>
      <c r="I43" s="122">
        <f>+Report1!AH38</f>
        <v>105.28700000000001</v>
      </c>
      <c r="J43" s="137">
        <f>+I43+'29'!J43</f>
        <v>3464.3649999999989</v>
      </c>
      <c r="K43" s="134" t="s">
        <v>66</v>
      </c>
      <c r="L43" s="441">
        <f>+Report1!AN38</f>
        <v>13</v>
      </c>
      <c r="M43" s="442">
        <f>+L43+'29'!M43</f>
        <v>311.99175181394418</v>
      </c>
    </row>
    <row r="44" spans="1:19" ht="17.45" customHeight="1">
      <c r="A44" s="799" t="s">
        <v>18</v>
      </c>
      <c r="B44" s="800"/>
      <c r="C44" s="168">
        <f>SUMIF($G$7:$G$31,"PLN",$F$7:$F$31)</f>
        <v>0</v>
      </c>
      <c r="D44" s="122">
        <f>+C44+'29'!D44</f>
        <v>105</v>
      </c>
      <c r="E44" s="147">
        <f t="shared" si="0"/>
        <v>1.75</v>
      </c>
      <c r="F44" s="372"/>
      <c r="G44" s="373"/>
      <c r="H44" s="191" t="s">
        <v>77</v>
      </c>
      <c r="I44" s="122">
        <f>I43/I38</f>
        <v>2.0689539979170353</v>
      </c>
      <c r="J44" s="138">
        <f>J43/J38</f>
        <v>1.9708393161498494</v>
      </c>
      <c r="K44" s="134" t="s">
        <v>66</v>
      </c>
      <c r="L44" s="443">
        <f>+L43/I38</f>
        <v>0.25545795751537659</v>
      </c>
      <c r="M44" s="444">
        <f>+M43/J38</f>
        <v>0.17748869151760496</v>
      </c>
    </row>
    <row r="45" spans="1:19" ht="17.45" customHeight="1">
      <c r="A45" s="799" t="s">
        <v>19</v>
      </c>
      <c r="B45" s="800"/>
      <c r="C45" s="168">
        <f>SUMIF($G$7:$G$31,"Boiler",$F$7:$F$31)</f>
        <v>0</v>
      </c>
      <c r="D45" s="122">
        <f>+C45+'29'!D45</f>
        <v>0</v>
      </c>
      <c r="E45" s="147">
        <f t="shared" si="0"/>
        <v>0</v>
      </c>
      <c r="F45" s="372"/>
      <c r="G45" s="375"/>
      <c r="H45" s="191" t="s">
        <v>78</v>
      </c>
      <c r="I45" s="122">
        <f>I43/I40</f>
        <v>2.0031392096801812</v>
      </c>
      <c r="J45" s="138">
        <f>J43/J40</f>
        <v>2.0182738236375317</v>
      </c>
      <c r="K45" s="134" t="s">
        <v>66</v>
      </c>
      <c r="L45" s="443">
        <f>+L43/I40</f>
        <v>0.24733167177184603</v>
      </c>
      <c r="M45" s="444">
        <f>+M43/J40</f>
        <v>0.18176052057935616</v>
      </c>
    </row>
    <row r="46" spans="1:19" ht="17.45" customHeight="1">
      <c r="A46" s="799" t="s">
        <v>79</v>
      </c>
      <c r="B46" s="800"/>
      <c r="C46" s="168">
        <f>SUMIF($G$7:$G$31,"Gas",$F$7:$F$31)</f>
        <v>0</v>
      </c>
      <c r="D46" s="122">
        <f>+C46+'29'!D46</f>
        <v>0</v>
      </c>
      <c r="E46" s="147">
        <f t="shared" si="0"/>
        <v>0</v>
      </c>
      <c r="F46" s="372"/>
      <c r="G46" s="373"/>
      <c r="H46" s="191" t="s">
        <v>80</v>
      </c>
      <c r="I46" s="144">
        <f>+SUMIF(Listrik!AC37,"&gt;0")</f>
        <v>35159.899999999252</v>
      </c>
      <c r="J46" s="139">
        <f>+I46+'29'!J46</f>
        <v>1005502.4700000004</v>
      </c>
      <c r="K46" s="134" t="s">
        <v>81</v>
      </c>
      <c r="L46" s="443">
        <f>+Listrik!AF37</f>
        <v>24466</v>
      </c>
      <c r="M46" s="445">
        <f>+L46+'29'!M46</f>
        <v>228327.8</v>
      </c>
    </row>
    <row r="47" spans="1:19" ht="17.45" customHeight="1">
      <c r="A47" s="799" t="s">
        <v>82</v>
      </c>
      <c r="B47" s="800"/>
      <c r="C47" s="168">
        <f>SUMIF($G$7:$G$31,"Gas",$F$7:$F$31)</f>
        <v>0</v>
      </c>
      <c r="D47" s="122">
        <f>+C47+'29'!D47</f>
        <v>0</v>
      </c>
      <c r="E47" s="147">
        <f t="shared" si="0"/>
        <v>0</v>
      </c>
      <c r="F47" s="372"/>
      <c r="G47" s="373"/>
      <c r="H47" s="191" t="s">
        <v>83</v>
      </c>
      <c r="I47" s="122">
        <f>I46/I38</f>
        <v>690.91355695728453</v>
      </c>
      <c r="J47" s="139">
        <f>J46/J38</f>
        <v>572.01934564105864</v>
      </c>
      <c r="K47" s="134" t="s">
        <v>25</v>
      </c>
      <c r="L47" s="443">
        <f>+L46/I38</f>
        <v>480.77187604393873</v>
      </c>
      <c r="M47" s="444">
        <f>+M46/J38</f>
        <v>129.89318539183941</v>
      </c>
    </row>
    <row r="48" spans="1:19" ht="17.45" customHeight="1">
      <c r="A48" s="799" t="s">
        <v>15</v>
      </c>
      <c r="B48" s="800"/>
      <c r="C48" s="168">
        <f>SUMIF($G$7:$G$31,"Start Up",$F$7:$F$31)</f>
        <v>0</v>
      </c>
      <c r="D48" s="122">
        <f>+C48+'29'!D48</f>
        <v>0</v>
      </c>
      <c r="E48" s="147">
        <f t="shared" si="0"/>
        <v>0</v>
      </c>
      <c r="F48" s="372"/>
      <c r="G48" s="373"/>
      <c r="H48" s="191" t="s">
        <v>84</v>
      </c>
      <c r="I48" s="122">
        <f>I46/I40</f>
        <v>668.93514202544191</v>
      </c>
      <c r="J48" s="139">
        <f>J46/J40</f>
        <v>585.78680791541433</v>
      </c>
      <c r="K48" s="134" t="s">
        <v>25</v>
      </c>
      <c r="L48" s="443">
        <f>+L46/I38</f>
        <v>480.77187604393873</v>
      </c>
      <c r="M48" s="444">
        <f>+M46/J40</f>
        <v>133.01947743633991</v>
      </c>
    </row>
    <row r="49" spans="1:13" ht="17.45" customHeight="1">
      <c r="A49" s="799" t="s">
        <v>21</v>
      </c>
      <c r="B49" s="800"/>
      <c r="C49" s="168">
        <f>SUMIF($G$7:$G$31,"Others",$F$7:$F$31)</f>
        <v>0</v>
      </c>
      <c r="D49" s="122">
        <f>+C49+'29'!D49</f>
        <v>1500</v>
      </c>
      <c r="E49" s="147">
        <f t="shared" si="0"/>
        <v>25</v>
      </c>
      <c r="F49" s="188"/>
      <c r="H49" s="191" t="s">
        <v>85</v>
      </c>
      <c r="I49" s="122">
        <f>+Report1!AB38</f>
        <v>0</v>
      </c>
      <c r="J49" s="139">
        <f>+I49+'29'!J49</f>
        <v>0</v>
      </c>
      <c r="K49" s="134" t="s">
        <v>86</v>
      </c>
      <c r="L49" s="439"/>
      <c r="M49" s="440"/>
    </row>
    <row r="50" spans="1:13" ht="17.45" customHeight="1">
      <c r="A50" s="799" t="s">
        <v>20</v>
      </c>
      <c r="B50" s="800"/>
      <c r="C50" s="168">
        <f>SUMIF($G$7:$G$31,"Steam",$F$7:$F$31)</f>
        <v>0</v>
      </c>
      <c r="D50" s="122">
        <f>+C50+'29'!D50</f>
        <v>0</v>
      </c>
      <c r="E50" s="147">
        <f t="shared" si="0"/>
        <v>0</v>
      </c>
      <c r="F50" s="188"/>
      <c r="H50" s="191" t="s">
        <v>87</v>
      </c>
      <c r="I50" s="144">
        <f>I49/I38</f>
        <v>0</v>
      </c>
      <c r="J50" s="137">
        <f>J49/J38</f>
        <v>0</v>
      </c>
      <c r="K50" s="134" t="s">
        <v>86</v>
      </c>
      <c r="L50" s="439"/>
      <c r="M50" s="440"/>
    </row>
    <row r="51" spans="1:13" ht="17.45" customHeight="1" thickBot="1">
      <c r="A51" s="805" t="s">
        <v>88</v>
      </c>
      <c r="B51" s="806"/>
      <c r="C51" s="168">
        <f>SUMIF($G$7:$G$31,"Planned shut",$F$7:$F$31)</f>
        <v>0</v>
      </c>
      <c r="D51" s="122">
        <f>+C51+'29'!D51</f>
        <v>0</v>
      </c>
      <c r="E51" s="147">
        <f t="shared" si="0"/>
        <v>0</v>
      </c>
      <c r="F51" s="188"/>
      <c r="H51" s="193" t="s">
        <v>89</v>
      </c>
      <c r="I51" s="145">
        <f>I49/I40</f>
        <v>0</v>
      </c>
      <c r="J51" s="140">
        <f>J49/J40</f>
        <v>0</v>
      </c>
      <c r="K51" s="141" t="s">
        <v>86</v>
      </c>
      <c r="L51" s="439"/>
      <c r="M51" s="440"/>
    </row>
    <row r="52" spans="1:13" ht="13.5" thickBot="1">
      <c r="A52" s="803" t="s">
        <v>29</v>
      </c>
      <c r="B52" s="804"/>
      <c r="C52" s="148">
        <f>SUM(C38:C51)</f>
        <v>46</v>
      </c>
      <c r="D52" s="148">
        <f>SUM(D38:D51)</f>
        <v>3924</v>
      </c>
      <c r="E52" s="149">
        <f>SUM(E38:E51)</f>
        <v>65.400000000000006</v>
      </c>
      <c r="F52" s="188"/>
      <c r="H52" s="194"/>
      <c r="I52" s="195"/>
      <c r="J52" s="142"/>
      <c r="K52" s="143"/>
      <c r="L52" s="446"/>
      <c r="M52" s="447"/>
    </row>
    <row r="53" spans="1:13" ht="13.5" thickBot="1">
      <c r="A53" s="807"/>
      <c r="B53" s="808"/>
      <c r="C53" s="150">
        <f>C52/(24*60)</f>
        <v>3.1944444444444442E-2</v>
      </c>
      <c r="D53" s="150">
        <f>D52/(24*60*G4)</f>
        <v>9.0833333333333335E-2</v>
      </c>
      <c r="E53" s="151">
        <f>E52/(G4*24)</f>
        <v>9.0833333333333335E-2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90</v>
      </c>
      <c r="B56" s="198"/>
      <c r="C56" s="199"/>
      <c r="D56" s="199"/>
      <c r="E56" s="199"/>
      <c r="F56" s="200"/>
      <c r="G56" s="199"/>
      <c r="H56" s="201"/>
      <c r="I56" s="202" t="s">
        <v>91</v>
      </c>
      <c r="J56" s="203">
        <f>+D34+'29'!J56</f>
        <v>20793</v>
      </c>
      <c r="K56" s="204">
        <f>J56/(J40+J56/1000)/1000</f>
        <v>1.1968627035639378E-2</v>
      </c>
    </row>
    <row r="57" spans="1:13">
      <c r="A57" s="179"/>
      <c r="I57" s="202" t="s">
        <v>92</v>
      </c>
      <c r="J57" s="203">
        <f>+E34+'29'!J57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48:B48"/>
    <mergeCell ref="A49:B49"/>
    <mergeCell ref="A50:B50"/>
    <mergeCell ref="A51:B51"/>
    <mergeCell ref="A41:B41"/>
    <mergeCell ref="A52:B52"/>
    <mergeCell ref="A53:B53"/>
    <mergeCell ref="A42:B42"/>
    <mergeCell ref="A43:B43"/>
    <mergeCell ref="A44:B44"/>
    <mergeCell ref="A45:B45"/>
    <mergeCell ref="A46:B46"/>
    <mergeCell ref="A47:B47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1" type="noConversion"/>
  <printOptions horizontalCentered="1"/>
  <pageMargins left="0.15625" right="0.19513888888888889" top="0.39027777777777778" bottom="0.39027777777777778" header="0" footer="0"/>
  <pageSetup paperSize="9" scale="63" firstPageNumber="4294963191" orientation="landscape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pageSetUpPr fitToPage="1"/>
  </sheetPr>
  <dimension ref="A1:Y61"/>
  <sheetViews>
    <sheetView zoomScale="80" zoomScaleNormal="80" workbookViewId="0">
      <selection activeCell="A7" sqref="A7:B32"/>
    </sheetView>
  </sheetViews>
  <sheetFormatPr defaultColWidth="9.140625" defaultRowHeight="12.75"/>
  <cols>
    <col min="1" max="1" width="8" style="153" customWidth="1"/>
    <col min="2" max="2" width="10.42578125" style="153" customWidth="1"/>
    <col min="3" max="3" width="14.85546875" style="153" bestFit="1" customWidth="1"/>
    <col min="4" max="4" width="12.5703125" style="153" bestFit="1" customWidth="1"/>
    <col min="5" max="5" width="13.85546875" style="153" bestFit="1" customWidth="1"/>
    <col min="6" max="6" width="12.140625" style="114" bestFit="1" customWidth="1"/>
    <col min="7" max="7" width="11.42578125" style="153" bestFit="1" customWidth="1"/>
    <col min="8" max="8" width="64.85546875" style="153" customWidth="1"/>
    <col min="9" max="9" width="14.7109375" style="153" bestFit="1" customWidth="1"/>
    <col min="10" max="10" width="16.85546875" style="153" customWidth="1"/>
    <col min="11" max="11" width="12.5703125" style="153" bestFit="1" customWidth="1"/>
    <col min="12" max="12" width="8.28515625" style="153" customWidth="1"/>
    <col min="13" max="13" width="15.42578125" style="153" customWidth="1"/>
    <col min="14" max="16384" width="9.140625" style="153"/>
  </cols>
  <sheetData>
    <row r="1" spans="1:23" ht="15.75">
      <c r="A1" s="152"/>
    </row>
    <row r="2" spans="1:23" ht="15.75">
      <c r="A2" s="152" t="s">
        <v>175</v>
      </c>
    </row>
    <row r="3" spans="1:23" ht="15">
      <c r="A3" s="154"/>
    </row>
    <row r="4" spans="1:23" ht="20.25">
      <c r="A4" s="155" t="s">
        <v>4</v>
      </c>
      <c r="B4" s="156"/>
      <c r="F4" s="157" t="s">
        <v>31</v>
      </c>
      <c r="G4" s="158">
        <v>29</v>
      </c>
      <c r="H4" s="158" t="str">
        <f>+'1'!H4</f>
        <v>.12.25</v>
      </c>
    </row>
    <row r="5" spans="1:23" ht="13.5" thickBot="1">
      <c r="C5" s="159"/>
      <c r="D5" s="159"/>
    </row>
    <row r="6" spans="1:23" ht="26.25" thickBot="1">
      <c r="A6" s="160" t="s">
        <v>50</v>
      </c>
      <c r="B6" s="161" t="s">
        <v>10</v>
      </c>
      <c r="C6" s="161" t="s">
        <v>51</v>
      </c>
      <c r="D6" s="161" t="s">
        <v>52</v>
      </c>
      <c r="E6" s="162" t="s">
        <v>53</v>
      </c>
      <c r="F6" s="106" t="s">
        <v>54</v>
      </c>
      <c r="G6" s="161" t="s">
        <v>55</v>
      </c>
      <c r="H6" s="163" t="s">
        <v>56</v>
      </c>
      <c r="I6" s="164" t="s">
        <v>57</v>
      </c>
      <c r="J6" s="165" t="s">
        <v>10</v>
      </c>
      <c r="K6" s="166" t="s">
        <v>58</v>
      </c>
      <c r="L6" s="213" t="s">
        <v>143</v>
      </c>
      <c r="M6" s="167" t="s">
        <v>59</v>
      </c>
      <c r="N6" s="153">
        <f>430+469+357</f>
        <v>1256</v>
      </c>
    </row>
    <row r="7" spans="1:23" ht="13.5" customHeight="1" thickBot="1">
      <c r="A7" s="789" t="s">
        <v>414</v>
      </c>
      <c r="B7" s="218" t="s">
        <v>658</v>
      </c>
      <c r="C7" s="219">
        <v>19939</v>
      </c>
      <c r="D7" s="220">
        <v>706</v>
      </c>
      <c r="E7" s="221"/>
      <c r="F7" s="230">
        <v>3</v>
      </c>
      <c r="G7" s="231" t="s">
        <v>13</v>
      </c>
      <c r="H7" s="232" t="s">
        <v>392</v>
      </c>
      <c r="I7" s="792" t="s">
        <v>666</v>
      </c>
      <c r="J7" s="217" t="str">
        <f>+'28'!J7</f>
        <v>TW 38 RC BR</v>
      </c>
      <c r="K7" s="240"/>
      <c r="L7" s="244"/>
      <c r="M7" s="121">
        <f>+K7+'28'!M7+L7</f>
        <v>78513</v>
      </c>
    </row>
    <row r="8" spans="1:23" ht="13.5" thickBot="1">
      <c r="A8" s="790"/>
      <c r="B8" s="218"/>
      <c r="C8" s="219"/>
      <c r="D8" s="220"/>
      <c r="E8" s="222"/>
      <c r="F8" s="233">
        <v>4</v>
      </c>
      <c r="G8" s="234" t="s">
        <v>13</v>
      </c>
      <c r="H8" s="232" t="s">
        <v>454</v>
      </c>
      <c r="I8" s="793"/>
      <c r="J8" s="217" t="str">
        <f>+'28'!J8</f>
        <v>TW 36 RC BR</v>
      </c>
      <c r="K8" s="241"/>
      <c r="L8" s="241"/>
      <c r="M8" s="121">
        <f>+K8+'28'!M8+L8</f>
        <v>1530</v>
      </c>
      <c r="N8" s="153">
        <v>480</v>
      </c>
      <c r="O8" s="153">
        <f>+N8-N8*0.12</f>
        <v>422.4</v>
      </c>
      <c r="P8" s="153">
        <v>60</v>
      </c>
      <c r="Q8" s="153">
        <f>+N8*P8</f>
        <v>28800</v>
      </c>
      <c r="R8" s="153">
        <f>+O8*P8</f>
        <v>25344</v>
      </c>
    </row>
    <row r="9" spans="1:23" ht="13.5" thickBot="1">
      <c r="A9" s="790"/>
      <c r="B9" s="218"/>
      <c r="C9" s="219"/>
      <c r="D9" s="220"/>
      <c r="E9" s="223"/>
      <c r="F9" s="230">
        <v>3</v>
      </c>
      <c r="G9" s="234" t="s">
        <v>13</v>
      </c>
      <c r="H9" s="235" t="s">
        <v>226</v>
      </c>
      <c r="I9" s="793"/>
      <c r="J9" s="217" t="str">
        <f>+'28'!J9</f>
        <v>N 20 RC BR</v>
      </c>
      <c r="K9" s="241"/>
      <c r="L9" s="241"/>
      <c r="M9" s="121">
        <f>+K9+'28'!M9+L9</f>
        <v>74204</v>
      </c>
      <c r="N9" s="153">
        <v>830</v>
      </c>
      <c r="O9" s="153">
        <f>+N9-N9*0.14</f>
        <v>713.8</v>
      </c>
      <c r="P9" s="153">
        <f>480-P8-125</f>
        <v>295</v>
      </c>
      <c r="Q9" s="153">
        <f>+N9*P9</f>
        <v>244850</v>
      </c>
      <c r="R9" s="153">
        <f>+O9*P9</f>
        <v>210571</v>
      </c>
    </row>
    <row r="10" spans="1:23" ht="13.5" thickBot="1">
      <c r="A10" s="790"/>
      <c r="B10" s="218"/>
      <c r="C10" s="219"/>
      <c r="D10" s="220"/>
      <c r="E10" s="222"/>
      <c r="F10" s="230">
        <v>10</v>
      </c>
      <c r="G10" s="234" t="s">
        <v>13</v>
      </c>
      <c r="H10" s="235" t="s">
        <v>660</v>
      </c>
      <c r="I10" s="793"/>
      <c r="J10" s="217" t="str">
        <f>+'28'!J10</f>
        <v>TW 17 RC HW</v>
      </c>
      <c r="K10" s="241"/>
      <c r="L10" s="241"/>
      <c r="M10" s="121">
        <f>+K10+'28'!M10+L10</f>
        <v>99162</v>
      </c>
      <c r="P10" s="153">
        <f>SUM(P8:P9)</f>
        <v>355</v>
      </c>
      <c r="Q10" s="153">
        <f>SUM(Q8:Q9)</f>
        <v>273650</v>
      </c>
      <c r="R10" s="153">
        <f>SUM(R8:R9)</f>
        <v>235915</v>
      </c>
    </row>
    <row r="11" spans="1:23" ht="26.25" thickBot="1">
      <c r="A11" s="790"/>
      <c r="B11" s="218"/>
      <c r="C11" s="219"/>
      <c r="D11" s="220"/>
      <c r="E11" s="222" t="s">
        <v>565</v>
      </c>
      <c r="F11" s="230">
        <v>60</v>
      </c>
      <c r="G11" s="234" t="s">
        <v>21</v>
      </c>
      <c r="H11" s="235" t="s">
        <v>671</v>
      </c>
      <c r="I11" s="793"/>
      <c r="J11" s="217" t="str">
        <f>+'28'!J11</f>
        <v>N 15,5 RC HW</v>
      </c>
      <c r="K11" s="241"/>
      <c r="L11" s="241"/>
      <c r="M11" s="121">
        <f>+K11+'28'!M11+L11</f>
        <v>159490</v>
      </c>
      <c r="Q11" s="153">
        <f>+Q10/P10</f>
        <v>770.84507042253517</v>
      </c>
      <c r="R11" s="153">
        <f>+R10/P10</f>
        <v>664.54929577464793</v>
      </c>
    </row>
    <row r="12" spans="1:23" ht="13.5" thickBot="1">
      <c r="A12" s="790"/>
      <c r="B12" s="218"/>
      <c r="C12" s="219"/>
      <c r="D12" s="220"/>
      <c r="E12" s="222" t="s">
        <v>561</v>
      </c>
      <c r="F12" s="230">
        <v>65</v>
      </c>
      <c r="G12" s="234" t="s">
        <v>69</v>
      </c>
      <c r="H12" s="235" t="s">
        <v>664</v>
      </c>
      <c r="I12" s="793"/>
      <c r="J12" s="217" t="str">
        <f>+'28'!J12</f>
        <v>N 17 RC HW</v>
      </c>
      <c r="K12" s="241"/>
      <c r="L12" s="241"/>
      <c r="M12" s="121">
        <f>+K12+'28'!M12+L12</f>
        <v>6572</v>
      </c>
    </row>
    <row r="13" spans="1:23" ht="13.5" thickBot="1">
      <c r="A13" s="790"/>
      <c r="B13" s="218"/>
      <c r="C13" s="219"/>
      <c r="D13" s="219"/>
      <c r="E13" s="222" t="s">
        <v>561</v>
      </c>
      <c r="F13" s="230">
        <v>60</v>
      </c>
      <c r="G13" s="234" t="s">
        <v>13</v>
      </c>
      <c r="H13" s="235" t="s">
        <v>665</v>
      </c>
      <c r="I13" s="794"/>
      <c r="J13" s="217" t="str">
        <f>+'28'!J13</f>
        <v>N 16,5 RC HW</v>
      </c>
      <c r="K13" s="241"/>
      <c r="L13" s="241"/>
      <c r="M13" s="121">
        <f>+K13+'28'!M13+L13</f>
        <v>18880</v>
      </c>
    </row>
    <row r="14" spans="1:23" ht="13.5" thickBot="1">
      <c r="A14" s="791"/>
      <c r="B14" s="169" t="s">
        <v>3</v>
      </c>
      <c r="C14" s="103">
        <f>SUM(C7:C13)</f>
        <v>19939</v>
      </c>
      <c r="D14" s="115">
        <f>SUM(D7:D13)</f>
        <v>706</v>
      </c>
      <c r="E14" s="116">
        <f>SUM(E5:E13)</f>
        <v>0</v>
      </c>
      <c r="F14" s="106">
        <f>SUM(F6:F13)</f>
        <v>205</v>
      </c>
      <c r="G14" s="163"/>
      <c r="H14" s="170"/>
      <c r="I14" s="171"/>
      <c r="J14" s="217" t="str">
        <f>+'28'!J14</f>
        <v>N 20 RC HW</v>
      </c>
      <c r="K14" s="241"/>
      <c r="L14" s="241"/>
      <c r="M14" s="121">
        <f>+K14+'28'!M14+L14</f>
        <v>394199</v>
      </c>
    </row>
    <row r="15" spans="1:23" ht="13.5" customHeight="1" thickBot="1">
      <c r="A15" s="789" t="s">
        <v>486</v>
      </c>
      <c r="B15" s="169"/>
      <c r="C15" s="117">
        <f>C14/($C$23+$D$23+$E$23)</f>
        <v>1.3102247338677881</v>
      </c>
      <c r="D15" s="118">
        <f>D14/($C$23+$D$23+$E$23)</f>
        <v>4.6392430017085033E-2</v>
      </c>
      <c r="E15" s="119">
        <f>E14/($C$23+$D$23+$E$23)</f>
        <v>0</v>
      </c>
      <c r="F15" s="230"/>
      <c r="G15" s="231" t="s">
        <v>13</v>
      </c>
      <c r="H15" s="232" t="s">
        <v>395</v>
      </c>
      <c r="I15" s="792" t="s">
        <v>508</v>
      </c>
      <c r="J15" s="217" t="str">
        <f>+'28'!J15</f>
        <v>N 18 RC HW</v>
      </c>
      <c r="K15" s="241"/>
      <c r="L15" s="241"/>
      <c r="M15" s="121">
        <f>+K15+'28'!M15+L15</f>
        <v>50657</v>
      </c>
      <c r="N15" s="184" t="s">
        <v>94</v>
      </c>
      <c r="O15" s="604" t="s">
        <v>672</v>
      </c>
      <c r="P15" s="604" t="s">
        <v>672</v>
      </c>
      <c r="Q15" s="604" t="s">
        <v>673</v>
      </c>
      <c r="R15" s="604" t="s">
        <v>674</v>
      </c>
      <c r="S15" s="604" t="s">
        <v>675</v>
      </c>
      <c r="T15" s="604" t="s">
        <v>676</v>
      </c>
      <c r="U15" s="605" t="s">
        <v>677</v>
      </c>
      <c r="V15" s="604" t="s">
        <v>678</v>
      </c>
      <c r="W15" s="604" t="s">
        <v>679</v>
      </c>
    </row>
    <row r="16" spans="1:23" ht="13.5" thickBot="1">
      <c r="A16" s="795"/>
      <c r="B16" s="218" t="s">
        <v>690</v>
      </c>
      <c r="C16" s="224">
        <v>15130</v>
      </c>
      <c r="D16" s="225">
        <v>88</v>
      </c>
      <c r="E16" s="226"/>
      <c r="F16" s="233">
        <v>5</v>
      </c>
      <c r="G16" s="234" t="s">
        <v>13</v>
      </c>
      <c r="H16" s="232" t="s">
        <v>454</v>
      </c>
      <c r="I16" s="793"/>
      <c r="J16" s="217" t="str">
        <f>+'28'!J16</f>
        <v>TW 17,5 RC HW</v>
      </c>
      <c r="K16" s="241"/>
      <c r="L16" s="241"/>
      <c r="M16" s="121">
        <f>+K16+'28'!M16+L16</f>
        <v>11537</v>
      </c>
      <c r="N16" s="606">
        <v>16</v>
      </c>
      <c r="O16" s="202">
        <v>830</v>
      </c>
      <c r="P16" s="202">
        <v>830</v>
      </c>
      <c r="Q16" s="202">
        <v>713.8</v>
      </c>
      <c r="R16" s="607">
        <f>1-(Q16/P16)</f>
        <v>0.14000000000000001</v>
      </c>
      <c r="S16" s="608">
        <v>60</v>
      </c>
      <c r="T16" s="609">
        <f>40*8</f>
        <v>320</v>
      </c>
      <c r="U16" s="610">
        <f>(O16*(1-R16)*N16*T16*S16)/100000000</f>
        <v>2.1927935999999999</v>
      </c>
      <c r="V16" s="611">
        <f>+C23/1000</f>
        <v>15.13</v>
      </c>
      <c r="W16" s="612">
        <f>SUM(V16:V18)/SUM(U16:U18)</f>
        <v>3.4442774638899492</v>
      </c>
    </row>
    <row r="17" spans="1:25" ht="13.5" thickBot="1">
      <c r="A17" s="795"/>
      <c r="B17" s="218"/>
      <c r="C17" s="219"/>
      <c r="D17" s="220"/>
      <c r="E17" s="227"/>
      <c r="F17" s="230">
        <v>5</v>
      </c>
      <c r="G17" s="234" t="s">
        <v>13</v>
      </c>
      <c r="H17" s="235" t="s">
        <v>226</v>
      </c>
      <c r="I17" s="793"/>
      <c r="J17" s="217" t="str">
        <f>+'28'!J17</f>
        <v>TW 22 RC HW</v>
      </c>
      <c r="K17" s="241"/>
      <c r="L17" s="241"/>
      <c r="M17" s="121">
        <f>+K17+'28'!M17+L17</f>
        <v>100201</v>
      </c>
      <c r="U17" s="153">
        <v>2.2000000000000002</v>
      </c>
    </row>
    <row r="18" spans="1:25" ht="13.5" thickBot="1">
      <c r="A18" s="795"/>
      <c r="B18" s="218"/>
      <c r="C18" s="219"/>
      <c r="D18" s="220"/>
      <c r="E18" s="227"/>
      <c r="F18" s="230"/>
      <c r="G18" s="234"/>
      <c r="H18" s="235" t="s">
        <v>667</v>
      </c>
      <c r="I18" s="793"/>
      <c r="J18" s="217" t="str">
        <f>+'28'!J18</f>
        <v>TW 31,5 RC HW</v>
      </c>
      <c r="K18" s="241"/>
      <c r="L18" s="241"/>
      <c r="M18" s="121">
        <f>+K18+'28'!M18+L18</f>
        <v>108399</v>
      </c>
    </row>
    <row r="19" spans="1:25" ht="13.5" thickBot="1">
      <c r="A19" s="795"/>
      <c r="B19" s="218"/>
      <c r="C19" s="219"/>
      <c r="D19" s="220"/>
      <c r="E19" s="227"/>
      <c r="F19" s="237"/>
      <c r="G19" s="234"/>
      <c r="H19" s="235"/>
      <c r="I19" s="793"/>
      <c r="J19" s="217" t="str">
        <f>+'28'!J19</f>
        <v>TW 32 RC HW</v>
      </c>
      <c r="K19" s="241"/>
      <c r="L19" s="241"/>
      <c r="M19" s="121">
        <f>+K19+'28'!M19+L19</f>
        <v>12437</v>
      </c>
    </row>
    <row r="20" spans="1:25" ht="13.5" thickBot="1">
      <c r="A20" s="795"/>
      <c r="B20" s="218"/>
      <c r="C20" s="219"/>
      <c r="D20" s="220"/>
      <c r="E20" s="227"/>
      <c r="F20" s="230"/>
      <c r="G20" s="234"/>
      <c r="H20" s="235"/>
      <c r="I20" s="793"/>
      <c r="J20" s="217" t="str">
        <f>+'28'!J20</f>
        <v>TW 33,5 RC HW</v>
      </c>
      <c r="K20" s="241"/>
      <c r="L20" s="241"/>
      <c r="M20" s="121">
        <f>+K20+'28'!M20+L20</f>
        <v>9545</v>
      </c>
      <c r="X20" s="153">
        <f>+U20*W20</f>
        <v>0</v>
      </c>
      <c r="Y20" s="153">
        <f>+V20*W20</f>
        <v>0</v>
      </c>
    </row>
    <row r="21" spans="1:25" ht="13.5" thickBot="1">
      <c r="A21" s="795"/>
      <c r="B21" s="218"/>
      <c r="C21" s="219"/>
      <c r="D21" s="220"/>
      <c r="E21" s="227"/>
      <c r="F21" s="233"/>
      <c r="G21" s="234"/>
      <c r="H21" s="235"/>
      <c r="I21" s="793"/>
      <c r="J21" s="217" t="str">
        <f>+'28'!J21</f>
        <v>TW 34 RC HW</v>
      </c>
      <c r="K21" s="241"/>
      <c r="L21" s="241"/>
      <c r="M21" s="121">
        <f>+K21+'28'!M21+L21</f>
        <v>155277</v>
      </c>
      <c r="X21" s="153">
        <f>+U21*W21</f>
        <v>0</v>
      </c>
      <c r="Y21" s="153">
        <f>+V21*W21</f>
        <v>0</v>
      </c>
    </row>
    <row r="22" spans="1:25" ht="13.5" thickBot="1">
      <c r="A22" s="795"/>
      <c r="B22" s="218"/>
      <c r="C22" s="219"/>
      <c r="D22" s="220"/>
      <c r="E22" s="227"/>
      <c r="F22" s="238"/>
      <c r="G22" s="234"/>
      <c r="H22" s="235"/>
      <c r="I22" s="794"/>
      <c r="J22" s="217" t="str">
        <f>+'28'!J22</f>
        <v>TW 35,5 RC HW</v>
      </c>
      <c r="K22" s="241"/>
      <c r="L22" s="241"/>
      <c r="M22" s="121">
        <f>+K22+'28'!M22+L22</f>
        <v>98067</v>
      </c>
      <c r="X22" s="153">
        <f>+U22*W22</f>
        <v>0</v>
      </c>
      <c r="Y22" s="153">
        <f>+V22*W22</f>
        <v>0</v>
      </c>
    </row>
    <row r="23" spans="1:25" ht="13.5" thickBot="1">
      <c r="A23" s="796"/>
      <c r="B23" s="169" t="s">
        <v>3</v>
      </c>
      <c r="C23" s="104">
        <f>SUM(C16:C22)</f>
        <v>15130</v>
      </c>
      <c r="D23" s="115">
        <f>SUM(D16:D22)</f>
        <v>88</v>
      </c>
      <c r="E23" s="116">
        <f>SUM(E18:E22)</f>
        <v>0</v>
      </c>
      <c r="F23" s="106">
        <f>SUM(F15:F22)</f>
        <v>10</v>
      </c>
      <c r="G23" s="163"/>
      <c r="H23" s="170"/>
      <c r="I23" s="172"/>
      <c r="J23" s="217" t="str">
        <f>+'28'!J23</f>
        <v>TW 36 RC HW</v>
      </c>
      <c r="K23" s="241"/>
      <c r="L23" s="241"/>
      <c r="M23" s="121">
        <f>+K23+'28'!M23+L23</f>
        <v>63613</v>
      </c>
      <c r="X23" s="153">
        <f>SUM(X20:X22)</f>
        <v>0</v>
      </c>
      <c r="Y23" s="153">
        <f>SUM(Y20:Y22)</f>
        <v>0</v>
      </c>
    </row>
    <row r="24" spans="1:25" ht="13.5" customHeight="1" thickBot="1">
      <c r="A24" s="789" t="s">
        <v>413</v>
      </c>
      <c r="B24" s="173"/>
      <c r="C24" s="117">
        <f>C23/($C$23+$D$23+$E$23)</f>
        <v>0.99421737416217637</v>
      </c>
      <c r="D24" s="118">
        <f>D23/($C$23+$D$23+$E$23)</f>
        <v>5.7826258378236295E-3</v>
      </c>
      <c r="E24" s="119">
        <f>E23/($C$23+$D$23+$E$23)</f>
        <v>0</v>
      </c>
      <c r="F24" s="230"/>
      <c r="G24" s="231" t="s">
        <v>13</v>
      </c>
      <c r="H24" s="232" t="s">
        <v>395</v>
      </c>
      <c r="I24" s="792" t="s">
        <v>508</v>
      </c>
      <c r="J24" s="217" t="str">
        <f>+'28'!J24</f>
        <v>TW 38 RC HW</v>
      </c>
      <c r="K24" s="241">
        <f>+C7</f>
        <v>19939</v>
      </c>
      <c r="L24" s="241"/>
      <c r="M24" s="121">
        <f>+K24+'28'!M24+L24</f>
        <v>191503</v>
      </c>
      <c r="X24" s="153" t="e">
        <f>+X23/W23</f>
        <v>#DIV/0!</v>
      </c>
      <c r="Y24" s="153" t="e">
        <f>+Y23/W23</f>
        <v>#DIV/0!</v>
      </c>
    </row>
    <row r="25" spans="1:25" ht="13.5" thickBot="1">
      <c r="A25" s="795"/>
      <c r="B25" s="218" t="s">
        <v>690</v>
      </c>
      <c r="C25" s="228">
        <v>15022</v>
      </c>
      <c r="D25" s="220">
        <v>100</v>
      </c>
      <c r="E25" s="227"/>
      <c r="F25" s="233">
        <v>5</v>
      </c>
      <c r="G25" s="234" t="s">
        <v>13</v>
      </c>
      <c r="H25" s="232" t="s">
        <v>454</v>
      </c>
      <c r="I25" s="793"/>
      <c r="J25" s="217" t="s">
        <v>690</v>
      </c>
      <c r="K25" s="241">
        <f>+C16+C25</f>
        <v>30152</v>
      </c>
      <c r="L25" s="241"/>
      <c r="M25" s="121">
        <f>+K25+'28'!M25+L25</f>
        <v>30152</v>
      </c>
    </row>
    <row r="26" spans="1:25" ht="13.5" thickBot="1">
      <c r="A26" s="795"/>
      <c r="B26" s="218"/>
      <c r="C26" s="228"/>
      <c r="D26" s="220"/>
      <c r="E26" s="229"/>
      <c r="F26" s="230">
        <v>10</v>
      </c>
      <c r="G26" s="234" t="s">
        <v>13</v>
      </c>
      <c r="H26" s="235" t="s">
        <v>226</v>
      </c>
      <c r="I26" s="793"/>
      <c r="J26" s="217">
        <f>+'28'!J26</f>
        <v>0</v>
      </c>
      <c r="K26" s="241"/>
      <c r="L26" s="241"/>
      <c r="M26" s="121">
        <f>+K26+'28'!M26+L26</f>
        <v>0</v>
      </c>
    </row>
    <row r="27" spans="1:25" ht="13.5" thickBot="1">
      <c r="A27" s="795"/>
      <c r="B27" s="218"/>
      <c r="C27" s="219"/>
      <c r="D27" s="220"/>
      <c r="E27" s="227"/>
      <c r="F27" s="230"/>
      <c r="G27" s="234"/>
      <c r="H27" s="235" t="s">
        <v>667</v>
      </c>
      <c r="I27" s="793"/>
      <c r="J27" s="217">
        <f>+'28'!J27</f>
        <v>0</v>
      </c>
      <c r="K27" s="241"/>
      <c r="L27" s="241"/>
      <c r="M27" s="121">
        <f>+K27+'28'!M27+L27</f>
        <v>0</v>
      </c>
    </row>
    <row r="28" spans="1:25" ht="13.5" thickBot="1">
      <c r="A28" s="795"/>
      <c r="B28" s="218"/>
      <c r="C28" s="219"/>
      <c r="D28" s="220"/>
      <c r="E28" s="227"/>
      <c r="F28" s="233"/>
      <c r="G28" s="234"/>
      <c r="H28" s="235"/>
      <c r="I28" s="793"/>
      <c r="J28" s="217">
        <f>+'28'!J28</f>
        <v>0</v>
      </c>
      <c r="K28" s="241"/>
      <c r="L28" s="241"/>
      <c r="M28" s="121">
        <f>+K28+'28'!M28+L28</f>
        <v>0</v>
      </c>
    </row>
    <row r="29" spans="1:25" ht="13.5" thickBot="1">
      <c r="A29" s="795"/>
      <c r="B29" s="218"/>
      <c r="C29" s="219"/>
      <c r="D29" s="220"/>
      <c r="E29" s="227"/>
      <c r="F29" s="238"/>
      <c r="G29" s="234"/>
      <c r="H29" s="235"/>
      <c r="I29" s="793"/>
      <c r="J29" s="217">
        <f>+'28'!J29</f>
        <v>0</v>
      </c>
      <c r="K29" s="241"/>
      <c r="L29" s="241"/>
      <c r="M29" s="121">
        <f>+K29+'28'!M29+L29</f>
        <v>0</v>
      </c>
    </row>
    <row r="30" spans="1:25" ht="13.5" thickBot="1">
      <c r="A30" s="795"/>
      <c r="B30" s="218"/>
      <c r="C30" s="228"/>
      <c r="D30" s="220"/>
      <c r="E30" s="227"/>
      <c r="F30" s="238"/>
      <c r="G30" s="234"/>
      <c r="H30" s="235"/>
      <c r="I30" s="793"/>
      <c r="J30" s="217">
        <f>+'28'!J30</f>
        <v>0</v>
      </c>
      <c r="K30" s="241"/>
      <c r="L30" s="241"/>
      <c r="M30" s="121">
        <f>+K30+'28'!M30+L30</f>
        <v>0</v>
      </c>
      <c r="N30" s="159"/>
    </row>
    <row r="31" spans="1:25" ht="13.5" thickBot="1">
      <c r="A31" s="795"/>
      <c r="B31" s="218"/>
      <c r="C31" s="228"/>
      <c r="D31" s="220"/>
      <c r="E31" s="227"/>
      <c r="F31" s="238"/>
      <c r="G31" s="239"/>
      <c r="H31" s="236"/>
      <c r="I31" s="794"/>
      <c r="J31" s="217">
        <f>+'28'!J31</f>
        <v>0</v>
      </c>
      <c r="K31" s="241"/>
      <c r="L31" s="241"/>
      <c r="M31" s="121">
        <f>+K31+'28'!M31+L31</f>
        <v>0</v>
      </c>
    </row>
    <row r="32" spans="1:25" ht="13.5" thickBot="1">
      <c r="A32" s="796"/>
      <c r="B32" s="169" t="s">
        <v>3</v>
      </c>
      <c r="C32" s="103">
        <f>SUM(C25:C31)</f>
        <v>15022</v>
      </c>
      <c r="D32" s="104">
        <f>SUM(D25:D31)</f>
        <v>100</v>
      </c>
      <c r="E32" s="105">
        <f>SUM(E25:E31)</f>
        <v>0</v>
      </c>
      <c r="F32" s="106">
        <f>SUM(F24:F31)</f>
        <v>15</v>
      </c>
      <c r="G32" s="174"/>
      <c r="H32" s="175"/>
      <c r="I32" s="172"/>
      <c r="J32" s="217">
        <f>+'28'!J32</f>
        <v>0</v>
      </c>
      <c r="K32" s="241"/>
      <c r="L32" s="245"/>
      <c r="M32" s="121">
        <f>+K32+'28'!M32+L32</f>
        <v>0</v>
      </c>
    </row>
    <row r="33" spans="1:14" ht="13.5" thickBot="1">
      <c r="A33" s="176"/>
      <c r="B33" s="177"/>
      <c r="C33" s="107">
        <f>C32/($C$32+$D$32+$E$32)</f>
        <v>0.99338711810607061</v>
      </c>
      <c r="D33" s="108">
        <f>D32/($C$32+$D$32+$E$32)</f>
        <v>6.6128818939293742E-3</v>
      </c>
      <c r="E33" s="109">
        <f>E32/($C$32+$D$32+$E$32)</f>
        <v>0</v>
      </c>
      <c r="F33" s="110"/>
      <c r="G33" s="178"/>
      <c r="H33" s="179"/>
      <c r="I33" s="180"/>
      <c r="J33" s="125"/>
      <c r="K33" s="126"/>
      <c r="L33" s="216"/>
      <c r="M33" s="123"/>
    </row>
    <row r="34" spans="1:14" ht="13.5" thickBot="1">
      <c r="A34" s="797" t="s">
        <v>60</v>
      </c>
      <c r="B34" s="798"/>
      <c r="C34" s="111">
        <f>C14+C23+C32</f>
        <v>50091</v>
      </c>
      <c r="D34" s="111">
        <f>D14+D23+D32</f>
        <v>894</v>
      </c>
      <c r="E34" s="111">
        <f>E14+E23+E32</f>
        <v>0</v>
      </c>
      <c r="F34" s="112">
        <f>F14+F23+F32</f>
        <v>230</v>
      </c>
      <c r="H34" s="181"/>
      <c r="I34" s="181"/>
      <c r="J34" s="127" t="s">
        <v>29</v>
      </c>
      <c r="K34" s="128">
        <f>SUM(K7:K32)</f>
        <v>50091</v>
      </c>
      <c r="L34" s="215">
        <f>SUM(L7:L32)</f>
        <v>0</v>
      </c>
      <c r="M34" s="124">
        <f>SUM(M7:M32)</f>
        <v>1663938</v>
      </c>
      <c r="N34" s="159"/>
    </row>
    <row r="35" spans="1:14" ht="13.5" thickBot="1">
      <c r="A35" s="182"/>
      <c r="B35" s="183"/>
      <c r="C35" s="108">
        <f>C34/($C$34+$D$34+$E$34)</f>
        <v>0.98246543100912032</v>
      </c>
      <c r="D35" s="108">
        <f>D34/($C$34+$D$34+$E$34)</f>
        <v>1.753456899087967E-2</v>
      </c>
      <c r="E35" s="113">
        <f>E34/($C$34+$D$34+$E$34)</f>
        <v>0</v>
      </c>
      <c r="K35" s="159"/>
      <c r="L35" s="788" t="s">
        <v>186</v>
      </c>
      <c r="M35" s="788"/>
    </row>
    <row r="36" spans="1:14" ht="13.5" thickBot="1">
      <c r="A36" s="181"/>
      <c r="B36" s="181"/>
      <c r="C36" s="159"/>
      <c r="D36" s="159"/>
      <c r="E36" s="159"/>
      <c r="G36" s="159"/>
      <c r="H36" s="184"/>
      <c r="I36" s="166" t="s">
        <v>42</v>
      </c>
      <c r="J36" s="166" t="s">
        <v>43</v>
      </c>
      <c r="K36" s="185"/>
      <c r="L36" s="166" t="s">
        <v>42</v>
      </c>
      <c r="M36" s="166" t="s">
        <v>43</v>
      </c>
    </row>
    <row r="37" spans="1:14" ht="17.45" customHeight="1" thickBot="1">
      <c r="A37" s="801" t="s">
        <v>61</v>
      </c>
      <c r="B37" s="802"/>
      <c r="C37" s="166" t="s">
        <v>62</v>
      </c>
      <c r="D37" s="186" t="s">
        <v>63</v>
      </c>
      <c r="E37" s="187" t="s">
        <v>64</v>
      </c>
      <c r="F37" s="372"/>
      <c r="G37" s="374"/>
      <c r="H37" s="189" t="s">
        <v>65</v>
      </c>
      <c r="I37" s="246">
        <f>(38*60+16*1255)/1315*G42*3.4*1315/1000000</f>
        <v>53.255129971102654</v>
      </c>
      <c r="J37" s="129">
        <f>+I37+'28'!J37</f>
        <v>1874.5230302756004</v>
      </c>
      <c r="K37" s="130" t="s">
        <v>66</v>
      </c>
      <c r="L37" s="437"/>
      <c r="M37" s="438"/>
      <c r="N37" s="153">
        <f>3.021*3</f>
        <v>9.0629999999999988</v>
      </c>
    </row>
    <row r="38" spans="1:14" ht="17.45" customHeight="1">
      <c r="A38" s="803" t="s">
        <v>13</v>
      </c>
      <c r="B38" s="804"/>
      <c r="C38" s="168">
        <f>SUMIF($G$7:$G$31,"Process",$F$7:$F$31)</f>
        <v>105</v>
      </c>
      <c r="D38" s="122">
        <f>+C38+'28'!D38</f>
        <v>1188</v>
      </c>
      <c r="E38" s="147">
        <f t="shared" ref="E38:E51" si="0">D38/60</f>
        <v>19.8</v>
      </c>
      <c r="F38" s="372">
        <v>770.84507042253517</v>
      </c>
      <c r="G38" s="372">
        <v>664.54929577464793</v>
      </c>
      <c r="H38" s="190" t="s">
        <v>67</v>
      </c>
      <c r="I38" s="559">
        <f>16.877+17.938+16.922</f>
        <v>51.736999999999995</v>
      </c>
      <c r="J38" s="131">
        <f>+I38+'28'!J38</f>
        <v>1706.923</v>
      </c>
      <c r="K38" s="132" t="s">
        <v>66</v>
      </c>
      <c r="L38" s="439"/>
      <c r="M38" s="440"/>
      <c r="N38" s="560">
        <f>+I38-N37</f>
        <v>42.673999999999992</v>
      </c>
    </row>
    <row r="39" spans="1:14" ht="17.45" customHeight="1">
      <c r="A39" s="799" t="s">
        <v>14</v>
      </c>
      <c r="B39" s="800"/>
      <c r="C39" s="168">
        <f>SUMIF($G$7:$G$31,"Cleaning",$F$7:$F$31)</f>
        <v>0</v>
      </c>
      <c r="D39" s="122">
        <f>+C39+'28'!D39</f>
        <v>0</v>
      </c>
      <c r="E39" s="147">
        <f t="shared" si="0"/>
        <v>0</v>
      </c>
      <c r="F39" s="372">
        <v>830</v>
      </c>
      <c r="G39" s="372">
        <f>+F39-F39*0.14</f>
        <v>713.8</v>
      </c>
      <c r="H39" s="190" t="s">
        <v>68</v>
      </c>
      <c r="I39" s="146"/>
      <c r="J39" s="133">
        <f>J37/G4</f>
        <v>64.638725181917252</v>
      </c>
      <c r="K39" s="134" t="s">
        <v>66</v>
      </c>
      <c r="L39" s="439"/>
      <c r="M39" s="440"/>
    </row>
    <row r="40" spans="1:14" ht="17.45" customHeight="1">
      <c r="A40" s="799" t="s">
        <v>69</v>
      </c>
      <c r="B40" s="800"/>
      <c r="C40" s="168">
        <f>SUMIF($G$7:$G$31,"Mechanical",$F$7:$F$31)</f>
        <v>65</v>
      </c>
      <c r="D40" s="122">
        <f>+C40+'28'!D40</f>
        <v>765</v>
      </c>
      <c r="E40" s="147">
        <f t="shared" si="0"/>
        <v>12.75</v>
      </c>
      <c r="F40" s="372">
        <v>830</v>
      </c>
      <c r="G40" s="372">
        <f>+F40-F40*0.14</f>
        <v>713.8</v>
      </c>
      <c r="H40" s="190" t="s">
        <v>70</v>
      </c>
      <c r="I40" s="122">
        <f>(K34+L34)/1000</f>
        <v>50.091000000000001</v>
      </c>
      <c r="J40" s="135">
        <f>+I40+'28'!J40</f>
        <v>1663.9379999999996</v>
      </c>
      <c r="K40" s="134" t="s">
        <v>66</v>
      </c>
      <c r="L40" s="439"/>
      <c r="M40" s="440"/>
    </row>
    <row r="41" spans="1:14" ht="17.45" customHeight="1">
      <c r="A41" s="799" t="s">
        <v>71</v>
      </c>
      <c r="B41" s="800"/>
      <c r="C41" s="168">
        <f>SUMIF($G$7:$G$31,"Electrical",$F$7:$F$31)</f>
        <v>0</v>
      </c>
      <c r="D41" s="122">
        <f>+C41+'28'!D41</f>
        <v>315</v>
      </c>
      <c r="E41" s="147">
        <f t="shared" si="0"/>
        <v>5.25</v>
      </c>
      <c r="F41" s="372"/>
      <c r="G41" s="372"/>
      <c r="H41" s="190" t="s">
        <v>72</v>
      </c>
      <c r="I41" s="146"/>
      <c r="J41" s="133">
        <f>J40/G4</f>
        <v>57.37717241379309</v>
      </c>
      <c r="K41" s="134" t="s">
        <v>66</v>
      </c>
      <c r="L41" s="439"/>
      <c r="M41" s="440"/>
    </row>
    <row r="42" spans="1:14" ht="17.45" customHeight="1">
      <c r="A42" s="799" t="s">
        <v>17</v>
      </c>
      <c r="B42" s="800"/>
      <c r="C42" s="168">
        <f>SUMIF($G$7:$G$31,"Instrument",$F$7:$F$31)</f>
        <v>0</v>
      </c>
      <c r="D42" s="122">
        <f>+C42+'28'!D42</f>
        <v>0</v>
      </c>
      <c r="E42" s="147">
        <f t="shared" si="0"/>
        <v>0</v>
      </c>
      <c r="F42" s="372">
        <f>+(F38*355+F40*480+F39*480)/1315</f>
        <v>814.03041825095056</v>
      </c>
      <c r="G42" s="372">
        <f>+(G38*355+G40*480+G39*480)/1315</f>
        <v>700.50418250950565</v>
      </c>
      <c r="H42" s="190" t="s">
        <v>73</v>
      </c>
      <c r="I42" s="248" t="s">
        <v>670</v>
      </c>
      <c r="J42" s="136"/>
      <c r="K42" s="134" t="s">
        <v>74</v>
      </c>
      <c r="L42" s="439"/>
      <c r="M42" s="440"/>
    </row>
    <row r="43" spans="1:14" ht="17.45" customHeight="1">
      <c r="A43" s="799" t="s">
        <v>75</v>
      </c>
      <c r="B43" s="800"/>
      <c r="C43" s="168">
        <f>SUMIF($G$7:$G$31,"Water",$F$7:$F$31)</f>
        <v>0</v>
      </c>
      <c r="D43" s="122">
        <f>+C43+'28'!D43</f>
        <v>5</v>
      </c>
      <c r="E43" s="147">
        <f t="shared" si="0"/>
        <v>8.3333333333333329E-2</v>
      </c>
      <c r="F43" s="372"/>
      <c r="G43" s="373"/>
      <c r="H43" s="191" t="s">
        <v>76</v>
      </c>
      <c r="I43" s="122">
        <f>+Report1!AH37</f>
        <v>99.126999999999995</v>
      </c>
      <c r="J43" s="137">
        <f>+I43+'28'!J43</f>
        <v>3359.0779999999991</v>
      </c>
      <c r="K43" s="134" t="s">
        <v>66</v>
      </c>
      <c r="L43" s="441">
        <f>+Report1!AN37</f>
        <v>11.1</v>
      </c>
      <c r="M43" s="442">
        <f>+L43+'28'!M43</f>
        <v>298.99175181394418</v>
      </c>
    </row>
    <row r="44" spans="1:14" ht="17.45" customHeight="1">
      <c r="A44" s="799" t="s">
        <v>18</v>
      </c>
      <c r="B44" s="800"/>
      <c r="C44" s="168">
        <f>SUMIF($G$7:$G$31,"PLN",$F$7:$F$31)</f>
        <v>0</v>
      </c>
      <c r="D44" s="122">
        <f>+C44+'28'!D44</f>
        <v>105</v>
      </c>
      <c r="E44" s="147">
        <f t="shared" si="0"/>
        <v>1.75</v>
      </c>
      <c r="F44" s="372"/>
      <c r="G44" s="373"/>
      <c r="H44" s="191" t="s">
        <v>77</v>
      </c>
      <c r="I44" s="122">
        <f>I43/I38</f>
        <v>1.9159788932485455</v>
      </c>
      <c r="J44" s="138">
        <f>J43/J38</f>
        <v>1.9679141941376377</v>
      </c>
      <c r="K44" s="134" t="s">
        <v>66</v>
      </c>
      <c r="L44" s="443">
        <f>+L43/I38</f>
        <v>0.21454664939984924</v>
      </c>
      <c r="M44" s="444">
        <f>+M43/J38</f>
        <v>0.17516417074111965</v>
      </c>
    </row>
    <row r="45" spans="1:14" ht="17.45" customHeight="1">
      <c r="A45" s="799" t="s">
        <v>19</v>
      </c>
      <c r="B45" s="800"/>
      <c r="C45" s="168">
        <f>SUMIF($G$7:$G$31,"Boiler",$F$7:$F$31)</f>
        <v>0</v>
      </c>
      <c r="D45" s="122">
        <f>+C45+'28'!D45</f>
        <v>0</v>
      </c>
      <c r="E45" s="147">
        <f t="shared" si="0"/>
        <v>0</v>
      </c>
      <c r="F45" s="372"/>
      <c r="G45" s="375"/>
      <c r="H45" s="191" t="s">
        <v>78</v>
      </c>
      <c r="I45" s="122">
        <f>I43/I40</f>
        <v>1.9789383322353316</v>
      </c>
      <c r="J45" s="138">
        <f>J43/J40</f>
        <v>2.0187519006116812</v>
      </c>
      <c r="K45" s="134" t="s">
        <v>66</v>
      </c>
      <c r="L45" s="443">
        <f>+L43/I40</f>
        <v>0.22159669401688925</v>
      </c>
      <c r="M45" s="444">
        <f>+M43/J40</f>
        <v>0.17968923830932657</v>
      </c>
    </row>
    <row r="46" spans="1:14" ht="17.45" customHeight="1">
      <c r="A46" s="799" t="s">
        <v>79</v>
      </c>
      <c r="B46" s="800"/>
      <c r="C46" s="168">
        <f>SUMIF($G$7:$G$31,"Gas",$F$7:$F$31)</f>
        <v>0</v>
      </c>
      <c r="D46" s="122">
        <f>+C46+'28'!D46</f>
        <v>0</v>
      </c>
      <c r="E46" s="147">
        <f t="shared" si="0"/>
        <v>0</v>
      </c>
      <c r="F46" s="372"/>
      <c r="G46" s="373"/>
      <c r="H46" s="191" t="s">
        <v>80</v>
      </c>
      <c r="I46" s="144">
        <f>+SUMIF(Listrik!AC36,"&gt;0")</f>
        <v>34106.900000001304</v>
      </c>
      <c r="J46" s="139">
        <f>+I46+'28'!J46</f>
        <v>970342.57000000123</v>
      </c>
      <c r="K46" s="134" t="s">
        <v>81</v>
      </c>
      <c r="L46" s="443">
        <f>+Listrik!AF36</f>
        <v>24277</v>
      </c>
      <c r="M46" s="445">
        <f>+L46+'28'!M46</f>
        <v>203861.8</v>
      </c>
    </row>
    <row r="47" spans="1:14" ht="17.45" customHeight="1">
      <c r="A47" s="799" t="s">
        <v>82</v>
      </c>
      <c r="B47" s="800"/>
      <c r="C47" s="168">
        <f>SUMIF($G$7:$G$31,"Gas",$F$7:$F$31)</f>
        <v>0</v>
      </c>
      <c r="D47" s="122">
        <f>+C47+'28'!D47</f>
        <v>0</v>
      </c>
      <c r="E47" s="147">
        <f t="shared" si="0"/>
        <v>0</v>
      </c>
      <c r="F47" s="372"/>
      <c r="G47" s="373"/>
      <c r="H47" s="191" t="s">
        <v>83</v>
      </c>
      <c r="I47" s="122">
        <f>I46/I38</f>
        <v>659.23613661405386</v>
      </c>
      <c r="J47" s="139">
        <f>J46/J38</f>
        <v>568.47471737155172</v>
      </c>
      <c r="K47" s="134" t="s">
        <v>25</v>
      </c>
      <c r="L47" s="443">
        <f>+L46/I38</f>
        <v>469.2386493225352</v>
      </c>
      <c r="M47" s="444">
        <f>+M46/J38</f>
        <v>119.43233526058293</v>
      </c>
    </row>
    <row r="48" spans="1:14" ht="17.45" customHeight="1">
      <c r="A48" s="799" t="s">
        <v>15</v>
      </c>
      <c r="B48" s="800"/>
      <c r="C48" s="168">
        <f>SUMIF($G$7:$G$31,"Start Up",$F$7:$F$31)</f>
        <v>0</v>
      </c>
      <c r="D48" s="122">
        <f>+C48+'28'!D48</f>
        <v>0</v>
      </c>
      <c r="E48" s="147">
        <f t="shared" si="0"/>
        <v>0</v>
      </c>
      <c r="F48" s="372"/>
      <c r="G48" s="373"/>
      <c r="H48" s="191" t="s">
        <v>84</v>
      </c>
      <c r="I48" s="122">
        <f>I46/I40</f>
        <v>680.89876424909266</v>
      </c>
      <c r="J48" s="139">
        <f>J46/J40</f>
        <v>583.1602920301126</v>
      </c>
      <c r="K48" s="134" t="s">
        <v>25</v>
      </c>
      <c r="L48" s="443">
        <f>+L46/I38</f>
        <v>469.2386493225352</v>
      </c>
      <c r="M48" s="444">
        <f>+M46/J40</f>
        <v>122.51766592264858</v>
      </c>
    </row>
    <row r="49" spans="1:13" ht="17.45" customHeight="1">
      <c r="A49" s="809" t="s">
        <v>21</v>
      </c>
      <c r="B49" s="800"/>
      <c r="C49" s="168">
        <f>SUMIF($G$7:$G$31,"Others",$F$7:$F$31)</f>
        <v>60</v>
      </c>
      <c r="D49" s="122">
        <f>+C49+'28'!D49</f>
        <v>1500</v>
      </c>
      <c r="E49" s="147">
        <f t="shared" si="0"/>
        <v>25</v>
      </c>
      <c r="F49" s="188"/>
      <c r="H49" s="191" t="s">
        <v>85</v>
      </c>
      <c r="I49" s="122">
        <f>+Report1!AB37</f>
        <v>0</v>
      </c>
      <c r="J49" s="139">
        <f>+I49+'28'!J49</f>
        <v>0</v>
      </c>
      <c r="K49" s="134" t="s">
        <v>86</v>
      </c>
      <c r="L49" s="439"/>
      <c r="M49" s="440"/>
    </row>
    <row r="50" spans="1:13" ht="17.45" customHeight="1">
      <c r="A50" s="799" t="s">
        <v>20</v>
      </c>
      <c r="B50" s="800"/>
      <c r="C50" s="168">
        <f>SUMIF($G$7:$G$31,"Steam",$F$7:$F$31)</f>
        <v>0</v>
      </c>
      <c r="D50" s="122">
        <f>+C50+'28'!D50</f>
        <v>0</v>
      </c>
      <c r="E50" s="147">
        <f t="shared" si="0"/>
        <v>0</v>
      </c>
      <c r="F50" s="188"/>
      <c r="H50" s="191" t="s">
        <v>87</v>
      </c>
      <c r="I50" s="144">
        <f>I49/I38</f>
        <v>0</v>
      </c>
      <c r="J50" s="137">
        <f>J49/J38</f>
        <v>0</v>
      </c>
      <c r="K50" s="134" t="s">
        <v>86</v>
      </c>
      <c r="L50" s="439"/>
      <c r="M50" s="440"/>
    </row>
    <row r="51" spans="1:13" ht="17.45" customHeight="1" thickBot="1">
      <c r="A51" s="805" t="s">
        <v>88</v>
      </c>
      <c r="B51" s="806"/>
      <c r="C51" s="168">
        <f>SUMIF($G$7:$G$31,"Planned shut",$F$7:$F$31)</f>
        <v>0</v>
      </c>
      <c r="D51" s="122">
        <f>+C51+'28'!D51</f>
        <v>0</v>
      </c>
      <c r="E51" s="147">
        <f t="shared" si="0"/>
        <v>0</v>
      </c>
      <c r="F51" s="188"/>
      <c r="H51" s="193" t="s">
        <v>89</v>
      </c>
      <c r="I51" s="145">
        <f>I49/I40</f>
        <v>0</v>
      </c>
      <c r="J51" s="140">
        <f>J49/J40</f>
        <v>0</v>
      </c>
      <c r="K51" s="141" t="s">
        <v>86</v>
      </c>
      <c r="L51" s="439"/>
      <c r="M51" s="440"/>
    </row>
    <row r="52" spans="1:13" ht="13.5" thickBot="1">
      <c r="A52" s="803" t="s">
        <v>29</v>
      </c>
      <c r="B52" s="804"/>
      <c r="C52" s="148">
        <f>SUM(C38:C51)</f>
        <v>230</v>
      </c>
      <c r="D52" s="148">
        <f>SUM(D38:D51)</f>
        <v>3878</v>
      </c>
      <c r="E52" s="149">
        <f>SUM(E38:E51)</f>
        <v>64.633333333333326</v>
      </c>
      <c r="F52" s="188"/>
      <c r="H52" s="194"/>
      <c r="I52" s="195"/>
      <c r="J52" s="142"/>
      <c r="K52" s="143"/>
      <c r="L52" s="446"/>
      <c r="M52" s="447"/>
    </row>
    <row r="53" spans="1:13" ht="13.5" thickBot="1">
      <c r="A53" s="807"/>
      <c r="B53" s="808"/>
      <c r="C53" s="150">
        <f>C52/(24*60)</f>
        <v>0.15972222222222221</v>
      </c>
      <c r="D53" s="150">
        <f>D52/(24*60*G4)</f>
        <v>9.2863984674329506E-2</v>
      </c>
      <c r="E53" s="151">
        <f>E52/(G4*24)</f>
        <v>9.2863984674329492E-2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90</v>
      </c>
      <c r="B56" s="198"/>
      <c r="C56" s="199"/>
      <c r="D56" s="199"/>
      <c r="E56" s="199"/>
      <c r="F56" s="200"/>
      <c r="G56" s="199"/>
      <c r="H56" s="201"/>
      <c r="I56" s="202" t="s">
        <v>91</v>
      </c>
      <c r="J56" s="203">
        <f>+D34+'28'!J56</f>
        <v>20496</v>
      </c>
      <c r="K56" s="204">
        <f>J56/(J40+J56/1000)/1000</f>
        <v>1.2167885473696211E-2</v>
      </c>
    </row>
    <row r="57" spans="1:13">
      <c r="A57" s="179"/>
      <c r="I57" s="202" t="s">
        <v>92</v>
      </c>
      <c r="J57" s="203">
        <f>+E34+'28'!J57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48:B48"/>
    <mergeCell ref="A49:B49"/>
    <mergeCell ref="A50:B50"/>
    <mergeCell ref="A51:B51"/>
    <mergeCell ref="A41:B41"/>
    <mergeCell ref="A52:B52"/>
    <mergeCell ref="A53:B53"/>
    <mergeCell ref="A42:B42"/>
    <mergeCell ref="A43:B43"/>
    <mergeCell ref="A44:B44"/>
    <mergeCell ref="A45:B45"/>
    <mergeCell ref="A46:B46"/>
    <mergeCell ref="A47:B47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1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R61"/>
  <sheetViews>
    <sheetView topLeftCell="A16" zoomScale="80" zoomScaleNormal="80" workbookViewId="0">
      <selection activeCell="F42" sqref="F42:G42"/>
    </sheetView>
  </sheetViews>
  <sheetFormatPr defaultColWidth="9.140625" defaultRowHeight="12.75"/>
  <cols>
    <col min="1" max="1" width="8" style="153" customWidth="1"/>
    <col min="2" max="2" width="7" style="153" bestFit="1" customWidth="1"/>
    <col min="3" max="3" width="14.85546875" style="153" bestFit="1" customWidth="1"/>
    <col min="4" max="4" width="12.5703125" style="153" bestFit="1" customWidth="1"/>
    <col min="5" max="5" width="13.85546875" style="153" bestFit="1" customWidth="1"/>
    <col min="6" max="6" width="12.140625" style="114" bestFit="1" customWidth="1"/>
    <col min="7" max="7" width="11.42578125" style="153" bestFit="1" customWidth="1"/>
    <col min="8" max="8" width="64.85546875" style="153" customWidth="1"/>
    <col min="9" max="9" width="14.7109375" style="153" bestFit="1" customWidth="1"/>
    <col min="10" max="10" width="18.28515625" style="153" customWidth="1"/>
    <col min="11" max="11" width="12.5703125" style="153" bestFit="1" customWidth="1"/>
    <col min="12" max="12" width="8.28515625" style="153" customWidth="1"/>
    <col min="13" max="13" width="15.85546875" style="153" customWidth="1"/>
    <col min="14" max="16384" width="9.140625" style="153"/>
  </cols>
  <sheetData>
    <row r="1" spans="1:18" ht="15.75">
      <c r="A1" s="152"/>
    </row>
    <row r="2" spans="1:18" ht="15.75">
      <c r="A2" s="152" t="s">
        <v>175</v>
      </c>
    </row>
    <row r="3" spans="1:18" ht="15">
      <c r="A3" s="154"/>
    </row>
    <row r="4" spans="1:18" ht="20.25">
      <c r="A4" s="155" t="s">
        <v>4</v>
      </c>
      <c r="B4" s="156"/>
      <c r="F4" s="157" t="s">
        <v>31</v>
      </c>
      <c r="G4" s="158">
        <v>28</v>
      </c>
      <c r="H4" s="158" t="str">
        <f>+'1'!H4</f>
        <v>.12.25</v>
      </c>
    </row>
    <row r="5" spans="1:18" ht="13.5" thickBot="1">
      <c r="C5" s="159"/>
      <c r="D5" s="159"/>
    </row>
    <row r="6" spans="1:18" ht="26.25" thickBot="1">
      <c r="A6" s="160" t="s">
        <v>50</v>
      </c>
      <c r="B6" s="161" t="s">
        <v>10</v>
      </c>
      <c r="C6" s="161" t="s">
        <v>51</v>
      </c>
      <c r="D6" s="161" t="s">
        <v>52</v>
      </c>
      <c r="E6" s="162" t="s">
        <v>53</v>
      </c>
      <c r="F6" s="106" t="s">
        <v>54</v>
      </c>
      <c r="G6" s="161" t="s">
        <v>55</v>
      </c>
      <c r="H6" s="163" t="s">
        <v>56</v>
      </c>
      <c r="I6" s="164" t="s">
        <v>57</v>
      </c>
      <c r="J6" s="165" t="s">
        <v>10</v>
      </c>
      <c r="K6" s="166" t="s">
        <v>58</v>
      </c>
      <c r="L6" s="213" t="s">
        <v>143</v>
      </c>
      <c r="M6" s="167" t="s">
        <v>59</v>
      </c>
      <c r="N6" s="153">
        <f>336+310+298</f>
        <v>944</v>
      </c>
    </row>
    <row r="7" spans="1:18" ht="13.5" customHeight="1" thickBot="1">
      <c r="A7" s="789" t="s">
        <v>414</v>
      </c>
      <c r="B7" s="218" t="s">
        <v>658</v>
      </c>
      <c r="C7" s="219">
        <v>23630</v>
      </c>
      <c r="D7" s="220"/>
      <c r="E7" s="221"/>
      <c r="F7" s="230"/>
      <c r="G7" s="231" t="s">
        <v>13</v>
      </c>
      <c r="H7" s="232" t="s">
        <v>395</v>
      </c>
      <c r="I7" s="792" t="s">
        <v>661</v>
      </c>
      <c r="J7" s="217" t="str">
        <f>+'27'!J7</f>
        <v>TW 38 RC BR</v>
      </c>
      <c r="K7" s="240"/>
      <c r="L7" s="244"/>
      <c r="M7" s="121">
        <f>+K7+'27'!M7+L7</f>
        <v>78513</v>
      </c>
    </row>
    <row r="8" spans="1:18" ht="13.5" thickBot="1">
      <c r="A8" s="790"/>
      <c r="B8" s="218"/>
      <c r="C8" s="219"/>
      <c r="D8" s="220"/>
      <c r="E8" s="222"/>
      <c r="F8" s="233">
        <v>5</v>
      </c>
      <c r="G8" s="234" t="s">
        <v>13</v>
      </c>
      <c r="H8" s="232" t="s">
        <v>393</v>
      </c>
      <c r="I8" s="793"/>
      <c r="J8" s="217" t="str">
        <f>+'27'!J8</f>
        <v>TW 36 RC BR</v>
      </c>
      <c r="K8" s="241"/>
      <c r="L8" s="241"/>
      <c r="M8" s="121">
        <f>+K8+'27'!M8+L8</f>
        <v>1530</v>
      </c>
      <c r="N8" s="153">
        <v>530</v>
      </c>
      <c r="O8" s="153">
        <f>+N8-N8*0.12</f>
        <v>466.4</v>
      </c>
      <c r="P8" s="153">
        <f>60+45</f>
        <v>105</v>
      </c>
      <c r="Q8" s="153">
        <f>+N8*P8</f>
        <v>55650</v>
      </c>
      <c r="R8" s="153">
        <f>+O8*P8</f>
        <v>48972</v>
      </c>
    </row>
    <row r="9" spans="1:18" ht="13.5" thickBot="1">
      <c r="A9" s="790"/>
      <c r="B9" s="218"/>
      <c r="C9" s="219"/>
      <c r="D9" s="220"/>
      <c r="E9" s="223"/>
      <c r="F9" s="230">
        <v>5</v>
      </c>
      <c r="G9" s="234" t="s">
        <v>13</v>
      </c>
      <c r="H9" s="235" t="s">
        <v>226</v>
      </c>
      <c r="I9" s="793"/>
      <c r="J9" s="217" t="str">
        <f>+'27'!J9</f>
        <v>N 20 RC BR</v>
      </c>
      <c r="K9" s="241"/>
      <c r="L9" s="241"/>
      <c r="M9" s="121">
        <f>+K9+'27'!M9+L9</f>
        <v>74204</v>
      </c>
      <c r="N9" s="153">
        <v>480</v>
      </c>
      <c r="O9" s="153">
        <f>+N9-N9*0.12</f>
        <v>422.4</v>
      </c>
      <c r="P9" s="153">
        <f>480-P8</f>
        <v>375</v>
      </c>
      <c r="Q9" s="153">
        <f>+N9*P9</f>
        <v>180000</v>
      </c>
      <c r="R9" s="153">
        <f>+O9*P9</f>
        <v>158400</v>
      </c>
    </row>
    <row r="10" spans="1:18" ht="13.5" thickBot="1">
      <c r="A10" s="790"/>
      <c r="B10" s="218"/>
      <c r="C10" s="219"/>
      <c r="D10" s="220"/>
      <c r="E10" s="222"/>
      <c r="F10" s="230"/>
      <c r="G10" s="234"/>
      <c r="H10" s="235" t="s">
        <v>655</v>
      </c>
      <c r="I10" s="793"/>
      <c r="J10" s="217" t="str">
        <f>+'27'!J10</f>
        <v>TW 17 RC HW</v>
      </c>
      <c r="K10" s="241"/>
      <c r="L10" s="241"/>
      <c r="M10" s="121">
        <f>+K10+'27'!M10+L10</f>
        <v>99162</v>
      </c>
      <c r="P10" s="153">
        <f>SUM(P8:P9)</f>
        <v>480</v>
      </c>
      <c r="Q10" s="153">
        <f>SUM(Q8:Q9)</f>
        <v>235650</v>
      </c>
      <c r="R10" s="153">
        <f>SUM(R8:R9)</f>
        <v>207372</v>
      </c>
    </row>
    <row r="11" spans="1:18" ht="13.5" thickBot="1">
      <c r="A11" s="790"/>
      <c r="B11" s="218"/>
      <c r="C11" s="219"/>
      <c r="D11" s="220"/>
      <c r="E11" s="222"/>
      <c r="F11" s="230"/>
      <c r="G11" s="234"/>
      <c r="H11" s="235" t="s">
        <v>659</v>
      </c>
      <c r="I11" s="793"/>
      <c r="J11" s="217" t="str">
        <f>+'27'!J11</f>
        <v>N 15,5 RC HW</v>
      </c>
      <c r="K11" s="241"/>
      <c r="L11" s="241"/>
      <c r="M11" s="121">
        <f>+K11+'27'!M11+L11</f>
        <v>159490</v>
      </c>
      <c r="Q11" s="153">
        <f>+Q10/P10</f>
        <v>490.9375</v>
      </c>
      <c r="R11" s="153">
        <f>+R10/P10</f>
        <v>432.02499999999998</v>
      </c>
    </row>
    <row r="12" spans="1:18" ht="13.5" thickBot="1">
      <c r="A12" s="790"/>
      <c r="B12" s="218"/>
      <c r="C12" s="219"/>
      <c r="D12" s="220"/>
      <c r="E12" s="222"/>
      <c r="F12" s="230"/>
      <c r="G12" s="234"/>
      <c r="H12" s="235"/>
      <c r="I12" s="793"/>
      <c r="J12" s="217" t="str">
        <f>+'27'!J12</f>
        <v>N 17 RC HW</v>
      </c>
      <c r="K12" s="241"/>
      <c r="L12" s="241"/>
      <c r="M12" s="121">
        <f>+K12+'27'!M12+L12</f>
        <v>6572</v>
      </c>
    </row>
    <row r="13" spans="1:18" ht="13.5" thickBot="1">
      <c r="A13" s="790"/>
      <c r="B13" s="218"/>
      <c r="C13" s="219"/>
      <c r="D13" s="219"/>
      <c r="E13" s="222"/>
      <c r="F13" s="230"/>
      <c r="G13" s="234"/>
      <c r="H13" s="235"/>
      <c r="I13" s="794"/>
      <c r="J13" s="217" t="str">
        <f>+'27'!J13</f>
        <v>N 16,5 RC HW</v>
      </c>
      <c r="K13" s="241"/>
      <c r="L13" s="241"/>
      <c r="M13" s="121">
        <f>+K13+'27'!M13+L13</f>
        <v>18880</v>
      </c>
    </row>
    <row r="14" spans="1:18" ht="13.5" thickBot="1">
      <c r="A14" s="791"/>
      <c r="B14" s="169" t="s">
        <v>3</v>
      </c>
      <c r="C14" s="103">
        <f>SUM(C7:C13)</f>
        <v>23630</v>
      </c>
      <c r="D14" s="115">
        <f>SUM(D7:D13)</f>
        <v>0</v>
      </c>
      <c r="E14" s="116">
        <f>SUM(E5:E13)</f>
        <v>0</v>
      </c>
      <c r="F14" s="106">
        <f>SUM(F6:F13)</f>
        <v>10</v>
      </c>
      <c r="G14" s="163"/>
      <c r="H14" s="170"/>
      <c r="I14" s="171"/>
      <c r="J14" s="217" t="str">
        <f>+'27'!J14</f>
        <v>N 20 RC HW</v>
      </c>
      <c r="K14" s="241"/>
      <c r="L14" s="241"/>
      <c r="M14" s="121">
        <f>+K14+'27'!M14+L14</f>
        <v>394199</v>
      </c>
    </row>
    <row r="15" spans="1:18" ht="13.5" customHeight="1" thickBot="1">
      <c r="A15" s="789" t="s">
        <v>631</v>
      </c>
      <c r="B15" s="169"/>
      <c r="C15" s="117">
        <f>C14/($C$23+$D$23+$E$23)</f>
        <v>1.0406940896679291</v>
      </c>
      <c r="D15" s="118">
        <f>D14/($C$23+$D$23+$E$23)</f>
        <v>0</v>
      </c>
      <c r="E15" s="119">
        <f>E14/($C$23+$D$23+$E$23)</f>
        <v>0</v>
      </c>
      <c r="F15" s="230"/>
      <c r="G15" s="231" t="s">
        <v>13</v>
      </c>
      <c r="H15" s="232" t="s">
        <v>395</v>
      </c>
      <c r="I15" s="792" t="s">
        <v>662</v>
      </c>
      <c r="J15" s="217" t="str">
        <f>+'27'!J15</f>
        <v>N 18 RC HW</v>
      </c>
      <c r="K15" s="241"/>
      <c r="L15" s="241"/>
      <c r="M15" s="121">
        <f>+K15+'27'!M15+L15</f>
        <v>50657</v>
      </c>
    </row>
    <row r="16" spans="1:18" ht="13.5" thickBot="1">
      <c r="A16" s="795"/>
      <c r="B16" s="218" t="s">
        <v>658</v>
      </c>
      <c r="C16" s="224">
        <v>22706</v>
      </c>
      <c r="D16" s="225"/>
      <c r="E16" s="226"/>
      <c r="F16" s="233"/>
      <c r="G16" s="234" t="s">
        <v>13</v>
      </c>
      <c r="H16" s="232" t="s">
        <v>424</v>
      </c>
      <c r="I16" s="793"/>
      <c r="J16" s="217" t="str">
        <f>+'27'!J16</f>
        <v>TW 17,5 RC HW</v>
      </c>
      <c r="K16" s="241"/>
      <c r="L16" s="231"/>
      <c r="M16" s="121">
        <f>+K16+'27'!M16+L16</f>
        <v>11537</v>
      </c>
    </row>
    <row r="17" spans="1:14" ht="13.5" thickBot="1">
      <c r="A17" s="795"/>
      <c r="B17" s="218"/>
      <c r="C17" s="219"/>
      <c r="D17" s="220"/>
      <c r="E17" s="227"/>
      <c r="F17" s="230">
        <v>5</v>
      </c>
      <c r="G17" s="234" t="s">
        <v>13</v>
      </c>
      <c r="H17" s="235" t="s">
        <v>226</v>
      </c>
      <c r="I17" s="793"/>
      <c r="J17" s="217" t="str">
        <f>+'27'!J17</f>
        <v>TW 22 RC HW</v>
      </c>
      <c r="K17" s="241"/>
      <c r="L17" s="231"/>
      <c r="M17" s="121">
        <f>+K17+'27'!M17+L17</f>
        <v>100201</v>
      </c>
    </row>
    <row r="18" spans="1:14" ht="13.5" thickBot="1">
      <c r="A18" s="795"/>
      <c r="B18" s="218"/>
      <c r="C18" s="219"/>
      <c r="D18" s="220"/>
      <c r="E18" s="227"/>
      <c r="F18" s="230"/>
      <c r="G18" s="234"/>
      <c r="H18" s="235" t="s">
        <v>660</v>
      </c>
      <c r="I18" s="793"/>
      <c r="J18" s="217" t="str">
        <f>+'27'!J18</f>
        <v>TW 31,5 RC HW</v>
      </c>
      <c r="K18" s="241"/>
      <c r="L18" s="241"/>
      <c r="M18" s="121">
        <f>+K18+'27'!M18+L18</f>
        <v>108399</v>
      </c>
    </row>
    <row r="19" spans="1:14" ht="13.5" thickBot="1">
      <c r="A19" s="795"/>
      <c r="B19" s="218"/>
      <c r="C19" s="219"/>
      <c r="D19" s="220"/>
      <c r="E19" s="227"/>
      <c r="F19" s="237"/>
      <c r="G19" s="234"/>
      <c r="H19" s="235"/>
      <c r="I19" s="793"/>
      <c r="J19" s="217" t="str">
        <f>+'27'!J19</f>
        <v>TW 32 RC HW</v>
      </c>
      <c r="K19" s="241"/>
      <c r="L19" s="241"/>
      <c r="M19" s="121">
        <f>+K19+'27'!M19+L19</f>
        <v>12437</v>
      </c>
    </row>
    <row r="20" spans="1:14" ht="13.5" thickBot="1">
      <c r="A20" s="795"/>
      <c r="B20" s="218"/>
      <c r="C20" s="219"/>
      <c r="D20" s="220"/>
      <c r="E20" s="227"/>
      <c r="F20" s="230"/>
      <c r="G20" s="234"/>
      <c r="H20" s="235"/>
      <c r="I20" s="793"/>
      <c r="J20" s="217" t="str">
        <f>+'27'!J20</f>
        <v>TW 33,5 RC HW</v>
      </c>
      <c r="K20" s="241"/>
      <c r="L20" s="242"/>
      <c r="M20" s="121">
        <f>+K20+'27'!M20+L20</f>
        <v>9545</v>
      </c>
    </row>
    <row r="21" spans="1:14" ht="13.5" thickBot="1">
      <c r="A21" s="795"/>
      <c r="B21" s="218"/>
      <c r="C21" s="219"/>
      <c r="D21" s="220"/>
      <c r="E21" s="227"/>
      <c r="F21" s="233"/>
      <c r="G21" s="234"/>
      <c r="H21" s="235"/>
      <c r="I21" s="793"/>
      <c r="J21" s="217" t="str">
        <f>+'27'!J21</f>
        <v>TW 34 RC HW</v>
      </c>
      <c r="K21" s="241"/>
      <c r="L21" s="241"/>
      <c r="M21" s="121">
        <f>+K21+'27'!M21+L21</f>
        <v>155277</v>
      </c>
    </row>
    <row r="22" spans="1:14" ht="13.5" thickBot="1">
      <c r="A22" s="795"/>
      <c r="B22" s="218"/>
      <c r="C22" s="219"/>
      <c r="D22" s="220"/>
      <c r="E22" s="227"/>
      <c r="F22" s="238"/>
      <c r="G22" s="234"/>
      <c r="H22" s="235"/>
      <c r="I22" s="794"/>
      <c r="J22" s="217" t="str">
        <f>+'27'!J22</f>
        <v>TW 35,5 RC HW</v>
      </c>
      <c r="K22" s="241"/>
      <c r="L22" s="241"/>
      <c r="M22" s="121">
        <f>+K22+'27'!M22+L22</f>
        <v>98067</v>
      </c>
    </row>
    <row r="23" spans="1:14" ht="13.5" thickBot="1">
      <c r="A23" s="796"/>
      <c r="B23" s="169" t="s">
        <v>3</v>
      </c>
      <c r="C23" s="104">
        <f>SUM(C16:C22)</f>
        <v>22706</v>
      </c>
      <c r="D23" s="115">
        <f>SUM(D16:D22)</f>
        <v>0</v>
      </c>
      <c r="E23" s="116">
        <f>SUM(E18:E22)</f>
        <v>0</v>
      </c>
      <c r="F23" s="106">
        <f>SUM(F15:F22)</f>
        <v>5</v>
      </c>
      <c r="G23" s="163"/>
      <c r="H23" s="170"/>
      <c r="I23" s="172"/>
      <c r="J23" s="217" t="str">
        <f>+'27'!J23</f>
        <v>TW 36 RC HW</v>
      </c>
      <c r="K23" s="241"/>
      <c r="L23" s="241"/>
      <c r="M23" s="121">
        <f>+K23+'27'!M23+L23</f>
        <v>63613</v>
      </c>
    </row>
    <row r="24" spans="1:14" ht="13.5" customHeight="1" thickBot="1">
      <c r="A24" s="789" t="s">
        <v>413</v>
      </c>
      <c r="B24" s="173"/>
      <c r="C24" s="117">
        <f>C23/($C$23+$D$23+$E$23)</f>
        <v>1</v>
      </c>
      <c r="D24" s="118">
        <f>D23/($C$23+$D$23+$E$23)</f>
        <v>0</v>
      </c>
      <c r="E24" s="119">
        <f>E23/($C$23+$D$23+$E$23)</f>
        <v>0</v>
      </c>
      <c r="F24" s="230"/>
      <c r="G24" s="231" t="s">
        <v>13</v>
      </c>
      <c r="H24" s="232" t="s">
        <v>395</v>
      </c>
      <c r="I24" s="792" t="s">
        <v>662</v>
      </c>
      <c r="J24" s="217" t="str">
        <f>+'27'!J24</f>
        <v>TW 38 RC HW</v>
      </c>
      <c r="K24" s="241">
        <f>+C34</f>
        <v>70377</v>
      </c>
      <c r="L24" s="241"/>
      <c r="M24" s="121">
        <f>+K24+'27'!M24+L24</f>
        <v>171564</v>
      </c>
    </row>
    <row r="25" spans="1:14" ht="13.5" customHeight="1" thickBot="1">
      <c r="A25" s="795"/>
      <c r="B25" s="218" t="s">
        <v>658</v>
      </c>
      <c r="C25" s="228">
        <v>24041</v>
      </c>
      <c r="D25" s="220"/>
      <c r="E25" s="227"/>
      <c r="F25" s="233"/>
      <c r="G25" s="234" t="s">
        <v>13</v>
      </c>
      <c r="H25" s="232" t="s">
        <v>424</v>
      </c>
      <c r="I25" s="793"/>
      <c r="J25" s="217">
        <f>+'27'!J25</f>
        <v>0</v>
      </c>
      <c r="K25" s="241"/>
      <c r="L25" s="241"/>
      <c r="M25" s="121">
        <f>+K25+'27'!M25+L25</f>
        <v>0</v>
      </c>
    </row>
    <row r="26" spans="1:14" ht="13.5" customHeight="1" thickBot="1">
      <c r="A26" s="795"/>
      <c r="B26" s="218"/>
      <c r="C26" s="228"/>
      <c r="D26" s="220"/>
      <c r="E26" s="229"/>
      <c r="F26" s="230">
        <v>5</v>
      </c>
      <c r="G26" s="234" t="s">
        <v>13</v>
      </c>
      <c r="H26" s="235" t="s">
        <v>226</v>
      </c>
      <c r="I26" s="793"/>
      <c r="J26" s="217">
        <f>+'27'!J26</f>
        <v>0</v>
      </c>
      <c r="K26" s="241"/>
      <c r="L26" s="241"/>
      <c r="M26" s="121">
        <f>+K26+'27'!M26+L26</f>
        <v>0</v>
      </c>
    </row>
    <row r="27" spans="1:14" ht="13.5" customHeight="1" thickBot="1">
      <c r="A27" s="795"/>
      <c r="B27" s="218"/>
      <c r="C27" s="219"/>
      <c r="D27" s="220"/>
      <c r="E27" s="227"/>
      <c r="F27" s="230"/>
      <c r="G27" s="234"/>
      <c r="H27" s="235" t="s">
        <v>660</v>
      </c>
      <c r="I27" s="793"/>
      <c r="J27" s="217">
        <f>+'27'!J27</f>
        <v>0</v>
      </c>
      <c r="K27" s="241"/>
      <c r="L27" s="241"/>
      <c r="M27" s="121">
        <f>+K27+'27'!M27+L27</f>
        <v>0</v>
      </c>
    </row>
    <row r="28" spans="1:14" ht="13.5" customHeight="1" thickBot="1">
      <c r="A28" s="795"/>
      <c r="B28" s="218"/>
      <c r="C28" s="219"/>
      <c r="D28" s="220"/>
      <c r="E28" s="227"/>
      <c r="F28" s="233"/>
      <c r="G28" s="234"/>
      <c r="H28" s="235"/>
      <c r="I28" s="793"/>
      <c r="J28" s="217">
        <f>+'27'!J28</f>
        <v>0</v>
      </c>
      <c r="K28" s="241"/>
      <c r="L28" s="241"/>
      <c r="M28" s="121">
        <f>+K28+'27'!M28+L28</f>
        <v>0</v>
      </c>
    </row>
    <row r="29" spans="1:14" ht="13.5" customHeight="1" thickBot="1">
      <c r="A29" s="795"/>
      <c r="B29" s="218"/>
      <c r="C29" s="219"/>
      <c r="D29" s="220"/>
      <c r="E29" s="227"/>
      <c r="F29" s="238"/>
      <c r="G29" s="234"/>
      <c r="H29" s="235"/>
      <c r="I29" s="793"/>
      <c r="J29" s="217">
        <f>+'27'!J29</f>
        <v>0</v>
      </c>
      <c r="K29" s="241"/>
      <c r="L29" s="241"/>
      <c r="M29" s="121">
        <f>+K29+'27'!M29+L29</f>
        <v>0</v>
      </c>
    </row>
    <row r="30" spans="1:14" ht="13.5" customHeight="1" thickBot="1">
      <c r="A30" s="795"/>
      <c r="B30" s="218"/>
      <c r="C30" s="228"/>
      <c r="D30" s="220"/>
      <c r="E30" s="227"/>
      <c r="F30" s="238"/>
      <c r="G30" s="234"/>
      <c r="H30" s="235"/>
      <c r="I30" s="793"/>
      <c r="J30" s="217">
        <f>+'27'!J30</f>
        <v>0</v>
      </c>
      <c r="K30" s="241"/>
      <c r="L30" s="241"/>
      <c r="M30" s="121">
        <f>+K30+'27'!M30+L30</f>
        <v>0</v>
      </c>
      <c r="N30" s="159"/>
    </row>
    <row r="31" spans="1:14" ht="13.5" customHeight="1" thickBot="1">
      <c r="A31" s="795"/>
      <c r="B31" s="218"/>
      <c r="C31" s="228"/>
      <c r="D31" s="220"/>
      <c r="E31" s="227"/>
      <c r="F31" s="238"/>
      <c r="G31" s="239"/>
      <c r="H31" s="236"/>
      <c r="I31" s="794"/>
      <c r="J31" s="217">
        <f>+'27'!J31</f>
        <v>0</v>
      </c>
      <c r="K31" s="241"/>
      <c r="L31" s="241"/>
      <c r="M31" s="121">
        <f>+K31+'27'!M31+L31</f>
        <v>0</v>
      </c>
    </row>
    <row r="32" spans="1:14" ht="13.5" customHeight="1" thickBot="1">
      <c r="A32" s="796"/>
      <c r="B32" s="169" t="s">
        <v>3</v>
      </c>
      <c r="C32" s="103">
        <f>SUM(C25:C31)</f>
        <v>24041</v>
      </c>
      <c r="D32" s="104">
        <f>SUM(D25:D31)</f>
        <v>0</v>
      </c>
      <c r="E32" s="105">
        <f>SUM(E25:E31)</f>
        <v>0</v>
      </c>
      <c r="F32" s="106">
        <f>SUM(F24:F31)</f>
        <v>5</v>
      </c>
      <c r="G32" s="174"/>
      <c r="H32" s="175"/>
      <c r="I32" s="172"/>
      <c r="J32" s="217">
        <f>+'27'!J32</f>
        <v>0</v>
      </c>
      <c r="K32" s="241"/>
      <c r="L32" s="245"/>
      <c r="M32" s="121">
        <f>+K32+'27'!M32+L32</f>
        <v>0</v>
      </c>
    </row>
    <row r="33" spans="1:14" ht="13.5" thickBot="1">
      <c r="A33" s="176"/>
      <c r="B33" s="177"/>
      <c r="C33" s="107">
        <f>C32/($C$32+$D$32+$E$32)</f>
        <v>1</v>
      </c>
      <c r="D33" s="108">
        <f>D32/($C$32+$D$32+$E$32)</f>
        <v>0</v>
      </c>
      <c r="E33" s="109">
        <f>E32/($C$32+$D$32+$E$32)</f>
        <v>0</v>
      </c>
      <c r="F33" s="110"/>
      <c r="G33" s="178"/>
      <c r="H33" s="179"/>
      <c r="I33" s="180"/>
      <c r="J33" s="125"/>
      <c r="K33" s="126"/>
      <c r="L33" s="216"/>
      <c r="M33" s="123"/>
    </row>
    <row r="34" spans="1:14" ht="13.5" thickBot="1">
      <c r="A34" s="797" t="s">
        <v>60</v>
      </c>
      <c r="B34" s="798"/>
      <c r="C34" s="111">
        <f>C14+C23+C32</f>
        <v>70377</v>
      </c>
      <c r="D34" s="111">
        <f>D14+D23+D32</f>
        <v>0</v>
      </c>
      <c r="E34" s="111">
        <f>E14+E23+E32</f>
        <v>0</v>
      </c>
      <c r="F34" s="112">
        <f>F14+F23+F32</f>
        <v>20</v>
      </c>
      <c r="H34" s="181"/>
      <c r="I34" s="181"/>
      <c r="J34" s="127" t="s">
        <v>29</v>
      </c>
      <c r="K34" s="128">
        <f>SUM(K7:K32)</f>
        <v>70377</v>
      </c>
      <c r="L34" s="215">
        <f>SUM(L7:L32)</f>
        <v>0</v>
      </c>
      <c r="M34" s="124">
        <f>SUM(M7:M32)</f>
        <v>1613847</v>
      </c>
      <c r="N34" s="159"/>
    </row>
    <row r="35" spans="1:14" ht="13.5" thickBot="1">
      <c r="A35" s="182"/>
      <c r="B35" s="183"/>
      <c r="C35" s="108">
        <f>C34/($C$34+$D$34+$E$34)</f>
        <v>1</v>
      </c>
      <c r="D35" s="108">
        <f>D34/($C$34+$D$34+$E$34)</f>
        <v>0</v>
      </c>
      <c r="E35" s="113">
        <f>E34/($C$34+$D$34+$E$34)</f>
        <v>0</v>
      </c>
      <c r="K35" s="159"/>
      <c r="L35" s="788" t="s">
        <v>186</v>
      </c>
      <c r="M35" s="788"/>
    </row>
    <row r="36" spans="1:14" ht="13.5" thickBot="1">
      <c r="A36" s="181"/>
      <c r="B36" s="181"/>
      <c r="C36" s="159"/>
      <c r="D36" s="159"/>
      <c r="E36" s="159"/>
      <c r="G36" s="159"/>
      <c r="H36" s="184"/>
      <c r="I36" s="166" t="s">
        <v>42</v>
      </c>
      <c r="J36" s="166" t="s">
        <v>43</v>
      </c>
      <c r="K36" s="185"/>
      <c r="L36" s="166" t="s">
        <v>42</v>
      </c>
      <c r="M36" s="166" t="s">
        <v>43</v>
      </c>
    </row>
    <row r="37" spans="1:14" ht="17.45" customHeight="1" thickBot="1">
      <c r="A37" s="801" t="s">
        <v>61</v>
      </c>
      <c r="B37" s="802"/>
      <c r="C37" s="166" t="s">
        <v>62</v>
      </c>
      <c r="D37" s="186" t="s">
        <v>63</v>
      </c>
      <c r="E37" s="187" t="s">
        <v>64</v>
      </c>
      <c r="F37" s="372"/>
      <c r="G37" s="374"/>
      <c r="H37" s="189" t="s">
        <v>65</v>
      </c>
      <c r="I37" s="246">
        <f>(38*1440)/1440*G42*3.4*1440/1000000</f>
        <v>79.183579199999997</v>
      </c>
      <c r="J37" s="129">
        <f>+I37+'27'!J37</f>
        <v>1821.2679003044977</v>
      </c>
      <c r="K37" s="130" t="s">
        <v>66</v>
      </c>
      <c r="L37" s="437"/>
      <c r="M37" s="438"/>
    </row>
    <row r="38" spans="1:14" ht="17.45" customHeight="1">
      <c r="A38" s="803" t="s">
        <v>13</v>
      </c>
      <c r="B38" s="804"/>
      <c r="C38" s="168">
        <f>SUMIF($G$7:$G$31,"Process",$F$7:$F$31)</f>
        <v>20</v>
      </c>
      <c r="D38" s="122">
        <f>+C38+'27'!D38</f>
        <v>1083</v>
      </c>
      <c r="E38" s="147">
        <f t="shared" ref="E38:E51" si="0">D38/60</f>
        <v>18.05</v>
      </c>
      <c r="F38" s="372">
        <v>490.9375</v>
      </c>
      <c r="G38" s="372">
        <v>432.02499999999998</v>
      </c>
      <c r="H38" s="190" t="s">
        <v>67</v>
      </c>
      <c r="I38" s="559">
        <f>23.745+22.839+24.168</f>
        <v>70.75200000000001</v>
      </c>
      <c r="J38" s="131">
        <f>+I38+'27'!J38</f>
        <v>1655.1859999999999</v>
      </c>
      <c r="K38" s="132" t="s">
        <v>66</v>
      </c>
      <c r="L38" s="439"/>
      <c r="M38" s="440"/>
    </row>
    <row r="39" spans="1:14" ht="17.45" customHeight="1">
      <c r="A39" s="799" t="s">
        <v>14</v>
      </c>
      <c r="B39" s="800"/>
      <c r="C39" s="168">
        <f>SUMIF($G$7:$G$31,"Cleaning",$F$7:$F$31)</f>
        <v>0</v>
      </c>
      <c r="D39" s="122">
        <f>+C39+'27'!D39</f>
        <v>0</v>
      </c>
      <c r="E39" s="147">
        <f t="shared" si="0"/>
        <v>0</v>
      </c>
      <c r="F39" s="372">
        <v>480</v>
      </c>
      <c r="G39" s="372">
        <v>422.4</v>
      </c>
      <c r="H39" s="190" t="s">
        <v>68</v>
      </c>
      <c r="I39" s="146"/>
      <c r="J39" s="133">
        <f>J37/G4</f>
        <v>65.04528215373206</v>
      </c>
      <c r="K39" s="134" t="s">
        <v>66</v>
      </c>
      <c r="L39" s="439"/>
      <c r="M39" s="440"/>
    </row>
    <row r="40" spans="1:14" ht="17.45" customHeight="1">
      <c r="A40" s="799" t="s">
        <v>69</v>
      </c>
      <c r="B40" s="800"/>
      <c r="C40" s="168">
        <f>SUMIF($G$7:$G$31,"Mechanical",$F$7:$F$31)</f>
        <v>0</v>
      </c>
      <c r="D40" s="122">
        <f>+C40+'27'!D40</f>
        <v>700</v>
      </c>
      <c r="E40" s="147">
        <f t="shared" si="0"/>
        <v>11.666666666666666</v>
      </c>
      <c r="F40" s="372">
        <v>480</v>
      </c>
      <c r="G40" s="372">
        <v>422.4</v>
      </c>
      <c r="H40" s="190" t="s">
        <v>70</v>
      </c>
      <c r="I40" s="122">
        <f>(K34+L34)/1000</f>
        <v>70.376999999999995</v>
      </c>
      <c r="J40" s="135">
        <f>+I40+'27'!J40</f>
        <v>1613.8469999999998</v>
      </c>
      <c r="K40" s="134" t="s">
        <v>66</v>
      </c>
      <c r="L40" s="439"/>
      <c r="M40" s="440"/>
    </row>
    <row r="41" spans="1:14" ht="17.45" customHeight="1">
      <c r="A41" s="799" t="s">
        <v>71</v>
      </c>
      <c r="B41" s="800"/>
      <c r="C41" s="168">
        <f>SUMIF($G$7:$G$31,"Electrical",$F$7:$F$31)</f>
        <v>0</v>
      </c>
      <c r="D41" s="122">
        <f>+C41+'27'!D41</f>
        <v>315</v>
      </c>
      <c r="E41" s="147">
        <f t="shared" si="0"/>
        <v>5.25</v>
      </c>
      <c r="F41" s="372"/>
      <c r="G41" s="372"/>
      <c r="H41" s="190" t="s">
        <v>72</v>
      </c>
      <c r="I41" s="146"/>
      <c r="J41" s="133">
        <f>J40/G4</f>
        <v>57.637392857142849</v>
      </c>
      <c r="K41" s="134" t="s">
        <v>66</v>
      </c>
      <c r="L41" s="439"/>
      <c r="M41" s="440"/>
    </row>
    <row r="42" spans="1:14" ht="17.45" customHeight="1">
      <c r="A42" s="799" t="s">
        <v>17</v>
      </c>
      <c r="B42" s="800"/>
      <c r="C42" s="168">
        <f>SUMIF($G$7:$G$31,"Instrument",$F$7:$F$31)</f>
        <v>0</v>
      </c>
      <c r="D42" s="122">
        <f>+C42+'27'!D42</f>
        <v>0</v>
      </c>
      <c r="E42" s="147">
        <f t="shared" si="0"/>
        <v>0</v>
      </c>
      <c r="F42" s="372">
        <f>+(F38*480+F40*480+F39*480)/1440</f>
        <v>483.64583333333331</v>
      </c>
      <c r="G42" s="372">
        <f>+(G38*480+G40*480+G39*480)/1440</f>
        <v>425.60833333333335</v>
      </c>
      <c r="H42" s="190" t="s">
        <v>73</v>
      </c>
      <c r="I42" s="248" t="s">
        <v>669</v>
      </c>
      <c r="J42" s="136"/>
      <c r="K42" s="134" t="s">
        <v>74</v>
      </c>
      <c r="L42" s="439"/>
      <c r="M42" s="440"/>
    </row>
    <row r="43" spans="1:14" ht="17.45" customHeight="1">
      <c r="A43" s="799" t="s">
        <v>75</v>
      </c>
      <c r="B43" s="800"/>
      <c r="C43" s="168">
        <f>SUMIF($G$7:$G$31,"Water",$F$7:$F$31)</f>
        <v>0</v>
      </c>
      <c r="D43" s="122">
        <f>+C43+'27'!D43</f>
        <v>5</v>
      </c>
      <c r="E43" s="147">
        <f t="shared" si="0"/>
        <v>8.3333333333333329E-2</v>
      </c>
      <c r="F43" s="372"/>
      <c r="G43" s="373"/>
      <c r="H43" s="191" t="s">
        <v>76</v>
      </c>
      <c r="I43" s="122">
        <f>+Report1!AH36</f>
        <v>108.955</v>
      </c>
      <c r="J43" s="137">
        <f>+I43+'27'!J43</f>
        <v>3259.9509999999991</v>
      </c>
      <c r="K43" s="134" t="s">
        <v>66</v>
      </c>
      <c r="L43" s="441">
        <f>+Report1!AN36</f>
        <v>7</v>
      </c>
      <c r="M43" s="442">
        <f>+L43+'27'!M43</f>
        <v>287.89175181394415</v>
      </c>
    </row>
    <row r="44" spans="1:14" ht="17.45" customHeight="1">
      <c r="A44" s="799" t="s">
        <v>18</v>
      </c>
      <c r="B44" s="800"/>
      <c r="C44" s="168">
        <f>SUMIF($G$7:$G$31,"PLN",$F$7:$F$31)</f>
        <v>0</v>
      </c>
      <c r="D44" s="122">
        <f>+C44+'27'!D44</f>
        <v>105</v>
      </c>
      <c r="E44" s="147">
        <f t="shared" si="0"/>
        <v>1.75</v>
      </c>
      <c r="F44" s="372"/>
      <c r="G44" s="373"/>
      <c r="H44" s="191" t="s">
        <v>77</v>
      </c>
      <c r="I44" s="122">
        <f>I43/I38</f>
        <v>1.5399564676616913</v>
      </c>
      <c r="J44" s="138">
        <f>J43/J38</f>
        <v>1.9695375625458402</v>
      </c>
      <c r="K44" s="134" t="s">
        <v>66</v>
      </c>
      <c r="L44" s="443">
        <f>+L43/I38</f>
        <v>9.8937132519222051E-2</v>
      </c>
      <c r="M44" s="444">
        <f>+M43/J38</f>
        <v>0.17393317235280153</v>
      </c>
    </row>
    <row r="45" spans="1:14" ht="17.45" customHeight="1">
      <c r="A45" s="799" t="s">
        <v>19</v>
      </c>
      <c r="B45" s="800"/>
      <c r="C45" s="168">
        <f>SUMIF($G$7:$G$31,"Boiler",$F$7:$F$31)</f>
        <v>0</v>
      </c>
      <c r="D45" s="122">
        <f>+C45+'27'!D45</f>
        <v>0</v>
      </c>
      <c r="E45" s="147">
        <f t="shared" si="0"/>
        <v>0</v>
      </c>
      <c r="F45" s="372"/>
      <c r="G45" s="375"/>
      <c r="H45" s="191" t="s">
        <v>78</v>
      </c>
      <c r="I45" s="122">
        <f>I43/I40</f>
        <v>1.5481620415760833</v>
      </c>
      <c r="J45" s="138">
        <f>J43/J40</f>
        <v>2.019987644429738</v>
      </c>
      <c r="K45" s="134" t="s">
        <v>66</v>
      </c>
      <c r="L45" s="443">
        <f>+L43/I40</f>
        <v>9.9464313625190051E-2</v>
      </c>
      <c r="M45" s="444">
        <f>+M43/J40</f>
        <v>0.17838850387548769</v>
      </c>
    </row>
    <row r="46" spans="1:14" ht="17.45" customHeight="1">
      <c r="A46" s="799" t="s">
        <v>79</v>
      </c>
      <c r="B46" s="800"/>
      <c r="C46" s="168">
        <f>SUMIF($G$7:$G$31,"Gas",$F$7:$F$31)</f>
        <v>0</v>
      </c>
      <c r="D46" s="122">
        <f>+C46+'27'!D46</f>
        <v>0</v>
      </c>
      <c r="E46" s="147">
        <f t="shared" si="0"/>
        <v>0</v>
      </c>
      <c r="F46" s="372"/>
      <c r="G46" s="373"/>
      <c r="H46" s="191" t="s">
        <v>80</v>
      </c>
      <c r="I46" s="144">
        <f>+SUMIF(Listrik!AC35,"&gt;0")</f>
        <v>33850.089999999414</v>
      </c>
      <c r="J46" s="139">
        <f>+I46+'27'!J46</f>
        <v>936235.66999999993</v>
      </c>
      <c r="K46" s="134" t="s">
        <v>81</v>
      </c>
      <c r="L46" s="443">
        <f>+Listrik!AF35</f>
        <v>22782</v>
      </c>
      <c r="M46" s="445">
        <f>+L46+'27'!M46</f>
        <v>179584.8</v>
      </c>
    </row>
    <row r="47" spans="1:14" ht="17.45" customHeight="1">
      <c r="A47" s="799" t="s">
        <v>82</v>
      </c>
      <c r="B47" s="800"/>
      <c r="C47" s="168">
        <f>SUMIF($G$7:$G$31,"Gas",$F$7:$F$31)</f>
        <v>0</v>
      </c>
      <c r="D47" s="122">
        <f>+C47+'27'!D47</f>
        <v>0</v>
      </c>
      <c r="E47" s="147">
        <f t="shared" si="0"/>
        <v>0</v>
      </c>
      <c r="F47" s="372"/>
      <c r="G47" s="373"/>
      <c r="H47" s="191" t="s">
        <v>83</v>
      </c>
      <c r="I47" s="122">
        <f>I46/I38</f>
        <v>478.43297715964792</v>
      </c>
      <c r="J47" s="139">
        <f>J46/J38</f>
        <v>565.63774101520914</v>
      </c>
      <c r="K47" s="134" t="s">
        <v>25</v>
      </c>
      <c r="L47" s="443">
        <f>+L46/I38</f>
        <v>321.99796472184528</v>
      </c>
      <c r="M47" s="444">
        <f>+M46/J38</f>
        <v>108.49825941012067</v>
      </c>
    </row>
    <row r="48" spans="1:14" ht="17.45" customHeight="1">
      <c r="A48" s="799" t="s">
        <v>15</v>
      </c>
      <c r="B48" s="800"/>
      <c r="C48" s="168">
        <f>SUMIF($G$7:$G$31,"Start Up",$F$7:$F$31)</f>
        <v>0</v>
      </c>
      <c r="D48" s="122">
        <f>+C48+'27'!D48</f>
        <v>0</v>
      </c>
      <c r="E48" s="147">
        <f t="shared" si="0"/>
        <v>0</v>
      </c>
      <c r="F48" s="372"/>
      <c r="G48" s="373"/>
      <c r="H48" s="191" t="s">
        <v>84</v>
      </c>
      <c r="I48" s="122">
        <f>I46/I40</f>
        <v>480.98228114297876</v>
      </c>
      <c r="J48" s="139">
        <f>J46/J40</f>
        <v>580.12666008611723</v>
      </c>
      <c r="K48" s="134" t="s">
        <v>25</v>
      </c>
      <c r="L48" s="443">
        <f>+L46/I38</f>
        <v>321.99796472184528</v>
      </c>
      <c r="M48" s="444">
        <f>+M46/J40</f>
        <v>111.27746310523861</v>
      </c>
    </row>
    <row r="49" spans="1:13" ht="17.45" customHeight="1">
      <c r="A49" s="799" t="s">
        <v>21</v>
      </c>
      <c r="B49" s="800"/>
      <c r="C49" s="168">
        <f>SUMIF($G$7:$G$31,"Others",$F$7:$F$31)</f>
        <v>0</v>
      </c>
      <c r="D49" s="122">
        <f>+C49+'27'!D49</f>
        <v>1440</v>
      </c>
      <c r="E49" s="147">
        <f t="shared" si="0"/>
        <v>24</v>
      </c>
      <c r="F49" s="188"/>
      <c r="H49" s="191" t="s">
        <v>85</v>
      </c>
      <c r="I49" s="122">
        <f>+Report1!AB36</f>
        <v>0</v>
      </c>
      <c r="J49" s="139">
        <f>+I49+'27'!J49</f>
        <v>0</v>
      </c>
      <c r="K49" s="134" t="s">
        <v>86</v>
      </c>
      <c r="L49" s="439"/>
      <c r="M49" s="440"/>
    </row>
    <row r="50" spans="1:13" ht="17.45" customHeight="1">
      <c r="A50" s="799" t="s">
        <v>20</v>
      </c>
      <c r="B50" s="800"/>
      <c r="C50" s="168">
        <f>SUMIF($G$7:$G$31,"Steam",$F$7:$F$31)</f>
        <v>0</v>
      </c>
      <c r="D50" s="122">
        <f>+C50+'27'!D50</f>
        <v>0</v>
      </c>
      <c r="E50" s="147">
        <f t="shared" si="0"/>
        <v>0</v>
      </c>
      <c r="F50" s="188"/>
      <c r="H50" s="191" t="s">
        <v>87</v>
      </c>
      <c r="I50" s="144">
        <f>I49/I38</f>
        <v>0</v>
      </c>
      <c r="J50" s="137">
        <f>J49/J38</f>
        <v>0</v>
      </c>
      <c r="K50" s="134" t="s">
        <v>86</v>
      </c>
      <c r="L50" s="439"/>
      <c r="M50" s="440"/>
    </row>
    <row r="51" spans="1:13" ht="17.45" customHeight="1" thickBot="1">
      <c r="A51" s="805" t="s">
        <v>88</v>
      </c>
      <c r="B51" s="806"/>
      <c r="C51" s="168">
        <f>SUMIF($G$7:$G$31,"Planned shut",$F$7:$F$31)</f>
        <v>0</v>
      </c>
      <c r="D51" s="122">
        <f>+C51+'27'!D51</f>
        <v>0</v>
      </c>
      <c r="E51" s="147">
        <f t="shared" si="0"/>
        <v>0</v>
      </c>
      <c r="F51" s="188"/>
      <c r="H51" s="193" t="s">
        <v>89</v>
      </c>
      <c r="I51" s="145">
        <f>I49/I40</f>
        <v>0</v>
      </c>
      <c r="J51" s="140">
        <f>J49/J40</f>
        <v>0</v>
      </c>
      <c r="K51" s="141" t="s">
        <v>86</v>
      </c>
      <c r="L51" s="439"/>
      <c r="M51" s="440"/>
    </row>
    <row r="52" spans="1:13" ht="13.5" thickBot="1">
      <c r="A52" s="803" t="s">
        <v>29</v>
      </c>
      <c r="B52" s="804"/>
      <c r="C52" s="148">
        <f>SUM(C38:C51)</f>
        <v>20</v>
      </c>
      <c r="D52" s="148">
        <f>SUM(D38:D51)</f>
        <v>3648</v>
      </c>
      <c r="E52" s="149">
        <f>SUM(E38:E51)</f>
        <v>60.800000000000004</v>
      </c>
      <c r="F52" s="188"/>
      <c r="H52" s="194"/>
      <c r="I52" s="195"/>
      <c r="J52" s="142"/>
      <c r="K52" s="143"/>
      <c r="L52" s="446"/>
      <c r="M52" s="447"/>
    </row>
    <row r="53" spans="1:13" ht="13.5" thickBot="1">
      <c r="A53" s="807"/>
      <c r="B53" s="808"/>
      <c r="C53" s="150">
        <f>C52/(24*60)</f>
        <v>1.3888888888888888E-2</v>
      </c>
      <c r="D53" s="150">
        <f>D52/(24*60*G4)</f>
        <v>9.0476190476190474E-2</v>
      </c>
      <c r="E53" s="151">
        <f>E52/(G4*24)</f>
        <v>9.0476190476190488E-2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90</v>
      </c>
      <c r="B56" s="198"/>
      <c r="C56" s="199"/>
      <c r="D56" s="199"/>
      <c r="E56" s="199"/>
      <c r="F56" s="200"/>
      <c r="G56" s="199"/>
      <c r="H56" s="201"/>
      <c r="I56" s="202" t="s">
        <v>91</v>
      </c>
      <c r="J56" s="203">
        <f>+D34+'27'!J56</f>
        <v>19602</v>
      </c>
      <c r="K56" s="204">
        <f>J56/(J40+J56/1000)/1000</f>
        <v>1.2000374667344988E-2</v>
      </c>
    </row>
    <row r="57" spans="1:13">
      <c r="A57" s="179"/>
      <c r="I57" s="202" t="s">
        <v>92</v>
      </c>
      <c r="J57" s="203">
        <f>+E34+'27'!J57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48:B48"/>
    <mergeCell ref="A49:B49"/>
    <mergeCell ref="A50:B50"/>
    <mergeCell ref="A51:B51"/>
    <mergeCell ref="A41:B41"/>
    <mergeCell ref="A52:B52"/>
    <mergeCell ref="A53:B53"/>
    <mergeCell ref="A42:B42"/>
    <mergeCell ref="A43:B43"/>
    <mergeCell ref="A44:B44"/>
    <mergeCell ref="A45:B45"/>
    <mergeCell ref="A46:B46"/>
    <mergeCell ref="A47:B47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1" type="noConversion"/>
  <printOptions horizontalCentered="1"/>
  <pageMargins left="0.05" right="0.05" top="0.19513888888888889" bottom="0.39027777777777778" header="0" footer="0"/>
  <pageSetup paperSize="9" scale="63" firstPageNumber="4294963191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pageSetUpPr fitToPage="1"/>
  </sheetPr>
  <dimension ref="A1:O61"/>
  <sheetViews>
    <sheetView topLeftCell="A16" zoomScale="80" zoomScaleNormal="80" workbookViewId="0">
      <selection activeCell="G42" sqref="G42"/>
    </sheetView>
  </sheetViews>
  <sheetFormatPr defaultColWidth="9.140625" defaultRowHeight="12.75"/>
  <cols>
    <col min="1" max="1" width="8" style="153" customWidth="1"/>
    <col min="2" max="2" width="7" style="153" bestFit="1" customWidth="1"/>
    <col min="3" max="3" width="14.85546875" style="153" bestFit="1" customWidth="1"/>
    <col min="4" max="4" width="12.5703125" style="153" bestFit="1" customWidth="1"/>
    <col min="5" max="5" width="13.85546875" style="153" bestFit="1" customWidth="1"/>
    <col min="6" max="6" width="12.140625" style="114" bestFit="1" customWidth="1"/>
    <col min="7" max="7" width="11.42578125" style="153" bestFit="1" customWidth="1"/>
    <col min="8" max="8" width="64.85546875" style="153" customWidth="1"/>
    <col min="9" max="9" width="14.7109375" style="153" bestFit="1" customWidth="1"/>
    <col min="10" max="10" width="22.28515625" style="153" customWidth="1"/>
    <col min="11" max="11" width="12.5703125" style="153" bestFit="1" customWidth="1"/>
    <col min="12" max="12" width="8.28515625" style="153" customWidth="1"/>
    <col min="13" max="13" width="15.85546875" style="153" customWidth="1"/>
    <col min="14" max="16384" width="9.140625" style="153"/>
  </cols>
  <sheetData>
    <row r="1" spans="1:15" ht="15.75">
      <c r="A1" s="152"/>
    </row>
    <row r="2" spans="1:15" ht="15.75">
      <c r="A2" s="152" t="s">
        <v>175</v>
      </c>
    </row>
    <row r="3" spans="1:15" ht="15">
      <c r="A3" s="154"/>
    </row>
    <row r="4" spans="1:15" ht="20.25">
      <c r="A4" s="155" t="s">
        <v>4</v>
      </c>
      <c r="B4" s="156"/>
      <c r="F4" s="157" t="s">
        <v>31</v>
      </c>
      <c r="G4" s="158">
        <v>27</v>
      </c>
      <c r="H4" s="158" t="str">
        <f>+'1'!H4</f>
        <v>.12.25</v>
      </c>
    </row>
    <row r="5" spans="1:15" ht="13.5" thickBot="1">
      <c r="C5" s="159"/>
      <c r="D5" s="159"/>
    </row>
    <row r="6" spans="1:15" ht="26.25" thickBot="1">
      <c r="A6" s="160" t="s">
        <v>50</v>
      </c>
      <c r="B6" s="161" t="s">
        <v>10</v>
      </c>
      <c r="C6" s="161" t="s">
        <v>51</v>
      </c>
      <c r="D6" s="161" t="s">
        <v>52</v>
      </c>
      <c r="E6" s="162" t="s">
        <v>53</v>
      </c>
      <c r="F6" s="106" t="s">
        <v>54</v>
      </c>
      <c r="G6" s="161" t="s">
        <v>55</v>
      </c>
      <c r="H6" s="163" t="s">
        <v>56</v>
      </c>
      <c r="I6" s="164" t="s">
        <v>57</v>
      </c>
      <c r="J6" s="165" t="s">
        <v>10</v>
      </c>
      <c r="K6" s="166" t="s">
        <v>58</v>
      </c>
      <c r="L6" s="213" t="s">
        <v>143</v>
      </c>
      <c r="M6" s="167" t="s">
        <v>59</v>
      </c>
      <c r="N6" s="153">
        <f>530+290+342</f>
        <v>1162</v>
      </c>
    </row>
    <row r="7" spans="1:15" ht="13.5" customHeight="1" thickBot="1">
      <c r="A7" s="789" t="s">
        <v>414</v>
      </c>
      <c r="B7" s="218" t="s">
        <v>658</v>
      </c>
      <c r="C7" s="219">
        <v>25918</v>
      </c>
      <c r="D7" s="220"/>
      <c r="E7" s="221"/>
      <c r="F7" s="230"/>
      <c r="G7" s="231" t="s">
        <v>13</v>
      </c>
      <c r="H7" s="232" t="s">
        <v>395</v>
      </c>
      <c r="I7" s="792" t="s">
        <v>656</v>
      </c>
      <c r="J7" s="217" t="str">
        <f>+'26'!J7</f>
        <v>TW 38 RC BR</v>
      </c>
      <c r="K7" s="240"/>
      <c r="L7" s="244"/>
      <c r="M7" s="121">
        <f>+K7+'26'!M7+L7</f>
        <v>78513</v>
      </c>
    </row>
    <row r="8" spans="1:15" ht="13.5" thickBot="1">
      <c r="A8" s="790"/>
      <c r="B8" s="218"/>
      <c r="C8" s="219"/>
      <c r="D8" s="220"/>
      <c r="E8" s="222"/>
      <c r="F8" s="233"/>
      <c r="G8" s="234" t="s">
        <v>13</v>
      </c>
      <c r="H8" s="232" t="s">
        <v>424</v>
      </c>
      <c r="I8" s="793"/>
      <c r="J8" s="217" t="str">
        <f>+'26'!J8</f>
        <v>TW 36 RC BR</v>
      </c>
      <c r="K8" s="241"/>
      <c r="L8" s="241"/>
      <c r="M8" s="121">
        <f>+K8+'26'!M8+L8</f>
        <v>1530</v>
      </c>
      <c r="N8" s="153">
        <v>530</v>
      </c>
      <c r="O8" s="153">
        <f>+N8-N8*0.12</f>
        <v>466.4</v>
      </c>
    </row>
    <row r="9" spans="1:15" ht="13.5" thickBot="1">
      <c r="A9" s="790"/>
      <c r="B9" s="218"/>
      <c r="C9" s="219"/>
      <c r="D9" s="220"/>
      <c r="E9" s="223"/>
      <c r="F9" s="230">
        <v>4</v>
      </c>
      <c r="G9" s="234" t="s">
        <v>13</v>
      </c>
      <c r="H9" s="235" t="s">
        <v>226</v>
      </c>
      <c r="I9" s="793"/>
      <c r="J9" s="217" t="str">
        <f>+'26'!J9</f>
        <v>N 20 RC BR</v>
      </c>
      <c r="K9" s="241"/>
      <c r="L9" s="241"/>
      <c r="M9" s="121">
        <f>+K9+'26'!M9+L9</f>
        <v>74204</v>
      </c>
    </row>
    <row r="10" spans="1:15" ht="13.5" thickBot="1">
      <c r="A10" s="790"/>
      <c r="B10" s="218"/>
      <c r="C10" s="219"/>
      <c r="D10" s="220"/>
      <c r="E10" s="222"/>
      <c r="F10" s="230"/>
      <c r="G10" s="234"/>
      <c r="H10" s="235" t="s">
        <v>655</v>
      </c>
      <c r="I10" s="793"/>
      <c r="J10" s="217" t="str">
        <f>+'26'!J10</f>
        <v>TW 17 RC HW</v>
      </c>
      <c r="K10" s="241"/>
      <c r="L10" s="241"/>
      <c r="M10" s="121">
        <f>+K10+'26'!M10+L10</f>
        <v>99162</v>
      </c>
    </row>
    <row r="11" spans="1:15" ht="13.5" thickBot="1">
      <c r="A11" s="790"/>
      <c r="B11" s="218"/>
      <c r="C11" s="219"/>
      <c r="D11" s="220"/>
      <c r="E11" s="222"/>
      <c r="F11" s="230"/>
      <c r="G11" s="234"/>
      <c r="H11" s="235"/>
      <c r="I11" s="793"/>
      <c r="J11" s="217" t="str">
        <f>+'26'!J11</f>
        <v>N 15,5 RC HW</v>
      </c>
      <c r="K11" s="241"/>
      <c r="L11" s="241"/>
      <c r="M11" s="121">
        <f>+K11+'26'!M11+L11</f>
        <v>159490</v>
      </c>
    </row>
    <row r="12" spans="1:15" ht="13.5" thickBot="1">
      <c r="A12" s="790"/>
      <c r="B12" s="218"/>
      <c r="C12" s="219"/>
      <c r="D12" s="220"/>
      <c r="E12" s="222"/>
      <c r="F12" s="230"/>
      <c r="G12" s="234"/>
      <c r="H12" s="235"/>
      <c r="I12" s="793"/>
      <c r="J12" s="217" t="str">
        <f>+'26'!J12</f>
        <v>N 17 RC HW</v>
      </c>
      <c r="K12" s="241"/>
      <c r="L12" s="241"/>
      <c r="M12" s="121">
        <f>+K12+'26'!M12+L12</f>
        <v>6572</v>
      </c>
    </row>
    <row r="13" spans="1:15" ht="13.5" thickBot="1">
      <c r="A13" s="790"/>
      <c r="B13" s="218"/>
      <c r="C13" s="219"/>
      <c r="D13" s="219"/>
      <c r="E13" s="222"/>
      <c r="F13" s="230"/>
      <c r="G13" s="234"/>
      <c r="H13" s="235"/>
      <c r="I13" s="794"/>
      <c r="J13" s="217" t="str">
        <f>+'26'!J13</f>
        <v>N 16,5 RC HW</v>
      </c>
      <c r="K13" s="241"/>
      <c r="L13" s="241"/>
      <c r="M13" s="121">
        <f>+K13+'26'!M13+L13</f>
        <v>18880</v>
      </c>
    </row>
    <row r="14" spans="1:15" ht="13.5" thickBot="1">
      <c r="A14" s="791"/>
      <c r="B14" s="169" t="s">
        <v>3</v>
      </c>
      <c r="C14" s="103">
        <f>SUM(C7:C13)</f>
        <v>25918</v>
      </c>
      <c r="D14" s="115">
        <f>SUM(D7:D13)</f>
        <v>0</v>
      </c>
      <c r="E14" s="116">
        <f>SUM(E5:E13)</f>
        <v>0</v>
      </c>
      <c r="F14" s="106">
        <f>SUM(F6:F13)</f>
        <v>4</v>
      </c>
      <c r="G14" s="163"/>
      <c r="H14" s="170"/>
      <c r="I14" s="171"/>
      <c r="J14" s="217" t="str">
        <f>+'26'!J14</f>
        <v>N 20 RC HW</v>
      </c>
      <c r="K14" s="241"/>
      <c r="L14" s="241"/>
      <c r="M14" s="121">
        <f>+K14+'26'!M14+L14</f>
        <v>394199</v>
      </c>
    </row>
    <row r="15" spans="1:15" ht="13.5" customHeight="1" thickBot="1">
      <c r="A15" s="789" t="s">
        <v>631</v>
      </c>
      <c r="B15" s="169"/>
      <c r="C15" s="117">
        <f>C14/($C$23+$D$23+$E$23)</f>
        <v>1.0400898912476424</v>
      </c>
      <c r="D15" s="118">
        <f>D14/($C$23+$D$23+$E$23)</f>
        <v>0</v>
      </c>
      <c r="E15" s="119">
        <f>E14/($C$23+$D$23+$E$23)</f>
        <v>0</v>
      </c>
      <c r="F15" s="230"/>
      <c r="G15" s="231" t="s">
        <v>13</v>
      </c>
      <c r="H15" s="232" t="s">
        <v>395</v>
      </c>
      <c r="I15" s="792" t="s">
        <v>656</v>
      </c>
      <c r="J15" s="217" t="str">
        <f>+'26'!J15</f>
        <v>N 18 RC HW</v>
      </c>
      <c r="K15" s="241"/>
      <c r="L15" s="241"/>
      <c r="M15" s="121">
        <f>+K15+'26'!M15+L15</f>
        <v>50657</v>
      </c>
    </row>
    <row r="16" spans="1:15" ht="13.5" thickBot="1">
      <c r="A16" s="795"/>
      <c r="B16" s="218" t="s">
        <v>658</v>
      </c>
      <c r="C16" s="224">
        <v>24169</v>
      </c>
      <c r="D16" s="225">
        <v>750</v>
      </c>
      <c r="E16" s="226"/>
      <c r="F16" s="233"/>
      <c r="G16" s="234" t="s">
        <v>13</v>
      </c>
      <c r="H16" s="232" t="s">
        <v>424</v>
      </c>
      <c r="I16" s="793"/>
      <c r="J16" s="217" t="str">
        <f>+'26'!J16</f>
        <v>TW 17,5 RC HW</v>
      </c>
      <c r="K16" s="241"/>
      <c r="L16" s="241"/>
      <c r="M16" s="121">
        <f>+K16+'26'!M16+L16</f>
        <v>11537</v>
      </c>
    </row>
    <row r="17" spans="1:14" ht="13.5" thickBot="1">
      <c r="A17" s="795"/>
      <c r="B17" s="218"/>
      <c r="C17" s="219"/>
      <c r="D17" s="220"/>
      <c r="E17" s="227"/>
      <c r="F17" s="230">
        <v>5</v>
      </c>
      <c r="G17" s="234" t="s">
        <v>13</v>
      </c>
      <c r="H17" s="235" t="s">
        <v>226</v>
      </c>
      <c r="I17" s="793"/>
      <c r="J17" s="217" t="str">
        <f>+'26'!J17</f>
        <v>TW 22 RC HW</v>
      </c>
      <c r="K17" s="241"/>
      <c r="L17" s="241"/>
      <c r="M17" s="121">
        <f>+K17+'26'!M17+L17</f>
        <v>100201</v>
      </c>
    </row>
    <row r="18" spans="1:14" ht="13.5" thickBot="1">
      <c r="A18" s="795"/>
      <c r="B18" s="218"/>
      <c r="C18" s="219"/>
      <c r="D18" s="220"/>
      <c r="E18" s="227"/>
      <c r="F18" s="230"/>
      <c r="G18" s="234"/>
      <c r="H18" s="235" t="s">
        <v>655</v>
      </c>
      <c r="I18" s="793"/>
      <c r="J18" s="217" t="str">
        <f>+'26'!J18</f>
        <v>TW 31,5 RC HW</v>
      </c>
      <c r="K18" s="241"/>
      <c r="L18" s="241"/>
      <c r="M18" s="121">
        <f>+K18+'26'!M18+L18</f>
        <v>108399</v>
      </c>
    </row>
    <row r="19" spans="1:14" ht="13.5" thickBot="1">
      <c r="A19" s="795"/>
      <c r="B19" s="218"/>
      <c r="C19" s="219"/>
      <c r="D19" s="220"/>
      <c r="E19" s="227"/>
      <c r="F19" s="237"/>
      <c r="G19" s="234"/>
      <c r="H19" s="235"/>
      <c r="I19" s="793"/>
      <c r="J19" s="217" t="str">
        <f>+'26'!J19</f>
        <v>TW 32 RC HW</v>
      </c>
      <c r="K19" s="241"/>
      <c r="L19" s="241"/>
      <c r="M19" s="121">
        <f>+K19+'26'!M19+L19</f>
        <v>12437</v>
      </c>
    </row>
    <row r="20" spans="1:14" ht="13.5" thickBot="1">
      <c r="A20" s="795"/>
      <c r="B20" s="218"/>
      <c r="C20" s="219"/>
      <c r="D20" s="220"/>
      <c r="E20" s="227"/>
      <c r="F20" s="230"/>
      <c r="G20" s="234"/>
      <c r="H20" s="235"/>
      <c r="I20" s="793"/>
      <c r="J20" s="217" t="str">
        <f>+'26'!J20</f>
        <v>TW 33,5 RC HW</v>
      </c>
      <c r="K20" s="241"/>
      <c r="L20" s="241"/>
      <c r="M20" s="121">
        <f>+K20+'26'!M20+L20</f>
        <v>9545</v>
      </c>
    </row>
    <row r="21" spans="1:14" ht="13.5" thickBot="1">
      <c r="A21" s="795"/>
      <c r="B21" s="218"/>
      <c r="C21" s="219"/>
      <c r="D21" s="220"/>
      <c r="E21" s="227"/>
      <c r="F21" s="233"/>
      <c r="G21" s="234"/>
      <c r="H21" s="235"/>
      <c r="I21" s="793"/>
      <c r="J21" s="217" t="str">
        <f>+'26'!J21</f>
        <v>TW 34 RC HW</v>
      </c>
      <c r="K21" s="241"/>
      <c r="L21" s="241"/>
      <c r="M21" s="121">
        <f>+K21+'26'!M21+L21</f>
        <v>155277</v>
      </c>
    </row>
    <row r="22" spans="1:14" ht="13.5" thickBot="1">
      <c r="A22" s="795"/>
      <c r="B22" s="218"/>
      <c r="C22" s="219"/>
      <c r="D22" s="220"/>
      <c r="E22" s="227"/>
      <c r="F22" s="238"/>
      <c r="G22" s="234"/>
      <c r="H22" s="235"/>
      <c r="I22" s="794"/>
      <c r="J22" s="217" t="str">
        <f>+'26'!J22</f>
        <v>TW 35,5 RC HW</v>
      </c>
      <c r="K22" s="241"/>
      <c r="L22" s="241"/>
      <c r="M22" s="121">
        <f>+K22+'26'!M22+L22</f>
        <v>98067</v>
      </c>
    </row>
    <row r="23" spans="1:14" ht="13.5" thickBot="1">
      <c r="A23" s="796"/>
      <c r="B23" s="169" t="s">
        <v>3</v>
      </c>
      <c r="C23" s="104">
        <f>SUM(C16:C22)</f>
        <v>24169</v>
      </c>
      <c r="D23" s="115">
        <f>SUM(D16:D22)</f>
        <v>750</v>
      </c>
      <c r="E23" s="116">
        <f>SUM(E18:E22)</f>
        <v>0</v>
      </c>
      <c r="F23" s="106">
        <f>SUM(F15:F22)</f>
        <v>5</v>
      </c>
      <c r="G23" s="163"/>
      <c r="H23" s="170"/>
      <c r="I23" s="172"/>
      <c r="J23" s="217" t="str">
        <f>+'26'!J23</f>
        <v>TW 36 RC HW</v>
      </c>
      <c r="K23" s="241"/>
      <c r="L23" s="241"/>
      <c r="M23" s="121">
        <f>+K23+'26'!M23+L23</f>
        <v>63613</v>
      </c>
    </row>
    <row r="24" spans="1:14" ht="13.5" customHeight="1" thickBot="1">
      <c r="A24" s="789" t="s">
        <v>486</v>
      </c>
      <c r="B24" s="173"/>
      <c r="C24" s="117">
        <f>C23/($C$23+$D$23+$E$23)</f>
        <v>0.96990248404831658</v>
      </c>
      <c r="D24" s="118">
        <f>D23/($C$23+$D$23+$E$23)</f>
        <v>3.0097515951683456E-2</v>
      </c>
      <c r="E24" s="119">
        <f>E23/($C$23+$D$23+$E$23)</f>
        <v>0</v>
      </c>
      <c r="F24" s="230"/>
      <c r="G24" s="231" t="s">
        <v>13</v>
      </c>
      <c r="H24" s="232" t="s">
        <v>395</v>
      </c>
      <c r="I24" s="792" t="s">
        <v>656</v>
      </c>
      <c r="J24" s="217" t="str">
        <f>+'26'!J24</f>
        <v>TW 38 RC HW</v>
      </c>
      <c r="K24" s="241">
        <f>+C34</f>
        <v>75625</v>
      </c>
      <c r="L24" s="241"/>
      <c r="M24" s="121">
        <f>+K24+'26'!M24+L24</f>
        <v>101187</v>
      </c>
    </row>
    <row r="25" spans="1:14" ht="13.5" thickBot="1">
      <c r="A25" s="795"/>
      <c r="B25" s="218" t="s">
        <v>658</v>
      </c>
      <c r="C25" s="228">
        <v>25538</v>
      </c>
      <c r="D25" s="220"/>
      <c r="E25" s="227"/>
      <c r="F25" s="233"/>
      <c r="G25" s="234" t="s">
        <v>13</v>
      </c>
      <c r="H25" s="232" t="s">
        <v>424</v>
      </c>
      <c r="I25" s="793"/>
      <c r="J25" s="217">
        <f>+'26'!J25</f>
        <v>0</v>
      </c>
      <c r="K25" s="241"/>
      <c r="L25" s="241"/>
      <c r="M25" s="121">
        <f>+K25+'26'!M25+L25</f>
        <v>0</v>
      </c>
    </row>
    <row r="26" spans="1:14" ht="13.5" thickBot="1">
      <c r="A26" s="795"/>
      <c r="B26" s="218"/>
      <c r="C26" s="228"/>
      <c r="D26" s="220"/>
      <c r="E26" s="229"/>
      <c r="F26" s="230">
        <v>5</v>
      </c>
      <c r="G26" s="234" t="s">
        <v>13</v>
      </c>
      <c r="H26" s="235" t="s">
        <v>226</v>
      </c>
      <c r="I26" s="793"/>
      <c r="J26" s="217">
        <f>+'26'!J26</f>
        <v>0</v>
      </c>
      <c r="K26" s="241"/>
      <c r="L26" s="241"/>
      <c r="M26" s="121">
        <f>+K26+'26'!M26+L26</f>
        <v>0</v>
      </c>
    </row>
    <row r="27" spans="1:14" ht="13.5" thickBot="1">
      <c r="A27" s="795"/>
      <c r="B27" s="218"/>
      <c r="C27" s="219"/>
      <c r="D27" s="220"/>
      <c r="E27" s="227"/>
      <c r="F27" s="230"/>
      <c r="G27" s="234"/>
      <c r="H27" s="235" t="s">
        <v>655</v>
      </c>
      <c r="I27" s="793"/>
      <c r="J27" s="217">
        <f>+'26'!J27</f>
        <v>0</v>
      </c>
      <c r="K27" s="241"/>
      <c r="L27" s="241"/>
      <c r="M27" s="121">
        <f>+K27+'26'!M27+L27</f>
        <v>0</v>
      </c>
    </row>
    <row r="28" spans="1:14" ht="13.5" thickBot="1">
      <c r="A28" s="795"/>
      <c r="B28" s="218"/>
      <c r="C28" s="219"/>
      <c r="D28" s="220"/>
      <c r="E28" s="227"/>
      <c r="F28" s="233"/>
      <c r="G28" s="234"/>
      <c r="H28" s="235"/>
      <c r="I28" s="793"/>
      <c r="J28" s="217">
        <f>+'26'!J28</f>
        <v>0</v>
      </c>
      <c r="K28" s="241"/>
      <c r="L28" s="241"/>
      <c r="M28" s="121">
        <f>+K28+'26'!M28+L28</f>
        <v>0</v>
      </c>
    </row>
    <row r="29" spans="1:14" ht="13.5" thickBot="1">
      <c r="A29" s="795"/>
      <c r="B29" s="218"/>
      <c r="C29" s="219"/>
      <c r="D29" s="220"/>
      <c r="E29" s="227"/>
      <c r="F29" s="238"/>
      <c r="G29" s="234"/>
      <c r="H29" s="235"/>
      <c r="I29" s="793"/>
      <c r="J29" s="217">
        <f>+'26'!J29</f>
        <v>0</v>
      </c>
      <c r="K29" s="241"/>
      <c r="L29" s="241"/>
      <c r="M29" s="121">
        <f>+K29+'26'!M29+L29</f>
        <v>0</v>
      </c>
    </row>
    <row r="30" spans="1:14" ht="13.5" thickBot="1">
      <c r="A30" s="795"/>
      <c r="B30" s="218"/>
      <c r="C30" s="228"/>
      <c r="D30" s="220"/>
      <c r="E30" s="227"/>
      <c r="F30" s="238"/>
      <c r="G30" s="234"/>
      <c r="H30" s="235"/>
      <c r="I30" s="793"/>
      <c r="J30" s="217">
        <f>+'26'!J30</f>
        <v>0</v>
      </c>
      <c r="K30" s="241"/>
      <c r="L30" s="241"/>
      <c r="M30" s="121">
        <f>+K30+'26'!M30+L30</f>
        <v>0</v>
      </c>
      <c r="N30" s="159"/>
    </row>
    <row r="31" spans="1:14" ht="13.5" customHeight="1" thickBot="1">
      <c r="A31" s="795"/>
      <c r="B31" s="218"/>
      <c r="C31" s="228"/>
      <c r="D31" s="220"/>
      <c r="E31" s="227"/>
      <c r="F31" s="238"/>
      <c r="G31" s="239"/>
      <c r="H31" s="236"/>
      <c r="I31" s="794"/>
      <c r="J31" s="217">
        <f>+'26'!J31</f>
        <v>0</v>
      </c>
      <c r="K31" s="241"/>
      <c r="L31" s="241"/>
      <c r="M31" s="121">
        <f>+K31+'26'!M31+L31</f>
        <v>0</v>
      </c>
    </row>
    <row r="32" spans="1:14" ht="13.5" thickBot="1">
      <c r="A32" s="796"/>
      <c r="B32" s="169" t="s">
        <v>3</v>
      </c>
      <c r="C32" s="103">
        <f>SUM(C25:C31)</f>
        <v>25538</v>
      </c>
      <c r="D32" s="104">
        <f>SUM(D25:D31)</f>
        <v>0</v>
      </c>
      <c r="E32" s="105">
        <f>SUM(E25:E31)</f>
        <v>0</v>
      </c>
      <c r="F32" s="106">
        <f>SUM(F24:F31)</f>
        <v>5</v>
      </c>
      <c r="G32" s="174"/>
      <c r="H32" s="175"/>
      <c r="I32" s="172"/>
      <c r="J32" s="217">
        <f>+'26'!J32</f>
        <v>0</v>
      </c>
      <c r="K32" s="243"/>
      <c r="L32" s="245"/>
      <c r="M32" s="121">
        <f>+K32+'26'!M32+L32</f>
        <v>0</v>
      </c>
    </row>
    <row r="33" spans="1:14" ht="13.5" thickBot="1">
      <c r="A33" s="176"/>
      <c r="B33" s="177"/>
      <c r="C33" s="107">
        <f>C32/($C$32+$D$32+$E$32)</f>
        <v>1</v>
      </c>
      <c r="D33" s="108">
        <f>D32/($C$32+$D$32+$E$32)</f>
        <v>0</v>
      </c>
      <c r="E33" s="109">
        <f>E32/($C$32+$D$32+$E$32)</f>
        <v>0</v>
      </c>
      <c r="F33" s="110"/>
      <c r="G33" s="178"/>
      <c r="H33" s="179"/>
      <c r="I33" s="180"/>
      <c r="J33" s="125"/>
      <c r="K33" s="126"/>
      <c r="L33" s="216"/>
      <c r="M33" s="123"/>
    </row>
    <row r="34" spans="1:14" ht="13.5" thickBot="1">
      <c r="A34" s="797" t="s">
        <v>60</v>
      </c>
      <c r="B34" s="798"/>
      <c r="C34" s="111">
        <f>C14+C23+C32</f>
        <v>75625</v>
      </c>
      <c r="D34" s="111">
        <f>D14+D23+D32</f>
        <v>750</v>
      </c>
      <c r="E34" s="111">
        <f>E14+E23+E32</f>
        <v>0</v>
      </c>
      <c r="F34" s="112">
        <f>F14+F23+F32</f>
        <v>14</v>
      </c>
      <c r="H34" s="181"/>
      <c r="I34" s="181"/>
      <c r="J34" s="127" t="s">
        <v>29</v>
      </c>
      <c r="K34" s="128">
        <f>SUM(K7:K32)</f>
        <v>75625</v>
      </c>
      <c r="L34" s="215">
        <f>SUM(L7:L32)</f>
        <v>0</v>
      </c>
      <c r="M34" s="124">
        <f>SUM(M7:M32)</f>
        <v>1543470</v>
      </c>
      <c r="N34" s="159"/>
    </row>
    <row r="35" spans="1:14" ht="13.5" thickBot="1">
      <c r="A35" s="182"/>
      <c r="B35" s="183"/>
      <c r="C35" s="108">
        <f>C34/($C$34+$D$34+$E$34)</f>
        <v>0.99018003273322419</v>
      </c>
      <c r="D35" s="108">
        <f>D34/($C$34+$D$34+$E$34)</f>
        <v>9.8199672667757774E-3</v>
      </c>
      <c r="E35" s="113">
        <f>E34/($C$34+$D$34+$E$34)</f>
        <v>0</v>
      </c>
      <c r="K35" s="159"/>
      <c r="L35" s="788" t="s">
        <v>186</v>
      </c>
      <c r="M35" s="788"/>
    </row>
    <row r="36" spans="1:14" ht="13.5" thickBot="1">
      <c r="A36" s="181"/>
      <c r="B36" s="181"/>
      <c r="C36" s="159"/>
      <c r="D36" s="159"/>
      <c r="E36" s="159"/>
      <c r="G36" s="159"/>
      <c r="H36" s="184"/>
      <c r="I36" s="166" t="s">
        <v>42</v>
      </c>
      <c r="J36" s="166" t="s">
        <v>43</v>
      </c>
      <c r="K36" s="185"/>
      <c r="L36" s="166" t="s">
        <v>42</v>
      </c>
      <c r="M36" s="166" t="s">
        <v>43</v>
      </c>
    </row>
    <row r="37" spans="1:14" ht="17.45" customHeight="1" thickBot="1">
      <c r="A37" s="801" t="s">
        <v>61</v>
      </c>
      <c r="B37" s="802"/>
      <c r="C37" s="166" t="s">
        <v>62</v>
      </c>
      <c r="D37" s="186" t="s">
        <v>63</v>
      </c>
      <c r="E37" s="187" t="s">
        <v>64</v>
      </c>
      <c r="F37" s="379"/>
      <c r="G37" s="374"/>
      <c r="H37" s="189" t="s">
        <v>65</v>
      </c>
      <c r="I37" s="246">
        <f>(38*1440)/1440*G42*3.4*1440/1000000</f>
        <v>86.772787199999996</v>
      </c>
      <c r="J37" s="129">
        <f>+I37+'26'!J37</f>
        <v>1742.0843211044978</v>
      </c>
      <c r="K37" s="130" t="s">
        <v>66</v>
      </c>
      <c r="L37" s="437"/>
      <c r="M37" s="438"/>
    </row>
    <row r="38" spans="1:14" ht="17.45" customHeight="1">
      <c r="A38" s="803" t="s">
        <v>13</v>
      </c>
      <c r="B38" s="804"/>
      <c r="C38" s="168">
        <f>SUMIF($G$7:$G$31,"Process",$F$7:$F$31)</f>
        <v>14</v>
      </c>
      <c r="D38" s="122">
        <f>+C38+'26'!D38</f>
        <v>1063</v>
      </c>
      <c r="E38" s="147">
        <f t="shared" ref="E38:E51" si="0">D38/60</f>
        <v>17.716666666666665</v>
      </c>
      <c r="F38" s="372">
        <v>530</v>
      </c>
      <c r="G38" s="372">
        <f>+F38-F38*0.12</f>
        <v>466.4</v>
      </c>
      <c r="H38" s="190" t="s">
        <v>67</v>
      </c>
      <c r="I38" s="559">
        <f>26.101+26.524+25.679</f>
        <v>78.304000000000002</v>
      </c>
      <c r="J38" s="131">
        <f>+I38+'26'!J38</f>
        <v>1584.434</v>
      </c>
      <c r="K38" s="132" t="s">
        <v>66</v>
      </c>
      <c r="L38" s="439"/>
      <c r="M38" s="440"/>
      <c r="N38" s="560"/>
    </row>
    <row r="39" spans="1:14" ht="17.45" customHeight="1">
      <c r="A39" s="799" t="s">
        <v>14</v>
      </c>
      <c r="B39" s="800"/>
      <c r="C39" s="168">
        <f>SUMIF($G$7:$G$31,"Cleaning",$F$7:$F$31)</f>
        <v>0</v>
      </c>
      <c r="D39" s="122">
        <f>+C39+'26'!D39</f>
        <v>0</v>
      </c>
      <c r="E39" s="147">
        <f t="shared" si="0"/>
        <v>0</v>
      </c>
      <c r="F39" s="372">
        <v>530</v>
      </c>
      <c r="G39" s="372">
        <f>+F39-F39*0.12</f>
        <v>466.4</v>
      </c>
      <c r="H39" s="190" t="s">
        <v>68</v>
      </c>
      <c r="I39" s="146"/>
      <c r="J39" s="133">
        <f>J37/G4</f>
        <v>64.521641522388805</v>
      </c>
      <c r="K39" s="134" t="s">
        <v>66</v>
      </c>
      <c r="L39" s="439"/>
      <c r="M39" s="440"/>
    </row>
    <row r="40" spans="1:14" ht="17.45" customHeight="1">
      <c r="A40" s="799" t="s">
        <v>69</v>
      </c>
      <c r="B40" s="800"/>
      <c r="C40" s="168">
        <f>SUMIF($G$7:$G$31,"Mechanical",$F$7:$F$31)</f>
        <v>0</v>
      </c>
      <c r="D40" s="122">
        <f>+C40+'26'!D40</f>
        <v>700</v>
      </c>
      <c r="E40" s="147">
        <f t="shared" si="0"/>
        <v>11.666666666666666</v>
      </c>
      <c r="F40" s="372">
        <v>530</v>
      </c>
      <c r="G40" s="372">
        <f>+F40-F40*0.12</f>
        <v>466.4</v>
      </c>
      <c r="H40" s="190" t="s">
        <v>70</v>
      </c>
      <c r="I40" s="122">
        <f>(K34+L34)/1000</f>
        <v>75.625</v>
      </c>
      <c r="J40" s="135">
        <f>+I40+'26'!J40</f>
        <v>1543.4699999999998</v>
      </c>
      <c r="K40" s="134" t="s">
        <v>66</v>
      </c>
      <c r="L40" s="439"/>
      <c r="M40" s="440"/>
    </row>
    <row r="41" spans="1:14" ht="17.45" customHeight="1">
      <c r="A41" s="799" t="s">
        <v>71</v>
      </c>
      <c r="B41" s="800"/>
      <c r="C41" s="168">
        <f>SUMIF($G$7:$G$31,"Electrical",$F$7:$F$31)</f>
        <v>0</v>
      </c>
      <c r="D41" s="122">
        <f>+C41+'26'!D41</f>
        <v>315</v>
      </c>
      <c r="E41" s="147">
        <f t="shared" si="0"/>
        <v>5.25</v>
      </c>
      <c r="F41" s="372"/>
      <c r="G41" s="372"/>
      <c r="H41" s="190" t="s">
        <v>72</v>
      </c>
      <c r="I41" s="146"/>
      <c r="J41" s="133">
        <f>J40/G4</f>
        <v>57.165555555555549</v>
      </c>
      <c r="K41" s="134" t="s">
        <v>66</v>
      </c>
      <c r="L41" s="439"/>
      <c r="M41" s="440"/>
    </row>
    <row r="42" spans="1:14" ht="17.45" customHeight="1">
      <c r="A42" s="799" t="s">
        <v>17</v>
      </c>
      <c r="B42" s="800"/>
      <c r="C42" s="168">
        <f>SUMIF($G$7:$G$31,"Instrument",$F$7:$F$31)</f>
        <v>0</v>
      </c>
      <c r="D42" s="122">
        <f>+C42+'26'!D42</f>
        <v>0</v>
      </c>
      <c r="E42" s="147">
        <f t="shared" si="0"/>
        <v>0</v>
      </c>
      <c r="F42" s="372">
        <f>+(F38*480+F39*480+F40*480)/1440</f>
        <v>530</v>
      </c>
      <c r="G42" s="372">
        <f>+(G38*480+G39*480+G40*480)/1440</f>
        <v>466.4</v>
      </c>
      <c r="H42" s="190" t="s">
        <v>73</v>
      </c>
      <c r="I42" s="248" t="s">
        <v>656</v>
      </c>
      <c r="J42" s="136"/>
      <c r="K42" s="134" t="s">
        <v>74</v>
      </c>
      <c r="L42" s="439"/>
      <c r="M42" s="440"/>
    </row>
    <row r="43" spans="1:14" ht="17.45" customHeight="1">
      <c r="A43" s="799" t="s">
        <v>75</v>
      </c>
      <c r="B43" s="800"/>
      <c r="C43" s="168">
        <f>SUMIF($G$7:$G$31,"Water",$F$7:$F$31)</f>
        <v>0</v>
      </c>
      <c r="D43" s="122">
        <f>+C43+'26'!D43</f>
        <v>5</v>
      </c>
      <c r="E43" s="147">
        <f t="shared" si="0"/>
        <v>8.3333333333333329E-2</v>
      </c>
      <c r="F43" s="372"/>
      <c r="G43" s="373"/>
      <c r="H43" s="191" t="s">
        <v>76</v>
      </c>
      <c r="I43" s="122">
        <f>+Report1!AH35</f>
        <v>121.95500000000001</v>
      </c>
      <c r="J43" s="137">
        <f>+I43+'26'!J43</f>
        <v>3150.9959999999992</v>
      </c>
      <c r="K43" s="134" t="s">
        <v>66</v>
      </c>
      <c r="L43" s="441">
        <f>+Report1!AN35</f>
        <v>6.4</v>
      </c>
      <c r="M43" s="442">
        <f>+L43+'26'!M43</f>
        <v>280.89175181394415</v>
      </c>
    </row>
    <row r="44" spans="1:14" ht="17.45" customHeight="1">
      <c r="A44" s="799" t="s">
        <v>18</v>
      </c>
      <c r="B44" s="800"/>
      <c r="C44" s="168">
        <f>SUMIF($G$7:$G$31,"PLN",$F$7:$F$31)</f>
        <v>0</v>
      </c>
      <c r="D44" s="122">
        <f>+C44+'26'!D44</f>
        <v>105</v>
      </c>
      <c r="E44" s="147">
        <f t="shared" si="0"/>
        <v>1.75</v>
      </c>
      <c r="F44" s="372"/>
      <c r="G44" s="373"/>
      <c r="H44" s="191" t="s">
        <v>77</v>
      </c>
      <c r="I44" s="122">
        <f>I43/I38</f>
        <v>1.5574555578259095</v>
      </c>
      <c r="J44" s="138">
        <f>J43/J38</f>
        <v>1.9887202622513775</v>
      </c>
      <c r="K44" s="134" t="s">
        <v>66</v>
      </c>
      <c r="L44" s="443">
        <f>+L43/I38</f>
        <v>8.1732733959950968E-2</v>
      </c>
      <c r="M44" s="444">
        <f>+M43/J38</f>
        <v>0.17728207789907574</v>
      </c>
    </row>
    <row r="45" spans="1:14" ht="17.45" customHeight="1">
      <c r="A45" s="799" t="s">
        <v>19</v>
      </c>
      <c r="B45" s="800"/>
      <c r="C45" s="168">
        <f>SUMIF($G$7:$G$31,"Boiler",$F$7:$F$31)</f>
        <v>0</v>
      </c>
      <c r="D45" s="122">
        <f>+C45+'26'!D45</f>
        <v>0</v>
      </c>
      <c r="E45" s="147">
        <f t="shared" si="0"/>
        <v>0</v>
      </c>
      <c r="F45" s="372"/>
      <c r="G45" s="375"/>
      <c r="H45" s="191" t="s">
        <v>78</v>
      </c>
      <c r="I45" s="122">
        <f>I43/I40</f>
        <v>1.612628099173554</v>
      </c>
      <c r="J45" s="138">
        <f>J43/J40</f>
        <v>2.041501292542129</v>
      </c>
      <c r="K45" s="134" t="s">
        <v>66</v>
      </c>
      <c r="L45" s="443">
        <f>+L43/I40</f>
        <v>8.4628099173553725E-2</v>
      </c>
      <c r="M45" s="444">
        <f>+M43/J40</f>
        <v>0.18198717941647338</v>
      </c>
    </row>
    <row r="46" spans="1:14" ht="17.45" customHeight="1">
      <c r="A46" s="799" t="s">
        <v>79</v>
      </c>
      <c r="B46" s="800"/>
      <c r="C46" s="168">
        <f>SUMIF($G$7:$G$31,"Gas",$F$7:$F$31)</f>
        <v>0</v>
      </c>
      <c r="D46" s="122">
        <f>+C46+'26'!D46</f>
        <v>0</v>
      </c>
      <c r="E46" s="147">
        <f t="shared" si="0"/>
        <v>0</v>
      </c>
      <c r="F46" s="372"/>
      <c r="G46" s="373"/>
      <c r="H46" s="191" t="s">
        <v>80</v>
      </c>
      <c r="I46" s="144">
        <f>+SUMIF(Listrik!AC34,"&gt;0")</f>
        <v>31921.490000000365</v>
      </c>
      <c r="J46" s="139">
        <f>+I46+'26'!J46</f>
        <v>902385.58000000054</v>
      </c>
      <c r="K46" s="134" t="s">
        <v>81</v>
      </c>
      <c r="L46" s="443">
        <f>+Listrik!AF34</f>
        <v>7848</v>
      </c>
      <c r="M46" s="445">
        <f>+L46+'26'!M46</f>
        <v>156802.79999999999</v>
      </c>
    </row>
    <row r="47" spans="1:14" ht="17.45" customHeight="1">
      <c r="A47" s="799" t="s">
        <v>82</v>
      </c>
      <c r="B47" s="800"/>
      <c r="C47" s="168">
        <f>SUMIF($G$7:$G$31,"Gas",$F$7:$F$31)</f>
        <v>0</v>
      </c>
      <c r="D47" s="122">
        <f>+C47+'26'!D47</f>
        <v>0</v>
      </c>
      <c r="E47" s="147">
        <f t="shared" si="0"/>
        <v>0</v>
      </c>
      <c r="F47" s="372"/>
      <c r="G47" s="373"/>
      <c r="H47" s="191" t="s">
        <v>83</v>
      </c>
      <c r="I47" s="122">
        <f>I46/I38</f>
        <v>407.66103902738513</v>
      </c>
      <c r="J47" s="139">
        <f>J46/J38</f>
        <v>569.53182019572955</v>
      </c>
      <c r="K47" s="134" t="s">
        <v>25</v>
      </c>
      <c r="L47" s="443">
        <f>+L46/I38</f>
        <v>100.22476501838986</v>
      </c>
      <c r="M47" s="444">
        <f>+M46/J38</f>
        <v>98.964551379230684</v>
      </c>
    </row>
    <row r="48" spans="1:14" ht="17.45" customHeight="1">
      <c r="A48" s="799" t="s">
        <v>15</v>
      </c>
      <c r="B48" s="800"/>
      <c r="C48" s="168">
        <f>SUMIF($G$7:$G$31,"Start Up",$F$7:$F$31)</f>
        <v>0</v>
      </c>
      <c r="D48" s="122">
        <f>+C48+'26'!D48</f>
        <v>0</v>
      </c>
      <c r="E48" s="147">
        <f t="shared" si="0"/>
        <v>0</v>
      </c>
      <c r="F48" s="372"/>
      <c r="G48" s="373"/>
      <c r="H48" s="191" t="s">
        <v>84</v>
      </c>
      <c r="I48" s="122">
        <f>I46/I40</f>
        <v>422.10234710744282</v>
      </c>
      <c r="J48" s="139">
        <f>J46/J40</f>
        <v>584.64730768981622</v>
      </c>
      <c r="K48" s="134" t="s">
        <v>25</v>
      </c>
      <c r="L48" s="443">
        <f>+L46/I38</f>
        <v>100.22476501838986</v>
      </c>
      <c r="M48" s="444">
        <f>+M46/J40</f>
        <v>101.59109020583492</v>
      </c>
    </row>
    <row r="49" spans="1:13" ht="17.45" customHeight="1">
      <c r="A49" s="799" t="s">
        <v>21</v>
      </c>
      <c r="B49" s="800"/>
      <c r="C49" s="168">
        <f>SUMIF($G$7:$G$31,"Others",$F$7:$F$31)</f>
        <v>0</v>
      </c>
      <c r="D49" s="122">
        <f>+C49+'26'!D49</f>
        <v>1440</v>
      </c>
      <c r="E49" s="147">
        <f t="shared" si="0"/>
        <v>24</v>
      </c>
      <c r="F49" s="188"/>
      <c r="H49" s="191" t="s">
        <v>85</v>
      </c>
      <c r="I49" s="122">
        <f>+Report1!AB35</f>
        <v>0</v>
      </c>
      <c r="J49" s="139">
        <f>+I49+'26'!J49</f>
        <v>0</v>
      </c>
      <c r="K49" s="134" t="s">
        <v>86</v>
      </c>
      <c r="L49" s="439"/>
      <c r="M49" s="440"/>
    </row>
    <row r="50" spans="1:13" ht="17.45" customHeight="1">
      <c r="A50" s="799" t="s">
        <v>20</v>
      </c>
      <c r="B50" s="800"/>
      <c r="C50" s="168">
        <f>SUMIF($G$7:$G$31,"Steam",$F$7:$F$31)</f>
        <v>0</v>
      </c>
      <c r="D50" s="122">
        <f>+C50+'26'!D50</f>
        <v>0</v>
      </c>
      <c r="E50" s="147">
        <f t="shared" si="0"/>
        <v>0</v>
      </c>
      <c r="F50" s="188"/>
      <c r="H50" s="191" t="s">
        <v>87</v>
      </c>
      <c r="I50" s="144">
        <f>I49/I38</f>
        <v>0</v>
      </c>
      <c r="J50" s="137">
        <f>J49/J38</f>
        <v>0</v>
      </c>
      <c r="K50" s="134" t="s">
        <v>86</v>
      </c>
      <c r="L50" s="439"/>
      <c r="M50" s="440"/>
    </row>
    <row r="51" spans="1:13" ht="17.45" customHeight="1" thickBot="1">
      <c r="A51" s="805" t="s">
        <v>88</v>
      </c>
      <c r="B51" s="806"/>
      <c r="C51" s="168">
        <f>SUMIF($G$7:$G$31,"Planned shut",$F$7:$F$31)</f>
        <v>0</v>
      </c>
      <c r="D51" s="122">
        <f>+C51+'26'!D51</f>
        <v>0</v>
      </c>
      <c r="E51" s="147">
        <f t="shared" si="0"/>
        <v>0</v>
      </c>
      <c r="F51" s="188"/>
      <c r="H51" s="193" t="s">
        <v>89</v>
      </c>
      <c r="I51" s="145">
        <f>I49/I40</f>
        <v>0</v>
      </c>
      <c r="J51" s="140">
        <f>J49/J40</f>
        <v>0</v>
      </c>
      <c r="K51" s="141" t="s">
        <v>86</v>
      </c>
      <c r="L51" s="439"/>
      <c r="M51" s="440"/>
    </row>
    <row r="52" spans="1:13" ht="13.5" thickBot="1">
      <c r="A52" s="803" t="s">
        <v>29</v>
      </c>
      <c r="B52" s="804"/>
      <c r="C52" s="148">
        <f>SUM(C38:C51)</f>
        <v>14</v>
      </c>
      <c r="D52" s="148">
        <f>SUM(D38:D51)</f>
        <v>3628</v>
      </c>
      <c r="E52" s="149">
        <f>SUM(E38:E51)</f>
        <v>60.466666666666669</v>
      </c>
      <c r="F52" s="188"/>
      <c r="H52" s="194"/>
      <c r="I52" s="195"/>
      <c r="J52" s="142"/>
      <c r="K52" s="143"/>
      <c r="L52" s="446"/>
      <c r="M52" s="447"/>
    </row>
    <row r="53" spans="1:13" ht="13.5" thickBot="1">
      <c r="A53" s="807"/>
      <c r="B53" s="808"/>
      <c r="C53" s="150">
        <f>C52/(24*60)</f>
        <v>9.7222222222222224E-3</v>
      </c>
      <c r="D53" s="150">
        <f>D52/(24*60*G4)</f>
        <v>9.3312757201646085E-2</v>
      </c>
      <c r="E53" s="151">
        <f>E52/(G4*24)</f>
        <v>9.3312757201646099E-2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90</v>
      </c>
      <c r="B56" s="198"/>
      <c r="C56" s="199"/>
      <c r="D56" s="199"/>
      <c r="E56" s="199"/>
      <c r="F56" s="200"/>
      <c r="G56" s="199"/>
      <c r="H56" s="201"/>
      <c r="I56" s="202" t="s">
        <v>91</v>
      </c>
      <c r="J56" s="203">
        <f>+D34+'26'!J56</f>
        <v>19602</v>
      </c>
      <c r="K56" s="204">
        <f>J56/(J40+J56/1000)/1000</f>
        <v>1.2540689104532614E-2</v>
      </c>
    </row>
    <row r="57" spans="1:13">
      <c r="A57" s="179"/>
      <c r="I57" s="202" t="s">
        <v>92</v>
      </c>
      <c r="J57" s="203">
        <f>+E34+'26'!J57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  <mergeCell ref="A43:B43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53:B53"/>
    <mergeCell ref="A47:B47"/>
    <mergeCell ref="A48:B48"/>
    <mergeCell ref="A49:B49"/>
    <mergeCell ref="A50:B50"/>
  </mergeCells>
  <phoneticPr fontId="31" type="noConversion"/>
  <printOptions horizontalCentered="1"/>
  <pageMargins left="0.74791666666666667" right="0.74791666666666667" top="0.39027777777777778" bottom="0.39027777777777778" header="0" footer="0"/>
  <pageSetup paperSize="9" scale="63" firstPageNumber="4294963191" orientation="landscape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O61"/>
  <sheetViews>
    <sheetView zoomScale="80" zoomScaleNormal="80" workbookViewId="0">
      <selection activeCell="A7" sqref="A7:A32"/>
    </sheetView>
  </sheetViews>
  <sheetFormatPr defaultColWidth="9.140625" defaultRowHeight="12.75"/>
  <cols>
    <col min="1" max="1" width="8" style="153" customWidth="1"/>
    <col min="2" max="2" width="7" style="153" bestFit="1" customWidth="1"/>
    <col min="3" max="3" width="15" style="153" bestFit="1" customWidth="1"/>
    <col min="4" max="4" width="12.5703125" style="153" bestFit="1" customWidth="1"/>
    <col min="5" max="5" width="13.85546875" style="153" bestFit="1" customWidth="1"/>
    <col min="6" max="6" width="12.140625" style="114" bestFit="1" customWidth="1"/>
    <col min="7" max="7" width="11.42578125" style="153" bestFit="1" customWidth="1"/>
    <col min="8" max="8" width="64.85546875" style="153" customWidth="1"/>
    <col min="9" max="9" width="14.7109375" style="153" bestFit="1" customWidth="1"/>
    <col min="10" max="10" width="21.7109375" style="153" bestFit="1" customWidth="1"/>
    <col min="11" max="11" width="14" style="153" bestFit="1" customWidth="1"/>
    <col min="12" max="12" width="8.28515625" style="153" customWidth="1"/>
    <col min="13" max="13" width="14.42578125" style="153" bestFit="1" customWidth="1"/>
    <col min="14" max="16384" width="9.140625" style="153"/>
  </cols>
  <sheetData>
    <row r="1" spans="1:15" ht="15.75">
      <c r="A1" s="152"/>
    </row>
    <row r="2" spans="1:15" ht="15.75">
      <c r="A2" s="152" t="s">
        <v>175</v>
      </c>
    </row>
    <row r="3" spans="1:15" ht="15">
      <c r="A3" s="154"/>
    </row>
    <row r="4" spans="1:15" ht="20.25">
      <c r="A4" s="155" t="s">
        <v>4</v>
      </c>
      <c r="B4" s="156"/>
      <c r="F4" s="157" t="s">
        <v>31</v>
      </c>
      <c r="G4" s="158">
        <v>26</v>
      </c>
      <c r="H4" s="158" t="str">
        <f>+'1'!H4</f>
        <v>.12.25</v>
      </c>
    </row>
    <row r="5" spans="1:15" ht="13.5" thickBot="1">
      <c r="C5" s="159"/>
      <c r="D5" s="159"/>
    </row>
    <row r="6" spans="1:15" ht="26.25" thickBot="1">
      <c r="A6" s="160" t="s">
        <v>50</v>
      </c>
      <c r="B6" s="161" t="s">
        <v>10</v>
      </c>
      <c r="C6" s="161" t="s">
        <v>51</v>
      </c>
      <c r="D6" s="161" t="s">
        <v>52</v>
      </c>
      <c r="E6" s="162" t="s">
        <v>53</v>
      </c>
      <c r="F6" s="106" t="s">
        <v>54</v>
      </c>
      <c r="G6" s="161" t="s">
        <v>55</v>
      </c>
      <c r="H6" s="163" t="s">
        <v>56</v>
      </c>
      <c r="I6" s="164" t="s">
        <v>57</v>
      </c>
      <c r="J6" s="165" t="s">
        <v>10</v>
      </c>
      <c r="K6" s="166" t="s">
        <v>58</v>
      </c>
      <c r="L6" s="213" t="s">
        <v>143</v>
      </c>
      <c r="M6" s="167" t="s">
        <v>59</v>
      </c>
      <c r="N6" s="153">
        <f>332+0+354</f>
        <v>686</v>
      </c>
    </row>
    <row r="7" spans="1:15" ht="13.5" customHeight="1" thickBot="1">
      <c r="A7" s="789" t="s">
        <v>413</v>
      </c>
      <c r="B7" s="218" t="s">
        <v>446</v>
      </c>
      <c r="C7" s="219">
        <v>25233</v>
      </c>
      <c r="D7" s="220">
        <v>650</v>
      </c>
      <c r="E7" s="221"/>
      <c r="F7" s="230"/>
      <c r="G7" s="231" t="s">
        <v>13</v>
      </c>
      <c r="H7" s="232" t="s">
        <v>395</v>
      </c>
      <c r="I7" s="792" t="s">
        <v>656</v>
      </c>
      <c r="J7" s="217" t="str">
        <f>+'25'!J7</f>
        <v>TW 38 RC BR</v>
      </c>
      <c r="K7" s="240"/>
      <c r="L7" s="244"/>
      <c r="M7" s="121">
        <f>+K7+'25'!M7+L7</f>
        <v>78513</v>
      </c>
    </row>
    <row r="8" spans="1:15" ht="13.5" thickBot="1">
      <c r="A8" s="790"/>
      <c r="B8" s="218"/>
      <c r="C8" s="219"/>
      <c r="D8" s="220"/>
      <c r="E8" s="222"/>
      <c r="F8" s="233">
        <v>2</v>
      </c>
      <c r="G8" s="234" t="s">
        <v>13</v>
      </c>
      <c r="H8" s="232" t="s">
        <v>393</v>
      </c>
      <c r="I8" s="793"/>
      <c r="J8" s="217" t="str">
        <f>+'25'!J8</f>
        <v>TW 36 RC BR</v>
      </c>
      <c r="K8" s="241"/>
      <c r="L8" s="241"/>
      <c r="M8" s="121">
        <f>+K8+'25'!M8+L8</f>
        <v>1530</v>
      </c>
      <c r="N8" s="153">
        <v>530</v>
      </c>
      <c r="O8" s="153">
        <f>+N8-N8*0.12</f>
        <v>466.4</v>
      </c>
    </row>
    <row r="9" spans="1:15" ht="13.5" thickBot="1">
      <c r="A9" s="790"/>
      <c r="B9" s="218"/>
      <c r="C9" s="219"/>
      <c r="D9" s="220"/>
      <c r="E9" s="223"/>
      <c r="F9" s="230">
        <v>2</v>
      </c>
      <c r="G9" s="234" t="s">
        <v>13</v>
      </c>
      <c r="H9" s="235" t="s">
        <v>226</v>
      </c>
      <c r="I9" s="793"/>
      <c r="J9" s="217" t="str">
        <f>+'25'!J9</f>
        <v>N 20 RC BR</v>
      </c>
      <c r="K9" s="241"/>
      <c r="L9" s="241"/>
      <c r="M9" s="121">
        <f>+K9+'25'!M9+L9</f>
        <v>74204</v>
      </c>
    </row>
    <row r="10" spans="1:15" ht="13.5" thickBot="1">
      <c r="A10" s="790"/>
      <c r="B10" s="218"/>
      <c r="C10" s="219"/>
      <c r="D10" s="220"/>
      <c r="E10" s="222"/>
      <c r="F10" s="230"/>
      <c r="G10" s="234"/>
      <c r="H10" s="235" t="s">
        <v>653</v>
      </c>
      <c r="I10" s="793"/>
      <c r="J10" s="217" t="str">
        <f>+'25'!J10</f>
        <v>TW 17 RC HW</v>
      </c>
      <c r="K10" s="241"/>
      <c r="L10" s="241"/>
      <c r="M10" s="121">
        <f>+K10+'25'!M10+L10</f>
        <v>99162</v>
      </c>
    </row>
    <row r="11" spans="1:15" ht="13.5" thickBot="1">
      <c r="A11" s="790"/>
      <c r="B11" s="218"/>
      <c r="C11" s="219"/>
      <c r="D11" s="220"/>
      <c r="E11" s="222"/>
      <c r="F11" s="230"/>
      <c r="G11" s="234"/>
      <c r="H11" s="235"/>
      <c r="I11" s="793"/>
      <c r="J11" s="217" t="str">
        <f>+'25'!J11</f>
        <v>N 15,5 RC HW</v>
      </c>
      <c r="K11" s="241"/>
      <c r="L11" s="241"/>
      <c r="M11" s="121">
        <f>+K11+'25'!M11+L11</f>
        <v>159490</v>
      </c>
    </row>
    <row r="12" spans="1:15" ht="13.5" thickBot="1">
      <c r="A12" s="790"/>
      <c r="B12" s="218"/>
      <c r="C12" s="219"/>
      <c r="D12" s="220"/>
      <c r="E12" s="222"/>
      <c r="F12" s="230"/>
      <c r="G12" s="234"/>
      <c r="H12" s="235"/>
      <c r="I12" s="793"/>
      <c r="J12" s="217" t="str">
        <f>+'25'!J12</f>
        <v>N 17 RC HW</v>
      </c>
      <c r="K12" s="241"/>
      <c r="L12" s="241"/>
      <c r="M12" s="121">
        <f>+K12+'25'!M12+L12</f>
        <v>6572</v>
      </c>
    </row>
    <row r="13" spans="1:15" ht="13.5" thickBot="1">
      <c r="A13" s="790"/>
      <c r="B13" s="218"/>
      <c r="C13" s="219"/>
      <c r="D13" s="219"/>
      <c r="E13" s="222"/>
      <c r="F13" s="230"/>
      <c r="G13" s="234"/>
      <c r="H13" s="235"/>
      <c r="I13" s="794"/>
      <c r="J13" s="217" t="str">
        <f>+'25'!J13</f>
        <v>N 16,5 RC HW</v>
      </c>
      <c r="K13" s="241"/>
      <c r="L13" s="241"/>
      <c r="M13" s="121">
        <f>+K13+'25'!M13+L13</f>
        <v>18880</v>
      </c>
    </row>
    <row r="14" spans="1:15" ht="13.5" thickBot="1">
      <c r="A14" s="791"/>
      <c r="B14" s="169" t="s">
        <v>3</v>
      </c>
      <c r="C14" s="103">
        <f>SUM(C7:C13)</f>
        <v>25233</v>
      </c>
      <c r="D14" s="115">
        <f>SUM(D7:D13)</f>
        <v>650</v>
      </c>
      <c r="E14" s="116">
        <f>SUM(E5:E13)</f>
        <v>0</v>
      </c>
      <c r="F14" s="106">
        <f>SUM(F6:F13)</f>
        <v>4</v>
      </c>
      <c r="G14" s="163"/>
      <c r="H14" s="170"/>
      <c r="I14" s="171"/>
      <c r="J14" s="217" t="str">
        <f>+'25'!J14</f>
        <v>N 20 RC HW</v>
      </c>
      <c r="K14" s="241"/>
      <c r="L14" s="241"/>
      <c r="M14" s="121">
        <f>+K14+'25'!M14+L14</f>
        <v>394199</v>
      </c>
    </row>
    <row r="15" spans="1:15" ht="13.5" customHeight="1" thickBot="1">
      <c r="A15" s="789" t="s">
        <v>631</v>
      </c>
      <c r="B15" s="169"/>
      <c r="C15" s="117">
        <f>C14/($C$23+$D$23+$E$23)</f>
        <v>0.95917436423765534</v>
      </c>
      <c r="D15" s="118">
        <f>D14/($C$23+$D$23+$E$23)</f>
        <v>2.4708252556353821E-2</v>
      </c>
      <c r="E15" s="119">
        <f>E14/($C$23+$D$23+$E$23)</f>
        <v>0</v>
      </c>
      <c r="F15" s="230"/>
      <c r="G15" s="231" t="s">
        <v>13</v>
      </c>
      <c r="H15" s="232" t="s">
        <v>395</v>
      </c>
      <c r="I15" s="792" t="s">
        <v>656</v>
      </c>
      <c r="J15" s="217" t="str">
        <f>+'25'!J15</f>
        <v>N 18 RC HW</v>
      </c>
      <c r="K15" s="241"/>
      <c r="L15" s="241"/>
      <c r="M15" s="121">
        <f>+K15+'25'!M15+L15</f>
        <v>50657</v>
      </c>
    </row>
    <row r="16" spans="1:15" ht="13.5" thickBot="1">
      <c r="A16" s="795"/>
      <c r="B16" s="218" t="s">
        <v>446</v>
      </c>
      <c r="C16" s="224">
        <v>26307</v>
      </c>
      <c r="D16" s="225"/>
      <c r="E16" s="226"/>
      <c r="F16" s="233">
        <v>2</v>
      </c>
      <c r="G16" s="234" t="s">
        <v>13</v>
      </c>
      <c r="H16" s="232" t="s">
        <v>393</v>
      </c>
      <c r="I16" s="793"/>
      <c r="J16" s="217" t="str">
        <f>+'25'!J16</f>
        <v>TW 17,5 RC HW</v>
      </c>
      <c r="K16" s="241"/>
      <c r="L16" s="231"/>
      <c r="M16" s="121">
        <f>+K16+'25'!M16+L16</f>
        <v>11537</v>
      </c>
    </row>
    <row r="17" spans="1:14" ht="13.5" thickBot="1">
      <c r="A17" s="795"/>
      <c r="B17" s="218"/>
      <c r="C17" s="219"/>
      <c r="D17" s="220"/>
      <c r="E17" s="227"/>
      <c r="F17" s="230">
        <v>3</v>
      </c>
      <c r="G17" s="234" t="s">
        <v>13</v>
      </c>
      <c r="H17" s="235" t="s">
        <v>226</v>
      </c>
      <c r="I17" s="793"/>
      <c r="J17" s="217" t="str">
        <f>+'25'!J17</f>
        <v>TW 22 RC HW</v>
      </c>
      <c r="K17" s="241"/>
      <c r="L17" s="231"/>
      <c r="M17" s="121">
        <f>+K17+'25'!M17+L17</f>
        <v>100201</v>
      </c>
    </row>
    <row r="18" spans="1:14" ht="13.5" thickBot="1">
      <c r="A18" s="795"/>
      <c r="B18" s="218"/>
      <c r="C18" s="219"/>
      <c r="D18" s="220"/>
      <c r="E18" s="227"/>
      <c r="F18" s="230"/>
      <c r="G18" s="234"/>
      <c r="H18" s="235" t="s">
        <v>653</v>
      </c>
      <c r="I18" s="793"/>
      <c r="J18" s="217" t="str">
        <f>+'25'!J18</f>
        <v>TW 31,5 RC HW</v>
      </c>
      <c r="K18" s="241"/>
      <c r="L18" s="241"/>
      <c r="M18" s="121">
        <f>+K18+'25'!M18+L18</f>
        <v>108399</v>
      </c>
    </row>
    <row r="19" spans="1:14" ht="13.5" thickBot="1">
      <c r="A19" s="795"/>
      <c r="B19" s="218"/>
      <c r="C19" s="219"/>
      <c r="D19" s="220"/>
      <c r="E19" s="227"/>
      <c r="F19" s="237"/>
      <c r="G19" s="234"/>
      <c r="H19" s="235" t="s">
        <v>654</v>
      </c>
      <c r="I19" s="793"/>
      <c r="J19" s="217" t="str">
        <f>+'25'!J19</f>
        <v>TW 32 RC HW</v>
      </c>
      <c r="K19" s="241"/>
      <c r="L19" s="241"/>
      <c r="M19" s="121">
        <f>+K19+'25'!M19+L19</f>
        <v>12437</v>
      </c>
    </row>
    <row r="20" spans="1:14" ht="13.5" thickBot="1">
      <c r="A20" s="795"/>
      <c r="B20" s="218"/>
      <c r="C20" s="219"/>
      <c r="D20" s="220"/>
      <c r="E20" s="227"/>
      <c r="F20" s="230"/>
      <c r="G20" s="234"/>
      <c r="H20" s="235"/>
      <c r="I20" s="793"/>
      <c r="J20" s="217" t="str">
        <f>+'25'!J20</f>
        <v>TW 33,5 RC HW</v>
      </c>
      <c r="K20" s="241"/>
      <c r="L20" s="242"/>
      <c r="M20" s="121">
        <f>+K20+'25'!M20+L20</f>
        <v>9545</v>
      </c>
    </row>
    <row r="21" spans="1:14" ht="13.5" thickBot="1">
      <c r="A21" s="795"/>
      <c r="B21" s="218"/>
      <c r="C21" s="219"/>
      <c r="D21" s="220"/>
      <c r="E21" s="227"/>
      <c r="F21" s="233"/>
      <c r="G21" s="234"/>
      <c r="H21" s="235"/>
      <c r="I21" s="793"/>
      <c r="J21" s="217" t="str">
        <f>+'25'!J21</f>
        <v>TW 34 RC HW</v>
      </c>
      <c r="K21" s="241"/>
      <c r="L21" s="241"/>
      <c r="M21" s="121">
        <f>+K21+'25'!M21+L21</f>
        <v>155277</v>
      </c>
    </row>
    <row r="22" spans="1:14" ht="13.5" thickBot="1">
      <c r="A22" s="795"/>
      <c r="B22" s="218"/>
      <c r="C22" s="219"/>
      <c r="D22" s="220"/>
      <c r="E22" s="227"/>
      <c r="F22" s="238"/>
      <c r="G22" s="234"/>
      <c r="H22" s="235"/>
      <c r="I22" s="794"/>
      <c r="J22" s="217" t="str">
        <f>+'25'!J22</f>
        <v>TW 35,5 RC HW</v>
      </c>
      <c r="K22" s="241"/>
      <c r="L22" s="241"/>
      <c r="M22" s="121">
        <f>+K22+'25'!M22+L22</f>
        <v>98067</v>
      </c>
    </row>
    <row r="23" spans="1:14" ht="13.5" thickBot="1">
      <c r="A23" s="796"/>
      <c r="B23" s="169" t="s">
        <v>3</v>
      </c>
      <c r="C23" s="104">
        <f>SUM(C16:C22)</f>
        <v>26307</v>
      </c>
      <c r="D23" s="115">
        <f>SUM(D16:D22)</f>
        <v>0</v>
      </c>
      <c r="E23" s="116">
        <f>SUM(E18:E22)</f>
        <v>0</v>
      </c>
      <c r="F23" s="106">
        <f>SUM(F15:F22)</f>
        <v>5</v>
      </c>
      <c r="G23" s="163"/>
      <c r="H23" s="170"/>
      <c r="I23" s="172"/>
      <c r="J23" s="217" t="str">
        <f>+'25'!J23</f>
        <v>TW 36 RC HW</v>
      </c>
      <c r="K23" s="241">
        <f>+C7+C16+C25</f>
        <v>53098</v>
      </c>
      <c r="L23" s="241"/>
      <c r="M23" s="121">
        <f>+K23+'25'!M23+L23</f>
        <v>63613</v>
      </c>
    </row>
    <row r="24" spans="1:14" ht="13.5" customHeight="1" thickBot="1">
      <c r="A24" s="789" t="s">
        <v>486</v>
      </c>
      <c r="B24" s="173"/>
      <c r="C24" s="117">
        <f>C23/($C$23+$D$23+$E$23)</f>
        <v>1</v>
      </c>
      <c r="D24" s="118">
        <f>D23/($C$23+$D$23+$E$23)</f>
        <v>0</v>
      </c>
      <c r="E24" s="119">
        <f>E23/($C$23+$D$23+$E$23)</f>
        <v>0</v>
      </c>
      <c r="F24" s="230"/>
      <c r="G24" s="231" t="s">
        <v>13</v>
      </c>
      <c r="H24" s="232" t="s">
        <v>395</v>
      </c>
      <c r="I24" s="792" t="s">
        <v>656</v>
      </c>
      <c r="J24" s="217" t="s">
        <v>658</v>
      </c>
      <c r="K24" s="241">
        <f>+C26</f>
        <v>25562</v>
      </c>
      <c r="L24" s="241"/>
      <c r="M24" s="121">
        <f>+K24+'25'!M24+L24</f>
        <v>25562</v>
      </c>
    </row>
    <row r="25" spans="1:14" ht="13.5" thickBot="1">
      <c r="A25" s="795"/>
      <c r="B25" s="218" t="s">
        <v>446</v>
      </c>
      <c r="C25" s="228">
        <v>1558</v>
      </c>
      <c r="D25" s="220"/>
      <c r="E25" s="227"/>
      <c r="F25" s="233"/>
      <c r="G25" s="234" t="s">
        <v>13</v>
      </c>
      <c r="H25" s="232" t="s">
        <v>424</v>
      </c>
      <c r="I25" s="793"/>
      <c r="J25" s="217">
        <f>+'25'!J25</f>
        <v>0</v>
      </c>
      <c r="K25" s="241"/>
      <c r="L25" s="241"/>
      <c r="M25" s="121">
        <f>+K25+'25'!M25+L25</f>
        <v>0</v>
      </c>
    </row>
    <row r="26" spans="1:14" ht="13.5" thickBot="1">
      <c r="A26" s="795"/>
      <c r="B26" s="218" t="s">
        <v>427</v>
      </c>
      <c r="C26" s="228">
        <f>11964+13598</f>
        <v>25562</v>
      </c>
      <c r="D26" s="220"/>
      <c r="E26" s="229"/>
      <c r="F26" s="230">
        <v>4</v>
      </c>
      <c r="G26" s="234" t="s">
        <v>13</v>
      </c>
      <c r="H26" s="235" t="s">
        <v>226</v>
      </c>
      <c r="I26" s="793"/>
      <c r="J26" s="217">
        <f>+'25'!J26</f>
        <v>0</v>
      </c>
      <c r="K26" s="241"/>
      <c r="L26" s="241"/>
      <c r="M26" s="121">
        <f>+K26+'25'!M26+L26</f>
        <v>0</v>
      </c>
    </row>
    <row r="27" spans="1:14" ht="13.5" thickBot="1">
      <c r="A27" s="795"/>
      <c r="B27" s="218"/>
      <c r="C27" s="219"/>
      <c r="D27" s="220"/>
      <c r="E27" s="227"/>
      <c r="F27" s="230"/>
      <c r="G27" s="234"/>
      <c r="H27" s="235" t="s">
        <v>655</v>
      </c>
      <c r="I27" s="793"/>
      <c r="J27" s="217">
        <f>+'25'!J27</f>
        <v>0</v>
      </c>
      <c r="K27" s="241"/>
      <c r="L27" s="241"/>
      <c r="M27" s="121">
        <f>+K27+'25'!M27+L27</f>
        <v>0</v>
      </c>
    </row>
    <row r="28" spans="1:14" ht="13.5" thickBot="1">
      <c r="A28" s="795"/>
      <c r="B28" s="218"/>
      <c r="C28" s="219"/>
      <c r="D28" s="220"/>
      <c r="E28" s="227"/>
      <c r="F28" s="233"/>
      <c r="G28" s="234"/>
      <c r="H28" s="235"/>
      <c r="I28" s="793"/>
      <c r="J28" s="217">
        <f>+'25'!J28</f>
        <v>0</v>
      </c>
      <c r="K28" s="241"/>
      <c r="L28" s="241"/>
      <c r="M28" s="121">
        <f>+K28+'25'!M28+L28</f>
        <v>0</v>
      </c>
    </row>
    <row r="29" spans="1:14" ht="13.5" thickBot="1">
      <c r="A29" s="795"/>
      <c r="B29" s="218"/>
      <c r="C29" s="219"/>
      <c r="D29" s="220"/>
      <c r="E29" s="227"/>
      <c r="F29" s="238"/>
      <c r="G29" s="234"/>
      <c r="H29" s="235"/>
      <c r="I29" s="793"/>
      <c r="J29" s="217">
        <f>+'25'!J29</f>
        <v>0</v>
      </c>
      <c r="K29" s="241"/>
      <c r="L29" s="241"/>
      <c r="M29" s="121">
        <f>+K29+'25'!M29+L29</f>
        <v>0</v>
      </c>
    </row>
    <row r="30" spans="1:14" ht="13.5" thickBot="1">
      <c r="A30" s="795"/>
      <c r="B30" s="218"/>
      <c r="C30" s="228"/>
      <c r="D30" s="220"/>
      <c r="E30" s="227"/>
      <c r="F30" s="238"/>
      <c r="G30" s="234"/>
      <c r="H30" s="235"/>
      <c r="I30" s="793"/>
      <c r="J30" s="217">
        <f>+'25'!J30</f>
        <v>0</v>
      </c>
      <c r="K30" s="241"/>
      <c r="L30" s="241"/>
      <c r="M30" s="121">
        <f>+K30+'25'!M30+L30</f>
        <v>0</v>
      </c>
      <c r="N30" s="159"/>
    </row>
    <row r="31" spans="1:14" ht="13.5" thickBot="1">
      <c r="A31" s="795"/>
      <c r="B31" s="218"/>
      <c r="C31" s="228"/>
      <c r="D31" s="220"/>
      <c r="E31" s="227"/>
      <c r="F31" s="238"/>
      <c r="G31" s="239"/>
      <c r="H31" s="236"/>
      <c r="I31" s="794"/>
      <c r="J31" s="217">
        <f>+'25'!J31</f>
        <v>0</v>
      </c>
      <c r="K31" s="241"/>
      <c r="L31" s="241"/>
      <c r="M31" s="121">
        <f>+K31+'25'!M31+L31</f>
        <v>0</v>
      </c>
    </row>
    <row r="32" spans="1:14" ht="13.5" thickBot="1">
      <c r="A32" s="796"/>
      <c r="B32" s="169" t="s">
        <v>3</v>
      </c>
      <c r="C32" s="103">
        <f>SUM(C25:C31)</f>
        <v>27120</v>
      </c>
      <c r="D32" s="104">
        <f>SUM(D25:D31)</f>
        <v>0</v>
      </c>
      <c r="E32" s="105">
        <f>SUM(E25:E31)</f>
        <v>0</v>
      </c>
      <c r="F32" s="106">
        <f>SUM(F24:F31)</f>
        <v>4</v>
      </c>
      <c r="G32" s="174"/>
      <c r="H32" s="175"/>
      <c r="I32" s="172"/>
      <c r="J32" s="217">
        <f>+'25'!J32</f>
        <v>0</v>
      </c>
      <c r="K32" s="243"/>
      <c r="L32" s="245"/>
      <c r="M32" s="121">
        <f>+K32+'25'!M32+L32</f>
        <v>0</v>
      </c>
    </row>
    <row r="33" spans="1:14" ht="13.5" thickBot="1">
      <c r="A33" s="176"/>
      <c r="B33" s="177"/>
      <c r="C33" s="107">
        <f>C32/($C$32+$D$32+$E$32)</f>
        <v>1</v>
      </c>
      <c r="D33" s="108">
        <f>D32/($C$32+$D$32+$E$32)</f>
        <v>0</v>
      </c>
      <c r="E33" s="109">
        <f>E32/($C$32+$D$32+$E$32)</f>
        <v>0</v>
      </c>
      <c r="F33" s="110"/>
      <c r="G33" s="178"/>
      <c r="H33" s="179"/>
      <c r="I33" s="180"/>
      <c r="J33" s="125"/>
      <c r="K33" s="126"/>
      <c r="L33" s="216"/>
      <c r="M33" s="123"/>
    </row>
    <row r="34" spans="1:14" ht="13.5" thickBot="1">
      <c r="A34" s="797" t="s">
        <v>60</v>
      </c>
      <c r="B34" s="798"/>
      <c r="C34" s="111">
        <f>C14+C23+C32</f>
        <v>78660</v>
      </c>
      <c r="D34" s="111">
        <f>D14+D23+D32</f>
        <v>650</v>
      </c>
      <c r="E34" s="111">
        <f>E14+E23+E32</f>
        <v>0</v>
      </c>
      <c r="F34" s="112">
        <f>F14+F23+F32</f>
        <v>13</v>
      </c>
      <c r="H34" s="181"/>
      <c r="I34" s="181"/>
      <c r="J34" s="127" t="s">
        <v>29</v>
      </c>
      <c r="K34" s="128">
        <f>SUM(K7:K32)</f>
        <v>78660</v>
      </c>
      <c r="L34" s="215">
        <f>SUM(L7:L32)</f>
        <v>0</v>
      </c>
      <c r="M34" s="124">
        <f>SUM(M7:M32)</f>
        <v>1467845</v>
      </c>
      <c r="N34" s="159"/>
    </row>
    <row r="35" spans="1:14" ht="13.5" thickBot="1">
      <c r="A35" s="182"/>
      <c r="B35" s="183"/>
      <c r="C35" s="108">
        <f>C34/($C$34+$D$34+$E$34)</f>
        <v>0.99180431219266174</v>
      </c>
      <c r="D35" s="108">
        <f>D34/($C$34+$D$34+$E$34)</f>
        <v>8.1956878073382936E-3</v>
      </c>
      <c r="E35" s="113">
        <f>E34/($C$34+$D$34+$E$34)</f>
        <v>0</v>
      </c>
      <c r="K35" s="159"/>
      <c r="L35" s="788" t="s">
        <v>186</v>
      </c>
      <c r="M35" s="788"/>
    </row>
    <row r="36" spans="1:14" ht="13.5" thickBot="1">
      <c r="A36" s="181"/>
      <c r="B36" s="181"/>
      <c r="C36" s="159"/>
      <c r="D36" s="159"/>
      <c r="E36" s="159"/>
      <c r="G36" s="159"/>
      <c r="H36" s="184"/>
      <c r="I36" s="166" t="s">
        <v>42</v>
      </c>
      <c r="J36" s="166" t="s">
        <v>43</v>
      </c>
      <c r="K36" s="185"/>
      <c r="L36" s="166" t="s">
        <v>42</v>
      </c>
      <c r="M36" s="166" t="s">
        <v>43</v>
      </c>
    </row>
    <row r="37" spans="1:14" ht="17.45" customHeight="1" thickBot="1">
      <c r="A37" s="801" t="s">
        <v>61</v>
      </c>
      <c r="B37" s="802"/>
      <c r="C37" s="166" t="s">
        <v>62</v>
      </c>
      <c r="D37" s="186" t="s">
        <v>63</v>
      </c>
      <c r="E37" s="187" t="s">
        <v>64</v>
      </c>
      <c r="F37" s="372"/>
      <c r="G37" s="374"/>
      <c r="H37" s="189" t="s">
        <v>65</v>
      </c>
      <c r="I37" s="246">
        <f>(36*820+38*620)/1440*G42*3.4*1440/1000000</f>
        <v>84.172140799999994</v>
      </c>
      <c r="J37" s="129">
        <f>+I37+'25'!J37</f>
        <v>1655.3115339044978</v>
      </c>
      <c r="K37" s="130" t="s">
        <v>66</v>
      </c>
      <c r="L37" s="437"/>
      <c r="M37" s="438"/>
      <c r="N37" s="153">
        <f>26.017+26.472-2.4+2.4</f>
        <v>52.489000000000004</v>
      </c>
    </row>
    <row r="38" spans="1:14" ht="17.45" customHeight="1">
      <c r="A38" s="803" t="s">
        <v>13</v>
      </c>
      <c r="B38" s="804"/>
      <c r="C38" s="168">
        <f>SUMIF($G$7:$G$31,"Process",$F$7:$F$31)</f>
        <v>13</v>
      </c>
      <c r="D38" s="122">
        <f>+C38+'25'!D38</f>
        <v>1049</v>
      </c>
      <c r="E38" s="147">
        <f t="shared" ref="E38:E51" si="0">D38/60</f>
        <v>17.483333333333334</v>
      </c>
      <c r="F38" s="372">
        <v>530</v>
      </c>
      <c r="G38" s="372">
        <f>+F38-F38*0.12</f>
        <v>466.4</v>
      </c>
      <c r="H38" s="190" t="s">
        <v>67</v>
      </c>
      <c r="I38" s="559">
        <f>26.017+26.472+27.029</f>
        <v>79.518000000000001</v>
      </c>
      <c r="J38" s="131">
        <f>+I38+'25'!J38</f>
        <v>1506.1299999999999</v>
      </c>
      <c r="K38" s="132" t="s">
        <v>66</v>
      </c>
      <c r="L38" s="439"/>
      <c r="M38" s="440"/>
      <c r="N38" s="560">
        <f>+I38-N37</f>
        <v>27.028999999999996</v>
      </c>
    </row>
    <row r="39" spans="1:14" ht="17.45" customHeight="1">
      <c r="A39" s="799" t="s">
        <v>14</v>
      </c>
      <c r="B39" s="800"/>
      <c r="C39" s="168">
        <f>SUMIF($G$7:$G$31,"Cleaning",$F$7:$F$31)</f>
        <v>0</v>
      </c>
      <c r="D39" s="122">
        <f>+C39+'25'!D39</f>
        <v>0</v>
      </c>
      <c r="E39" s="147">
        <f t="shared" si="0"/>
        <v>0</v>
      </c>
      <c r="F39" s="372">
        <v>530</v>
      </c>
      <c r="G39" s="372">
        <f>+F39-F39*0.12</f>
        <v>466.4</v>
      </c>
      <c r="H39" s="190" t="s">
        <v>68</v>
      </c>
      <c r="I39" s="146"/>
      <c r="J39" s="133">
        <f>J37/G4</f>
        <v>63.665828227096071</v>
      </c>
      <c r="K39" s="134" t="s">
        <v>66</v>
      </c>
      <c r="L39" s="439"/>
      <c r="M39" s="440"/>
    </row>
    <row r="40" spans="1:14" ht="17.45" customHeight="1">
      <c r="A40" s="799" t="s">
        <v>69</v>
      </c>
      <c r="B40" s="800"/>
      <c r="C40" s="168">
        <f>SUMIF($G$7:$G$31,"Mechanical",$F$7:$F$31)</f>
        <v>0</v>
      </c>
      <c r="D40" s="122">
        <f>+C40+'25'!D40</f>
        <v>700</v>
      </c>
      <c r="E40" s="147">
        <f t="shared" si="0"/>
        <v>11.666666666666666</v>
      </c>
      <c r="F40" s="372">
        <v>530</v>
      </c>
      <c r="G40" s="372">
        <f>+F40-F40*0.12</f>
        <v>466.4</v>
      </c>
      <c r="H40" s="190" t="s">
        <v>70</v>
      </c>
      <c r="I40" s="122">
        <f>(K34+L34)/1000</f>
        <v>78.66</v>
      </c>
      <c r="J40" s="135">
        <f>+I40+'25'!J40</f>
        <v>1467.8449999999998</v>
      </c>
      <c r="K40" s="134" t="s">
        <v>66</v>
      </c>
      <c r="L40" s="439"/>
      <c r="M40" s="440"/>
    </row>
    <row r="41" spans="1:14" ht="17.45" customHeight="1">
      <c r="A41" s="799" t="s">
        <v>71</v>
      </c>
      <c r="B41" s="800"/>
      <c r="C41" s="168">
        <f>SUMIF($G$7:$G$31,"Electrical",$F$7:$F$31)</f>
        <v>0</v>
      </c>
      <c r="D41" s="122">
        <f>+C41+'25'!D41</f>
        <v>315</v>
      </c>
      <c r="E41" s="147">
        <f t="shared" si="0"/>
        <v>5.25</v>
      </c>
      <c r="F41" s="372"/>
      <c r="G41" s="372"/>
      <c r="H41" s="190" t="s">
        <v>72</v>
      </c>
      <c r="I41" s="146"/>
      <c r="J41" s="133">
        <f>J40/G4</f>
        <v>56.455576923076919</v>
      </c>
      <c r="K41" s="134" t="s">
        <v>66</v>
      </c>
      <c r="L41" s="439"/>
      <c r="M41" s="440"/>
    </row>
    <row r="42" spans="1:14" ht="17.45" customHeight="1">
      <c r="A42" s="799" t="s">
        <v>17</v>
      </c>
      <c r="B42" s="800"/>
      <c r="C42" s="168">
        <f>SUMIF($G$7:$G$31,"Instrument",$F$7:$F$31)</f>
        <v>0</v>
      </c>
      <c r="D42" s="122">
        <f>+C42+'25'!D42</f>
        <v>0</v>
      </c>
      <c r="E42" s="147">
        <f t="shared" si="0"/>
        <v>0</v>
      </c>
      <c r="F42" s="372">
        <f>+(F38*480+F39*480+F40*480)/1440</f>
        <v>530</v>
      </c>
      <c r="G42" s="372">
        <f>+(G38*480+G39*480+G40*480)/1440</f>
        <v>466.4</v>
      </c>
      <c r="H42" s="190" t="s">
        <v>73</v>
      </c>
      <c r="I42" s="248" t="s">
        <v>656</v>
      </c>
      <c r="J42" s="136"/>
      <c r="K42" s="134" t="s">
        <v>74</v>
      </c>
      <c r="L42" s="439"/>
      <c r="M42" s="440"/>
    </row>
    <row r="43" spans="1:14" ht="17.45" customHeight="1">
      <c r="A43" s="799" t="s">
        <v>75</v>
      </c>
      <c r="B43" s="800"/>
      <c r="C43" s="168">
        <f>SUMIF($G$7:$G$31,"Water",$F$7:$F$31)</f>
        <v>0</v>
      </c>
      <c r="D43" s="122">
        <f>+C43+'25'!D43</f>
        <v>5</v>
      </c>
      <c r="E43" s="147">
        <f t="shared" si="0"/>
        <v>8.3333333333333329E-2</v>
      </c>
      <c r="F43" s="372"/>
      <c r="G43" s="373"/>
      <c r="H43" s="191" t="s">
        <v>76</v>
      </c>
      <c r="I43" s="122">
        <f>+Report1!AH34</f>
        <v>118.446</v>
      </c>
      <c r="J43" s="137">
        <f>+I43+'25'!J43</f>
        <v>3029.0409999999993</v>
      </c>
      <c r="K43" s="134" t="s">
        <v>66</v>
      </c>
      <c r="L43" s="441">
        <f>+Report1!AN34</f>
        <v>6.9</v>
      </c>
      <c r="M43" s="442">
        <f>+L43+'25'!M43</f>
        <v>274.49175181394418</v>
      </c>
    </row>
    <row r="44" spans="1:14" ht="17.45" customHeight="1">
      <c r="A44" s="799" t="s">
        <v>18</v>
      </c>
      <c r="B44" s="800"/>
      <c r="C44" s="168">
        <f>SUMIF($G$7:$G$31,"PLN",$F$7:$F$31)</f>
        <v>0</v>
      </c>
      <c r="D44" s="122">
        <f>+C44+'25'!D44</f>
        <v>105</v>
      </c>
      <c r="E44" s="147">
        <f t="shared" si="0"/>
        <v>1.75</v>
      </c>
      <c r="F44" s="372"/>
      <c r="G44" s="373"/>
      <c r="H44" s="191" t="s">
        <v>77</v>
      </c>
      <c r="I44" s="122">
        <f>I43/I38</f>
        <v>1.4895495359541235</v>
      </c>
      <c r="J44" s="138">
        <f>J43/J38</f>
        <v>2.0111418005085877</v>
      </c>
      <c r="K44" s="134" t="s">
        <v>66</v>
      </c>
      <c r="L44" s="443">
        <f>+L43/I38</f>
        <v>8.677280615709651E-2</v>
      </c>
      <c r="M44" s="444">
        <f>+M43/J38</f>
        <v>0.18224970740503424</v>
      </c>
    </row>
    <row r="45" spans="1:14" ht="17.45" customHeight="1">
      <c r="A45" s="799" t="s">
        <v>19</v>
      </c>
      <c r="B45" s="800"/>
      <c r="C45" s="168">
        <f>SUMIF($G$7:$G$31,"Boiler",$F$7:$F$31)</f>
        <v>0</v>
      </c>
      <c r="D45" s="122">
        <f>+C45+'25'!D45</f>
        <v>0</v>
      </c>
      <c r="E45" s="147">
        <f t="shared" si="0"/>
        <v>0</v>
      </c>
      <c r="F45" s="372"/>
      <c r="G45" s="375"/>
      <c r="H45" s="191" t="s">
        <v>78</v>
      </c>
      <c r="I45" s="122">
        <f>I43/I40</f>
        <v>1.5057971014492755</v>
      </c>
      <c r="J45" s="138">
        <f>J43/J40</f>
        <v>2.0635973144303383</v>
      </c>
      <c r="K45" s="134" t="s">
        <v>66</v>
      </c>
      <c r="L45" s="443">
        <f>+L43/I40</f>
        <v>8.7719298245614044E-2</v>
      </c>
      <c r="M45" s="444">
        <f>+M43/J40</f>
        <v>0.18700322705322717</v>
      </c>
    </row>
    <row r="46" spans="1:14" ht="17.45" customHeight="1">
      <c r="A46" s="799" t="s">
        <v>79</v>
      </c>
      <c r="B46" s="800"/>
      <c r="C46" s="168">
        <f>SUMIF($G$7:$G$31,"Gas",$F$7:$F$31)</f>
        <v>0</v>
      </c>
      <c r="D46" s="122">
        <f>+C46+'25'!D46</f>
        <v>0</v>
      </c>
      <c r="E46" s="147">
        <f t="shared" si="0"/>
        <v>0</v>
      </c>
      <c r="F46" s="372"/>
      <c r="G46" s="373"/>
      <c r="H46" s="191" t="s">
        <v>80</v>
      </c>
      <c r="I46" s="144">
        <f>+SUMIF(Listrik!AC33,"&gt;0")</f>
        <v>34188.039999998844</v>
      </c>
      <c r="J46" s="139">
        <f>+I46+'25'!J46</f>
        <v>870464.0900000002</v>
      </c>
      <c r="K46" s="134" t="s">
        <v>81</v>
      </c>
      <c r="L46" s="443">
        <f>+Listrik!AF33</f>
        <v>4878</v>
      </c>
      <c r="M46" s="445">
        <f>+L46+'25'!M46</f>
        <v>148954.79999999999</v>
      </c>
    </row>
    <row r="47" spans="1:14" ht="17.45" customHeight="1">
      <c r="A47" s="799" t="s">
        <v>82</v>
      </c>
      <c r="B47" s="800"/>
      <c r="C47" s="168">
        <f>SUMIF($G$7:$G$31,"Gas",$F$7:$F$31)</f>
        <v>0</v>
      </c>
      <c r="D47" s="122">
        <f>+C47+'25'!D47</f>
        <v>0</v>
      </c>
      <c r="E47" s="147">
        <f t="shared" si="0"/>
        <v>0</v>
      </c>
      <c r="F47" s="372"/>
      <c r="G47" s="373"/>
      <c r="H47" s="191" t="s">
        <v>83</v>
      </c>
      <c r="I47" s="122">
        <f>I46/I38</f>
        <v>429.94089388564657</v>
      </c>
      <c r="J47" s="139">
        <f>J46/J38</f>
        <v>577.94751449078115</v>
      </c>
      <c r="K47" s="134" t="s">
        <v>25</v>
      </c>
      <c r="L47" s="443">
        <f>+L46/I38</f>
        <v>61.344601222364744</v>
      </c>
      <c r="M47" s="444">
        <f>+M46/J38</f>
        <v>98.899032620026162</v>
      </c>
    </row>
    <row r="48" spans="1:14" ht="17.45" customHeight="1">
      <c r="A48" s="799" t="s">
        <v>15</v>
      </c>
      <c r="B48" s="800"/>
      <c r="C48" s="168">
        <f>SUMIF($G$7:$G$31,"Start Up",$F$7:$F$31)</f>
        <v>0</v>
      </c>
      <c r="D48" s="122">
        <f>+C48+'25'!D48</f>
        <v>0</v>
      </c>
      <c r="E48" s="147">
        <f t="shared" si="0"/>
        <v>0</v>
      </c>
      <c r="F48" s="372"/>
      <c r="G48" s="373"/>
      <c r="H48" s="191" t="s">
        <v>84</v>
      </c>
      <c r="I48" s="122">
        <f>I46/I40</f>
        <v>434.63056191201179</v>
      </c>
      <c r="J48" s="139">
        <f>J46/J40</f>
        <v>593.02180407331855</v>
      </c>
      <c r="K48" s="134" t="s">
        <v>25</v>
      </c>
      <c r="L48" s="443">
        <f>+L46/I38</f>
        <v>61.344601222364744</v>
      </c>
      <c r="M48" s="444">
        <f>+M46/J40</f>
        <v>101.47856210975955</v>
      </c>
    </row>
    <row r="49" spans="1:13" ht="17.45" customHeight="1">
      <c r="A49" s="799" t="s">
        <v>21</v>
      </c>
      <c r="B49" s="800"/>
      <c r="C49" s="168">
        <f>SUMIF($G$7:$G$31,"Others",$F$7:$F$31)</f>
        <v>0</v>
      </c>
      <c r="D49" s="122">
        <f>+C49+'25'!D49</f>
        <v>1440</v>
      </c>
      <c r="E49" s="147">
        <f t="shared" si="0"/>
        <v>24</v>
      </c>
      <c r="F49" s="188"/>
      <c r="H49" s="191" t="s">
        <v>85</v>
      </c>
      <c r="I49" s="122">
        <f>+Report1!AB34</f>
        <v>0</v>
      </c>
      <c r="J49" s="139">
        <f>+I49+'25'!J49</f>
        <v>0</v>
      </c>
      <c r="K49" s="134" t="s">
        <v>86</v>
      </c>
      <c r="L49" s="439"/>
      <c r="M49" s="440"/>
    </row>
    <row r="50" spans="1:13" ht="17.45" customHeight="1">
      <c r="A50" s="799" t="s">
        <v>20</v>
      </c>
      <c r="B50" s="800"/>
      <c r="C50" s="168">
        <f>SUMIF($G$7:$G$31,"Steam",$F$7:$F$31)</f>
        <v>0</v>
      </c>
      <c r="D50" s="122">
        <f>+C50+'25'!D50</f>
        <v>0</v>
      </c>
      <c r="E50" s="147">
        <f t="shared" si="0"/>
        <v>0</v>
      </c>
      <c r="F50" s="188"/>
      <c r="H50" s="191" t="s">
        <v>87</v>
      </c>
      <c r="I50" s="144">
        <f>I49/I38</f>
        <v>0</v>
      </c>
      <c r="J50" s="137">
        <f>J49/J38</f>
        <v>0</v>
      </c>
      <c r="K50" s="134" t="s">
        <v>86</v>
      </c>
      <c r="L50" s="439"/>
      <c r="M50" s="440"/>
    </row>
    <row r="51" spans="1:13" ht="17.45" customHeight="1" thickBot="1">
      <c r="A51" s="805" t="s">
        <v>88</v>
      </c>
      <c r="B51" s="806"/>
      <c r="C51" s="168">
        <f>SUMIF($G$7:$G$31,"Planned shut",$F$7:$F$31)</f>
        <v>0</v>
      </c>
      <c r="D51" s="122">
        <f>+C51+'25'!D51</f>
        <v>0</v>
      </c>
      <c r="E51" s="147">
        <f t="shared" si="0"/>
        <v>0</v>
      </c>
      <c r="F51" s="188"/>
      <c r="H51" s="193" t="s">
        <v>89</v>
      </c>
      <c r="I51" s="145">
        <f>I49/I40</f>
        <v>0</v>
      </c>
      <c r="J51" s="140">
        <f>J49/J40</f>
        <v>0</v>
      </c>
      <c r="K51" s="141" t="s">
        <v>86</v>
      </c>
      <c r="L51" s="439"/>
      <c r="M51" s="440"/>
    </row>
    <row r="52" spans="1:13" ht="13.5" thickBot="1">
      <c r="A52" s="803" t="s">
        <v>29</v>
      </c>
      <c r="B52" s="804"/>
      <c r="C52" s="148">
        <f>SUM(C38:C51)</f>
        <v>13</v>
      </c>
      <c r="D52" s="148">
        <f>SUM(D38:D51)</f>
        <v>3614</v>
      </c>
      <c r="E52" s="149">
        <f>SUM(E38:E51)</f>
        <v>60.233333333333334</v>
      </c>
      <c r="F52" s="188"/>
      <c r="H52" s="194"/>
      <c r="I52" s="195"/>
      <c r="J52" s="142"/>
      <c r="K52" s="143"/>
      <c r="L52" s="446"/>
      <c r="M52" s="447"/>
    </row>
    <row r="53" spans="1:13" ht="13.5" thickBot="1">
      <c r="A53" s="807"/>
      <c r="B53" s="808"/>
      <c r="C53" s="150">
        <f>C52/(24*60)</f>
        <v>9.0277777777777769E-3</v>
      </c>
      <c r="D53" s="150">
        <f>D52/(24*60*G4)</f>
        <v>9.6527777777777782E-2</v>
      </c>
      <c r="E53" s="151">
        <f>E52/(G4*24)</f>
        <v>9.6527777777777782E-2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90</v>
      </c>
      <c r="B56" s="198"/>
      <c r="C56" s="199"/>
      <c r="D56" s="199"/>
      <c r="E56" s="199"/>
      <c r="F56" s="200"/>
      <c r="G56" s="199"/>
      <c r="H56" s="201"/>
      <c r="I56" s="202" t="s">
        <v>91</v>
      </c>
      <c r="J56" s="203">
        <f>+D34+'25'!J56</f>
        <v>18852</v>
      </c>
      <c r="K56" s="204">
        <f>J56/(J40+J56/1000)/1000</f>
        <v>1.268045876194006E-2</v>
      </c>
    </row>
    <row r="57" spans="1:13">
      <c r="A57" s="179"/>
      <c r="I57" s="202" t="s">
        <v>92</v>
      </c>
      <c r="J57" s="203">
        <f>+E34+'25'!J57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46:B46"/>
    <mergeCell ref="A52:B52"/>
    <mergeCell ref="A53:B53"/>
    <mergeCell ref="A47:B47"/>
    <mergeCell ref="A48:B48"/>
    <mergeCell ref="A49:B49"/>
    <mergeCell ref="A50:B50"/>
    <mergeCell ref="A51:B51"/>
    <mergeCell ref="A43:B43"/>
    <mergeCell ref="A44:B44"/>
    <mergeCell ref="A45:B45"/>
    <mergeCell ref="A42:B42"/>
    <mergeCell ref="I24:I31"/>
    <mergeCell ref="A7:A14"/>
    <mergeCell ref="A41:B41"/>
    <mergeCell ref="I7:I13"/>
    <mergeCell ref="A15:A23"/>
    <mergeCell ref="I15:I22"/>
    <mergeCell ref="A24:A32"/>
    <mergeCell ref="A34:B34"/>
    <mergeCell ref="A37:B37"/>
    <mergeCell ref="A38:B38"/>
    <mergeCell ref="A39:B39"/>
    <mergeCell ref="A40:B40"/>
  </mergeCells>
  <phoneticPr fontId="31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S61"/>
  <sheetViews>
    <sheetView topLeftCell="G7" zoomScale="80" zoomScaleNormal="80" workbookViewId="0">
      <selection activeCell="N24" sqref="N24:S33"/>
    </sheetView>
  </sheetViews>
  <sheetFormatPr defaultColWidth="9.140625" defaultRowHeight="12.75"/>
  <cols>
    <col min="1" max="1" width="8" style="153" customWidth="1"/>
    <col min="2" max="2" width="7" style="153" bestFit="1" customWidth="1"/>
    <col min="3" max="3" width="14.85546875" style="153" bestFit="1" customWidth="1"/>
    <col min="4" max="4" width="12.5703125" style="153" bestFit="1" customWidth="1"/>
    <col min="5" max="5" width="13.85546875" style="153" bestFit="1" customWidth="1"/>
    <col min="6" max="6" width="12.140625" style="114" bestFit="1" customWidth="1"/>
    <col min="7" max="7" width="11.42578125" style="153" bestFit="1" customWidth="1"/>
    <col min="8" max="8" width="64.85546875" style="153" customWidth="1"/>
    <col min="9" max="9" width="14.7109375" style="153" bestFit="1" customWidth="1"/>
    <col min="10" max="10" width="21.7109375" style="153" bestFit="1" customWidth="1"/>
    <col min="11" max="11" width="12.5703125" style="153" bestFit="1" customWidth="1"/>
    <col min="12" max="12" width="8.28515625" style="153" customWidth="1"/>
    <col min="13" max="13" width="14.42578125" style="153" bestFit="1" customWidth="1"/>
    <col min="14" max="16384" width="9.140625" style="153"/>
  </cols>
  <sheetData>
    <row r="1" spans="1:19" ht="15.75">
      <c r="A1" s="152"/>
    </row>
    <row r="2" spans="1:19" ht="15.75">
      <c r="A2" s="152" t="s">
        <v>175</v>
      </c>
    </row>
    <row r="3" spans="1:19" ht="15">
      <c r="A3" s="154"/>
    </row>
    <row r="4" spans="1:19" ht="20.25">
      <c r="A4" s="155" t="s">
        <v>4</v>
      </c>
      <c r="B4" s="156"/>
      <c r="F4" s="157" t="s">
        <v>31</v>
      </c>
      <c r="G4" s="158">
        <v>25</v>
      </c>
      <c r="H4" s="158" t="str">
        <f>+'1'!H4</f>
        <v>.12.25</v>
      </c>
      <c r="J4" s="153">
        <f>295+304+396</f>
        <v>995</v>
      </c>
    </row>
    <row r="5" spans="1:19" ht="13.5" thickBot="1">
      <c r="C5" s="159"/>
      <c r="D5" s="159"/>
    </row>
    <row r="6" spans="1:19" ht="26.25" thickBot="1">
      <c r="A6" s="160" t="s">
        <v>50</v>
      </c>
      <c r="B6" s="161" t="s">
        <v>10</v>
      </c>
      <c r="C6" s="161" t="s">
        <v>51</v>
      </c>
      <c r="D6" s="161" t="s">
        <v>52</v>
      </c>
      <c r="E6" s="162" t="s">
        <v>53</v>
      </c>
      <c r="F6" s="106" t="s">
        <v>54</v>
      </c>
      <c r="G6" s="161" t="s">
        <v>55</v>
      </c>
      <c r="H6" s="163" t="s">
        <v>56</v>
      </c>
      <c r="I6" s="164" t="s">
        <v>57</v>
      </c>
      <c r="J6" s="165" t="s">
        <v>10</v>
      </c>
      <c r="K6" s="166" t="s">
        <v>58</v>
      </c>
      <c r="L6" s="213" t="s">
        <v>143</v>
      </c>
      <c r="M6" s="167" t="s">
        <v>59</v>
      </c>
      <c r="N6" s="153" t="s">
        <v>642</v>
      </c>
      <c r="O6" s="153">
        <v>530</v>
      </c>
      <c r="P6" s="153">
        <f>+O6-(O6*0.12)</f>
        <v>466.4</v>
      </c>
      <c r="Q6" s="153">
        <v>480</v>
      </c>
      <c r="R6" s="153">
        <f>+O6*Q6</f>
        <v>254400</v>
      </c>
      <c r="S6" s="153">
        <f>+P6*Q6</f>
        <v>223872</v>
      </c>
    </row>
    <row r="7" spans="1:19" ht="13.5" customHeight="1" thickBot="1">
      <c r="A7" s="789" t="s">
        <v>650</v>
      </c>
      <c r="B7" s="218" t="s">
        <v>651</v>
      </c>
      <c r="C7" s="219">
        <v>24308</v>
      </c>
      <c r="D7" s="220"/>
      <c r="E7" s="221"/>
      <c r="F7" s="230"/>
      <c r="G7" s="231" t="s">
        <v>13</v>
      </c>
      <c r="H7" s="232" t="s">
        <v>395</v>
      </c>
      <c r="I7" s="792" t="s">
        <v>643</v>
      </c>
      <c r="J7" s="217" t="str">
        <f>+'24'!J7</f>
        <v>TW 38 RC BR</v>
      </c>
      <c r="K7" s="240"/>
      <c r="L7" s="244"/>
      <c r="M7" s="121">
        <f>+K7+'24'!M7+L7</f>
        <v>78513</v>
      </c>
      <c r="N7" s="153" t="s">
        <v>642</v>
      </c>
      <c r="O7" s="153">
        <v>530</v>
      </c>
      <c r="P7" s="153">
        <f>+O7-(O7*0.12)</f>
        <v>466.4</v>
      </c>
      <c r="Q7" s="153">
        <v>480</v>
      </c>
      <c r="R7" s="153">
        <f>+O7*Q7</f>
        <v>254400</v>
      </c>
      <c r="S7" s="153">
        <f>+P7*Q7</f>
        <v>223872</v>
      </c>
    </row>
    <row r="8" spans="1:19" ht="13.5" thickBot="1">
      <c r="A8" s="790"/>
      <c r="B8" s="218"/>
      <c r="C8" s="219"/>
      <c r="D8" s="220"/>
      <c r="E8" s="222"/>
      <c r="F8" s="233"/>
      <c r="G8" s="234" t="s">
        <v>13</v>
      </c>
      <c r="H8" s="232" t="s">
        <v>424</v>
      </c>
      <c r="I8" s="793"/>
      <c r="J8" s="217" t="str">
        <f>+'24'!J8</f>
        <v>TW 36 RC BR</v>
      </c>
      <c r="K8" s="241"/>
      <c r="L8" s="241"/>
      <c r="M8" s="121">
        <f>+K8+'24'!M8+L8</f>
        <v>1530</v>
      </c>
    </row>
    <row r="9" spans="1:19" ht="13.5" thickBot="1">
      <c r="A9" s="790"/>
      <c r="B9" s="218"/>
      <c r="C9" s="219"/>
      <c r="D9" s="220"/>
      <c r="E9" s="223"/>
      <c r="F9" s="230">
        <v>3</v>
      </c>
      <c r="G9" s="234" t="s">
        <v>13</v>
      </c>
      <c r="H9" s="235" t="s">
        <v>226</v>
      </c>
      <c r="I9" s="793"/>
      <c r="J9" s="217" t="str">
        <f>+'24'!J9</f>
        <v>N 20 RC BR</v>
      </c>
      <c r="K9" s="241"/>
      <c r="L9" s="241"/>
      <c r="M9" s="121">
        <f>+K9+'24'!M9+L9</f>
        <v>74204</v>
      </c>
    </row>
    <row r="10" spans="1:19" ht="13.5" thickBot="1">
      <c r="A10" s="790"/>
      <c r="B10" s="218"/>
      <c r="C10" s="219"/>
      <c r="D10" s="220"/>
      <c r="E10" s="222"/>
      <c r="F10" s="230"/>
      <c r="G10" s="234"/>
      <c r="H10" s="235" t="s">
        <v>637</v>
      </c>
      <c r="I10" s="793"/>
      <c r="J10" s="217" t="str">
        <f>+'24'!J10</f>
        <v>TW 17 RC HW</v>
      </c>
      <c r="K10" s="241"/>
      <c r="L10" s="241"/>
      <c r="M10" s="121">
        <f>+K10+'24'!M10+L10</f>
        <v>99162</v>
      </c>
    </row>
    <row r="11" spans="1:19" ht="26.25" thickBot="1">
      <c r="A11" s="790"/>
      <c r="B11" s="218"/>
      <c r="C11" s="219"/>
      <c r="D11" s="220"/>
      <c r="E11" s="222"/>
      <c r="F11" s="230"/>
      <c r="G11" s="234"/>
      <c r="H11" s="235" t="s">
        <v>638</v>
      </c>
      <c r="I11" s="793"/>
      <c r="J11" s="217" t="str">
        <f>+'24'!J11</f>
        <v>N 15,5 RC HW</v>
      </c>
      <c r="K11" s="241"/>
      <c r="L11" s="241"/>
      <c r="M11" s="121">
        <f>+K11+'24'!M11+L11</f>
        <v>159490</v>
      </c>
    </row>
    <row r="12" spans="1:19" ht="13.5" thickBot="1">
      <c r="A12" s="790"/>
      <c r="B12" s="218"/>
      <c r="C12" s="219"/>
      <c r="D12" s="220"/>
      <c r="E12" s="222"/>
      <c r="F12" s="230"/>
      <c r="G12" s="234"/>
      <c r="H12" s="235"/>
      <c r="I12" s="793"/>
      <c r="J12" s="217" t="str">
        <f>+'24'!J12</f>
        <v>N 17 RC HW</v>
      </c>
      <c r="K12" s="241"/>
      <c r="L12" s="241"/>
      <c r="M12" s="121">
        <f>+K12+'24'!M12+L12</f>
        <v>6572</v>
      </c>
    </row>
    <row r="13" spans="1:19" ht="13.5" thickBot="1">
      <c r="A13" s="790"/>
      <c r="B13" s="218"/>
      <c r="C13" s="219"/>
      <c r="D13" s="219"/>
      <c r="E13" s="222"/>
      <c r="F13" s="230"/>
      <c r="G13" s="234"/>
      <c r="H13" s="235"/>
      <c r="I13" s="794"/>
      <c r="J13" s="217" t="str">
        <f>+'24'!J13</f>
        <v>N 16,5 RC HW</v>
      </c>
      <c r="K13" s="241"/>
      <c r="L13" s="241"/>
      <c r="M13" s="121">
        <f>+K13+'24'!M13+L13</f>
        <v>18880</v>
      </c>
    </row>
    <row r="14" spans="1:19" ht="13.5" thickBot="1">
      <c r="A14" s="791"/>
      <c r="B14" s="169" t="s">
        <v>3</v>
      </c>
      <c r="C14" s="103">
        <f>SUM(C7:C13)</f>
        <v>24308</v>
      </c>
      <c r="D14" s="115">
        <f>SUM(D7:D13)</f>
        <v>0</v>
      </c>
      <c r="E14" s="116">
        <f>SUM(E5:E13)</f>
        <v>0</v>
      </c>
      <c r="F14" s="106">
        <f>SUM(F6:F13)</f>
        <v>3</v>
      </c>
      <c r="G14" s="163"/>
      <c r="H14" s="170"/>
      <c r="I14" s="171"/>
      <c r="J14" s="217" t="str">
        <f>+'24'!J14</f>
        <v>N 20 RC HW</v>
      </c>
      <c r="K14" s="241"/>
      <c r="L14" s="241"/>
      <c r="M14" s="121">
        <f>+K14+'24'!M14+L14</f>
        <v>394199</v>
      </c>
      <c r="Q14" s="179">
        <f>SUM(Q6:Q11)</f>
        <v>960</v>
      </c>
      <c r="R14" s="179">
        <f>SUM(R6:R11)</f>
        <v>508800</v>
      </c>
      <c r="S14" s="179">
        <f>SUM(S6:S11)</f>
        <v>447744</v>
      </c>
    </row>
    <row r="15" spans="1:19" ht="13.5" customHeight="1" thickBot="1">
      <c r="A15" s="789" t="s">
        <v>631</v>
      </c>
      <c r="B15" s="169"/>
      <c r="C15" s="117">
        <f>C14/($C$23+$D$23+$E$23)</f>
        <v>1.0164332009199248</v>
      </c>
      <c r="D15" s="118">
        <f>D14/($C$23+$D$23+$E$23)</f>
        <v>0</v>
      </c>
      <c r="E15" s="119">
        <f>E14/($C$23+$D$23+$E$23)</f>
        <v>0</v>
      </c>
      <c r="F15" s="230"/>
      <c r="G15" s="231" t="s">
        <v>13</v>
      </c>
      <c r="H15" s="232" t="s">
        <v>395</v>
      </c>
      <c r="I15" s="792" t="s">
        <v>643</v>
      </c>
      <c r="J15" s="217" t="str">
        <f>+'24'!J15</f>
        <v>N 18 RC HW</v>
      </c>
      <c r="K15" s="241"/>
      <c r="L15" s="241"/>
      <c r="M15" s="121">
        <f>+K15+'24'!M15+L15</f>
        <v>50657</v>
      </c>
      <c r="Q15" s="153">
        <f>480-Q14</f>
        <v>-480</v>
      </c>
      <c r="R15" s="179">
        <f>+R14/Q14</f>
        <v>530</v>
      </c>
      <c r="S15" s="179">
        <f>+S14/Q14</f>
        <v>466.4</v>
      </c>
    </row>
    <row r="16" spans="1:19" ht="13.5" thickBot="1">
      <c r="A16" s="795"/>
      <c r="B16" s="218" t="s">
        <v>651</v>
      </c>
      <c r="C16" s="224">
        <v>23915</v>
      </c>
      <c r="D16" s="225"/>
      <c r="E16" s="226"/>
      <c r="F16" s="233">
        <v>3</v>
      </c>
      <c r="G16" s="234" t="s">
        <v>13</v>
      </c>
      <c r="H16" s="232" t="s">
        <v>393</v>
      </c>
      <c r="I16" s="793"/>
      <c r="J16" s="217" t="str">
        <f>+'24'!J16</f>
        <v>TW 17,5 RC HW</v>
      </c>
      <c r="K16" s="241"/>
      <c r="L16" s="231"/>
      <c r="M16" s="121">
        <f>+K16+'24'!M16+L16</f>
        <v>11537</v>
      </c>
    </row>
    <row r="17" spans="1:19" ht="13.5" thickBot="1">
      <c r="A17" s="795"/>
      <c r="B17" s="218"/>
      <c r="C17" s="219"/>
      <c r="D17" s="220"/>
      <c r="E17" s="227"/>
      <c r="F17" s="230">
        <v>2</v>
      </c>
      <c r="G17" s="234" t="s">
        <v>13</v>
      </c>
      <c r="H17" s="235" t="s">
        <v>226</v>
      </c>
      <c r="I17" s="793"/>
      <c r="J17" s="217" t="str">
        <f>+'24'!J17</f>
        <v>TW 22 RC HW</v>
      </c>
      <c r="K17" s="241"/>
      <c r="L17" s="231"/>
      <c r="M17" s="121">
        <f>+K17+'24'!M17+L17</f>
        <v>100201</v>
      </c>
    </row>
    <row r="18" spans="1:19" ht="13.5" thickBot="1">
      <c r="A18" s="795"/>
      <c r="B18" s="218"/>
      <c r="C18" s="219"/>
      <c r="D18" s="220"/>
      <c r="E18" s="227"/>
      <c r="F18" s="230"/>
      <c r="G18" s="234"/>
      <c r="H18" s="235" t="s">
        <v>636</v>
      </c>
      <c r="I18" s="793"/>
      <c r="J18" s="217" t="str">
        <f>+'24'!J18</f>
        <v>TW 31,5 RC HW</v>
      </c>
      <c r="K18" s="241"/>
      <c r="L18" s="241"/>
      <c r="M18" s="121">
        <f>+K18+'24'!M18+L18</f>
        <v>108399</v>
      </c>
    </row>
    <row r="19" spans="1:19" ht="13.5" thickBot="1">
      <c r="A19" s="795"/>
      <c r="B19" s="218"/>
      <c r="C19" s="219"/>
      <c r="D19" s="220"/>
      <c r="E19" s="227"/>
      <c r="F19" s="237"/>
      <c r="G19" s="234"/>
      <c r="H19" s="235"/>
      <c r="I19" s="793"/>
      <c r="J19" s="217" t="str">
        <f>+'24'!J19</f>
        <v>TW 32 RC HW</v>
      </c>
      <c r="K19" s="241"/>
      <c r="L19" s="241"/>
      <c r="M19" s="121">
        <f>+K19+'24'!M19+L19</f>
        <v>12437</v>
      </c>
    </row>
    <row r="20" spans="1:19" ht="13.5" thickBot="1">
      <c r="A20" s="795"/>
      <c r="B20" s="218"/>
      <c r="C20" s="219"/>
      <c r="D20" s="220"/>
      <c r="E20" s="227"/>
      <c r="F20" s="230"/>
      <c r="G20" s="234"/>
      <c r="H20" s="235"/>
      <c r="I20" s="793"/>
      <c r="J20" s="217" t="str">
        <f>+'24'!J20</f>
        <v>TW 33,5 RC HW</v>
      </c>
      <c r="K20" s="241"/>
      <c r="L20" s="242"/>
      <c r="M20" s="121">
        <f>+K20+'24'!M20+L20</f>
        <v>9545</v>
      </c>
    </row>
    <row r="21" spans="1:19" ht="13.5" thickBot="1">
      <c r="A21" s="795"/>
      <c r="B21" s="218"/>
      <c r="C21" s="219"/>
      <c r="D21" s="220"/>
      <c r="E21" s="227"/>
      <c r="F21" s="233"/>
      <c r="G21" s="234"/>
      <c r="H21" s="235"/>
      <c r="I21" s="793"/>
      <c r="J21" s="217" t="str">
        <f>+'24'!J21</f>
        <v>TW 34 RC HW</v>
      </c>
      <c r="K21" s="241"/>
      <c r="L21" s="241"/>
      <c r="M21" s="121">
        <f>+K21+'24'!M21+L21</f>
        <v>155277</v>
      </c>
    </row>
    <row r="22" spans="1:19" ht="13.5" thickBot="1">
      <c r="A22" s="795"/>
      <c r="B22" s="218"/>
      <c r="C22" s="219"/>
      <c r="D22" s="220"/>
      <c r="E22" s="227"/>
      <c r="F22" s="238"/>
      <c r="G22" s="234"/>
      <c r="H22" s="235"/>
      <c r="I22" s="794"/>
      <c r="J22" s="217" t="str">
        <f>+'24'!J22</f>
        <v>TW 35,5 RC HW</v>
      </c>
      <c r="K22" s="241">
        <f>+C7+C16+C25</f>
        <v>62483</v>
      </c>
      <c r="L22" s="241"/>
      <c r="M22" s="121">
        <f>+K22+'24'!M22+L22</f>
        <v>98067</v>
      </c>
    </row>
    <row r="23" spans="1:19" ht="13.5" thickBot="1">
      <c r="A23" s="796"/>
      <c r="B23" s="169" t="s">
        <v>3</v>
      </c>
      <c r="C23" s="104">
        <f>SUM(C16:C22)</f>
        <v>23915</v>
      </c>
      <c r="D23" s="115">
        <f>SUM(D16:D22)</f>
        <v>0</v>
      </c>
      <c r="E23" s="116">
        <f>SUM(E18:E22)</f>
        <v>0</v>
      </c>
      <c r="F23" s="106">
        <f>SUM(F15:F22)</f>
        <v>5</v>
      </c>
      <c r="G23" s="163"/>
      <c r="H23" s="170"/>
      <c r="I23" s="172"/>
      <c r="J23" s="217" t="s">
        <v>652</v>
      </c>
      <c r="K23" s="241">
        <f>+C26</f>
        <v>10515</v>
      </c>
      <c r="L23" s="241"/>
      <c r="M23" s="121">
        <f>+K23+'24'!M23+L23</f>
        <v>10515</v>
      </c>
    </row>
    <row r="24" spans="1:19" ht="13.5" customHeight="1" thickBot="1">
      <c r="A24" s="789" t="s">
        <v>486</v>
      </c>
      <c r="B24" s="173"/>
      <c r="C24" s="117">
        <f>C23/($C$23+$D$23+$E$23)</f>
        <v>1</v>
      </c>
      <c r="D24" s="118">
        <f>D23/($C$23+$D$23+$E$23)</f>
        <v>0</v>
      </c>
      <c r="E24" s="119">
        <f>E23/($C$23+$D$23+$E$23)</f>
        <v>0</v>
      </c>
      <c r="F24" s="230">
        <v>2</v>
      </c>
      <c r="G24" s="231" t="s">
        <v>13</v>
      </c>
      <c r="H24" s="232" t="s">
        <v>392</v>
      </c>
      <c r="I24" s="792" t="s">
        <v>643</v>
      </c>
      <c r="J24" s="217">
        <f>+'24'!J24</f>
        <v>0</v>
      </c>
      <c r="K24" s="241"/>
      <c r="L24" s="241"/>
      <c r="M24" s="121">
        <f>+K24+'24'!M24+L24</f>
        <v>0</v>
      </c>
      <c r="N24" s="153" t="s">
        <v>448</v>
      </c>
      <c r="O24" s="153">
        <v>530</v>
      </c>
      <c r="P24" s="153">
        <f>+O24-(O24*0.12)</f>
        <v>466.4</v>
      </c>
      <c r="Q24" s="153">
        <v>480</v>
      </c>
      <c r="R24" s="153">
        <f>+O24*Q24</f>
        <v>254400</v>
      </c>
      <c r="S24" s="153">
        <f>+P24*Q24</f>
        <v>223872</v>
      </c>
    </row>
    <row r="25" spans="1:19" ht="13.5" thickBot="1">
      <c r="A25" s="795"/>
      <c r="B25" s="218" t="s">
        <v>651</v>
      </c>
      <c r="C25" s="228">
        <v>14260</v>
      </c>
      <c r="D25" s="220"/>
      <c r="E25" s="227"/>
      <c r="F25" s="233">
        <v>2</v>
      </c>
      <c r="G25" s="234" t="s">
        <v>13</v>
      </c>
      <c r="H25" s="232" t="s">
        <v>393</v>
      </c>
      <c r="I25" s="793"/>
      <c r="J25" s="217">
        <f>+'24'!J25</f>
        <v>0</v>
      </c>
      <c r="K25" s="241"/>
      <c r="L25" s="241"/>
      <c r="M25" s="121">
        <f>+K25+'24'!M25+L25</f>
        <v>0</v>
      </c>
      <c r="P25" s="153">
        <f>+O25-(O25*0.12)</f>
        <v>0</v>
      </c>
      <c r="R25" s="153">
        <f>+O25*Q25</f>
        <v>0</v>
      </c>
      <c r="S25" s="153">
        <f>+P25*Q25</f>
        <v>0</v>
      </c>
    </row>
    <row r="26" spans="1:19" ht="13.5" thickBot="1">
      <c r="A26" s="795"/>
      <c r="B26" s="218" t="s">
        <v>652</v>
      </c>
      <c r="C26" s="228">
        <v>10515</v>
      </c>
      <c r="D26" s="220"/>
      <c r="E26" s="229"/>
      <c r="F26" s="230">
        <v>4</v>
      </c>
      <c r="G26" s="234" t="s">
        <v>13</v>
      </c>
      <c r="H26" s="235" t="s">
        <v>226</v>
      </c>
      <c r="I26" s="793"/>
      <c r="J26" s="217">
        <f>+'24'!J26</f>
        <v>0</v>
      </c>
      <c r="K26" s="241"/>
      <c r="L26" s="241"/>
      <c r="M26" s="121">
        <f>+K26+'24'!M26+L26</f>
        <v>0</v>
      </c>
    </row>
    <row r="27" spans="1:19" ht="26.25" thickBot="1">
      <c r="A27" s="795"/>
      <c r="B27" s="218"/>
      <c r="C27" s="219"/>
      <c r="D27" s="220"/>
      <c r="E27" s="227"/>
      <c r="F27" s="230"/>
      <c r="G27" s="234"/>
      <c r="H27" s="235" t="s">
        <v>634</v>
      </c>
      <c r="I27" s="793"/>
      <c r="J27" s="217">
        <f>+'24'!J27</f>
        <v>0</v>
      </c>
      <c r="K27" s="241"/>
      <c r="L27" s="241"/>
      <c r="M27" s="121">
        <f>+K27+'24'!M27+L27</f>
        <v>0</v>
      </c>
    </row>
    <row r="28" spans="1:19" ht="13.5" thickBot="1">
      <c r="A28" s="795"/>
      <c r="B28" s="218"/>
      <c r="C28" s="219"/>
      <c r="D28" s="220"/>
      <c r="E28" s="227"/>
      <c r="F28" s="233"/>
      <c r="G28" s="234"/>
      <c r="H28" s="235" t="s">
        <v>635</v>
      </c>
      <c r="I28" s="793"/>
      <c r="J28" s="217">
        <f>+'24'!J28</f>
        <v>0</v>
      </c>
      <c r="K28" s="241"/>
      <c r="L28" s="241"/>
      <c r="M28" s="121">
        <f>+K28+'24'!M28+L28</f>
        <v>0</v>
      </c>
    </row>
    <row r="29" spans="1:19" ht="13.5" thickBot="1">
      <c r="A29" s="795"/>
      <c r="B29" s="218"/>
      <c r="C29" s="219"/>
      <c r="D29" s="220"/>
      <c r="E29" s="227"/>
      <c r="F29" s="238"/>
      <c r="G29" s="234"/>
      <c r="H29" s="235"/>
      <c r="I29" s="793"/>
      <c r="J29" s="217">
        <f>+'24'!J29</f>
        <v>0</v>
      </c>
      <c r="K29" s="241"/>
      <c r="L29" s="241"/>
      <c r="M29" s="121">
        <f>+K29+'24'!M29+L29</f>
        <v>0</v>
      </c>
    </row>
    <row r="30" spans="1:19" ht="13.5" thickBot="1">
      <c r="A30" s="795"/>
      <c r="B30" s="218"/>
      <c r="C30" s="228"/>
      <c r="D30" s="220"/>
      <c r="E30" s="227"/>
      <c r="F30" s="238"/>
      <c r="G30" s="234"/>
      <c r="H30" s="235"/>
      <c r="I30" s="793"/>
      <c r="J30" s="217">
        <f>+'24'!J30</f>
        <v>0</v>
      </c>
      <c r="K30" s="241"/>
      <c r="L30" s="241"/>
      <c r="M30" s="121">
        <f>+K30+'24'!M30+L30</f>
        <v>0</v>
      </c>
    </row>
    <row r="31" spans="1:19" ht="13.5" thickBot="1">
      <c r="A31" s="795"/>
      <c r="B31" s="218"/>
      <c r="C31" s="228"/>
      <c r="D31" s="220"/>
      <c r="E31" s="227"/>
      <c r="F31" s="238"/>
      <c r="G31" s="239"/>
      <c r="H31" s="236"/>
      <c r="I31" s="794"/>
      <c r="J31" s="217">
        <f>+'24'!J31</f>
        <v>0</v>
      </c>
      <c r="K31" s="241"/>
      <c r="L31" s="241"/>
      <c r="M31" s="121">
        <f>+K31+'24'!M31+L31</f>
        <v>0</v>
      </c>
    </row>
    <row r="32" spans="1:19" ht="13.5" thickBot="1">
      <c r="A32" s="796"/>
      <c r="B32" s="169" t="s">
        <v>3</v>
      </c>
      <c r="C32" s="103">
        <f>SUM(C25:C31)</f>
        <v>24775</v>
      </c>
      <c r="D32" s="104">
        <f>SUM(D25:D31)</f>
        <v>0</v>
      </c>
      <c r="E32" s="105">
        <f>SUM(E25:E31)</f>
        <v>0</v>
      </c>
      <c r="F32" s="106">
        <f>SUM(F24:F31)</f>
        <v>8</v>
      </c>
      <c r="G32" s="174"/>
      <c r="H32" s="175"/>
      <c r="I32" s="172"/>
      <c r="J32" s="217">
        <f>+'24'!J32</f>
        <v>0</v>
      </c>
      <c r="K32" s="241"/>
      <c r="L32" s="245"/>
      <c r="M32" s="121">
        <f>+K32+'24'!M32+L32</f>
        <v>0</v>
      </c>
      <c r="Q32" s="179">
        <f>SUM(Q24:Q29)</f>
        <v>480</v>
      </c>
      <c r="R32" s="179">
        <f>SUM(R24:R29)</f>
        <v>254400</v>
      </c>
      <c r="S32" s="179">
        <f>SUM(S24:S29)</f>
        <v>223872</v>
      </c>
    </row>
    <row r="33" spans="1:19" ht="13.5" thickBot="1">
      <c r="A33" s="176"/>
      <c r="B33" s="177"/>
      <c r="C33" s="107">
        <f>C32/($C$32+$D$32+$E$32)</f>
        <v>1</v>
      </c>
      <c r="D33" s="108">
        <f>D32/($C$32+$D$32+$E$32)</f>
        <v>0</v>
      </c>
      <c r="E33" s="109">
        <f>E32/($C$32+$D$32+$E$32)</f>
        <v>0</v>
      </c>
      <c r="F33" s="110"/>
      <c r="G33" s="178"/>
      <c r="H33" s="179"/>
      <c r="I33" s="180"/>
      <c r="J33" s="125"/>
      <c r="K33" s="126"/>
      <c r="L33" s="216"/>
      <c r="M33" s="123"/>
      <c r="Q33" s="153">
        <f>480-Q32</f>
        <v>0</v>
      </c>
      <c r="R33" s="179">
        <f>+R32/Q32</f>
        <v>530</v>
      </c>
      <c r="S33" s="179">
        <f>+S32/Q32</f>
        <v>466.4</v>
      </c>
    </row>
    <row r="34" spans="1:19" ht="13.5" thickBot="1">
      <c r="A34" s="797" t="s">
        <v>60</v>
      </c>
      <c r="B34" s="798"/>
      <c r="C34" s="111">
        <f>C14+C23+C32</f>
        <v>72998</v>
      </c>
      <c r="D34" s="111">
        <f>D14+D23+D32</f>
        <v>0</v>
      </c>
      <c r="E34" s="111">
        <f>E14+E23+E32</f>
        <v>0</v>
      </c>
      <c r="F34" s="112">
        <f>F14+F23+F32</f>
        <v>16</v>
      </c>
      <c r="H34" s="181"/>
      <c r="I34" s="181"/>
      <c r="J34" s="127" t="s">
        <v>29</v>
      </c>
      <c r="K34" s="128">
        <f>SUM(K7:K32)</f>
        <v>72998</v>
      </c>
      <c r="L34" s="215">
        <f>SUM(L7:L32)</f>
        <v>0</v>
      </c>
      <c r="M34" s="124">
        <f>SUM(M7:M32)</f>
        <v>1389185</v>
      </c>
      <c r="N34" s="159"/>
    </row>
    <row r="35" spans="1:19" ht="13.5" thickBot="1">
      <c r="A35" s="182"/>
      <c r="B35" s="183"/>
      <c r="C35" s="108">
        <f>C34/($C$34+$D$34+$E$34)</f>
        <v>1</v>
      </c>
      <c r="D35" s="108">
        <f>D34/($C$34+$D$34+$E$34)</f>
        <v>0</v>
      </c>
      <c r="E35" s="113">
        <f>E34/($C$34+$D$34+$E$34)</f>
        <v>0</v>
      </c>
      <c r="K35" s="159"/>
      <c r="L35" s="788" t="s">
        <v>186</v>
      </c>
      <c r="M35" s="788"/>
    </row>
    <row r="36" spans="1:19" ht="13.5" thickBot="1">
      <c r="A36" s="181"/>
      <c r="B36" s="181"/>
      <c r="C36" s="159"/>
      <c r="D36" s="159"/>
      <c r="E36" s="159"/>
      <c r="G36" s="159"/>
      <c r="H36" s="184"/>
      <c r="I36" s="166" t="s">
        <v>42</v>
      </c>
      <c r="J36" s="166" t="s">
        <v>43</v>
      </c>
      <c r="K36" s="185"/>
      <c r="L36" s="166" t="s">
        <v>42</v>
      </c>
      <c r="M36" s="166" t="s">
        <v>43</v>
      </c>
      <c r="N36" s="153" t="s">
        <v>642</v>
      </c>
      <c r="O36" s="153">
        <v>530</v>
      </c>
      <c r="P36" s="153">
        <v>466.4</v>
      </c>
      <c r="Q36" s="153">
        <f>480+480</f>
        <v>960</v>
      </c>
    </row>
    <row r="37" spans="1:19" ht="17.45" customHeight="1" thickBot="1">
      <c r="A37" s="801" t="s">
        <v>61</v>
      </c>
      <c r="B37" s="802"/>
      <c r="C37" s="166" t="s">
        <v>62</v>
      </c>
      <c r="D37" s="186" t="s">
        <v>63</v>
      </c>
      <c r="E37" s="187" t="s">
        <v>64</v>
      </c>
      <c r="F37" s="372"/>
      <c r="G37" s="374"/>
      <c r="H37" s="189" t="s">
        <v>65</v>
      </c>
      <c r="I37" s="246">
        <f>(35.5*960+36*480)/1440*G42*3.4*1440/1000000</f>
        <v>81.444633599999975</v>
      </c>
      <c r="J37" s="129">
        <f>+I37+'24'!J37</f>
        <v>1571.1393931044977</v>
      </c>
      <c r="K37" s="130" t="s">
        <v>66</v>
      </c>
      <c r="L37" s="437"/>
      <c r="M37" s="438"/>
      <c r="N37" s="153" t="s">
        <v>448</v>
      </c>
      <c r="O37" s="153">
        <v>530</v>
      </c>
      <c r="P37" s="153">
        <v>466.4</v>
      </c>
      <c r="Q37" s="153">
        <v>480</v>
      </c>
    </row>
    <row r="38" spans="1:19" ht="17.45" customHeight="1">
      <c r="A38" s="803" t="s">
        <v>13</v>
      </c>
      <c r="B38" s="804"/>
      <c r="C38" s="168">
        <f>SUMIF($G$7:$G$31,"Process",$F$7:$F$31)</f>
        <v>16</v>
      </c>
      <c r="D38" s="122">
        <f>+C38+'24'!D38</f>
        <v>1036</v>
      </c>
      <c r="E38" s="147">
        <f t="shared" ref="E38:E51" si="0">D38/60</f>
        <v>17.266666666666666</v>
      </c>
      <c r="F38" s="372">
        <v>530</v>
      </c>
      <c r="G38" s="372">
        <v>466.4</v>
      </c>
      <c r="H38" s="190" t="s">
        <v>67</v>
      </c>
      <c r="I38" s="559">
        <f>24.523+24.078+24.918</f>
        <v>73.519000000000005</v>
      </c>
      <c r="J38" s="131">
        <f>+I38+'24'!J38</f>
        <v>1426.6119999999999</v>
      </c>
      <c r="K38" s="132" t="s">
        <v>66</v>
      </c>
      <c r="L38" s="439"/>
      <c r="M38" s="440"/>
      <c r="N38" s="560"/>
      <c r="Q38" s="153">
        <f>+Q36+Q37</f>
        <v>1440</v>
      </c>
    </row>
    <row r="39" spans="1:19" ht="17.45" customHeight="1">
      <c r="A39" s="799" t="s">
        <v>14</v>
      </c>
      <c r="B39" s="800"/>
      <c r="C39" s="168">
        <f>SUMIF($G$7:$G$31,"Cleaning",$F$7:$F$31)</f>
        <v>0</v>
      </c>
      <c r="D39" s="122">
        <f>+C39+'24'!D39</f>
        <v>0</v>
      </c>
      <c r="E39" s="147">
        <f t="shared" si="0"/>
        <v>0</v>
      </c>
      <c r="F39" s="372">
        <v>530</v>
      </c>
      <c r="G39" s="372">
        <v>466.4</v>
      </c>
      <c r="H39" s="190" t="s">
        <v>68</v>
      </c>
      <c r="I39" s="146"/>
      <c r="J39" s="133">
        <f>J37/G4</f>
        <v>62.845575724179909</v>
      </c>
      <c r="K39" s="134" t="s">
        <v>66</v>
      </c>
      <c r="L39" s="439"/>
      <c r="M39" s="440"/>
    </row>
    <row r="40" spans="1:19" ht="17.45" customHeight="1">
      <c r="A40" s="799" t="s">
        <v>69</v>
      </c>
      <c r="B40" s="800"/>
      <c r="C40" s="168">
        <f>SUMIF($G$7:$G$31,"Mechanical",$F$7:$F$31)</f>
        <v>0</v>
      </c>
      <c r="D40" s="122">
        <f>+C40+'24'!D40</f>
        <v>700</v>
      </c>
      <c r="E40" s="147">
        <f t="shared" si="0"/>
        <v>11.666666666666666</v>
      </c>
      <c r="F40" s="372">
        <v>530</v>
      </c>
      <c r="G40" s="372">
        <v>466.4</v>
      </c>
      <c r="H40" s="190" t="s">
        <v>70</v>
      </c>
      <c r="I40" s="122">
        <f>(K34+L34)/1000</f>
        <v>72.998000000000005</v>
      </c>
      <c r="J40" s="135">
        <f>+I40+'24'!J40</f>
        <v>1389.1849999999997</v>
      </c>
      <c r="K40" s="134" t="s">
        <v>66</v>
      </c>
      <c r="L40" s="439"/>
      <c r="M40" s="440"/>
    </row>
    <row r="41" spans="1:19" ht="17.45" customHeight="1">
      <c r="A41" s="799" t="s">
        <v>71</v>
      </c>
      <c r="B41" s="800"/>
      <c r="C41" s="168">
        <f>SUMIF($G$7:$G$31,"Electrical",$F$7:$F$31)</f>
        <v>0</v>
      </c>
      <c r="D41" s="122">
        <f>+C41+'24'!D41</f>
        <v>315</v>
      </c>
      <c r="E41" s="147">
        <f t="shared" si="0"/>
        <v>5.25</v>
      </c>
      <c r="F41" s="372"/>
      <c r="G41" s="372"/>
      <c r="H41" s="190" t="s">
        <v>72</v>
      </c>
      <c r="I41" s="146"/>
      <c r="J41" s="133">
        <f>J40/G4</f>
        <v>55.567399999999992</v>
      </c>
      <c r="K41" s="134" t="s">
        <v>66</v>
      </c>
      <c r="L41" s="439"/>
      <c r="M41" s="440"/>
    </row>
    <row r="42" spans="1:19" ht="17.45" customHeight="1">
      <c r="A42" s="799" t="s">
        <v>17</v>
      </c>
      <c r="B42" s="800"/>
      <c r="C42" s="168">
        <f>SUMIF($G$7:$G$31,"Instrument",$F$7:$F$31)</f>
        <v>0</v>
      </c>
      <c r="D42" s="122">
        <f>+C42+'24'!D42</f>
        <v>0</v>
      </c>
      <c r="E42" s="147">
        <f t="shared" si="0"/>
        <v>0</v>
      </c>
      <c r="F42" s="372">
        <f>+(F38*480+F39*480+F40*480)/1440</f>
        <v>530</v>
      </c>
      <c r="G42" s="372">
        <f>+(G38*480+G39*480+G40*480)/1440</f>
        <v>466.4</v>
      </c>
      <c r="H42" s="190" t="s">
        <v>73</v>
      </c>
      <c r="I42" s="248" t="s">
        <v>643</v>
      </c>
      <c r="J42" s="136"/>
      <c r="K42" s="134" t="s">
        <v>74</v>
      </c>
      <c r="L42" s="439"/>
      <c r="M42" s="440"/>
    </row>
    <row r="43" spans="1:19" ht="17.45" customHeight="1">
      <c r="A43" s="799" t="s">
        <v>201</v>
      </c>
      <c r="B43" s="800"/>
      <c r="C43" s="168">
        <f>SUMIF($G$7:$G$31,"Change Grade",$F$7:$F$31)</f>
        <v>0</v>
      </c>
      <c r="D43" s="122">
        <f>+C43+'24'!D43</f>
        <v>5</v>
      </c>
      <c r="E43" s="147">
        <f t="shared" si="0"/>
        <v>8.3333333333333329E-2</v>
      </c>
      <c r="F43" s="372"/>
      <c r="G43" s="373"/>
      <c r="H43" s="191" t="s">
        <v>76</v>
      </c>
      <c r="I43" s="122">
        <f>+Report1!AH33</f>
        <v>115.069</v>
      </c>
      <c r="J43" s="137">
        <f>+I43+'24'!J43</f>
        <v>2910.5949999999993</v>
      </c>
      <c r="K43" s="134" t="s">
        <v>66</v>
      </c>
      <c r="L43" s="441">
        <f>+Report1!AN33</f>
        <v>6.4382628156268762</v>
      </c>
      <c r="M43" s="442">
        <f>+L43+'24'!M43</f>
        <v>267.5917518139442</v>
      </c>
    </row>
    <row r="44" spans="1:19" ht="17.45" customHeight="1">
      <c r="A44" s="799" t="s">
        <v>18</v>
      </c>
      <c r="B44" s="800"/>
      <c r="C44" s="168">
        <f>SUMIF($G$7:$G$31,"PLN",$F$7:$F$31)</f>
        <v>0</v>
      </c>
      <c r="D44" s="122">
        <f>+C44+'24'!D44</f>
        <v>105</v>
      </c>
      <c r="E44" s="147">
        <f t="shared" si="0"/>
        <v>1.75</v>
      </c>
      <c r="F44" s="372"/>
      <c r="G44" s="373"/>
      <c r="H44" s="191" t="s">
        <v>77</v>
      </c>
      <c r="I44" s="122">
        <f>I43/I38</f>
        <v>1.5651600266597749</v>
      </c>
      <c r="J44" s="138">
        <f>J43/J38</f>
        <v>2.0402148587001929</v>
      </c>
      <c r="K44" s="134" t="s">
        <v>66</v>
      </c>
      <c r="L44" s="443">
        <f>+L43/I38</f>
        <v>8.7572774597408504E-2</v>
      </c>
      <c r="M44" s="444">
        <f>+M43/J38</f>
        <v>0.18757149933825332</v>
      </c>
    </row>
    <row r="45" spans="1:19" ht="17.45" customHeight="1">
      <c r="A45" s="799" t="s">
        <v>19</v>
      </c>
      <c r="B45" s="800"/>
      <c r="C45" s="168">
        <f>SUMIF($G$7:$G$31,"Boiler",$F$7:$F$31)</f>
        <v>0</v>
      </c>
      <c r="D45" s="122">
        <f>+C45+'24'!D45</f>
        <v>0</v>
      </c>
      <c r="E45" s="147">
        <f t="shared" si="0"/>
        <v>0</v>
      </c>
      <c r="F45" s="372"/>
      <c r="G45" s="375"/>
      <c r="H45" s="191" t="s">
        <v>78</v>
      </c>
      <c r="I45" s="122">
        <f>I43/I40</f>
        <v>1.5763308583796816</v>
      </c>
      <c r="J45" s="138">
        <f>J43/J40</f>
        <v>2.0951817072600121</v>
      </c>
      <c r="K45" s="134" t="s">
        <v>66</v>
      </c>
      <c r="L45" s="443">
        <f>+L43/I40</f>
        <v>8.8197797413995943E-2</v>
      </c>
      <c r="M45" s="444">
        <f>+M43/J40</f>
        <v>0.19262499365739211</v>
      </c>
    </row>
    <row r="46" spans="1:19" ht="17.45" customHeight="1">
      <c r="A46" s="799" t="s">
        <v>79</v>
      </c>
      <c r="B46" s="800"/>
      <c r="C46" s="168">
        <f>SUMIF($G$7:$G$31,"Gas",$F$7:$F$31)</f>
        <v>0</v>
      </c>
      <c r="D46" s="122">
        <f>+C46+'24'!D46</f>
        <v>0</v>
      </c>
      <c r="E46" s="147">
        <f t="shared" si="0"/>
        <v>0</v>
      </c>
      <c r="F46" s="372"/>
      <c r="G46" s="373"/>
      <c r="H46" s="191" t="s">
        <v>80</v>
      </c>
      <c r="I46" s="144">
        <f>+SUMIF(Listrik!AC32,"&gt;0")</f>
        <v>30103.190000000792</v>
      </c>
      <c r="J46" s="139">
        <f>+I46+'24'!J46</f>
        <v>836276.05000000133</v>
      </c>
      <c r="K46" s="134" t="s">
        <v>81</v>
      </c>
      <c r="L46" s="443">
        <f>+Listrik!AF32</f>
        <v>5280</v>
      </c>
      <c r="M46" s="445">
        <f>+L46+'24'!M46</f>
        <v>144076.79999999999</v>
      </c>
    </row>
    <row r="47" spans="1:19" ht="17.45" customHeight="1">
      <c r="A47" s="799" t="s">
        <v>82</v>
      </c>
      <c r="B47" s="800"/>
      <c r="C47" s="168">
        <f>SUMIF($G$7:$G$31,"Gas",$F$7:$F$31)</f>
        <v>0</v>
      </c>
      <c r="D47" s="122">
        <f>+C47+'24'!D47</f>
        <v>0</v>
      </c>
      <c r="E47" s="147">
        <f t="shared" si="0"/>
        <v>0</v>
      </c>
      <c r="F47" s="372"/>
      <c r="G47" s="373"/>
      <c r="H47" s="191" t="s">
        <v>83</v>
      </c>
      <c r="I47" s="122">
        <f>I46/I38</f>
        <v>409.46136372911479</v>
      </c>
      <c r="J47" s="139">
        <f>J46/J38</f>
        <v>586.1972631661597</v>
      </c>
      <c r="K47" s="134" t="s">
        <v>25</v>
      </c>
      <c r="L47" s="443">
        <f>+L46/I38</f>
        <v>71.818169452794507</v>
      </c>
      <c r="M47" s="444">
        <f>+M46/J38</f>
        <v>100.99228101263694</v>
      </c>
    </row>
    <row r="48" spans="1:19" ht="17.45" customHeight="1">
      <c r="A48" s="799" t="s">
        <v>15</v>
      </c>
      <c r="B48" s="800"/>
      <c r="C48" s="168">
        <f>SUMIF($G$7:$G$31,"Start Up",$F$7:$F$31)</f>
        <v>0</v>
      </c>
      <c r="D48" s="122">
        <f>+C48+'24'!D48</f>
        <v>0</v>
      </c>
      <c r="E48" s="147">
        <f t="shared" si="0"/>
        <v>0</v>
      </c>
      <c r="F48" s="372"/>
      <c r="G48" s="373"/>
      <c r="H48" s="191" t="s">
        <v>84</v>
      </c>
      <c r="I48" s="122">
        <f>I46/I40</f>
        <v>412.38376393874887</v>
      </c>
      <c r="J48" s="139">
        <f>J46/J40</f>
        <v>601.99041164423852</v>
      </c>
      <c r="K48" s="134" t="s">
        <v>25</v>
      </c>
      <c r="L48" s="443">
        <f>+L46/I38</f>
        <v>71.818169452794507</v>
      </c>
      <c r="M48" s="444">
        <f>+M46/J40</f>
        <v>103.71318434909678</v>
      </c>
    </row>
    <row r="49" spans="1:13" ht="17.45" customHeight="1">
      <c r="A49" s="799" t="s">
        <v>21</v>
      </c>
      <c r="B49" s="800"/>
      <c r="C49" s="168">
        <f>SUMIF($G$7:$G$31,"Others",$F$7:$F$31)</f>
        <v>0</v>
      </c>
      <c r="D49" s="122">
        <f>+C49+'24'!D49</f>
        <v>1440</v>
      </c>
      <c r="E49" s="147">
        <f t="shared" si="0"/>
        <v>24</v>
      </c>
      <c r="F49" s="188"/>
      <c r="H49" s="191" t="s">
        <v>85</v>
      </c>
      <c r="I49" s="122">
        <f>+Report1!AB33</f>
        <v>0</v>
      </c>
      <c r="J49" s="139">
        <f>+I49+'24'!J49</f>
        <v>0</v>
      </c>
      <c r="K49" s="134" t="s">
        <v>86</v>
      </c>
      <c r="L49" s="439"/>
      <c r="M49" s="440"/>
    </row>
    <row r="50" spans="1:13" ht="17.45" customHeight="1">
      <c r="A50" s="799" t="s">
        <v>20</v>
      </c>
      <c r="B50" s="800"/>
      <c r="C50" s="168">
        <f>SUMIF($G$7:$G$31,"Steam",$F$7:$F$31)</f>
        <v>0</v>
      </c>
      <c r="D50" s="122">
        <f>+C50+'24'!D50</f>
        <v>0</v>
      </c>
      <c r="E50" s="147">
        <f t="shared" si="0"/>
        <v>0</v>
      </c>
      <c r="F50" s="188"/>
      <c r="H50" s="191" t="s">
        <v>87</v>
      </c>
      <c r="I50" s="144">
        <f>I49/I38</f>
        <v>0</v>
      </c>
      <c r="J50" s="137">
        <f>J49/J38</f>
        <v>0</v>
      </c>
      <c r="K50" s="134" t="s">
        <v>86</v>
      </c>
      <c r="L50" s="439"/>
      <c r="M50" s="440"/>
    </row>
    <row r="51" spans="1:13" ht="17.45" customHeight="1" thickBot="1">
      <c r="A51" s="805" t="s">
        <v>88</v>
      </c>
      <c r="B51" s="806"/>
      <c r="C51" s="168">
        <f>SUMIF($G$7:$G$31,"Planned shut",$F$7:$F$31)</f>
        <v>0</v>
      </c>
      <c r="D51" s="122">
        <f>+C51+'24'!D51</f>
        <v>0</v>
      </c>
      <c r="E51" s="147">
        <f t="shared" si="0"/>
        <v>0</v>
      </c>
      <c r="F51" s="188"/>
      <c r="H51" s="193" t="s">
        <v>89</v>
      </c>
      <c r="I51" s="145">
        <f>I49/I40</f>
        <v>0</v>
      </c>
      <c r="J51" s="140">
        <f>J49/J40</f>
        <v>0</v>
      </c>
      <c r="K51" s="141" t="s">
        <v>86</v>
      </c>
      <c r="L51" s="439"/>
      <c r="M51" s="440"/>
    </row>
    <row r="52" spans="1:13" ht="13.5" thickBot="1">
      <c r="A52" s="803" t="s">
        <v>29</v>
      </c>
      <c r="B52" s="804"/>
      <c r="C52" s="148">
        <f>SUM(C38:C51)</f>
        <v>16</v>
      </c>
      <c r="D52" s="148">
        <f>SUM(D38:D51)</f>
        <v>3601</v>
      </c>
      <c r="E52" s="149">
        <f>SUM(E38:E51)</f>
        <v>60.016666666666666</v>
      </c>
      <c r="F52" s="188"/>
      <c r="H52" s="194"/>
      <c r="I52" s="195"/>
      <c r="J52" s="142"/>
      <c r="K52" s="143"/>
      <c r="L52" s="446"/>
      <c r="M52" s="447"/>
    </row>
    <row r="53" spans="1:13" ht="13.5" thickBot="1">
      <c r="A53" s="807"/>
      <c r="B53" s="808"/>
      <c r="C53" s="150">
        <f>C52/(24*60)</f>
        <v>1.1111111111111112E-2</v>
      </c>
      <c r="D53" s="150">
        <f>D52/(24*60*G4)</f>
        <v>0.10002777777777777</v>
      </c>
      <c r="E53" s="151">
        <f>E52/(G4*24)</f>
        <v>0.10002777777777777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90</v>
      </c>
      <c r="B56" s="198"/>
      <c r="C56" s="199"/>
      <c r="D56" s="199"/>
      <c r="E56" s="199"/>
      <c r="F56" s="200"/>
      <c r="G56" s="199"/>
      <c r="H56" s="201"/>
      <c r="I56" s="202" t="s">
        <v>91</v>
      </c>
      <c r="J56" s="203">
        <f>+D34+'24'!J56</f>
        <v>18202</v>
      </c>
      <c r="K56" s="204">
        <f>J56/(J40+J56/1000)/1000</f>
        <v>1.2933187531219206E-2</v>
      </c>
    </row>
    <row r="57" spans="1:13">
      <c r="A57" s="179"/>
      <c r="I57" s="202" t="s">
        <v>92</v>
      </c>
      <c r="J57" s="203">
        <f>+E34+'24'!J57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  <mergeCell ref="A43:B43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53:B53"/>
    <mergeCell ref="A47:B47"/>
    <mergeCell ref="A48:B48"/>
    <mergeCell ref="A49:B49"/>
    <mergeCell ref="A50:B50"/>
  </mergeCells>
  <phoneticPr fontId="31" type="noConversion"/>
  <printOptions horizontalCentered="1"/>
  <pageMargins left="0.74791666666666667" right="0.74791666666666667" top="0.39027777777777778" bottom="0.19513888888888889" header="0" footer="0"/>
  <pageSetup paperSize="9" scale="62" firstPageNumber="4294963191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Y61"/>
  <sheetViews>
    <sheetView topLeftCell="G13" zoomScale="80" zoomScaleNormal="80" workbookViewId="0">
      <selection activeCell="A7" sqref="A7:A32"/>
    </sheetView>
  </sheetViews>
  <sheetFormatPr defaultColWidth="9.140625" defaultRowHeight="12.75"/>
  <cols>
    <col min="1" max="1" width="8" style="153" customWidth="1"/>
    <col min="2" max="2" width="7" style="153" bestFit="1" customWidth="1"/>
    <col min="3" max="3" width="14.85546875" style="153" bestFit="1" customWidth="1"/>
    <col min="4" max="4" width="12.5703125" style="153" bestFit="1" customWidth="1"/>
    <col min="5" max="5" width="13.85546875" style="153" bestFit="1" customWidth="1"/>
    <col min="6" max="6" width="12.140625" style="114" bestFit="1" customWidth="1"/>
    <col min="7" max="7" width="11.42578125" style="153" bestFit="1" customWidth="1"/>
    <col min="8" max="8" width="64.85546875" style="153" customWidth="1"/>
    <col min="9" max="9" width="14.7109375" style="153" bestFit="1" customWidth="1"/>
    <col min="10" max="10" width="18.85546875" style="153" customWidth="1"/>
    <col min="11" max="11" width="12.5703125" style="153" bestFit="1" customWidth="1"/>
    <col min="12" max="12" width="8.28515625" style="153" customWidth="1"/>
    <col min="13" max="13" width="15.140625" style="153" customWidth="1"/>
    <col min="14" max="16384" width="9.140625" style="153"/>
  </cols>
  <sheetData>
    <row r="1" spans="1:25" ht="15.75">
      <c r="A1" s="152"/>
    </row>
    <row r="2" spans="1:25" ht="15.75">
      <c r="A2" s="152" t="s">
        <v>175</v>
      </c>
    </row>
    <row r="3" spans="1:25" ht="15">
      <c r="A3" s="154"/>
    </row>
    <row r="4" spans="1:25" ht="20.25">
      <c r="A4" s="155" t="s">
        <v>4</v>
      </c>
      <c r="B4" s="156"/>
      <c r="F4" s="157" t="s">
        <v>31</v>
      </c>
      <c r="G4" s="158">
        <v>24</v>
      </c>
      <c r="H4" s="158" t="str">
        <f>+'1'!H4</f>
        <v>.12.25</v>
      </c>
      <c r="J4" s="153">
        <f>291+318+295</f>
        <v>904</v>
      </c>
    </row>
    <row r="5" spans="1:25" ht="13.5" thickBot="1">
      <c r="C5" s="159"/>
      <c r="D5" s="159"/>
    </row>
    <row r="6" spans="1:25" ht="26.25" thickBot="1">
      <c r="A6" s="160" t="s">
        <v>50</v>
      </c>
      <c r="B6" s="161" t="s">
        <v>10</v>
      </c>
      <c r="C6" s="161" t="s">
        <v>51</v>
      </c>
      <c r="D6" s="161" t="s">
        <v>52</v>
      </c>
      <c r="E6" s="162" t="s">
        <v>53</v>
      </c>
      <c r="F6" s="106" t="s">
        <v>54</v>
      </c>
      <c r="G6" s="161" t="s">
        <v>55</v>
      </c>
      <c r="H6" s="163" t="s">
        <v>56</v>
      </c>
      <c r="I6" s="164" t="s">
        <v>57</v>
      </c>
      <c r="J6" s="165" t="s">
        <v>10</v>
      </c>
      <c r="K6" s="166" t="s">
        <v>58</v>
      </c>
      <c r="L6" s="213" t="s">
        <v>143</v>
      </c>
      <c r="M6" s="167" t="s">
        <v>59</v>
      </c>
      <c r="N6" s="153" t="s">
        <v>625</v>
      </c>
      <c r="O6" s="153">
        <v>550</v>
      </c>
      <c r="P6" s="153">
        <f>+O6-(O6*0.12)</f>
        <v>484</v>
      </c>
      <c r="Q6" s="153">
        <v>480</v>
      </c>
      <c r="R6" s="153">
        <f>+O6*Q6</f>
        <v>264000</v>
      </c>
      <c r="S6" s="153">
        <f>+P6*Q6</f>
        <v>232320</v>
      </c>
      <c r="T6" s="153" t="s">
        <v>625</v>
      </c>
      <c r="U6" s="153">
        <v>550</v>
      </c>
      <c r="V6" s="153">
        <f>+U6-(U6*0.12)</f>
        <v>484</v>
      </c>
      <c r="W6" s="153">
        <v>480</v>
      </c>
      <c r="X6" s="153">
        <f>+U6*W6</f>
        <v>264000</v>
      </c>
      <c r="Y6" s="153">
        <f>+V6*W6</f>
        <v>232320</v>
      </c>
    </row>
    <row r="7" spans="1:25" ht="13.5" customHeight="1" thickBot="1">
      <c r="A7" s="789" t="s">
        <v>413</v>
      </c>
      <c r="B7" s="218" t="s">
        <v>619</v>
      </c>
      <c r="C7" s="219">
        <v>26427</v>
      </c>
      <c r="D7" s="220">
        <v>300</v>
      </c>
      <c r="E7" s="221"/>
      <c r="F7" s="230"/>
      <c r="G7" s="231" t="s">
        <v>13</v>
      </c>
      <c r="H7" s="232" t="s">
        <v>395</v>
      </c>
      <c r="I7" s="792" t="s">
        <v>604</v>
      </c>
      <c r="J7" s="217" t="str">
        <f>+'23'!J7</f>
        <v>TW 38 RC BR</v>
      </c>
      <c r="K7" s="240"/>
      <c r="L7" s="244"/>
      <c r="M7" s="121">
        <f>+K7+'23'!M7+L7</f>
        <v>78513</v>
      </c>
      <c r="T7" s="153" t="s">
        <v>625</v>
      </c>
      <c r="U7" s="153">
        <v>550</v>
      </c>
      <c r="V7" s="153">
        <f>+U7-(U7*0.12)</f>
        <v>484</v>
      </c>
      <c r="W7" s="153">
        <v>120</v>
      </c>
      <c r="X7" s="153">
        <f>+U7*W7</f>
        <v>66000</v>
      </c>
      <c r="Y7" s="153">
        <f>+V7*W7</f>
        <v>58080</v>
      </c>
    </row>
    <row r="8" spans="1:25" ht="13.5" thickBot="1">
      <c r="A8" s="790"/>
      <c r="B8" s="218"/>
      <c r="C8" s="219"/>
      <c r="D8" s="220"/>
      <c r="E8" s="222"/>
      <c r="F8" s="233"/>
      <c r="G8" s="234" t="s">
        <v>13</v>
      </c>
      <c r="H8" s="232" t="s">
        <v>424</v>
      </c>
      <c r="I8" s="793"/>
      <c r="J8" s="217" t="str">
        <f>+'23'!J8</f>
        <v>TW 36 RC BR</v>
      </c>
      <c r="K8" s="241"/>
      <c r="L8" s="241"/>
      <c r="M8" s="121">
        <f>+K8+'23'!M8+L8</f>
        <v>1530</v>
      </c>
    </row>
    <row r="9" spans="1:25" ht="13.5" thickBot="1">
      <c r="A9" s="790"/>
      <c r="B9" s="218"/>
      <c r="C9" s="219"/>
      <c r="D9" s="220"/>
      <c r="E9" s="223"/>
      <c r="F9" s="230">
        <v>3</v>
      </c>
      <c r="G9" s="234" t="s">
        <v>13</v>
      </c>
      <c r="H9" s="235" t="s">
        <v>226</v>
      </c>
      <c r="I9" s="793"/>
      <c r="J9" s="217" t="str">
        <f>+'23'!J9</f>
        <v>N 20 RC BR</v>
      </c>
      <c r="K9" s="241"/>
      <c r="L9" s="241"/>
      <c r="M9" s="121">
        <f>+K9+'23'!M9+L9</f>
        <v>74204</v>
      </c>
    </row>
    <row r="10" spans="1:25" ht="13.5" thickBot="1">
      <c r="A10" s="790"/>
      <c r="B10" s="218"/>
      <c r="C10" s="219"/>
      <c r="D10" s="220"/>
      <c r="E10" s="222"/>
      <c r="F10" s="230"/>
      <c r="G10" s="234"/>
      <c r="H10" s="235" t="s">
        <v>629</v>
      </c>
      <c r="I10" s="793"/>
      <c r="J10" s="217" t="str">
        <f>+'23'!J10</f>
        <v>TW 17 RC HW</v>
      </c>
      <c r="K10" s="241"/>
      <c r="L10" s="241"/>
      <c r="M10" s="121">
        <f>+K10+'23'!M10+L10</f>
        <v>99162</v>
      </c>
    </row>
    <row r="11" spans="1:25" ht="13.5" thickBot="1">
      <c r="A11" s="790"/>
      <c r="B11" s="218"/>
      <c r="C11" s="219"/>
      <c r="D11" s="220"/>
      <c r="E11" s="222"/>
      <c r="F11" s="230"/>
      <c r="G11" s="234"/>
      <c r="H11" s="235"/>
      <c r="I11" s="793"/>
      <c r="J11" s="217" t="str">
        <f>+'23'!J11</f>
        <v>N 15,5 RC HW</v>
      </c>
      <c r="K11" s="241"/>
      <c r="L11" s="241"/>
      <c r="M11" s="121">
        <f>+K11+'23'!M11+L11</f>
        <v>159490</v>
      </c>
    </row>
    <row r="12" spans="1:25" ht="13.5" thickBot="1">
      <c r="A12" s="790"/>
      <c r="B12" s="218"/>
      <c r="C12" s="219"/>
      <c r="D12" s="220"/>
      <c r="E12" s="222"/>
      <c r="F12" s="230"/>
      <c r="G12" s="234"/>
      <c r="H12" s="235"/>
      <c r="I12" s="793"/>
      <c r="J12" s="217" t="str">
        <f>+'23'!J12</f>
        <v>N 17 RC HW</v>
      </c>
      <c r="K12" s="241"/>
      <c r="L12" s="241"/>
      <c r="M12" s="121">
        <f>+K12+'23'!M12+L12</f>
        <v>6572</v>
      </c>
    </row>
    <row r="13" spans="1:25" ht="13.5" thickBot="1">
      <c r="A13" s="790"/>
      <c r="B13" s="218"/>
      <c r="C13" s="219"/>
      <c r="D13" s="219"/>
      <c r="E13" s="222"/>
      <c r="F13" s="230"/>
      <c r="G13" s="234"/>
      <c r="H13" s="235"/>
      <c r="I13" s="794"/>
      <c r="J13" s="217" t="str">
        <f>+'23'!J13</f>
        <v>N 16,5 RC HW</v>
      </c>
      <c r="K13" s="241"/>
      <c r="L13" s="241"/>
      <c r="M13" s="121">
        <f>+K13+'23'!M13+L13</f>
        <v>18880</v>
      </c>
    </row>
    <row r="14" spans="1:25" ht="13.5" thickBot="1">
      <c r="A14" s="791"/>
      <c r="B14" s="169" t="s">
        <v>3</v>
      </c>
      <c r="C14" s="103">
        <f>SUM(C7:C13)</f>
        <v>26427</v>
      </c>
      <c r="D14" s="115">
        <f>SUM(D7:D13)</f>
        <v>300</v>
      </c>
      <c r="E14" s="116">
        <f>SUM(E5:E13)</f>
        <v>0</v>
      </c>
      <c r="F14" s="106">
        <f>SUM(F6:F13)</f>
        <v>3</v>
      </c>
      <c r="G14" s="163"/>
      <c r="H14" s="170"/>
      <c r="I14" s="171"/>
      <c r="J14" s="217" t="str">
        <f>+'23'!J14</f>
        <v>N 20 RC HW</v>
      </c>
      <c r="K14" s="241"/>
      <c r="L14" s="241"/>
      <c r="M14" s="121">
        <f>+K14+'23'!M14+L14</f>
        <v>394199</v>
      </c>
      <c r="Q14" s="179">
        <f>SUM(Q6:Q11)</f>
        <v>480</v>
      </c>
      <c r="R14" s="179">
        <f>SUM(R6:R11)</f>
        <v>264000</v>
      </c>
      <c r="S14" s="179">
        <f>SUM(S6:S11)</f>
        <v>232320</v>
      </c>
      <c r="W14" s="179">
        <f>SUM(W6:W11)</f>
        <v>600</v>
      </c>
      <c r="X14" s="179">
        <f>SUM(X6:X11)</f>
        <v>330000</v>
      </c>
      <c r="Y14" s="179">
        <f>SUM(Y6:Y11)</f>
        <v>290400</v>
      </c>
    </row>
    <row r="15" spans="1:25" ht="13.5" customHeight="1" thickBot="1">
      <c r="A15" s="789" t="s">
        <v>631</v>
      </c>
      <c r="B15" s="169"/>
      <c r="C15" s="117">
        <f>C14/($C$23+$D$23+$E$23)</f>
        <v>1.086323837711185</v>
      </c>
      <c r="D15" s="118">
        <f>D14/($C$23+$D$23+$E$23)</f>
        <v>1.2331976815883586E-2</v>
      </c>
      <c r="E15" s="119">
        <f>E14/($C$23+$D$23+$E$23)</f>
        <v>0</v>
      </c>
      <c r="F15" s="230"/>
      <c r="G15" s="231" t="s">
        <v>13</v>
      </c>
      <c r="H15" s="232" t="s">
        <v>395</v>
      </c>
      <c r="I15" s="792" t="s">
        <v>644</v>
      </c>
      <c r="J15" s="217" t="str">
        <f>+'23'!J15</f>
        <v>N 18 RC HW</v>
      </c>
      <c r="K15" s="241"/>
      <c r="L15" s="241"/>
      <c r="M15" s="121">
        <f>+K15+'23'!M15+L15</f>
        <v>50657</v>
      </c>
      <c r="Q15" s="153">
        <f>480-Q14</f>
        <v>0</v>
      </c>
      <c r="R15" s="179">
        <f>+R14/Q14</f>
        <v>550</v>
      </c>
      <c r="S15" s="179">
        <f>+S14/Q14</f>
        <v>484</v>
      </c>
      <c r="X15" s="179">
        <f>+X14/W14</f>
        <v>550</v>
      </c>
      <c r="Y15" s="179">
        <f>+Y14/W14</f>
        <v>484</v>
      </c>
    </row>
    <row r="16" spans="1:25" ht="13.5" thickBot="1">
      <c r="A16" s="795"/>
      <c r="B16" s="218" t="s">
        <v>619</v>
      </c>
      <c r="C16" s="224">
        <f>24327-C17</f>
        <v>13140</v>
      </c>
      <c r="D16" s="225"/>
      <c r="E16" s="226"/>
      <c r="F16" s="233">
        <v>2</v>
      </c>
      <c r="G16" s="234" t="s">
        <v>13</v>
      </c>
      <c r="H16" s="232" t="s">
        <v>393</v>
      </c>
      <c r="I16" s="793"/>
      <c r="J16" s="217" t="str">
        <f>+'23'!J16</f>
        <v>TW 17,5 RC HW</v>
      </c>
      <c r="K16" s="241"/>
      <c r="L16" s="231"/>
      <c r="M16" s="121">
        <f>+K16+'23'!M16+L16</f>
        <v>11537</v>
      </c>
      <c r="N16" s="153" t="s">
        <v>625</v>
      </c>
      <c r="O16" s="153">
        <v>550</v>
      </c>
      <c r="P16" s="153">
        <f>+O16-(O16*0.12)</f>
        <v>484</v>
      </c>
      <c r="Q16" s="153">
        <v>120</v>
      </c>
      <c r="R16" s="153">
        <f>+O16*Q16</f>
        <v>66000</v>
      </c>
      <c r="S16" s="153">
        <f>+P16*Q16</f>
        <v>58080</v>
      </c>
    </row>
    <row r="17" spans="1:25" ht="13.5" thickBot="1">
      <c r="A17" s="795"/>
      <c r="B17" s="218" t="s">
        <v>651</v>
      </c>
      <c r="C17" s="219">
        <v>11187</v>
      </c>
      <c r="D17" s="220"/>
      <c r="E17" s="227"/>
      <c r="F17" s="230">
        <v>1</v>
      </c>
      <c r="G17" s="234" t="s">
        <v>13</v>
      </c>
      <c r="H17" s="235" t="s">
        <v>226</v>
      </c>
      <c r="I17" s="793"/>
      <c r="J17" s="217" t="str">
        <f>+'23'!J17</f>
        <v>TW 22 RC HW</v>
      </c>
      <c r="K17" s="241"/>
      <c r="L17" s="231"/>
      <c r="M17" s="121">
        <f>+K17+'23'!M17+L17</f>
        <v>100201</v>
      </c>
      <c r="N17" s="153" t="s">
        <v>642</v>
      </c>
      <c r="O17" s="153">
        <v>530</v>
      </c>
      <c r="P17" s="153">
        <f>+O17-(O17*0.12)</f>
        <v>466.4</v>
      </c>
      <c r="Q17" s="153">
        <f>480-Q16</f>
        <v>360</v>
      </c>
      <c r="R17" s="153">
        <f>+O17*Q17</f>
        <v>190800</v>
      </c>
      <c r="S17" s="153">
        <f>+P17*Q17</f>
        <v>167904</v>
      </c>
      <c r="T17" s="153" t="s">
        <v>642</v>
      </c>
      <c r="U17" s="153">
        <v>530</v>
      </c>
      <c r="V17" s="153">
        <v>466.4</v>
      </c>
      <c r="W17" s="153">
        <v>360</v>
      </c>
      <c r="X17" s="153">
        <f>+U17*W17</f>
        <v>190800</v>
      </c>
      <c r="Y17" s="153">
        <f>+V17*W17</f>
        <v>167904</v>
      </c>
    </row>
    <row r="18" spans="1:25" ht="26.25" thickBot="1">
      <c r="A18" s="795"/>
      <c r="B18" s="218"/>
      <c r="C18" s="219"/>
      <c r="D18" s="220"/>
      <c r="E18" s="227"/>
      <c r="F18" s="230"/>
      <c r="G18" s="234"/>
      <c r="H18" s="235" t="s">
        <v>640</v>
      </c>
      <c r="I18" s="793"/>
      <c r="J18" s="217" t="str">
        <f>+'23'!J18</f>
        <v>TW 31,5 RC HW</v>
      </c>
      <c r="K18" s="241"/>
      <c r="L18" s="241"/>
      <c r="M18" s="121">
        <f>+K18+'23'!M18+L18</f>
        <v>108399</v>
      </c>
      <c r="T18" s="153" t="s">
        <v>642</v>
      </c>
      <c r="U18" s="153">
        <v>530</v>
      </c>
      <c r="V18" s="153">
        <v>466.4</v>
      </c>
      <c r="W18" s="153">
        <v>480</v>
      </c>
      <c r="X18" s="153">
        <f>+U18*W18</f>
        <v>254400</v>
      </c>
      <c r="Y18" s="153">
        <f>+V18*W18</f>
        <v>223872</v>
      </c>
    </row>
    <row r="19" spans="1:25" ht="13.5" thickBot="1">
      <c r="A19" s="795"/>
      <c r="B19" s="218"/>
      <c r="C19" s="219"/>
      <c r="D19" s="220"/>
      <c r="E19" s="227"/>
      <c r="F19" s="237">
        <v>5</v>
      </c>
      <c r="G19" s="234" t="s">
        <v>201</v>
      </c>
      <c r="H19" s="235" t="s">
        <v>641</v>
      </c>
      <c r="I19" s="793"/>
      <c r="J19" s="217" t="str">
        <f>+'23'!J19</f>
        <v>TW 32 RC HW</v>
      </c>
      <c r="K19" s="241"/>
      <c r="L19" s="241"/>
      <c r="M19" s="121">
        <f>+K19+'23'!M19+L19</f>
        <v>12437</v>
      </c>
    </row>
    <row r="20" spans="1:25" ht="13.5" thickBot="1">
      <c r="A20" s="795"/>
      <c r="B20" s="218"/>
      <c r="C20" s="219"/>
      <c r="D20" s="220"/>
      <c r="E20" s="227"/>
      <c r="F20" s="230"/>
      <c r="G20" s="234"/>
      <c r="H20" s="235"/>
      <c r="I20" s="793"/>
      <c r="J20" s="217" t="str">
        <f>+'23'!J20</f>
        <v>TW 33,5 RC HW</v>
      </c>
      <c r="K20" s="241"/>
      <c r="L20" s="242"/>
      <c r="M20" s="121">
        <f>+K20+'23'!M20+L20</f>
        <v>9545</v>
      </c>
    </row>
    <row r="21" spans="1:25" ht="13.5" thickBot="1">
      <c r="A21" s="795"/>
      <c r="B21" s="218"/>
      <c r="C21" s="219"/>
      <c r="D21" s="220"/>
      <c r="E21" s="227"/>
      <c r="F21" s="233"/>
      <c r="G21" s="234"/>
      <c r="H21" s="235"/>
      <c r="I21" s="793"/>
      <c r="J21" s="217" t="str">
        <f>+'23'!J21</f>
        <v>TW 34 RC HW</v>
      </c>
      <c r="K21" s="241">
        <f>+C16+C7</f>
        <v>39567</v>
      </c>
      <c r="L21" s="241"/>
      <c r="M21" s="121">
        <f>+K21+'23'!M21+L21</f>
        <v>155277</v>
      </c>
    </row>
    <row r="22" spans="1:25" ht="13.5" thickBot="1">
      <c r="A22" s="795"/>
      <c r="B22" s="218"/>
      <c r="C22" s="219"/>
      <c r="D22" s="220"/>
      <c r="E22" s="227"/>
      <c r="F22" s="238"/>
      <c r="G22" s="234"/>
      <c r="H22" s="235"/>
      <c r="I22" s="794"/>
      <c r="J22" s="217" t="s">
        <v>651</v>
      </c>
      <c r="K22" s="241">
        <f>+C17+C25</f>
        <v>35584</v>
      </c>
      <c r="L22" s="241"/>
      <c r="M22" s="121">
        <f>+K22+'23'!M22+L22</f>
        <v>35584</v>
      </c>
    </row>
    <row r="23" spans="1:25" ht="14.25" customHeight="1" thickBot="1">
      <c r="A23" s="796"/>
      <c r="B23" s="169" t="s">
        <v>3</v>
      </c>
      <c r="C23" s="104">
        <f>SUM(C16:C22)</f>
        <v>24327</v>
      </c>
      <c r="D23" s="115">
        <f>SUM(D16:D22)</f>
        <v>0</v>
      </c>
      <c r="E23" s="116">
        <f>SUM(E18:E22)</f>
        <v>0</v>
      </c>
      <c r="F23" s="106">
        <f>SUM(F15:F22)</f>
        <v>8</v>
      </c>
      <c r="G23" s="163"/>
      <c r="H23" s="170"/>
      <c r="I23" s="172"/>
      <c r="J23" s="217"/>
      <c r="K23" s="241"/>
      <c r="L23" s="241"/>
      <c r="M23" s="121">
        <f>+K23+'23'!M23+L23</f>
        <v>0</v>
      </c>
    </row>
    <row r="24" spans="1:25" ht="13.5" customHeight="1" thickBot="1">
      <c r="A24" s="789" t="s">
        <v>486</v>
      </c>
      <c r="B24" s="173"/>
      <c r="C24" s="117">
        <f>C23/($C$23+$D$23+$E$23)</f>
        <v>1</v>
      </c>
      <c r="D24" s="118">
        <f>D23/($C$23+$D$23+$E$23)</f>
        <v>0</v>
      </c>
      <c r="E24" s="119">
        <f>E23/($C$23+$D$23+$E$23)</f>
        <v>0</v>
      </c>
      <c r="F24" s="230">
        <v>2</v>
      </c>
      <c r="G24" s="231" t="s">
        <v>13</v>
      </c>
      <c r="H24" s="232" t="s">
        <v>392</v>
      </c>
      <c r="I24" s="792" t="s">
        <v>643</v>
      </c>
      <c r="J24" s="217"/>
      <c r="K24" s="241"/>
      <c r="L24" s="241"/>
      <c r="M24" s="121">
        <f>+K24+'23'!M24+L24</f>
        <v>0</v>
      </c>
      <c r="Q24" s="179">
        <f>SUM(Q16:Q21)</f>
        <v>480</v>
      </c>
      <c r="R24" s="179">
        <f>SUM(R16:R21)</f>
        <v>256800</v>
      </c>
      <c r="S24" s="179">
        <f>SUM(S16:S21)</f>
        <v>225984</v>
      </c>
    </row>
    <row r="25" spans="1:25" ht="13.5" thickBot="1">
      <c r="A25" s="795"/>
      <c r="B25" s="218" t="s">
        <v>651</v>
      </c>
      <c r="C25" s="228">
        <v>24397</v>
      </c>
      <c r="D25" s="220"/>
      <c r="E25" s="227"/>
      <c r="F25" s="233"/>
      <c r="G25" s="234" t="s">
        <v>13</v>
      </c>
      <c r="H25" s="232" t="s">
        <v>424</v>
      </c>
      <c r="I25" s="793"/>
      <c r="J25" s="217"/>
      <c r="K25" s="241"/>
      <c r="L25" s="241"/>
      <c r="M25" s="121">
        <f>+K25+'23'!M25+L25</f>
        <v>0</v>
      </c>
      <c r="Q25" s="153">
        <f>480-Q24</f>
        <v>0</v>
      </c>
      <c r="R25" s="179">
        <f>+R24/Q24</f>
        <v>535</v>
      </c>
      <c r="S25" s="179">
        <f>+S24/Q24</f>
        <v>470.8</v>
      </c>
      <c r="W25" s="179">
        <f>SUM(W17:W22)</f>
        <v>840</v>
      </c>
      <c r="X25" s="179">
        <f>SUM(X17:X22)</f>
        <v>445200</v>
      </c>
      <c r="Y25" s="179">
        <f>SUM(Y17:Y22)</f>
        <v>391776</v>
      </c>
    </row>
    <row r="26" spans="1:25" ht="13.5" thickBot="1">
      <c r="A26" s="795"/>
      <c r="B26" s="218"/>
      <c r="C26" s="228"/>
      <c r="D26" s="220"/>
      <c r="E26" s="229"/>
      <c r="F26" s="230">
        <v>5</v>
      </c>
      <c r="G26" s="234" t="s">
        <v>13</v>
      </c>
      <c r="H26" s="235" t="s">
        <v>226</v>
      </c>
      <c r="I26" s="793"/>
      <c r="J26" s="217"/>
      <c r="K26" s="241"/>
      <c r="L26" s="241"/>
      <c r="M26" s="121">
        <f>+K26+'23'!M26+L26</f>
        <v>0</v>
      </c>
      <c r="N26" s="153" t="s">
        <v>642</v>
      </c>
      <c r="O26" s="153">
        <v>530</v>
      </c>
      <c r="P26" s="153">
        <f>+O26-(O26*0.12)</f>
        <v>466.4</v>
      </c>
      <c r="Q26" s="153">
        <v>480</v>
      </c>
      <c r="R26" s="153">
        <f>+O26*Q26</f>
        <v>254400</v>
      </c>
      <c r="S26" s="153">
        <f>+P26*Q26</f>
        <v>223872</v>
      </c>
      <c r="X26" s="179">
        <f>+X25/W25</f>
        <v>530</v>
      </c>
      <c r="Y26" s="179">
        <f>+Y25/W25</f>
        <v>466.4</v>
      </c>
    </row>
    <row r="27" spans="1:25" ht="13.5" thickBot="1">
      <c r="A27" s="795"/>
      <c r="B27" s="218"/>
      <c r="C27" s="219"/>
      <c r="D27" s="220"/>
      <c r="E27" s="227"/>
      <c r="F27" s="230"/>
      <c r="G27" s="234"/>
      <c r="H27" s="235" t="s">
        <v>639</v>
      </c>
      <c r="I27" s="793"/>
      <c r="J27" s="217"/>
      <c r="K27" s="241"/>
      <c r="L27" s="241"/>
      <c r="M27" s="121">
        <f>+K27+'23'!M27+L27</f>
        <v>0</v>
      </c>
    </row>
    <row r="28" spans="1:25" ht="13.5" thickBot="1">
      <c r="A28" s="795"/>
      <c r="B28" s="218"/>
      <c r="C28" s="219"/>
      <c r="D28" s="220"/>
      <c r="E28" s="227"/>
      <c r="F28" s="233"/>
      <c r="G28" s="234"/>
      <c r="H28" s="235"/>
      <c r="I28" s="793"/>
      <c r="J28" s="217"/>
      <c r="K28" s="241"/>
      <c r="L28" s="241"/>
      <c r="M28" s="121">
        <f>+K28+'23'!M28+L28</f>
        <v>0</v>
      </c>
    </row>
    <row r="29" spans="1:25" ht="13.5" thickBot="1">
      <c r="A29" s="795"/>
      <c r="B29" s="218"/>
      <c r="C29" s="219"/>
      <c r="D29" s="220"/>
      <c r="E29" s="227"/>
      <c r="F29" s="238"/>
      <c r="G29" s="234"/>
      <c r="H29" s="235"/>
      <c r="I29" s="793"/>
      <c r="J29" s="217"/>
      <c r="K29" s="241"/>
      <c r="L29" s="241"/>
      <c r="M29" s="121">
        <f>+K29+'23'!M29+L29</f>
        <v>0</v>
      </c>
    </row>
    <row r="30" spans="1:25" ht="13.5" thickBot="1">
      <c r="A30" s="795"/>
      <c r="B30" s="218"/>
      <c r="C30" s="228"/>
      <c r="D30" s="220"/>
      <c r="E30" s="227"/>
      <c r="F30" s="238"/>
      <c r="G30" s="234"/>
      <c r="H30" s="235"/>
      <c r="I30" s="793"/>
      <c r="J30" s="217"/>
      <c r="K30" s="241"/>
      <c r="L30" s="241"/>
      <c r="M30" s="121">
        <f>+K30+'23'!M30+L30</f>
        <v>0</v>
      </c>
    </row>
    <row r="31" spans="1:25" ht="13.5" thickBot="1">
      <c r="A31" s="795"/>
      <c r="B31" s="218"/>
      <c r="C31" s="228"/>
      <c r="D31" s="220"/>
      <c r="E31" s="227"/>
      <c r="F31" s="238"/>
      <c r="G31" s="239"/>
      <c r="H31" s="236"/>
      <c r="I31" s="794"/>
      <c r="J31" s="217"/>
      <c r="K31" s="241"/>
      <c r="L31" s="241"/>
      <c r="M31" s="121">
        <f>+K31+'23'!M31+L31</f>
        <v>0</v>
      </c>
    </row>
    <row r="32" spans="1:25" ht="13.5" thickBot="1">
      <c r="A32" s="796"/>
      <c r="B32" s="169" t="s">
        <v>3</v>
      </c>
      <c r="C32" s="103">
        <f>SUM(C25:C31)</f>
        <v>24397</v>
      </c>
      <c r="D32" s="104">
        <f>SUM(D25:D31)</f>
        <v>0</v>
      </c>
      <c r="E32" s="105">
        <f>SUM(E25:E31)</f>
        <v>0</v>
      </c>
      <c r="F32" s="106">
        <f>SUM(F24:F31)</f>
        <v>7</v>
      </c>
      <c r="G32" s="174"/>
      <c r="H32" s="175"/>
      <c r="I32" s="172"/>
      <c r="J32" s="217">
        <f>+'23'!J32</f>
        <v>0</v>
      </c>
      <c r="K32" s="243"/>
      <c r="L32" s="245"/>
      <c r="M32" s="121">
        <f>+K32+'23'!M32+L32</f>
        <v>0</v>
      </c>
    </row>
    <row r="33" spans="1:19" ht="13.5" thickBot="1">
      <c r="A33" s="176"/>
      <c r="B33" s="177"/>
      <c r="C33" s="107">
        <f>C32/($C$32+$D$32+$E$32)</f>
        <v>1</v>
      </c>
      <c r="D33" s="108">
        <f>D32/($C$32+$D$32+$E$32)</f>
        <v>0</v>
      </c>
      <c r="E33" s="109">
        <f>E32/($C$32+$D$32+$E$32)</f>
        <v>0</v>
      </c>
      <c r="F33" s="110"/>
      <c r="G33" s="178"/>
      <c r="H33" s="179"/>
      <c r="I33" s="180"/>
      <c r="J33" s="125"/>
      <c r="K33" s="126"/>
      <c r="L33" s="216"/>
      <c r="M33" s="123"/>
    </row>
    <row r="34" spans="1:19" ht="13.5" thickBot="1">
      <c r="A34" s="797" t="s">
        <v>60</v>
      </c>
      <c r="B34" s="798"/>
      <c r="C34" s="111">
        <f>C14+C23+C32</f>
        <v>75151</v>
      </c>
      <c r="D34" s="111">
        <f>D14+D23+D32</f>
        <v>300</v>
      </c>
      <c r="E34" s="111">
        <f>E14+E23+E32</f>
        <v>0</v>
      </c>
      <c r="F34" s="112">
        <f>F14+F23+F32</f>
        <v>18</v>
      </c>
      <c r="H34" s="181"/>
      <c r="I34" s="181"/>
      <c r="J34" s="127" t="s">
        <v>29</v>
      </c>
      <c r="K34" s="128">
        <f>SUM(K7:K32)</f>
        <v>75151</v>
      </c>
      <c r="L34" s="215">
        <f>SUM(L7:L32)</f>
        <v>0</v>
      </c>
      <c r="M34" s="124">
        <f>SUM(M7:M32)</f>
        <v>1316187</v>
      </c>
      <c r="Q34" s="179">
        <f>SUM(Q26:Q31)</f>
        <v>480</v>
      </c>
      <c r="R34" s="179">
        <f>SUM(R26:R31)</f>
        <v>254400</v>
      </c>
      <c r="S34" s="179">
        <f>SUM(S26:S31)</f>
        <v>223872</v>
      </c>
    </row>
    <row r="35" spans="1:19" ht="13.5" thickBot="1">
      <c r="A35" s="182"/>
      <c r="B35" s="183"/>
      <c r="C35" s="108">
        <f>C34/($C$34+$D$34+$E$34)</f>
        <v>0.99602390955719611</v>
      </c>
      <c r="D35" s="108">
        <f>D34/($C$34+$D$34+$E$34)</f>
        <v>3.9760904428039392E-3</v>
      </c>
      <c r="E35" s="113">
        <f>E34/($C$34+$D$34+$E$34)</f>
        <v>0</v>
      </c>
      <c r="K35" s="159"/>
      <c r="L35" s="788" t="s">
        <v>186</v>
      </c>
      <c r="M35" s="788"/>
      <c r="Q35" s="153">
        <f>480-Q34</f>
        <v>0</v>
      </c>
      <c r="R35" s="179">
        <f>+R34/Q34</f>
        <v>530</v>
      </c>
      <c r="S35" s="179">
        <f>+S34/Q34</f>
        <v>466.4</v>
      </c>
    </row>
    <row r="36" spans="1:19" ht="13.5" thickBot="1">
      <c r="A36" s="181"/>
      <c r="B36" s="181"/>
      <c r="C36" s="159"/>
      <c r="D36" s="159"/>
      <c r="E36" s="159"/>
      <c r="G36" s="159"/>
      <c r="H36" s="184"/>
      <c r="I36" s="166" t="s">
        <v>42</v>
      </c>
      <c r="J36" s="166" t="s">
        <v>43</v>
      </c>
      <c r="K36" s="185"/>
      <c r="L36" s="166" t="s">
        <v>42</v>
      </c>
      <c r="M36" s="166" t="s">
        <v>43</v>
      </c>
    </row>
    <row r="37" spans="1:19" ht="17.45" customHeight="1" thickBot="1">
      <c r="A37" s="801" t="s">
        <v>61</v>
      </c>
      <c r="B37" s="802"/>
      <c r="C37" s="166" t="s">
        <v>62</v>
      </c>
      <c r="D37" s="186" t="s">
        <v>63</v>
      </c>
      <c r="E37" s="187" t="s">
        <v>64</v>
      </c>
      <c r="F37" s="372"/>
      <c r="G37" s="374"/>
      <c r="H37" s="189" t="s">
        <v>65</v>
      </c>
      <c r="I37" s="246">
        <f>(34*600+35.5*840)/1440*G42*3.4*1440/1000000</f>
        <v>80.889019200000007</v>
      </c>
      <c r="J37" s="129">
        <f>+I37+'23'!J37</f>
        <v>1489.6947595044976</v>
      </c>
      <c r="K37" s="130" t="s">
        <v>66</v>
      </c>
      <c r="L37" s="437"/>
      <c r="M37" s="438"/>
      <c r="N37" s="153" t="s">
        <v>625</v>
      </c>
      <c r="O37" s="153">
        <v>550</v>
      </c>
      <c r="P37" s="153">
        <v>484</v>
      </c>
      <c r="Q37" s="153">
        <v>600</v>
      </c>
    </row>
    <row r="38" spans="1:19" ht="17.45" customHeight="1">
      <c r="A38" s="803" t="s">
        <v>13</v>
      </c>
      <c r="B38" s="804"/>
      <c r="C38" s="168">
        <f>SUMIF($G$7:$G$31,"Process",$F$7:$F$31)</f>
        <v>13</v>
      </c>
      <c r="D38" s="122">
        <f>+C38+'23'!D38</f>
        <v>1020</v>
      </c>
      <c r="E38" s="147">
        <f t="shared" ref="E38:E51" si="0">D38/60</f>
        <v>17</v>
      </c>
      <c r="F38" s="372">
        <v>550</v>
      </c>
      <c r="G38" s="372">
        <v>484</v>
      </c>
      <c r="H38" s="190" t="s">
        <v>67</v>
      </c>
      <c r="I38" s="559">
        <f>25.357+24.408+24.523</f>
        <v>74.287999999999997</v>
      </c>
      <c r="J38" s="131">
        <f>+I38+'23'!J38</f>
        <v>1353.0929999999998</v>
      </c>
      <c r="K38" s="132" t="s">
        <v>66</v>
      </c>
      <c r="L38" s="439"/>
      <c r="M38" s="440"/>
      <c r="N38" s="560" t="s">
        <v>642</v>
      </c>
      <c r="O38" s="153">
        <v>530</v>
      </c>
      <c r="P38" s="153">
        <v>466.4</v>
      </c>
      <c r="Q38" s="153">
        <v>840</v>
      </c>
    </row>
    <row r="39" spans="1:19" ht="17.45" customHeight="1">
      <c r="A39" s="799" t="s">
        <v>14</v>
      </c>
      <c r="B39" s="800"/>
      <c r="C39" s="168">
        <f>SUMIF($G$7:$G$31,"Cleaning",$F$7:$F$31)</f>
        <v>0</v>
      </c>
      <c r="D39" s="122">
        <f>+C39+'23'!D39</f>
        <v>0</v>
      </c>
      <c r="E39" s="147">
        <f t="shared" si="0"/>
        <v>0</v>
      </c>
      <c r="F39" s="372">
        <v>535</v>
      </c>
      <c r="G39" s="372">
        <v>470.8</v>
      </c>
      <c r="H39" s="190" t="s">
        <v>68</v>
      </c>
      <c r="I39" s="146"/>
      <c r="J39" s="133">
        <f>J37/G4</f>
        <v>62.070614979354069</v>
      </c>
      <c r="K39" s="134" t="s">
        <v>66</v>
      </c>
      <c r="L39" s="439"/>
      <c r="M39" s="440"/>
      <c r="Q39" s="153">
        <f>+Q37+Q38</f>
        <v>1440</v>
      </c>
    </row>
    <row r="40" spans="1:19" ht="17.45" customHeight="1">
      <c r="A40" s="799" t="s">
        <v>69</v>
      </c>
      <c r="B40" s="800"/>
      <c r="C40" s="168">
        <f>SUMIF($G$7:$G$31,"Mechanical",$F$7:$F$31)</f>
        <v>0</v>
      </c>
      <c r="D40" s="122">
        <f>+C40+'23'!D40</f>
        <v>700</v>
      </c>
      <c r="E40" s="147">
        <f t="shared" si="0"/>
        <v>11.666666666666666</v>
      </c>
      <c r="F40" s="372">
        <v>530</v>
      </c>
      <c r="G40" s="372">
        <v>466.4</v>
      </c>
      <c r="H40" s="190" t="s">
        <v>70</v>
      </c>
      <c r="I40" s="122">
        <f>(K34+L34)/1000</f>
        <v>75.150999999999996</v>
      </c>
      <c r="J40" s="135">
        <f>+I40+'23'!J40</f>
        <v>1316.1869999999997</v>
      </c>
      <c r="K40" s="134" t="s">
        <v>66</v>
      </c>
      <c r="L40" s="439"/>
      <c r="M40" s="440"/>
    </row>
    <row r="41" spans="1:19" ht="17.45" customHeight="1">
      <c r="A41" s="799" t="s">
        <v>71</v>
      </c>
      <c r="B41" s="800"/>
      <c r="C41" s="168">
        <f>SUMIF($G$7:$G$31,"Electrical",$F$7:$F$31)</f>
        <v>0</v>
      </c>
      <c r="D41" s="122">
        <f>+C41+'23'!D41</f>
        <v>315</v>
      </c>
      <c r="E41" s="147">
        <f t="shared" si="0"/>
        <v>5.25</v>
      </c>
      <c r="F41" s="372"/>
      <c r="G41" s="372"/>
      <c r="H41" s="190" t="s">
        <v>72</v>
      </c>
      <c r="I41" s="146"/>
      <c r="J41" s="133">
        <f>J40/G4</f>
        <v>54.841124999999984</v>
      </c>
      <c r="K41" s="134" t="s">
        <v>66</v>
      </c>
      <c r="L41" s="439"/>
      <c r="M41" s="440"/>
    </row>
    <row r="42" spans="1:19" ht="17.45" customHeight="1">
      <c r="A42" s="799" t="s">
        <v>17</v>
      </c>
      <c r="B42" s="800"/>
      <c r="C42" s="168">
        <f>SUMIF($G$7:$G$31,"Instrument",$F$7:$F$31)</f>
        <v>0</v>
      </c>
      <c r="D42" s="122">
        <f>+C42+'23'!D42</f>
        <v>0</v>
      </c>
      <c r="E42" s="147">
        <f t="shared" si="0"/>
        <v>0</v>
      </c>
      <c r="F42" s="372">
        <f>+(F38*480+F39*480+F40*480)/1440</f>
        <v>538.33333333333337</v>
      </c>
      <c r="G42" s="372">
        <f>+(G38*480+G39*480+G40*480)/1440</f>
        <v>473.73333333333335</v>
      </c>
      <c r="H42" s="190" t="s">
        <v>73</v>
      </c>
      <c r="I42" s="248" t="s">
        <v>645</v>
      </c>
      <c r="J42" s="136"/>
      <c r="K42" s="134" t="s">
        <v>74</v>
      </c>
      <c r="L42" s="439"/>
      <c r="M42" s="440"/>
    </row>
    <row r="43" spans="1:19" ht="17.45" customHeight="1">
      <c r="A43" s="799" t="s">
        <v>201</v>
      </c>
      <c r="B43" s="800"/>
      <c r="C43" s="168">
        <f>SUMIF($G$7:$G$31,"Change Grade",$F$7:$F$31)</f>
        <v>5</v>
      </c>
      <c r="D43" s="122">
        <f>+C43+'23'!D43</f>
        <v>5</v>
      </c>
      <c r="E43" s="147">
        <f t="shared" si="0"/>
        <v>8.3333333333333329E-2</v>
      </c>
      <c r="F43" s="372"/>
      <c r="G43" s="373"/>
      <c r="H43" s="191" t="s">
        <v>76</v>
      </c>
      <c r="I43" s="122">
        <f>+Report1!AH32</f>
        <v>114.794</v>
      </c>
      <c r="J43" s="137">
        <f>+I43+'23'!J43</f>
        <v>2795.5259999999994</v>
      </c>
      <c r="K43" s="134" t="s">
        <v>66</v>
      </c>
      <c r="L43" s="441">
        <f>+Report1!AN32</f>
        <v>5.9877987960001002</v>
      </c>
      <c r="M43" s="442">
        <f>+L43+'23'!M43</f>
        <v>261.1534889983173</v>
      </c>
    </row>
    <row r="44" spans="1:19" ht="17.45" customHeight="1">
      <c r="A44" s="799" t="s">
        <v>18</v>
      </c>
      <c r="B44" s="800"/>
      <c r="C44" s="168">
        <f>SUMIF($G$7:$G$31,"PLN",$F$7:$F$31)</f>
        <v>0</v>
      </c>
      <c r="D44" s="122">
        <f>+C44+'23'!D44</f>
        <v>105</v>
      </c>
      <c r="E44" s="147">
        <f t="shared" si="0"/>
        <v>1.75</v>
      </c>
      <c r="F44" s="372"/>
      <c r="G44" s="373"/>
      <c r="H44" s="191" t="s">
        <v>77</v>
      </c>
      <c r="I44" s="122">
        <f>I43/I38</f>
        <v>1.5452562998061599</v>
      </c>
      <c r="J44" s="138">
        <f>J43/J38</f>
        <v>2.0660265037214733</v>
      </c>
      <c r="K44" s="134" t="s">
        <v>66</v>
      </c>
      <c r="L44" s="443">
        <f>+L43/I38</f>
        <v>8.0602503715271653E-2</v>
      </c>
      <c r="M44" s="444">
        <f>+M43/J38</f>
        <v>0.19300483336941165</v>
      </c>
    </row>
    <row r="45" spans="1:19" ht="17.45" customHeight="1">
      <c r="A45" s="799" t="s">
        <v>19</v>
      </c>
      <c r="B45" s="800"/>
      <c r="C45" s="168">
        <f>SUMIF($G$7:$G$31,"Boiler",$F$7:$F$31)</f>
        <v>0</v>
      </c>
      <c r="D45" s="122">
        <f>+C45+'23'!D45</f>
        <v>0</v>
      </c>
      <c r="E45" s="147">
        <f t="shared" si="0"/>
        <v>0</v>
      </c>
      <c r="F45" s="372"/>
      <c r="G45" s="375"/>
      <c r="H45" s="191" t="s">
        <v>78</v>
      </c>
      <c r="I45" s="122">
        <f>I43/I40</f>
        <v>1.5275112772950461</v>
      </c>
      <c r="J45" s="138">
        <f>J43/J40</f>
        <v>2.1239580697879559</v>
      </c>
      <c r="K45" s="134" t="s">
        <v>66</v>
      </c>
      <c r="L45" s="443">
        <f>+L43/I40</f>
        <v>7.9676901119081586E-2</v>
      </c>
      <c r="M45" s="444">
        <f>+M43/J40</f>
        <v>0.19841670598350947</v>
      </c>
    </row>
    <row r="46" spans="1:19" ht="17.45" customHeight="1">
      <c r="A46" s="799" t="s">
        <v>79</v>
      </c>
      <c r="B46" s="800"/>
      <c r="C46" s="168">
        <f>SUMIF($G$7:$G$31,"Gas",$F$7:$F$31)</f>
        <v>0</v>
      </c>
      <c r="D46" s="122">
        <f>+C46+'23'!D46</f>
        <v>0</v>
      </c>
      <c r="E46" s="147">
        <f t="shared" si="0"/>
        <v>0</v>
      </c>
      <c r="F46" s="372"/>
      <c r="G46" s="373"/>
      <c r="H46" s="191" t="s">
        <v>80</v>
      </c>
      <c r="I46" s="144">
        <f>+SUMIF(Listrik!AC31,"&gt;0")</f>
        <v>31476.169999999929</v>
      </c>
      <c r="J46" s="139">
        <f>+I46+'23'!J46</f>
        <v>806172.86000000057</v>
      </c>
      <c r="K46" s="134" t="s">
        <v>81</v>
      </c>
      <c r="L46" s="443">
        <f>+Listrik!AF31</f>
        <v>1814</v>
      </c>
      <c r="M46" s="445">
        <f>+L46+'23'!M46</f>
        <v>138796.79999999999</v>
      </c>
    </row>
    <row r="47" spans="1:19" ht="17.45" customHeight="1">
      <c r="A47" s="799" t="s">
        <v>82</v>
      </c>
      <c r="B47" s="800"/>
      <c r="C47" s="168">
        <f>SUMIF($G$7:$G$31,"Gas",$F$7:$F$31)</f>
        <v>0</v>
      </c>
      <c r="D47" s="122">
        <f>+C47+'23'!D47</f>
        <v>0</v>
      </c>
      <c r="E47" s="147">
        <f t="shared" si="0"/>
        <v>0</v>
      </c>
      <c r="F47" s="372"/>
      <c r="G47" s="373"/>
      <c r="H47" s="191" t="s">
        <v>83</v>
      </c>
      <c r="I47" s="122">
        <f>I46/I38</f>
        <v>423.70463601119872</v>
      </c>
      <c r="J47" s="139">
        <f>J46/J38</f>
        <v>595.800037395804</v>
      </c>
      <c r="K47" s="134" t="s">
        <v>25</v>
      </c>
      <c r="L47" s="443">
        <f>+L46/I38</f>
        <v>24.418479431402112</v>
      </c>
      <c r="M47" s="444">
        <f>+M46/J38</f>
        <v>102.57742815904007</v>
      </c>
    </row>
    <row r="48" spans="1:19" ht="17.45" customHeight="1">
      <c r="A48" s="799" t="s">
        <v>15</v>
      </c>
      <c r="B48" s="800"/>
      <c r="C48" s="168">
        <f>SUMIF($G$7:$G$31,"Start Up",$F$7:$F$31)</f>
        <v>0</v>
      </c>
      <c r="D48" s="122">
        <f>+C48+'23'!D48</f>
        <v>0</v>
      </c>
      <c r="E48" s="147">
        <f t="shared" si="0"/>
        <v>0</v>
      </c>
      <c r="F48" s="372"/>
      <c r="G48" s="373"/>
      <c r="H48" s="191" t="s">
        <v>84</v>
      </c>
      <c r="I48" s="122">
        <f>I46/I40</f>
        <v>418.83900413833391</v>
      </c>
      <c r="J48" s="139">
        <f>J46/J40</f>
        <v>612.50632318963858</v>
      </c>
      <c r="K48" s="134" t="s">
        <v>25</v>
      </c>
      <c r="L48" s="443">
        <f>+L46/I38</f>
        <v>24.418479431402112</v>
      </c>
      <c r="M48" s="444">
        <f>+M46/J40</f>
        <v>105.45370832564068</v>
      </c>
    </row>
    <row r="49" spans="1:13" ht="17.45" customHeight="1">
      <c r="A49" s="799" t="s">
        <v>21</v>
      </c>
      <c r="B49" s="800"/>
      <c r="C49" s="168">
        <f>SUMIF($G$7:$G$31,"Others",$F$7:$F$31)</f>
        <v>0</v>
      </c>
      <c r="D49" s="122">
        <f>+C49+'23'!D49</f>
        <v>1440</v>
      </c>
      <c r="E49" s="147">
        <f t="shared" si="0"/>
        <v>24</v>
      </c>
      <c r="F49" s="188"/>
      <c r="H49" s="191" t="s">
        <v>85</v>
      </c>
      <c r="I49" s="122">
        <f>+Report1!AB32</f>
        <v>0</v>
      </c>
      <c r="J49" s="139">
        <f>+I49+'23'!J49</f>
        <v>0</v>
      </c>
      <c r="K49" s="134" t="s">
        <v>86</v>
      </c>
      <c r="L49" s="439"/>
      <c r="M49" s="440"/>
    </row>
    <row r="50" spans="1:13" ht="17.45" customHeight="1">
      <c r="A50" s="799" t="s">
        <v>20</v>
      </c>
      <c r="B50" s="800"/>
      <c r="C50" s="168">
        <f>SUMIF($G$7:$G$31,"Steam",$F$7:$F$31)</f>
        <v>0</v>
      </c>
      <c r="D50" s="122">
        <f>+C50+'23'!D50</f>
        <v>0</v>
      </c>
      <c r="E50" s="147">
        <f t="shared" si="0"/>
        <v>0</v>
      </c>
      <c r="F50" s="188"/>
      <c r="H50" s="191" t="s">
        <v>87</v>
      </c>
      <c r="I50" s="144">
        <f>I49/I38</f>
        <v>0</v>
      </c>
      <c r="J50" s="137">
        <f>J49/J38</f>
        <v>0</v>
      </c>
      <c r="K50" s="134" t="s">
        <v>86</v>
      </c>
      <c r="L50" s="439"/>
      <c r="M50" s="440"/>
    </row>
    <row r="51" spans="1:13" ht="17.45" customHeight="1" thickBot="1">
      <c r="A51" s="805" t="s">
        <v>88</v>
      </c>
      <c r="B51" s="806"/>
      <c r="C51" s="168">
        <f>SUMIF($G$7:$G$31,"Planned shut",$F$7:$F$31)</f>
        <v>0</v>
      </c>
      <c r="D51" s="122">
        <f>+C51+'23'!D51</f>
        <v>0</v>
      </c>
      <c r="E51" s="147">
        <f t="shared" si="0"/>
        <v>0</v>
      </c>
      <c r="F51" s="188"/>
      <c r="H51" s="193" t="s">
        <v>89</v>
      </c>
      <c r="I51" s="145">
        <f>I49/I40</f>
        <v>0</v>
      </c>
      <c r="J51" s="140">
        <f>J49/J40</f>
        <v>0</v>
      </c>
      <c r="K51" s="141" t="s">
        <v>86</v>
      </c>
      <c r="L51" s="439"/>
      <c r="M51" s="440"/>
    </row>
    <row r="52" spans="1:13" ht="13.5" thickBot="1">
      <c r="A52" s="803" t="s">
        <v>29</v>
      </c>
      <c r="B52" s="804"/>
      <c r="C52" s="148">
        <f>SUM(C38:C51)</f>
        <v>18</v>
      </c>
      <c r="D52" s="148">
        <f>SUM(D38:D51)</f>
        <v>3585</v>
      </c>
      <c r="E52" s="149">
        <f>SUM(E38:E51)</f>
        <v>59.75</v>
      </c>
      <c r="F52" s="188"/>
      <c r="H52" s="194"/>
      <c r="I52" s="195"/>
      <c r="J52" s="142"/>
      <c r="K52" s="143"/>
      <c r="L52" s="446"/>
      <c r="M52" s="447"/>
    </row>
    <row r="53" spans="1:13" ht="13.5" thickBot="1">
      <c r="A53" s="807"/>
      <c r="B53" s="808"/>
      <c r="C53" s="150">
        <f>C52/(24*60)</f>
        <v>1.2500000000000001E-2</v>
      </c>
      <c r="D53" s="150">
        <f>D52/(24*60*G4)</f>
        <v>0.1037326388888889</v>
      </c>
      <c r="E53" s="151">
        <f>E52/(G4*24)</f>
        <v>0.1037326388888889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90</v>
      </c>
      <c r="B56" s="198"/>
      <c r="C56" s="199"/>
      <c r="D56" s="199"/>
      <c r="E56" s="199"/>
      <c r="F56" s="200"/>
      <c r="G56" s="199"/>
      <c r="H56" s="201"/>
      <c r="I56" s="202" t="s">
        <v>91</v>
      </c>
      <c r="J56" s="203">
        <f>+D34+'23'!J56</f>
        <v>18202</v>
      </c>
      <c r="K56" s="204">
        <f>J56/(J40+J56/1000)/1000</f>
        <v>1.3640699975794169E-2</v>
      </c>
    </row>
    <row r="57" spans="1:13">
      <c r="A57" s="179"/>
      <c r="I57" s="202" t="s">
        <v>92</v>
      </c>
      <c r="J57" s="203">
        <f>+E34+'23'!J57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  <mergeCell ref="A43:B43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53:B53"/>
    <mergeCell ref="A47:B47"/>
    <mergeCell ref="A48:B48"/>
    <mergeCell ref="A49:B49"/>
    <mergeCell ref="A50:B50"/>
  </mergeCells>
  <phoneticPr fontId="31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S61"/>
  <sheetViews>
    <sheetView zoomScale="80" zoomScaleNormal="80" workbookViewId="0">
      <selection activeCell="A7" sqref="A7:B32"/>
    </sheetView>
  </sheetViews>
  <sheetFormatPr defaultColWidth="9.140625" defaultRowHeight="12.75"/>
  <cols>
    <col min="1" max="1" width="8" style="153" customWidth="1"/>
    <col min="2" max="2" width="7" style="153" bestFit="1" customWidth="1"/>
    <col min="3" max="3" width="14.85546875" style="153" bestFit="1" customWidth="1"/>
    <col min="4" max="4" width="12.5703125" style="153" bestFit="1" customWidth="1"/>
    <col min="5" max="5" width="13.85546875" style="153" bestFit="1" customWidth="1"/>
    <col min="6" max="6" width="12.140625" style="114" bestFit="1" customWidth="1"/>
    <col min="7" max="7" width="11.42578125" style="153" bestFit="1" customWidth="1"/>
    <col min="8" max="8" width="64.85546875" style="153" customWidth="1"/>
    <col min="9" max="9" width="14.7109375" style="153" bestFit="1" customWidth="1"/>
    <col min="10" max="10" width="21.7109375" style="153" bestFit="1" customWidth="1"/>
    <col min="11" max="11" width="12.5703125" style="153" bestFit="1" customWidth="1"/>
    <col min="12" max="12" width="8.28515625" style="153" customWidth="1"/>
    <col min="13" max="13" width="16.28515625" style="153" customWidth="1"/>
    <col min="14" max="16384" width="9.140625" style="153"/>
  </cols>
  <sheetData>
    <row r="1" spans="1:19" ht="15.75">
      <c r="A1" s="152"/>
    </row>
    <row r="2" spans="1:19" ht="15.75">
      <c r="A2" s="152" t="s">
        <v>175</v>
      </c>
    </row>
    <row r="3" spans="1:19" ht="15">
      <c r="A3" s="154"/>
    </row>
    <row r="4" spans="1:19" ht="20.25">
      <c r="A4" s="155" t="s">
        <v>4</v>
      </c>
      <c r="B4" s="156"/>
      <c r="F4" s="157" t="s">
        <v>31</v>
      </c>
      <c r="G4" s="158">
        <v>23</v>
      </c>
      <c r="H4" s="158" t="str">
        <f>+'1'!H4</f>
        <v>.12.25</v>
      </c>
      <c r="J4" s="153">
        <f>290+307+311</f>
        <v>908</v>
      </c>
    </row>
    <row r="5" spans="1:19" ht="13.5" thickBot="1">
      <c r="C5" s="159"/>
      <c r="D5" s="159"/>
    </row>
    <row r="6" spans="1:19" ht="26.25" thickBot="1">
      <c r="A6" s="160" t="s">
        <v>50</v>
      </c>
      <c r="B6" s="161" t="s">
        <v>10</v>
      </c>
      <c r="C6" s="161" t="s">
        <v>51</v>
      </c>
      <c r="D6" s="161" t="s">
        <v>52</v>
      </c>
      <c r="E6" s="162" t="s">
        <v>53</v>
      </c>
      <c r="F6" s="106" t="s">
        <v>54</v>
      </c>
      <c r="G6" s="161" t="s">
        <v>55</v>
      </c>
      <c r="H6" s="163" t="s">
        <v>56</v>
      </c>
      <c r="I6" s="164" t="s">
        <v>57</v>
      </c>
      <c r="J6" s="165" t="s">
        <v>10</v>
      </c>
      <c r="K6" s="166" t="s">
        <v>58</v>
      </c>
      <c r="L6" s="213" t="s">
        <v>143</v>
      </c>
      <c r="M6" s="167" t="s">
        <v>59</v>
      </c>
      <c r="N6" s="153" t="s">
        <v>625</v>
      </c>
      <c r="O6" s="153">
        <v>550</v>
      </c>
      <c r="P6" s="153">
        <f>+O6-(O6*0.12)</f>
        <v>484</v>
      </c>
      <c r="Q6" s="153">
        <v>480</v>
      </c>
      <c r="R6" s="153">
        <f>+O6*Q6</f>
        <v>264000</v>
      </c>
      <c r="S6" s="153">
        <f>+P6*Q6</f>
        <v>232320</v>
      </c>
    </row>
    <row r="7" spans="1:19" ht="13.5" customHeight="1" thickBot="1">
      <c r="A7" s="789" t="s">
        <v>413</v>
      </c>
      <c r="B7" s="218" t="s">
        <v>619</v>
      </c>
      <c r="C7" s="219">
        <v>25394</v>
      </c>
      <c r="D7" s="220"/>
      <c r="E7" s="221"/>
      <c r="F7" s="230"/>
      <c r="G7" s="231" t="s">
        <v>13</v>
      </c>
      <c r="H7" s="232" t="s">
        <v>395</v>
      </c>
      <c r="I7" s="792" t="s">
        <v>604</v>
      </c>
      <c r="J7" s="217" t="str">
        <f>+'22'!J7</f>
        <v>TW 38 RC BR</v>
      </c>
      <c r="K7" s="240"/>
      <c r="L7" s="244"/>
      <c r="M7" s="121">
        <f>+K7+'22'!M7+L7</f>
        <v>78513</v>
      </c>
      <c r="O7" s="153">
        <v>550</v>
      </c>
      <c r="P7" s="153">
        <f>+O7-(O7*0.12)</f>
        <v>484</v>
      </c>
      <c r="Q7" s="153">
        <v>480</v>
      </c>
      <c r="R7" s="153">
        <f>+O7*Q7</f>
        <v>264000</v>
      </c>
      <c r="S7" s="153">
        <f>+P7*Q7</f>
        <v>232320</v>
      </c>
    </row>
    <row r="8" spans="1:19" ht="13.5" thickBot="1">
      <c r="A8" s="790"/>
      <c r="B8" s="218"/>
      <c r="C8" s="219"/>
      <c r="D8" s="220"/>
      <c r="E8" s="222"/>
      <c r="F8" s="233">
        <v>5</v>
      </c>
      <c r="G8" s="234" t="s">
        <v>13</v>
      </c>
      <c r="H8" s="232" t="s">
        <v>393</v>
      </c>
      <c r="I8" s="793"/>
      <c r="J8" s="217" t="str">
        <f>+'22'!J8</f>
        <v>TW 36 RC BR</v>
      </c>
      <c r="K8" s="241"/>
      <c r="L8" s="241"/>
      <c r="M8" s="121">
        <f>+K8+'22'!M8+L8</f>
        <v>1530</v>
      </c>
      <c r="O8" s="153">
        <v>550</v>
      </c>
      <c r="P8" s="153">
        <f>+O8-(O8*0.12)</f>
        <v>484</v>
      </c>
      <c r="Q8" s="153">
        <v>480</v>
      </c>
      <c r="R8" s="153">
        <f>+O8*Q8</f>
        <v>264000</v>
      </c>
      <c r="S8" s="153">
        <f>+P8*Q8</f>
        <v>232320</v>
      </c>
    </row>
    <row r="9" spans="1:19" ht="13.5" thickBot="1">
      <c r="A9" s="790"/>
      <c r="B9" s="218"/>
      <c r="C9" s="219"/>
      <c r="D9" s="220"/>
      <c r="E9" s="223"/>
      <c r="F9" s="230">
        <v>5</v>
      </c>
      <c r="G9" s="234" t="s">
        <v>13</v>
      </c>
      <c r="H9" s="235" t="s">
        <v>226</v>
      </c>
      <c r="I9" s="793"/>
      <c r="J9" s="217" t="str">
        <f>+'22'!J9</f>
        <v>N 20 RC BR</v>
      </c>
      <c r="K9" s="241"/>
      <c r="L9" s="241"/>
      <c r="M9" s="121">
        <f>+K9+'22'!M9+L9</f>
        <v>74204</v>
      </c>
    </row>
    <row r="10" spans="1:19" ht="13.5" thickBot="1">
      <c r="A10" s="790"/>
      <c r="B10" s="218"/>
      <c r="C10" s="219"/>
      <c r="D10" s="220"/>
      <c r="E10" s="222"/>
      <c r="F10" s="230"/>
      <c r="G10" s="234"/>
      <c r="H10" s="235" t="s">
        <v>628</v>
      </c>
      <c r="I10" s="793"/>
      <c r="J10" s="217" t="str">
        <f>+'22'!J10</f>
        <v>TW 17 RC HW</v>
      </c>
      <c r="K10" s="241"/>
      <c r="L10" s="241"/>
      <c r="M10" s="121">
        <f>+K10+'22'!M10+L10</f>
        <v>99162</v>
      </c>
    </row>
    <row r="11" spans="1:19" ht="13.5" thickBot="1">
      <c r="A11" s="790"/>
      <c r="B11" s="218"/>
      <c r="C11" s="219"/>
      <c r="D11" s="220"/>
      <c r="E11" s="222"/>
      <c r="F11" s="230"/>
      <c r="G11" s="234"/>
      <c r="H11" s="235"/>
      <c r="I11" s="793"/>
      <c r="J11" s="217" t="str">
        <f>+'22'!J11</f>
        <v>N 15,5 RC HW</v>
      </c>
      <c r="K11" s="241"/>
      <c r="L11" s="241"/>
      <c r="M11" s="121">
        <f>+K11+'22'!M11+L11</f>
        <v>159490</v>
      </c>
    </row>
    <row r="12" spans="1:19" ht="13.5" thickBot="1">
      <c r="A12" s="790"/>
      <c r="B12" s="218"/>
      <c r="C12" s="219"/>
      <c r="D12" s="220"/>
      <c r="E12" s="222"/>
      <c r="F12" s="230"/>
      <c r="G12" s="234"/>
      <c r="H12" s="235"/>
      <c r="I12" s="793"/>
      <c r="J12" s="217" t="str">
        <f>+'22'!J12</f>
        <v>N 17 RC HW</v>
      </c>
      <c r="K12" s="241"/>
      <c r="L12" s="241"/>
      <c r="M12" s="121">
        <f>+K12+'22'!M12+L12</f>
        <v>6572</v>
      </c>
    </row>
    <row r="13" spans="1:19" ht="13.5" thickBot="1">
      <c r="A13" s="790"/>
      <c r="B13" s="218"/>
      <c r="C13" s="219"/>
      <c r="D13" s="219"/>
      <c r="E13" s="222"/>
      <c r="F13" s="230"/>
      <c r="G13" s="234"/>
      <c r="H13" s="235"/>
      <c r="I13" s="794"/>
      <c r="J13" s="217" t="str">
        <f>+'22'!J13</f>
        <v>N 16,5 RC HW</v>
      </c>
      <c r="K13" s="241"/>
      <c r="L13" s="241"/>
      <c r="M13" s="121">
        <f>+K13+'22'!M13+L13</f>
        <v>18880</v>
      </c>
    </row>
    <row r="14" spans="1:19" ht="13.5" thickBot="1">
      <c r="A14" s="791"/>
      <c r="B14" s="169" t="s">
        <v>3</v>
      </c>
      <c r="C14" s="103">
        <f>SUM(C7:C13)</f>
        <v>25394</v>
      </c>
      <c r="D14" s="115">
        <f>SUM(D7:D13)</f>
        <v>0</v>
      </c>
      <c r="E14" s="116">
        <f>SUM(E5:E13)</f>
        <v>0</v>
      </c>
      <c r="F14" s="106">
        <f>SUM(F6:F13)</f>
        <v>10</v>
      </c>
      <c r="G14" s="163"/>
      <c r="H14" s="170"/>
      <c r="I14" s="171"/>
      <c r="J14" s="217" t="str">
        <f>+'22'!J14</f>
        <v>N 20 RC HW</v>
      </c>
      <c r="K14" s="241"/>
      <c r="L14" s="241"/>
      <c r="M14" s="121">
        <f>+K14+'22'!M14+L14</f>
        <v>394199</v>
      </c>
      <c r="Q14" s="179">
        <f>SUM(Q6:Q11)</f>
        <v>1440</v>
      </c>
      <c r="R14" s="179">
        <f>SUM(R6:R11)</f>
        <v>792000</v>
      </c>
      <c r="S14" s="179">
        <f>SUM(S6:S11)</f>
        <v>696960</v>
      </c>
    </row>
    <row r="15" spans="1:19" ht="13.5" customHeight="1" thickBot="1">
      <c r="A15" s="789" t="s">
        <v>631</v>
      </c>
      <c r="B15" s="169"/>
      <c r="C15" s="117">
        <f>C14/($C$23+$D$23+$E$23)</f>
        <v>1.0457091088782737</v>
      </c>
      <c r="D15" s="118">
        <f>D14/($C$23+$D$23+$E$23)</f>
        <v>0</v>
      </c>
      <c r="E15" s="119">
        <f>E14/($C$23+$D$23+$E$23)</f>
        <v>0</v>
      </c>
      <c r="F15" s="230"/>
      <c r="G15" s="231" t="s">
        <v>13</v>
      </c>
      <c r="H15" s="232" t="s">
        <v>395</v>
      </c>
      <c r="I15" s="792" t="s">
        <v>604</v>
      </c>
      <c r="J15" s="217" t="str">
        <f>+'22'!J15</f>
        <v>N 18 RC HW</v>
      </c>
      <c r="K15" s="241"/>
      <c r="L15" s="241"/>
      <c r="M15" s="121">
        <f>+K15+'22'!M15+L15</f>
        <v>50657</v>
      </c>
      <c r="Q15" s="153">
        <f>480-Q14</f>
        <v>-960</v>
      </c>
      <c r="R15" s="179">
        <f>+R14/Q14</f>
        <v>550</v>
      </c>
      <c r="S15" s="179">
        <f>+S14/Q14</f>
        <v>484</v>
      </c>
    </row>
    <row r="16" spans="1:19" ht="13.5" thickBot="1">
      <c r="A16" s="795"/>
      <c r="B16" s="218" t="s">
        <v>619</v>
      </c>
      <c r="C16" s="224">
        <v>24284</v>
      </c>
      <c r="D16" s="225"/>
      <c r="E16" s="226"/>
      <c r="F16" s="233"/>
      <c r="G16" s="234" t="s">
        <v>13</v>
      </c>
      <c r="H16" s="232" t="s">
        <v>424</v>
      </c>
      <c r="I16" s="793"/>
      <c r="J16" s="217" t="str">
        <f>+'22'!J16</f>
        <v>TW 17,5 RC HW</v>
      </c>
      <c r="K16" s="241"/>
      <c r="L16" s="231"/>
      <c r="M16" s="121">
        <f>+K16+'22'!M16+L16</f>
        <v>11537</v>
      </c>
    </row>
    <row r="17" spans="1:14" ht="13.5" thickBot="1">
      <c r="A17" s="795"/>
      <c r="B17" s="218"/>
      <c r="C17" s="219"/>
      <c r="D17" s="220"/>
      <c r="E17" s="227"/>
      <c r="F17" s="230">
        <v>5</v>
      </c>
      <c r="G17" s="234" t="s">
        <v>13</v>
      </c>
      <c r="H17" s="235" t="s">
        <v>226</v>
      </c>
      <c r="I17" s="793"/>
      <c r="J17" s="217" t="str">
        <f>+'22'!J17</f>
        <v>TW 22 RC HW</v>
      </c>
      <c r="K17" s="241"/>
      <c r="L17" s="231"/>
      <c r="M17" s="121">
        <f>+K17+'22'!M17+L17</f>
        <v>100201</v>
      </c>
    </row>
    <row r="18" spans="1:14" ht="13.5" thickBot="1">
      <c r="A18" s="795"/>
      <c r="B18" s="218"/>
      <c r="C18" s="219"/>
      <c r="D18" s="220"/>
      <c r="E18" s="227"/>
      <c r="F18" s="230"/>
      <c r="G18" s="234"/>
      <c r="H18" s="235" t="s">
        <v>629</v>
      </c>
      <c r="I18" s="793"/>
      <c r="J18" s="217" t="str">
        <f>+'22'!J18</f>
        <v>TW 31,5 RC HW</v>
      </c>
      <c r="K18" s="241"/>
      <c r="L18" s="241"/>
      <c r="M18" s="121">
        <f>+K18+'22'!M18+L18</f>
        <v>108399</v>
      </c>
    </row>
    <row r="19" spans="1:14" ht="13.5" thickBot="1">
      <c r="A19" s="795"/>
      <c r="B19" s="218"/>
      <c r="C19" s="219"/>
      <c r="D19" s="220"/>
      <c r="E19" s="227"/>
      <c r="F19" s="237"/>
      <c r="G19" s="234"/>
      <c r="H19" s="235"/>
      <c r="I19" s="793"/>
      <c r="J19" s="217" t="str">
        <f>+'22'!J19</f>
        <v>TW 32 RC HW</v>
      </c>
      <c r="K19" s="241"/>
      <c r="L19" s="241"/>
      <c r="M19" s="121">
        <f>+K19+'22'!M19+L19</f>
        <v>12437</v>
      </c>
    </row>
    <row r="20" spans="1:14" ht="13.5" thickBot="1">
      <c r="A20" s="795"/>
      <c r="B20" s="218"/>
      <c r="C20" s="219"/>
      <c r="D20" s="220"/>
      <c r="E20" s="227"/>
      <c r="F20" s="230"/>
      <c r="G20" s="234"/>
      <c r="H20" s="235"/>
      <c r="I20" s="793"/>
      <c r="J20" s="217" t="str">
        <f>+'22'!J20</f>
        <v>TW 33,5 RC HW</v>
      </c>
      <c r="K20" s="241"/>
      <c r="L20" s="242"/>
      <c r="M20" s="121">
        <f>+K20+'22'!M20+L20</f>
        <v>9545</v>
      </c>
    </row>
    <row r="21" spans="1:14" ht="13.5" thickBot="1">
      <c r="A21" s="795"/>
      <c r="B21" s="218"/>
      <c r="C21" s="219"/>
      <c r="D21" s="220"/>
      <c r="E21" s="227"/>
      <c r="F21" s="233"/>
      <c r="G21" s="234"/>
      <c r="H21" s="235"/>
      <c r="I21" s="793"/>
      <c r="J21" s="217" t="str">
        <f>+'22'!J21</f>
        <v>TW 34 RC HW</v>
      </c>
      <c r="K21" s="241">
        <f>+C34</f>
        <v>75752</v>
      </c>
      <c r="L21" s="241"/>
      <c r="M21" s="121">
        <f>+K21+'22'!M21+L21</f>
        <v>115710</v>
      </c>
    </row>
    <row r="22" spans="1:14" ht="13.5" thickBot="1">
      <c r="A22" s="795"/>
      <c r="B22" s="218"/>
      <c r="C22" s="219"/>
      <c r="D22" s="220"/>
      <c r="E22" s="227"/>
      <c r="F22" s="238"/>
      <c r="G22" s="234"/>
      <c r="H22" s="235"/>
      <c r="I22" s="794"/>
      <c r="J22" s="217">
        <f>+'22'!J22</f>
        <v>0</v>
      </c>
      <c r="K22" s="241"/>
      <c r="L22" s="241"/>
      <c r="M22" s="121">
        <f>+K22+'22'!M22+L22</f>
        <v>0</v>
      </c>
    </row>
    <row r="23" spans="1:14" ht="13.5" thickBot="1">
      <c r="A23" s="796"/>
      <c r="B23" s="169" t="s">
        <v>3</v>
      </c>
      <c r="C23" s="104">
        <f>SUM(C16:C22)</f>
        <v>24284</v>
      </c>
      <c r="D23" s="115">
        <f>SUM(D16:D22)</f>
        <v>0</v>
      </c>
      <c r="E23" s="116">
        <f>SUM(E18:E22)</f>
        <v>0</v>
      </c>
      <c r="F23" s="106">
        <f>SUM(F15:F22)</f>
        <v>5</v>
      </c>
      <c r="G23" s="163"/>
      <c r="H23" s="170"/>
      <c r="I23" s="172"/>
      <c r="J23" s="217">
        <f>+'22'!J23</f>
        <v>0</v>
      </c>
      <c r="K23" s="241"/>
      <c r="L23" s="241"/>
      <c r="M23" s="121">
        <f>+K23+'22'!M23+L23</f>
        <v>0</v>
      </c>
    </row>
    <row r="24" spans="1:14" ht="13.5" customHeight="1" thickBot="1">
      <c r="A24" s="789" t="s">
        <v>486</v>
      </c>
      <c r="B24" s="173"/>
      <c r="C24" s="117">
        <f>C23/($C$23+$D$23+$E$23)</f>
        <v>1</v>
      </c>
      <c r="D24" s="118">
        <f>D23/($C$23+$D$23+$E$23)</f>
        <v>0</v>
      </c>
      <c r="E24" s="119">
        <f>E23/($C$23+$D$23+$E$23)</f>
        <v>0</v>
      </c>
      <c r="F24" s="230"/>
      <c r="G24" s="231" t="s">
        <v>13</v>
      </c>
      <c r="H24" s="232" t="s">
        <v>395</v>
      </c>
      <c r="I24" s="792" t="s">
        <v>604</v>
      </c>
      <c r="J24" s="217">
        <f>+'22'!J24</f>
        <v>0</v>
      </c>
      <c r="K24" s="241"/>
      <c r="L24" s="241"/>
      <c r="M24" s="121">
        <f>+K24+'22'!M24+L24</f>
        <v>0</v>
      </c>
    </row>
    <row r="25" spans="1:14" ht="13.5" thickBot="1">
      <c r="A25" s="795"/>
      <c r="B25" s="218" t="s">
        <v>619</v>
      </c>
      <c r="C25" s="228">
        <v>26074</v>
      </c>
      <c r="D25" s="220">
        <v>220</v>
      </c>
      <c r="E25" s="227"/>
      <c r="F25" s="233"/>
      <c r="G25" s="234" t="s">
        <v>13</v>
      </c>
      <c r="H25" s="232" t="s">
        <v>424</v>
      </c>
      <c r="I25" s="793"/>
      <c r="J25" s="217">
        <f>+'22'!J25</f>
        <v>0</v>
      </c>
      <c r="K25" s="241"/>
      <c r="L25" s="241"/>
      <c r="M25" s="121">
        <f>+K25+'22'!M25+L25</f>
        <v>0</v>
      </c>
    </row>
    <row r="26" spans="1:14" ht="13.5" thickBot="1">
      <c r="A26" s="795"/>
      <c r="B26" s="218"/>
      <c r="C26" s="228"/>
      <c r="D26" s="220"/>
      <c r="E26" s="229"/>
      <c r="F26" s="230">
        <v>4</v>
      </c>
      <c r="G26" s="234" t="s">
        <v>13</v>
      </c>
      <c r="H26" s="235" t="s">
        <v>226</v>
      </c>
      <c r="I26" s="793"/>
      <c r="J26" s="217">
        <f>+'22'!J26</f>
        <v>0</v>
      </c>
      <c r="K26" s="241"/>
      <c r="L26" s="241"/>
      <c r="M26" s="121">
        <f>+K26+'22'!M26+L26</f>
        <v>0</v>
      </c>
    </row>
    <row r="27" spans="1:14" ht="13.5" thickBot="1">
      <c r="A27" s="795"/>
      <c r="B27" s="218"/>
      <c r="C27" s="219"/>
      <c r="D27" s="220"/>
      <c r="E27" s="227"/>
      <c r="F27" s="230"/>
      <c r="G27" s="234"/>
      <c r="H27" s="235" t="s">
        <v>629</v>
      </c>
      <c r="I27" s="793"/>
      <c r="J27" s="217">
        <f>+'22'!J27</f>
        <v>0</v>
      </c>
      <c r="K27" s="241"/>
      <c r="L27" s="241"/>
      <c r="M27" s="121">
        <f>+K27+'22'!M27+L27</f>
        <v>0</v>
      </c>
    </row>
    <row r="28" spans="1:14" ht="13.5" thickBot="1">
      <c r="A28" s="795"/>
      <c r="B28" s="218"/>
      <c r="C28" s="219"/>
      <c r="D28" s="220"/>
      <c r="E28" s="227"/>
      <c r="F28" s="233"/>
      <c r="G28" s="234"/>
      <c r="H28" s="235"/>
      <c r="I28" s="793"/>
      <c r="J28" s="217">
        <f>+'22'!J28</f>
        <v>0</v>
      </c>
      <c r="K28" s="241"/>
      <c r="L28" s="241"/>
      <c r="M28" s="121">
        <f>+K28+'22'!M28+L28</f>
        <v>0</v>
      </c>
    </row>
    <row r="29" spans="1:14" ht="13.5" thickBot="1">
      <c r="A29" s="795"/>
      <c r="B29" s="218"/>
      <c r="C29" s="219"/>
      <c r="D29" s="220"/>
      <c r="E29" s="227"/>
      <c r="F29" s="238"/>
      <c r="G29" s="234"/>
      <c r="H29" s="235"/>
      <c r="I29" s="793"/>
      <c r="J29" s="217">
        <f>+'22'!J29</f>
        <v>0</v>
      </c>
      <c r="K29" s="241"/>
      <c r="L29" s="241"/>
      <c r="M29" s="121">
        <f>+K29+'22'!M29+L29</f>
        <v>0</v>
      </c>
    </row>
    <row r="30" spans="1:14" ht="13.5" thickBot="1">
      <c r="A30" s="795"/>
      <c r="B30" s="218"/>
      <c r="C30" s="228"/>
      <c r="D30" s="220"/>
      <c r="E30" s="227"/>
      <c r="F30" s="238"/>
      <c r="G30" s="234"/>
      <c r="H30" s="235"/>
      <c r="I30" s="793"/>
      <c r="J30" s="217">
        <f>+'22'!J30</f>
        <v>0</v>
      </c>
      <c r="K30" s="241"/>
      <c r="L30" s="241"/>
      <c r="M30" s="121">
        <f>+K30+'22'!M30+L30</f>
        <v>0</v>
      </c>
      <c r="N30" s="159"/>
    </row>
    <row r="31" spans="1:14" ht="13.5" thickBot="1">
      <c r="A31" s="795"/>
      <c r="B31" s="218"/>
      <c r="C31" s="228"/>
      <c r="D31" s="220"/>
      <c r="E31" s="227"/>
      <c r="F31" s="238"/>
      <c r="G31" s="239"/>
      <c r="H31" s="236"/>
      <c r="I31" s="794"/>
      <c r="J31" s="217">
        <f>+'22'!J31</f>
        <v>0</v>
      </c>
      <c r="K31" s="241"/>
      <c r="L31" s="241"/>
      <c r="M31" s="121">
        <f>+K31+'22'!M31+L31</f>
        <v>0</v>
      </c>
    </row>
    <row r="32" spans="1:14" ht="13.5" thickBot="1">
      <c r="A32" s="796"/>
      <c r="B32" s="169" t="s">
        <v>3</v>
      </c>
      <c r="C32" s="103">
        <f>SUM(C25:C31)</f>
        <v>26074</v>
      </c>
      <c r="D32" s="104">
        <f>SUM(D25:D31)</f>
        <v>220</v>
      </c>
      <c r="E32" s="105">
        <f>SUM(E25:E31)</f>
        <v>0</v>
      </c>
      <c r="F32" s="106">
        <f>SUM(F24:F31)</f>
        <v>4</v>
      </c>
      <c r="G32" s="174"/>
      <c r="H32" s="175"/>
      <c r="I32" s="172"/>
      <c r="J32" s="217">
        <f>+'22'!J32</f>
        <v>0</v>
      </c>
      <c r="K32" s="241"/>
      <c r="L32" s="245"/>
      <c r="M32" s="121">
        <f>+K32+'22'!M32+L32</f>
        <v>0</v>
      </c>
    </row>
    <row r="33" spans="1:16" ht="13.5" thickBot="1">
      <c r="A33" s="176"/>
      <c r="B33" s="177"/>
      <c r="C33" s="107">
        <f>C32/($C$32+$D$32+$E$32)</f>
        <v>0.99163307218376817</v>
      </c>
      <c r="D33" s="108">
        <f>D32/($C$32+$D$32+$E$32)</f>
        <v>8.3669278162318405E-3</v>
      </c>
      <c r="E33" s="109">
        <f>E32/($C$32+$D$32+$E$32)</f>
        <v>0</v>
      </c>
      <c r="F33" s="110"/>
      <c r="G33" s="178"/>
      <c r="H33" s="179"/>
      <c r="I33" s="180"/>
      <c r="J33" s="125"/>
      <c r="K33" s="126"/>
      <c r="L33" s="216"/>
      <c r="M33" s="123"/>
    </row>
    <row r="34" spans="1:16" ht="13.5" thickBot="1">
      <c r="A34" s="797" t="s">
        <v>60</v>
      </c>
      <c r="B34" s="798"/>
      <c r="C34" s="111">
        <f>C14+C23+C32</f>
        <v>75752</v>
      </c>
      <c r="D34" s="111">
        <f>D14+D23+D32</f>
        <v>220</v>
      </c>
      <c r="E34" s="111">
        <f>E14+E23+E32</f>
        <v>0</v>
      </c>
      <c r="F34" s="112">
        <f>F14+F23+F32</f>
        <v>19</v>
      </c>
      <c r="H34" s="181"/>
      <c r="I34" s="181"/>
      <c r="J34" s="127" t="s">
        <v>29</v>
      </c>
      <c r="K34" s="128">
        <f>SUM(K7:K32)</f>
        <v>75752</v>
      </c>
      <c r="L34" s="215">
        <f>SUM(L7:L32)</f>
        <v>0</v>
      </c>
      <c r="M34" s="124">
        <f>SUM(M7:M32)</f>
        <v>1241036</v>
      </c>
      <c r="N34" s="159"/>
    </row>
    <row r="35" spans="1:16" ht="13.5" thickBot="1">
      <c r="A35" s="182"/>
      <c r="B35" s="183"/>
      <c r="C35" s="108">
        <f>C34/($C$34+$D$34+$E$34)</f>
        <v>0.99710419628284108</v>
      </c>
      <c r="D35" s="108">
        <f>D34/($C$34+$D$34+$E$34)</f>
        <v>2.8958037171589535E-3</v>
      </c>
      <c r="E35" s="113">
        <f>E34/($C$34+$D$34+$E$34)</f>
        <v>0</v>
      </c>
      <c r="K35" s="159"/>
      <c r="L35" s="788" t="s">
        <v>186</v>
      </c>
      <c r="M35" s="788"/>
    </row>
    <row r="36" spans="1:16" ht="13.5" thickBot="1">
      <c r="A36" s="181"/>
      <c r="B36" s="181"/>
      <c r="C36" s="159"/>
      <c r="D36" s="159"/>
      <c r="E36" s="159"/>
      <c r="G36" s="159"/>
      <c r="H36" s="184"/>
      <c r="I36" s="166" t="s">
        <v>42</v>
      </c>
      <c r="J36" s="166" t="s">
        <v>43</v>
      </c>
      <c r="K36" s="185"/>
      <c r="L36" s="166" t="s">
        <v>42</v>
      </c>
      <c r="M36" s="166" t="s">
        <v>43</v>
      </c>
    </row>
    <row r="37" spans="1:16" ht="17.45" customHeight="1" thickBot="1">
      <c r="A37" s="801" t="s">
        <v>61</v>
      </c>
      <c r="B37" s="802"/>
      <c r="C37" s="166" t="s">
        <v>62</v>
      </c>
      <c r="D37" s="186" t="s">
        <v>63</v>
      </c>
      <c r="E37" s="187" t="s">
        <v>64</v>
      </c>
      <c r="F37" s="372"/>
      <c r="G37" s="374"/>
      <c r="H37" s="189" t="s">
        <v>65</v>
      </c>
      <c r="I37" s="246">
        <f>(34*1440)/1440*G42*3.4*1440/1000000</f>
        <v>80.568575999999993</v>
      </c>
      <c r="J37" s="129">
        <f>+I37+'22'!J37</f>
        <v>1408.8057403044975</v>
      </c>
      <c r="K37" s="130" t="s">
        <v>66</v>
      </c>
      <c r="L37" s="437"/>
      <c r="M37" s="438"/>
    </row>
    <row r="38" spans="1:16" ht="17.45" customHeight="1">
      <c r="A38" s="803" t="s">
        <v>13</v>
      </c>
      <c r="B38" s="804"/>
      <c r="C38" s="168">
        <f>SUMIF($G$7:$G$31,"Process",$F$7:$F$31)</f>
        <v>19</v>
      </c>
      <c r="D38" s="122">
        <f>+C38+'22'!D38</f>
        <v>1007</v>
      </c>
      <c r="E38" s="147">
        <f t="shared" ref="E38:E51" si="0">D38/60</f>
        <v>16.783333333333335</v>
      </c>
      <c r="F38" s="372">
        <v>550</v>
      </c>
      <c r="G38" s="372">
        <f>+F38-F38*0.12</f>
        <v>484</v>
      </c>
      <c r="H38" s="190" t="s">
        <v>67</v>
      </c>
      <c r="I38" s="559">
        <f>25.694+24.74+26.03</f>
        <v>76.463999999999999</v>
      </c>
      <c r="J38" s="131">
        <f>+I38+'22'!J38</f>
        <v>1278.8049999999998</v>
      </c>
      <c r="K38" s="132" t="s">
        <v>66</v>
      </c>
      <c r="L38" s="439"/>
      <c r="M38" s="440"/>
    </row>
    <row r="39" spans="1:16" ht="17.45" customHeight="1">
      <c r="A39" s="799" t="s">
        <v>14</v>
      </c>
      <c r="B39" s="800"/>
      <c r="C39" s="168">
        <f>SUMIF($G$7:$G$31,"Cleaning",$F$7:$F$31)</f>
        <v>0</v>
      </c>
      <c r="D39" s="122">
        <f>+C39+'22'!D39</f>
        <v>0</v>
      </c>
      <c r="E39" s="147">
        <f t="shared" si="0"/>
        <v>0</v>
      </c>
      <c r="F39" s="372">
        <v>550</v>
      </c>
      <c r="G39" s="372">
        <f>+F39-F39*0.12</f>
        <v>484</v>
      </c>
      <c r="H39" s="190" t="s">
        <v>68</v>
      </c>
      <c r="I39" s="146"/>
      <c r="J39" s="133">
        <f>J37/G4</f>
        <v>61.25242349149989</v>
      </c>
      <c r="K39" s="134" t="s">
        <v>66</v>
      </c>
      <c r="L39" s="439"/>
      <c r="M39" s="440"/>
    </row>
    <row r="40" spans="1:16" ht="17.45" customHeight="1">
      <c r="A40" s="799" t="s">
        <v>69</v>
      </c>
      <c r="B40" s="800"/>
      <c r="C40" s="168">
        <f>SUMIF($G$7:$G$31,"Mechanical",$F$7:$F$31)</f>
        <v>0</v>
      </c>
      <c r="D40" s="122">
        <f>+C40+'22'!D40</f>
        <v>700</v>
      </c>
      <c r="E40" s="147">
        <f t="shared" si="0"/>
        <v>11.666666666666666</v>
      </c>
      <c r="F40" s="372">
        <v>550</v>
      </c>
      <c r="G40" s="372">
        <f>+F40-F40*0.12</f>
        <v>484</v>
      </c>
      <c r="H40" s="190" t="s">
        <v>70</v>
      </c>
      <c r="I40" s="122">
        <f>(K34+L34)/1000</f>
        <v>75.751999999999995</v>
      </c>
      <c r="J40" s="135">
        <f>+I40+'22'!J40</f>
        <v>1241.0359999999996</v>
      </c>
      <c r="K40" s="134" t="s">
        <v>66</v>
      </c>
      <c r="L40" s="439"/>
      <c r="M40" s="440"/>
      <c r="P40" s="560"/>
    </row>
    <row r="41" spans="1:16" ht="17.45" customHeight="1">
      <c r="A41" s="799" t="s">
        <v>71</v>
      </c>
      <c r="B41" s="800"/>
      <c r="C41" s="168">
        <f>SUMIF($G$7:$G$31,"Electrical",$F$7:$F$31)</f>
        <v>0</v>
      </c>
      <c r="D41" s="122">
        <f>+C41+'22'!D41</f>
        <v>315</v>
      </c>
      <c r="E41" s="147">
        <f t="shared" si="0"/>
        <v>5.25</v>
      </c>
      <c r="F41" s="372"/>
      <c r="G41" s="372"/>
      <c r="H41" s="190" t="s">
        <v>72</v>
      </c>
      <c r="I41" s="146"/>
      <c r="J41" s="133">
        <f>J40/G4</f>
        <v>53.958086956521718</v>
      </c>
      <c r="K41" s="134" t="s">
        <v>66</v>
      </c>
      <c r="L41" s="439"/>
      <c r="M41" s="440"/>
    </row>
    <row r="42" spans="1:16" ht="17.45" customHeight="1">
      <c r="A42" s="799" t="s">
        <v>17</v>
      </c>
      <c r="B42" s="800"/>
      <c r="C42" s="168">
        <f>SUMIF($G$7:$G$31,"Instrument",$F$7:$F$31)</f>
        <v>0</v>
      </c>
      <c r="D42" s="122">
        <f>+C42+'22'!D42</f>
        <v>0</v>
      </c>
      <c r="E42" s="147">
        <f t="shared" si="0"/>
        <v>0</v>
      </c>
      <c r="F42" s="372">
        <f>+(F38*480+F39*480+F40*480)/1440</f>
        <v>550</v>
      </c>
      <c r="G42" s="372">
        <f>+(G38*480+G39*480+G40*480)/1440</f>
        <v>484</v>
      </c>
      <c r="H42" s="190" t="s">
        <v>73</v>
      </c>
      <c r="I42" s="248" t="s">
        <v>604</v>
      </c>
      <c r="J42" s="136"/>
      <c r="K42" s="134" t="s">
        <v>74</v>
      </c>
      <c r="L42" s="439"/>
      <c r="M42" s="440"/>
    </row>
    <row r="43" spans="1:16" ht="17.45" customHeight="1">
      <c r="A43" s="799" t="s">
        <v>201</v>
      </c>
      <c r="B43" s="800"/>
      <c r="C43" s="168">
        <f>SUMIF($G$7:$G$31,"Change Grade",$F$7:$F$31)</f>
        <v>0</v>
      </c>
      <c r="D43" s="122">
        <f>+C43+'22'!D43</f>
        <v>0</v>
      </c>
      <c r="E43" s="147">
        <f t="shared" si="0"/>
        <v>0</v>
      </c>
      <c r="F43" s="372"/>
      <c r="G43" s="373"/>
      <c r="H43" s="191" t="s">
        <v>76</v>
      </c>
      <c r="I43" s="122">
        <f>+Report1!AH31</f>
        <v>116.667</v>
      </c>
      <c r="J43" s="137">
        <f>+I43+'22'!J43</f>
        <v>2680.7319999999995</v>
      </c>
      <c r="K43" s="134" t="s">
        <v>66</v>
      </c>
      <c r="L43" s="441">
        <f>+Report1!AN31</f>
        <v>13.565690202317196</v>
      </c>
      <c r="M43" s="442">
        <f>+L43+'22'!M43</f>
        <v>255.16569020231722</v>
      </c>
    </row>
    <row r="44" spans="1:16" ht="17.45" customHeight="1">
      <c r="A44" s="799" t="s">
        <v>18</v>
      </c>
      <c r="B44" s="800"/>
      <c r="C44" s="168">
        <f>SUMIF($G$7:$G$31,"PLN",$F$7:$F$31)</f>
        <v>0</v>
      </c>
      <c r="D44" s="122">
        <f>+C44+'22'!D44</f>
        <v>105</v>
      </c>
      <c r="E44" s="147">
        <f t="shared" si="0"/>
        <v>1.75</v>
      </c>
      <c r="F44" s="372"/>
      <c r="G44" s="373"/>
      <c r="H44" s="191" t="s">
        <v>77</v>
      </c>
      <c r="I44" s="122">
        <f>I43/I38</f>
        <v>1.525776836158192</v>
      </c>
      <c r="J44" s="138">
        <f>J43/J38</f>
        <v>2.0962789479240382</v>
      </c>
      <c r="K44" s="134" t="s">
        <v>66</v>
      </c>
      <c r="L44" s="443">
        <f>+L43/I38</f>
        <v>0.17741277205374026</v>
      </c>
      <c r="M44" s="444">
        <f>+M43/J38</f>
        <v>0.19953447961363716</v>
      </c>
    </row>
    <row r="45" spans="1:16" ht="17.45" customHeight="1">
      <c r="A45" s="799" t="s">
        <v>19</v>
      </c>
      <c r="B45" s="800"/>
      <c r="C45" s="168">
        <f>SUMIF($G$7:$G$31,"Boiler",$F$7:$F$31)</f>
        <v>0</v>
      </c>
      <c r="D45" s="122">
        <f>+C45+'22'!D45</f>
        <v>0</v>
      </c>
      <c r="E45" s="147">
        <f t="shared" si="0"/>
        <v>0</v>
      </c>
      <c r="F45" s="372"/>
      <c r="G45" s="375"/>
      <c r="H45" s="191" t="s">
        <v>78</v>
      </c>
      <c r="I45" s="122">
        <f>I43/I40</f>
        <v>1.5401177526665963</v>
      </c>
      <c r="J45" s="138">
        <f>J43/J40</f>
        <v>2.1600759365562325</v>
      </c>
      <c r="K45" s="134" t="s">
        <v>66</v>
      </c>
      <c r="L45" s="443">
        <f>+L43/I40</f>
        <v>0.17908029098000314</v>
      </c>
      <c r="M45" s="444">
        <f>+M43/J40</f>
        <v>0.20560700108805652</v>
      </c>
    </row>
    <row r="46" spans="1:16" ht="17.45" customHeight="1">
      <c r="A46" s="799" t="s">
        <v>79</v>
      </c>
      <c r="B46" s="800"/>
      <c r="C46" s="168">
        <f>SUMIF($G$7:$G$31,"Gas",$F$7:$F$31)</f>
        <v>0</v>
      </c>
      <c r="D46" s="122">
        <f>+C46+'22'!D46</f>
        <v>0</v>
      </c>
      <c r="E46" s="147">
        <f t="shared" si="0"/>
        <v>0</v>
      </c>
      <c r="F46" s="372"/>
      <c r="G46" s="373"/>
      <c r="H46" s="191" t="s">
        <v>80</v>
      </c>
      <c r="I46" s="144">
        <f>+SUMIF(Listrik!AC30,"&gt;0")</f>
        <v>33466.800000000221</v>
      </c>
      <c r="J46" s="139">
        <f>+I46+'22'!J46</f>
        <v>774696.69000000064</v>
      </c>
      <c r="K46" s="134" t="s">
        <v>81</v>
      </c>
      <c r="L46" s="443">
        <f>+Listrik!AF30</f>
        <v>3863</v>
      </c>
      <c r="M46" s="445">
        <f>+L46+'22'!M46</f>
        <v>136982.79999999999</v>
      </c>
    </row>
    <row r="47" spans="1:16" ht="17.45" customHeight="1">
      <c r="A47" s="799" t="s">
        <v>82</v>
      </c>
      <c r="B47" s="800"/>
      <c r="C47" s="168">
        <f>SUMIF($G$7:$G$31,"Gas",$F$7:$F$31)</f>
        <v>0</v>
      </c>
      <c r="D47" s="122">
        <f>+C47+'22'!D47</f>
        <v>0</v>
      </c>
      <c r="E47" s="147">
        <f t="shared" si="0"/>
        <v>0</v>
      </c>
      <c r="F47" s="372"/>
      <c r="G47" s="373"/>
      <c r="H47" s="191" t="s">
        <v>83</v>
      </c>
      <c r="I47" s="122">
        <f>I46/I38</f>
        <v>437.68047708725965</v>
      </c>
      <c r="J47" s="139">
        <f>J46/J38</f>
        <v>605.79735768940589</v>
      </c>
      <c r="K47" s="134" t="s">
        <v>25</v>
      </c>
      <c r="L47" s="443">
        <f>+L46/I38</f>
        <v>50.520506382088307</v>
      </c>
      <c r="M47" s="444">
        <f>+M46/J38</f>
        <v>107.11781702448771</v>
      </c>
    </row>
    <row r="48" spans="1:16" ht="17.45" customHeight="1">
      <c r="A48" s="799" t="s">
        <v>15</v>
      </c>
      <c r="B48" s="800"/>
      <c r="C48" s="168">
        <f>SUMIF($G$7:$G$31,"Start Up",$F$7:$F$31)</f>
        <v>0</v>
      </c>
      <c r="D48" s="122">
        <f>+C48+'22'!D48</f>
        <v>0</v>
      </c>
      <c r="E48" s="147">
        <f t="shared" si="0"/>
        <v>0</v>
      </c>
      <c r="F48" s="372"/>
      <c r="G48" s="373"/>
      <c r="H48" s="191" t="s">
        <v>84</v>
      </c>
      <c r="I48" s="122">
        <f>I46/I40</f>
        <v>441.79427605872087</v>
      </c>
      <c r="J48" s="139">
        <f>J46/J40</f>
        <v>624.23385784135257</v>
      </c>
      <c r="K48" s="134" t="s">
        <v>25</v>
      </c>
      <c r="L48" s="443">
        <f>+L46/I38</f>
        <v>50.520506382088307</v>
      </c>
      <c r="M48" s="444">
        <f>+M46/J40</f>
        <v>110.37778114414088</v>
      </c>
    </row>
    <row r="49" spans="1:13" ht="17.45" customHeight="1">
      <c r="A49" s="799" t="s">
        <v>21</v>
      </c>
      <c r="B49" s="800"/>
      <c r="C49" s="168">
        <f>SUMIF($G$7:$G$31,"Others",$F$7:$F$31)</f>
        <v>0</v>
      </c>
      <c r="D49" s="122">
        <f>+C49+'22'!D49</f>
        <v>1440</v>
      </c>
      <c r="E49" s="147">
        <f t="shared" si="0"/>
        <v>24</v>
      </c>
      <c r="F49" s="188"/>
      <c r="H49" s="191" t="s">
        <v>85</v>
      </c>
      <c r="I49" s="122">
        <f>+Report1!AB31</f>
        <v>0</v>
      </c>
      <c r="J49" s="139">
        <f>+I49+'22'!J49</f>
        <v>0</v>
      </c>
      <c r="K49" s="134" t="s">
        <v>86</v>
      </c>
      <c r="L49" s="439"/>
      <c r="M49" s="440"/>
    </row>
    <row r="50" spans="1:13" ht="17.45" customHeight="1">
      <c r="A50" s="799" t="s">
        <v>20</v>
      </c>
      <c r="B50" s="800"/>
      <c r="C50" s="168">
        <f>SUMIF($G$7:$G$31,"Steam",$F$7:$F$31)</f>
        <v>0</v>
      </c>
      <c r="D50" s="122">
        <f>+C50+'22'!D50</f>
        <v>0</v>
      </c>
      <c r="E50" s="147">
        <f t="shared" si="0"/>
        <v>0</v>
      </c>
      <c r="F50" s="188"/>
      <c r="H50" s="191" t="s">
        <v>87</v>
      </c>
      <c r="I50" s="144">
        <f>I49/I38</f>
        <v>0</v>
      </c>
      <c r="J50" s="137">
        <f>J49/J38</f>
        <v>0</v>
      </c>
      <c r="K50" s="134" t="s">
        <v>86</v>
      </c>
      <c r="L50" s="439"/>
      <c r="M50" s="440"/>
    </row>
    <row r="51" spans="1:13" ht="17.45" customHeight="1" thickBot="1">
      <c r="A51" s="805" t="s">
        <v>88</v>
      </c>
      <c r="B51" s="806"/>
      <c r="C51" s="168">
        <f>SUMIF($G$7:$G$31,"Planned shut",$F$7:$F$31)</f>
        <v>0</v>
      </c>
      <c r="D51" s="122">
        <f>+C51+'22'!D51</f>
        <v>0</v>
      </c>
      <c r="E51" s="147">
        <f t="shared" si="0"/>
        <v>0</v>
      </c>
      <c r="F51" s="188"/>
      <c r="H51" s="193" t="s">
        <v>89</v>
      </c>
      <c r="I51" s="145">
        <f>I49/I40</f>
        <v>0</v>
      </c>
      <c r="J51" s="140">
        <f>J49/J40</f>
        <v>0</v>
      </c>
      <c r="K51" s="141" t="s">
        <v>86</v>
      </c>
      <c r="L51" s="439"/>
      <c r="M51" s="440"/>
    </row>
    <row r="52" spans="1:13" ht="13.5" thickBot="1">
      <c r="A52" s="803" t="s">
        <v>29</v>
      </c>
      <c r="B52" s="804"/>
      <c r="C52" s="148">
        <f>SUM(C38:C51)</f>
        <v>19</v>
      </c>
      <c r="D52" s="148">
        <f>SUM(D38:D51)</f>
        <v>3567</v>
      </c>
      <c r="E52" s="149">
        <f>SUM(E38:E51)</f>
        <v>59.45</v>
      </c>
      <c r="F52" s="188"/>
      <c r="H52" s="194"/>
      <c r="I52" s="195"/>
      <c r="J52" s="142"/>
      <c r="K52" s="143"/>
      <c r="L52" s="446"/>
      <c r="M52" s="447"/>
    </row>
    <row r="53" spans="1:13" ht="13.5" thickBot="1">
      <c r="A53" s="807"/>
      <c r="B53" s="808"/>
      <c r="C53" s="150">
        <f>C52/(24*60)</f>
        <v>1.3194444444444444E-2</v>
      </c>
      <c r="D53" s="150">
        <f>D52/(24*60*G4)</f>
        <v>0.10769927536231884</v>
      </c>
      <c r="E53" s="151">
        <f>E52/(G4*24)</f>
        <v>0.10769927536231885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90</v>
      </c>
      <c r="B56" s="198"/>
      <c r="C56" s="199"/>
      <c r="D56" s="199"/>
      <c r="E56" s="199"/>
      <c r="F56" s="200"/>
      <c r="G56" s="199"/>
      <c r="H56" s="201"/>
      <c r="I56" s="202" t="s">
        <v>91</v>
      </c>
      <c r="J56" s="203">
        <f>+D34+'22'!J56</f>
        <v>17902</v>
      </c>
      <c r="K56" s="204">
        <f>J56/(J40+J56/1000)/1000</f>
        <v>1.4219921870656066E-2</v>
      </c>
    </row>
    <row r="57" spans="1:13">
      <c r="A57" s="179"/>
      <c r="I57" s="202" t="s">
        <v>92</v>
      </c>
      <c r="J57" s="203">
        <f>+E34+'22'!J57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52:B52"/>
    <mergeCell ref="A53:B53"/>
    <mergeCell ref="A47:B47"/>
    <mergeCell ref="A48:B48"/>
    <mergeCell ref="A49:B49"/>
    <mergeCell ref="A50:B50"/>
    <mergeCell ref="A46:B46"/>
    <mergeCell ref="A51:B51"/>
    <mergeCell ref="A40:B40"/>
    <mergeCell ref="A41:B41"/>
    <mergeCell ref="A42:B42"/>
    <mergeCell ref="A43:B43"/>
    <mergeCell ref="A44:B44"/>
    <mergeCell ref="A45:B45"/>
    <mergeCell ref="A39:B39"/>
    <mergeCell ref="A7:A14"/>
    <mergeCell ref="I7:I13"/>
    <mergeCell ref="A15:A23"/>
    <mergeCell ref="I15:I22"/>
    <mergeCell ref="A38:B38"/>
    <mergeCell ref="A24:A32"/>
    <mergeCell ref="I24:I31"/>
    <mergeCell ref="A34:B34"/>
    <mergeCell ref="A37:B37"/>
  </mergeCells>
  <phoneticPr fontId="31" type="noConversion"/>
  <printOptions horizontalCentered="1"/>
  <pageMargins left="0.19513888888888889" right="0.19513888888888889" top="0.19513888888888889" bottom="0.19513888888888889" header="0" footer="0"/>
  <pageSetup paperSize="9" scale="65" firstPageNumber="4294963191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P61"/>
  <sheetViews>
    <sheetView zoomScale="80" zoomScaleNormal="80" workbookViewId="0">
      <selection activeCell="A7" sqref="A7:A32"/>
    </sheetView>
  </sheetViews>
  <sheetFormatPr defaultColWidth="9.140625" defaultRowHeight="12.75"/>
  <cols>
    <col min="1" max="1" width="8" style="153" customWidth="1"/>
    <col min="2" max="2" width="7" style="153" bestFit="1" customWidth="1"/>
    <col min="3" max="3" width="14.85546875" style="153" bestFit="1" customWidth="1"/>
    <col min="4" max="4" width="12.5703125" style="153" bestFit="1" customWidth="1"/>
    <col min="5" max="5" width="13.85546875" style="153" bestFit="1" customWidth="1"/>
    <col min="6" max="6" width="12.140625" style="114" bestFit="1" customWidth="1"/>
    <col min="7" max="7" width="11.42578125" style="153" bestFit="1" customWidth="1"/>
    <col min="8" max="8" width="64.85546875" style="153" customWidth="1"/>
    <col min="9" max="9" width="14.7109375" style="153" bestFit="1" customWidth="1"/>
    <col min="10" max="10" width="21.7109375" style="153" bestFit="1" customWidth="1"/>
    <col min="11" max="11" width="12.7109375" style="153" bestFit="1" customWidth="1"/>
    <col min="12" max="12" width="8.28515625" style="153" customWidth="1"/>
    <col min="13" max="13" width="14.42578125" style="153" customWidth="1"/>
    <col min="14" max="16384" width="9.140625" style="153"/>
  </cols>
  <sheetData>
    <row r="1" spans="1:15" ht="15.75">
      <c r="A1" s="152"/>
    </row>
    <row r="2" spans="1:15" ht="15.75">
      <c r="A2" s="152" t="s">
        <v>175</v>
      </c>
    </row>
    <row r="3" spans="1:15" ht="15">
      <c r="A3" s="154"/>
    </row>
    <row r="4" spans="1:15" ht="20.25">
      <c r="A4" s="155" t="s">
        <v>4</v>
      </c>
      <c r="B4" s="156"/>
      <c r="F4" s="157" t="s">
        <v>31</v>
      </c>
      <c r="G4" s="158">
        <v>22</v>
      </c>
      <c r="H4" s="158" t="str">
        <f>+'1'!H4</f>
        <v>.12.25</v>
      </c>
    </row>
    <row r="5" spans="1:15" ht="13.5" thickBot="1">
      <c r="C5" s="159"/>
      <c r="D5" s="159"/>
    </row>
    <row r="6" spans="1:15" ht="26.25" thickBot="1">
      <c r="A6" s="160" t="s">
        <v>50</v>
      </c>
      <c r="B6" s="161" t="s">
        <v>10</v>
      </c>
      <c r="C6" s="161" t="s">
        <v>51</v>
      </c>
      <c r="D6" s="161" t="s">
        <v>52</v>
      </c>
      <c r="E6" s="162" t="s">
        <v>53</v>
      </c>
      <c r="F6" s="106" t="s">
        <v>54</v>
      </c>
      <c r="G6" s="161" t="s">
        <v>55</v>
      </c>
      <c r="H6" s="163" t="s">
        <v>56</v>
      </c>
      <c r="I6" s="164" t="s">
        <v>57</v>
      </c>
      <c r="J6" s="165" t="s">
        <v>10</v>
      </c>
      <c r="K6" s="166" t="s">
        <v>58</v>
      </c>
      <c r="L6" s="213" t="s">
        <v>143</v>
      </c>
      <c r="M6" s="167" t="s">
        <v>59</v>
      </c>
      <c r="N6" s="153">
        <f>334+318+314</f>
        <v>966</v>
      </c>
    </row>
    <row r="7" spans="1:15" ht="13.5" customHeight="1" thickBot="1">
      <c r="A7" s="789" t="s">
        <v>413</v>
      </c>
      <c r="B7" s="218" t="s">
        <v>606</v>
      </c>
      <c r="C7" s="219">
        <v>10815</v>
      </c>
      <c r="D7" s="220">
        <v>600</v>
      </c>
      <c r="E7" s="221"/>
      <c r="F7" s="230"/>
      <c r="G7" s="231" t="s">
        <v>13</v>
      </c>
      <c r="H7" s="232" t="s">
        <v>395</v>
      </c>
      <c r="I7" s="792" t="s">
        <v>604</v>
      </c>
      <c r="J7" s="217" t="str">
        <f>+'21'!J7</f>
        <v>TW 38 RC BR</v>
      </c>
      <c r="K7" s="240"/>
      <c r="L7" s="244"/>
      <c r="M7" s="121">
        <f>+K7+'21'!M7+L7</f>
        <v>78513</v>
      </c>
    </row>
    <row r="8" spans="1:15" ht="13.5" thickBot="1">
      <c r="A8" s="790"/>
      <c r="B8" s="218" t="s">
        <v>621</v>
      </c>
      <c r="C8" s="219">
        <f>8851+3586</f>
        <v>12437</v>
      </c>
      <c r="D8" s="220"/>
      <c r="E8" s="222"/>
      <c r="F8" s="233">
        <v>2</v>
      </c>
      <c r="G8" s="234" t="s">
        <v>13</v>
      </c>
      <c r="H8" s="232" t="s">
        <v>393</v>
      </c>
      <c r="I8" s="793"/>
      <c r="J8" s="217" t="str">
        <f>+'21'!J8</f>
        <v>TW 36 RC BR</v>
      </c>
      <c r="K8" s="241"/>
      <c r="L8" s="241"/>
      <c r="M8" s="121">
        <f>+K8+'21'!M8+L8</f>
        <v>1530</v>
      </c>
      <c r="N8" s="153">
        <v>550</v>
      </c>
      <c r="O8" s="153">
        <f>+N8-N8*0.12</f>
        <v>484</v>
      </c>
    </row>
    <row r="9" spans="1:15" ht="13.5" thickBot="1">
      <c r="A9" s="790"/>
      <c r="B9" s="218"/>
      <c r="C9" s="219"/>
      <c r="D9" s="220"/>
      <c r="E9" s="223"/>
      <c r="F9" s="230">
        <v>3</v>
      </c>
      <c r="G9" s="234" t="s">
        <v>13</v>
      </c>
      <c r="H9" s="235" t="s">
        <v>226</v>
      </c>
      <c r="I9" s="793"/>
      <c r="J9" s="217" t="str">
        <f>+'21'!J9</f>
        <v>N 20 RC BR</v>
      </c>
      <c r="K9" s="241"/>
      <c r="L9" s="241"/>
      <c r="M9" s="121">
        <f>+K9+'21'!M9+L9</f>
        <v>74204</v>
      </c>
    </row>
    <row r="10" spans="1:15" ht="13.5" thickBot="1">
      <c r="A10" s="790"/>
      <c r="B10" s="218"/>
      <c r="C10" s="219"/>
      <c r="D10" s="220"/>
      <c r="E10" s="222"/>
      <c r="F10" s="230"/>
      <c r="G10" s="234"/>
      <c r="H10" s="235" t="s">
        <v>612</v>
      </c>
      <c r="I10" s="793"/>
      <c r="J10" s="217" t="str">
        <f>+'21'!J10</f>
        <v>TW 17 RC HW</v>
      </c>
      <c r="K10" s="241"/>
      <c r="L10" s="241"/>
      <c r="M10" s="121">
        <f>+K10+'21'!M10+L10</f>
        <v>99162</v>
      </c>
    </row>
    <row r="11" spans="1:15" ht="13.5" thickBot="1">
      <c r="A11" s="790"/>
      <c r="B11" s="218"/>
      <c r="C11" s="219"/>
      <c r="D11" s="220"/>
      <c r="E11" s="222"/>
      <c r="F11" s="230">
        <v>2</v>
      </c>
      <c r="G11" s="234" t="s">
        <v>13</v>
      </c>
      <c r="H11" s="235" t="s">
        <v>613</v>
      </c>
      <c r="I11" s="793"/>
      <c r="J11" s="217" t="str">
        <f>+'21'!J11</f>
        <v>N 15,5 RC HW</v>
      </c>
      <c r="K11" s="241"/>
      <c r="L11" s="241"/>
      <c r="M11" s="121">
        <f>+K11+'21'!M11+L11</f>
        <v>159490</v>
      </c>
    </row>
    <row r="12" spans="1:15" ht="13.5" thickBot="1">
      <c r="A12" s="790"/>
      <c r="B12" s="218"/>
      <c r="C12" s="219"/>
      <c r="D12" s="220"/>
      <c r="E12" s="222"/>
      <c r="F12" s="230">
        <v>3</v>
      </c>
      <c r="G12" s="234" t="s">
        <v>13</v>
      </c>
      <c r="H12" s="235" t="s">
        <v>614</v>
      </c>
      <c r="I12" s="793"/>
      <c r="J12" s="217" t="str">
        <f>+'21'!J12</f>
        <v>N 17 RC HW</v>
      </c>
      <c r="K12" s="241"/>
      <c r="L12" s="241"/>
      <c r="M12" s="121">
        <f>+K12+'21'!M12+L12</f>
        <v>6572</v>
      </c>
    </row>
    <row r="13" spans="1:15" ht="13.5" thickBot="1">
      <c r="A13" s="790"/>
      <c r="B13" s="218"/>
      <c r="C13" s="219"/>
      <c r="D13" s="219"/>
      <c r="E13" s="222"/>
      <c r="F13" s="230"/>
      <c r="G13" s="234"/>
      <c r="H13" s="235"/>
      <c r="I13" s="794"/>
      <c r="J13" s="217" t="str">
        <f>+'21'!J13</f>
        <v>N 16,5 RC HW</v>
      </c>
      <c r="K13" s="241"/>
      <c r="L13" s="241"/>
      <c r="M13" s="121">
        <f>+K13+'21'!M13+L13</f>
        <v>18880</v>
      </c>
    </row>
    <row r="14" spans="1:15" ht="13.5" thickBot="1">
      <c r="A14" s="791"/>
      <c r="B14" s="169" t="s">
        <v>3</v>
      </c>
      <c r="C14" s="103">
        <f>SUM(C7:C13)</f>
        <v>23252</v>
      </c>
      <c r="D14" s="115">
        <f>SUM(D7:D13)</f>
        <v>600</v>
      </c>
      <c r="E14" s="116">
        <f>SUM(E5:E13)</f>
        <v>0</v>
      </c>
      <c r="F14" s="106">
        <f>SUM(F6:F13)</f>
        <v>10</v>
      </c>
      <c r="G14" s="163"/>
      <c r="H14" s="170"/>
      <c r="I14" s="171"/>
      <c r="J14" s="217" t="str">
        <f>+'21'!J14</f>
        <v>N 20 RC HW</v>
      </c>
      <c r="K14" s="241"/>
      <c r="L14" s="241"/>
      <c r="M14" s="121">
        <f>+K14+'21'!M14+L14</f>
        <v>394199</v>
      </c>
    </row>
    <row r="15" spans="1:15" ht="13.5" customHeight="1" thickBot="1">
      <c r="A15" s="789" t="s">
        <v>414</v>
      </c>
      <c r="B15" s="169"/>
      <c r="C15" s="117">
        <f>C14/($C$23+$D$23+$E$23)</f>
        <v>0.93898154504704601</v>
      </c>
      <c r="D15" s="118">
        <f>D14/($C$23+$D$23+$E$23)</f>
        <v>2.4229697532609135E-2</v>
      </c>
      <c r="E15" s="119">
        <f>E14/($C$23+$D$23+$E$23)</f>
        <v>0</v>
      </c>
      <c r="F15" s="230"/>
      <c r="G15" s="231" t="s">
        <v>13</v>
      </c>
      <c r="H15" s="232" t="s">
        <v>395</v>
      </c>
      <c r="I15" s="792" t="s">
        <v>604</v>
      </c>
      <c r="J15" s="217" t="str">
        <f>+'21'!J15</f>
        <v>N 18 RC HW</v>
      </c>
      <c r="K15" s="241"/>
      <c r="L15" s="241"/>
      <c r="M15" s="121">
        <f>+K15+'21'!M15+L15</f>
        <v>50657</v>
      </c>
    </row>
    <row r="16" spans="1:15" ht="13.5" thickBot="1">
      <c r="A16" s="795"/>
      <c r="B16" s="218" t="s">
        <v>622</v>
      </c>
      <c r="C16" s="224">
        <f>5122+4423</f>
        <v>9545</v>
      </c>
      <c r="D16" s="225"/>
      <c r="E16" s="226"/>
      <c r="F16" s="233"/>
      <c r="G16" s="234" t="s">
        <v>13</v>
      </c>
      <c r="H16" s="232" t="s">
        <v>424</v>
      </c>
      <c r="I16" s="793"/>
      <c r="J16" s="217" t="str">
        <f>+'21'!J16</f>
        <v>TW 17,5 RC HW</v>
      </c>
      <c r="K16" s="241"/>
      <c r="L16" s="231"/>
      <c r="M16" s="121">
        <f>+K16+'21'!M16+L16</f>
        <v>11537</v>
      </c>
    </row>
    <row r="17" spans="1:13" ht="13.5" thickBot="1">
      <c r="A17" s="795"/>
      <c r="B17" s="218" t="s">
        <v>619</v>
      </c>
      <c r="C17" s="219">
        <f>11370+2072+1776</f>
        <v>15218</v>
      </c>
      <c r="D17" s="220"/>
      <c r="E17" s="227"/>
      <c r="F17" s="230">
        <v>2</v>
      </c>
      <c r="G17" s="234" t="s">
        <v>13</v>
      </c>
      <c r="H17" s="235" t="s">
        <v>226</v>
      </c>
      <c r="I17" s="793"/>
      <c r="J17" s="217" t="str">
        <f>+'21'!J17</f>
        <v>TW 22 RC HW</v>
      </c>
      <c r="K17" s="241"/>
      <c r="L17" s="231"/>
      <c r="M17" s="121">
        <f>+K17+'21'!M17+L17</f>
        <v>100201</v>
      </c>
    </row>
    <row r="18" spans="1:13" ht="13.5" thickBot="1">
      <c r="A18" s="795"/>
      <c r="B18" s="218"/>
      <c r="C18" s="219"/>
      <c r="D18" s="220"/>
      <c r="E18" s="227"/>
      <c r="F18" s="230"/>
      <c r="G18" s="234"/>
      <c r="H18" s="235" t="s">
        <v>615</v>
      </c>
      <c r="I18" s="793"/>
      <c r="J18" s="217" t="str">
        <f>+'21'!J18</f>
        <v>TW 31,5 RC HW</v>
      </c>
      <c r="K18" s="241">
        <f>+C7</f>
        <v>10815</v>
      </c>
      <c r="L18" s="241"/>
      <c r="M18" s="121">
        <f>+K18+'21'!M18+L18</f>
        <v>108399</v>
      </c>
    </row>
    <row r="19" spans="1:13" ht="13.5" thickBot="1">
      <c r="A19" s="795"/>
      <c r="B19" s="218"/>
      <c r="C19" s="219"/>
      <c r="D19" s="220"/>
      <c r="E19" s="227"/>
      <c r="F19" s="237"/>
      <c r="G19" s="234"/>
      <c r="H19" s="235" t="s">
        <v>616</v>
      </c>
      <c r="I19" s="793"/>
      <c r="J19" s="217" t="s">
        <v>621</v>
      </c>
      <c r="K19" s="241">
        <f>+C8</f>
        <v>12437</v>
      </c>
      <c r="L19" s="241"/>
      <c r="M19" s="121">
        <f>+K19+'21'!M19+L19</f>
        <v>12437</v>
      </c>
    </row>
    <row r="20" spans="1:13" ht="13.5" thickBot="1">
      <c r="A20" s="795"/>
      <c r="B20" s="218"/>
      <c r="C20" s="219"/>
      <c r="D20" s="220"/>
      <c r="E20" s="227"/>
      <c r="F20" s="230"/>
      <c r="G20" s="234"/>
      <c r="H20" s="235"/>
      <c r="I20" s="793"/>
      <c r="J20" s="217" t="s">
        <v>622</v>
      </c>
      <c r="K20" s="241">
        <f>+C16</f>
        <v>9545</v>
      </c>
      <c r="L20" s="242"/>
      <c r="M20" s="121">
        <f>+K20+'21'!M20+L20</f>
        <v>9545</v>
      </c>
    </row>
    <row r="21" spans="1:13" ht="13.5" thickBot="1">
      <c r="A21" s="795"/>
      <c r="B21" s="218"/>
      <c r="C21" s="219"/>
      <c r="D21" s="220"/>
      <c r="E21" s="227"/>
      <c r="F21" s="233"/>
      <c r="G21" s="234"/>
      <c r="H21" s="235"/>
      <c r="I21" s="793"/>
      <c r="J21" s="217" t="s">
        <v>619</v>
      </c>
      <c r="K21" s="241">
        <f>+C17+C25</f>
        <v>39958</v>
      </c>
      <c r="L21" s="241"/>
      <c r="M21" s="121">
        <f>+K21+'21'!M21+L21</f>
        <v>39958</v>
      </c>
    </row>
    <row r="22" spans="1:13" ht="13.5" thickBot="1">
      <c r="A22" s="795"/>
      <c r="B22" s="218"/>
      <c r="C22" s="219"/>
      <c r="D22" s="220"/>
      <c r="E22" s="227"/>
      <c r="F22" s="238"/>
      <c r="G22" s="234"/>
      <c r="H22" s="235"/>
      <c r="I22" s="794"/>
      <c r="J22" s="217">
        <f>+'21'!J22</f>
        <v>0</v>
      </c>
      <c r="K22" s="241"/>
      <c r="L22" s="241"/>
      <c r="M22" s="121">
        <f>+K22+'21'!M22+L22</f>
        <v>0</v>
      </c>
    </row>
    <row r="23" spans="1:13" ht="13.5" thickBot="1">
      <c r="A23" s="796"/>
      <c r="B23" s="169" t="s">
        <v>3</v>
      </c>
      <c r="C23" s="104">
        <f>SUM(C16:C22)</f>
        <v>24763</v>
      </c>
      <c r="D23" s="115">
        <f>SUM(D16:D22)</f>
        <v>0</v>
      </c>
      <c r="E23" s="116">
        <f>SUM(E18:E22)</f>
        <v>0</v>
      </c>
      <c r="F23" s="106">
        <f>SUM(F15:F22)</f>
        <v>2</v>
      </c>
      <c r="G23" s="163"/>
      <c r="H23" s="170"/>
      <c r="I23" s="172"/>
      <c r="J23" s="217">
        <f>+'21'!J23</f>
        <v>0</v>
      </c>
      <c r="K23" s="241"/>
      <c r="L23" s="241"/>
      <c r="M23" s="121">
        <f>+K23+'21'!M23+L23</f>
        <v>0</v>
      </c>
    </row>
    <row r="24" spans="1:13" ht="13.5" customHeight="1" thickBot="1">
      <c r="A24" s="789" t="s">
        <v>486</v>
      </c>
      <c r="B24" s="173"/>
      <c r="C24" s="117">
        <f>C23/($C$23+$D$23+$E$23)</f>
        <v>1</v>
      </c>
      <c r="D24" s="118">
        <f>D23/($C$23+$D$23+$E$23)</f>
        <v>0</v>
      </c>
      <c r="E24" s="119">
        <f>E23/($C$23+$D$23+$E$23)</f>
        <v>0</v>
      </c>
      <c r="F24" s="230"/>
      <c r="G24" s="231" t="s">
        <v>13</v>
      </c>
      <c r="H24" s="232" t="s">
        <v>395</v>
      </c>
      <c r="I24" s="792" t="s">
        <v>604</v>
      </c>
      <c r="J24" s="217">
        <f>+'21'!J24</f>
        <v>0</v>
      </c>
      <c r="K24" s="241"/>
      <c r="L24" s="241"/>
      <c r="M24" s="121">
        <f>+K24+'21'!M24+L24</f>
        <v>0</v>
      </c>
    </row>
    <row r="25" spans="1:13" ht="13.5" customHeight="1" thickBot="1">
      <c r="A25" s="795"/>
      <c r="B25" s="218" t="s">
        <v>619</v>
      </c>
      <c r="C25" s="228">
        <v>24740</v>
      </c>
      <c r="D25" s="220"/>
      <c r="E25" s="227"/>
      <c r="F25" s="233"/>
      <c r="G25" s="234" t="s">
        <v>13</v>
      </c>
      <c r="H25" s="232" t="s">
        <v>424</v>
      </c>
      <c r="I25" s="793"/>
      <c r="J25" s="217">
        <f>+'21'!J25</f>
        <v>0</v>
      </c>
      <c r="K25" s="241"/>
      <c r="L25" s="241"/>
      <c r="M25" s="121">
        <f>+K25+'21'!M25+L25</f>
        <v>0</v>
      </c>
    </row>
    <row r="26" spans="1:13" ht="13.5" customHeight="1" thickBot="1">
      <c r="A26" s="795"/>
      <c r="B26" s="218"/>
      <c r="C26" s="228"/>
      <c r="D26" s="220"/>
      <c r="E26" s="229"/>
      <c r="F26" s="230">
        <v>4</v>
      </c>
      <c r="G26" s="234" t="s">
        <v>13</v>
      </c>
      <c r="H26" s="235" t="s">
        <v>226</v>
      </c>
      <c r="I26" s="793"/>
      <c r="J26" s="217">
        <f>+'21'!J26</f>
        <v>0</v>
      </c>
      <c r="K26" s="241"/>
      <c r="L26" s="241"/>
      <c r="M26" s="121">
        <f>+K26+'21'!M26+L26</f>
        <v>0</v>
      </c>
    </row>
    <row r="27" spans="1:13" ht="13.5" customHeight="1" thickBot="1">
      <c r="A27" s="795"/>
      <c r="B27" s="218"/>
      <c r="C27" s="219"/>
      <c r="D27" s="220"/>
      <c r="E27" s="227"/>
      <c r="F27" s="230"/>
      <c r="G27" s="234"/>
      <c r="H27" s="235" t="s">
        <v>617</v>
      </c>
      <c r="I27" s="793"/>
      <c r="J27" s="217">
        <f>+'21'!J27</f>
        <v>0</v>
      </c>
      <c r="K27" s="241"/>
      <c r="L27" s="241"/>
      <c r="M27" s="121">
        <f>+K27+'21'!M27+L27</f>
        <v>0</v>
      </c>
    </row>
    <row r="28" spans="1:13" ht="13.5" customHeight="1" thickBot="1">
      <c r="A28" s="795"/>
      <c r="B28" s="218"/>
      <c r="C28" s="219"/>
      <c r="D28" s="220"/>
      <c r="E28" s="227"/>
      <c r="F28" s="233"/>
      <c r="G28" s="234"/>
      <c r="H28" s="235"/>
      <c r="I28" s="793"/>
      <c r="J28" s="217">
        <f>+'21'!J28</f>
        <v>0</v>
      </c>
      <c r="K28" s="241"/>
      <c r="L28" s="241"/>
      <c r="M28" s="121">
        <f>+K28+'21'!M28+L28</f>
        <v>0</v>
      </c>
    </row>
    <row r="29" spans="1:13" ht="13.5" customHeight="1" thickBot="1">
      <c r="A29" s="795"/>
      <c r="B29" s="218"/>
      <c r="C29" s="219"/>
      <c r="D29" s="220"/>
      <c r="E29" s="227"/>
      <c r="F29" s="238"/>
      <c r="G29" s="234"/>
      <c r="H29" s="235"/>
      <c r="I29" s="793"/>
      <c r="J29" s="217">
        <f>+'21'!J29</f>
        <v>0</v>
      </c>
      <c r="K29" s="241"/>
      <c r="L29" s="241"/>
      <c r="M29" s="121">
        <f>+K29+'21'!M29+L29</f>
        <v>0</v>
      </c>
    </row>
    <row r="30" spans="1:13" ht="13.5" customHeight="1" thickBot="1">
      <c r="A30" s="795"/>
      <c r="B30" s="218"/>
      <c r="C30" s="228"/>
      <c r="D30" s="220"/>
      <c r="E30" s="227"/>
      <c r="F30" s="238"/>
      <c r="G30" s="234"/>
      <c r="H30" s="235"/>
      <c r="I30" s="793"/>
      <c r="J30" s="217">
        <f>+'21'!J30</f>
        <v>0</v>
      </c>
      <c r="K30" s="241"/>
      <c r="L30" s="241"/>
      <c r="M30" s="121">
        <f>+K30+'21'!M30+L30</f>
        <v>0</v>
      </c>
    </row>
    <row r="31" spans="1:13" ht="13.5" customHeight="1" thickBot="1">
      <c r="A31" s="795"/>
      <c r="B31" s="218"/>
      <c r="C31" s="228"/>
      <c r="D31" s="220"/>
      <c r="E31" s="227"/>
      <c r="F31" s="238"/>
      <c r="G31" s="239"/>
      <c r="H31" s="236"/>
      <c r="I31" s="794"/>
      <c r="J31" s="217">
        <f>+'21'!J31</f>
        <v>0</v>
      </c>
      <c r="K31" s="241"/>
      <c r="L31" s="241"/>
      <c r="M31" s="121">
        <f>+K31+'21'!M31+L31</f>
        <v>0</v>
      </c>
    </row>
    <row r="32" spans="1:13" ht="13.5" customHeight="1" thickBot="1">
      <c r="A32" s="796"/>
      <c r="B32" s="169" t="s">
        <v>3</v>
      </c>
      <c r="C32" s="103">
        <f>SUM(C25:C31)</f>
        <v>24740</v>
      </c>
      <c r="D32" s="104">
        <f>SUM(D25:D31)</f>
        <v>0</v>
      </c>
      <c r="E32" s="105">
        <f>SUM(E25:E31)</f>
        <v>0</v>
      </c>
      <c r="F32" s="106">
        <f>SUM(F24:F31)</f>
        <v>4</v>
      </c>
      <c r="G32" s="174"/>
      <c r="H32" s="175"/>
      <c r="I32" s="172"/>
      <c r="J32" s="217">
        <f>+'21'!J32</f>
        <v>0</v>
      </c>
      <c r="K32" s="243"/>
      <c r="L32" s="245"/>
      <c r="M32" s="121">
        <f>+K32+'21'!M32+L32</f>
        <v>0</v>
      </c>
    </row>
    <row r="33" spans="1:16" ht="13.5" thickBot="1">
      <c r="A33" s="176"/>
      <c r="B33" s="177"/>
      <c r="C33" s="107">
        <f>C32/($C$32+$D$32+$E$32)</f>
        <v>1</v>
      </c>
      <c r="D33" s="108">
        <f>D32/($C$32+$D$32+$E$32)</f>
        <v>0</v>
      </c>
      <c r="E33" s="109">
        <f>E32/($C$32+$D$32+$E$32)</f>
        <v>0</v>
      </c>
      <c r="F33" s="110"/>
      <c r="G33" s="178"/>
      <c r="H33" s="179"/>
      <c r="I33" s="180"/>
      <c r="J33" s="125"/>
      <c r="K33" s="126"/>
      <c r="L33" s="216"/>
      <c r="M33" s="123"/>
    </row>
    <row r="34" spans="1:16" ht="13.5" thickBot="1">
      <c r="A34" s="797" t="s">
        <v>60</v>
      </c>
      <c r="B34" s="798"/>
      <c r="C34" s="111">
        <f>C14+C23+C32</f>
        <v>72755</v>
      </c>
      <c r="D34" s="111">
        <f>D14+D23+D32</f>
        <v>600</v>
      </c>
      <c r="E34" s="111">
        <f>E14+E23+E32</f>
        <v>0</v>
      </c>
      <c r="F34" s="112">
        <f>F14+F23+F32</f>
        <v>16</v>
      </c>
      <c r="H34" s="181"/>
      <c r="I34" s="181"/>
      <c r="J34" s="127" t="s">
        <v>29</v>
      </c>
      <c r="K34" s="128">
        <f>SUM(K7:K32)</f>
        <v>72755</v>
      </c>
      <c r="L34" s="215">
        <f>SUM(L7:L32)</f>
        <v>0</v>
      </c>
      <c r="M34" s="124">
        <f>SUM(M7:M32)</f>
        <v>1165284</v>
      </c>
    </row>
    <row r="35" spans="1:16" ht="13.5" thickBot="1">
      <c r="A35" s="182"/>
      <c r="B35" s="183"/>
      <c r="C35" s="108">
        <f>C34/($C$34+$D$34+$E$34)</f>
        <v>0.99182059845954607</v>
      </c>
      <c r="D35" s="108">
        <f>D34/($C$34+$D$34+$E$34)</f>
        <v>8.179401540453957E-3</v>
      </c>
      <c r="E35" s="113">
        <f>E34/($C$34+$D$34+$E$34)</f>
        <v>0</v>
      </c>
      <c r="K35" s="159"/>
      <c r="L35" s="788" t="s">
        <v>186</v>
      </c>
      <c r="M35" s="788"/>
    </row>
    <row r="36" spans="1:16" ht="13.5" thickBot="1">
      <c r="A36" s="181"/>
      <c r="B36" s="181"/>
      <c r="C36" s="159"/>
      <c r="D36" s="159"/>
      <c r="E36" s="159"/>
      <c r="G36" s="159"/>
      <c r="H36" s="184"/>
      <c r="I36" s="166" t="s">
        <v>42</v>
      </c>
      <c r="J36" s="166" t="s">
        <v>43</v>
      </c>
      <c r="K36" s="185"/>
      <c r="L36" s="166" t="s">
        <v>42</v>
      </c>
      <c r="M36" s="166" t="s">
        <v>43</v>
      </c>
    </row>
    <row r="37" spans="1:16" ht="17.45" customHeight="1" thickBot="1">
      <c r="A37" s="801" t="s">
        <v>61</v>
      </c>
      <c r="B37" s="802"/>
      <c r="C37" s="166" t="s">
        <v>62</v>
      </c>
      <c r="D37" s="186" t="s">
        <v>63</v>
      </c>
      <c r="E37" s="187" t="s">
        <v>64</v>
      </c>
      <c r="F37" s="372"/>
      <c r="G37" s="374"/>
      <c r="H37" s="189" t="s">
        <v>65</v>
      </c>
      <c r="I37" s="246">
        <f>(31.5*210+32*190+33.5*200+34*840)/1440*G42*3.4*1440/1000000</f>
        <v>78.914748000000003</v>
      </c>
      <c r="J37" s="129">
        <f>+I37+'21'!J37</f>
        <v>1328.2371643044976</v>
      </c>
      <c r="K37" s="130" t="s">
        <v>66</v>
      </c>
      <c r="L37" s="437"/>
      <c r="M37" s="438"/>
      <c r="N37" s="153">
        <v>31.5</v>
      </c>
      <c r="O37" s="153">
        <f>180+30</f>
        <v>210</v>
      </c>
      <c r="P37" s="153">
        <f>1.455+3.015+3.015+3.015</f>
        <v>10.500000000000002</v>
      </c>
    </row>
    <row r="38" spans="1:16" ht="17.45" customHeight="1">
      <c r="A38" s="803" t="s">
        <v>13</v>
      </c>
      <c r="B38" s="804"/>
      <c r="C38" s="168">
        <f>SUMIF($G$7:$G$31,"Process",$F$7:$F$31)</f>
        <v>16</v>
      </c>
      <c r="D38" s="122">
        <f>+C38+'21'!D38</f>
        <v>988</v>
      </c>
      <c r="E38" s="147">
        <f t="shared" ref="E38:E51" si="0">D38/60</f>
        <v>16.466666666666665</v>
      </c>
      <c r="F38" s="372">
        <v>550</v>
      </c>
      <c r="G38" s="372">
        <f>+F38-F38*0.12</f>
        <v>484</v>
      </c>
      <c r="H38" s="190" t="s">
        <v>67</v>
      </c>
      <c r="I38" s="559">
        <f>22.591+25.046+26.03</f>
        <v>73.667000000000002</v>
      </c>
      <c r="J38" s="131">
        <f>+I38+'21'!J38</f>
        <v>1202.3409999999999</v>
      </c>
      <c r="K38" s="132" t="s">
        <v>66</v>
      </c>
      <c r="L38" s="439"/>
      <c r="M38" s="440"/>
      <c r="N38" s="153">
        <v>32</v>
      </c>
      <c r="O38" s="153">
        <f>30+120+40</f>
        <v>190</v>
      </c>
      <c r="P38" s="153">
        <f>3.044+3.044+3.044+1.469</f>
        <v>10.600999999999999</v>
      </c>
    </row>
    <row r="39" spans="1:16" ht="17.45" customHeight="1">
      <c r="A39" s="799" t="s">
        <v>14</v>
      </c>
      <c r="B39" s="800"/>
      <c r="C39" s="168">
        <f>SUMIF($G$7:$G$31,"Cleaning",$F$7:$F$31)</f>
        <v>0</v>
      </c>
      <c r="D39" s="122">
        <f>+C39+'21'!D39</f>
        <v>0</v>
      </c>
      <c r="E39" s="147">
        <f t="shared" si="0"/>
        <v>0</v>
      </c>
      <c r="F39" s="372">
        <v>550</v>
      </c>
      <c r="G39" s="372">
        <f>+F39-F39*0.12</f>
        <v>484</v>
      </c>
      <c r="H39" s="190" t="s">
        <v>68</v>
      </c>
      <c r="I39" s="146"/>
      <c r="J39" s="133">
        <f>J37/G4</f>
        <v>60.374416559295348</v>
      </c>
      <c r="K39" s="134" t="s">
        <v>66</v>
      </c>
      <c r="L39" s="439"/>
      <c r="M39" s="440"/>
      <c r="N39" s="153">
        <v>33.5</v>
      </c>
      <c r="O39" s="153">
        <f>20+60+120</f>
        <v>200</v>
      </c>
      <c r="P39" s="153">
        <f>1.49+2.667+2.774+2.774</f>
        <v>9.7050000000000001</v>
      </c>
    </row>
    <row r="40" spans="1:16" ht="17.45" customHeight="1">
      <c r="A40" s="799" t="s">
        <v>69</v>
      </c>
      <c r="B40" s="800"/>
      <c r="C40" s="168">
        <f>SUMIF($G$7:$G$31,"Mechanical",$F$7:$F$31)</f>
        <v>0</v>
      </c>
      <c r="D40" s="122">
        <f>+C40+'21'!D40</f>
        <v>700</v>
      </c>
      <c r="E40" s="147">
        <f t="shared" si="0"/>
        <v>11.666666666666666</v>
      </c>
      <c r="F40" s="372">
        <v>550</v>
      </c>
      <c r="G40" s="372">
        <f>+F40-F40*0.12</f>
        <v>484</v>
      </c>
      <c r="H40" s="190" t="s">
        <v>70</v>
      </c>
      <c r="I40" s="122">
        <f>(K34+L34)/1000</f>
        <v>72.754999999999995</v>
      </c>
      <c r="J40" s="135">
        <f>+I40+'21'!J40</f>
        <v>1165.2839999999997</v>
      </c>
      <c r="K40" s="134" t="s">
        <v>66</v>
      </c>
      <c r="L40" s="439"/>
      <c r="M40" s="440"/>
      <c r="N40" s="153">
        <v>34</v>
      </c>
      <c r="O40" s="153">
        <f>360+480</f>
        <v>840</v>
      </c>
      <c r="P40" s="560">
        <f>+I38-P37-P38-P39</f>
        <v>42.861000000000004</v>
      </c>
    </row>
    <row r="41" spans="1:16" ht="17.45" customHeight="1">
      <c r="A41" s="799" t="s">
        <v>71</v>
      </c>
      <c r="B41" s="800"/>
      <c r="C41" s="168">
        <f>SUMIF($G$7:$G$31,"Electrical",$F$7:$F$31)</f>
        <v>0</v>
      </c>
      <c r="D41" s="122">
        <f>+C41+'21'!D41</f>
        <v>315</v>
      </c>
      <c r="E41" s="147">
        <f t="shared" si="0"/>
        <v>5.25</v>
      </c>
      <c r="F41" s="372"/>
      <c r="G41" s="372"/>
      <c r="H41" s="190" t="s">
        <v>72</v>
      </c>
      <c r="I41" s="146"/>
      <c r="J41" s="133">
        <f>J40/G4</f>
        <v>52.96745454545453</v>
      </c>
      <c r="K41" s="134" t="s">
        <v>66</v>
      </c>
      <c r="L41" s="439"/>
      <c r="M41" s="440"/>
      <c r="O41" s="153">
        <f>SUM(O37:O40)</f>
        <v>1440</v>
      </c>
    </row>
    <row r="42" spans="1:16" ht="17.45" customHeight="1">
      <c r="A42" s="799" t="s">
        <v>17</v>
      </c>
      <c r="B42" s="800"/>
      <c r="C42" s="168">
        <f>SUMIF($G$7:$G$31,"Instrument",$F$7:$F$31)</f>
        <v>0</v>
      </c>
      <c r="D42" s="122">
        <f>+C42+'21'!D42</f>
        <v>0</v>
      </c>
      <c r="E42" s="147">
        <f t="shared" si="0"/>
        <v>0</v>
      </c>
      <c r="F42" s="372">
        <f>+(F38*480+F39*480+F40*480)/1440</f>
        <v>550</v>
      </c>
      <c r="G42" s="372">
        <f>+(G38*480+G39*480+G40*480)/1440</f>
        <v>484</v>
      </c>
      <c r="H42" s="190" t="s">
        <v>73</v>
      </c>
      <c r="I42" s="248" t="s">
        <v>604</v>
      </c>
      <c r="J42" s="136"/>
      <c r="K42" s="134" t="s">
        <v>74</v>
      </c>
      <c r="L42" s="439"/>
      <c r="M42" s="440"/>
    </row>
    <row r="43" spans="1:16" ht="17.45" customHeight="1">
      <c r="A43" s="799" t="s">
        <v>201</v>
      </c>
      <c r="B43" s="800"/>
      <c r="C43" s="168">
        <f>SUMIF($G$7:$G$31,"Change Grade",$F$7:$F$31)</f>
        <v>0</v>
      </c>
      <c r="D43" s="122">
        <f>+C43+'21'!D43</f>
        <v>0</v>
      </c>
      <c r="E43" s="147">
        <f t="shared" si="0"/>
        <v>0</v>
      </c>
      <c r="F43" s="372"/>
      <c r="G43" s="373"/>
      <c r="H43" s="191" t="s">
        <v>76</v>
      </c>
      <c r="I43" s="122">
        <f>+Report1!AH30</f>
        <v>126.074</v>
      </c>
      <c r="J43" s="137">
        <f>+I43+'21'!J43</f>
        <v>2564.0649999999996</v>
      </c>
      <c r="K43" s="134" t="s">
        <v>66</v>
      </c>
      <c r="L43" s="441">
        <f>+Report1!AN30</f>
        <v>13.1</v>
      </c>
      <c r="M43" s="442">
        <f>+L43+'21'!M43</f>
        <v>241.60000000000002</v>
      </c>
    </row>
    <row r="44" spans="1:16" ht="17.45" customHeight="1">
      <c r="A44" s="799" t="s">
        <v>18</v>
      </c>
      <c r="B44" s="800"/>
      <c r="C44" s="168">
        <f>SUMIF($G$7:$G$31,"PLN",$F$7:$F$31)</f>
        <v>0</v>
      </c>
      <c r="D44" s="122">
        <f>+C44+'21'!D44</f>
        <v>105</v>
      </c>
      <c r="E44" s="147">
        <f t="shared" si="0"/>
        <v>1.75</v>
      </c>
      <c r="F44" s="372"/>
      <c r="G44" s="373"/>
      <c r="H44" s="191" t="s">
        <v>77</v>
      </c>
      <c r="I44" s="122">
        <f>I43/I38</f>
        <v>1.711404020796286</v>
      </c>
      <c r="J44" s="138">
        <f>J43/J38</f>
        <v>2.1325605631014826</v>
      </c>
      <c r="K44" s="134" t="s">
        <v>66</v>
      </c>
      <c r="L44" s="443">
        <f>+L43/I38</f>
        <v>0.17782724965045407</v>
      </c>
      <c r="M44" s="444">
        <f>+M43/J38</f>
        <v>0.20094133028816288</v>
      </c>
    </row>
    <row r="45" spans="1:16" ht="17.45" customHeight="1">
      <c r="A45" s="799" t="s">
        <v>19</v>
      </c>
      <c r="B45" s="800"/>
      <c r="C45" s="168">
        <f>SUMIF($G$7:$G$31,"Boiler",$F$7:$F$31)</f>
        <v>0</v>
      </c>
      <c r="D45" s="122">
        <f>+C45+'21'!D45</f>
        <v>0</v>
      </c>
      <c r="E45" s="147">
        <f t="shared" si="0"/>
        <v>0</v>
      </c>
      <c r="F45" s="372"/>
      <c r="G45" s="375"/>
      <c r="H45" s="191" t="s">
        <v>78</v>
      </c>
      <c r="I45" s="122">
        <f>I43/I40</f>
        <v>1.7328568483265756</v>
      </c>
      <c r="J45" s="138">
        <f>J43/J40</f>
        <v>2.2003777619876361</v>
      </c>
      <c r="K45" s="134" t="s">
        <v>66</v>
      </c>
      <c r="L45" s="443">
        <f>+L43/I40</f>
        <v>0.18005635351522234</v>
      </c>
      <c r="M45" s="444">
        <f>+M43/J40</f>
        <v>0.20733143165099674</v>
      </c>
    </row>
    <row r="46" spans="1:16" ht="17.45" customHeight="1">
      <c r="A46" s="799" t="s">
        <v>79</v>
      </c>
      <c r="B46" s="800"/>
      <c r="C46" s="168">
        <f>SUMIF($G$7:$G$31,"Gas",$F$7:$F$31)</f>
        <v>0</v>
      </c>
      <c r="D46" s="122">
        <f>+C46+'21'!D46</f>
        <v>0</v>
      </c>
      <c r="E46" s="147">
        <f t="shared" si="0"/>
        <v>0</v>
      </c>
      <c r="F46" s="372"/>
      <c r="G46" s="373"/>
      <c r="H46" s="191" t="s">
        <v>80</v>
      </c>
      <c r="I46" s="144">
        <f>+SUMIF(Listrik!AC29,"&gt;0")</f>
        <v>31401.669999999653</v>
      </c>
      <c r="J46" s="139">
        <f>+I46+'21'!J46</f>
        <v>741229.89000000048</v>
      </c>
      <c r="K46" s="134" t="s">
        <v>81</v>
      </c>
      <c r="L46" s="443">
        <f>+Listrik!AF29</f>
        <v>3757</v>
      </c>
      <c r="M46" s="445">
        <f>+L46+'21'!M46</f>
        <v>133119.79999999999</v>
      </c>
    </row>
    <row r="47" spans="1:16" ht="17.45" customHeight="1">
      <c r="A47" s="799" t="s">
        <v>82</v>
      </c>
      <c r="B47" s="800"/>
      <c r="C47" s="168">
        <f>SUMIF($G$7:$G$31,"Gas",$F$7:$F$31)</f>
        <v>0</v>
      </c>
      <c r="D47" s="122">
        <f>+C47+'21'!D47</f>
        <v>0</v>
      </c>
      <c r="E47" s="147">
        <f t="shared" si="0"/>
        <v>0</v>
      </c>
      <c r="F47" s="372"/>
      <c r="G47" s="373"/>
      <c r="H47" s="191" t="s">
        <v>83</v>
      </c>
      <c r="I47" s="122">
        <f>I46/I38</f>
        <v>426.26508477336733</v>
      </c>
      <c r="J47" s="139">
        <f>J46/J38</f>
        <v>616.48890788886058</v>
      </c>
      <c r="K47" s="134" t="s">
        <v>25</v>
      </c>
      <c r="L47" s="443">
        <f>+L46/I38</f>
        <v>50.999769231813431</v>
      </c>
      <c r="M47" s="444">
        <f>+M46/J38</f>
        <v>110.71717590933021</v>
      </c>
    </row>
    <row r="48" spans="1:16" ht="17.45" customHeight="1">
      <c r="A48" s="799" t="s">
        <v>15</v>
      </c>
      <c r="B48" s="800"/>
      <c r="C48" s="168">
        <f>SUMIF($G$7:$G$31,"Start Up",$F$7:$F$31)</f>
        <v>0</v>
      </c>
      <c r="D48" s="122">
        <f>+C48+'21'!D48</f>
        <v>0</v>
      </c>
      <c r="E48" s="147">
        <f t="shared" si="0"/>
        <v>0</v>
      </c>
      <c r="F48" s="372"/>
      <c r="G48" s="373"/>
      <c r="H48" s="191" t="s">
        <v>84</v>
      </c>
      <c r="I48" s="122">
        <f>I46/I40</f>
        <v>431.60841179299916</v>
      </c>
      <c r="J48" s="139">
        <f>J46/J40</f>
        <v>636.09376769954849</v>
      </c>
      <c r="K48" s="134" t="s">
        <v>25</v>
      </c>
      <c r="L48" s="443">
        <f>+L46/I38</f>
        <v>50.999769231813431</v>
      </c>
      <c r="M48" s="444">
        <f>+M46/J40</f>
        <v>114.2380741518806</v>
      </c>
    </row>
    <row r="49" spans="1:13" ht="17.45" customHeight="1">
      <c r="A49" s="799" t="s">
        <v>21</v>
      </c>
      <c r="B49" s="800"/>
      <c r="C49" s="168">
        <f>SUMIF($G$7:$G$31,"Others",$F$7:$F$31)</f>
        <v>0</v>
      </c>
      <c r="D49" s="122">
        <f>+C49+'21'!D49</f>
        <v>1440</v>
      </c>
      <c r="E49" s="147">
        <f t="shared" si="0"/>
        <v>24</v>
      </c>
      <c r="F49" s="188"/>
      <c r="H49" s="191" t="s">
        <v>85</v>
      </c>
      <c r="I49" s="122">
        <f>+Report1!AB30</f>
        <v>0</v>
      </c>
      <c r="J49" s="139">
        <f>+I49+'21'!J49</f>
        <v>0</v>
      </c>
      <c r="K49" s="134" t="s">
        <v>86</v>
      </c>
      <c r="L49" s="439"/>
      <c r="M49" s="440"/>
    </row>
    <row r="50" spans="1:13" ht="17.45" customHeight="1">
      <c r="A50" s="799" t="s">
        <v>20</v>
      </c>
      <c r="B50" s="800"/>
      <c r="C50" s="168">
        <f>SUMIF($G$7:$G$31,"Steam",$F$7:$F$31)</f>
        <v>0</v>
      </c>
      <c r="D50" s="122">
        <f>+C50+'21'!D50</f>
        <v>0</v>
      </c>
      <c r="E50" s="147">
        <f t="shared" si="0"/>
        <v>0</v>
      </c>
      <c r="F50" s="188"/>
      <c r="H50" s="191" t="s">
        <v>87</v>
      </c>
      <c r="I50" s="144">
        <f>I49/I38</f>
        <v>0</v>
      </c>
      <c r="J50" s="137">
        <f>J49/J38</f>
        <v>0</v>
      </c>
      <c r="K50" s="134" t="s">
        <v>86</v>
      </c>
      <c r="L50" s="439"/>
      <c r="M50" s="440"/>
    </row>
    <row r="51" spans="1:13" ht="17.45" customHeight="1" thickBot="1">
      <c r="A51" s="805" t="s">
        <v>88</v>
      </c>
      <c r="B51" s="806"/>
      <c r="C51" s="168">
        <f>SUMIF($G$7:$G$31,"Planned shut",$F$7:$F$31)</f>
        <v>0</v>
      </c>
      <c r="D51" s="122">
        <f>+C51+'21'!D51</f>
        <v>0</v>
      </c>
      <c r="E51" s="147">
        <f t="shared" si="0"/>
        <v>0</v>
      </c>
      <c r="F51" s="188"/>
      <c r="H51" s="193" t="s">
        <v>89</v>
      </c>
      <c r="I51" s="145">
        <f>I49/I40</f>
        <v>0</v>
      </c>
      <c r="J51" s="140">
        <f>J49/J40</f>
        <v>0</v>
      </c>
      <c r="K51" s="141" t="s">
        <v>86</v>
      </c>
      <c r="L51" s="439"/>
      <c r="M51" s="440"/>
    </row>
    <row r="52" spans="1:13" ht="13.5" thickBot="1">
      <c r="A52" s="803" t="s">
        <v>29</v>
      </c>
      <c r="B52" s="804"/>
      <c r="C52" s="148">
        <f>SUM(C38:C51)</f>
        <v>16</v>
      </c>
      <c r="D52" s="148">
        <f>SUM(D38:D51)</f>
        <v>3548</v>
      </c>
      <c r="E52" s="149">
        <f>SUM(E38:E51)</f>
        <v>59.133333333333333</v>
      </c>
      <c r="F52" s="188"/>
      <c r="H52" s="194"/>
      <c r="I52" s="195"/>
      <c r="J52" s="142"/>
      <c r="K52" s="143"/>
      <c r="L52" s="446"/>
      <c r="M52" s="447"/>
    </row>
    <row r="53" spans="1:13" ht="13.5" thickBot="1">
      <c r="A53" s="807"/>
      <c r="B53" s="808"/>
      <c r="C53" s="150">
        <f>C52/(24*60)</f>
        <v>1.1111111111111112E-2</v>
      </c>
      <c r="D53" s="150">
        <f>D52/(24*60*G4)</f>
        <v>0.11199494949494949</v>
      </c>
      <c r="E53" s="151">
        <f>E52/(G4*24)</f>
        <v>0.11199494949494949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90</v>
      </c>
      <c r="B56" s="198"/>
      <c r="C56" s="199"/>
      <c r="D56" s="199"/>
      <c r="E56" s="199"/>
      <c r="F56" s="200"/>
      <c r="G56" s="199"/>
      <c r="H56" s="201"/>
      <c r="I56" s="202" t="s">
        <v>91</v>
      </c>
      <c r="J56" s="203">
        <f>+D34+'21'!J56</f>
        <v>17682</v>
      </c>
      <c r="K56" s="204">
        <f>J56/(J40+J56/1000)/1000</f>
        <v>1.4947175151272316E-2</v>
      </c>
    </row>
    <row r="57" spans="1:13">
      <c r="A57" s="179"/>
      <c r="I57" s="202" t="s">
        <v>92</v>
      </c>
      <c r="J57" s="203">
        <f>+E34+'21'!J57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  <mergeCell ref="A43:B43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53:B53"/>
    <mergeCell ref="A47:B47"/>
    <mergeCell ref="A48:B48"/>
    <mergeCell ref="A49:B49"/>
    <mergeCell ref="A50:B50"/>
  </mergeCells>
  <phoneticPr fontId="31" type="noConversion"/>
  <printOptions horizontalCentered="1"/>
  <pageMargins left="0.74791666666666667" right="0.74791666666666667" top="0.1388888888888889" bottom="0.39027777777777778" header="0" footer="0"/>
  <pageSetup paperSize="9" scale="62" firstPageNumber="4294963191" orientation="landscape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O61"/>
  <sheetViews>
    <sheetView zoomScale="80" zoomScaleNormal="80" workbookViewId="0">
      <selection activeCell="A7" sqref="A7:B32"/>
    </sheetView>
  </sheetViews>
  <sheetFormatPr defaultColWidth="9.140625" defaultRowHeight="12.75"/>
  <cols>
    <col min="1" max="1" width="8" style="153" customWidth="1"/>
    <col min="2" max="2" width="7" style="153" bestFit="1" customWidth="1"/>
    <col min="3" max="3" width="14.85546875" style="153" bestFit="1" customWidth="1"/>
    <col min="4" max="4" width="12.5703125" style="153" bestFit="1" customWidth="1"/>
    <col min="5" max="5" width="13.85546875" style="153" bestFit="1" customWidth="1"/>
    <col min="6" max="6" width="12.7109375" style="114" bestFit="1" customWidth="1"/>
    <col min="7" max="7" width="11.42578125" style="153" bestFit="1" customWidth="1"/>
    <col min="8" max="8" width="64.85546875" style="153" customWidth="1"/>
    <col min="9" max="9" width="14.7109375" style="153" bestFit="1" customWidth="1"/>
    <col min="10" max="10" width="17.7109375" style="153" customWidth="1"/>
    <col min="11" max="11" width="12.5703125" style="153" bestFit="1" customWidth="1"/>
    <col min="12" max="12" width="11" style="153" customWidth="1"/>
    <col min="13" max="13" width="14.7109375" style="153" customWidth="1"/>
    <col min="14" max="16384" width="9.140625" style="153"/>
  </cols>
  <sheetData>
    <row r="1" spans="1:15" ht="15.75">
      <c r="A1" s="152"/>
    </row>
    <row r="2" spans="1:15" ht="15.75">
      <c r="A2" s="152" t="s">
        <v>175</v>
      </c>
    </row>
    <row r="3" spans="1:15" ht="15">
      <c r="A3" s="154"/>
    </row>
    <row r="4" spans="1:15" ht="20.25">
      <c r="A4" s="155" t="s">
        <v>4</v>
      </c>
      <c r="B4" s="156"/>
      <c r="F4" s="157" t="s">
        <v>31</v>
      </c>
      <c r="G4" s="158">
        <v>21</v>
      </c>
      <c r="H4" s="158" t="str">
        <f>+'1'!H4</f>
        <v>.12.25</v>
      </c>
    </row>
    <row r="5" spans="1:15" ht="13.5" thickBot="1">
      <c r="C5" s="159"/>
      <c r="D5" s="159"/>
    </row>
    <row r="6" spans="1:15" ht="26.25" thickBot="1">
      <c r="A6" s="160" t="s">
        <v>50</v>
      </c>
      <c r="B6" s="161" t="s">
        <v>10</v>
      </c>
      <c r="C6" s="161" t="s">
        <v>51</v>
      </c>
      <c r="D6" s="161" t="s">
        <v>52</v>
      </c>
      <c r="E6" s="162" t="s">
        <v>53</v>
      </c>
      <c r="F6" s="106" t="s">
        <v>54</v>
      </c>
      <c r="G6" s="161" t="s">
        <v>55</v>
      </c>
      <c r="H6" s="163" t="s">
        <v>56</v>
      </c>
      <c r="I6" s="164" t="s">
        <v>57</v>
      </c>
      <c r="J6" s="165" t="s">
        <v>10</v>
      </c>
      <c r="K6" s="166" t="s">
        <v>58</v>
      </c>
      <c r="L6" s="213" t="s">
        <v>143</v>
      </c>
      <c r="M6" s="167" t="s">
        <v>59</v>
      </c>
      <c r="N6" s="153">
        <f>419+394+333</f>
        <v>1146</v>
      </c>
    </row>
    <row r="7" spans="1:15" ht="13.5" customHeight="1" thickBot="1">
      <c r="A7" s="789" t="s">
        <v>413</v>
      </c>
      <c r="B7" s="218" t="s">
        <v>606</v>
      </c>
      <c r="C7" s="219">
        <v>20770</v>
      </c>
      <c r="D7" s="220">
        <v>750</v>
      </c>
      <c r="E7" s="221"/>
      <c r="F7" s="230"/>
      <c r="G7" s="231" t="s">
        <v>13</v>
      </c>
      <c r="H7" s="232" t="s">
        <v>395</v>
      </c>
      <c r="I7" s="792" t="s">
        <v>604</v>
      </c>
      <c r="J7" s="377" t="str">
        <f>+'20'!J7</f>
        <v>TW 38 RC BR</v>
      </c>
      <c r="K7" s="240"/>
      <c r="L7" s="244"/>
      <c r="M7" s="121">
        <f>+K7+'20'!M7+L7</f>
        <v>78513</v>
      </c>
    </row>
    <row r="8" spans="1:15" ht="13.5" thickBot="1">
      <c r="A8" s="790"/>
      <c r="B8" s="218"/>
      <c r="C8" s="219"/>
      <c r="D8" s="220"/>
      <c r="E8" s="222"/>
      <c r="F8" s="233">
        <v>5</v>
      </c>
      <c r="G8" s="234" t="s">
        <v>13</v>
      </c>
      <c r="H8" s="232" t="s">
        <v>393</v>
      </c>
      <c r="I8" s="793"/>
      <c r="J8" s="217" t="str">
        <f>+'20'!J8</f>
        <v>TW 36 RC BR</v>
      </c>
      <c r="K8" s="241"/>
      <c r="L8" s="241"/>
      <c r="M8" s="121">
        <f>+K8+'20'!M8+L8</f>
        <v>1530</v>
      </c>
      <c r="N8" s="153">
        <v>550</v>
      </c>
      <c r="O8" s="153">
        <f>+N8-N8*0.12</f>
        <v>484</v>
      </c>
    </row>
    <row r="9" spans="1:15" ht="13.5" thickBot="1">
      <c r="A9" s="790"/>
      <c r="B9" s="218"/>
      <c r="C9" s="219"/>
      <c r="D9" s="220"/>
      <c r="E9" s="223"/>
      <c r="F9" s="230">
        <v>5</v>
      </c>
      <c r="G9" s="234" t="s">
        <v>13</v>
      </c>
      <c r="H9" s="235" t="s">
        <v>226</v>
      </c>
      <c r="I9" s="793"/>
      <c r="J9" s="217" t="str">
        <f>+'20'!J9</f>
        <v>N 20 RC BR</v>
      </c>
      <c r="K9" s="241"/>
      <c r="L9" s="241"/>
      <c r="M9" s="121">
        <f>+K9+'20'!M9+L9</f>
        <v>74204</v>
      </c>
    </row>
    <row r="10" spans="1:15" ht="13.5" thickBot="1">
      <c r="A10" s="790"/>
      <c r="B10" s="218"/>
      <c r="C10" s="219"/>
      <c r="D10" s="220"/>
      <c r="E10" s="222"/>
      <c r="F10" s="230"/>
      <c r="G10" s="234"/>
      <c r="H10" s="235" t="s">
        <v>602</v>
      </c>
      <c r="I10" s="793"/>
      <c r="J10" s="217" t="str">
        <f>+'20'!J10</f>
        <v>TW 17 RC HW</v>
      </c>
      <c r="K10" s="241"/>
      <c r="L10" s="241"/>
      <c r="M10" s="121">
        <f>+K10+'20'!M10+L10</f>
        <v>99162</v>
      </c>
    </row>
    <row r="11" spans="1:15" ht="13.5" thickBot="1">
      <c r="A11" s="790"/>
      <c r="B11" s="218"/>
      <c r="C11" s="219"/>
      <c r="D11" s="220"/>
      <c r="E11" s="222"/>
      <c r="F11" s="230"/>
      <c r="G11" s="234"/>
      <c r="H11" s="235"/>
      <c r="I11" s="793"/>
      <c r="J11" s="217" t="str">
        <f>+'20'!J11</f>
        <v>N 15,5 RC HW</v>
      </c>
      <c r="K11" s="241"/>
      <c r="L11" s="241"/>
      <c r="M11" s="121">
        <f>+K11+'20'!M11+L11</f>
        <v>159490</v>
      </c>
    </row>
    <row r="12" spans="1:15" ht="13.5" thickBot="1">
      <c r="A12" s="790"/>
      <c r="B12" s="218"/>
      <c r="C12" s="219"/>
      <c r="D12" s="220"/>
      <c r="E12" s="222"/>
      <c r="F12" s="230"/>
      <c r="G12" s="234"/>
      <c r="H12" s="235"/>
      <c r="I12" s="793"/>
      <c r="J12" s="217" t="str">
        <f>+'20'!J12</f>
        <v>N 17 RC HW</v>
      </c>
      <c r="K12" s="241"/>
      <c r="L12" s="241"/>
      <c r="M12" s="121">
        <f>+K12+'20'!M12+L12</f>
        <v>6572</v>
      </c>
    </row>
    <row r="13" spans="1:15" ht="13.5" thickBot="1">
      <c r="A13" s="790"/>
      <c r="B13" s="218"/>
      <c r="C13" s="219"/>
      <c r="D13" s="219"/>
      <c r="E13" s="222"/>
      <c r="F13" s="230"/>
      <c r="G13" s="234"/>
      <c r="H13" s="235"/>
      <c r="I13" s="794"/>
      <c r="J13" s="217" t="str">
        <f>+'20'!J13</f>
        <v>N 16,5 RC HW</v>
      </c>
      <c r="K13" s="241"/>
      <c r="L13" s="241"/>
      <c r="M13" s="121">
        <f>+K13+'20'!M13+L13</f>
        <v>18880</v>
      </c>
    </row>
    <row r="14" spans="1:15" ht="13.5" thickBot="1">
      <c r="A14" s="791"/>
      <c r="B14" s="169" t="s">
        <v>3</v>
      </c>
      <c r="C14" s="103">
        <f>SUM(C7:C13)</f>
        <v>20770</v>
      </c>
      <c r="D14" s="115">
        <f>SUM(D7:D13)</f>
        <v>750</v>
      </c>
      <c r="E14" s="116">
        <f>SUM(E5:E13)</f>
        <v>0</v>
      </c>
      <c r="F14" s="106">
        <f>SUM(F6:F13)</f>
        <v>10</v>
      </c>
      <c r="G14" s="163"/>
      <c r="H14" s="170"/>
      <c r="I14" s="171"/>
      <c r="J14" s="217" t="str">
        <f>+'20'!J14</f>
        <v>N 20 RC HW</v>
      </c>
      <c r="K14" s="241"/>
      <c r="L14" s="241"/>
      <c r="M14" s="121">
        <f>+K14+'20'!M14+L14</f>
        <v>394199</v>
      </c>
    </row>
    <row r="15" spans="1:15" ht="13.5" customHeight="1" thickBot="1">
      <c r="A15" s="789" t="s">
        <v>414</v>
      </c>
      <c r="B15" s="169"/>
      <c r="C15" s="117">
        <f>C14/($C$23+$D$23+$E$23)</f>
        <v>0.90077196634573686</v>
      </c>
      <c r="D15" s="118">
        <f>D14/($C$23+$D$23+$E$23)</f>
        <v>3.2526671870934165E-2</v>
      </c>
      <c r="E15" s="119">
        <f>E14/($C$23+$D$23+$E$23)</f>
        <v>0</v>
      </c>
      <c r="F15" s="230"/>
      <c r="G15" s="231" t="s">
        <v>13</v>
      </c>
      <c r="H15" s="232" t="s">
        <v>395</v>
      </c>
      <c r="I15" s="792" t="s">
        <v>604</v>
      </c>
      <c r="J15" s="217" t="str">
        <f>+'20'!J15</f>
        <v>N 18 RC HW</v>
      </c>
      <c r="K15" s="241"/>
      <c r="L15" s="241"/>
      <c r="M15" s="121">
        <f>+K15+'20'!M15+L15</f>
        <v>50657</v>
      </c>
    </row>
    <row r="16" spans="1:15" ht="13.5" thickBot="1">
      <c r="A16" s="795"/>
      <c r="B16" s="218" t="s">
        <v>606</v>
      </c>
      <c r="C16" s="224">
        <v>23058</v>
      </c>
      <c r="D16" s="225"/>
      <c r="E16" s="226"/>
      <c r="F16" s="233"/>
      <c r="G16" s="234" t="s">
        <v>13</v>
      </c>
      <c r="H16" s="232" t="s">
        <v>424</v>
      </c>
      <c r="I16" s="793"/>
      <c r="J16" s="217" t="str">
        <f>+'20'!J16</f>
        <v>TW 17,5 RC HW</v>
      </c>
      <c r="K16" s="241"/>
      <c r="L16" s="231"/>
      <c r="M16" s="121">
        <f>+K16+'20'!M16+L16</f>
        <v>11537</v>
      </c>
    </row>
    <row r="17" spans="1:14" ht="13.5" thickBot="1">
      <c r="A17" s="795"/>
      <c r="B17" s="218"/>
      <c r="C17" s="219"/>
      <c r="D17" s="220"/>
      <c r="E17" s="227"/>
      <c r="F17" s="230">
        <v>3</v>
      </c>
      <c r="G17" s="234" t="s">
        <v>13</v>
      </c>
      <c r="H17" s="235" t="s">
        <v>226</v>
      </c>
      <c r="I17" s="793"/>
      <c r="J17" s="217" t="str">
        <f>+'20'!J17</f>
        <v>TW 22 RC HW</v>
      </c>
      <c r="K17" s="241"/>
      <c r="L17" s="231"/>
      <c r="M17" s="121">
        <f>+K17+'20'!M17+L17</f>
        <v>100201</v>
      </c>
    </row>
    <row r="18" spans="1:14" ht="13.5" thickBot="1">
      <c r="A18" s="795"/>
      <c r="B18" s="218"/>
      <c r="C18" s="219"/>
      <c r="D18" s="220"/>
      <c r="E18" s="227"/>
      <c r="F18" s="230"/>
      <c r="G18" s="234"/>
      <c r="H18" s="235" t="s">
        <v>602</v>
      </c>
      <c r="I18" s="793"/>
      <c r="J18" s="217" t="str">
        <f>+'20'!J18</f>
        <v>TW 31,5 RC HW</v>
      </c>
      <c r="K18" s="241">
        <f>+C34</f>
        <v>67567</v>
      </c>
      <c r="L18" s="241"/>
      <c r="M18" s="121">
        <f>+K18+'20'!M18+L18</f>
        <v>97584</v>
      </c>
    </row>
    <row r="19" spans="1:14" ht="13.5" thickBot="1">
      <c r="A19" s="795"/>
      <c r="B19" s="218"/>
      <c r="C19" s="219"/>
      <c r="D19" s="220"/>
      <c r="E19" s="227"/>
      <c r="F19" s="237"/>
      <c r="G19" s="234"/>
      <c r="H19" s="235"/>
      <c r="I19" s="793"/>
      <c r="J19" s="217">
        <f>+'20'!J19</f>
        <v>0</v>
      </c>
      <c r="K19" s="241"/>
      <c r="L19" s="241"/>
      <c r="M19" s="121">
        <f>+K19+'20'!M19+L19</f>
        <v>0</v>
      </c>
    </row>
    <row r="20" spans="1:14" ht="13.5" thickBot="1">
      <c r="A20" s="795"/>
      <c r="B20" s="218"/>
      <c r="C20" s="219"/>
      <c r="D20" s="220"/>
      <c r="E20" s="227"/>
      <c r="F20" s="230"/>
      <c r="G20" s="234"/>
      <c r="H20" s="235"/>
      <c r="I20" s="793"/>
      <c r="J20" s="217">
        <f>+'20'!J20</f>
        <v>0</v>
      </c>
      <c r="K20" s="241"/>
      <c r="L20" s="242"/>
      <c r="M20" s="121">
        <f>+K20+'20'!M20+L20</f>
        <v>0</v>
      </c>
    </row>
    <row r="21" spans="1:14" ht="13.5" thickBot="1">
      <c r="A21" s="795"/>
      <c r="B21" s="218"/>
      <c r="C21" s="219"/>
      <c r="D21" s="220"/>
      <c r="E21" s="227"/>
      <c r="F21" s="233"/>
      <c r="G21" s="234"/>
      <c r="H21" s="235"/>
      <c r="I21" s="793"/>
      <c r="J21" s="217">
        <f>+'20'!J21</f>
        <v>0</v>
      </c>
      <c r="K21" s="241"/>
      <c r="L21" s="241"/>
      <c r="M21" s="121">
        <f>+K21+'20'!M21+L21</f>
        <v>0</v>
      </c>
    </row>
    <row r="22" spans="1:14" ht="13.5" thickBot="1">
      <c r="A22" s="795"/>
      <c r="B22" s="218"/>
      <c r="C22" s="219"/>
      <c r="D22" s="220"/>
      <c r="E22" s="227"/>
      <c r="F22" s="238"/>
      <c r="G22" s="234"/>
      <c r="H22" s="235"/>
      <c r="I22" s="794"/>
      <c r="J22" s="217">
        <f>+'20'!J22</f>
        <v>0</v>
      </c>
      <c r="K22" s="241"/>
      <c r="L22" s="241"/>
      <c r="M22" s="121">
        <f>+K22+'20'!M22+L22</f>
        <v>0</v>
      </c>
    </row>
    <row r="23" spans="1:14" ht="13.5" thickBot="1">
      <c r="A23" s="796"/>
      <c r="B23" s="169" t="s">
        <v>3</v>
      </c>
      <c r="C23" s="104">
        <f>SUM(C16:C22)</f>
        <v>23058</v>
      </c>
      <c r="D23" s="115">
        <f>SUM(D16:D22)</f>
        <v>0</v>
      </c>
      <c r="E23" s="116">
        <f>SUM(E18:E22)</f>
        <v>0</v>
      </c>
      <c r="F23" s="106">
        <f>SUM(F15:F22)</f>
        <v>3</v>
      </c>
      <c r="G23" s="163"/>
      <c r="H23" s="170"/>
      <c r="I23" s="172"/>
      <c r="J23" s="217">
        <f>+'20'!J23</f>
        <v>0</v>
      </c>
      <c r="K23" s="241"/>
      <c r="L23" s="241"/>
      <c r="M23" s="121">
        <f>+K23+'20'!M23+L23</f>
        <v>0</v>
      </c>
    </row>
    <row r="24" spans="1:14" ht="13.5" customHeight="1" thickBot="1">
      <c r="A24" s="789" t="s">
        <v>486</v>
      </c>
      <c r="B24" s="173"/>
      <c r="C24" s="117">
        <f>C23/($C$23+$D$23+$E$23)</f>
        <v>1</v>
      </c>
      <c r="D24" s="118">
        <f>D23/($C$23+$D$23+$E$23)</f>
        <v>0</v>
      </c>
      <c r="E24" s="119">
        <f>E23/($C$23+$D$23+$E$23)</f>
        <v>0</v>
      </c>
      <c r="F24" s="230">
        <v>4</v>
      </c>
      <c r="G24" s="231" t="s">
        <v>13</v>
      </c>
      <c r="H24" s="232" t="s">
        <v>392</v>
      </c>
      <c r="I24" s="792" t="s">
        <v>604</v>
      </c>
      <c r="J24" s="217">
        <f>+'20'!J24</f>
        <v>0</v>
      </c>
      <c r="K24" s="241"/>
      <c r="L24" s="241"/>
      <c r="M24" s="121">
        <f>+K24+'20'!M24+L24</f>
        <v>0</v>
      </c>
    </row>
    <row r="25" spans="1:14" ht="13.5" thickBot="1">
      <c r="A25" s="795"/>
      <c r="B25" s="218" t="s">
        <v>606</v>
      </c>
      <c r="C25" s="228">
        <v>23739</v>
      </c>
      <c r="D25" s="220">
        <v>700</v>
      </c>
      <c r="E25" s="227"/>
      <c r="F25" s="233">
        <v>15</v>
      </c>
      <c r="G25" s="234" t="s">
        <v>13</v>
      </c>
      <c r="H25" s="232" t="s">
        <v>394</v>
      </c>
      <c r="I25" s="793"/>
      <c r="J25" s="217">
        <f>+'20'!J25</f>
        <v>0</v>
      </c>
      <c r="K25" s="241"/>
      <c r="L25" s="241"/>
      <c r="M25" s="121">
        <f>+K25+'20'!M25+L25</f>
        <v>0</v>
      </c>
    </row>
    <row r="26" spans="1:14" ht="13.5" thickBot="1">
      <c r="A26" s="795"/>
      <c r="B26" s="218"/>
      <c r="C26" s="228"/>
      <c r="D26" s="220"/>
      <c r="E26" s="229"/>
      <c r="F26" s="230">
        <v>5</v>
      </c>
      <c r="G26" s="234" t="s">
        <v>13</v>
      </c>
      <c r="H26" s="235" t="s">
        <v>226</v>
      </c>
      <c r="I26" s="793"/>
      <c r="J26" s="217">
        <f>+'20'!J26</f>
        <v>0</v>
      </c>
      <c r="K26" s="241"/>
      <c r="L26" s="241"/>
      <c r="M26" s="121">
        <f>+K26+'20'!M26+L26</f>
        <v>0</v>
      </c>
    </row>
    <row r="27" spans="1:14" ht="13.5" thickBot="1">
      <c r="A27" s="795"/>
      <c r="B27" s="218"/>
      <c r="C27" s="219"/>
      <c r="D27" s="220"/>
      <c r="E27" s="227"/>
      <c r="F27" s="230"/>
      <c r="G27" s="234"/>
      <c r="H27" s="235" t="s">
        <v>602</v>
      </c>
      <c r="I27" s="793"/>
      <c r="J27" s="217">
        <f>+'20'!J27</f>
        <v>0</v>
      </c>
      <c r="K27" s="241"/>
      <c r="L27" s="241"/>
      <c r="M27" s="121">
        <f>+K27+'20'!M27+L27</f>
        <v>0</v>
      </c>
    </row>
    <row r="28" spans="1:14" ht="13.5" thickBot="1">
      <c r="A28" s="795"/>
      <c r="B28" s="218"/>
      <c r="C28" s="219"/>
      <c r="D28" s="220"/>
      <c r="E28" s="227"/>
      <c r="F28" s="233"/>
      <c r="G28" s="234"/>
      <c r="H28" s="235"/>
      <c r="I28" s="793"/>
      <c r="J28" s="217">
        <f>+'20'!J28</f>
        <v>0</v>
      </c>
      <c r="K28" s="241"/>
      <c r="L28" s="241"/>
      <c r="M28" s="121">
        <f>+K28+'20'!M28+L28</f>
        <v>0</v>
      </c>
    </row>
    <row r="29" spans="1:14" ht="13.5" thickBot="1">
      <c r="A29" s="795"/>
      <c r="B29" s="218"/>
      <c r="C29" s="219"/>
      <c r="D29" s="220"/>
      <c r="E29" s="227"/>
      <c r="F29" s="238"/>
      <c r="G29" s="234"/>
      <c r="H29" s="235"/>
      <c r="I29" s="793"/>
      <c r="J29" s="217">
        <f>+'20'!J29</f>
        <v>0</v>
      </c>
      <c r="K29" s="241"/>
      <c r="L29" s="241"/>
      <c r="M29" s="121">
        <f>+K29+'20'!M29+L29</f>
        <v>0</v>
      </c>
    </row>
    <row r="30" spans="1:14" ht="13.5" thickBot="1">
      <c r="A30" s="795"/>
      <c r="B30" s="218"/>
      <c r="C30" s="228"/>
      <c r="D30" s="220"/>
      <c r="E30" s="227"/>
      <c r="F30" s="238"/>
      <c r="G30" s="234"/>
      <c r="H30" s="235"/>
      <c r="I30" s="793"/>
      <c r="J30" s="217">
        <f>+'20'!J30</f>
        <v>0</v>
      </c>
      <c r="K30" s="241"/>
      <c r="L30" s="241"/>
      <c r="M30" s="121">
        <f>+K30+'20'!M30+L30</f>
        <v>0</v>
      </c>
      <c r="N30" s="159"/>
    </row>
    <row r="31" spans="1:14" ht="13.5" thickBot="1">
      <c r="A31" s="795"/>
      <c r="B31" s="218"/>
      <c r="C31" s="228"/>
      <c r="D31" s="220"/>
      <c r="E31" s="227"/>
      <c r="F31" s="238"/>
      <c r="G31" s="239"/>
      <c r="H31" s="236"/>
      <c r="I31" s="794"/>
      <c r="J31" s="217">
        <f>+'20'!J31</f>
        <v>0</v>
      </c>
      <c r="K31" s="241"/>
      <c r="L31" s="241"/>
      <c r="M31" s="121">
        <f>+K31+'20'!M31+L31</f>
        <v>0</v>
      </c>
    </row>
    <row r="32" spans="1:14" ht="13.5" thickBot="1">
      <c r="A32" s="796"/>
      <c r="B32" s="169" t="s">
        <v>3</v>
      </c>
      <c r="C32" s="103">
        <f>SUM(C25:C31)</f>
        <v>23739</v>
      </c>
      <c r="D32" s="104">
        <f>SUM(D25:D31)</f>
        <v>700</v>
      </c>
      <c r="E32" s="105">
        <f>SUM(E25:E31)</f>
        <v>0</v>
      </c>
      <c r="F32" s="106">
        <f>SUM(F24:F31)</f>
        <v>24</v>
      </c>
      <c r="G32" s="174"/>
      <c r="H32" s="175"/>
      <c r="I32" s="172"/>
      <c r="J32" s="217">
        <f>+'20'!J32</f>
        <v>0</v>
      </c>
      <c r="K32" s="243"/>
      <c r="L32" s="245"/>
      <c r="M32" s="121">
        <f>+K32+'20'!M32+L32</f>
        <v>0</v>
      </c>
    </row>
    <row r="33" spans="1:14" ht="13.5" thickBot="1">
      <c r="A33" s="176"/>
      <c r="B33" s="177"/>
      <c r="C33" s="107">
        <f>C32/($C$32+$D$32+$E$32)</f>
        <v>0.97135725684356966</v>
      </c>
      <c r="D33" s="108">
        <f>D32/($C$32+$D$32+$E$32)</f>
        <v>2.8642743156430298E-2</v>
      </c>
      <c r="E33" s="109">
        <f>E32/($C$32+$D$32+$E$32)</f>
        <v>0</v>
      </c>
      <c r="F33" s="110"/>
      <c r="G33" s="178"/>
      <c r="H33" s="179"/>
      <c r="I33" s="180"/>
      <c r="J33" s="125"/>
      <c r="K33" s="126"/>
      <c r="L33" s="216"/>
      <c r="M33" s="123"/>
    </row>
    <row r="34" spans="1:14" ht="13.5" thickBot="1">
      <c r="A34" s="797" t="s">
        <v>60</v>
      </c>
      <c r="B34" s="798"/>
      <c r="C34" s="111">
        <f>C14+C23+C32</f>
        <v>67567</v>
      </c>
      <c r="D34" s="111">
        <f>D14+D23+D32</f>
        <v>1450</v>
      </c>
      <c r="E34" s="111">
        <f>E14+E23+E32</f>
        <v>0</v>
      </c>
      <c r="F34" s="112">
        <f>F14+F23+F32</f>
        <v>37</v>
      </c>
      <c r="H34" s="181"/>
      <c r="I34" s="181"/>
      <c r="J34" s="127" t="s">
        <v>29</v>
      </c>
      <c r="K34" s="128">
        <f>SUM(K7:K32)</f>
        <v>67567</v>
      </c>
      <c r="L34" s="215">
        <f>SUM(L7:L32)</f>
        <v>0</v>
      </c>
      <c r="M34" s="124">
        <f>SUM(M7:M32)</f>
        <v>1092529</v>
      </c>
      <c r="N34" s="159"/>
    </row>
    <row r="35" spans="1:14" ht="13.5" thickBot="1">
      <c r="A35" s="182"/>
      <c r="B35" s="183"/>
      <c r="C35" s="108">
        <f>C34/($C$34+$D$34+$E$34)</f>
        <v>0.978990683454801</v>
      </c>
      <c r="D35" s="108">
        <f>D34/($C$34+$D$34+$E$34)</f>
        <v>2.1009316545199008E-2</v>
      </c>
      <c r="E35" s="113">
        <f>E34/($C$34+$D$34+$E$34)</f>
        <v>0</v>
      </c>
      <c r="K35" s="159"/>
      <c r="L35" s="788" t="s">
        <v>186</v>
      </c>
      <c r="M35" s="788"/>
    </row>
    <row r="36" spans="1:14" ht="13.5" thickBot="1">
      <c r="A36" s="181"/>
      <c r="B36" s="181"/>
      <c r="C36" s="159"/>
      <c r="D36" s="159"/>
      <c r="E36" s="159"/>
      <c r="G36" s="159"/>
      <c r="H36" s="184"/>
      <c r="I36" s="166" t="s">
        <v>42</v>
      </c>
      <c r="J36" s="166" t="s">
        <v>43</v>
      </c>
      <c r="K36" s="185"/>
      <c r="L36" s="166" t="s">
        <v>42</v>
      </c>
      <c r="M36" s="166" t="s">
        <v>43</v>
      </c>
    </row>
    <row r="37" spans="1:14" ht="17.45" customHeight="1" thickBot="1">
      <c r="A37" s="801" t="s">
        <v>61</v>
      </c>
      <c r="B37" s="802"/>
      <c r="C37" s="166" t="s">
        <v>62</v>
      </c>
      <c r="D37" s="186" t="s">
        <v>63</v>
      </c>
      <c r="E37" s="187" t="s">
        <v>64</v>
      </c>
      <c r="F37" s="372"/>
      <c r="G37" s="374"/>
      <c r="H37" s="189" t="s">
        <v>65</v>
      </c>
      <c r="I37" s="246">
        <f>(31.5*1440)/1440*G42*3.4*1440/1000000</f>
        <v>74.644416000000007</v>
      </c>
      <c r="J37" s="129">
        <f>+I37+'20'!J37</f>
        <v>1249.3224163044977</v>
      </c>
      <c r="K37" s="130" t="s">
        <v>66</v>
      </c>
      <c r="L37" s="437"/>
      <c r="M37" s="438"/>
      <c r="N37" s="560"/>
    </row>
    <row r="38" spans="1:14" ht="17.45" customHeight="1">
      <c r="A38" s="803" t="s">
        <v>13</v>
      </c>
      <c r="B38" s="804"/>
      <c r="C38" s="168">
        <f>SUMIF($G$7:$G$31,"Process",$F$7:$F$31)</f>
        <v>37</v>
      </c>
      <c r="D38" s="122">
        <f>+C38+'20'!D38</f>
        <v>972</v>
      </c>
      <c r="E38" s="147">
        <f t="shared" ref="E38:E51" si="0">D38/60</f>
        <v>16.2</v>
      </c>
      <c r="F38" s="372">
        <v>550</v>
      </c>
      <c r="G38" s="372">
        <f>+F38-F38*0.12</f>
        <v>484</v>
      </c>
      <c r="H38" s="190" t="s">
        <v>67</v>
      </c>
      <c r="I38" s="559">
        <f>21.66+23.857+22.661</f>
        <v>68.177999999999997</v>
      </c>
      <c r="J38" s="131">
        <f>+I38+'20'!J38</f>
        <v>1128.674</v>
      </c>
      <c r="K38" s="132" t="s">
        <v>66</v>
      </c>
      <c r="L38" s="439"/>
      <c r="M38" s="440"/>
    </row>
    <row r="39" spans="1:14" ht="17.45" customHeight="1">
      <c r="A39" s="799" t="s">
        <v>14</v>
      </c>
      <c r="B39" s="800"/>
      <c r="C39" s="168">
        <f>SUMIF($G$7:$G$31,"Cleaning",$F$7:$F$31)</f>
        <v>0</v>
      </c>
      <c r="D39" s="122">
        <f>+C39+'20'!D39</f>
        <v>0</v>
      </c>
      <c r="E39" s="147">
        <f t="shared" si="0"/>
        <v>0</v>
      </c>
      <c r="F39" s="372">
        <v>550</v>
      </c>
      <c r="G39" s="372">
        <f>+F39-F39*0.12</f>
        <v>484</v>
      </c>
      <c r="H39" s="190" t="s">
        <v>68</v>
      </c>
      <c r="I39" s="146"/>
      <c r="J39" s="133">
        <f>J37/G4</f>
        <v>59.491543633547508</v>
      </c>
      <c r="K39" s="134" t="s">
        <v>66</v>
      </c>
      <c r="L39" s="439"/>
      <c r="M39" s="440"/>
    </row>
    <row r="40" spans="1:14" ht="17.45" customHeight="1">
      <c r="A40" s="799" t="s">
        <v>69</v>
      </c>
      <c r="B40" s="800"/>
      <c r="C40" s="168">
        <f>SUMIF($G$7:$G$31,"Mechanical",$F$7:$F$31)</f>
        <v>0</v>
      </c>
      <c r="D40" s="122">
        <f>+C40+'20'!D40</f>
        <v>700</v>
      </c>
      <c r="E40" s="147">
        <f t="shared" si="0"/>
        <v>11.666666666666666</v>
      </c>
      <c r="F40" s="372">
        <v>550</v>
      </c>
      <c r="G40" s="372">
        <f>+F40-F40*0.12</f>
        <v>484</v>
      </c>
      <c r="H40" s="190" t="s">
        <v>70</v>
      </c>
      <c r="I40" s="122">
        <f>(K34+L34)/1000</f>
        <v>67.566999999999993</v>
      </c>
      <c r="J40" s="135">
        <f>+I40+'20'!J40</f>
        <v>1092.5289999999998</v>
      </c>
      <c r="K40" s="134" t="s">
        <v>66</v>
      </c>
      <c r="L40" s="439"/>
      <c r="M40" s="440"/>
    </row>
    <row r="41" spans="1:14" ht="17.45" customHeight="1">
      <c r="A41" s="799" t="s">
        <v>71</v>
      </c>
      <c r="B41" s="800"/>
      <c r="C41" s="168">
        <f>SUMIF($G$7:$G$31,"Electrical",$F$7:$F$31)</f>
        <v>0</v>
      </c>
      <c r="D41" s="122">
        <f>+C41+'20'!D41</f>
        <v>315</v>
      </c>
      <c r="E41" s="147">
        <f t="shared" si="0"/>
        <v>5.25</v>
      </c>
      <c r="F41" s="372"/>
      <c r="G41" s="372"/>
      <c r="H41" s="190" t="s">
        <v>72</v>
      </c>
      <c r="I41" s="146"/>
      <c r="J41" s="133">
        <f>J40/G4</f>
        <v>52.025190476190467</v>
      </c>
      <c r="K41" s="134" t="s">
        <v>66</v>
      </c>
      <c r="L41" s="439"/>
      <c r="M41" s="440"/>
    </row>
    <row r="42" spans="1:14" ht="17.45" customHeight="1">
      <c r="A42" s="799" t="s">
        <v>17</v>
      </c>
      <c r="B42" s="800"/>
      <c r="C42" s="168">
        <f>SUMIF($G$7:$G$31,"Instrument",$F$7:$F$31)</f>
        <v>0</v>
      </c>
      <c r="D42" s="122">
        <f>+C42+'20'!D42</f>
        <v>0</v>
      </c>
      <c r="E42" s="147">
        <f t="shared" si="0"/>
        <v>0</v>
      </c>
      <c r="F42" s="372">
        <f>+(F38*480+F39*480+F40*480)/1440</f>
        <v>550</v>
      </c>
      <c r="G42" s="372">
        <f>+(G38*480+G39*480+G40*480)/1440</f>
        <v>484</v>
      </c>
      <c r="H42" s="190" t="s">
        <v>73</v>
      </c>
      <c r="I42" s="248" t="s">
        <v>604</v>
      </c>
      <c r="J42" s="136"/>
      <c r="K42" s="134" t="s">
        <v>74</v>
      </c>
      <c r="L42" s="439"/>
      <c r="M42" s="440"/>
    </row>
    <row r="43" spans="1:14" ht="17.45" customHeight="1">
      <c r="A43" s="799" t="s">
        <v>75</v>
      </c>
      <c r="B43" s="800"/>
      <c r="C43" s="168">
        <f>SUMIF($G$7:$G$31,"Water",$F$7:$F$31)</f>
        <v>0</v>
      </c>
      <c r="D43" s="122">
        <f>+C43+'20'!D43</f>
        <v>0</v>
      </c>
      <c r="E43" s="147">
        <f t="shared" si="0"/>
        <v>0</v>
      </c>
      <c r="F43" s="372"/>
      <c r="G43" s="373"/>
      <c r="H43" s="191" t="s">
        <v>76</v>
      </c>
      <c r="I43" s="122">
        <f>+Report1!AH29</f>
        <v>124.23899999999999</v>
      </c>
      <c r="J43" s="137">
        <f>+I43+'20'!J43</f>
        <v>2437.9909999999995</v>
      </c>
      <c r="K43" s="134" t="s">
        <v>66</v>
      </c>
      <c r="L43" s="441">
        <f>+Report1!AN29</f>
        <v>12</v>
      </c>
      <c r="M43" s="442">
        <f>+L43+'20'!M43</f>
        <v>228.50000000000003</v>
      </c>
    </row>
    <row r="44" spans="1:14" ht="17.45" customHeight="1">
      <c r="A44" s="799" t="s">
        <v>18</v>
      </c>
      <c r="B44" s="800"/>
      <c r="C44" s="168">
        <f>SUMIF($G$7:$G$31,"PLN",$F$7:$F$31)</f>
        <v>0</v>
      </c>
      <c r="D44" s="122">
        <f>+C44+'20'!D44</f>
        <v>105</v>
      </c>
      <c r="E44" s="147">
        <f t="shared" si="0"/>
        <v>1.75</v>
      </c>
      <c r="F44" s="372"/>
      <c r="G44" s="373"/>
      <c r="H44" s="191" t="s">
        <v>77</v>
      </c>
      <c r="I44" s="122">
        <f>I43/I38</f>
        <v>1.8222740473466514</v>
      </c>
      <c r="J44" s="138">
        <f>J43/J38</f>
        <v>2.1600488715076271</v>
      </c>
      <c r="K44" s="134" t="s">
        <v>66</v>
      </c>
      <c r="L44" s="443">
        <f>+L43/I38</f>
        <v>0.17600985655196691</v>
      </c>
      <c r="M44" s="444">
        <f>+M43/J38</f>
        <v>0.20244995454843473</v>
      </c>
    </row>
    <row r="45" spans="1:14" ht="17.45" customHeight="1">
      <c r="A45" s="799" t="s">
        <v>19</v>
      </c>
      <c r="B45" s="800"/>
      <c r="C45" s="168">
        <f>SUMIF($G$7:$G$31,"Boiler",$F$7:$F$31)</f>
        <v>0</v>
      </c>
      <c r="D45" s="122">
        <f>+C45+'20'!D45</f>
        <v>0</v>
      </c>
      <c r="E45" s="147">
        <f t="shared" si="0"/>
        <v>0</v>
      </c>
      <c r="F45" s="372"/>
      <c r="G45" s="375"/>
      <c r="H45" s="191" t="s">
        <v>78</v>
      </c>
      <c r="I45" s="122">
        <f>I43/I40</f>
        <v>1.8387526455222225</v>
      </c>
      <c r="J45" s="138">
        <f>J43/J40</f>
        <v>2.2315114747526152</v>
      </c>
      <c r="K45" s="134" t="s">
        <v>66</v>
      </c>
      <c r="L45" s="443">
        <f>+L43/I40</f>
        <v>0.17760149185253157</v>
      </c>
      <c r="M45" s="444">
        <f>+M43/J40</f>
        <v>0.20914776632931489</v>
      </c>
    </row>
    <row r="46" spans="1:14" ht="17.45" customHeight="1">
      <c r="A46" s="799" t="s">
        <v>79</v>
      </c>
      <c r="B46" s="800"/>
      <c r="C46" s="168">
        <f>SUMIF($G$7:$G$31,"Gas",$F$7:$F$31)</f>
        <v>0</v>
      </c>
      <c r="D46" s="122">
        <f>+C46+'20'!D46</f>
        <v>0</v>
      </c>
      <c r="E46" s="147">
        <f t="shared" si="0"/>
        <v>0</v>
      </c>
      <c r="F46" s="372"/>
      <c r="G46" s="373"/>
      <c r="H46" s="191" t="s">
        <v>80</v>
      </c>
      <c r="I46" s="144">
        <f>+SUMIF(Listrik!AC28,"&gt;0")</f>
        <v>35244.770000000615</v>
      </c>
      <c r="J46" s="139">
        <f>+I46+'20'!J46</f>
        <v>709828.22000000079</v>
      </c>
      <c r="K46" s="134" t="s">
        <v>81</v>
      </c>
      <c r="L46" s="443">
        <f>+Listrik!AF28</f>
        <v>7027.8</v>
      </c>
      <c r="M46" s="445">
        <f>+L46+'20'!M46</f>
        <v>129362.8</v>
      </c>
    </row>
    <row r="47" spans="1:14" ht="17.45" customHeight="1">
      <c r="A47" s="799" t="s">
        <v>82</v>
      </c>
      <c r="B47" s="800"/>
      <c r="C47" s="168">
        <f>SUMIF($G$7:$G$31,"Gas",$F$7:$F$31)</f>
        <v>0</v>
      </c>
      <c r="D47" s="122">
        <f>+C47+'20'!D47</f>
        <v>0</v>
      </c>
      <c r="E47" s="147">
        <f t="shared" si="0"/>
        <v>0</v>
      </c>
      <c r="F47" s="372"/>
      <c r="G47" s="373"/>
      <c r="H47" s="191" t="s">
        <v>83</v>
      </c>
      <c r="I47" s="122">
        <f>I46/I38</f>
        <v>516.95224265893125</v>
      </c>
      <c r="J47" s="139">
        <f>J46/J38</f>
        <v>628.90455525687742</v>
      </c>
      <c r="K47" s="134" t="s">
        <v>25</v>
      </c>
      <c r="L47" s="443">
        <f>+L46/I38</f>
        <v>103.08017248965943</v>
      </c>
      <c r="M47" s="444">
        <f>+M46/J38</f>
        <v>114.61484892892014</v>
      </c>
    </row>
    <row r="48" spans="1:14" ht="17.45" customHeight="1">
      <c r="A48" s="799" t="s">
        <v>15</v>
      </c>
      <c r="B48" s="800"/>
      <c r="C48" s="168">
        <f>SUMIF($G$7:$G$31,"Start Up",$F$7:$F$31)</f>
        <v>0</v>
      </c>
      <c r="D48" s="122">
        <f>+C48+'20'!D48</f>
        <v>0</v>
      </c>
      <c r="E48" s="147">
        <f t="shared" si="0"/>
        <v>0</v>
      </c>
      <c r="F48" s="372"/>
      <c r="G48" s="373"/>
      <c r="H48" s="191" t="s">
        <v>84</v>
      </c>
      <c r="I48" s="122">
        <f>I46/I40</f>
        <v>521.62697766662154</v>
      </c>
      <c r="J48" s="139">
        <f>J46/J40</f>
        <v>649.71110149021297</v>
      </c>
      <c r="K48" s="134" t="s">
        <v>25</v>
      </c>
      <c r="L48" s="443">
        <f>+L46/I38</f>
        <v>103.08017248965943</v>
      </c>
      <c r="M48" s="444">
        <f>+M46/J40</f>
        <v>118.40674252125118</v>
      </c>
    </row>
    <row r="49" spans="1:13" ht="17.45" customHeight="1">
      <c r="A49" s="809" t="s">
        <v>21</v>
      </c>
      <c r="B49" s="800"/>
      <c r="C49" s="168">
        <f>SUMIF($G$7:$G$31,"Others",$F$7:$F$31)</f>
        <v>0</v>
      </c>
      <c r="D49" s="122">
        <f>+C49+'20'!D49</f>
        <v>1440</v>
      </c>
      <c r="E49" s="147">
        <f t="shared" si="0"/>
        <v>24</v>
      </c>
      <c r="F49" s="188"/>
      <c r="H49" s="191" t="s">
        <v>85</v>
      </c>
      <c r="I49" s="122">
        <f>+Report1!AB29</f>
        <v>0</v>
      </c>
      <c r="J49" s="139">
        <f>+I49+'20'!J49</f>
        <v>0</v>
      </c>
      <c r="K49" s="134" t="s">
        <v>86</v>
      </c>
      <c r="L49" s="439"/>
      <c r="M49" s="440"/>
    </row>
    <row r="50" spans="1:13" ht="17.45" customHeight="1">
      <c r="A50" s="799" t="s">
        <v>20</v>
      </c>
      <c r="B50" s="800"/>
      <c r="C50" s="168">
        <f>SUMIF($G$7:$G$31,"Steam",$F$7:$F$31)</f>
        <v>0</v>
      </c>
      <c r="D50" s="122">
        <f>+C50+'20'!D50</f>
        <v>0</v>
      </c>
      <c r="E50" s="147">
        <f t="shared" si="0"/>
        <v>0</v>
      </c>
      <c r="F50" s="188"/>
      <c r="H50" s="191" t="s">
        <v>87</v>
      </c>
      <c r="I50" s="144">
        <f>I49/I38</f>
        <v>0</v>
      </c>
      <c r="J50" s="137">
        <f>J49/J38</f>
        <v>0</v>
      </c>
      <c r="K50" s="134" t="s">
        <v>86</v>
      </c>
      <c r="L50" s="439"/>
      <c r="M50" s="440"/>
    </row>
    <row r="51" spans="1:13" ht="17.45" customHeight="1" thickBot="1">
      <c r="A51" s="805" t="s">
        <v>88</v>
      </c>
      <c r="B51" s="806"/>
      <c r="C51" s="168">
        <f>SUMIF($G$7:$G$31,"Planned shut",$F$7:$F$31)</f>
        <v>0</v>
      </c>
      <c r="D51" s="122">
        <f>+C51+'20'!D51</f>
        <v>0</v>
      </c>
      <c r="E51" s="147">
        <f t="shared" si="0"/>
        <v>0</v>
      </c>
      <c r="F51" s="188"/>
      <c r="H51" s="193" t="s">
        <v>89</v>
      </c>
      <c r="I51" s="145">
        <f>I49/I40</f>
        <v>0</v>
      </c>
      <c r="J51" s="140">
        <f>J49/J40</f>
        <v>0</v>
      </c>
      <c r="K51" s="141" t="s">
        <v>86</v>
      </c>
      <c r="L51" s="439"/>
      <c r="M51" s="440"/>
    </row>
    <row r="52" spans="1:13" ht="13.5" thickBot="1">
      <c r="A52" s="803" t="s">
        <v>29</v>
      </c>
      <c r="B52" s="804"/>
      <c r="C52" s="148">
        <f>SUM(C38:C51)</f>
        <v>37</v>
      </c>
      <c r="D52" s="148">
        <f>SUM(D38:D51)</f>
        <v>3532</v>
      </c>
      <c r="E52" s="149">
        <f>SUM(E38:E51)</f>
        <v>58.866666666666667</v>
      </c>
      <c r="F52" s="188"/>
      <c r="H52" s="194"/>
      <c r="I52" s="195"/>
      <c r="J52" s="142"/>
      <c r="K52" s="143"/>
      <c r="L52" s="446"/>
      <c r="M52" s="447"/>
    </row>
    <row r="53" spans="1:13" ht="13.5" thickBot="1">
      <c r="A53" s="807"/>
      <c r="B53" s="808"/>
      <c r="C53" s="150">
        <f>C52/(24*60)</f>
        <v>2.5694444444444443E-2</v>
      </c>
      <c r="D53" s="150">
        <f>D52/(24*60*G4)</f>
        <v>0.1167989417989418</v>
      </c>
      <c r="E53" s="151">
        <f>E52/(G4*24)</f>
        <v>0.1167989417989418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90</v>
      </c>
      <c r="B56" s="198"/>
      <c r="C56" s="199"/>
      <c r="D56" s="199"/>
      <c r="E56" s="199"/>
      <c r="F56" s="200"/>
      <c r="G56" s="199"/>
      <c r="H56" s="201"/>
      <c r="I56" s="202" t="s">
        <v>91</v>
      </c>
      <c r="J56" s="203">
        <f>+D34+'20'!J56</f>
        <v>17082</v>
      </c>
      <c r="K56" s="204">
        <f>J56/(J40+J56/1000)/1000</f>
        <v>1.5394584228166449E-2</v>
      </c>
    </row>
    <row r="57" spans="1:13">
      <c r="A57" s="179"/>
      <c r="I57" s="202" t="s">
        <v>92</v>
      </c>
      <c r="J57" s="203">
        <f>+E34+'20'!J57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52:B52"/>
    <mergeCell ref="A53:B53"/>
    <mergeCell ref="A47:B47"/>
    <mergeCell ref="A48:B48"/>
    <mergeCell ref="A49:B49"/>
    <mergeCell ref="A50:B50"/>
    <mergeCell ref="A46:B46"/>
    <mergeCell ref="A51:B51"/>
    <mergeCell ref="A40:B40"/>
    <mergeCell ref="A41:B41"/>
    <mergeCell ref="A42:B42"/>
    <mergeCell ref="A43:B43"/>
    <mergeCell ref="A44:B44"/>
    <mergeCell ref="A45:B45"/>
    <mergeCell ref="A39:B39"/>
    <mergeCell ref="A7:A14"/>
    <mergeCell ref="I7:I13"/>
    <mergeCell ref="A15:A23"/>
    <mergeCell ref="I15:I22"/>
    <mergeCell ref="A38:B38"/>
    <mergeCell ref="A24:A32"/>
    <mergeCell ref="I24:I31"/>
    <mergeCell ref="A34:B34"/>
    <mergeCell ref="A37:B37"/>
  </mergeCells>
  <phoneticPr fontId="31" type="noConversion"/>
  <printOptions horizontalCentered="1"/>
  <pageMargins left="0.19513888888888889" right="0.19513888888888889" top="0.39027777777777778" bottom="0.19513888888888889" header="0" footer="0"/>
  <pageSetup paperSize="9" scale="62" firstPageNumber="4294963191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pageSetUpPr fitToPage="1"/>
  </sheetPr>
  <dimension ref="A1:R61"/>
  <sheetViews>
    <sheetView view="pageBreakPreview" zoomScale="80" zoomScaleNormal="80" zoomScaleSheetLayoutView="80" workbookViewId="0">
      <selection activeCell="D7" sqref="D7"/>
    </sheetView>
  </sheetViews>
  <sheetFormatPr defaultColWidth="9.140625" defaultRowHeight="12.75"/>
  <cols>
    <col min="1" max="1" width="8" style="153" customWidth="1"/>
    <col min="2" max="2" width="7" style="153" bestFit="1" customWidth="1"/>
    <col min="3" max="3" width="14.85546875" style="153" bestFit="1" customWidth="1"/>
    <col min="4" max="4" width="12.5703125" style="153" bestFit="1" customWidth="1"/>
    <col min="5" max="5" width="13.85546875" style="153" bestFit="1" customWidth="1"/>
    <col min="6" max="6" width="12.140625" style="114" bestFit="1" customWidth="1"/>
    <col min="7" max="7" width="11.42578125" style="153" bestFit="1" customWidth="1"/>
    <col min="8" max="8" width="64.85546875" style="153" customWidth="1"/>
    <col min="9" max="9" width="14.7109375" style="153" bestFit="1" customWidth="1"/>
    <col min="10" max="10" width="20.140625" style="153" customWidth="1"/>
    <col min="11" max="11" width="12.5703125" style="153" bestFit="1" customWidth="1"/>
    <col min="12" max="12" width="10" style="153" customWidth="1"/>
    <col min="13" max="13" width="14.140625" style="153" customWidth="1"/>
    <col min="14" max="16384" width="9.140625" style="153"/>
  </cols>
  <sheetData>
    <row r="1" spans="1:18" ht="15.75">
      <c r="A1" s="152"/>
    </row>
    <row r="2" spans="1:18" ht="15.75">
      <c r="A2" s="152" t="s">
        <v>175</v>
      </c>
    </row>
    <row r="3" spans="1:18" ht="15">
      <c r="A3" s="154"/>
    </row>
    <row r="4" spans="1:18" ht="20.25">
      <c r="A4" s="155" t="s">
        <v>4</v>
      </c>
      <c r="B4" s="156"/>
      <c r="F4" s="157" t="s">
        <v>31</v>
      </c>
      <c r="G4" s="158">
        <v>20</v>
      </c>
      <c r="H4" s="158" t="str">
        <f>+'1'!H4</f>
        <v>.12.25</v>
      </c>
    </row>
    <row r="5" spans="1:18" ht="13.5" thickBot="1">
      <c r="C5" s="159"/>
      <c r="D5" s="159"/>
    </row>
    <row r="6" spans="1:18" ht="26.25" thickBot="1">
      <c r="A6" s="160" t="s">
        <v>50</v>
      </c>
      <c r="B6" s="161" t="s">
        <v>10</v>
      </c>
      <c r="C6" s="161" t="s">
        <v>51</v>
      </c>
      <c r="D6" s="161" t="s">
        <v>52</v>
      </c>
      <c r="E6" s="162" t="s">
        <v>53</v>
      </c>
      <c r="F6" s="106" t="s">
        <v>54</v>
      </c>
      <c r="G6" s="161" t="s">
        <v>55</v>
      </c>
      <c r="H6" s="163" t="s">
        <v>56</v>
      </c>
      <c r="I6" s="164" t="s">
        <v>57</v>
      </c>
      <c r="J6" s="165" t="s">
        <v>10</v>
      </c>
      <c r="K6" s="166" t="s">
        <v>58</v>
      </c>
      <c r="L6" s="213" t="s">
        <v>143</v>
      </c>
      <c r="M6" s="167" t="s">
        <v>59</v>
      </c>
      <c r="N6" s="153">
        <f>350+358+340</f>
        <v>1048</v>
      </c>
    </row>
    <row r="7" spans="1:18" ht="13.5" customHeight="1" thickBot="1">
      <c r="A7" s="789" t="s">
        <v>413</v>
      </c>
      <c r="B7" s="218" t="s">
        <v>599</v>
      </c>
      <c r="C7" s="219">
        <v>22789</v>
      </c>
      <c r="D7" s="220"/>
      <c r="E7" s="221"/>
      <c r="F7" s="230"/>
      <c r="G7" s="231" t="s">
        <v>13</v>
      </c>
      <c r="H7" s="232" t="s">
        <v>395</v>
      </c>
      <c r="I7" s="792" t="s">
        <v>597</v>
      </c>
      <c r="J7" s="217" t="str">
        <f>+'19'!J7</f>
        <v>TW 38 RC BR</v>
      </c>
      <c r="K7" s="240"/>
      <c r="L7" s="244"/>
      <c r="M7" s="121">
        <f>+K7+'19'!M7+L7</f>
        <v>78513</v>
      </c>
    </row>
    <row r="8" spans="1:18" ht="13.5" thickBot="1">
      <c r="A8" s="790"/>
      <c r="B8" s="218"/>
      <c r="C8" s="219"/>
      <c r="D8" s="220"/>
      <c r="E8" s="222"/>
      <c r="F8" s="233">
        <v>2</v>
      </c>
      <c r="G8" s="234" t="s">
        <v>13</v>
      </c>
      <c r="H8" s="232" t="s">
        <v>393</v>
      </c>
      <c r="I8" s="793"/>
      <c r="J8" s="217" t="str">
        <f>+'19'!J8</f>
        <v>TW 36 RC BR</v>
      </c>
      <c r="K8" s="241"/>
      <c r="L8" s="241"/>
      <c r="M8" s="121">
        <f>+K8+'19'!M8+L8</f>
        <v>1530</v>
      </c>
      <c r="N8" s="153">
        <v>810</v>
      </c>
      <c r="O8" s="153">
        <f>+N8-N8*0.14</f>
        <v>696.6</v>
      </c>
    </row>
    <row r="9" spans="1:18" ht="13.5" thickBot="1">
      <c r="A9" s="790"/>
      <c r="B9" s="218"/>
      <c r="C9" s="219"/>
      <c r="D9" s="220"/>
      <c r="E9" s="223"/>
      <c r="F9" s="230">
        <v>3</v>
      </c>
      <c r="G9" s="234" t="s">
        <v>13</v>
      </c>
      <c r="H9" s="235" t="s">
        <v>226</v>
      </c>
      <c r="I9" s="793"/>
      <c r="J9" s="217" t="str">
        <f>+'19'!J9</f>
        <v>N 20 RC BR</v>
      </c>
      <c r="K9" s="241"/>
      <c r="L9" s="241"/>
      <c r="M9" s="121">
        <f>+K9+'19'!M9+L9</f>
        <v>74204</v>
      </c>
    </row>
    <row r="10" spans="1:18" ht="13.5" thickBot="1">
      <c r="A10" s="790"/>
      <c r="B10" s="218"/>
      <c r="C10" s="219"/>
      <c r="D10" s="220"/>
      <c r="E10" s="222"/>
      <c r="F10" s="230"/>
      <c r="G10" s="234"/>
      <c r="H10" s="235" t="s">
        <v>595</v>
      </c>
      <c r="I10" s="793"/>
      <c r="J10" s="217" t="str">
        <f>+'19'!J10</f>
        <v>TW 17 RC HW</v>
      </c>
      <c r="K10" s="241"/>
      <c r="L10" s="241"/>
      <c r="M10" s="121">
        <f>+K10+'19'!M10+L10</f>
        <v>99162</v>
      </c>
    </row>
    <row r="11" spans="1:18" ht="13.5" thickBot="1">
      <c r="A11" s="790"/>
      <c r="B11" s="218"/>
      <c r="C11" s="219"/>
      <c r="D11" s="220"/>
      <c r="E11" s="222"/>
      <c r="F11" s="230"/>
      <c r="G11" s="234"/>
      <c r="H11" s="235"/>
      <c r="I11" s="793"/>
      <c r="J11" s="217" t="str">
        <f>+'19'!J11</f>
        <v>N 15,5 RC HW</v>
      </c>
      <c r="K11" s="241"/>
      <c r="L11" s="241"/>
      <c r="M11" s="121">
        <f>+K11+'19'!M11+L11</f>
        <v>159490</v>
      </c>
    </row>
    <row r="12" spans="1:18" ht="13.5" thickBot="1">
      <c r="A12" s="790"/>
      <c r="B12" s="218"/>
      <c r="C12" s="219"/>
      <c r="D12" s="220"/>
      <c r="E12" s="222"/>
      <c r="F12" s="230"/>
      <c r="G12" s="234"/>
      <c r="H12" s="235"/>
      <c r="I12" s="793"/>
      <c r="J12" s="217" t="str">
        <f>+'19'!J12</f>
        <v>N 17 RC HW</v>
      </c>
      <c r="K12" s="241"/>
      <c r="L12" s="241"/>
      <c r="M12" s="121">
        <f>+K12+'19'!M12+L12</f>
        <v>6572</v>
      </c>
    </row>
    <row r="13" spans="1:18" ht="13.5" thickBot="1">
      <c r="A13" s="790"/>
      <c r="B13" s="218"/>
      <c r="C13" s="219"/>
      <c r="D13" s="219"/>
      <c r="E13" s="222"/>
      <c r="F13" s="230"/>
      <c r="G13" s="234"/>
      <c r="H13" s="235"/>
      <c r="I13" s="794"/>
      <c r="J13" s="217" t="str">
        <f>+'19'!J13</f>
        <v>N 16,5 RC HW</v>
      </c>
      <c r="K13" s="241"/>
      <c r="L13" s="241"/>
      <c r="M13" s="121">
        <f>+K13+'19'!M13+L13</f>
        <v>18880</v>
      </c>
    </row>
    <row r="14" spans="1:18" ht="13.5" thickBot="1">
      <c r="A14" s="791"/>
      <c r="B14" s="169" t="s">
        <v>3</v>
      </c>
      <c r="C14" s="103">
        <f>SUM(C7:C13)</f>
        <v>22789</v>
      </c>
      <c r="D14" s="115">
        <f>SUM(D7:D13)</f>
        <v>0</v>
      </c>
      <c r="E14" s="116">
        <f>SUM(E5:E13)</f>
        <v>0</v>
      </c>
      <c r="F14" s="106">
        <f>SUM(F6:F13)</f>
        <v>5</v>
      </c>
      <c r="G14" s="163"/>
      <c r="H14" s="170"/>
      <c r="I14" s="171"/>
      <c r="J14" s="217" t="str">
        <f>+'19'!J14</f>
        <v>N 20 RC HW</v>
      </c>
      <c r="K14" s="241"/>
      <c r="L14" s="241"/>
      <c r="M14" s="121">
        <f>+K14+'19'!M14+L14</f>
        <v>394199</v>
      </c>
    </row>
    <row r="15" spans="1:18" ht="13.5" customHeight="1" thickBot="1">
      <c r="A15" s="789" t="s">
        <v>414</v>
      </c>
      <c r="B15" s="169"/>
      <c r="C15" s="117">
        <f>C14/($C$23+$D$23+$E$23)</f>
        <v>0.98893421281027605</v>
      </c>
      <c r="D15" s="118">
        <f>D14/($C$23+$D$23+$E$23)</f>
        <v>0</v>
      </c>
      <c r="E15" s="119">
        <f>E14/($C$23+$D$23+$E$23)</f>
        <v>0</v>
      </c>
      <c r="F15" s="230"/>
      <c r="G15" s="231" t="s">
        <v>13</v>
      </c>
      <c r="H15" s="232" t="s">
        <v>395</v>
      </c>
      <c r="I15" s="792" t="s">
        <v>603</v>
      </c>
      <c r="J15" s="217" t="str">
        <f>+'19'!J15</f>
        <v>N 18 RC HW</v>
      </c>
      <c r="K15" s="241"/>
      <c r="L15" s="241"/>
      <c r="M15" s="121">
        <f>+K15+'19'!M15+L15</f>
        <v>50657</v>
      </c>
      <c r="N15" s="153">
        <v>810</v>
      </c>
      <c r="O15" s="153">
        <f>+N15-N15*0.14</f>
        <v>696.6</v>
      </c>
      <c r="P15" s="153">
        <f>180+20</f>
        <v>200</v>
      </c>
      <c r="Q15" s="153">
        <f>+N15*P15</f>
        <v>162000</v>
      </c>
      <c r="R15" s="153">
        <f>+O15*P15</f>
        <v>139320</v>
      </c>
    </row>
    <row r="16" spans="1:18" ht="13.5" thickBot="1">
      <c r="A16" s="795"/>
      <c r="B16" s="218" t="s">
        <v>599</v>
      </c>
      <c r="C16" s="224">
        <v>14601</v>
      </c>
      <c r="D16" s="225"/>
      <c r="E16" s="226"/>
      <c r="F16" s="233"/>
      <c r="G16" s="234" t="s">
        <v>13</v>
      </c>
      <c r="H16" s="232" t="s">
        <v>424</v>
      </c>
      <c r="I16" s="793"/>
      <c r="J16" s="217" t="str">
        <f>+'19'!J16</f>
        <v>TW 17,5 RC HW</v>
      </c>
      <c r="K16" s="231"/>
      <c r="L16" s="231"/>
      <c r="M16" s="121">
        <f>+K16+'19'!M16+L16</f>
        <v>11537</v>
      </c>
      <c r="N16" s="153">
        <v>550</v>
      </c>
      <c r="O16" s="153">
        <f>+N16-N16*0.12</f>
        <v>484</v>
      </c>
      <c r="P16" s="153">
        <f>40+240</f>
        <v>280</v>
      </c>
      <c r="Q16" s="153">
        <f>+N16*P16</f>
        <v>154000</v>
      </c>
      <c r="R16" s="153">
        <f>+O16*P16</f>
        <v>135520</v>
      </c>
    </row>
    <row r="17" spans="1:18" ht="13.5" thickBot="1">
      <c r="A17" s="795"/>
      <c r="B17" s="218" t="s">
        <v>606</v>
      </c>
      <c r="C17" s="219">
        <f>3232+5211</f>
        <v>8443</v>
      </c>
      <c r="D17" s="220"/>
      <c r="E17" s="227"/>
      <c r="F17" s="230">
        <v>2</v>
      </c>
      <c r="G17" s="234" t="s">
        <v>13</v>
      </c>
      <c r="H17" s="235" t="s">
        <v>226</v>
      </c>
      <c r="I17" s="793"/>
      <c r="J17" s="217" t="str">
        <f>+'19'!J17</f>
        <v>TW 22 RC HW</v>
      </c>
      <c r="K17" s="231">
        <f>+C7+C16</f>
        <v>37390</v>
      </c>
      <c r="L17" s="231"/>
      <c r="M17" s="121">
        <f>+K17+'19'!M17+L17</f>
        <v>100201</v>
      </c>
      <c r="P17" s="153">
        <f>SUM(P15:P16)</f>
        <v>480</v>
      </c>
      <c r="Q17" s="153">
        <f>SUM(Q15:Q16)</f>
        <v>316000</v>
      </c>
      <c r="R17" s="153">
        <f>SUM(R15:R16)</f>
        <v>274840</v>
      </c>
    </row>
    <row r="18" spans="1:18" ht="13.5" thickBot="1">
      <c r="A18" s="795"/>
      <c r="B18" s="218"/>
      <c r="C18" s="219"/>
      <c r="D18" s="220"/>
      <c r="E18" s="227"/>
      <c r="F18" s="230"/>
      <c r="G18" s="234"/>
      <c r="H18" s="235" t="s">
        <v>595</v>
      </c>
      <c r="I18" s="793"/>
      <c r="J18" s="217" t="s">
        <v>606</v>
      </c>
      <c r="K18" s="241">
        <f>+C17+C25</f>
        <v>30017</v>
      </c>
      <c r="L18" s="241"/>
      <c r="M18" s="121">
        <f>+K18+'19'!M18+L18</f>
        <v>30017</v>
      </c>
      <c r="Q18" s="153">
        <f>+Q17/P17</f>
        <v>658.33333333333337</v>
      </c>
      <c r="R18" s="153">
        <f>+R17/P17</f>
        <v>572.58333333333337</v>
      </c>
    </row>
    <row r="19" spans="1:18" ht="13.5" thickBot="1">
      <c r="A19" s="795"/>
      <c r="B19" s="218"/>
      <c r="C19" s="219"/>
      <c r="D19" s="220"/>
      <c r="E19" s="227"/>
      <c r="F19" s="237">
        <v>5</v>
      </c>
      <c r="G19" s="234" t="s">
        <v>13</v>
      </c>
      <c r="H19" s="235" t="s">
        <v>601</v>
      </c>
      <c r="I19" s="793"/>
      <c r="J19" s="217">
        <f>+'19'!J19</f>
        <v>0</v>
      </c>
      <c r="K19" s="241"/>
      <c r="L19" s="241"/>
      <c r="M19" s="121">
        <f>+K19+'19'!M19+L19</f>
        <v>0</v>
      </c>
    </row>
    <row r="20" spans="1:18" ht="13.5" thickBot="1">
      <c r="A20" s="795"/>
      <c r="B20" s="218"/>
      <c r="C20" s="219"/>
      <c r="D20" s="220"/>
      <c r="E20" s="227"/>
      <c r="F20" s="230"/>
      <c r="G20" s="234"/>
      <c r="H20" s="235"/>
      <c r="I20" s="793"/>
      <c r="J20" s="217">
        <f>+'19'!J20</f>
        <v>0</v>
      </c>
      <c r="K20" s="242"/>
      <c r="L20" s="242"/>
      <c r="M20" s="121">
        <f>+K20+'19'!M20+L20</f>
        <v>0</v>
      </c>
    </row>
    <row r="21" spans="1:18" ht="13.5" thickBot="1">
      <c r="A21" s="795"/>
      <c r="B21" s="218"/>
      <c r="C21" s="219"/>
      <c r="D21" s="220"/>
      <c r="E21" s="227"/>
      <c r="F21" s="233"/>
      <c r="G21" s="234"/>
      <c r="H21" s="235"/>
      <c r="I21" s="793"/>
      <c r="J21" s="217">
        <f>+'19'!J21</f>
        <v>0</v>
      </c>
      <c r="K21" s="242"/>
      <c r="L21" s="242"/>
      <c r="M21" s="121">
        <f>+K21+'19'!M21+L21</f>
        <v>0</v>
      </c>
    </row>
    <row r="22" spans="1:18" ht="13.5" thickBot="1">
      <c r="A22" s="795"/>
      <c r="B22" s="218"/>
      <c r="C22" s="219"/>
      <c r="D22" s="220"/>
      <c r="E22" s="227"/>
      <c r="F22" s="238"/>
      <c r="G22" s="234"/>
      <c r="H22" s="235"/>
      <c r="I22" s="794"/>
      <c r="J22" s="217">
        <f>+'19'!J22</f>
        <v>0</v>
      </c>
      <c r="K22" s="242"/>
      <c r="L22" s="242"/>
      <c r="M22" s="121">
        <f>+K22+'19'!M22+L22</f>
        <v>0</v>
      </c>
    </row>
    <row r="23" spans="1:18" ht="13.5" thickBot="1">
      <c r="A23" s="796"/>
      <c r="B23" s="169" t="s">
        <v>3</v>
      </c>
      <c r="C23" s="104">
        <f>SUM(C16:C22)</f>
        <v>23044</v>
      </c>
      <c r="D23" s="115">
        <f>SUM(D16:D22)</f>
        <v>0</v>
      </c>
      <c r="E23" s="116">
        <f>SUM(E18:E22)</f>
        <v>0</v>
      </c>
      <c r="F23" s="106">
        <f>SUM(F15:F22)</f>
        <v>7</v>
      </c>
      <c r="G23" s="163"/>
      <c r="H23" s="170"/>
      <c r="I23" s="172"/>
      <c r="J23" s="217">
        <f>+'19'!J23</f>
        <v>0</v>
      </c>
      <c r="K23" s="242"/>
      <c r="L23" s="242"/>
      <c r="M23" s="121">
        <f>+K23+'19'!M23+L23</f>
        <v>0</v>
      </c>
    </row>
    <row r="24" spans="1:18" ht="13.5" customHeight="1" thickBot="1">
      <c r="A24" s="789" t="s">
        <v>415</v>
      </c>
      <c r="B24" s="173"/>
      <c r="C24" s="117">
        <f>C23/($C$23+$D$23+$E$23)</f>
        <v>1</v>
      </c>
      <c r="D24" s="118">
        <f>D23/($C$23+$D$23+$E$23)</f>
        <v>0</v>
      </c>
      <c r="E24" s="119">
        <f>E23/($C$23+$D$23+$E$23)</f>
        <v>0</v>
      </c>
      <c r="F24" s="230"/>
      <c r="G24" s="231" t="s">
        <v>13</v>
      </c>
      <c r="H24" s="232" t="s">
        <v>395</v>
      </c>
      <c r="I24" s="792" t="s">
        <v>604</v>
      </c>
      <c r="J24" s="217">
        <f>+'19'!J24</f>
        <v>0</v>
      </c>
      <c r="K24" s="242"/>
      <c r="L24" s="242"/>
      <c r="M24" s="121">
        <f>+K24+'19'!M24+L24</f>
        <v>0</v>
      </c>
    </row>
    <row r="25" spans="1:18" ht="13.5" thickBot="1">
      <c r="A25" s="795"/>
      <c r="B25" s="218" t="s">
        <v>606</v>
      </c>
      <c r="C25" s="228">
        <v>21574</v>
      </c>
      <c r="D25" s="220"/>
      <c r="E25" s="227"/>
      <c r="F25" s="233">
        <v>5</v>
      </c>
      <c r="G25" s="234" t="s">
        <v>13</v>
      </c>
      <c r="H25" s="232" t="s">
        <v>454</v>
      </c>
      <c r="I25" s="793"/>
      <c r="J25" s="217">
        <f>+'19'!J25</f>
        <v>0</v>
      </c>
      <c r="K25" s="242"/>
      <c r="L25" s="242"/>
      <c r="M25" s="121">
        <f>+K25+'19'!M25+L25</f>
        <v>0</v>
      </c>
    </row>
    <row r="26" spans="1:18" ht="13.5" thickBot="1">
      <c r="A26" s="795"/>
      <c r="B26" s="218"/>
      <c r="C26" s="228"/>
      <c r="D26" s="220"/>
      <c r="E26" s="229"/>
      <c r="F26" s="230">
        <v>2</v>
      </c>
      <c r="G26" s="234" t="s">
        <v>13</v>
      </c>
      <c r="H26" s="235" t="s">
        <v>226</v>
      </c>
      <c r="I26" s="793"/>
      <c r="J26" s="217">
        <f>+'19'!J26</f>
        <v>0</v>
      </c>
      <c r="K26" s="242"/>
      <c r="L26" s="242"/>
      <c r="M26" s="121">
        <f>+K26+'19'!M26+L26</f>
        <v>0</v>
      </c>
    </row>
    <row r="27" spans="1:18" ht="13.5" thickBot="1">
      <c r="A27" s="795"/>
      <c r="B27" s="218"/>
      <c r="C27" s="219"/>
      <c r="D27" s="220"/>
      <c r="E27" s="227"/>
      <c r="F27" s="230"/>
      <c r="G27" s="234"/>
      <c r="H27" s="235" t="s">
        <v>602</v>
      </c>
      <c r="I27" s="793"/>
      <c r="J27" s="217">
        <f>+'19'!J27</f>
        <v>0</v>
      </c>
      <c r="K27" s="242"/>
      <c r="L27" s="242"/>
      <c r="M27" s="121">
        <f>+K27+'19'!M27+L27</f>
        <v>0</v>
      </c>
    </row>
    <row r="28" spans="1:18" ht="13.5" thickBot="1">
      <c r="A28" s="795"/>
      <c r="B28" s="218"/>
      <c r="C28" s="219"/>
      <c r="D28" s="220"/>
      <c r="E28" s="227"/>
      <c r="F28" s="233"/>
      <c r="G28" s="234"/>
      <c r="H28" s="235"/>
      <c r="I28" s="793"/>
      <c r="J28" s="217">
        <f>+'19'!J28</f>
        <v>0</v>
      </c>
      <c r="K28" s="242"/>
      <c r="L28" s="242"/>
      <c r="M28" s="121">
        <f>+K28+'19'!M28+L28</f>
        <v>0</v>
      </c>
    </row>
    <row r="29" spans="1:18" ht="13.5" thickBot="1">
      <c r="A29" s="795"/>
      <c r="B29" s="218"/>
      <c r="C29" s="219"/>
      <c r="D29" s="220"/>
      <c r="E29" s="227"/>
      <c r="F29" s="238"/>
      <c r="G29" s="234"/>
      <c r="H29" s="235"/>
      <c r="I29" s="793"/>
      <c r="J29" s="217">
        <f>+'19'!J29</f>
        <v>0</v>
      </c>
      <c r="K29" s="242"/>
      <c r="L29" s="242"/>
      <c r="M29" s="121">
        <f>+K29+'19'!M29+L29</f>
        <v>0</v>
      </c>
    </row>
    <row r="30" spans="1:18" ht="13.5" thickBot="1">
      <c r="A30" s="795"/>
      <c r="B30" s="218"/>
      <c r="C30" s="228"/>
      <c r="D30" s="220"/>
      <c r="E30" s="227"/>
      <c r="F30" s="238"/>
      <c r="G30" s="234"/>
      <c r="H30" s="235"/>
      <c r="I30" s="793"/>
      <c r="J30" s="217">
        <f>+'19'!J30</f>
        <v>0</v>
      </c>
      <c r="K30" s="241"/>
      <c r="L30" s="241"/>
      <c r="M30" s="121">
        <f>+K30+'19'!M30+L30</f>
        <v>0</v>
      </c>
      <c r="N30" s="159"/>
    </row>
    <row r="31" spans="1:18" ht="13.5" thickBot="1">
      <c r="A31" s="795"/>
      <c r="B31" s="218"/>
      <c r="C31" s="228"/>
      <c r="D31" s="220"/>
      <c r="E31" s="227"/>
      <c r="F31" s="238"/>
      <c r="G31" s="239"/>
      <c r="H31" s="236"/>
      <c r="I31" s="794"/>
      <c r="J31" s="217">
        <f>+'19'!J31</f>
        <v>0</v>
      </c>
      <c r="K31" s="241"/>
      <c r="L31" s="241"/>
      <c r="M31" s="121">
        <f>+K31+'19'!M31+L31</f>
        <v>0</v>
      </c>
    </row>
    <row r="32" spans="1:18" ht="13.5" thickBot="1">
      <c r="A32" s="796"/>
      <c r="B32" s="169" t="s">
        <v>3</v>
      </c>
      <c r="C32" s="103">
        <f>SUM(C25:C31)</f>
        <v>21574</v>
      </c>
      <c r="D32" s="104">
        <f>SUM(D25:D31)</f>
        <v>0</v>
      </c>
      <c r="E32" s="105">
        <f>SUM(E25:E31)</f>
        <v>0</v>
      </c>
      <c r="F32" s="106">
        <f>SUM(F24:F31)</f>
        <v>7</v>
      </c>
      <c r="G32" s="174"/>
      <c r="H32" s="175"/>
      <c r="I32" s="172"/>
      <c r="J32" s="217">
        <f>+'19'!J32</f>
        <v>0</v>
      </c>
      <c r="K32" s="243"/>
      <c r="L32" s="245"/>
      <c r="M32" s="121">
        <f>+K32+'19'!M32+L32</f>
        <v>0</v>
      </c>
    </row>
    <row r="33" spans="1:14" ht="13.5" thickBot="1">
      <c r="A33" s="176"/>
      <c r="B33" s="177"/>
      <c r="C33" s="107">
        <f>C32/($C$32+$D$32+$E$32)</f>
        <v>1</v>
      </c>
      <c r="D33" s="108">
        <f>D32/($C$32+$D$32+$E$32)</f>
        <v>0</v>
      </c>
      <c r="E33" s="109">
        <f>E32/($C$32+$D$32+$E$32)</f>
        <v>0</v>
      </c>
      <c r="F33" s="110"/>
      <c r="G33" s="178"/>
      <c r="H33" s="179"/>
      <c r="I33" s="180"/>
      <c r="J33" s="125"/>
      <c r="K33" s="126"/>
      <c r="L33" s="216"/>
      <c r="M33" s="123"/>
    </row>
    <row r="34" spans="1:14" ht="13.5" thickBot="1">
      <c r="A34" s="797" t="s">
        <v>60</v>
      </c>
      <c r="B34" s="798"/>
      <c r="C34" s="111">
        <f>C14+C23+C32</f>
        <v>67407</v>
      </c>
      <c r="D34" s="111">
        <f>D14+D23+D32</f>
        <v>0</v>
      </c>
      <c r="E34" s="111">
        <f>E14+E23+E32</f>
        <v>0</v>
      </c>
      <c r="F34" s="112">
        <f>F14+F23+F32</f>
        <v>19</v>
      </c>
      <c r="H34" s="181"/>
      <c r="I34" s="181"/>
      <c r="J34" s="127" t="s">
        <v>29</v>
      </c>
      <c r="K34" s="128">
        <f>SUM(K7:K32)</f>
        <v>67407</v>
      </c>
      <c r="L34" s="215">
        <f>SUM(L7:L32)</f>
        <v>0</v>
      </c>
      <c r="M34" s="124">
        <f>SUM(M7:M32)</f>
        <v>1024962</v>
      </c>
    </row>
    <row r="35" spans="1:14" ht="13.5" thickBot="1">
      <c r="A35" s="182"/>
      <c r="B35" s="183"/>
      <c r="C35" s="108">
        <f>C34/($C$34+$D$34+$E$34)</f>
        <v>1</v>
      </c>
      <c r="D35" s="108">
        <f>D34/($C$34+$D$34+$E$34)</f>
        <v>0</v>
      </c>
      <c r="E35" s="113">
        <f>E34/($C$34+$D$34+$E$34)</f>
        <v>0</v>
      </c>
      <c r="K35" s="159"/>
      <c r="L35" s="788" t="s">
        <v>186</v>
      </c>
      <c r="M35" s="788"/>
    </row>
    <row r="36" spans="1:14" ht="13.5" thickBot="1">
      <c r="A36" s="181"/>
      <c r="B36" s="181"/>
      <c r="C36" s="159"/>
      <c r="D36" s="159"/>
      <c r="E36" s="159"/>
      <c r="G36" s="159"/>
      <c r="H36" s="184"/>
      <c r="I36" s="166" t="s">
        <v>42</v>
      </c>
      <c r="J36" s="166" t="s">
        <v>43</v>
      </c>
      <c r="K36" s="185"/>
      <c r="L36" s="166" t="s">
        <v>42</v>
      </c>
      <c r="M36" s="166" t="s">
        <v>43</v>
      </c>
    </row>
    <row r="37" spans="1:14" ht="17.45" customHeight="1" thickBot="1">
      <c r="A37" s="801" t="s">
        <v>61</v>
      </c>
      <c r="B37" s="802"/>
      <c r="C37" s="166" t="s">
        <v>62</v>
      </c>
      <c r="D37" s="186" t="s">
        <v>63</v>
      </c>
      <c r="E37" s="187" t="s">
        <v>64</v>
      </c>
      <c r="F37" s="372"/>
      <c r="G37" s="374"/>
      <c r="H37" s="189" t="s">
        <v>65</v>
      </c>
      <c r="I37" s="246">
        <f>(22*680+31.5*760)/1440*G42*3.4*1440/1000000</f>
        <v>77.292009222222205</v>
      </c>
      <c r="J37" s="129">
        <f>+I37+'19'!J37</f>
        <v>1174.6780003044976</v>
      </c>
      <c r="K37" s="130" t="s">
        <v>66</v>
      </c>
      <c r="L37" s="437"/>
      <c r="M37" s="438"/>
      <c r="N37" s="153">
        <f>22.947+2.416+2.594+2.416+2.594</f>
        <v>32.966999999999999</v>
      </c>
    </row>
    <row r="38" spans="1:14" ht="17.45" customHeight="1">
      <c r="A38" s="803" t="s">
        <v>13</v>
      </c>
      <c r="B38" s="804"/>
      <c r="C38" s="168">
        <f>SUMIF($G$7:$G$31,"Process",$F$7:$F$31)</f>
        <v>19</v>
      </c>
      <c r="D38" s="122">
        <f>+C38+'19'!D38</f>
        <v>935</v>
      </c>
      <c r="E38" s="147">
        <f t="shared" ref="E38:E51" si="0">D38/60</f>
        <v>15.583333333333334</v>
      </c>
      <c r="F38" s="372">
        <v>810</v>
      </c>
      <c r="G38" s="372">
        <f>+F38-F38*0.14</f>
        <v>696.6</v>
      </c>
      <c r="H38" s="190" t="s">
        <v>67</v>
      </c>
      <c r="I38" s="559">
        <f>22.947+22.809+22.984</f>
        <v>68.740000000000009</v>
      </c>
      <c r="J38" s="131">
        <f>+I38+'19'!J38</f>
        <v>1060.4959999999999</v>
      </c>
      <c r="K38" s="132" t="s">
        <v>66</v>
      </c>
      <c r="L38" s="439"/>
      <c r="M38" s="440"/>
      <c r="N38" s="560">
        <f>+I38-N37</f>
        <v>35.77300000000001</v>
      </c>
    </row>
    <row r="39" spans="1:14" ht="17.45" customHeight="1">
      <c r="A39" s="799" t="s">
        <v>14</v>
      </c>
      <c r="B39" s="800"/>
      <c r="C39" s="168">
        <f>SUMIF($G$7:$G$31,"Cleaning",$F$7:$F$31)</f>
        <v>0</v>
      </c>
      <c r="D39" s="122">
        <f>+C39+'19'!D39</f>
        <v>0</v>
      </c>
      <c r="E39" s="147">
        <f t="shared" si="0"/>
        <v>0</v>
      </c>
      <c r="F39" s="372">
        <v>658.33333333333337</v>
      </c>
      <c r="G39" s="372">
        <v>572.58333333333337</v>
      </c>
      <c r="H39" s="190" t="s">
        <v>68</v>
      </c>
      <c r="I39" s="146"/>
      <c r="J39" s="133">
        <f>J37/G4</f>
        <v>58.733900015224876</v>
      </c>
      <c r="K39" s="134" t="s">
        <v>66</v>
      </c>
      <c r="L39" s="439"/>
      <c r="M39" s="440"/>
    </row>
    <row r="40" spans="1:14" ht="17.45" customHeight="1">
      <c r="A40" s="799" t="s">
        <v>69</v>
      </c>
      <c r="B40" s="800"/>
      <c r="C40" s="168">
        <f>SUMIF($G$7:$G$31,"Mechanical",$F$7:$F$31)</f>
        <v>0</v>
      </c>
      <c r="D40" s="122">
        <f>+C40+'19'!D40</f>
        <v>700</v>
      </c>
      <c r="E40" s="147">
        <f t="shared" si="0"/>
        <v>11.666666666666666</v>
      </c>
      <c r="F40" s="372">
        <v>550</v>
      </c>
      <c r="G40" s="372">
        <v>484</v>
      </c>
      <c r="H40" s="190" t="s">
        <v>70</v>
      </c>
      <c r="I40" s="122">
        <f>(K34+L34)/1000</f>
        <v>67.406999999999996</v>
      </c>
      <c r="J40" s="135">
        <f>+I40+'19'!J40</f>
        <v>1024.9619999999998</v>
      </c>
      <c r="K40" s="134" t="s">
        <v>66</v>
      </c>
      <c r="L40" s="439"/>
      <c r="M40" s="440"/>
    </row>
    <row r="41" spans="1:14" ht="17.45" customHeight="1">
      <c r="A41" s="799" t="s">
        <v>71</v>
      </c>
      <c r="B41" s="800"/>
      <c r="C41" s="168">
        <f>SUMIF($G$7:$G$31,"Electrical",$F$7:$F$31)</f>
        <v>0</v>
      </c>
      <c r="D41" s="122">
        <f>+C41+'19'!D41</f>
        <v>315</v>
      </c>
      <c r="E41" s="147">
        <f t="shared" si="0"/>
        <v>5.25</v>
      </c>
      <c r="F41" s="372"/>
      <c r="G41" s="372"/>
      <c r="H41" s="190" t="s">
        <v>72</v>
      </c>
      <c r="I41" s="146"/>
      <c r="J41" s="133">
        <f>J40/G4</f>
        <v>51.248099999999987</v>
      </c>
      <c r="K41" s="134" t="s">
        <v>66</v>
      </c>
      <c r="L41" s="439"/>
      <c r="M41" s="440"/>
    </row>
    <row r="42" spans="1:14" ht="17.45" customHeight="1">
      <c r="A42" s="799" t="s">
        <v>17</v>
      </c>
      <c r="B42" s="800"/>
      <c r="C42" s="168">
        <f>SUMIF($G$7:$G$31,"Instrument",$F$7:$F$31)</f>
        <v>0</v>
      </c>
      <c r="D42" s="122">
        <f>+C42+'19'!D42</f>
        <v>0</v>
      </c>
      <c r="E42" s="147">
        <f t="shared" si="0"/>
        <v>0</v>
      </c>
      <c r="F42" s="372">
        <f>+(F38*480+F39*480+F40*480)/1440</f>
        <v>672.77777777777783</v>
      </c>
      <c r="G42" s="372">
        <f>+(G38*480+G39*480+G40*480)/1440</f>
        <v>584.39444444444439</v>
      </c>
      <c r="H42" s="190" t="s">
        <v>73</v>
      </c>
      <c r="I42" s="248" t="s">
        <v>605</v>
      </c>
      <c r="J42" s="136"/>
      <c r="K42" s="134" t="s">
        <v>74</v>
      </c>
      <c r="L42" s="439"/>
      <c r="M42" s="440"/>
    </row>
    <row r="43" spans="1:14" ht="17.45" customHeight="1">
      <c r="A43" s="799" t="s">
        <v>75</v>
      </c>
      <c r="B43" s="800"/>
      <c r="C43" s="168">
        <f>SUMIF($G$7:$G$31,"Water",$F$7:$F$31)</f>
        <v>0</v>
      </c>
      <c r="D43" s="122">
        <f>+C43+'19'!D43</f>
        <v>0</v>
      </c>
      <c r="E43" s="147">
        <f t="shared" si="0"/>
        <v>0</v>
      </c>
      <c r="F43" s="372"/>
      <c r="G43" s="373"/>
      <c r="H43" s="191" t="s">
        <v>76</v>
      </c>
      <c r="I43" s="122">
        <f>+Report1!AH28</f>
        <v>127.60899999999999</v>
      </c>
      <c r="J43" s="137">
        <f>+I43+'19'!J43</f>
        <v>2313.7519999999995</v>
      </c>
      <c r="K43" s="134" t="s">
        <v>66</v>
      </c>
      <c r="L43" s="441">
        <f>+Report1!AN28</f>
        <v>12.5</v>
      </c>
      <c r="M43" s="442">
        <f>+L43+'19'!M43</f>
        <v>216.50000000000003</v>
      </c>
    </row>
    <row r="44" spans="1:14" ht="17.45" customHeight="1">
      <c r="A44" s="799" t="s">
        <v>18</v>
      </c>
      <c r="B44" s="800"/>
      <c r="C44" s="168">
        <f>SUMIF($G$7:$G$31,"PLN",$F$7:$F$31)</f>
        <v>0</v>
      </c>
      <c r="D44" s="122">
        <f>+C44+'19'!D44</f>
        <v>105</v>
      </c>
      <c r="E44" s="147">
        <f t="shared" si="0"/>
        <v>1.75</v>
      </c>
      <c r="F44" s="372"/>
      <c r="G44" s="373"/>
      <c r="H44" s="191" t="s">
        <v>77</v>
      </c>
      <c r="I44" s="122">
        <f>I43/I38</f>
        <v>1.8564009310445153</v>
      </c>
      <c r="J44" s="138">
        <f>J43/J38</f>
        <v>2.1817640047675804</v>
      </c>
      <c r="K44" s="134" t="s">
        <v>66</v>
      </c>
      <c r="L44" s="443">
        <f>+L43/I38</f>
        <v>0.18184463194646491</v>
      </c>
      <c r="M44" s="444">
        <f>+M43/J38</f>
        <v>0.20414975634042945</v>
      </c>
    </row>
    <row r="45" spans="1:14" ht="17.45" customHeight="1">
      <c r="A45" s="799" t="s">
        <v>19</v>
      </c>
      <c r="B45" s="800"/>
      <c r="C45" s="168">
        <f>SUMIF($G$7:$G$31,"Boiler",$F$7:$F$31)</f>
        <v>0</v>
      </c>
      <c r="D45" s="122">
        <f>+C45+'19'!D45</f>
        <v>0</v>
      </c>
      <c r="E45" s="147">
        <f t="shared" si="0"/>
        <v>0</v>
      </c>
      <c r="F45" s="372"/>
      <c r="G45" s="375"/>
      <c r="H45" s="191" t="s">
        <v>78</v>
      </c>
      <c r="I45" s="122">
        <f>I43/I40</f>
        <v>1.8931119913362113</v>
      </c>
      <c r="J45" s="138">
        <f>J43/J40</f>
        <v>2.2574027134664507</v>
      </c>
      <c r="K45" s="134" t="s">
        <v>66</v>
      </c>
      <c r="L45" s="443">
        <f>+L43/I40</f>
        <v>0.18544068123488661</v>
      </c>
      <c r="M45" s="444">
        <f>+M43/J40</f>
        <v>0.21122734306247459</v>
      </c>
    </row>
    <row r="46" spans="1:14" ht="17.45" customHeight="1">
      <c r="A46" s="799" t="s">
        <v>79</v>
      </c>
      <c r="B46" s="800"/>
      <c r="C46" s="168">
        <f>SUMIF($G$7:$G$31,"Gas",$F$7:$F$31)</f>
        <v>0</v>
      </c>
      <c r="D46" s="122">
        <f>+C46+'19'!D46</f>
        <v>0</v>
      </c>
      <c r="E46" s="147">
        <f t="shared" si="0"/>
        <v>0</v>
      </c>
      <c r="F46" s="372"/>
      <c r="G46" s="373"/>
      <c r="H46" s="191" t="s">
        <v>80</v>
      </c>
      <c r="I46" s="144">
        <f>+SUMIF(Listrik!AC27,"&gt;0")</f>
        <v>34356.279999999686</v>
      </c>
      <c r="J46" s="139">
        <f>+I46+'19'!J46</f>
        <v>674583.45000000019</v>
      </c>
      <c r="K46" s="134" t="s">
        <v>81</v>
      </c>
      <c r="L46" s="443">
        <f>+Listrik!AF27</f>
        <v>5325</v>
      </c>
      <c r="M46" s="445">
        <f>+L46+'19'!M46</f>
        <v>122335</v>
      </c>
    </row>
    <row r="47" spans="1:14" ht="17.45" customHeight="1">
      <c r="A47" s="799" t="s">
        <v>82</v>
      </c>
      <c r="B47" s="800"/>
      <c r="C47" s="168">
        <f>SUMIF($G$7:$G$31,"Gas",$F$7:$F$31)</f>
        <v>0</v>
      </c>
      <c r="D47" s="122">
        <f>+C47+'19'!D47</f>
        <v>0</v>
      </c>
      <c r="E47" s="147">
        <f t="shared" si="0"/>
        <v>0</v>
      </c>
      <c r="F47" s="372"/>
      <c r="G47" s="373"/>
      <c r="H47" s="191" t="s">
        <v>83</v>
      </c>
      <c r="I47" s="122">
        <f>I46/I38</f>
        <v>499.80040733197092</v>
      </c>
      <c r="J47" s="139">
        <f>J46/J38</f>
        <v>636.10183348169187</v>
      </c>
      <c r="K47" s="134" t="s">
        <v>25</v>
      </c>
      <c r="L47" s="443">
        <f>+L46/I38</f>
        <v>77.465813209194053</v>
      </c>
      <c r="M47" s="444">
        <f>+M46/J38</f>
        <v>115.35639926977566</v>
      </c>
    </row>
    <row r="48" spans="1:14" ht="17.45" customHeight="1">
      <c r="A48" s="799" t="s">
        <v>15</v>
      </c>
      <c r="B48" s="800"/>
      <c r="C48" s="168">
        <f>SUMIF($G$7:$G$31,"Start Up",$F$7:$F$31)</f>
        <v>0</v>
      </c>
      <c r="D48" s="122">
        <f>+C48+'19'!D48</f>
        <v>0</v>
      </c>
      <c r="E48" s="147">
        <f t="shared" si="0"/>
        <v>0</v>
      </c>
      <c r="F48" s="372"/>
      <c r="G48" s="373"/>
      <c r="H48" s="191" t="s">
        <v>84</v>
      </c>
      <c r="I48" s="122">
        <f>I46/I40</f>
        <v>509.68415743171613</v>
      </c>
      <c r="J48" s="139">
        <f>J46/J40</f>
        <v>658.1545949996198</v>
      </c>
      <c r="K48" s="134" t="s">
        <v>25</v>
      </c>
      <c r="L48" s="443">
        <f>+L46/I38</f>
        <v>77.465813209194053</v>
      </c>
      <c r="M48" s="444">
        <f>+M46/J40</f>
        <v>119.35564440437794</v>
      </c>
    </row>
    <row r="49" spans="1:13" ht="17.45" customHeight="1">
      <c r="A49" s="799" t="s">
        <v>21</v>
      </c>
      <c r="B49" s="800"/>
      <c r="C49" s="168">
        <f>SUMIF($G$7:$G$31,"Others",$F$7:$F$31)</f>
        <v>0</v>
      </c>
      <c r="D49" s="122">
        <f>+C49+'19'!D49</f>
        <v>1440</v>
      </c>
      <c r="E49" s="147">
        <f t="shared" si="0"/>
        <v>24</v>
      </c>
      <c r="F49" s="188"/>
      <c r="H49" s="191" t="s">
        <v>85</v>
      </c>
      <c r="I49" s="122">
        <f>+Report1!AB28</f>
        <v>0</v>
      </c>
      <c r="J49" s="139">
        <f>+I49+'19'!J49</f>
        <v>0</v>
      </c>
      <c r="K49" s="134" t="s">
        <v>86</v>
      </c>
      <c r="L49" s="439"/>
      <c r="M49" s="440"/>
    </row>
    <row r="50" spans="1:13" ht="17.45" customHeight="1">
      <c r="A50" s="799" t="s">
        <v>20</v>
      </c>
      <c r="B50" s="800"/>
      <c r="C50" s="168">
        <f>SUMIF($G$7:$G$31,"Steam",$F$7:$F$31)</f>
        <v>0</v>
      </c>
      <c r="D50" s="122">
        <f>+C50+'19'!D50</f>
        <v>0</v>
      </c>
      <c r="E50" s="147">
        <f t="shared" si="0"/>
        <v>0</v>
      </c>
      <c r="F50" s="188"/>
      <c r="H50" s="191" t="s">
        <v>87</v>
      </c>
      <c r="I50" s="144">
        <f>I49/I38</f>
        <v>0</v>
      </c>
      <c r="J50" s="137">
        <f>J49/J38</f>
        <v>0</v>
      </c>
      <c r="K50" s="134" t="s">
        <v>86</v>
      </c>
      <c r="L50" s="439"/>
      <c r="M50" s="440"/>
    </row>
    <row r="51" spans="1:13" ht="17.45" customHeight="1" thickBot="1">
      <c r="A51" s="805" t="s">
        <v>88</v>
      </c>
      <c r="B51" s="806"/>
      <c r="C51" s="168">
        <f>SUMIF($G$7:$G$31,"Planned shut",$F$7:$F$31)</f>
        <v>0</v>
      </c>
      <c r="D51" s="122">
        <f>+C51+'19'!D51</f>
        <v>0</v>
      </c>
      <c r="E51" s="147">
        <f t="shared" si="0"/>
        <v>0</v>
      </c>
      <c r="F51" s="188"/>
      <c r="H51" s="193" t="s">
        <v>89</v>
      </c>
      <c r="I51" s="145">
        <f>I49/I40</f>
        <v>0</v>
      </c>
      <c r="J51" s="140">
        <f>J49/J40</f>
        <v>0</v>
      </c>
      <c r="K51" s="141" t="s">
        <v>86</v>
      </c>
      <c r="L51" s="439"/>
      <c r="M51" s="440"/>
    </row>
    <row r="52" spans="1:13" ht="13.5" thickBot="1">
      <c r="A52" s="803" t="s">
        <v>29</v>
      </c>
      <c r="B52" s="804"/>
      <c r="C52" s="148">
        <f>SUM(C38:C51)</f>
        <v>19</v>
      </c>
      <c r="D52" s="148">
        <f>SUM(D38:D51)</f>
        <v>3495</v>
      </c>
      <c r="E52" s="149">
        <f>SUM(E38:E51)</f>
        <v>58.25</v>
      </c>
      <c r="F52" s="188"/>
      <c r="H52" s="194"/>
      <c r="I52" s="195"/>
      <c r="J52" s="142"/>
      <c r="K52" s="143"/>
      <c r="L52" s="446"/>
      <c r="M52" s="447"/>
    </row>
    <row r="53" spans="1:13" ht="13.5" thickBot="1">
      <c r="A53" s="807"/>
      <c r="B53" s="808"/>
      <c r="C53" s="150">
        <f>C52/(24*60)</f>
        <v>1.3194444444444444E-2</v>
      </c>
      <c r="D53" s="150">
        <f>D52/(24*60*G4)</f>
        <v>0.12135416666666667</v>
      </c>
      <c r="E53" s="151">
        <f>E52/(G4*24)</f>
        <v>0.12135416666666667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90</v>
      </c>
      <c r="B56" s="198"/>
      <c r="C56" s="199"/>
      <c r="D56" s="199"/>
      <c r="E56" s="199"/>
      <c r="F56" s="200"/>
      <c r="G56" s="199"/>
      <c r="H56" s="201"/>
      <c r="I56" s="202" t="s">
        <v>91</v>
      </c>
      <c r="J56" s="203">
        <f>+D34+'19'!J56</f>
        <v>15632</v>
      </c>
      <c r="K56" s="204">
        <f>J56/(J40+J56/1000)/1000</f>
        <v>1.5022189249601671E-2</v>
      </c>
    </row>
    <row r="57" spans="1:13">
      <c r="A57" s="179"/>
      <c r="I57" s="202" t="s">
        <v>92</v>
      </c>
      <c r="J57" s="203">
        <f>+E34+'19'!J57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  <mergeCell ref="A43:B43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53:B53"/>
    <mergeCell ref="A47:B47"/>
    <mergeCell ref="A48:B48"/>
    <mergeCell ref="A49:B49"/>
    <mergeCell ref="A50:B50"/>
  </mergeCells>
  <phoneticPr fontId="31" type="noConversion"/>
  <printOptions horizontalCentered="1"/>
  <pageMargins left="0.74791666666666667" right="0.74791666666666667" top="0.39027777777777778" bottom="0.59027777777777779" header="0" footer="0"/>
  <pageSetup paperSize="9" scale="57" firstPageNumber="4294963191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R61"/>
  <sheetViews>
    <sheetView view="pageBreakPreview" topLeftCell="D4" zoomScale="80" zoomScaleNormal="80" zoomScaleSheetLayoutView="80" workbookViewId="0">
      <selection activeCell="Q21" sqref="Q21:R21"/>
    </sheetView>
  </sheetViews>
  <sheetFormatPr defaultColWidth="9.140625" defaultRowHeight="12.75"/>
  <cols>
    <col min="1" max="1" width="8" style="153" customWidth="1"/>
    <col min="2" max="2" width="7" style="153" bestFit="1" customWidth="1"/>
    <col min="3" max="3" width="14.85546875" style="153" bestFit="1" customWidth="1"/>
    <col min="4" max="4" width="12.5703125" style="153" bestFit="1" customWidth="1"/>
    <col min="5" max="5" width="13.85546875" style="153" bestFit="1" customWidth="1"/>
    <col min="6" max="6" width="12.140625" style="114" bestFit="1" customWidth="1"/>
    <col min="7" max="7" width="11.42578125" style="153" bestFit="1" customWidth="1"/>
    <col min="8" max="8" width="64.85546875" style="153" customWidth="1"/>
    <col min="9" max="9" width="14.7109375" style="153" bestFit="1" customWidth="1"/>
    <col min="10" max="10" width="21.7109375" style="153" bestFit="1" customWidth="1"/>
    <col min="11" max="11" width="12.5703125" style="153" bestFit="1" customWidth="1"/>
    <col min="12" max="12" width="8.28515625" style="153" customWidth="1"/>
    <col min="13" max="13" width="14.7109375" style="153" customWidth="1"/>
    <col min="14" max="16384" width="9.140625" style="153"/>
  </cols>
  <sheetData>
    <row r="1" spans="1:18" ht="15.75">
      <c r="A1" s="152"/>
    </row>
    <row r="2" spans="1:18" ht="15.75">
      <c r="A2" s="152" t="s">
        <v>175</v>
      </c>
    </row>
    <row r="3" spans="1:18" ht="15">
      <c r="A3" s="154"/>
    </row>
    <row r="4" spans="1:18" ht="20.25">
      <c r="A4" s="155" t="s">
        <v>4</v>
      </c>
      <c r="B4" s="156"/>
      <c r="F4" s="157" t="s">
        <v>31</v>
      </c>
      <c r="G4" s="158">
        <v>19</v>
      </c>
      <c r="H4" s="158" t="str">
        <f>+'1'!H4</f>
        <v>.12.25</v>
      </c>
    </row>
    <row r="5" spans="1:18" ht="13.5" thickBot="1">
      <c r="C5" s="159"/>
      <c r="D5" s="159"/>
    </row>
    <row r="6" spans="1:18" ht="26.25" thickBot="1">
      <c r="A6" s="160" t="s">
        <v>50</v>
      </c>
      <c r="B6" s="161" t="s">
        <v>10</v>
      </c>
      <c r="C6" s="161" t="s">
        <v>51</v>
      </c>
      <c r="D6" s="161" t="s">
        <v>52</v>
      </c>
      <c r="E6" s="162" t="s">
        <v>53</v>
      </c>
      <c r="F6" s="106" t="s">
        <v>54</v>
      </c>
      <c r="G6" s="161" t="s">
        <v>55</v>
      </c>
      <c r="H6" s="163" t="s">
        <v>56</v>
      </c>
      <c r="I6" s="164" t="s">
        <v>57</v>
      </c>
      <c r="J6" s="165" t="s">
        <v>10</v>
      </c>
      <c r="K6" s="166" t="s">
        <v>58</v>
      </c>
      <c r="L6" s="213" t="s">
        <v>143</v>
      </c>
      <c r="M6" s="167" t="s">
        <v>59</v>
      </c>
      <c r="N6" s="153">
        <f>389+339+333</f>
        <v>1061</v>
      </c>
    </row>
    <row r="7" spans="1:18" ht="13.5" customHeight="1" thickBot="1">
      <c r="A7" s="789" t="s">
        <v>413</v>
      </c>
      <c r="B7" s="218" t="s">
        <v>589</v>
      </c>
      <c r="C7" s="219">
        <v>5081</v>
      </c>
      <c r="D7" s="220"/>
      <c r="E7" s="221"/>
      <c r="F7" s="230"/>
      <c r="G7" s="231" t="s">
        <v>13</v>
      </c>
      <c r="H7" s="232" t="s">
        <v>395</v>
      </c>
      <c r="I7" s="792" t="s">
        <v>596</v>
      </c>
      <c r="J7" s="217" t="str">
        <f>+'18'!J7</f>
        <v>TW 38 RC BR</v>
      </c>
      <c r="K7" s="240"/>
      <c r="L7" s="244"/>
      <c r="M7" s="121">
        <f>+K7+'18'!M7+L7</f>
        <v>78513</v>
      </c>
    </row>
    <row r="8" spans="1:18" ht="13.5" thickBot="1">
      <c r="A8" s="790"/>
      <c r="B8" s="218" t="s">
        <v>599</v>
      </c>
      <c r="C8" s="219">
        <v>16199</v>
      </c>
      <c r="D8" s="220"/>
      <c r="E8" s="222"/>
      <c r="F8" s="233">
        <v>5</v>
      </c>
      <c r="G8" s="234" t="s">
        <v>13</v>
      </c>
      <c r="H8" s="232" t="s">
        <v>393</v>
      </c>
      <c r="I8" s="793"/>
      <c r="J8" s="217" t="str">
        <f>+'18'!J8</f>
        <v>TW 36 RC BR</v>
      </c>
      <c r="K8" s="241"/>
      <c r="L8" s="241"/>
      <c r="M8" s="121">
        <f>+K8+'18'!M8+L8</f>
        <v>1530</v>
      </c>
      <c r="N8" s="153">
        <v>830</v>
      </c>
      <c r="O8" s="153">
        <f>+N8-N8*0.14</f>
        <v>713.8</v>
      </c>
      <c r="P8" s="153">
        <v>15</v>
      </c>
      <c r="Q8" s="153">
        <f>+N8*P8</f>
        <v>12450</v>
      </c>
      <c r="R8" s="153">
        <f>+O8*P8</f>
        <v>10707</v>
      </c>
    </row>
    <row r="9" spans="1:18" ht="13.5" thickBot="1">
      <c r="A9" s="790"/>
      <c r="B9" s="218"/>
      <c r="C9" s="219"/>
      <c r="D9" s="220"/>
      <c r="E9" s="223"/>
      <c r="F9" s="230">
        <v>5</v>
      </c>
      <c r="G9" s="234" t="s">
        <v>13</v>
      </c>
      <c r="H9" s="235" t="s">
        <v>226</v>
      </c>
      <c r="I9" s="793"/>
      <c r="J9" s="217" t="str">
        <f>+'18'!J9</f>
        <v>N 20 RC BR</v>
      </c>
      <c r="K9" s="241"/>
      <c r="L9" s="241"/>
      <c r="M9" s="121">
        <f>+K9+'18'!M9+L9</f>
        <v>74204</v>
      </c>
      <c r="N9" s="153">
        <v>800</v>
      </c>
      <c r="O9" s="153">
        <f>+N9-N9*0.14</f>
        <v>688</v>
      </c>
      <c r="P9" s="153">
        <f>45+300</f>
        <v>345</v>
      </c>
      <c r="Q9" s="153">
        <f>+N9*P9</f>
        <v>276000</v>
      </c>
      <c r="R9" s="153">
        <f>+O9*P9</f>
        <v>237360</v>
      </c>
    </row>
    <row r="10" spans="1:18" ht="13.5" thickBot="1">
      <c r="A10" s="790"/>
      <c r="B10" s="218"/>
      <c r="C10" s="219"/>
      <c r="D10" s="220"/>
      <c r="E10" s="222"/>
      <c r="F10" s="230"/>
      <c r="G10" s="234"/>
      <c r="H10" s="235" t="s">
        <v>592</v>
      </c>
      <c r="I10" s="793"/>
      <c r="J10" s="217" t="str">
        <f>+'18'!J10</f>
        <v>TW 17 RC HW</v>
      </c>
      <c r="K10" s="241"/>
      <c r="L10" s="241"/>
      <c r="M10" s="121">
        <f>+K10+'18'!M10+L10</f>
        <v>99162</v>
      </c>
      <c r="N10" s="153">
        <v>810</v>
      </c>
      <c r="O10" s="153">
        <f>+N10-N10*0.14</f>
        <v>696.6</v>
      </c>
      <c r="P10" s="153">
        <v>120</v>
      </c>
      <c r="Q10" s="153">
        <f>+N10*P10</f>
        <v>97200</v>
      </c>
      <c r="R10" s="153">
        <f>+O10*P10</f>
        <v>83592</v>
      </c>
    </row>
    <row r="11" spans="1:18" ht="13.5" thickBot="1">
      <c r="A11" s="790"/>
      <c r="B11" s="218"/>
      <c r="C11" s="219"/>
      <c r="D11" s="220"/>
      <c r="E11" s="222"/>
      <c r="F11" s="230">
        <v>5</v>
      </c>
      <c r="G11" s="234" t="s">
        <v>13</v>
      </c>
      <c r="H11" s="235" t="s">
        <v>594</v>
      </c>
      <c r="I11" s="793"/>
      <c r="J11" s="217" t="str">
        <f>+'18'!J11</f>
        <v>N 15,5 RC HW</v>
      </c>
      <c r="K11" s="241"/>
      <c r="L11" s="241"/>
      <c r="M11" s="121">
        <f>+K11+'18'!M11+L11</f>
        <v>159490</v>
      </c>
      <c r="P11" s="153">
        <f>SUM(P8:P10)</f>
        <v>480</v>
      </c>
      <c r="Q11" s="153">
        <f>SUM(Q8:Q10)</f>
        <v>385650</v>
      </c>
      <c r="R11" s="153">
        <f>SUM(R8:R10)</f>
        <v>331659</v>
      </c>
    </row>
    <row r="12" spans="1:18" ht="13.5" thickBot="1">
      <c r="A12" s="790"/>
      <c r="B12" s="218"/>
      <c r="C12" s="219"/>
      <c r="D12" s="220"/>
      <c r="E12" s="222"/>
      <c r="F12" s="230"/>
      <c r="G12" s="234"/>
      <c r="H12" s="235" t="s">
        <v>593</v>
      </c>
      <c r="I12" s="793"/>
      <c r="J12" s="217" t="str">
        <f>+'18'!J12</f>
        <v>N 17 RC HW</v>
      </c>
      <c r="K12" s="241"/>
      <c r="L12" s="241"/>
      <c r="M12" s="121">
        <f>+K12+'18'!M12+L12</f>
        <v>6572</v>
      </c>
      <c r="Q12" s="153">
        <f>+Q11/P11</f>
        <v>803.4375</v>
      </c>
      <c r="R12" s="153">
        <f>+R11/P11</f>
        <v>690.95624999999995</v>
      </c>
    </row>
    <row r="13" spans="1:18" ht="13.5" thickBot="1">
      <c r="A13" s="790"/>
      <c r="B13" s="218"/>
      <c r="C13" s="219"/>
      <c r="D13" s="219"/>
      <c r="E13" s="222"/>
      <c r="F13" s="230"/>
      <c r="G13" s="234"/>
      <c r="H13" s="235"/>
      <c r="I13" s="794"/>
      <c r="J13" s="217" t="str">
        <f>+'18'!J13</f>
        <v>N 16,5 RC HW</v>
      </c>
      <c r="K13" s="241"/>
      <c r="L13" s="241"/>
      <c r="M13" s="121">
        <f>+K13+'18'!M13+L13</f>
        <v>18880</v>
      </c>
    </row>
    <row r="14" spans="1:18" ht="13.5" thickBot="1">
      <c r="A14" s="791"/>
      <c r="B14" s="169" t="s">
        <v>3</v>
      </c>
      <c r="C14" s="103">
        <f>SUM(C7:C13)</f>
        <v>21280</v>
      </c>
      <c r="D14" s="115">
        <f>SUM(D7:D13)</f>
        <v>0</v>
      </c>
      <c r="E14" s="116">
        <f>SUM(E5:E13)</f>
        <v>0</v>
      </c>
      <c r="F14" s="120"/>
      <c r="G14" s="163"/>
      <c r="H14" s="170"/>
      <c r="I14" s="171"/>
      <c r="J14" s="217" t="str">
        <f>+'18'!J14</f>
        <v>N 20 RC HW</v>
      </c>
      <c r="K14" s="241"/>
      <c r="L14" s="241"/>
      <c r="M14" s="121">
        <f>+K14+'18'!M14+L14</f>
        <v>394199</v>
      </c>
    </row>
    <row r="15" spans="1:18" ht="13.5" customHeight="1" thickBot="1">
      <c r="A15" s="789" t="s">
        <v>414</v>
      </c>
      <c r="B15" s="169"/>
      <c r="C15" s="117">
        <f>C14/($C$23+$D$23+$E$23)</f>
        <v>0.92970422473677317</v>
      </c>
      <c r="D15" s="118">
        <f>D14/($C$23+$D$23+$E$23)</f>
        <v>0</v>
      </c>
      <c r="E15" s="119">
        <f>E14/($C$23+$D$23+$E$23)</f>
        <v>0</v>
      </c>
      <c r="F15" s="230"/>
      <c r="G15" s="231" t="s">
        <v>13</v>
      </c>
      <c r="H15" s="232" t="s">
        <v>395</v>
      </c>
      <c r="I15" s="792" t="s">
        <v>597</v>
      </c>
      <c r="J15" s="217" t="str">
        <f>+'18'!J15</f>
        <v>N 18 RC HW</v>
      </c>
      <c r="K15" s="241"/>
      <c r="L15" s="241"/>
      <c r="M15" s="121">
        <f>+K15+'18'!M15+L15</f>
        <v>50657</v>
      </c>
    </row>
    <row r="16" spans="1:18" ht="13.5" thickBot="1">
      <c r="A16" s="795"/>
      <c r="B16" s="218" t="s">
        <v>599</v>
      </c>
      <c r="C16" s="224">
        <v>22889</v>
      </c>
      <c r="D16" s="225"/>
      <c r="E16" s="226"/>
      <c r="F16" s="233"/>
      <c r="G16" s="234" t="s">
        <v>13</v>
      </c>
      <c r="H16" s="232" t="s">
        <v>424</v>
      </c>
      <c r="I16" s="793"/>
      <c r="J16" s="217" t="str">
        <f>+'18'!J16</f>
        <v>TW 17,5 RC HW</v>
      </c>
      <c r="K16" s="241">
        <f>+C7</f>
        <v>5081</v>
      </c>
      <c r="L16" s="241"/>
      <c r="M16" s="121">
        <f>+K16+'18'!M16+L16</f>
        <v>11537</v>
      </c>
    </row>
    <row r="17" spans="1:18" ht="13.5" thickBot="1">
      <c r="A17" s="795"/>
      <c r="B17" s="218"/>
      <c r="C17" s="219"/>
      <c r="D17" s="220"/>
      <c r="E17" s="227"/>
      <c r="F17" s="230">
        <v>3</v>
      </c>
      <c r="G17" s="234" t="s">
        <v>13</v>
      </c>
      <c r="H17" s="235" t="s">
        <v>226</v>
      </c>
      <c r="I17" s="793"/>
      <c r="J17" s="217" t="s">
        <v>599</v>
      </c>
      <c r="K17" s="241">
        <f>+C8+C16+C25</f>
        <v>62811</v>
      </c>
      <c r="L17" s="241"/>
      <c r="M17" s="121">
        <f>+K17+'18'!M17+L17</f>
        <v>62811</v>
      </c>
    </row>
    <row r="18" spans="1:18" ht="13.5" thickBot="1">
      <c r="A18" s="795"/>
      <c r="B18" s="218"/>
      <c r="C18" s="219"/>
      <c r="D18" s="220"/>
      <c r="E18" s="227"/>
      <c r="F18" s="230"/>
      <c r="G18" s="234"/>
      <c r="H18" s="235" t="s">
        <v>595</v>
      </c>
      <c r="I18" s="793"/>
      <c r="J18" s="217">
        <f>+'18'!J18</f>
        <v>0</v>
      </c>
      <c r="K18" s="241"/>
      <c r="L18" s="241"/>
      <c r="M18" s="121">
        <f>+K18+'18'!M18+L18</f>
        <v>0</v>
      </c>
      <c r="N18" s="153">
        <v>800</v>
      </c>
      <c r="O18" s="153">
        <f>+N18-N18*0.14</f>
        <v>688</v>
      </c>
      <c r="P18" s="153">
        <f>45+300</f>
        <v>345</v>
      </c>
      <c r="Q18" s="153">
        <f>+N18*P18</f>
        <v>276000</v>
      </c>
      <c r="R18" s="153">
        <f>+O18*P18</f>
        <v>237360</v>
      </c>
    </row>
    <row r="19" spans="1:18" ht="13.5" thickBot="1">
      <c r="A19" s="795"/>
      <c r="B19" s="218"/>
      <c r="C19" s="219"/>
      <c r="D19" s="220"/>
      <c r="E19" s="227"/>
      <c r="F19" s="237"/>
      <c r="G19" s="234"/>
      <c r="H19" s="235"/>
      <c r="I19" s="793"/>
      <c r="J19" s="217">
        <f>+'18'!J19</f>
        <v>0</v>
      </c>
      <c r="K19" s="241"/>
      <c r="L19" s="241"/>
      <c r="M19" s="121">
        <f>+K19+'18'!M19+L19</f>
        <v>0</v>
      </c>
      <c r="N19" s="153">
        <v>810</v>
      </c>
      <c r="O19" s="153">
        <f>+N19-N19*0.14</f>
        <v>696.6</v>
      </c>
      <c r="P19" s="153">
        <f>120+480+480</f>
        <v>1080</v>
      </c>
      <c r="Q19" s="153">
        <f>+N19*P19</f>
        <v>874800</v>
      </c>
      <c r="R19" s="153">
        <f>+O19*P19</f>
        <v>752328</v>
      </c>
    </row>
    <row r="20" spans="1:18" ht="13.5" thickBot="1">
      <c r="A20" s="795"/>
      <c r="B20" s="218"/>
      <c r="C20" s="219"/>
      <c r="D20" s="220"/>
      <c r="E20" s="227"/>
      <c r="F20" s="230"/>
      <c r="G20" s="234"/>
      <c r="H20" s="235"/>
      <c r="I20" s="793"/>
      <c r="J20" s="217">
        <f>+'18'!J20</f>
        <v>0</v>
      </c>
      <c r="K20" s="241"/>
      <c r="L20" s="241"/>
      <c r="M20" s="121">
        <f>+K20+'18'!M20+L20</f>
        <v>0</v>
      </c>
      <c r="P20" s="153">
        <f>SUM(P17:P19)</f>
        <v>1425</v>
      </c>
      <c r="Q20" s="153">
        <f>SUM(Q17:Q19)</f>
        <v>1150800</v>
      </c>
      <c r="R20" s="153">
        <f>SUM(R17:R19)</f>
        <v>989688</v>
      </c>
    </row>
    <row r="21" spans="1:18" ht="13.5" thickBot="1">
      <c r="A21" s="795"/>
      <c r="B21" s="218"/>
      <c r="C21" s="219"/>
      <c r="D21" s="220"/>
      <c r="E21" s="227"/>
      <c r="F21" s="233"/>
      <c r="G21" s="234"/>
      <c r="H21" s="235"/>
      <c r="I21" s="793"/>
      <c r="J21" s="217">
        <f>+'18'!J21</f>
        <v>0</v>
      </c>
      <c r="K21" s="241"/>
      <c r="L21" s="241"/>
      <c r="M21" s="121">
        <f>+K21+'18'!M21+L21</f>
        <v>0</v>
      </c>
      <c r="Q21" s="153">
        <f>+Q20/P20</f>
        <v>807.57894736842104</v>
      </c>
      <c r="R21" s="153">
        <f>+R20/P20</f>
        <v>694.51789473684209</v>
      </c>
    </row>
    <row r="22" spans="1:18" ht="13.5" thickBot="1">
      <c r="A22" s="795"/>
      <c r="B22" s="218"/>
      <c r="C22" s="219"/>
      <c r="D22" s="220"/>
      <c r="E22" s="227"/>
      <c r="F22" s="238"/>
      <c r="G22" s="234"/>
      <c r="H22" s="235"/>
      <c r="I22" s="794"/>
      <c r="J22" s="217">
        <f>+'18'!J22</f>
        <v>0</v>
      </c>
      <c r="K22" s="241"/>
      <c r="L22" s="241"/>
      <c r="M22" s="121">
        <f>+K22+'18'!M22+L22</f>
        <v>0</v>
      </c>
    </row>
    <row r="23" spans="1:18" ht="13.5" thickBot="1">
      <c r="A23" s="796"/>
      <c r="B23" s="169" t="s">
        <v>3</v>
      </c>
      <c r="C23" s="104">
        <f>SUM(C16:C22)</f>
        <v>22889</v>
      </c>
      <c r="D23" s="115">
        <f>SUM(D16:D22)</f>
        <v>0</v>
      </c>
      <c r="E23" s="116">
        <f>SUM(E18:E22)</f>
        <v>0</v>
      </c>
      <c r="F23" s="120"/>
      <c r="G23" s="163"/>
      <c r="H23" s="170"/>
      <c r="I23" s="172"/>
      <c r="J23" s="217">
        <f>+'18'!J23</f>
        <v>0</v>
      </c>
      <c r="K23" s="241"/>
      <c r="L23" s="241"/>
      <c r="M23" s="121">
        <f>+K23+'18'!M23+L23</f>
        <v>0</v>
      </c>
    </row>
    <row r="24" spans="1:18" ht="13.5" customHeight="1" thickBot="1">
      <c r="A24" s="789" t="s">
        <v>415</v>
      </c>
      <c r="B24" s="173"/>
      <c r="C24" s="117">
        <f>C23/($C$23+$D$23+$E$23)</f>
        <v>1</v>
      </c>
      <c r="D24" s="118">
        <f>D23/($C$23+$D$23+$E$23)</f>
        <v>0</v>
      </c>
      <c r="E24" s="119">
        <f>E23/($C$23+$D$23+$E$23)</f>
        <v>0</v>
      </c>
      <c r="F24" s="230"/>
      <c r="G24" s="231" t="s">
        <v>13</v>
      </c>
      <c r="H24" s="232" t="s">
        <v>395</v>
      </c>
      <c r="I24" s="792" t="s">
        <v>597</v>
      </c>
      <c r="J24" s="217">
        <f>+'18'!J24</f>
        <v>0</v>
      </c>
      <c r="K24" s="241"/>
      <c r="L24" s="241"/>
      <c r="M24" s="121">
        <f>+K24+'18'!M24+L24</f>
        <v>0</v>
      </c>
    </row>
    <row r="25" spans="1:18" ht="13.5" thickBot="1">
      <c r="A25" s="795"/>
      <c r="B25" s="218" t="s">
        <v>599</v>
      </c>
      <c r="C25" s="228">
        <v>23723</v>
      </c>
      <c r="D25" s="220"/>
      <c r="E25" s="227"/>
      <c r="F25" s="233">
        <v>4</v>
      </c>
      <c r="G25" s="234" t="s">
        <v>13</v>
      </c>
      <c r="H25" s="232" t="s">
        <v>393</v>
      </c>
      <c r="I25" s="793"/>
      <c r="J25" s="217">
        <f>+'18'!J25</f>
        <v>0</v>
      </c>
      <c r="K25" s="241"/>
      <c r="L25" s="241"/>
      <c r="M25" s="121">
        <f>+K25+'18'!M25+L25</f>
        <v>0</v>
      </c>
    </row>
    <row r="26" spans="1:18" ht="13.5" thickBot="1">
      <c r="A26" s="795"/>
      <c r="B26" s="218"/>
      <c r="C26" s="228"/>
      <c r="D26" s="220"/>
      <c r="E26" s="229"/>
      <c r="F26" s="230">
        <v>3</v>
      </c>
      <c r="G26" s="234" t="s">
        <v>13</v>
      </c>
      <c r="H26" s="235" t="s">
        <v>226</v>
      </c>
      <c r="I26" s="793"/>
      <c r="J26" s="217">
        <f>+'18'!J26</f>
        <v>0</v>
      </c>
      <c r="K26" s="241"/>
      <c r="L26" s="241"/>
      <c r="M26" s="121">
        <f>+K26+'18'!M26+L26</f>
        <v>0</v>
      </c>
    </row>
    <row r="27" spans="1:18" ht="13.5" thickBot="1">
      <c r="A27" s="795"/>
      <c r="B27" s="218"/>
      <c r="C27" s="219"/>
      <c r="D27" s="220"/>
      <c r="E27" s="227"/>
      <c r="F27" s="230"/>
      <c r="G27" s="234"/>
      <c r="H27" s="235" t="s">
        <v>595</v>
      </c>
      <c r="I27" s="793"/>
      <c r="J27" s="217">
        <f>+'18'!J27</f>
        <v>0</v>
      </c>
      <c r="K27" s="241"/>
      <c r="L27" s="241"/>
      <c r="M27" s="121">
        <f>+K27+'18'!M27+L27</f>
        <v>0</v>
      </c>
    </row>
    <row r="28" spans="1:18" ht="13.5" thickBot="1">
      <c r="A28" s="795"/>
      <c r="B28" s="218"/>
      <c r="C28" s="219"/>
      <c r="D28" s="220"/>
      <c r="E28" s="227"/>
      <c r="F28" s="233"/>
      <c r="G28" s="234"/>
      <c r="H28" s="235"/>
      <c r="I28" s="793"/>
      <c r="J28" s="217">
        <f>+'18'!J28</f>
        <v>0</v>
      </c>
      <c r="K28" s="241"/>
      <c r="L28" s="241"/>
      <c r="M28" s="121">
        <f>+K28+'18'!M28+L28</f>
        <v>0</v>
      </c>
    </row>
    <row r="29" spans="1:18" ht="13.5" thickBot="1">
      <c r="A29" s="795"/>
      <c r="B29" s="218"/>
      <c r="C29" s="219"/>
      <c r="D29" s="220"/>
      <c r="E29" s="227"/>
      <c r="F29" s="238"/>
      <c r="G29" s="234"/>
      <c r="H29" s="235"/>
      <c r="I29" s="793"/>
      <c r="J29" s="217">
        <f>+'18'!J29</f>
        <v>0</v>
      </c>
      <c r="K29" s="241"/>
      <c r="L29" s="241"/>
      <c r="M29" s="121">
        <f>+K29+'18'!M29+L29</f>
        <v>0</v>
      </c>
    </row>
    <row r="30" spans="1:18" ht="13.5" thickBot="1">
      <c r="A30" s="795"/>
      <c r="B30" s="218"/>
      <c r="C30" s="228"/>
      <c r="D30" s="220"/>
      <c r="E30" s="227"/>
      <c r="F30" s="238"/>
      <c r="G30" s="234"/>
      <c r="H30" s="235"/>
      <c r="I30" s="793"/>
      <c r="J30" s="217">
        <f>+'18'!J30</f>
        <v>0</v>
      </c>
      <c r="K30" s="241"/>
      <c r="L30" s="241"/>
      <c r="M30" s="121">
        <f>+K30+'18'!M30+L30</f>
        <v>0</v>
      </c>
      <c r="N30" s="159"/>
    </row>
    <row r="31" spans="1:18" ht="13.5" thickBot="1">
      <c r="A31" s="795"/>
      <c r="B31" s="218"/>
      <c r="C31" s="228"/>
      <c r="D31" s="220"/>
      <c r="E31" s="227"/>
      <c r="F31" s="238"/>
      <c r="G31" s="239"/>
      <c r="H31" s="236"/>
      <c r="I31" s="794"/>
      <c r="J31" s="217">
        <f>+'18'!J31</f>
        <v>0</v>
      </c>
      <c r="K31" s="241"/>
      <c r="L31" s="241"/>
      <c r="M31" s="121">
        <f>+K31+'18'!M31+L31</f>
        <v>0</v>
      </c>
    </row>
    <row r="32" spans="1:18" ht="13.5" thickBot="1">
      <c r="A32" s="796"/>
      <c r="B32" s="169" t="s">
        <v>3</v>
      </c>
      <c r="C32" s="103">
        <f>SUM(C25:C31)</f>
        <v>23723</v>
      </c>
      <c r="D32" s="104">
        <f>SUM(D25:D31)</f>
        <v>0</v>
      </c>
      <c r="E32" s="105">
        <f>SUM(E25:E31)</f>
        <v>0</v>
      </c>
      <c r="F32" s="106">
        <f>SUM(F24:F31)</f>
        <v>7</v>
      </c>
      <c r="G32" s="174"/>
      <c r="H32" s="175"/>
      <c r="I32" s="172"/>
      <c r="J32" s="217">
        <f>+'18'!J32</f>
        <v>0</v>
      </c>
      <c r="K32" s="243"/>
      <c r="L32" s="245"/>
      <c r="M32" s="121">
        <f>+K32+'18'!M32+L32</f>
        <v>0</v>
      </c>
    </row>
    <row r="33" spans="1:14" ht="13.5" thickBot="1">
      <c r="A33" s="176"/>
      <c r="B33" s="177"/>
      <c r="C33" s="107">
        <f>C32/($C$32+$D$32+$E$32)</f>
        <v>1</v>
      </c>
      <c r="D33" s="108">
        <f>D32/($C$32+$D$32+$E$32)</f>
        <v>0</v>
      </c>
      <c r="E33" s="109">
        <f>E32/($C$32+$D$32+$E$32)</f>
        <v>0</v>
      </c>
      <c r="F33" s="110"/>
      <c r="G33" s="178"/>
      <c r="H33" s="179"/>
      <c r="I33" s="180"/>
      <c r="J33" s="125"/>
      <c r="K33" s="126"/>
      <c r="L33" s="216"/>
      <c r="M33" s="123"/>
    </row>
    <row r="34" spans="1:14" ht="13.5" thickBot="1">
      <c r="A34" s="797" t="s">
        <v>60</v>
      </c>
      <c r="B34" s="798"/>
      <c r="C34" s="111">
        <f>C14+C23+C32</f>
        <v>67892</v>
      </c>
      <c r="D34" s="111">
        <f>D14+D23+D32</f>
        <v>0</v>
      </c>
      <c r="E34" s="111">
        <f>E14+E23+E32</f>
        <v>0</v>
      </c>
      <c r="F34" s="112">
        <f>F14+F23+F32</f>
        <v>7</v>
      </c>
      <c r="H34" s="181"/>
      <c r="I34" s="181"/>
      <c r="J34" s="127" t="s">
        <v>29</v>
      </c>
      <c r="K34" s="128">
        <f>SUM(K7:K32)</f>
        <v>67892</v>
      </c>
      <c r="L34" s="215">
        <f>SUM(L7:L32)</f>
        <v>0</v>
      </c>
      <c r="M34" s="124">
        <f>SUM(M7:M32)</f>
        <v>957555</v>
      </c>
      <c r="N34" s="159"/>
    </row>
    <row r="35" spans="1:14" ht="13.5" thickBot="1">
      <c r="A35" s="182"/>
      <c r="B35" s="183"/>
      <c r="C35" s="108">
        <f>C34/($C$34+$D$34+$E$34)</f>
        <v>1</v>
      </c>
      <c r="D35" s="108">
        <f>D34/($C$34+$D$34+$E$34)</f>
        <v>0</v>
      </c>
      <c r="E35" s="113">
        <f>E34/($C$34+$D$34+$E$34)</f>
        <v>0</v>
      </c>
      <c r="K35" s="159"/>
      <c r="L35" s="788" t="s">
        <v>186</v>
      </c>
      <c r="M35" s="788"/>
    </row>
    <row r="36" spans="1:14" ht="13.5" thickBot="1">
      <c r="A36" s="181"/>
      <c r="B36" s="181"/>
      <c r="C36" s="159"/>
      <c r="D36" s="159"/>
      <c r="E36" s="159"/>
      <c r="G36" s="159"/>
      <c r="H36" s="184"/>
      <c r="I36" s="166" t="s">
        <v>42</v>
      </c>
      <c r="J36" s="166" t="s">
        <v>43</v>
      </c>
      <c r="K36" s="185"/>
      <c r="L36" s="166" t="s">
        <v>42</v>
      </c>
      <c r="M36" s="166" t="s">
        <v>43</v>
      </c>
    </row>
    <row r="37" spans="1:14" ht="17.45" customHeight="1" thickBot="1">
      <c r="A37" s="801" t="s">
        <v>61</v>
      </c>
      <c r="B37" s="802"/>
      <c r="C37" s="166" t="s">
        <v>62</v>
      </c>
      <c r="D37" s="186" t="s">
        <v>63</v>
      </c>
      <c r="E37" s="187" t="s">
        <v>64</v>
      </c>
      <c r="F37" s="372"/>
      <c r="G37" s="374"/>
      <c r="H37" s="189" t="s">
        <v>65</v>
      </c>
      <c r="I37" s="246">
        <f>(17.5*15+22*1425)/1440*G42*3.4*1440/1000000</f>
        <v>74.670108046875001</v>
      </c>
      <c r="J37" s="129">
        <f>+I37+'18'!J37</f>
        <v>1097.3859910822753</v>
      </c>
      <c r="K37" s="130" t="s">
        <v>66</v>
      </c>
      <c r="L37" s="437"/>
      <c r="M37" s="438"/>
      <c r="N37" s="153">
        <v>0.50900000000000001</v>
      </c>
    </row>
    <row r="38" spans="1:14" ht="17.45" customHeight="1">
      <c r="A38" s="803" t="s">
        <v>13</v>
      </c>
      <c r="B38" s="804"/>
      <c r="C38" s="168">
        <f>SUMIF($G$7:$G$31,"Process",$F$7:$F$31)</f>
        <v>25</v>
      </c>
      <c r="D38" s="122">
        <f>+C38+'18'!D38</f>
        <v>916</v>
      </c>
      <c r="E38" s="147">
        <f t="shared" ref="E38:E51" si="0">D38/60</f>
        <v>15.266666666666667</v>
      </c>
      <c r="F38" s="372">
        <v>803.4375</v>
      </c>
      <c r="G38" s="372">
        <v>690.95624999999995</v>
      </c>
      <c r="H38" s="190" t="s">
        <v>67</v>
      </c>
      <c r="I38" s="559">
        <f>21.401+23.627+22.597</f>
        <v>67.625</v>
      </c>
      <c r="J38" s="131">
        <f>+I38+'18'!J38</f>
        <v>991.75599999999986</v>
      </c>
      <c r="K38" s="132" t="s">
        <v>66</v>
      </c>
      <c r="L38" s="439"/>
      <c r="M38" s="440"/>
      <c r="N38" s="560">
        <f>+I38-N37</f>
        <v>67.116</v>
      </c>
    </row>
    <row r="39" spans="1:14" ht="17.45" customHeight="1">
      <c r="A39" s="799" t="s">
        <v>14</v>
      </c>
      <c r="B39" s="800"/>
      <c r="C39" s="168">
        <f>SUMIF($G$7:$G$31,"Cleaning",$F$7:$F$31)</f>
        <v>0</v>
      </c>
      <c r="D39" s="122">
        <f>+C39+'18'!D39</f>
        <v>0</v>
      </c>
      <c r="E39" s="147">
        <f t="shared" si="0"/>
        <v>0</v>
      </c>
      <c r="F39" s="372">
        <v>810</v>
      </c>
      <c r="G39" s="372">
        <f>+F39-F39*0.14</f>
        <v>696.6</v>
      </c>
      <c r="H39" s="190" t="s">
        <v>68</v>
      </c>
      <c r="I39" s="146"/>
      <c r="J39" s="133">
        <f>J37/G4</f>
        <v>57.757157425382907</v>
      </c>
      <c r="K39" s="134" t="s">
        <v>66</v>
      </c>
      <c r="L39" s="439"/>
      <c r="M39" s="440"/>
    </row>
    <row r="40" spans="1:14" ht="17.45" customHeight="1">
      <c r="A40" s="799" t="s">
        <v>69</v>
      </c>
      <c r="B40" s="800"/>
      <c r="C40" s="168">
        <f>SUMIF($G$7:$G$31,"Mechanical",$F$7:$F$31)</f>
        <v>0</v>
      </c>
      <c r="D40" s="122">
        <f>+C40+'18'!D40</f>
        <v>700</v>
      </c>
      <c r="E40" s="147">
        <f t="shared" si="0"/>
        <v>11.666666666666666</v>
      </c>
      <c r="F40" s="372">
        <v>810</v>
      </c>
      <c r="G40" s="372">
        <f>+F40-F40*0.14</f>
        <v>696.6</v>
      </c>
      <c r="H40" s="190" t="s">
        <v>70</v>
      </c>
      <c r="I40" s="122">
        <f>(K34+L34)/1000</f>
        <v>67.891999999999996</v>
      </c>
      <c r="J40" s="135">
        <f>+I40+'18'!J40</f>
        <v>957.55499999999984</v>
      </c>
      <c r="K40" s="134" t="s">
        <v>66</v>
      </c>
      <c r="L40" s="439"/>
      <c r="M40" s="440"/>
    </row>
    <row r="41" spans="1:14" ht="17.45" customHeight="1">
      <c r="A41" s="799" t="s">
        <v>71</v>
      </c>
      <c r="B41" s="800"/>
      <c r="C41" s="168">
        <f>SUMIF($G$7:$G$31,"Electrical",$F$7:$F$31)</f>
        <v>0</v>
      </c>
      <c r="D41" s="122">
        <f>+C41+'18'!D41</f>
        <v>315</v>
      </c>
      <c r="E41" s="147">
        <f t="shared" si="0"/>
        <v>5.25</v>
      </c>
      <c r="F41" s="372"/>
      <c r="G41" s="372"/>
      <c r="H41" s="190" t="s">
        <v>72</v>
      </c>
      <c r="I41" s="146"/>
      <c r="J41" s="133">
        <f>J40/G4</f>
        <v>50.397631578947362</v>
      </c>
      <c r="K41" s="134" t="s">
        <v>66</v>
      </c>
      <c r="L41" s="439"/>
      <c r="M41" s="440"/>
    </row>
    <row r="42" spans="1:14" ht="17.45" customHeight="1">
      <c r="A42" s="799" t="s">
        <v>17</v>
      </c>
      <c r="B42" s="800"/>
      <c r="C42" s="168">
        <f>SUMIF($G$7:$G$31,"Instrument",$F$7:$F$31)</f>
        <v>0</v>
      </c>
      <c r="D42" s="122">
        <f>+C42+'18'!D42</f>
        <v>0</v>
      </c>
      <c r="E42" s="147">
        <f t="shared" si="0"/>
        <v>0</v>
      </c>
      <c r="F42" s="372">
        <f>+(F38*480+F39*480+F40*480)/1440</f>
        <v>807.8125</v>
      </c>
      <c r="G42" s="372">
        <f>+(G38*480+G39*480+G40*480)/1440</f>
        <v>694.71875</v>
      </c>
      <c r="H42" s="190" t="s">
        <v>73</v>
      </c>
      <c r="I42" s="248" t="s">
        <v>598</v>
      </c>
      <c r="J42" s="136"/>
      <c r="K42" s="134" t="s">
        <v>74</v>
      </c>
      <c r="L42" s="439"/>
      <c r="M42" s="440"/>
    </row>
    <row r="43" spans="1:14" ht="17.45" customHeight="1">
      <c r="A43" s="799" t="s">
        <v>201</v>
      </c>
      <c r="B43" s="800"/>
      <c r="C43" s="168">
        <f>SUMIF($G$7:$G$31,"Change Grade",$F$7:$F$31)</f>
        <v>0</v>
      </c>
      <c r="D43" s="122">
        <f>+C43+'18'!D43</f>
        <v>0</v>
      </c>
      <c r="E43" s="147">
        <f t="shared" si="0"/>
        <v>0</v>
      </c>
      <c r="F43" s="372"/>
      <c r="G43" s="373"/>
      <c r="H43" s="191" t="s">
        <v>76</v>
      </c>
      <c r="I43" s="122">
        <f>+Report1!AH27</f>
        <v>132.33000000000001</v>
      </c>
      <c r="J43" s="137">
        <f>+I43+'18'!J43</f>
        <v>2186.1429999999996</v>
      </c>
      <c r="K43" s="134" t="s">
        <v>66</v>
      </c>
      <c r="L43" s="441">
        <f>+Report1!AN27</f>
        <v>11.9</v>
      </c>
      <c r="M43" s="442">
        <f>+L43+'18'!M43</f>
        <v>204.00000000000003</v>
      </c>
    </row>
    <row r="44" spans="1:14" ht="17.45" customHeight="1">
      <c r="A44" s="799" t="s">
        <v>18</v>
      </c>
      <c r="B44" s="800"/>
      <c r="C44" s="168">
        <f>SUMIF($G$7:$G$31,"PLN",$F$7:$F$31)</f>
        <v>0</v>
      </c>
      <c r="D44" s="122">
        <f>+C44+'18'!D44</f>
        <v>105</v>
      </c>
      <c r="E44" s="147">
        <f t="shared" si="0"/>
        <v>1.75</v>
      </c>
      <c r="F44" s="372"/>
      <c r="G44" s="373"/>
      <c r="H44" s="191" t="s">
        <v>77</v>
      </c>
      <c r="I44" s="122">
        <f>I43/I38</f>
        <v>1.9568207024029576</v>
      </c>
      <c r="J44" s="138">
        <f>J43/J38</f>
        <v>2.2043153759594092</v>
      </c>
      <c r="K44" s="134" t="s">
        <v>66</v>
      </c>
      <c r="L44" s="443">
        <f>+L43/I38</f>
        <v>0.17597042513863217</v>
      </c>
      <c r="M44" s="444">
        <f>+M43/J38</f>
        <v>0.20569575581090516</v>
      </c>
    </row>
    <row r="45" spans="1:14" ht="17.45" customHeight="1">
      <c r="A45" s="799" t="s">
        <v>19</v>
      </c>
      <c r="B45" s="800"/>
      <c r="C45" s="168">
        <f>SUMIF($G$7:$G$31,"Boiler",$F$7:$F$31)</f>
        <v>0</v>
      </c>
      <c r="D45" s="122">
        <f>+C45+'18'!D45</f>
        <v>0</v>
      </c>
      <c r="E45" s="147">
        <f t="shared" si="0"/>
        <v>0</v>
      </c>
      <c r="F45" s="372"/>
      <c r="G45" s="375"/>
      <c r="H45" s="191" t="s">
        <v>78</v>
      </c>
      <c r="I45" s="122">
        <f>I43/I40</f>
        <v>1.9491250810110179</v>
      </c>
      <c r="J45" s="138">
        <f>J43/J40</f>
        <v>2.2830469268083817</v>
      </c>
      <c r="K45" s="134" t="s">
        <v>66</v>
      </c>
      <c r="L45" s="443">
        <f>+L43/I40</f>
        <v>0.17527838331467627</v>
      </c>
      <c r="M45" s="444">
        <f>+M43/J40</f>
        <v>0.21304259285367427</v>
      </c>
    </row>
    <row r="46" spans="1:14" ht="17.45" customHeight="1">
      <c r="A46" s="799" t="s">
        <v>79</v>
      </c>
      <c r="B46" s="800"/>
      <c r="C46" s="168">
        <f>SUMIF($G$7:$G$31,"Gas",$F$7:$F$31)</f>
        <v>0</v>
      </c>
      <c r="D46" s="122">
        <f>+C46+'18'!D46</f>
        <v>0</v>
      </c>
      <c r="E46" s="147">
        <f t="shared" si="0"/>
        <v>0</v>
      </c>
      <c r="F46" s="372"/>
      <c r="G46" s="373"/>
      <c r="H46" s="191" t="s">
        <v>80</v>
      </c>
      <c r="I46" s="144">
        <f>+SUMIF(Listrik!AC26,"&gt;0")</f>
        <v>38946.090000000295</v>
      </c>
      <c r="J46" s="139">
        <f>+I46+'18'!J46</f>
        <v>640227.17000000051</v>
      </c>
      <c r="K46" s="134" t="s">
        <v>81</v>
      </c>
      <c r="L46" s="443">
        <f>+Listrik!AF26</f>
        <v>4991</v>
      </c>
      <c r="M46" s="445">
        <f>+L46+'18'!M46</f>
        <v>117010</v>
      </c>
    </row>
    <row r="47" spans="1:14" ht="17.45" customHeight="1">
      <c r="A47" s="799" t="s">
        <v>82</v>
      </c>
      <c r="B47" s="800"/>
      <c r="C47" s="168">
        <f>SUMIF($G$7:$G$31,"Gas",$F$7:$F$31)</f>
        <v>0</v>
      </c>
      <c r="D47" s="122">
        <f>+C47+'18'!D47</f>
        <v>0</v>
      </c>
      <c r="E47" s="147">
        <f t="shared" si="0"/>
        <v>0</v>
      </c>
      <c r="F47" s="372"/>
      <c r="G47" s="373"/>
      <c r="H47" s="191" t="s">
        <v>83</v>
      </c>
      <c r="I47" s="122">
        <f>I46/I38</f>
        <v>575.91260628466239</v>
      </c>
      <c r="J47" s="139">
        <f>J46/J38</f>
        <v>645.54907658738705</v>
      </c>
      <c r="K47" s="134" t="s">
        <v>25</v>
      </c>
      <c r="L47" s="443">
        <f>+L46/I38</f>
        <v>73.804066543438083</v>
      </c>
      <c r="M47" s="444">
        <f>+M46/J38</f>
        <v>117.98264895800985</v>
      </c>
    </row>
    <row r="48" spans="1:14" ht="17.45" customHeight="1">
      <c r="A48" s="799" t="s">
        <v>15</v>
      </c>
      <c r="B48" s="800"/>
      <c r="C48" s="168">
        <f>SUMIF($G$7:$G$31,"Start Up",$F$7:$F$31)</f>
        <v>0</v>
      </c>
      <c r="D48" s="122">
        <f>+C48+'18'!D48</f>
        <v>0</v>
      </c>
      <c r="E48" s="147">
        <f t="shared" si="0"/>
        <v>0</v>
      </c>
      <c r="F48" s="372"/>
      <c r="G48" s="373"/>
      <c r="H48" s="191" t="s">
        <v>84</v>
      </c>
      <c r="I48" s="122">
        <f>I46/I40</f>
        <v>573.64770517881777</v>
      </c>
      <c r="J48" s="139">
        <f>J46/J40</f>
        <v>668.60615839299112</v>
      </c>
      <c r="K48" s="134" t="s">
        <v>25</v>
      </c>
      <c r="L48" s="443">
        <f>+L46/I38</f>
        <v>73.804066543438083</v>
      </c>
      <c r="M48" s="444">
        <f>+M46/J40</f>
        <v>122.19663622455109</v>
      </c>
    </row>
    <row r="49" spans="1:13" ht="17.45" customHeight="1">
      <c r="A49" s="799" t="s">
        <v>21</v>
      </c>
      <c r="B49" s="800"/>
      <c r="C49" s="168">
        <f>SUMIF($G$7:$G$31,"Others",$F$7:$F$31)</f>
        <v>0</v>
      </c>
      <c r="D49" s="122">
        <f>+C49+'18'!D49</f>
        <v>1440</v>
      </c>
      <c r="E49" s="147">
        <f t="shared" si="0"/>
        <v>24</v>
      </c>
      <c r="F49" s="188"/>
      <c r="H49" s="191" t="s">
        <v>85</v>
      </c>
      <c r="I49" s="122">
        <f>+Report1!AB27</f>
        <v>0</v>
      </c>
      <c r="J49" s="139">
        <f>+I49+'18'!J49</f>
        <v>0</v>
      </c>
      <c r="K49" s="134" t="s">
        <v>86</v>
      </c>
      <c r="L49" s="439"/>
      <c r="M49" s="440"/>
    </row>
    <row r="50" spans="1:13" ht="17.45" customHeight="1">
      <c r="A50" s="799" t="s">
        <v>20</v>
      </c>
      <c r="B50" s="800"/>
      <c r="C50" s="168">
        <f>SUMIF($G$7:$G$31,"Steam",$F$7:$F$31)</f>
        <v>0</v>
      </c>
      <c r="D50" s="122">
        <f>+C50+'18'!D50</f>
        <v>0</v>
      </c>
      <c r="E50" s="147">
        <f t="shared" si="0"/>
        <v>0</v>
      </c>
      <c r="F50" s="188"/>
      <c r="H50" s="191" t="s">
        <v>87</v>
      </c>
      <c r="I50" s="144">
        <f>I49/I38</f>
        <v>0</v>
      </c>
      <c r="J50" s="137">
        <f>J49/J38</f>
        <v>0</v>
      </c>
      <c r="K50" s="134" t="s">
        <v>86</v>
      </c>
      <c r="L50" s="439"/>
      <c r="M50" s="440"/>
    </row>
    <row r="51" spans="1:13" ht="17.45" customHeight="1" thickBot="1">
      <c r="A51" s="805" t="s">
        <v>88</v>
      </c>
      <c r="B51" s="806"/>
      <c r="C51" s="168">
        <f>SUMIF($G$7:$G$31,"Planned shut",$F$7:$F$31)</f>
        <v>0</v>
      </c>
      <c r="D51" s="122">
        <f>+C51+'18'!D51</f>
        <v>0</v>
      </c>
      <c r="E51" s="147">
        <f t="shared" si="0"/>
        <v>0</v>
      </c>
      <c r="F51" s="188"/>
      <c r="H51" s="193" t="s">
        <v>89</v>
      </c>
      <c r="I51" s="145">
        <f>I49/I40</f>
        <v>0</v>
      </c>
      <c r="J51" s="140">
        <f>J49/J40</f>
        <v>0</v>
      </c>
      <c r="K51" s="141" t="s">
        <v>86</v>
      </c>
      <c r="L51" s="439"/>
      <c r="M51" s="440"/>
    </row>
    <row r="52" spans="1:13" ht="13.5" thickBot="1">
      <c r="A52" s="803" t="s">
        <v>29</v>
      </c>
      <c r="B52" s="804"/>
      <c r="C52" s="148">
        <f>SUM(C38:C51)</f>
        <v>25</v>
      </c>
      <c r="D52" s="148">
        <f>SUM(D38:D51)</f>
        <v>3476</v>
      </c>
      <c r="E52" s="149">
        <f>SUM(E38:E51)</f>
        <v>57.933333333333337</v>
      </c>
      <c r="F52" s="188"/>
      <c r="H52" s="194"/>
      <c r="I52" s="195"/>
      <c r="J52" s="142"/>
      <c r="K52" s="143"/>
      <c r="L52" s="446"/>
      <c r="M52" s="447"/>
    </row>
    <row r="53" spans="1:13" ht="13.5" thickBot="1">
      <c r="A53" s="807"/>
      <c r="B53" s="808"/>
      <c r="C53" s="150">
        <f>C52/(24*60)</f>
        <v>1.7361111111111112E-2</v>
      </c>
      <c r="D53" s="150">
        <f>D52/(24*60*G4)</f>
        <v>0.12704678362573099</v>
      </c>
      <c r="E53" s="151">
        <f>E52/(G4*24)</f>
        <v>0.12704678362573099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90</v>
      </c>
      <c r="B56" s="198"/>
      <c r="C56" s="199"/>
      <c r="D56" s="199"/>
      <c r="E56" s="199"/>
      <c r="F56" s="200"/>
      <c r="G56" s="199"/>
      <c r="H56" s="201"/>
      <c r="I56" s="202" t="s">
        <v>91</v>
      </c>
      <c r="J56" s="203">
        <f>+D34+'18'!J56</f>
        <v>15632</v>
      </c>
      <c r="K56" s="204">
        <f>J56/(J40+J56/1000)/1000</f>
        <v>1.6062688876855118E-2</v>
      </c>
    </row>
    <row r="57" spans="1:13">
      <c r="A57" s="179"/>
      <c r="I57" s="202" t="s">
        <v>92</v>
      </c>
      <c r="J57" s="203">
        <f>+E34+'18'!J57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46:B46"/>
    <mergeCell ref="A52:B52"/>
    <mergeCell ref="A53:B53"/>
    <mergeCell ref="A47:B47"/>
    <mergeCell ref="A48:B48"/>
    <mergeCell ref="A49:B49"/>
    <mergeCell ref="A50:B50"/>
    <mergeCell ref="A51:B51"/>
    <mergeCell ref="A43:B43"/>
    <mergeCell ref="A44:B44"/>
    <mergeCell ref="A45:B45"/>
    <mergeCell ref="A42:B42"/>
    <mergeCell ref="I24:I31"/>
    <mergeCell ref="A7:A14"/>
    <mergeCell ref="A41:B41"/>
    <mergeCell ref="I7:I13"/>
    <mergeCell ref="A15:A23"/>
    <mergeCell ref="I15:I22"/>
    <mergeCell ref="A24:A32"/>
    <mergeCell ref="A34:B34"/>
    <mergeCell ref="A37:B37"/>
    <mergeCell ref="A38:B38"/>
    <mergeCell ref="A39:B39"/>
    <mergeCell ref="A40:B40"/>
  </mergeCells>
  <phoneticPr fontId="31" type="noConversion"/>
  <printOptions horizontalCentered="1"/>
  <pageMargins left="0.74791666666666667" right="0.74791666666666667" top="0.39027777777777778" bottom="0.39027777777777778" header="0" footer="0"/>
  <pageSetup paperSize="9" scale="57" firstPageNumber="4294963191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P61"/>
  <sheetViews>
    <sheetView view="pageBreakPreview" zoomScale="80" zoomScaleNormal="80" zoomScaleSheetLayoutView="80" workbookViewId="0">
      <selection activeCell="A15" sqref="A15:A23"/>
    </sheetView>
  </sheetViews>
  <sheetFormatPr defaultColWidth="9.140625" defaultRowHeight="12.75"/>
  <cols>
    <col min="1" max="1" width="8" style="153" customWidth="1"/>
    <col min="2" max="2" width="7" style="153" bestFit="1" customWidth="1"/>
    <col min="3" max="3" width="14.85546875" style="153" bestFit="1" customWidth="1"/>
    <col min="4" max="4" width="12.5703125" style="153" bestFit="1" customWidth="1"/>
    <col min="5" max="5" width="13.85546875" style="153" bestFit="1" customWidth="1"/>
    <col min="6" max="6" width="12.7109375" style="114" bestFit="1" customWidth="1"/>
    <col min="7" max="7" width="11.42578125" style="153" bestFit="1" customWidth="1"/>
    <col min="8" max="8" width="64.85546875" style="153" customWidth="1"/>
    <col min="9" max="9" width="14.7109375" style="153" bestFit="1" customWidth="1"/>
    <col min="10" max="10" width="20.85546875" style="153" customWidth="1"/>
    <col min="11" max="11" width="12.5703125" style="153" bestFit="1" customWidth="1"/>
    <col min="12" max="12" width="8.28515625" style="153" customWidth="1"/>
    <col min="13" max="13" width="13.85546875" style="153" bestFit="1" customWidth="1"/>
    <col min="14" max="16384" width="9.140625" style="153"/>
  </cols>
  <sheetData>
    <row r="1" spans="1:16" ht="15.75">
      <c r="A1" s="152"/>
    </row>
    <row r="2" spans="1:16" ht="15.75">
      <c r="A2" s="152" t="s">
        <v>175</v>
      </c>
    </row>
    <row r="3" spans="1:16" ht="15">
      <c r="A3" s="154"/>
    </row>
    <row r="4" spans="1:16" ht="20.25">
      <c r="A4" s="155" t="s">
        <v>4</v>
      </c>
      <c r="B4" s="156"/>
      <c r="F4" s="157" t="s">
        <v>31</v>
      </c>
      <c r="G4" s="158">
        <v>18</v>
      </c>
      <c r="H4" s="158" t="str">
        <f>+'1'!H4</f>
        <v>.12.25</v>
      </c>
    </row>
    <row r="5" spans="1:16" ht="13.5" thickBot="1">
      <c r="C5" s="159"/>
      <c r="D5" s="159"/>
    </row>
    <row r="6" spans="1:16" ht="26.25" thickBot="1">
      <c r="A6" s="160" t="s">
        <v>50</v>
      </c>
      <c r="B6" s="161" t="s">
        <v>10</v>
      </c>
      <c r="C6" s="161" t="s">
        <v>51</v>
      </c>
      <c r="D6" s="161" t="s">
        <v>52</v>
      </c>
      <c r="E6" s="162" t="s">
        <v>53</v>
      </c>
      <c r="F6" s="106" t="s">
        <v>54</v>
      </c>
      <c r="G6" s="161" t="s">
        <v>55</v>
      </c>
      <c r="H6" s="163" t="s">
        <v>56</v>
      </c>
      <c r="I6" s="164" t="s">
        <v>57</v>
      </c>
      <c r="J6" s="165" t="s">
        <v>10</v>
      </c>
      <c r="K6" s="166" t="s">
        <v>58</v>
      </c>
      <c r="L6" s="213" t="s">
        <v>143</v>
      </c>
      <c r="M6" s="167" t="s">
        <v>59</v>
      </c>
      <c r="N6" s="153">
        <f>339+367+438</f>
        <v>1144</v>
      </c>
    </row>
    <row r="7" spans="1:16" ht="13.5" customHeight="1" thickBot="1">
      <c r="A7" s="789" t="s">
        <v>486</v>
      </c>
      <c r="B7" s="218" t="s">
        <v>487</v>
      </c>
      <c r="C7" s="219">
        <v>5736</v>
      </c>
      <c r="D7" s="220"/>
      <c r="E7" s="221"/>
      <c r="F7" s="230"/>
      <c r="G7" s="231" t="s">
        <v>13</v>
      </c>
      <c r="H7" s="232" t="s">
        <v>395</v>
      </c>
      <c r="I7" s="792" t="s">
        <v>508</v>
      </c>
      <c r="J7" s="217" t="str">
        <f>+'17'!J7</f>
        <v>TW 38 RC BR</v>
      </c>
      <c r="K7" s="240"/>
      <c r="L7" s="244"/>
      <c r="M7" s="121">
        <f>+K7+'17'!M7+L7</f>
        <v>78513</v>
      </c>
    </row>
    <row r="8" spans="1:16" ht="13.5" thickBot="1">
      <c r="A8" s="790"/>
      <c r="B8" s="218" t="s">
        <v>502</v>
      </c>
      <c r="C8" s="219">
        <v>5971</v>
      </c>
      <c r="D8" s="220">
        <v>542</v>
      </c>
      <c r="E8" s="222"/>
      <c r="F8" s="233">
        <v>1</v>
      </c>
      <c r="G8" s="234" t="s">
        <v>13</v>
      </c>
      <c r="H8" s="232" t="s">
        <v>393</v>
      </c>
      <c r="I8" s="793"/>
      <c r="J8" s="217" t="str">
        <f>+'17'!J8</f>
        <v>TW 36 RC BR</v>
      </c>
      <c r="K8" s="241"/>
      <c r="L8" s="241"/>
      <c r="M8" s="121">
        <f>+K8+'17'!M8+L8</f>
        <v>1530</v>
      </c>
      <c r="N8" s="153">
        <v>830</v>
      </c>
      <c r="O8" s="153">
        <f>+N8-N8*0.14</f>
        <v>713.8</v>
      </c>
      <c r="P8" s="153">
        <f>60+30+450+240+1</f>
        <v>781</v>
      </c>
    </row>
    <row r="9" spans="1:16" ht="13.5" thickBot="1">
      <c r="A9" s="790"/>
      <c r="B9" s="218"/>
      <c r="C9" s="219"/>
      <c r="D9" s="220"/>
      <c r="E9" s="223"/>
      <c r="F9" s="230">
        <v>1</v>
      </c>
      <c r="G9" s="234" t="s">
        <v>13</v>
      </c>
      <c r="H9" s="235" t="s">
        <v>226</v>
      </c>
      <c r="I9" s="793"/>
      <c r="J9" s="217" t="str">
        <f>+'17'!J9</f>
        <v>N 20 RC BR</v>
      </c>
      <c r="K9" s="241"/>
      <c r="L9" s="241"/>
      <c r="M9" s="121">
        <f>+K9+'17'!M9+L9</f>
        <v>74204</v>
      </c>
      <c r="N9" s="153">
        <v>830</v>
      </c>
      <c r="O9" s="153">
        <f>+N9-N9*0.14</f>
        <v>713.8</v>
      </c>
      <c r="P9" s="153">
        <f>20+300+5+30</f>
        <v>355</v>
      </c>
    </row>
    <row r="10" spans="1:16" ht="13.5" thickBot="1">
      <c r="A10" s="790"/>
      <c r="B10" s="218"/>
      <c r="C10" s="219"/>
      <c r="D10" s="220"/>
      <c r="E10" s="222"/>
      <c r="F10" s="230"/>
      <c r="G10" s="234"/>
      <c r="H10" s="235" t="s">
        <v>580</v>
      </c>
      <c r="I10" s="793"/>
      <c r="J10" s="217" t="str">
        <f>+'17'!J10</f>
        <v>TW 17 RC HW</v>
      </c>
      <c r="K10" s="241">
        <f>+C7+C17+C25</f>
        <v>29060</v>
      </c>
      <c r="L10" s="241"/>
      <c r="M10" s="121">
        <f>+K10+'17'!M10+L10</f>
        <v>99162</v>
      </c>
      <c r="N10" s="153">
        <v>830</v>
      </c>
      <c r="O10" s="153">
        <f>+N10-N10*0.14</f>
        <v>713.8</v>
      </c>
      <c r="P10" s="153">
        <f>59+180</f>
        <v>239</v>
      </c>
    </row>
    <row r="11" spans="1:16" ht="13.5" thickBot="1">
      <c r="A11" s="790"/>
      <c r="B11" s="218"/>
      <c r="C11" s="219"/>
      <c r="D11" s="220"/>
      <c r="E11" s="222"/>
      <c r="F11" s="230">
        <v>3</v>
      </c>
      <c r="G11" s="234" t="s">
        <v>13</v>
      </c>
      <c r="H11" s="235" t="s">
        <v>584</v>
      </c>
      <c r="I11" s="793"/>
      <c r="J11" s="217" t="str">
        <f>+'17'!J11</f>
        <v>N 15,5 RC HW</v>
      </c>
      <c r="K11" s="241">
        <f>+C8+C16</f>
        <v>10277</v>
      </c>
      <c r="L11" s="241"/>
      <c r="M11" s="121">
        <f>+K11+'17'!M11+L11</f>
        <v>159490</v>
      </c>
      <c r="P11" s="153">
        <f>SUM(P8:P10)</f>
        <v>1375</v>
      </c>
    </row>
    <row r="12" spans="1:16" ht="26.25" thickBot="1">
      <c r="A12" s="790"/>
      <c r="B12" s="218"/>
      <c r="C12" s="219"/>
      <c r="D12" s="220"/>
      <c r="E12" s="222" t="s">
        <v>561</v>
      </c>
      <c r="F12" s="230">
        <f>25+40</f>
        <v>65</v>
      </c>
      <c r="G12" s="234" t="s">
        <v>13</v>
      </c>
      <c r="H12" s="235" t="s">
        <v>585</v>
      </c>
      <c r="I12" s="793"/>
      <c r="J12" s="217" t="str">
        <f>+'17'!J12</f>
        <v>N 17 RC HW</v>
      </c>
      <c r="K12" s="241"/>
      <c r="L12" s="241"/>
      <c r="M12" s="121">
        <f>+K12+'17'!M12+L12</f>
        <v>6572</v>
      </c>
    </row>
    <row r="13" spans="1:16" ht="13.5" thickBot="1">
      <c r="A13" s="790"/>
      <c r="B13" s="218"/>
      <c r="C13" s="219"/>
      <c r="D13" s="219"/>
      <c r="E13" s="222"/>
      <c r="F13" s="230"/>
      <c r="G13" s="234"/>
      <c r="H13" s="235"/>
      <c r="I13" s="794"/>
      <c r="J13" s="217" t="str">
        <f>+'17'!J13</f>
        <v>N 16,5 RC HW</v>
      </c>
      <c r="K13" s="241"/>
      <c r="L13" s="241"/>
      <c r="M13" s="121">
        <f>+K13+'17'!M13+L13</f>
        <v>18880</v>
      </c>
    </row>
    <row r="14" spans="1:16" ht="13.5" thickBot="1">
      <c r="A14" s="791"/>
      <c r="B14" s="169" t="s">
        <v>3</v>
      </c>
      <c r="C14" s="103">
        <f>SUM(C7:C13)</f>
        <v>11707</v>
      </c>
      <c r="D14" s="115">
        <f>SUM(D7:D13)</f>
        <v>542</v>
      </c>
      <c r="E14" s="116">
        <f>SUM(E5:E13)</f>
        <v>0</v>
      </c>
      <c r="F14" s="120"/>
      <c r="G14" s="163"/>
      <c r="H14" s="170"/>
      <c r="I14" s="171"/>
      <c r="J14" s="217" t="str">
        <f>+'17'!J14</f>
        <v>N 20 RC HW</v>
      </c>
      <c r="K14" s="241"/>
      <c r="L14" s="241"/>
      <c r="M14" s="121">
        <f>+K14+'17'!M14+L14</f>
        <v>394199</v>
      </c>
    </row>
    <row r="15" spans="1:16" ht="13.5" customHeight="1" thickBot="1">
      <c r="A15" s="789" t="s">
        <v>414</v>
      </c>
      <c r="B15" s="169"/>
      <c r="C15" s="117">
        <f>C14/($C$23+$D$23+$E$23)</f>
        <v>0.64822812846068656</v>
      </c>
      <c r="D15" s="118">
        <f>D14/($C$23+$D$23+$E$23)</f>
        <v>3.0011074197120707E-2</v>
      </c>
      <c r="E15" s="119">
        <f>E14/($C$23+$D$23+$E$23)</f>
        <v>0</v>
      </c>
      <c r="F15" s="230"/>
      <c r="G15" s="231" t="s">
        <v>13</v>
      </c>
      <c r="H15" s="232" t="s">
        <v>395</v>
      </c>
      <c r="I15" s="792" t="s">
        <v>508</v>
      </c>
      <c r="J15" s="217" t="str">
        <f>+'17'!J15</f>
        <v>N 18 RC HW</v>
      </c>
      <c r="K15" s="241"/>
      <c r="L15" s="241"/>
      <c r="M15" s="121">
        <f>+K15+'17'!M15+L15</f>
        <v>50657</v>
      </c>
    </row>
    <row r="16" spans="1:16" ht="13.5" thickBot="1">
      <c r="A16" s="795"/>
      <c r="B16" s="218" t="s">
        <v>502</v>
      </c>
      <c r="C16" s="224">
        <v>4306</v>
      </c>
      <c r="D16" s="225">
        <v>437</v>
      </c>
      <c r="E16" s="226"/>
      <c r="F16" s="233">
        <v>7</v>
      </c>
      <c r="G16" s="234" t="s">
        <v>13</v>
      </c>
      <c r="H16" s="232" t="s">
        <v>393</v>
      </c>
      <c r="I16" s="793"/>
      <c r="J16" s="217" t="s">
        <v>589</v>
      </c>
      <c r="K16" s="241">
        <f>+C26</f>
        <v>6456</v>
      </c>
      <c r="L16" s="231"/>
      <c r="M16" s="121">
        <f>+K16+'17'!M16+L16</f>
        <v>6456</v>
      </c>
    </row>
    <row r="17" spans="1:14" ht="13.5" thickBot="1">
      <c r="A17" s="795"/>
      <c r="B17" s="218" t="s">
        <v>487</v>
      </c>
      <c r="C17" s="219">
        <v>13317</v>
      </c>
      <c r="D17" s="220"/>
      <c r="E17" s="227"/>
      <c r="F17" s="230">
        <v>8</v>
      </c>
      <c r="G17" s="234" t="s">
        <v>13</v>
      </c>
      <c r="H17" s="235" t="s">
        <v>226</v>
      </c>
      <c r="I17" s="793"/>
      <c r="J17" s="217">
        <f>+'17'!J17</f>
        <v>0</v>
      </c>
      <c r="K17" s="241"/>
      <c r="L17" s="231"/>
      <c r="M17" s="121">
        <f>+K17+'17'!M17+L17</f>
        <v>0</v>
      </c>
    </row>
    <row r="18" spans="1:14" ht="13.5" thickBot="1">
      <c r="A18" s="795"/>
      <c r="B18" s="218"/>
      <c r="C18" s="219"/>
      <c r="D18" s="220"/>
      <c r="E18" s="227"/>
      <c r="F18" s="230"/>
      <c r="G18" s="234"/>
      <c r="H18" s="235" t="s">
        <v>501</v>
      </c>
      <c r="I18" s="793"/>
      <c r="J18" s="217">
        <f>+'17'!J18</f>
        <v>0</v>
      </c>
      <c r="K18" s="241"/>
      <c r="L18" s="241"/>
      <c r="M18" s="121">
        <f>+K18+'17'!M18+L18</f>
        <v>0</v>
      </c>
    </row>
    <row r="19" spans="1:14" ht="13.5" thickBot="1">
      <c r="A19" s="795"/>
      <c r="B19" s="218"/>
      <c r="C19" s="219"/>
      <c r="D19" s="220"/>
      <c r="E19" s="227"/>
      <c r="F19" s="237"/>
      <c r="G19" s="234"/>
      <c r="H19" s="235" t="s">
        <v>587</v>
      </c>
      <c r="I19" s="793"/>
      <c r="J19" s="217">
        <f>+'17'!J19</f>
        <v>0</v>
      </c>
      <c r="K19" s="241"/>
      <c r="L19" s="241"/>
      <c r="M19" s="121">
        <f>+K19+'17'!M19+L19</f>
        <v>0</v>
      </c>
    </row>
    <row r="20" spans="1:14" ht="13.5" thickBot="1">
      <c r="A20" s="795"/>
      <c r="B20" s="218"/>
      <c r="C20" s="219"/>
      <c r="D20" s="220"/>
      <c r="E20" s="227"/>
      <c r="F20" s="230"/>
      <c r="G20" s="234"/>
      <c r="H20" s="235"/>
      <c r="I20" s="793"/>
      <c r="J20" s="217">
        <f>+'17'!J20</f>
        <v>0</v>
      </c>
      <c r="K20" s="241"/>
      <c r="L20" s="241"/>
      <c r="M20" s="121">
        <f>+K20+'17'!M20+L20</f>
        <v>0</v>
      </c>
    </row>
    <row r="21" spans="1:14" ht="13.5" thickBot="1">
      <c r="A21" s="795"/>
      <c r="B21" s="218"/>
      <c r="C21" s="219"/>
      <c r="D21" s="220"/>
      <c r="E21" s="227"/>
      <c r="F21" s="233"/>
      <c r="G21" s="234"/>
      <c r="H21" s="235"/>
      <c r="I21" s="793"/>
      <c r="J21" s="217">
        <f>+'17'!J21</f>
        <v>0</v>
      </c>
      <c r="K21" s="241"/>
      <c r="L21" s="241"/>
      <c r="M21" s="121">
        <f>+K21+'17'!M21+L21</f>
        <v>0</v>
      </c>
    </row>
    <row r="22" spans="1:14" ht="13.5" thickBot="1">
      <c r="A22" s="795"/>
      <c r="B22" s="218"/>
      <c r="C22" s="219"/>
      <c r="D22" s="220"/>
      <c r="E22" s="227"/>
      <c r="F22" s="238"/>
      <c r="G22" s="234"/>
      <c r="H22" s="235"/>
      <c r="I22" s="794"/>
      <c r="J22" s="217">
        <f>+'17'!J22</f>
        <v>0</v>
      </c>
      <c r="K22" s="241"/>
      <c r="L22" s="241"/>
      <c r="M22" s="121">
        <f>+K22+'17'!M22+L22</f>
        <v>0</v>
      </c>
    </row>
    <row r="23" spans="1:14" ht="13.5" thickBot="1">
      <c r="A23" s="796"/>
      <c r="B23" s="169" t="s">
        <v>3</v>
      </c>
      <c r="C23" s="104">
        <f>SUM(C16:C22)</f>
        <v>17623</v>
      </c>
      <c r="D23" s="115">
        <f>SUM(D16:D22)</f>
        <v>437</v>
      </c>
      <c r="E23" s="116">
        <f>SUM(E18:E22)</f>
        <v>0</v>
      </c>
      <c r="F23" s="120"/>
      <c r="G23" s="163"/>
      <c r="H23" s="170"/>
      <c r="I23" s="172"/>
      <c r="J23" s="217">
        <f>+'17'!J23</f>
        <v>0</v>
      </c>
      <c r="K23" s="241"/>
      <c r="L23" s="241"/>
      <c r="M23" s="121">
        <f>+K23+'17'!M23+L23</f>
        <v>0</v>
      </c>
    </row>
    <row r="24" spans="1:14" ht="13.5" customHeight="1" thickBot="1">
      <c r="A24" s="789" t="s">
        <v>415</v>
      </c>
      <c r="B24" s="173"/>
      <c r="C24" s="117">
        <f>C23/($C$23+$D$23+$E$23)</f>
        <v>0.97580287929125142</v>
      </c>
      <c r="D24" s="118">
        <f>D23/($C$23+$D$23+$E$23)</f>
        <v>2.4197120708748614E-2</v>
      </c>
      <c r="E24" s="119">
        <f>E23/($C$23+$D$23+$E$23)</f>
        <v>0</v>
      </c>
      <c r="F24" s="230"/>
      <c r="G24" s="231" t="s">
        <v>13</v>
      </c>
      <c r="H24" s="232" t="s">
        <v>395</v>
      </c>
      <c r="I24" s="792" t="s">
        <v>508</v>
      </c>
      <c r="J24" s="217">
        <f>+'17'!J24</f>
        <v>0</v>
      </c>
      <c r="K24" s="241"/>
      <c r="L24" s="241"/>
      <c r="M24" s="121">
        <f>+K24+'17'!M24+L24</f>
        <v>0</v>
      </c>
    </row>
    <row r="25" spans="1:14" ht="13.5" thickBot="1">
      <c r="A25" s="795"/>
      <c r="B25" s="218" t="s">
        <v>487</v>
      </c>
      <c r="C25" s="228">
        <v>10007</v>
      </c>
      <c r="D25" s="220"/>
      <c r="E25" s="227"/>
      <c r="F25" s="233">
        <v>3</v>
      </c>
      <c r="G25" s="234" t="s">
        <v>13</v>
      </c>
      <c r="H25" s="232" t="s">
        <v>393</v>
      </c>
      <c r="I25" s="793"/>
      <c r="J25" s="217">
        <f>+'17'!J25</f>
        <v>0</v>
      </c>
      <c r="K25" s="241"/>
      <c r="L25" s="241"/>
      <c r="M25" s="121">
        <f>+K25+'17'!M25+L25</f>
        <v>0</v>
      </c>
    </row>
    <row r="26" spans="1:14" ht="13.5" thickBot="1">
      <c r="A26" s="795"/>
      <c r="B26" s="218" t="s">
        <v>589</v>
      </c>
      <c r="C26" s="228">
        <v>6456</v>
      </c>
      <c r="D26" s="220"/>
      <c r="E26" s="229"/>
      <c r="F26" s="230">
        <v>2</v>
      </c>
      <c r="G26" s="234" t="s">
        <v>13</v>
      </c>
      <c r="H26" s="235" t="s">
        <v>226</v>
      </c>
      <c r="I26" s="793"/>
      <c r="J26" s="217">
        <f>+'17'!J26</f>
        <v>0</v>
      </c>
      <c r="K26" s="241"/>
      <c r="L26" s="241"/>
      <c r="M26" s="121">
        <f>+K26+'17'!M26+L26</f>
        <v>0</v>
      </c>
    </row>
    <row r="27" spans="1:14" ht="13.5" thickBot="1">
      <c r="A27" s="795"/>
      <c r="B27" s="218"/>
      <c r="C27" s="219"/>
      <c r="D27" s="220"/>
      <c r="E27" s="227"/>
      <c r="F27" s="230"/>
      <c r="G27" s="234"/>
      <c r="H27" s="235" t="s">
        <v>580</v>
      </c>
      <c r="I27" s="793"/>
      <c r="J27" s="217">
        <f>+'17'!J27</f>
        <v>0</v>
      </c>
      <c r="K27" s="241"/>
      <c r="L27" s="241"/>
      <c r="M27" s="121">
        <f>+K27+'17'!M27+L27</f>
        <v>0</v>
      </c>
    </row>
    <row r="28" spans="1:14" ht="13.5" thickBot="1">
      <c r="A28" s="795"/>
      <c r="B28" s="218"/>
      <c r="C28" s="219"/>
      <c r="D28" s="220"/>
      <c r="E28" s="227"/>
      <c r="F28" s="233">
        <v>5</v>
      </c>
      <c r="G28" s="234" t="s">
        <v>13</v>
      </c>
      <c r="H28" s="235" t="s">
        <v>586</v>
      </c>
      <c r="I28" s="793"/>
      <c r="J28" s="217">
        <f>+'17'!J28</f>
        <v>0</v>
      </c>
      <c r="K28" s="241"/>
      <c r="L28" s="241"/>
      <c r="M28" s="121">
        <f>+K28+'17'!M28+L28</f>
        <v>0</v>
      </c>
    </row>
    <row r="29" spans="1:14" ht="13.5" thickBot="1">
      <c r="A29" s="795"/>
      <c r="B29" s="218"/>
      <c r="C29" s="219"/>
      <c r="D29" s="220"/>
      <c r="E29" s="227"/>
      <c r="F29" s="238"/>
      <c r="G29" s="234"/>
      <c r="H29" s="235"/>
      <c r="I29" s="793"/>
      <c r="J29" s="217">
        <f>+'17'!J29</f>
        <v>0</v>
      </c>
      <c r="K29" s="241"/>
      <c r="L29" s="241"/>
      <c r="M29" s="121">
        <f>+K29+'17'!M29+L29</f>
        <v>0</v>
      </c>
    </row>
    <row r="30" spans="1:14" ht="13.5" thickBot="1">
      <c r="A30" s="795"/>
      <c r="B30" s="218"/>
      <c r="C30" s="228"/>
      <c r="D30" s="220"/>
      <c r="E30" s="227"/>
      <c r="F30" s="238"/>
      <c r="G30" s="234"/>
      <c r="H30" s="235"/>
      <c r="I30" s="793"/>
      <c r="J30" s="217">
        <f>+'17'!J30</f>
        <v>0</v>
      </c>
      <c r="K30" s="241"/>
      <c r="L30" s="241"/>
      <c r="M30" s="121">
        <f>+K30+'17'!M30+L30</f>
        <v>0</v>
      </c>
      <c r="N30" s="159"/>
    </row>
    <row r="31" spans="1:14" ht="13.5" thickBot="1">
      <c r="A31" s="795"/>
      <c r="B31" s="218"/>
      <c r="C31" s="228"/>
      <c r="D31" s="220"/>
      <c r="E31" s="227"/>
      <c r="F31" s="238"/>
      <c r="G31" s="239"/>
      <c r="H31" s="236"/>
      <c r="I31" s="794"/>
      <c r="J31" s="217">
        <f>+'17'!J31</f>
        <v>0</v>
      </c>
      <c r="K31" s="241"/>
      <c r="L31" s="241"/>
      <c r="M31" s="121">
        <f>+K31+'17'!M31+L31</f>
        <v>0</v>
      </c>
    </row>
    <row r="32" spans="1:14" ht="13.5" thickBot="1">
      <c r="A32" s="796"/>
      <c r="B32" s="169" t="s">
        <v>3</v>
      </c>
      <c r="C32" s="103">
        <f>SUM(C25:C31)</f>
        <v>16463</v>
      </c>
      <c r="D32" s="104">
        <f>SUM(D25:D31)</f>
        <v>0</v>
      </c>
      <c r="E32" s="105">
        <f>SUM(E25:E31)</f>
        <v>0</v>
      </c>
      <c r="F32" s="106">
        <f>SUM(F24:F31)</f>
        <v>10</v>
      </c>
      <c r="G32" s="174"/>
      <c r="H32" s="175"/>
      <c r="I32" s="172"/>
      <c r="J32" s="217">
        <f>+'17'!J32</f>
        <v>0</v>
      </c>
      <c r="K32" s="243"/>
      <c r="L32" s="245"/>
      <c r="M32" s="121">
        <f>+K32+'17'!M32+L32</f>
        <v>0</v>
      </c>
    </row>
    <row r="33" spans="1:15" ht="13.5" thickBot="1">
      <c r="A33" s="176"/>
      <c r="B33" s="177"/>
      <c r="C33" s="107">
        <f>C32/($C$32+$D$32+$E$32)</f>
        <v>1</v>
      </c>
      <c r="D33" s="108">
        <f>D32/($C$32+$D$32+$E$32)</f>
        <v>0</v>
      </c>
      <c r="E33" s="109">
        <f>E32/($C$32+$D$32+$E$32)</f>
        <v>0</v>
      </c>
      <c r="F33" s="110"/>
      <c r="G33" s="178"/>
      <c r="H33" s="179"/>
      <c r="I33" s="180"/>
      <c r="J33" s="125"/>
      <c r="K33" s="126"/>
      <c r="L33" s="216"/>
      <c r="M33" s="123"/>
    </row>
    <row r="34" spans="1:15" ht="13.5" thickBot="1">
      <c r="A34" s="797" t="s">
        <v>60</v>
      </c>
      <c r="B34" s="798"/>
      <c r="C34" s="111">
        <f>C14+C23+C32</f>
        <v>45793</v>
      </c>
      <c r="D34" s="111">
        <f>D14+D23+D32</f>
        <v>979</v>
      </c>
      <c r="E34" s="111">
        <f>E14+E23+E32</f>
        <v>0</v>
      </c>
      <c r="F34" s="112">
        <f>F14+F23+F32</f>
        <v>10</v>
      </c>
      <c r="H34" s="181"/>
      <c r="I34" s="181"/>
      <c r="J34" s="127" t="s">
        <v>29</v>
      </c>
      <c r="K34" s="128">
        <f>SUM(K7:K32)</f>
        <v>45793</v>
      </c>
      <c r="L34" s="215">
        <f>SUM(L7:L32)</f>
        <v>0</v>
      </c>
      <c r="M34" s="124">
        <f>SUM(M7:M32)</f>
        <v>889663</v>
      </c>
      <c r="N34" s="159"/>
    </row>
    <row r="35" spans="1:15" ht="13.5" thickBot="1">
      <c r="A35" s="182"/>
      <c r="B35" s="183"/>
      <c r="C35" s="108">
        <f>C34/($C$34+$D$34+$E$34)</f>
        <v>0.97906867356538096</v>
      </c>
      <c r="D35" s="108">
        <f>D34/($C$34+$D$34+$E$34)</f>
        <v>2.0931326434619004E-2</v>
      </c>
      <c r="E35" s="113">
        <f>E34/($C$34+$D$34+$E$34)</f>
        <v>0</v>
      </c>
      <c r="K35" s="159"/>
      <c r="L35" s="788" t="s">
        <v>186</v>
      </c>
      <c r="M35" s="788"/>
    </row>
    <row r="36" spans="1:15" ht="13.5" thickBot="1">
      <c r="A36" s="181"/>
      <c r="B36" s="181"/>
      <c r="C36" s="159"/>
      <c r="D36" s="159"/>
      <c r="E36" s="159"/>
      <c r="G36" s="159"/>
      <c r="H36" s="184"/>
      <c r="I36" s="166" t="s">
        <v>42</v>
      </c>
      <c r="J36" s="166" t="s">
        <v>43</v>
      </c>
      <c r="K36" s="185"/>
      <c r="L36" s="166" t="s">
        <v>42</v>
      </c>
      <c r="M36" s="166" t="s">
        <v>43</v>
      </c>
    </row>
    <row r="37" spans="1:15" ht="17.45" customHeight="1" thickBot="1">
      <c r="A37" s="801" t="s">
        <v>61</v>
      </c>
      <c r="B37" s="802"/>
      <c r="C37" s="166" t="s">
        <v>62</v>
      </c>
      <c r="D37" s="186" t="s">
        <v>63</v>
      </c>
      <c r="E37" s="187" t="s">
        <v>64</v>
      </c>
      <c r="F37" s="372"/>
      <c r="G37" s="374"/>
      <c r="H37" s="189" t="s">
        <v>65</v>
      </c>
      <c r="I37" s="246">
        <f>(17*781+15.5*355+17.5*239)/1375*G42*3.4*1375/1000000</f>
        <v>55.726937039999996</v>
      </c>
      <c r="J37" s="129">
        <f>+I37+'17'!J37</f>
        <v>1022.7158830354003</v>
      </c>
      <c r="K37" s="130" t="s">
        <v>66</v>
      </c>
      <c r="L37" s="437"/>
      <c r="M37" s="438"/>
      <c r="N37" s="560">
        <f>+I38-N38-N39</f>
        <v>20.367999999999999</v>
      </c>
    </row>
    <row r="38" spans="1:15" ht="17.45" customHeight="1">
      <c r="A38" s="803" t="s">
        <v>13</v>
      </c>
      <c r="B38" s="804"/>
      <c r="C38" s="168">
        <f>SUMIF($G$7:$G$31,"Process",$F$7:$F$31)</f>
        <v>95</v>
      </c>
      <c r="D38" s="122">
        <f>+C38+'17'!D38</f>
        <v>891</v>
      </c>
      <c r="E38" s="147">
        <f t="shared" ref="E38:E51" si="0">D38/60</f>
        <v>14.85</v>
      </c>
      <c r="F38" s="372">
        <v>830</v>
      </c>
      <c r="G38" s="372">
        <f>+F38-F38*0.14</f>
        <v>713.8</v>
      </c>
      <c r="H38" s="190" t="s">
        <v>67</v>
      </c>
      <c r="I38" s="559">
        <f>14.224+16.911+18.694</f>
        <v>49.829000000000001</v>
      </c>
      <c r="J38" s="131">
        <f>+I38+'17'!J38</f>
        <v>924.13099999999986</v>
      </c>
      <c r="K38" s="132" t="s">
        <v>66</v>
      </c>
      <c r="L38" s="439"/>
      <c r="M38" s="440"/>
      <c r="N38" s="153">
        <f>1.946+1.946+16.911-1.098-1.081</f>
        <v>18.624000000000002</v>
      </c>
      <c r="O38" s="567"/>
    </row>
    <row r="39" spans="1:15" ht="17.45" customHeight="1">
      <c r="A39" s="799" t="s">
        <v>14</v>
      </c>
      <c r="B39" s="800"/>
      <c r="C39" s="168">
        <f>SUMIF($G$7:$G$31,"Cleaning",$F$7:$F$31)</f>
        <v>0</v>
      </c>
      <c r="D39" s="122">
        <f>+C39+'17'!D39</f>
        <v>0</v>
      </c>
      <c r="E39" s="147">
        <f t="shared" si="0"/>
        <v>0</v>
      </c>
      <c r="F39" s="372">
        <v>830</v>
      </c>
      <c r="G39" s="372">
        <f>+F39-F39*0.14</f>
        <v>713.8</v>
      </c>
      <c r="H39" s="190" t="s">
        <v>68</v>
      </c>
      <c r="I39" s="146"/>
      <c r="J39" s="133">
        <f>J37/G4</f>
        <v>56.817549057522243</v>
      </c>
      <c r="K39" s="134" t="s">
        <v>66</v>
      </c>
      <c r="L39" s="439"/>
      <c r="M39" s="440"/>
      <c r="N39" s="153">
        <f>2.091+2.021+1.017+2.091+2.091+1.526</f>
        <v>10.837</v>
      </c>
    </row>
    <row r="40" spans="1:15" ht="17.45" customHeight="1">
      <c r="A40" s="799" t="s">
        <v>69</v>
      </c>
      <c r="B40" s="800"/>
      <c r="C40" s="168">
        <f>SUMIF($G$7:$G$31,"Mechanical",$F$7:$F$31)</f>
        <v>0</v>
      </c>
      <c r="D40" s="122">
        <f>+C40+'17'!D40</f>
        <v>700</v>
      </c>
      <c r="E40" s="147">
        <f t="shared" si="0"/>
        <v>11.666666666666666</v>
      </c>
      <c r="F40" s="372">
        <v>830</v>
      </c>
      <c r="G40" s="372">
        <f>+F40-F40*0.14</f>
        <v>713.8</v>
      </c>
      <c r="H40" s="190" t="s">
        <v>70</v>
      </c>
      <c r="I40" s="122">
        <f>(K34+L34)/1000</f>
        <v>45.792999999999999</v>
      </c>
      <c r="J40" s="135">
        <f>+I40+'17'!J40</f>
        <v>889.6629999999999</v>
      </c>
      <c r="K40" s="134" t="s">
        <v>66</v>
      </c>
      <c r="L40" s="439"/>
      <c r="M40" s="440"/>
    </row>
    <row r="41" spans="1:15" ht="17.45" customHeight="1">
      <c r="A41" s="799" t="s">
        <v>71</v>
      </c>
      <c r="B41" s="800"/>
      <c r="C41" s="168">
        <f>SUMIF($G$7:$G$31,"Electrical",$F$7:$F$31)</f>
        <v>0</v>
      </c>
      <c r="D41" s="122">
        <f>+C41+'17'!D41</f>
        <v>315</v>
      </c>
      <c r="E41" s="147">
        <f t="shared" si="0"/>
        <v>5.25</v>
      </c>
      <c r="F41" s="372"/>
      <c r="G41" s="372"/>
      <c r="H41" s="190" t="s">
        <v>72</v>
      </c>
      <c r="I41" s="146"/>
      <c r="J41" s="133">
        <f>J40/G4</f>
        <v>49.42572222222222</v>
      </c>
      <c r="K41" s="134" t="s">
        <v>66</v>
      </c>
      <c r="L41" s="439"/>
      <c r="M41" s="440"/>
    </row>
    <row r="42" spans="1:15" ht="17.45" customHeight="1">
      <c r="A42" s="799" t="s">
        <v>17</v>
      </c>
      <c r="B42" s="800"/>
      <c r="C42" s="168">
        <f>SUMIF($G$7:$G$31,"Instrument",$F$7:$F$31)</f>
        <v>0</v>
      </c>
      <c r="D42" s="122">
        <f>+C42+'17'!D42</f>
        <v>0</v>
      </c>
      <c r="E42" s="147">
        <f t="shared" si="0"/>
        <v>0</v>
      </c>
      <c r="F42" s="372">
        <f>+(F38*415+F39*480+F40*480)/1375</f>
        <v>830</v>
      </c>
      <c r="G42" s="372">
        <f>+(G38*415+G39*480+G40*480)/1375</f>
        <v>713.8</v>
      </c>
      <c r="H42" s="190" t="s">
        <v>73</v>
      </c>
      <c r="I42" s="248" t="s">
        <v>508</v>
      </c>
      <c r="J42" s="136"/>
      <c r="K42" s="134" t="s">
        <v>74</v>
      </c>
      <c r="L42" s="439"/>
      <c r="M42" s="440"/>
    </row>
    <row r="43" spans="1:15" ht="17.45" customHeight="1">
      <c r="A43" s="799" t="s">
        <v>75</v>
      </c>
      <c r="B43" s="800"/>
      <c r="C43" s="168">
        <f>SUMIF($G$7:$G$31,"Water",$F$7:$F$31)</f>
        <v>0</v>
      </c>
      <c r="D43" s="122">
        <f>+C43+'17'!D43</f>
        <v>0</v>
      </c>
      <c r="E43" s="147">
        <f t="shared" si="0"/>
        <v>0</v>
      </c>
      <c r="F43" s="372"/>
      <c r="G43" s="373"/>
      <c r="H43" s="191" t="s">
        <v>76</v>
      </c>
      <c r="I43" s="122">
        <f>+Report1!AH26</f>
        <v>111.286</v>
      </c>
      <c r="J43" s="137">
        <f>+I43+'17'!J43</f>
        <v>2053.8129999999996</v>
      </c>
      <c r="K43" s="134" t="s">
        <v>66</v>
      </c>
      <c r="L43" s="441">
        <f>+Report1!AN26</f>
        <v>11</v>
      </c>
      <c r="M43" s="442">
        <f>+L43+'17'!M43</f>
        <v>192.10000000000002</v>
      </c>
    </row>
    <row r="44" spans="1:15" ht="17.45" customHeight="1">
      <c r="A44" s="799" t="s">
        <v>18</v>
      </c>
      <c r="B44" s="800"/>
      <c r="C44" s="168">
        <f>SUMIF($G$7:$G$31,"PLN",$F$7:$F$31)</f>
        <v>0</v>
      </c>
      <c r="D44" s="122">
        <f>+C44+'17'!D44</f>
        <v>105</v>
      </c>
      <c r="E44" s="147">
        <f t="shared" si="0"/>
        <v>1.75</v>
      </c>
      <c r="F44" s="372"/>
      <c r="G44" s="373"/>
      <c r="H44" s="191" t="s">
        <v>77</v>
      </c>
      <c r="I44" s="122">
        <f>I43/I38</f>
        <v>2.2333580846495011</v>
      </c>
      <c r="J44" s="138">
        <f>J43/J38</f>
        <v>2.2224262577491718</v>
      </c>
      <c r="K44" s="134" t="s">
        <v>66</v>
      </c>
      <c r="L44" s="443">
        <f>+L43/I38</f>
        <v>0.22075498203857191</v>
      </c>
      <c r="M44" s="444">
        <f>+M43/J38</f>
        <v>0.2078709620172898</v>
      </c>
    </row>
    <row r="45" spans="1:15" ht="17.45" customHeight="1">
      <c r="A45" s="799" t="s">
        <v>19</v>
      </c>
      <c r="B45" s="800"/>
      <c r="C45" s="168">
        <f>SUMIF($G$7:$G$31,"Boiler",$F$7:$F$31)</f>
        <v>0</v>
      </c>
      <c r="D45" s="122">
        <f>+C45+'17'!D45</f>
        <v>0</v>
      </c>
      <c r="E45" s="147">
        <f t="shared" si="0"/>
        <v>0</v>
      </c>
      <c r="F45" s="372"/>
      <c r="G45" s="375"/>
      <c r="H45" s="191" t="s">
        <v>78</v>
      </c>
      <c r="I45" s="122">
        <f>I43/I40</f>
        <v>2.4301967549625489</v>
      </c>
      <c r="J45" s="138">
        <f>J43/J40</f>
        <v>2.308529184646321</v>
      </c>
      <c r="K45" s="134" t="s">
        <v>66</v>
      </c>
      <c r="L45" s="443">
        <f>+L43/I40</f>
        <v>0.24021138601969733</v>
      </c>
      <c r="M45" s="444">
        <f>+M43/J40</f>
        <v>0.21592445678869421</v>
      </c>
    </row>
    <row r="46" spans="1:15" ht="17.45" customHeight="1">
      <c r="A46" s="799" t="s">
        <v>79</v>
      </c>
      <c r="B46" s="800"/>
      <c r="C46" s="168">
        <f>SUMIF($G$7:$G$31,"Gas",$F$7:$F$31)</f>
        <v>0</v>
      </c>
      <c r="D46" s="122">
        <f>+C46+'17'!D46</f>
        <v>0</v>
      </c>
      <c r="E46" s="147">
        <f t="shared" si="0"/>
        <v>0</v>
      </c>
      <c r="F46" s="372"/>
      <c r="G46" s="373"/>
      <c r="H46" s="191" t="s">
        <v>80</v>
      </c>
      <c r="I46" s="144">
        <f>+SUMIF(Listrik!AC25,"&gt;0")</f>
        <v>39231.099999998543</v>
      </c>
      <c r="J46" s="139">
        <f>+I46+'17'!J46</f>
        <v>601281.08000000019</v>
      </c>
      <c r="K46" s="134" t="s">
        <v>81</v>
      </c>
      <c r="L46" s="443">
        <f>+Listrik!AF25</f>
        <v>5378</v>
      </c>
      <c r="M46" s="445">
        <f>+L46+'17'!M46</f>
        <v>112019</v>
      </c>
    </row>
    <row r="47" spans="1:15" ht="17.45" customHeight="1">
      <c r="A47" s="799" t="s">
        <v>82</v>
      </c>
      <c r="B47" s="800"/>
      <c r="C47" s="168">
        <f>SUMIF($G$7:$G$31,"Gas",$F$7:$F$31)</f>
        <v>0</v>
      </c>
      <c r="D47" s="122">
        <f>+C47+'17'!D47</f>
        <v>0</v>
      </c>
      <c r="E47" s="147">
        <f t="shared" si="0"/>
        <v>0</v>
      </c>
      <c r="F47" s="372"/>
      <c r="G47" s="373"/>
      <c r="H47" s="191" t="s">
        <v>83</v>
      </c>
      <c r="I47" s="122">
        <f>I46/I38</f>
        <v>787.31461598664521</v>
      </c>
      <c r="J47" s="139">
        <f>J46/J38</f>
        <v>650.64485446327444</v>
      </c>
      <c r="K47" s="134" t="s">
        <v>25</v>
      </c>
      <c r="L47" s="443">
        <f>+L46/I38</f>
        <v>107.92911758213089</v>
      </c>
      <c r="M47" s="444">
        <f>+M46/J38</f>
        <v>121.21549866847884</v>
      </c>
    </row>
    <row r="48" spans="1:15" ht="17.45" customHeight="1">
      <c r="A48" s="799" t="s">
        <v>15</v>
      </c>
      <c r="B48" s="800"/>
      <c r="C48" s="168">
        <f>SUMIF($G$7:$G$31,"Start Up",$F$7:$F$31)</f>
        <v>0</v>
      </c>
      <c r="D48" s="122">
        <f>+C48+'17'!D48</f>
        <v>0</v>
      </c>
      <c r="E48" s="147">
        <f t="shared" si="0"/>
        <v>0</v>
      </c>
      <c r="F48" s="372"/>
      <c r="G48" s="373"/>
      <c r="H48" s="191" t="s">
        <v>84</v>
      </c>
      <c r="I48" s="122">
        <f>I46/I40</f>
        <v>856.70517327972709</v>
      </c>
      <c r="J48" s="139">
        <f>J46/J40</f>
        <v>675.85263183924724</v>
      </c>
      <c r="K48" s="134" t="s">
        <v>25</v>
      </c>
      <c r="L48" s="443">
        <f>+L46/I38</f>
        <v>107.92911758213089</v>
      </c>
      <c r="M48" s="444">
        <f>+M46/J40</f>
        <v>125.91172162942598</v>
      </c>
    </row>
    <row r="49" spans="1:13" ht="17.45" customHeight="1">
      <c r="A49" s="799" t="s">
        <v>21</v>
      </c>
      <c r="B49" s="800"/>
      <c r="C49" s="168">
        <f>SUMIF($G$7:$G$31,"Others",$F$7:$F$31)</f>
        <v>0</v>
      </c>
      <c r="D49" s="122">
        <f>+C49+'17'!D49</f>
        <v>1440</v>
      </c>
      <c r="E49" s="147">
        <f t="shared" si="0"/>
        <v>24</v>
      </c>
      <c r="F49" s="188"/>
      <c r="H49" s="191" t="s">
        <v>85</v>
      </c>
      <c r="I49" s="122">
        <f>+Report1!AB26</f>
        <v>0</v>
      </c>
      <c r="J49" s="139">
        <f>+I49+'17'!J49</f>
        <v>0</v>
      </c>
      <c r="K49" s="134" t="s">
        <v>86</v>
      </c>
      <c r="L49" s="439"/>
      <c r="M49" s="440"/>
    </row>
    <row r="50" spans="1:13" ht="17.45" customHeight="1">
      <c r="A50" s="799" t="s">
        <v>20</v>
      </c>
      <c r="B50" s="800"/>
      <c r="C50" s="168">
        <f>SUMIF($G$7:$G$31,"Steam",$F$7:$F$31)</f>
        <v>0</v>
      </c>
      <c r="D50" s="122">
        <f>+C50+'17'!D50</f>
        <v>0</v>
      </c>
      <c r="E50" s="147">
        <f t="shared" si="0"/>
        <v>0</v>
      </c>
      <c r="F50" s="188"/>
      <c r="H50" s="191" t="s">
        <v>87</v>
      </c>
      <c r="I50" s="144">
        <f>I49/I38</f>
        <v>0</v>
      </c>
      <c r="J50" s="137">
        <f>J49/J38</f>
        <v>0</v>
      </c>
      <c r="K50" s="134" t="s">
        <v>86</v>
      </c>
      <c r="L50" s="439"/>
      <c r="M50" s="440"/>
    </row>
    <row r="51" spans="1:13" ht="17.45" customHeight="1" thickBot="1">
      <c r="A51" s="805" t="s">
        <v>88</v>
      </c>
      <c r="B51" s="806"/>
      <c r="C51" s="168">
        <f>SUMIF($G$7:$G$31,"Planned shut",$F$7:$F$31)</f>
        <v>0</v>
      </c>
      <c r="D51" s="122">
        <f>+C51+'17'!D51</f>
        <v>0</v>
      </c>
      <c r="E51" s="147">
        <f t="shared" si="0"/>
        <v>0</v>
      </c>
      <c r="F51" s="188"/>
      <c r="H51" s="193" t="s">
        <v>89</v>
      </c>
      <c r="I51" s="145">
        <f>I49/I40</f>
        <v>0</v>
      </c>
      <c r="J51" s="140">
        <f>J49/J40</f>
        <v>0</v>
      </c>
      <c r="K51" s="141" t="s">
        <v>86</v>
      </c>
      <c r="L51" s="439"/>
      <c r="M51" s="440"/>
    </row>
    <row r="52" spans="1:13" ht="13.5" thickBot="1">
      <c r="A52" s="803" t="s">
        <v>29</v>
      </c>
      <c r="B52" s="804"/>
      <c r="C52" s="148">
        <f>SUM(C38:C51)</f>
        <v>95</v>
      </c>
      <c r="D52" s="148">
        <f>SUM(D38:D51)</f>
        <v>3451</v>
      </c>
      <c r="E52" s="149">
        <f>SUM(E38:E51)</f>
        <v>57.516666666666666</v>
      </c>
      <c r="F52" s="188"/>
      <c r="H52" s="194"/>
      <c r="I52" s="195"/>
      <c r="J52" s="142"/>
      <c r="K52" s="143"/>
      <c r="L52" s="446"/>
      <c r="M52" s="447"/>
    </row>
    <row r="53" spans="1:13" ht="13.5" thickBot="1">
      <c r="A53" s="807"/>
      <c r="B53" s="808"/>
      <c r="C53" s="150">
        <f>C52/(24*60)</f>
        <v>6.5972222222222224E-2</v>
      </c>
      <c r="D53" s="150">
        <f>D52/(24*60*G4)</f>
        <v>0.13314043209876544</v>
      </c>
      <c r="E53" s="151">
        <f>E52/(G4*24)</f>
        <v>0.13314043209876544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90</v>
      </c>
      <c r="B56" s="198"/>
      <c r="C56" s="199"/>
      <c r="D56" s="199"/>
      <c r="E56" s="199"/>
      <c r="F56" s="200"/>
      <c r="G56" s="199"/>
      <c r="H56" s="201"/>
      <c r="I56" s="202" t="s">
        <v>91</v>
      </c>
      <c r="J56" s="203">
        <f>+D34+'17'!J56</f>
        <v>15632</v>
      </c>
      <c r="K56" s="204">
        <f>J56/(J40+J56/1000)/1000</f>
        <v>1.7267299609519549E-2</v>
      </c>
    </row>
    <row r="57" spans="1:13">
      <c r="A57" s="179"/>
      <c r="I57" s="202" t="s">
        <v>92</v>
      </c>
      <c r="J57" s="203">
        <f>+E34+'17'!J57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52:B52"/>
    <mergeCell ref="A53:B53"/>
    <mergeCell ref="A47:B47"/>
    <mergeCell ref="A48:B48"/>
    <mergeCell ref="A49:B49"/>
    <mergeCell ref="A50:B50"/>
    <mergeCell ref="A46:B46"/>
    <mergeCell ref="A51:B51"/>
    <mergeCell ref="A40:B40"/>
    <mergeCell ref="A41:B41"/>
    <mergeCell ref="A42:B42"/>
    <mergeCell ref="A43:B43"/>
    <mergeCell ref="A44:B44"/>
    <mergeCell ref="A45:B45"/>
    <mergeCell ref="A39:B39"/>
    <mergeCell ref="A7:A14"/>
    <mergeCell ref="I7:I13"/>
    <mergeCell ref="A15:A23"/>
    <mergeCell ref="I15:I22"/>
    <mergeCell ref="A38:B38"/>
    <mergeCell ref="A24:A32"/>
    <mergeCell ref="I24:I31"/>
    <mergeCell ref="A34:B34"/>
    <mergeCell ref="A37:B37"/>
  </mergeCells>
  <phoneticPr fontId="31" type="noConversion"/>
  <printOptions horizontalCentered="1"/>
  <pageMargins left="0.74791666666666667" right="0.74791666666666667" top="0.39027777777777778" bottom="0.39027777777777778" header="0" footer="0"/>
  <pageSetup paperSize="9" scale="60" firstPageNumber="4294963191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O61"/>
  <sheetViews>
    <sheetView view="pageBreakPreview" zoomScale="80" zoomScaleNormal="80" zoomScaleSheetLayoutView="80" workbookViewId="0">
      <selection activeCell="A15" sqref="A15:A23"/>
    </sheetView>
  </sheetViews>
  <sheetFormatPr defaultColWidth="9.140625" defaultRowHeight="12.75"/>
  <cols>
    <col min="1" max="1" width="8" style="153" customWidth="1"/>
    <col min="2" max="2" width="7" style="153" bestFit="1" customWidth="1"/>
    <col min="3" max="3" width="14.85546875" style="153" bestFit="1" customWidth="1"/>
    <col min="4" max="4" width="12.5703125" style="153" bestFit="1" customWidth="1"/>
    <col min="5" max="5" width="13.85546875" style="153" bestFit="1" customWidth="1"/>
    <col min="6" max="6" width="12.140625" style="114" bestFit="1" customWidth="1"/>
    <col min="7" max="7" width="11.42578125" style="153" bestFit="1" customWidth="1"/>
    <col min="8" max="8" width="64.85546875" style="153" customWidth="1"/>
    <col min="9" max="9" width="14.7109375" style="153" bestFit="1" customWidth="1"/>
    <col min="10" max="10" width="20.28515625" style="153" bestFit="1" customWidth="1"/>
    <col min="11" max="11" width="12.5703125" style="153" bestFit="1" customWidth="1"/>
    <col min="12" max="12" width="12.140625" style="153" customWidth="1"/>
    <col min="13" max="13" width="13.85546875" style="153" bestFit="1" customWidth="1"/>
    <col min="14" max="16384" width="9.140625" style="153"/>
  </cols>
  <sheetData>
    <row r="1" spans="1:15" ht="15.75">
      <c r="A1" s="152"/>
    </row>
    <row r="2" spans="1:15" ht="15.75">
      <c r="A2" s="152" t="s">
        <v>175</v>
      </c>
    </row>
    <row r="3" spans="1:15" ht="15">
      <c r="A3" s="154"/>
    </row>
    <row r="4" spans="1:15" ht="20.25">
      <c r="A4" s="155" t="s">
        <v>4</v>
      </c>
      <c r="B4" s="156"/>
      <c r="F4" s="157" t="s">
        <v>31</v>
      </c>
      <c r="G4" s="158">
        <v>17</v>
      </c>
      <c r="H4" s="158" t="str">
        <f>+'1'!H4</f>
        <v>.12.25</v>
      </c>
    </row>
    <row r="5" spans="1:15" ht="13.5" thickBot="1">
      <c r="C5" s="159"/>
      <c r="D5" s="159"/>
    </row>
    <row r="6" spans="1:15" ht="26.25" thickBot="1">
      <c r="A6" s="160" t="s">
        <v>50</v>
      </c>
      <c r="B6" s="161" t="s">
        <v>10</v>
      </c>
      <c r="C6" s="161" t="s">
        <v>51</v>
      </c>
      <c r="D6" s="161" t="s">
        <v>52</v>
      </c>
      <c r="E6" s="162" t="s">
        <v>53</v>
      </c>
      <c r="F6" s="106" t="s">
        <v>54</v>
      </c>
      <c r="G6" s="161" t="s">
        <v>55</v>
      </c>
      <c r="H6" s="163" t="s">
        <v>56</v>
      </c>
      <c r="I6" s="164" t="s">
        <v>57</v>
      </c>
      <c r="J6" s="165" t="s">
        <v>10</v>
      </c>
      <c r="K6" s="166" t="s">
        <v>58</v>
      </c>
      <c r="L6" s="213" t="s">
        <v>143</v>
      </c>
      <c r="M6" s="167" t="s">
        <v>59</v>
      </c>
      <c r="N6" s="153">
        <f>369+330+331</f>
        <v>1030</v>
      </c>
    </row>
    <row r="7" spans="1:15" ht="13.5" customHeight="1" thickBot="1">
      <c r="A7" s="789" t="s">
        <v>486</v>
      </c>
      <c r="B7" s="218" t="s">
        <v>576</v>
      </c>
      <c r="C7" s="219">
        <v>18949</v>
      </c>
      <c r="D7" s="220"/>
      <c r="E7" s="221"/>
      <c r="F7" s="230">
        <v>1</v>
      </c>
      <c r="G7" s="231" t="s">
        <v>13</v>
      </c>
      <c r="H7" s="232" t="s">
        <v>392</v>
      </c>
      <c r="I7" s="792" t="s">
        <v>508</v>
      </c>
      <c r="J7" s="217" t="str">
        <f>+'16'!J7</f>
        <v>TW 38 RC BR</v>
      </c>
      <c r="K7" s="240"/>
      <c r="L7" s="244"/>
      <c r="M7" s="121">
        <f>+K7+'16'!M7+L7</f>
        <v>78513</v>
      </c>
    </row>
    <row r="8" spans="1:15" ht="13.5" thickBot="1">
      <c r="A8" s="790"/>
      <c r="B8" s="218"/>
      <c r="C8" s="219"/>
      <c r="D8" s="220"/>
      <c r="E8" s="222"/>
      <c r="F8" s="233">
        <v>2</v>
      </c>
      <c r="G8" s="234" t="s">
        <v>13</v>
      </c>
      <c r="H8" s="232" t="s">
        <v>393</v>
      </c>
      <c r="I8" s="793"/>
      <c r="J8" s="217" t="str">
        <f>+'16'!J8</f>
        <v>TW 36 RC BR</v>
      </c>
      <c r="K8" s="241"/>
      <c r="L8" s="241"/>
      <c r="M8" s="121">
        <f>+K8+'16'!M8+L8</f>
        <v>1530</v>
      </c>
      <c r="N8" s="153">
        <v>830</v>
      </c>
      <c r="O8" s="153">
        <f>+N8-N8*0.14</f>
        <v>713.8</v>
      </c>
    </row>
    <row r="9" spans="1:15" ht="13.5" thickBot="1">
      <c r="A9" s="790"/>
      <c r="B9" s="218"/>
      <c r="C9" s="219"/>
      <c r="D9" s="220"/>
      <c r="E9" s="223"/>
      <c r="F9" s="230">
        <v>1</v>
      </c>
      <c r="G9" s="234" t="s">
        <v>13</v>
      </c>
      <c r="H9" s="235" t="s">
        <v>226</v>
      </c>
      <c r="I9" s="793"/>
      <c r="J9" s="217" t="str">
        <f>+'16'!J9</f>
        <v>N 20 RC BR</v>
      </c>
      <c r="K9" s="241"/>
      <c r="L9" s="241"/>
      <c r="M9" s="121">
        <f>+K9+'16'!M9+L9</f>
        <v>74204</v>
      </c>
    </row>
    <row r="10" spans="1:15" ht="13.5" thickBot="1">
      <c r="A10" s="790"/>
      <c r="B10" s="218"/>
      <c r="C10" s="219"/>
      <c r="D10" s="220"/>
      <c r="E10" s="222"/>
      <c r="F10" s="230"/>
      <c r="G10" s="234"/>
      <c r="H10" s="235" t="s">
        <v>574</v>
      </c>
      <c r="I10" s="793"/>
      <c r="J10" s="217" t="str">
        <f>+'16'!J10</f>
        <v>TW 17 RC HW</v>
      </c>
      <c r="K10" s="241">
        <f>+C17+C25</f>
        <v>30118</v>
      </c>
      <c r="L10" s="241"/>
      <c r="M10" s="121">
        <f>+K10+'16'!M10+L10</f>
        <v>70102</v>
      </c>
    </row>
    <row r="11" spans="1:15" ht="13.5" thickBot="1">
      <c r="A11" s="790"/>
      <c r="B11" s="218"/>
      <c r="C11" s="219"/>
      <c r="D11" s="220"/>
      <c r="E11" s="222"/>
      <c r="F11" s="230"/>
      <c r="G11" s="234"/>
      <c r="H11" s="235"/>
      <c r="I11" s="793"/>
      <c r="J11" s="217" t="str">
        <f>+'16'!J11</f>
        <v>N 15,5 RC HW</v>
      </c>
      <c r="K11" s="241"/>
      <c r="L11" s="241"/>
      <c r="M11" s="121">
        <f>+K11+'16'!M11+L11</f>
        <v>149213</v>
      </c>
    </row>
    <row r="12" spans="1:15" ht="13.5" thickBot="1">
      <c r="A12" s="790"/>
      <c r="B12" s="218"/>
      <c r="C12" s="219"/>
      <c r="D12" s="220"/>
      <c r="E12" s="222"/>
      <c r="F12" s="230"/>
      <c r="G12" s="234"/>
      <c r="H12" s="235"/>
      <c r="I12" s="793"/>
      <c r="J12" s="217" t="str">
        <f>+'16'!J12</f>
        <v>N 17 RC HW</v>
      </c>
      <c r="K12" s="241"/>
      <c r="L12" s="241"/>
      <c r="M12" s="121">
        <f>+K12+'16'!M12+L12</f>
        <v>6572</v>
      </c>
    </row>
    <row r="13" spans="1:15" ht="13.5" thickBot="1">
      <c r="A13" s="790"/>
      <c r="B13" s="218"/>
      <c r="C13" s="219"/>
      <c r="D13" s="219"/>
      <c r="E13" s="222"/>
      <c r="F13" s="230"/>
      <c r="G13" s="234"/>
      <c r="H13" s="235"/>
      <c r="I13" s="794"/>
      <c r="J13" s="217" t="str">
        <f>+'16'!J13</f>
        <v>N 16,5 RC HW</v>
      </c>
      <c r="K13" s="241"/>
      <c r="L13" s="241"/>
      <c r="M13" s="121">
        <f>+K13+'16'!M13+L13</f>
        <v>18880</v>
      </c>
    </row>
    <row r="14" spans="1:15" ht="13.5" thickBot="1">
      <c r="A14" s="791"/>
      <c r="B14" s="169" t="s">
        <v>3</v>
      </c>
      <c r="C14" s="103">
        <f>SUM(C7:C13)</f>
        <v>18949</v>
      </c>
      <c r="D14" s="115">
        <f>SUM(D7:D13)</f>
        <v>0</v>
      </c>
      <c r="E14" s="116">
        <f>SUM(E5:E13)</f>
        <v>0</v>
      </c>
      <c r="F14" s="106">
        <f>SUM(F6:F13)</f>
        <v>4</v>
      </c>
      <c r="G14" s="163"/>
      <c r="H14" s="170"/>
      <c r="I14" s="171"/>
      <c r="J14" s="217" t="str">
        <f>+'16'!J14</f>
        <v>N 20 RC HW</v>
      </c>
      <c r="K14" s="241"/>
      <c r="L14" s="241"/>
      <c r="M14" s="121">
        <f>+K14+'16'!M14+L14</f>
        <v>394199</v>
      </c>
    </row>
    <row r="15" spans="1:15" ht="13.5" customHeight="1" thickBot="1">
      <c r="A15" s="789" t="s">
        <v>414</v>
      </c>
      <c r="B15" s="169"/>
      <c r="C15" s="117">
        <f>C14/($C$23+$D$23+$E$23)</f>
        <v>1.0966491116384049</v>
      </c>
      <c r="D15" s="118">
        <f>D14/($C$23+$D$23+$E$23)</f>
        <v>0</v>
      </c>
      <c r="E15" s="119">
        <f>E14/($C$23+$D$23+$E$23)</f>
        <v>0</v>
      </c>
      <c r="F15" s="230"/>
      <c r="G15" s="231" t="s">
        <v>13</v>
      </c>
      <c r="H15" s="232" t="s">
        <v>395</v>
      </c>
      <c r="I15" s="792" t="s">
        <v>508</v>
      </c>
      <c r="J15" s="217" t="str">
        <f>+'16'!J15</f>
        <v>N 18 RC HW</v>
      </c>
      <c r="K15" s="241">
        <f>+C7+C16</f>
        <v>25317</v>
      </c>
      <c r="L15" s="241"/>
      <c r="M15" s="121">
        <f>+K15+'16'!M15+L15</f>
        <v>50657</v>
      </c>
    </row>
    <row r="16" spans="1:15" ht="13.5" thickBot="1">
      <c r="A16" s="795"/>
      <c r="B16" s="218" t="s">
        <v>576</v>
      </c>
      <c r="C16" s="224">
        <v>6368</v>
      </c>
      <c r="D16" s="225"/>
      <c r="E16" s="226"/>
      <c r="F16" s="233">
        <v>5</v>
      </c>
      <c r="G16" s="234" t="s">
        <v>13</v>
      </c>
      <c r="H16" s="232" t="s">
        <v>393</v>
      </c>
      <c r="I16" s="793"/>
      <c r="J16" s="217">
        <f>+'16'!J16</f>
        <v>0</v>
      </c>
      <c r="K16" s="241"/>
      <c r="L16" s="231"/>
      <c r="M16" s="121">
        <f>+K16+'16'!M16+L16</f>
        <v>0</v>
      </c>
    </row>
    <row r="17" spans="1:13" ht="13.5" thickBot="1">
      <c r="A17" s="795"/>
      <c r="B17" s="218" t="s">
        <v>487</v>
      </c>
      <c r="C17" s="219">
        <v>10911</v>
      </c>
      <c r="D17" s="220"/>
      <c r="E17" s="227"/>
      <c r="F17" s="230">
        <v>5</v>
      </c>
      <c r="G17" s="234" t="s">
        <v>13</v>
      </c>
      <c r="H17" s="235" t="s">
        <v>226</v>
      </c>
      <c r="I17" s="793"/>
      <c r="J17" s="217">
        <f>+'16'!J17</f>
        <v>0</v>
      </c>
      <c r="K17" s="241"/>
      <c r="L17" s="231"/>
      <c r="M17" s="121">
        <f>+K17+'16'!M17+L17</f>
        <v>0</v>
      </c>
    </row>
    <row r="18" spans="1:13" ht="13.5" thickBot="1">
      <c r="A18" s="795"/>
      <c r="B18" s="218"/>
      <c r="C18" s="219"/>
      <c r="D18" s="220"/>
      <c r="E18" s="227"/>
      <c r="F18" s="230"/>
      <c r="G18" s="234"/>
      <c r="H18" s="235" t="s">
        <v>574</v>
      </c>
      <c r="I18" s="793"/>
      <c r="J18" s="217">
        <f>+'16'!J18</f>
        <v>0</v>
      </c>
      <c r="K18" s="241"/>
      <c r="L18" s="241"/>
      <c r="M18" s="121">
        <f>+K18+'16'!M18+L18</f>
        <v>0</v>
      </c>
    </row>
    <row r="19" spans="1:13" ht="13.5" thickBot="1">
      <c r="A19" s="795"/>
      <c r="B19" s="218"/>
      <c r="C19" s="219"/>
      <c r="D19" s="220"/>
      <c r="E19" s="227"/>
      <c r="F19" s="237"/>
      <c r="G19" s="234"/>
      <c r="H19" s="235" t="s">
        <v>581</v>
      </c>
      <c r="I19" s="793"/>
      <c r="J19" s="217">
        <f>+'16'!J19</f>
        <v>0</v>
      </c>
      <c r="K19" s="241"/>
      <c r="L19" s="241"/>
      <c r="M19" s="121">
        <f>+K19+'16'!M19+L19</f>
        <v>0</v>
      </c>
    </row>
    <row r="20" spans="1:13" ht="13.5" thickBot="1">
      <c r="A20" s="795"/>
      <c r="B20" s="218"/>
      <c r="C20" s="219"/>
      <c r="D20" s="220"/>
      <c r="E20" s="227"/>
      <c r="F20" s="230"/>
      <c r="G20" s="234"/>
      <c r="H20" s="235"/>
      <c r="I20" s="793"/>
      <c r="J20" s="217">
        <f>+'16'!J20</f>
        <v>0</v>
      </c>
      <c r="K20" s="241"/>
      <c r="L20" s="242"/>
      <c r="M20" s="121">
        <f>+K20+'16'!M20+L20</f>
        <v>0</v>
      </c>
    </row>
    <row r="21" spans="1:13" ht="13.5" thickBot="1">
      <c r="A21" s="795"/>
      <c r="B21" s="218"/>
      <c r="C21" s="219"/>
      <c r="D21" s="220"/>
      <c r="E21" s="227"/>
      <c r="F21" s="233"/>
      <c r="G21" s="234"/>
      <c r="H21" s="235"/>
      <c r="I21" s="793"/>
      <c r="J21" s="217">
        <f>+'16'!J21</f>
        <v>0</v>
      </c>
      <c r="K21" s="241"/>
      <c r="L21" s="241"/>
      <c r="M21" s="121">
        <f>+K21+'16'!M21+L21</f>
        <v>0</v>
      </c>
    </row>
    <row r="22" spans="1:13" ht="13.5" thickBot="1">
      <c r="A22" s="795"/>
      <c r="B22" s="218"/>
      <c r="C22" s="219"/>
      <c r="D22" s="220"/>
      <c r="E22" s="227"/>
      <c r="F22" s="238"/>
      <c r="G22" s="234"/>
      <c r="H22" s="235"/>
      <c r="I22" s="794"/>
      <c r="J22" s="217">
        <f>+'16'!J22</f>
        <v>0</v>
      </c>
      <c r="K22" s="241"/>
      <c r="L22" s="241"/>
      <c r="M22" s="121">
        <f>+K22+'16'!M22+L22</f>
        <v>0</v>
      </c>
    </row>
    <row r="23" spans="1:13" ht="13.5" thickBot="1">
      <c r="A23" s="796"/>
      <c r="B23" s="169" t="s">
        <v>3</v>
      </c>
      <c r="C23" s="104">
        <f>SUM(C16:C22)</f>
        <v>17279</v>
      </c>
      <c r="D23" s="115">
        <f>SUM(D16:D22)</f>
        <v>0</v>
      </c>
      <c r="E23" s="116">
        <f>SUM(E18:E22)</f>
        <v>0</v>
      </c>
      <c r="F23" s="106">
        <f>SUM(F15:F22)</f>
        <v>10</v>
      </c>
      <c r="G23" s="163"/>
      <c r="H23" s="170"/>
      <c r="I23" s="172"/>
      <c r="J23" s="217">
        <f>+'16'!J23</f>
        <v>0</v>
      </c>
      <c r="K23" s="241"/>
      <c r="L23" s="241"/>
      <c r="M23" s="121">
        <f>+K23+'16'!M23+L23</f>
        <v>0</v>
      </c>
    </row>
    <row r="24" spans="1:13" ht="13.5" customHeight="1" thickBot="1">
      <c r="A24" s="789" t="s">
        <v>415</v>
      </c>
      <c r="B24" s="173"/>
      <c r="C24" s="117">
        <f>C23/($C$23+$D$23+$E$23)</f>
        <v>1</v>
      </c>
      <c r="D24" s="118">
        <f>D23/($C$23+$D$23+$E$23)</f>
        <v>0</v>
      </c>
      <c r="E24" s="119">
        <f>E23/($C$23+$D$23+$E$23)</f>
        <v>0</v>
      </c>
      <c r="F24" s="230"/>
      <c r="G24" s="231" t="s">
        <v>13</v>
      </c>
      <c r="H24" s="232" t="s">
        <v>395</v>
      </c>
      <c r="I24" s="792" t="s">
        <v>508</v>
      </c>
      <c r="J24" s="217">
        <f>+'16'!J24</f>
        <v>0</v>
      </c>
      <c r="K24" s="241"/>
      <c r="L24" s="241"/>
      <c r="M24" s="121">
        <f>+K24+'16'!M24+L24</f>
        <v>0</v>
      </c>
    </row>
    <row r="25" spans="1:13" ht="13.5" thickBot="1">
      <c r="A25" s="795"/>
      <c r="B25" s="218" t="s">
        <v>487</v>
      </c>
      <c r="C25" s="228">
        <v>19207</v>
      </c>
      <c r="D25" s="220"/>
      <c r="E25" s="227"/>
      <c r="F25" s="233">
        <v>3</v>
      </c>
      <c r="G25" s="234" t="s">
        <v>13</v>
      </c>
      <c r="H25" s="232" t="s">
        <v>393</v>
      </c>
      <c r="I25" s="793"/>
      <c r="J25" s="217">
        <f>+'16'!J25</f>
        <v>0</v>
      </c>
      <c r="K25" s="241"/>
      <c r="L25" s="241"/>
      <c r="M25" s="121">
        <f>+K25+'16'!M25+L25</f>
        <v>0</v>
      </c>
    </row>
    <row r="26" spans="1:13" ht="13.5" thickBot="1">
      <c r="A26" s="795"/>
      <c r="B26" s="218"/>
      <c r="C26" s="228"/>
      <c r="D26" s="220"/>
      <c r="E26" s="229"/>
      <c r="F26" s="230">
        <v>2</v>
      </c>
      <c r="G26" s="234" t="s">
        <v>13</v>
      </c>
      <c r="H26" s="235" t="s">
        <v>226</v>
      </c>
      <c r="I26" s="793"/>
      <c r="J26" s="217">
        <f>+'16'!J26</f>
        <v>0</v>
      </c>
      <c r="K26" s="241"/>
      <c r="L26" s="241"/>
      <c r="M26" s="121">
        <f>+K26+'16'!M26+L26</f>
        <v>0</v>
      </c>
    </row>
    <row r="27" spans="1:13" ht="13.5" thickBot="1">
      <c r="A27" s="795"/>
      <c r="B27" s="218"/>
      <c r="C27" s="219"/>
      <c r="D27" s="220"/>
      <c r="E27" s="227"/>
      <c r="F27" s="230"/>
      <c r="G27" s="234"/>
      <c r="H27" s="235" t="s">
        <v>580</v>
      </c>
      <c r="I27" s="793"/>
      <c r="J27" s="217">
        <f>+'16'!J27</f>
        <v>0</v>
      </c>
      <c r="K27" s="241"/>
      <c r="L27" s="241"/>
      <c r="M27" s="121">
        <f>+K27+'16'!M27+L27</f>
        <v>0</v>
      </c>
    </row>
    <row r="28" spans="1:13" ht="13.5" thickBot="1">
      <c r="A28" s="795"/>
      <c r="B28" s="218"/>
      <c r="C28" s="219"/>
      <c r="D28" s="220"/>
      <c r="E28" s="227"/>
      <c r="F28" s="233"/>
      <c r="G28" s="234"/>
      <c r="H28" s="235"/>
      <c r="I28" s="793"/>
      <c r="J28" s="217">
        <f>+'16'!J28</f>
        <v>0</v>
      </c>
      <c r="K28" s="241"/>
      <c r="L28" s="241"/>
      <c r="M28" s="121">
        <f>+K28+'16'!M28+L28</f>
        <v>0</v>
      </c>
    </row>
    <row r="29" spans="1:13" ht="13.5" thickBot="1">
      <c r="A29" s="795"/>
      <c r="B29" s="218"/>
      <c r="C29" s="219"/>
      <c r="D29" s="220"/>
      <c r="E29" s="227"/>
      <c r="F29" s="238"/>
      <c r="G29" s="234"/>
      <c r="H29" s="235"/>
      <c r="I29" s="793"/>
      <c r="J29" s="217">
        <f>+'16'!J29</f>
        <v>0</v>
      </c>
      <c r="K29" s="241"/>
      <c r="L29" s="241"/>
      <c r="M29" s="121">
        <f>+K29+'16'!M29+L29</f>
        <v>0</v>
      </c>
    </row>
    <row r="30" spans="1:13" ht="13.5" thickBot="1">
      <c r="A30" s="795"/>
      <c r="B30" s="218"/>
      <c r="C30" s="228"/>
      <c r="D30" s="220"/>
      <c r="E30" s="227"/>
      <c r="F30" s="238"/>
      <c r="G30" s="234"/>
      <c r="H30" s="235"/>
      <c r="I30" s="793"/>
      <c r="J30" s="217">
        <f>+'16'!J30</f>
        <v>0</v>
      </c>
      <c r="K30" s="241"/>
      <c r="L30" s="241"/>
      <c r="M30" s="121">
        <f>+K30+'16'!M30+L30</f>
        <v>0</v>
      </c>
    </row>
    <row r="31" spans="1:13" ht="13.5" thickBot="1">
      <c r="A31" s="795"/>
      <c r="B31" s="218"/>
      <c r="C31" s="228"/>
      <c r="D31" s="220"/>
      <c r="E31" s="227"/>
      <c r="F31" s="238"/>
      <c r="G31" s="239"/>
      <c r="H31" s="236"/>
      <c r="I31" s="794"/>
      <c r="J31" s="217">
        <f>+'16'!J31</f>
        <v>0</v>
      </c>
      <c r="K31" s="241"/>
      <c r="L31" s="241"/>
      <c r="M31" s="121">
        <f>+K31+'16'!M31+L31</f>
        <v>0</v>
      </c>
    </row>
    <row r="32" spans="1:13" ht="13.5" thickBot="1">
      <c r="A32" s="796"/>
      <c r="B32" s="169" t="s">
        <v>3</v>
      </c>
      <c r="C32" s="103">
        <f>SUM(C25:C31)</f>
        <v>19207</v>
      </c>
      <c r="D32" s="104">
        <f>SUM(D25:D31)</f>
        <v>0</v>
      </c>
      <c r="E32" s="105">
        <f>SUM(E25:E31)</f>
        <v>0</v>
      </c>
      <c r="F32" s="106">
        <f>SUM(F24:F31)</f>
        <v>5</v>
      </c>
      <c r="G32" s="174"/>
      <c r="H32" s="175"/>
      <c r="I32" s="172"/>
      <c r="J32" s="217">
        <f>+'16'!J32</f>
        <v>0</v>
      </c>
      <c r="K32" s="243"/>
      <c r="L32" s="245"/>
      <c r="M32" s="121">
        <f>+K32+'16'!M32+L32</f>
        <v>0</v>
      </c>
    </row>
    <row r="33" spans="1:15" ht="13.5" thickBot="1">
      <c r="A33" s="176"/>
      <c r="B33" s="177"/>
      <c r="C33" s="107">
        <f>C32/($C$32+$D$32+$E$32)</f>
        <v>1</v>
      </c>
      <c r="D33" s="108">
        <f>D32/($C$32+$D$32+$E$32)</f>
        <v>0</v>
      </c>
      <c r="E33" s="109">
        <f>E32/($C$32+$D$32+$E$32)</f>
        <v>0</v>
      </c>
      <c r="F33" s="110"/>
      <c r="G33" s="178"/>
      <c r="H33" s="179"/>
      <c r="I33" s="180"/>
      <c r="J33" s="125"/>
      <c r="K33" s="126"/>
      <c r="L33" s="216"/>
      <c r="M33" s="123"/>
    </row>
    <row r="34" spans="1:15" ht="13.5" thickBot="1">
      <c r="A34" s="797" t="s">
        <v>60</v>
      </c>
      <c r="B34" s="798"/>
      <c r="C34" s="111">
        <f>C14+C23+C32</f>
        <v>55435</v>
      </c>
      <c r="D34" s="111">
        <f>D14+D23+D32</f>
        <v>0</v>
      </c>
      <c r="E34" s="111">
        <f>E14+E23+E32</f>
        <v>0</v>
      </c>
      <c r="F34" s="112">
        <f>F14+F23+F32</f>
        <v>19</v>
      </c>
      <c r="H34" s="181"/>
      <c r="I34" s="181"/>
      <c r="J34" s="127" t="s">
        <v>29</v>
      </c>
      <c r="K34" s="128">
        <f>SUM(K7:K32)</f>
        <v>55435</v>
      </c>
      <c r="L34" s="215">
        <f>SUM(L7:L32)</f>
        <v>0</v>
      </c>
      <c r="M34" s="124">
        <f>SUM(M7:M32)</f>
        <v>843870</v>
      </c>
      <c r="N34" s="159"/>
    </row>
    <row r="35" spans="1:15" ht="13.5" thickBot="1">
      <c r="A35" s="182"/>
      <c r="B35" s="183"/>
      <c r="C35" s="108">
        <f>C34/($C$34+$D$34+$E$34)</f>
        <v>1</v>
      </c>
      <c r="D35" s="108">
        <f>D34/($C$34+$D$34+$E$34)</f>
        <v>0</v>
      </c>
      <c r="E35" s="113">
        <f>E34/($C$34+$D$34+$E$34)</f>
        <v>0</v>
      </c>
      <c r="K35" s="159"/>
      <c r="L35" s="788" t="s">
        <v>186</v>
      </c>
      <c r="M35" s="788"/>
      <c r="N35" s="159"/>
    </row>
    <row r="36" spans="1:15" ht="13.5" thickBot="1">
      <c r="A36" s="181"/>
      <c r="B36" s="181"/>
      <c r="C36" s="159"/>
      <c r="D36" s="159"/>
      <c r="E36" s="159"/>
      <c r="G36" s="159"/>
      <c r="H36" s="184"/>
      <c r="I36" s="166" t="s">
        <v>42</v>
      </c>
      <c r="J36" s="166" t="s">
        <v>43</v>
      </c>
      <c r="K36" s="185"/>
      <c r="L36" s="166" t="s">
        <v>42</v>
      </c>
      <c r="M36" s="166" t="s">
        <v>43</v>
      </c>
      <c r="N36" s="159"/>
    </row>
    <row r="37" spans="1:15" ht="17.45" customHeight="1" thickBot="1">
      <c r="A37" s="801" t="s">
        <v>61</v>
      </c>
      <c r="B37" s="802"/>
      <c r="C37" s="166" t="s">
        <v>62</v>
      </c>
      <c r="D37" s="186" t="s">
        <v>63</v>
      </c>
      <c r="E37" s="187" t="s">
        <v>64</v>
      </c>
      <c r="F37" s="372"/>
      <c r="G37" s="374"/>
      <c r="H37" s="189" t="s">
        <v>65</v>
      </c>
      <c r="I37" s="246">
        <f>(18*520+17*920)/1440*G42*3.4*1440/1000000</f>
        <v>60.672999999999995</v>
      </c>
      <c r="J37" s="129">
        <f>+I37+'16'!J37</f>
        <v>966.98894599540029</v>
      </c>
      <c r="K37" s="130" t="s">
        <v>66</v>
      </c>
      <c r="L37" s="437"/>
      <c r="M37" s="438"/>
      <c r="N37" s="159">
        <f>20.045+2.569+1+2</f>
        <v>25.614000000000001</v>
      </c>
      <c r="O37" s="153">
        <f>480+40</f>
        <v>520</v>
      </c>
    </row>
    <row r="38" spans="1:15" ht="17.45" customHeight="1">
      <c r="A38" s="803" t="s">
        <v>13</v>
      </c>
      <c r="B38" s="804"/>
      <c r="C38" s="168">
        <f>SUMIF($G$7:$G$31,"Process",$F$7:$F$31)</f>
        <v>19</v>
      </c>
      <c r="D38" s="122">
        <f>+C38+'16'!D38</f>
        <v>796</v>
      </c>
      <c r="E38" s="147">
        <f t="shared" ref="E38:E51" si="0">D38/60</f>
        <v>13.266666666666667</v>
      </c>
      <c r="F38" s="372">
        <v>830</v>
      </c>
      <c r="G38" s="372">
        <v>713.8</v>
      </c>
      <c r="H38" s="190" t="s">
        <v>67</v>
      </c>
      <c r="I38" s="559">
        <f>20.045+17.453+18.51</f>
        <v>56.00800000000001</v>
      </c>
      <c r="J38" s="131">
        <f>+I38+'16'!J38</f>
        <v>874.30199999999991</v>
      </c>
      <c r="K38" s="132" t="s">
        <v>66</v>
      </c>
      <c r="L38" s="439"/>
      <c r="M38" s="440"/>
      <c r="N38" s="159">
        <f>+I38-N37</f>
        <v>30.394000000000009</v>
      </c>
      <c r="O38" s="153">
        <f>1440-O37</f>
        <v>920</v>
      </c>
    </row>
    <row r="39" spans="1:15" ht="17.45" customHeight="1">
      <c r="A39" s="799" t="s">
        <v>14</v>
      </c>
      <c r="B39" s="800"/>
      <c r="C39" s="168">
        <f>SUMIF($G$7:$G$31,"Cleaning",$F$7:$F$31)</f>
        <v>0</v>
      </c>
      <c r="D39" s="122">
        <f>+C39+'16'!D39</f>
        <v>0</v>
      </c>
      <c r="E39" s="147">
        <f t="shared" si="0"/>
        <v>0</v>
      </c>
      <c r="F39" s="372">
        <v>830</v>
      </c>
      <c r="G39" s="372">
        <v>713.8</v>
      </c>
      <c r="H39" s="190" t="s">
        <v>68</v>
      </c>
      <c r="I39" s="146"/>
      <c r="J39" s="133">
        <f>J37/G4</f>
        <v>56.881702705611779</v>
      </c>
      <c r="K39" s="134" t="s">
        <v>66</v>
      </c>
      <c r="L39" s="439"/>
      <c r="M39" s="440"/>
      <c r="N39" s="159"/>
    </row>
    <row r="40" spans="1:15" ht="17.45" customHeight="1">
      <c r="A40" s="799" t="s">
        <v>69</v>
      </c>
      <c r="B40" s="800"/>
      <c r="C40" s="168">
        <f>SUMIF($G$7:$G$31,"Mechanical",$F$7:$F$31)</f>
        <v>0</v>
      </c>
      <c r="D40" s="122">
        <f>+C40+'16'!D40</f>
        <v>700</v>
      </c>
      <c r="E40" s="147">
        <f t="shared" si="0"/>
        <v>11.666666666666666</v>
      </c>
      <c r="F40" s="372">
        <v>830</v>
      </c>
      <c r="G40" s="372">
        <v>713.8</v>
      </c>
      <c r="H40" s="190" t="s">
        <v>70</v>
      </c>
      <c r="I40" s="122">
        <f>(K34+L34)/1000</f>
        <v>55.435000000000002</v>
      </c>
      <c r="J40" s="135">
        <f>+I40+'16'!J40</f>
        <v>843.86999999999989</v>
      </c>
      <c r="K40" s="134" t="s">
        <v>66</v>
      </c>
      <c r="L40" s="439"/>
      <c r="M40" s="440"/>
      <c r="N40" s="159"/>
    </row>
    <row r="41" spans="1:15" ht="17.45" customHeight="1">
      <c r="A41" s="799" t="s">
        <v>71</v>
      </c>
      <c r="B41" s="800"/>
      <c r="C41" s="168">
        <f>SUMIF($G$7:$G$31,"Electrical",$F$7:$F$31)</f>
        <v>0</v>
      </c>
      <c r="D41" s="122">
        <f>+C41+'16'!D41</f>
        <v>315</v>
      </c>
      <c r="E41" s="147">
        <f t="shared" si="0"/>
        <v>5.25</v>
      </c>
      <c r="F41" s="372"/>
      <c r="G41" s="372"/>
      <c r="H41" s="190" t="s">
        <v>72</v>
      </c>
      <c r="I41" s="146"/>
      <c r="J41" s="133">
        <f>J40/G4</f>
        <v>49.639411764705876</v>
      </c>
      <c r="K41" s="134" t="s">
        <v>66</v>
      </c>
      <c r="L41" s="439"/>
      <c r="M41" s="440"/>
      <c r="N41" s="159"/>
    </row>
    <row r="42" spans="1:15" ht="17.45" customHeight="1">
      <c r="A42" s="799" t="s">
        <v>17</v>
      </c>
      <c r="B42" s="800"/>
      <c r="C42" s="168">
        <f>SUMIF($G$7:$G$31,"Instrument",$F$7:$F$31)</f>
        <v>0</v>
      </c>
      <c r="D42" s="122">
        <f>+C42+'16'!D42</f>
        <v>0</v>
      </c>
      <c r="E42" s="147">
        <f t="shared" si="0"/>
        <v>0</v>
      </c>
      <c r="F42" s="372">
        <f>+(F38*480+F39*480+F40*480)/1440</f>
        <v>830</v>
      </c>
      <c r="G42" s="372">
        <f>+(G38*480+G39*480+G40*480)/1440</f>
        <v>713.8</v>
      </c>
      <c r="H42" s="190" t="s">
        <v>73</v>
      </c>
      <c r="I42" s="248" t="s">
        <v>508</v>
      </c>
      <c r="J42" s="136"/>
      <c r="K42" s="134" t="s">
        <v>74</v>
      </c>
      <c r="L42" s="439"/>
      <c r="M42" s="440"/>
      <c r="N42" s="159"/>
    </row>
    <row r="43" spans="1:15" ht="17.45" customHeight="1">
      <c r="A43" s="799" t="s">
        <v>75</v>
      </c>
      <c r="B43" s="800"/>
      <c r="C43" s="168">
        <f>SUMIF($G$7:$G$31,"Water",$F$7:$F$31)</f>
        <v>0</v>
      </c>
      <c r="D43" s="122">
        <f>+C43+'16'!D43</f>
        <v>0</v>
      </c>
      <c r="E43" s="147">
        <f t="shared" si="0"/>
        <v>0</v>
      </c>
      <c r="F43" s="372"/>
      <c r="G43" s="373"/>
      <c r="H43" s="191" t="s">
        <v>76</v>
      </c>
      <c r="I43" s="122">
        <f>+Report1!AH25</f>
        <v>116.29600000000001</v>
      </c>
      <c r="J43" s="137">
        <f>+I43+'16'!J43</f>
        <v>1942.5269999999998</v>
      </c>
      <c r="K43" s="134" t="s">
        <v>66</v>
      </c>
      <c r="L43" s="441">
        <f>+Report1!AN25</f>
        <v>11</v>
      </c>
      <c r="M43" s="442">
        <f>+L43+'16'!M43</f>
        <v>181.10000000000002</v>
      </c>
      <c r="N43" s="159"/>
    </row>
    <row r="44" spans="1:15" ht="17.45" customHeight="1">
      <c r="A44" s="799" t="s">
        <v>18</v>
      </c>
      <c r="B44" s="800"/>
      <c r="C44" s="168">
        <f>SUMIF($G$7:$G$31,"PLN",$F$7:$F$31)</f>
        <v>0</v>
      </c>
      <c r="D44" s="122">
        <f>+C44+'16'!D44</f>
        <v>105</v>
      </c>
      <c r="E44" s="147">
        <f t="shared" si="0"/>
        <v>1.75</v>
      </c>
      <c r="F44" s="372"/>
      <c r="G44" s="373"/>
      <c r="H44" s="191" t="s">
        <v>77</v>
      </c>
      <c r="I44" s="122">
        <f>I43/I38</f>
        <v>2.076417654620768</v>
      </c>
      <c r="J44" s="138">
        <f>J43/J38</f>
        <v>2.2218032213125443</v>
      </c>
      <c r="K44" s="134" t="s">
        <v>66</v>
      </c>
      <c r="L44" s="443">
        <f>+L43/I38</f>
        <v>0.19640051421225535</v>
      </c>
      <c r="M44" s="444">
        <f>+M43/J38</f>
        <v>0.2071366644477538</v>
      </c>
      <c r="N44" s="159"/>
    </row>
    <row r="45" spans="1:15" ht="17.45" customHeight="1">
      <c r="A45" s="799" t="s">
        <v>19</v>
      </c>
      <c r="B45" s="800"/>
      <c r="C45" s="168">
        <f>SUMIF($G$7:$G$31,"Boiler",$F$7:$F$31)</f>
        <v>0</v>
      </c>
      <c r="D45" s="122">
        <f>+C45+'16'!D45</f>
        <v>0</v>
      </c>
      <c r="E45" s="147">
        <f t="shared" si="0"/>
        <v>0</v>
      </c>
      <c r="F45" s="372"/>
      <c r="G45" s="375"/>
      <c r="H45" s="191" t="s">
        <v>78</v>
      </c>
      <c r="I45" s="122">
        <f>I43/I40</f>
        <v>2.0978804004690179</v>
      </c>
      <c r="J45" s="138">
        <f>J43/J40</f>
        <v>2.3019268370720609</v>
      </c>
      <c r="K45" s="134" t="s">
        <v>66</v>
      </c>
      <c r="L45" s="443">
        <f>+L43/I40</f>
        <v>0.19843059438982591</v>
      </c>
      <c r="M45" s="444">
        <f>+M43/J40</f>
        <v>0.21460651522153892</v>
      </c>
      <c r="N45" s="159"/>
    </row>
    <row r="46" spans="1:15" ht="17.45" customHeight="1">
      <c r="A46" s="799" t="s">
        <v>79</v>
      </c>
      <c r="B46" s="800"/>
      <c r="C46" s="168">
        <f>SUMIF($G$7:$G$31,"Gas",$F$7:$F$31)</f>
        <v>0</v>
      </c>
      <c r="D46" s="122">
        <f>+C46+'16'!D46</f>
        <v>0</v>
      </c>
      <c r="E46" s="147">
        <f t="shared" si="0"/>
        <v>0</v>
      </c>
      <c r="F46" s="372"/>
      <c r="G46" s="373"/>
      <c r="H46" s="191" t="s">
        <v>80</v>
      </c>
      <c r="I46" s="144">
        <f>+SUMIF(Listrik!AC24,"&gt;0")</f>
        <v>36390.380000001533</v>
      </c>
      <c r="J46" s="139">
        <f>+I46+'16'!J46</f>
        <v>562049.98000000161</v>
      </c>
      <c r="K46" s="134" t="s">
        <v>81</v>
      </c>
      <c r="L46" s="443">
        <f>+Listrik!AF24</f>
        <v>5559</v>
      </c>
      <c r="M46" s="445">
        <f>+L46+'16'!M46</f>
        <v>106641</v>
      </c>
      <c r="N46" s="159"/>
    </row>
    <row r="47" spans="1:15" ht="17.45" customHeight="1">
      <c r="A47" s="799" t="s">
        <v>82</v>
      </c>
      <c r="B47" s="800"/>
      <c r="C47" s="168">
        <f>SUMIF($G$7:$G$31,"Gas",$F$7:$F$31)</f>
        <v>0</v>
      </c>
      <c r="D47" s="122">
        <f>+C47+'16'!D47</f>
        <v>0</v>
      </c>
      <c r="E47" s="147">
        <f t="shared" si="0"/>
        <v>0</v>
      </c>
      <c r="F47" s="372"/>
      <c r="G47" s="373"/>
      <c r="H47" s="191" t="s">
        <v>83</v>
      </c>
      <c r="I47" s="122">
        <f>I46/I38</f>
        <v>649.73539494360671</v>
      </c>
      <c r="J47" s="139">
        <f>J46/J38</f>
        <v>642.85564942091139</v>
      </c>
      <c r="K47" s="134" t="s">
        <v>25</v>
      </c>
      <c r="L47" s="443">
        <f>+L46/I38</f>
        <v>99.253678045993411</v>
      </c>
      <c r="M47" s="444">
        <f>+M46/J38</f>
        <v>121.97272795898901</v>
      </c>
    </row>
    <row r="48" spans="1:15" ht="17.45" customHeight="1">
      <c r="A48" s="799" t="s">
        <v>15</v>
      </c>
      <c r="B48" s="800"/>
      <c r="C48" s="168">
        <f>SUMIF($G$7:$G$31,"Start Up",$F$7:$F$31)</f>
        <v>0</v>
      </c>
      <c r="D48" s="122">
        <f>+C48+'16'!D48</f>
        <v>0</v>
      </c>
      <c r="E48" s="147">
        <f t="shared" si="0"/>
        <v>0</v>
      </c>
      <c r="F48" s="372"/>
      <c r="G48" s="373"/>
      <c r="H48" s="191" t="s">
        <v>84</v>
      </c>
      <c r="I48" s="122">
        <f>I46/I40</f>
        <v>656.45133940653977</v>
      </c>
      <c r="J48" s="139">
        <f>J46/J40</f>
        <v>666.03858414210924</v>
      </c>
      <c r="K48" s="134" t="s">
        <v>25</v>
      </c>
      <c r="L48" s="443">
        <f>+L46/I38</f>
        <v>99.253678045993411</v>
      </c>
      <c r="M48" s="444">
        <f>+M46/J40</f>
        <v>126.37136051761529</v>
      </c>
    </row>
    <row r="49" spans="1:13" ht="17.45" customHeight="1">
      <c r="A49" s="799" t="s">
        <v>21</v>
      </c>
      <c r="B49" s="800"/>
      <c r="C49" s="168">
        <f>SUMIF($G$7:$G$31,"Others",$F$7:$F$31)</f>
        <v>0</v>
      </c>
      <c r="D49" s="122">
        <f>+C49+'16'!D49</f>
        <v>1440</v>
      </c>
      <c r="E49" s="147">
        <f t="shared" si="0"/>
        <v>24</v>
      </c>
      <c r="F49" s="188"/>
      <c r="H49" s="191" t="s">
        <v>85</v>
      </c>
      <c r="I49" s="122">
        <f>+Report1!AB25</f>
        <v>0</v>
      </c>
      <c r="J49" s="139">
        <f>+I49+'16'!J49</f>
        <v>0</v>
      </c>
      <c r="K49" s="134" t="s">
        <v>86</v>
      </c>
      <c r="L49" s="439"/>
      <c r="M49" s="440"/>
    </row>
    <row r="50" spans="1:13" ht="17.45" customHeight="1">
      <c r="A50" s="799" t="s">
        <v>20</v>
      </c>
      <c r="B50" s="800"/>
      <c r="C50" s="168">
        <f>SUMIF($G$7:$G$31,"Steam",$F$7:$F$31)</f>
        <v>0</v>
      </c>
      <c r="D50" s="122">
        <f>+C50+'16'!D50</f>
        <v>0</v>
      </c>
      <c r="E50" s="147">
        <f t="shared" si="0"/>
        <v>0</v>
      </c>
      <c r="F50" s="188"/>
      <c r="H50" s="191" t="s">
        <v>87</v>
      </c>
      <c r="I50" s="144">
        <f>I49/I38</f>
        <v>0</v>
      </c>
      <c r="J50" s="137">
        <f>J49/J38</f>
        <v>0</v>
      </c>
      <c r="K50" s="134" t="s">
        <v>86</v>
      </c>
      <c r="L50" s="439"/>
      <c r="M50" s="440"/>
    </row>
    <row r="51" spans="1:13" ht="17.45" customHeight="1" thickBot="1">
      <c r="A51" s="805" t="s">
        <v>88</v>
      </c>
      <c r="B51" s="806"/>
      <c r="C51" s="168">
        <f>SUMIF($G$7:$G$31,"Planned shut",$F$7:$F$31)</f>
        <v>0</v>
      </c>
      <c r="D51" s="122">
        <f>+C51+'16'!D51</f>
        <v>0</v>
      </c>
      <c r="E51" s="147">
        <f t="shared" si="0"/>
        <v>0</v>
      </c>
      <c r="F51" s="188"/>
      <c r="H51" s="193" t="s">
        <v>89</v>
      </c>
      <c r="I51" s="145">
        <f>I49/I40</f>
        <v>0</v>
      </c>
      <c r="J51" s="140">
        <f>J49/J40</f>
        <v>0</v>
      </c>
      <c r="K51" s="141" t="s">
        <v>86</v>
      </c>
      <c r="L51" s="439"/>
      <c r="M51" s="440"/>
    </row>
    <row r="52" spans="1:13" ht="13.5" thickBot="1">
      <c r="A52" s="803" t="s">
        <v>29</v>
      </c>
      <c r="B52" s="804"/>
      <c r="C52" s="148">
        <f>SUM(C38:C51)</f>
        <v>19</v>
      </c>
      <c r="D52" s="148">
        <f>SUM(D38:D51)</f>
        <v>3356</v>
      </c>
      <c r="E52" s="149">
        <f>SUM(E38:E51)</f>
        <v>55.933333333333337</v>
      </c>
      <c r="F52" s="188"/>
      <c r="H52" s="194"/>
      <c r="I52" s="195"/>
      <c r="J52" s="142"/>
      <c r="K52" s="143"/>
      <c r="L52" s="446"/>
      <c r="M52" s="447"/>
    </row>
    <row r="53" spans="1:13" ht="13.5" thickBot="1">
      <c r="A53" s="807"/>
      <c r="B53" s="808"/>
      <c r="C53" s="150">
        <f>C52/(24*60)</f>
        <v>1.3194444444444444E-2</v>
      </c>
      <c r="D53" s="150">
        <f>D52/(24*60*G4)</f>
        <v>0.13709150326797387</v>
      </c>
      <c r="E53" s="151">
        <f>E52/(G4*24)</f>
        <v>0.13709150326797387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90</v>
      </c>
      <c r="B56" s="198"/>
      <c r="C56" s="199"/>
      <c r="D56" s="199"/>
      <c r="E56" s="199"/>
      <c r="F56" s="200"/>
      <c r="G56" s="199"/>
      <c r="H56" s="201"/>
      <c r="I56" s="202" t="s">
        <v>91</v>
      </c>
      <c r="J56" s="203">
        <f>+D34+'16'!J56</f>
        <v>14653</v>
      </c>
      <c r="K56" s="204">
        <f>J56/(J40+J56/1000)/1000</f>
        <v>1.706768484944492E-2</v>
      </c>
    </row>
    <row r="57" spans="1:13">
      <c r="A57" s="179"/>
      <c r="I57" s="202" t="s">
        <v>92</v>
      </c>
      <c r="J57" s="203">
        <f>+E34+'16'!J57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  <c r="J59" s="159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A42:B42"/>
    <mergeCell ref="A43:B43"/>
    <mergeCell ref="A44:B44"/>
    <mergeCell ref="A45:B45"/>
    <mergeCell ref="A46:B46"/>
    <mergeCell ref="A52:B52"/>
    <mergeCell ref="A53:B53"/>
    <mergeCell ref="A47:B47"/>
    <mergeCell ref="A48:B48"/>
    <mergeCell ref="A49:B49"/>
    <mergeCell ref="A50:B50"/>
    <mergeCell ref="A51:B51"/>
    <mergeCell ref="A39:B39"/>
    <mergeCell ref="A40:B40"/>
    <mergeCell ref="A41:B41"/>
    <mergeCell ref="A37:B37"/>
    <mergeCell ref="L35:M35"/>
    <mergeCell ref="A38:B38"/>
    <mergeCell ref="A7:A14"/>
    <mergeCell ref="I7:I13"/>
    <mergeCell ref="A15:A23"/>
    <mergeCell ref="I15:I22"/>
    <mergeCell ref="A34:B34"/>
    <mergeCell ref="I24:I31"/>
    <mergeCell ref="A24:A32"/>
  </mergeCells>
  <phoneticPr fontId="31" type="noConversion"/>
  <printOptions horizontalCentered="1"/>
  <pageMargins left="0.74791666666666667" right="0.74791666666666667" top="0.39027777777777778" bottom="0.39027777777777778" header="0" footer="0"/>
  <pageSetup paperSize="9" scale="59" firstPageNumber="4294963191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R61"/>
  <sheetViews>
    <sheetView view="pageBreakPreview" zoomScale="80" zoomScaleNormal="80" zoomScaleSheetLayoutView="80" workbookViewId="0">
      <selection activeCell="A7" sqref="A7:A32"/>
    </sheetView>
  </sheetViews>
  <sheetFormatPr defaultColWidth="9.140625" defaultRowHeight="12.75"/>
  <cols>
    <col min="1" max="1" width="8" style="153" customWidth="1"/>
    <col min="2" max="2" width="7" style="153" bestFit="1" customWidth="1"/>
    <col min="3" max="3" width="14.85546875" style="153" bestFit="1" customWidth="1"/>
    <col min="4" max="4" width="12.5703125" style="153" bestFit="1" customWidth="1"/>
    <col min="5" max="5" width="13.85546875" style="153" bestFit="1" customWidth="1"/>
    <col min="6" max="6" width="12.140625" style="114" bestFit="1" customWidth="1"/>
    <col min="7" max="7" width="11.42578125" style="153" bestFit="1" customWidth="1"/>
    <col min="8" max="8" width="64.85546875" style="153" customWidth="1"/>
    <col min="9" max="9" width="14.7109375" style="153" bestFit="1" customWidth="1"/>
    <col min="10" max="10" width="19.42578125" style="153" customWidth="1"/>
    <col min="11" max="11" width="12.5703125" style="153" bestFit="1" customWidth="1"/>
    <col min="12" max="12" width="8.28515625" style="153" customWidth="1"/>
    <col min="13" max="13" width="12.140625" style="153" customWidth="1"/>
    <col min="14" max="14" width="12.28515625" style="153" bestFit="1" customWidth="1"/>
    <col min="15" max="16384" width="9.140625" style="153"/>
  </cols>
  <sheetData>
    <row r="1" spans="1:18" ht="15.75">
      <c r="A1" s="152"/>
    </row>
    <row r="2" spans="1:18" ht="15.75">
      <c r="A2" s="152" t="s">
        <v>175</v>
      </c>
    </row>
    <row r="3" spans="1:18" ht="15">
      <c r="A3" s="154"/>
    </row>
    <row r="4" spans="1:18" ht="20.25">
      <c r="A4" s="155" t="s">
        <v>4</v>
      </c>
      <c r="B4" s="156"/>
      <c r="F4" s="157" t="s">
        <v>31</v>
      </c>
      <c r="G4" s="158">
        <v>16</v>
      </c>
      <c r="H4" s="158" t="str">
        <f>+'1'!H4</f>
        <v>.12.25</v>
      </c>
    </row>
    <row r="5" spans="1:18" ht="13.5" thickBot="1">
      <c r="C5" s="159"/>
      <c r="D5" s="159"/>
    </row>
    <row r="6" spans="1:18" ht="26.25" thickBot="1">
      <c r="A6" s="160" t="s">
        <v>50</v>
      </c>
      <c r="B6" s="161" t="s">
        <v>10</v>
      </c>
      <c r="C6" s="161" t="s">
        <v>51</v>
      </c>
      <c r="D6" s="161" t="s">
        <v>52</v>
      </c>
      <c r="E6" s="162" t="s">
        <v>53</v>
      </c>
      <c r="F6" s="106" t="s">
        <v>54</v>
      </c>
      <c r="G6" s="161" t="s">
        <v>55</v>
      </c>
      <c r="H6" s="163" t="s">
        <v>56</v>
      </c>
      <c r="I6" s="164" t="s">
        <v>57</v>
      </c>
      <c r="J6" s="165" t="s">
        <v>10</v>
      </c>
      <c r="K6" s="166" t="s">
        <v>58</v>
      </c>
      <c r="L6" s="213" t="s">
        <v>143</v>
      </c>
      <c r="M6" s="167" t="s">
        <v>59</v>
      </c>
      <c r="N6" s="153">
        <f>372+343+334</f>
        <v>1049</v>
      </c>
    </row>
    <row r="7" spans="1:18" ht="13.5" customHeight="1" thickBot="1">
      <c r="A7" s="789" t="s">
        <v>486</v>
      </c>
      <c r="B7" s="218" t="s">
        <v>536</v>
      </c>
      <c r="C7" s="219">
        <v>21557</v>
      </c>
      <c r="D7" s="220">
        <v>1068</v>
      </c>
      <c r="E7" s="221"/>
      <c r="F7" s="230">
        <v>2</v>
      </c>
      <c r="G7" s="231" t="s">
        <v>13</v>
      </c>
      <c r="H7" s="232" t="s">
        <v>392</v>
      </c>
      <c r="I7" s="792" t="s">
        <v>564</v>
      </c>
      <c r="J7" s="217" t="str">
        <f>+'15'!J7</f>
        <v>TW 38 RC BR</v>
      </c>
      <c r="K7" s="240"/>
      <c r="L7" s="244"/>
      <c r="M7" s="121">
        <f>+K7+'15'!M7+L7</f>
        <v>78513</v>
      </c>
    </row>
    <row r="8" spans="1:18" ht="13.5" thickBot="1">
      <c r="A8" s="790"/>
      <c r="B8" s="218"/>
      <c r="C8" s="219"/>
      <c r="D8" s="220"/>
      <c r="E8" s="222"/>
      <c r="F8" s="233">
        <v>4</v>
      </c>
      <c r="G8" s="234" t="s">
        <v>13</v>
      </c>
      <c r="H8" s="232" t="s">
        <v>393</v>
      </c>
      <c r="I8" s="793"/>
      <c r="J8" s="217" t="str">
        <f>+'15'!J8</f>
        <v>TW 36 RC BR</v>
      </c>
      <c r="K8" s="241"/>
      <c r="L8" s="241"/>
      <c r="M8" s="121">
        <f>+K8+'15'!M8+L8</f>
        <v>1530</v>
      </c>
      <c r="N8" s="153">
        <v>830</v>
      </c>
      <c r="O8" s="153">
        <f>+N8-N8*0.1</f>
        <v>747</v>
      </c>
    </row>
    <row r="9" spans="1:18" ht="13.5" thickBot="1">
      <c r="A9" s="790"/>
      <c r="B9" s="218"/>
      <c r="C9" s="219"/>
      <c r="D9" s="220"/>
      <c r="E9" s="223"/>
      <c r="F9" s="230">
        <v>6</v>
      </c>
      <c r="G9" s="234" t="s">
        <v>13</v>
      </c>
      <c r="H9" s="235" t="s">
        <v>226</v>
      </c>
      <c r="I9" s="793"/>
      <c r="J9" s="217" t="str">
        <f>+'15'!J9</f>
        <v>N 20 RC BR</v>
      </c>
      <c r="K9" s="241"/>
      <c r="L9" s="241"/>
      <c r="M9" s="121">
        <f>+K9+'15'!M9+L9</f>
        <v>74204</v>
      </c>
    </row>
    <row r="10" spans="1:18" ht="13.5" thickBot="1">
      <c r="A10" s="790"/>
      <c r="B10" s="218"/>
      <c r="C10" s="219"/>
      <c r="D10" s="220"/>
      <c r="E10" s="222"/>
      <c r="F10" s="230"/>
      <c r="G10" s="234"/>
      <c r="H10" s="235" t="s">
        <v>562</v>
      </c>
      <c r="I10" s="793"/>
      <c r="J10" s="217" t="str">
        <f>+'15'!J10</f>
        <v>TW 17 RC HW</v>
      </c>
      <c r="K10" s="241"/>
      <c r="L10" s="241"/>
      <c r="M10" s="121">
        <f>+K10+'15'!M10+L10</f>
        <v>39984</v>
      </c>
    </row>
    <row r="11" spans="1:18" ht="13.5" thickBot="1">
      <c r="A11" s="790"/>
      <c r="B11" s="218"/>
      <c r="C11" s="219"/>
      <c r="D11" s="220"/>
      <c r="E11" s="222"/>
      <c r="F11" s="230"/>
      <c r="G11" s="234"/>
      <c r="H11" s="235"/>
      <c r="I11" s="793"/>
      <c r="J11" s="217" t="str">
        <f>+'15'!J11</f>
        <v>N 15,5 RC HW</v>
      </c>
      <c r="K11" s="241"/>
      <c r="L11" s="241"/>
      <c r="M11" s="121">
        <f>+K11+'15'!M11+L11</f>
        <v>149213</v>
      </c>
    </row>
    <row r="12" spans="1:18" ht="13.5" thickBot="1">
      <c r="A12" s="790"/>
      <c r="B12" s="218"/>
      <c r="C12" s="219"/>
      <c r="D12" s="220"/>
      <c r="E12" s="222"/>
      <c r="F12" s="230"/>
      <c r="G12" s="234"/>
      <c r="H12" s="235"/>
      <c r="I12" s="793"/>
      <c r="J12" s="217" t="str">
        <f>+'15'!J12</f>
        <v>N 17 RC HW</v>
      </c>
      <c r="K12" s="241"/>
      <c r="L12" s="241"/>
      <c r="M12" s="121">
        <f>+K12+'15'!M12+L12</f>
        <v>6572</v>
      </c>
      <c r="Q12" s="567"/>
    </row>
    <row r="13" spans="1:18" ht="13.5" thickBot="1">
      <c r="A13" s="790"/>
      <c r="B13" s="218"/>
      <c r="C13" s="219"/>
      <c r="D13" s="219"/>
      <c r="E13" s="222"/>
      <c r="F13" s="230"/>
      <c r="G13" s="234"/>
      <c r="H13" s="235"/>
      <c r="I13" s="794"/>
      <c r="J13" s="217" t="str">
        <f>+'15'!J13</f>
        <v>N 16,5 RC HW</v>
      </c>
      <c r="K13" s="241"/>
      <c r="L13" s="241"/>
      <c r="M13" s="121">
        <f>+K13+'15'!M13+L13</f>
        <v>18880</v>
      </c>
      <c r="Q13" s="567"/>
    </row>
    <row r="14" spans="1:18" ht="13.5" thickBot="1">
      <c r="A14" s="791"/>
      <c r="B14" s="169" t="s">
        <v>3</v>
      </c>
      <c r="C14" s="103">
        <f>SUM(C7:C13)</f>
        <v>21557</v>
      </c>
      <c r="D14" s="115">
        <f>SUM(D7:D13)</f>
        <v>1068</v>
      </c>
      <c r="E14" s="116">
        <f>SUM(E5:E13)</f>
        <v>0</v>
      </c>
      <c r="F14" s="106">
        <f>SUM(F6:F13)</f>
        <v>12</v>
      </c>
      <c r="G14" s="163"/>
      <c r="H14" s="170"/>
      <c r="I14" s="171"/>
      <c r="J14" s="217" t="str">
        <f>+'15'!J14</f>
        <v>N 20 RC HW</v>
      </c>
      <c r="K14" s="241">
        <f>+C7+C16</f>
        <v>37482</v>
      </c>
      <c r="L14" s="241"/>
      <c r="M14" s="121">
        <f>+K14+'15'!M14+L14</f>
        <v>394199</v>
      </c>
    </row>
    <row r="15" spans="1:18" ht="13.5" customHeight="1" thickBot="1">
      <c r="A15" s="789" t="s">
        <v>556</v>
      </c>
      <c r="B15" s="169"/>
      <c r="C15" s="117">
        <f>C14/($C$23+$D$23+$E$23)</f>
        <v>1.0183286881761067</v>
      </c>
      <c r="D15" s="118">
        <f>D14/($C$23+$D$23+$E$23)</f>
        <v>5.0451131371344889E-2</v>
      </c>
      <c r="E15" s="119">
        <f>E14/($C$23+$D$23+$E$23)</f>
        <v>0</v>
      </c>
      <c r="F15" s="230"/>
      <c r="G15" s="231" t="s">
        <v>13</v>
      </c>
      <c r="H15" s="232" t="s">
        <v>395</v>
      </c>
      <c r="I15" s="792" t="s">
        <v>575</v>
      </c>
      <c r="J15" s="217" t="s">
        <v>576</v>
      </c>
      <c r="K15" s="241">
        <f>+C17+C25</f>
        <v>25340</v>
      </c>
      <c r="L15" s="241"/>
      <c r="M15" s="121">
        <f>+K15+'15'!M15+L15</f>
        <v>25340</v>
      </c>
    </row>
    <row r="16" spans="1:18" ht="13.5" thickBot="1">
      <c r="A16" s="795"/>
      <c r="B16" s="218" t="s">
        <v>536</v>
      </c>
      <c r="C16" s="224">
        <v>15925</v>
      </c>
      <c r="D16" s="225">
        <v>340</v>
      </c>
      <c r="E16" s="226"/>
      <c r="F16" s="233">
        <v>5</v>
      </c>
      <c r="G16" s="234" t="s">
        <v>13</v>
      </c>
      <c r="H16" s="232" t="s">
        <v>393</v>
      </c>
      <c r="I16" s="793"/>
      <c r="J16" s="217">
        <f>+'15'!J16</f>
        <v>0</v>
      </c>
      <c r="K16" s="241"/>
      <c r="L16" s="241"/>
      <c r="M16" s="121">
        <f>+K16+'15'!M16+L16</f>
        <v>0</v>
      </c>
      <c r="N16" s="153">
        <v>830</v>
      </c>
      <c r="O16" s="153">
        <f>+N16-N16*0.1</f>
        <v>747</v>
      </c>
      <c r="P16" s="153">
        <v>180</v>
      </c>
      <c r="Q16" s="153">
        <f>+N16*P16</f>
        <v>149400</v>
      </c>
      <c r="R16" s="153">
        <f>+O16*P16</f>
        <v>134460</v>
      </c>
    </row>
    <row r="17" spans="1:18" ht="13.5" thickBot="1">
      <c r="A17" s="795"/>
      <c r="B17" s="218" t="s">
        <v>576</v>
      </c>
      <c r="C17" s="219">
        <f>4904</f>
        <v>4904</v>
      </c>
      <c r="D17" s="220"/>
      <c r="E17" s="227"/>
      <c r="F17" s="230">
        <v>2</v>
      </c>
      <c r="G17" s="234" t="s">
        <v>13</v>
      </c>
      <c r="H17" s="235" t="s">
        <v>226</v>
      </c>
      <c r="I17" s="793"/>
      <c r="J17" s="217">
        <f>+'15'!J17</f>
        <v>0</v>
      </c>
      <c r="K17" s="241"/>
      <c r="L17" s="241"/>
      <c r="M17" s="121">
        <f>+K17+'15'!M17+L17</f>
        <v>0</v>
      </c>
      <c r="N17" s="153">
        <v>830</v>
      </c>
      <c r="O17" s="153">
        <f>+N17-N17*0.14</f>
        <v>713.8</v>
      </c>
      <c r="P17" s="153">
        <v>300</v>
      </c>
      <c r="Q17" s="153">
        <f>+N17*P17</f>
        <v>249000</v>
      </c>
      <c r="R17" s="153">
        <f>+O17*P17</f>
        <v>214140</v>
      </c>
    </row>
    <row r="18" spans="1:18" ht="13.5" thickBot="1">
      <c r="A18" s="795"/>
      <c r="B18" s="218"/>
      <c r="C18" s="219"/>
      <c r="D18" s="220"/>
      <c r="E18" s="227"/>
      <c r="F18" s="230"/>
      <c r="G18" s="234"/>
      <c r="H18" s="235" t="s">
        <v>562</v>
      </c>
      <c r="I18" s="793"/>
      <c r="J18" s="217">
        <f>+'15'!J18</f>
        <v>0</v>
      </c>
      <c r="K18" s="241"/>
      <c r="L18" s="241"/>
      <c r="M18" s="121">
        <f>+K18+'15'!M18+L18</f>
        <v>0</v>
      </c>
      <c r="P18" s="153">
        <f>SUM(P16:P17)</f>
        <v>480</v>
      </c>
      <c r="Q18" s="153">
        <f>SUM(Q16:Q17)</f>
        <v>398400</v>
      </c>
      <c r="R18" s="153">
        <f>SUM(R16:R17)</f>
        <v>348600</v>
      </c>
    </row>
    <row r="19" spans="1:18" ht="13.5" thickBot="1">
      <c r="A19" s="795"/>
      <c r="B19" s="218"/>
      <c r="C19" s="219"/>
      <c r="D19" s="220"/>
      <c r="E19" s="227"/>
      <c r="F19" s="237">
        <v>3</v>
      </c>
      <c r="G19" s="234" t="s">
        <v>13</v>
      </c>
      <c r="H19" s="235" t="s">
        <v>573</v>
      </c>
      <c r="I19" s="793"/>
      <c r="J19" s="217">
        <f>+'15'!J19</f>
        <v>0</v>
      </c>
      <c r="K19" s="241"/>
      <c r="L19" s="241"/>
      <c r="M19" s="121">
        <f>+K19+'15'!M19+L19</f>
        <v>0</v>
      </c>
      <c r="Q19" s="153">
        <f>+Q18/P18</f>
        <v>830</v>
      </c>
      <c r="R19" s="153">
        <f>+R18/P18</f>
        <v>726.25</v>
      </c>
    </row>
    <row r="20" spans="1:18" ht="13.5" thickBot="1">
      <c r="A20" s="795"/>
      <c r="B20" s="218"/>
      <c r="C20" s="219"/>
      <c r="D20" s="220"/>
      <c r="E20" s="227"/>
      <c r="F20" s="230"/>
      <c r="G20" s="234"/>
      <c r="H20" s="235"/>
      <c r="I20" s="793"/>
      <c r="J20" s="217">
        <f>+'15'!J20</f>
        <v>0</v>
      </c>
      <c r="K20" s="241"/>
      <c r="L20" s="241"/>
      <c r="M20" s="121">
        <f>+K20+'15'!M20+L20</f>
        <v>0</v>
      </c>
    </row>
    <row r="21" spans="1:18" ht="13.5" thickBot="1">
      <c r="A21" s="795"/>
      <c r="B21" s="218"/>
      <c r="C21" s="219"/>
      <c r="D21" s="220"/>
      <c r="E21" s="227"/>
      <c r="F21" s="233"/>
      <c r="G21" s="234"/>
      <c r="H21" s="235"/>
      <c r="I21" s="793"/>
      <c r="J21" s="217">
        <f>+'15'!J21</f>
        <v>0</v>
      </c>
      <c r="K21" s="241"/>
      <c r="L21" s="241"/>
      <c r="M21" s="121">
        <f>+K21+'15'!M21+L21</f>
        <v>0</v>
      </c>
    </row>
    <row r="22" spans="1:18" ht="13.5" thickBot="1">
      <c r="A22" s="795"/>
      <c r="B22" s="218"/>
      <c r="C22" s="219"/>
      <c r="D22" s="220"/>
      <c r="E22" s="227"/>
      <c r="F22" s="238"/>
      <c r="G22" s="234"/>
      <c r="H22" s="235"/>
      <c r="I22" s="794"/>
      <c r="J22" s="217">
        <f>+'15'!J22</f>
        <v>0</v>
      </c>
      <c r="K22" s="241"/>
      <c r="L22" s="241"/>
      <c r="M22" s="121">
        <f>+K22+'15'!M22+L22</f>
        <v>0</v>
      </c>
    </row>
    <row r="23" spans="1:18" ht="13.5" thickBot="1">
      <c r="A23" s="796"/>
      <c r="B23" s="169" t="s">
        <v>3</v>
      </c>
      <c r="C23" s="104">
        <f>SUM(C16:C22)</f>
        <v>20829</v>
      </c>
      <c r="D23" s="115">
        <f>SUM(D16:D22)</f>
        <v>340</v>
      </c>
      <c r="E23" s="116">
        <f>SUM(E18:E22)</f>
        <v>0</v>
      </c>
      <c r="F23" s="106">
        <f>SUM(F15:F22)</f>
        <v>10</v>
      </c>
      <c r="G23" s="163"/>
      <c r="H23" s="170"/>
      <c r="I23" s="172"/>
      <c r="J23" s="217">
        <f>+'15'!J23</f>
        <v>0</v>
      </c>
      <c r="K23" s="241"/>
      <c r="L23" s="241"/>
      <c r="M23" s="121">
        <f>+K23+'15'!M23+L23</f>
        <v>0</v>
      </c>
    </row>
    <row r="24" spans="1:18" ht="13.5" customHeight="1" thickBot="1">
      <c r="A24" s="789" t="s">
        <v>415</v>
      </c>
      <c r="B24" s="173"/>
      <c r="C24" s="117">
        <f>C23/($C$23+$D$23+$E$23)</f>
        <v>0.98393877840238086</v>
      </c>
      <c r="D24" s="118">
        <f>D23/($C$23+$D$23+$E$23)</f>
        <v>1.606122159761916E-2</v>
      </c>
      <c r="E24" s="119">
        <f>E23/($C$23+$D$23+$E$23)</f>
        <v>0</v>
      </c>
      <c r="F24" s="230"/>
      <c r="G24" s="231" t="s">
        <v>13</v>
      </c>
      <c r="H24" s="232" t="s">
        <v>395</v>
      </c>
      <c r="I24" s="792" t="s">
        <v>508</v>
      </c>
      <c r="J24" s="217">
        <f>+'15'!J24</f>
        <v>0</v>
      </c>
      <c r="K24" s="241"/>
      <c r="L24" s="241"/>
      <c r="M24" s="121">
        <f>+K24+'15'!M24+L24</f>
        <v>0</v>
      </c>
    </row>
    <row r="25" spans="1:18" ht="13.5" thickBot="1">
      <c r="A25" s="795"/>
      <c r="B25" s="218" t="s">
        <v>576</v>
      </c>
      <c r="C25" s="228">
        <v>20436</v>
      </c>
      <c r="D25" s="220"/>
      <c r="E25" s="227"/>
      <c r="F25" s="233">
        <v>5</v>
      </c>
      <c r="G25" s="234" t="s">
        <v>13</v>
      </c>
      <c r="H25" s="232" t="s">
        <v>393</v>
      </c>
      <c r="I25" s="793"/>
      <c r="J25" s="217">
        <f>+'15'!J25</f>
        <v>0</v>
      </c>
      <c r="K25" s="241"/>
      <c r="L25" s="241"/>
      <c r="M25" s="121">
        <f>+K25+'15'!M25+L25</f>
        <v>0</v>
      </c>
    </row>
    <row r="26" spans="1:18" ht="13.5" thickBot="1">
      <c r="A26" s="795"/>
      <c r="B26" s="218"/>
      <c r="C26" s="228"/>
      <c r="D26" s="220"/>
      <c r="E26" s="229"/>
      <c r="F26" s="230">
        <v>4</v>
      </c>
      <c r="G26" s="234" t="s">
        <v>13</v>
      </c>
      <c r="H26" s="235" t="s">
        <v>226</v>
      </c>
      <c r="I26" s="793"/>
      <c r="J26" s="217">
        <f>+'15'!J26</f>
        <v>0</v>
      </c>
      <c r="K26" s="241"/>
      <c r="L26" s="241"/>
      <c r="M26" s="121">
        <f>+K26+'15'!M26+L26</f>
        <v>0</v>
      </c>
    </row>
    <row r="27" spans="1:18" ht="13.5" thickBot="1">
      <c r="A27" s="795"/>
      <c r="B27" s="218"/>
      <c r="C27" s="219"/>
      <c r="D27" s="220"/>
      <c r="E27" s="227"/>
      <c r="F27" s="230"/>
      <c r="G27" s="234"/>
      <c r="H27" s="235" t="s">
        <v>574</v>
      </c>
      <c r="I27" s="793"/>
      <c r="J27" s="217">
        <f>+'15'!J27</f>
        <v>0</v>
      </c>
      <c r="K27" s="241"/>
      <c r="L27" s="241"/>
      <c r="M27" s="121">
        <f>+K27+'15'!M27+L27</f>
        <v>0</v>
      </c>
    </row>
    <row r="28" spans="1:18" ht="13.5" thickBot="1">
      <c r="A28" s="795"/>
      <c r="B28" s="218"/>
      <c r="C28" s="219"/>
      <c r="D28" s="220"/>
      <c r="E28" s="227"/>
      <c r="F28" s="233"/>
      <c r="G28" s="234"/>
      <c r="H28" s="235"/>
      <c r="I28" s="793"/>
      <c r="J28" s="217">
        <f>+'15'!J28</f>
        <v>0</v>
      </c>
      <c r="K28" s="241"/>
      <c r="L28" s="241"/>
      <c r="M28" s="121">
        <f>+K28+'15'!M28+L28</f>
        <v>0</v>
      </c>
    </row>
    <row r="29" spans="1:18" ht="13.5" thickBot="1">
      <c r="A29" s="795"/>
      <c r="B29" s="218"/>
      <c r="C29" s="219"/>
      <c r="D29" s="220"/>
      <c r="E29" s="227"/>
      <c r="F29" s="238"/>
      <c r="G29" s="234"/>
      <c r="H29" s="235"/>
      <c r="I29" s="793"/>
      <c r="J29" s="217">
        <f>+'15'!J29</f>
        <v>0</v>
      </c>
      <c r="K29" s="241"/>
      <c r="L29" s="241"/>
      <c r="M29" s="121">
        <f>+K29+'15'!M29+L29</f>
        <v>0</v>
      </c>
    </row>
    <row r="30" spans="1:18" ht="13.5" thickBot="1">
      <c r="A30" s="795"/>
      <c r="B30" s="218"/>
      <c r="C30" s="228"/>
      <c r="D30" s="220"/>
      <c r="E30" s="227"/>
      <c r="F30" s="238"/>
      <c r="G30" s="234"/>
      <c r="H30" s="235"/>
      <c r="I30" s="793"/>
      <c r="J30" s="217">
        <f>+'15'!J30</f>
        <v>0</v>
      </c>
      <c r="K30" s="241"/>
      <c r="L30" s="241"/>
      <c r="M30" s="121">
        <f>+K30+'15'!M30+L30</f>
        <v>0</v>
      </c>
      <c r="N30" s="159"/>
    </row>
    <row r="31" spans="1:18" ht="13.5" thickBot="1">
      <c r="A31" s="795"/>
      <c r="B31" s="218"/>
      <c r="C31" s="228"/>
      <c r="D31" s="220"/>
      <c r="E31" s="227"/>
      <c r="F31" s="238"/>
      <c r="G31" s="239"/>
      <c r="H31" s="236"/>
      <c r="I31" s="794"/>
      <c r="J31" s="217">
        <f>+'15'!J31</f>
        <v>0</v>
      </c>
      <c r="K31" s="241"/>
      <c r="L31" s="241"/>
      <c r="M31" s="121">
        <f>+K31+'15'!M31+L31</f>
        <v>0</v>
      </c>
    </row>
    <row r="32" spans="1:18" ht="13.5" thickBot="1">
      <c r="A32" s="796"/>
      <c r="B32" s="169" t="s">
        <v>3</v>
      </c>
      <c r="C32" s="103">
        <f>SUM(C25:C31)</f>
        <v>20436</v>
      </c>
      <c r="D32" s="104">
        <f>SUM(D25:D31)</f>
        <v>0</v>
      </c>
      <c r="E32" s="105">
        <f>SUM(E25:E31)</f>
        <v>0</v>
      </c>
      <c r="F32" s="106">
        <f>SUM(F24:F31)</f>
        <v>9</v>
      </c>
      <c r="G32" s="174"/>
      <c r="H32" s="175"/>
      <c r="I32" s="172"/>
      <c r="J32" s="217">
        <f>+'15'!J32</f>
        <v>0</v>
      </c>
      <c r="K32" s="243"/>
      <c r="L32" s="245"/>
      <c r="M32" s="121">
        <f>+K32+'15'!M32+L32</f>
        <v>0</v>
      </c>
    </row>
    <row r="33" spans="1:14" ht="13.5" thickBot="1">
      <c r="A33" s="176"/>
      <c r="B33" s="177"/>
      <c r="C33" s="107">
        <f>C32/($C$32+$D$32+$E$32)</f>
        <v>1</v>
      </c>
      <c r="D33" s="108">
        <f>D32/($C$32+$D$32+$E$32)</f>
        <v>0</v>
      </c>
      <c r="E33" s="109">
        <f>E32/($C$32+$D$32+$E$32)</f>
        <v>0</v>
      </c>
      <c r="F33" s="110"/>
      <c r="G33" s="178"/>
      <c r="H33" s="179"/>
      <c r="I33" s="180"/>
      <c r="J33" s="125"/>
      <c r="K33" s="126"/>
      <c r="L33" s="216"/>
      <c r="M33" s="123"/>
    </row>
    <row r="34" spans="1:14" ht="13.5" thickBot="1">
      <c r="A34" s="797" t="s">
        <v>60</v>
      </c>
      <c r="B34" s="798"/>
      <c r="C34" s="111">
        <f>C14+C23+C32</f>
        <v>62822</v>
      </c>
      <c r="D34" s="111">
        <f>D14+D23+D32</f>
        <v>1408</v>
      </c>
      <c r="E34" s="111">
        <f>E14+E23+E32</f>
        <v>0</v>
      </c>
      <c r="F34" s="112">
        <f>F14+F23+F32</f>
        <v>31</v>
      </c>
      <c r="H34" s="181"/>
      <c r="I34" s="181"/>
      <c r="J34" s="127" t="s">
        <v>29</v>
      </c>
      <c r="K34" s="128">
        <f>SUM(K7:K32)</f>
        <v>62822</v>
      </c>
      <c r="L34" s="215">
        <f>SUM(L7:L32)</f>
        <v>0</v>
      </c>
      <c r="M34" s="124">
        <f>SUM(M7:M32)</f>
        <v>788435</v>
      </c>
      <c r="N34" s="159"/>
    </row>
    <row r="35" spans="1:14" ht="13.5" thickBot="1">
      <c r="A35" s="182"/>
      <c r="B35" s="183"/>
      <c r="C35" s="108">
        <f>C34/($C$34+$D$34+$E$34)</f>
        <v>0.9780787793865795</v>
      </c>
      <c r="D35" s="108">
        <f>D34/($C$34+$D$34+$E$34)</f>
        <v>2.1921220613420521E-2</v>
      </c>
      <c r="E35" s="113">
        <f>E34/($C$34+$D$34+$E$34)</f>
        <v>0</v>
      </c>
      <c r="K35" s="159"/>
      <c r="L35" s="788" t="s">
        <v>186</v>
      </c>
      <c r="M35" s="788"/>
    </row>
    <row r="36" spans="1:14" ht="13.5" thickBot="1">
      <c r="A36" s="181"/>
      <c r="B36" s="181"/>
      <c r="C36" s="159"/>
      <c r="D36" s="159"/>
      <c r="E36" s="159"/>
      <c r="G36" s="159"/>
      <c r="H36" s="184"/>
      <c r="I36" s="166" t="s">
        <v>42</v>
      </c>
      <c r="J36" s="166" t="s">
        <v>43</v>
      </c>
      <c r="K36" s="185"/>
      <c r="L36" s="166" t="s">
        <v>42</v>
      </c>
      <c r="M36" s="166" t="s">
        <v>43</v>
      </c>
    </row>
    <row r="37" spans="1:14" ht="17.45" customHeight="1" thickBot="1">
      <c r="A37" s="801" t="s">
        <v>61</v>
      </c>
      <c r="B37" s="802"/>
      <c r="C37" s="166" t="s">
        <v>62</v>
      </c>
      <c r="D37" s="186" t="s">
        <v>63</v>
      </c>
      <c r="E37" s="187" t="s">
        <v>64</v>
      </c>
      <c r="F37" s="372"/>
      <c r="G37" s="374"/>
      <c r="H37" s="189" t="s">
        <v>65</v>
      </c>
      <c r="I37" s="246">
        <f>(20*660+18*780)/1440*G42*3.4*1440/1000000</f>
        <v>69.184151999999997</v>
      </c>
      <c r="J37" s="129">
        <f>+I37+'15'!J37</f>
        <v>906.31594599540028</v>
      </c>
      <c r="K37" s="130" t="s">
        <v>66</v>
      </c>
      <c r="L37" s="437"/>
      <c r="M37" s="438"/>
      <c r="N37" s="560">
        <f>+I38-N38</f>
        <v>33.837999999999994</v>
      </c>
    </row>
    <row r="38" spans="1:14" ht="17.45" customHeight="1">
      <c r="A38" s="803" t="s">
        <v>13</v>
      </c>
      <c r="B38" s="804"/>
      <c r="C38" s="168">
        <f>SUMIF($G$7:$G$31,"Process",$F$7:$F$31)</f>
        <v>31</v>
      </c>
      <c r="D38" s="122">
        <f>+C38+'15'!D38</f>
        <v>777</v>
      </c>
      <c r="E38" s="147">
        <f t="shared" ref="E38:E51" si="0">D38/60</f>
        <v>12.95</v>
      </c>
      <c r="F38" s="372">
        <v>830</v>
      </c>
      <c r="G38" s="372">
        <f>+F38-F38*0.1</f>
        <v>747</v>
      </c>
      <c r="H38" s="190" t="s">
        <v>67</v>
      </c>
      <c r="I38" s="559">
        <f>22.55+21.539+18.202</f>
        <v>62.290999999999997</v>
      </c>
      <c r="J38" s="131">
        <f>+I38+'15'!J38</f>
        <v>818.29399999999987</v>
      </c>
      <c r="K38" s="132" t="s">
        <v>66</v>
      </c>
      <c r="L38" s="439"/>
      <c r="M38" s="440"/>
      <c r="N38" s="153">
        <f>0.115+2.534+2.534+2.534+2.534+18.202</f>
        <v>28.453000000000003</v>
      </c>
    </row>
    <row r="39" spans="1:14" ht="17.45" customHeight="1">
      <c r="A39" s="799" t="s">
        <v>14</v>
      </c>
      <c r="B39" s="800"/>
      <c r="C39" s="168">
        <f>SUMIF($G$7:$G$31,"Cleaning",$F$7:$F$31)</f>
        <v>0</v>
      </c>
      <c r="D39" s="122">
        <f>+C39+'15'!D39</f>
        <v>0</v>
      </c>
      <c r="E39" s="147">
        <f t="shared" si="0"/>
        <v>0</v>
      </c>
      <c r="F39" s="372">
        <v>830</v>
      </c>
      <c r="G39" s="372">
        <v>726.25</v>
      </c>
      <c r="H39" s="190" t="s">
        <v>68</v>
      </c>
      <c r="I39" s="146"/>
      <c r="J39" s="133">
        <f>J37/G4</f>
        <v>56.644746624712518</v>
      </c>
      <c r="K39" s="134" t="s">
        <v>66</v>
      </c>
      <c r="L39" s="439"/>
      <c r="M39" s="440"/>
    </row>
    <row r="40" spans="1:14" ht="17.45" customHeight="1">
      <c r="A40" s="799" t="s">
        <v>69</v>
      </c>
      <c r="B40" s="800"/>
      <c r="C40" s="168">
        <f>SUMIF($G$7:$G$31,"Mechanical",$F$7:$F$31)</f>
        <v>0</v>
      </c>
      <c r="D40" s="122">
        <f>+C40+'15'!D40</f>
        <v>700</v>
      </c>
      <c r="E40" s="147">
        <f t="shared" si="0"/>
        <v>11.666666666666666</v>
      </c>
      <c r="F40" s="372">
        <v>830</v>
      </c>
      <c r="G40" s="372">
        <f>+F40-F40*0.1</f>
        <v>747</v>
      </c>
      <c r="H40" s="190" t="s">
        <v>70</v>
      </c>
      <c r="I40" s="122">
        <f>(K34+L34)/1000</f>
        <v>62.822000000000003</v>
      </c>
      <c r="J40" s="135">
        <f>+I40+'15'!J40</f>
        <v>788.43499999999995</v>
      </c>
      <c r="K40" s="134" t="s">
        <v>66</v>
      </c>
      <c r="L40" s="439"/>
      <c r="M40" s="440"/>
    </row>
    <row r="41" spans="1:14" ht="17.45" customHeight="1">
      <c r="A41" s="799" t="s">
        <v>71</v>
      </c>
      <c r="B41" s="800"/>
      <c r="C41" s="168">
        <f>SUMIF($G$7:$G$31,"Electrical",$F$7:$F$31)</f>
        <v>0</v>
      </c>
      <c r="D41" s="122">
        <f>+C41+'15'!D41</f>
        <v>315</v>
      </c>
      <c r="E41" s="147">
        <f t="shared" si="0"/>
        <v>5.25</v>
      </c>
      <c r="F41" s="372"/>
      <c r="G41" s="372"/>
      <c r="H41" s="190" t="s">
        <v>72</v>
      </c>
      <c r="I41" s="146"/>
      <c r="J41" s="133">
        <f>J40/G4</f>
        <v>49.277187499999997</v>
      </c>
      <c r="K41" s="134" t="s">
        <v>66</v>
      </c>
      <c r="L41" s="439"/>
      <c r="M41" s="440"/>
    </row>
    <row r="42" spans="1:14" ht="17.45" customHeight="1">
      <c r="A42" s="799" t="s">
        <v>17</v>
      </c>
      <c r="B42" s="800"/>
      <c r="C42" s="168">
        <f>SUMIF($G$7:$G$31,"Instrument",$F$7:$F$31)</f>
        <v>0</v>
      </c>
      <c r="D42" s="122">
        <f>+C42+'15'!D42</f>
        <v>0</v>
      </c>
      <c r="E42" s="147">
        <f t="shared" si="0"/>
        <v>0</v>
      </c>
      <c r="F42" s="372">
        <v>830</v>
      </c>
      <c r="G42" s="372">
        <v>747</v>
      </c>
      <c r="H42" s="190" t="s">
        <v>73</v>
      </c>
      <c r="I42" s="248" t="s">
        <v>564</v>
      </c>
      <c r="J42" s="136"/>
      <c r="K42" s="134" t="s">
        <v>74</v>
      </c>
      <c r="L42" s="439"/>
      <c r="M42" s="440"/>
    </row>
    <row r="43" spans="1:14" ht="17.45" customHeight="1">
      <c r="A43" s="799" t="s">
        <v>75</v>
      </c>
      <c r="B43" s="800"/>
      <c r="C43" s="168">
        <f>SUMIF($G$7:$G$31,"Water",$F$7:$F$31)</f>
        <v>0</v>
      </c>
      <c r="D43" s="122">
        <f>+C43+'15'!D43</f>
        <v>0</v>
      </c>
      <c r="E43" s="147">
        <f t="shared" si="0"/>
        <v>0</v>
      </c>
      <c r="F43" s="372"/>
      <c r="G43" s="373"/>
      <c r="H43" s="191" t="s">
        <v>76</v>
      </c>
      <c r="I43" s="122">
        <f>+Report1!AH24</f>
        <v>124.45299999999999</v>
      </c>
      <c r="J43" s="137">
        <f>+I43+'15'!J43</f>
        <v>1826.2309999999998</v>
      </c>
      <c r="K43" s="134" t="s">
        <v>66</v>
      </c>
      <c r="L43" s="441">
        <f>+Report1!AN24</f>
        <v>11.8</v>
      </c>
      <c r="M43" s="442">
        <f>+L43+'15'!M43</f>
        <v>170.10000000000002</v>
      </c>
    </row>
    <row r="44" spans="1:14" ht="17.45" customHeight="1">
      <c r="A44" s="799" t="s">
        <v>18</v>
      </c>
      <c r="B44" s="800"/>
      <c r="C44" s="168">
        <f>SUMIF($G$7:$G$31,"PLN",$F$7:$F$31)</f>
        <v>0</v>
      </c>
      <c r="D44" s="122">
        <f>+C44+'15'!D44</f>
        <v>105</v>
      </c>
      <c r="E44" s="147">
        <f t="shared" si="0"/>
        <v>1.75</v>
      </c>
      <c r="F44" s="372"/>
      <c r="G44" s="373"/>
      <c r="H44" s="191" t="s">
        <v>77</v>
      </c>
      <c r="I44" s="122">
        <f>I43/I38</f>
        <v>1.9979290748262188</v>
      </c>
      <c r="J44" s="138">
        <f>J43/J38</f>
        <v>2.2317541128249752</v>
      </c>
      <c r="K44" s="134" t="s">
        <v>66</v>
      </c>
      <c r="L44" s="443">
        <f>+L43/I38</f>
        <v>0.18943346550866097</v>
      </c>
      <c r="M44" s="444">
        <f>+M43/J38</f>
        <v>0.20787149850787132</v>
      </c>
    </row>
    <row r="45" spans="1:14" ht="17.45" customHeight="1">
      <c r="A45" s="799" t="s">
        <v>19</v>
      </c>
      <c r="B45" s="800"/>
      <c r="C45" s="168">
        <f>SUMIF($G$7:$G$31,"Boiler",$F$7:$F$31)</f>
        <v>0</v>
      </c>
      <c r="D45" s="122">
        <f>+C45+'15'!D45</f>
        <v>0</v>
      </c>
      <c r="E45" s="147">
        <f t="shared" si="0"/>
        <v>0</v>
      </c>
      <c r="F45" s="372"/>
      <c r="G45" s="375"/>
      <c r="H45" s="191" t="s">
        <v>78</v>
      </c>
      <c r="I45" s="122">
        <f>I43/I40</f>
        <v>1.9810416732991625</v>
      </c>
      <c r="J45" s="138">
        <f>J43/J40</f>
        <v>2.3162733770063477</v>
      </c>
      <c r="K45" s="134" t="s">
        <v>66</v>
      </c>
      <c r="L45" s="443">
        <f>+L43/I40</f>
        <v>0.18783228805195631</v>
      </c>
      <c r="M45" s="444">
        <f>+M43/J40</f>
        <v>0.21574384698802063</v>
      </c>
    </row>
    <row r="46" spans="1:14" ht="17.45" customHeight="1">
      <c r="A46" s="799" t="s">
        <v>79</v>
      </c>
      <c r="B46" s="800"/>
      <c r="C46" s="168">
        <f>SUMIF($G$7:$G$31,"Gas",$F$7:$F$31)</f>
        <v>0</v>
      </c>
      <c r="D46" s="122">
        <f>+C46+'15'!D46</f>
        <v>0</v>
      </c>
      <c r="E46" s="147">
        <f t="shared" si="0"/>
        <v>0</v>
      </c>
      <c r="F46" s="372"/>
      <c r="G46" s="373"/>
      <c r="H46" s="191" t="s">
        <v>80</v>
      </c>
      <c r="I46" s="144">
        <f>+SUMIF(Listrik!AC23,"&gt;0")</f>
        <v>35921.709999999926</v>
      </c>
      <c r="J46" s="139">
        <f>+I46+'15'!J46</f>
        <v>525659.60000000009</v>
      </c>
      <c r="K46" s="134" t="s">
        <v>81</v>
      </c>
      <c r="L46" s="443">
        <f>+Listrik!AF23</f>
        <v>5747</v>
      </c>
      <c r="M46" s="445">
        <f>+L46+'15'!M46</f>
        <v>101082</v>
      </c>
    </row>
    <row r="47" spans="1:14" ht="17.45" customHeight="1">
      <c r="A47" s="799" t="s">
        <v>82</v>
      </c>
      <c r="B47" s="800"/>
      <c r="C47" s="168">
        <f>SUMIF($G$7:$G$31,"Gas",$F$7:$F$31)</f>
        <v>0</v>
      </c>
      <c r="D47" s="122">
        <f>+C47+'15'!D47</f>
        <v>0</v>
      </c>
      <c r="E47" s="147">
        <f t="shared" si="0"/>
        <v>0</v>
      </c>
      <c r="F47" s="372"/>
      <c r="G47" s="373"/>
      <c r="H47" s="191" t="s">
        <v>83</v>
      </c>
      <c r="I47" s="122">
        <f>I46/I38</f>
        <v>576.67576375399221</v>
      </c>
      <c r="J47" s="139">
        <f>J46/J38</f>
        <v>642.38476635536881</v>
      </c>
      <c r="K47" s="134" t="s">
        <v>25</v>
      </c>
      <c r="L47" s="443">
        <f>+L46/I38</f>
        <v>92.260519176124973</v>
      </c>
      <c r="M47" s="444">
        <f>+M46/J38</f>
        <v>123.52772964240238</v>
      </c>
    </row>
    <row r="48" spans="1:14" ht="17.45" customHeight="1">
      <c r="A48" s="799" t="s">
        <v>15</v>
      </c>
      <c r="B48" s="800"/>
      <c r="C48" s="168">
        <f>SUMIF($G$7:$G$31,"Start Up",$F$7:$F$31)</f>
        <v>0</v>
      </c>
      <c r="D48" s="122">
        <f>+C48+'15'!D48</f>
        <v>0</v>
      </c>
      <c r="E48" s="147">
        <f t="shared" si="0"/>
        <v>0</v>
      </c>
      <c r="F48" s="372"/>
      <c r="G48" s="373"/>
      <c r="H48" s="191" t="s">
        <v>84</v>
      </c>
      <c r="I48" s="122">
        <f>I46/I40</f>
        <v>571.80143898634117</v>
      </c>
      <c r="J48" s="139">
        <f>J46/J40</f>
        <v>666.71266496286967</v>
      </c>
      <c r="K48" s="134" t="s">
        <v>25</v>
      </c>
      <c r="L48" s="443">
        <f>+L46/I38</f>
        <v>92.260519176124973</v>
      </c>
      <c r="M48" s="444">
        <f>+M46/J40</f>
        <v>128.20587619778422</v>
      </c>
    </row>
    <row r="49" spans="1:13" ht="17.45" customHeight="1">
      <c r="A49" s="799" t="s">
        <v>21</v>
      </c>
      <c r="B49" s="800"/>
      <c r="C49" s="168">
        <f>SUMIF($G$7:$G$31,"Others",$F$7:$F$31)</f>
        <v>0</v>
      </c>
      <c r="D49" s="122">
        <f>+C49+'15'!D49</f>
        <v>1440</v>
      </c>
      <c r="E49" s="147">
        <f t="shared" si="0"/>
        <v>24</v>
      </c>
      <c r="F49" s="188"/>
      <c r="H49" s="191" t="s">
        <v>85</v>
      </c>
      <c r="I49" s="122">
        <f>+Report1!AB24</f>
        <v>0</v>
      </c>
      <c r="J49" s="139">
        <f>+I49+'15'!J49</f>
        <v>0</v>
      </c>
      <c r="K49" s="134" t="s">
        <v>86</v>
      </c>
      <c r="L49" s="439"/>
      <c r="M49" s="440"/>
    </row>
    <row r="50" spans="1:13" ht="17.45" customHeight="1">
      <c r="A50" s="799" t="s">
        <v>20</v>
      </c>
      <c r="B50" s="800"/>
      <c r="C50" s="168">
        <f>SUMIF($G$7:$G$31,"Steam",$F$7:$F$31)</f>
        <v>0</v>
      </c>
      <c r="D50" s="122">
        <f>+C50+'15'!D50</f>
        <v>0</v>
      </c>
      <c r="E50" s="147">
        <f t="shared" si="0"/>
        <v>0</v>
      </c>
      <c r="F50" s="188"/>
      <c r="H50" s="191" t="s">
        <v>87</v>
      </c>
      <c r="I50" s="144">
        <f>I49/I38</f>
        <v>0</v>
      </c>
      <c r="J50" s="137">
        <f>J49/J38</f>
        <v>0</v>
      </c>
      <c r="K50" s="134" t="s">
        <v>86</v>
      </c>
      <c r="L50" s="439"/>
      <c r="M50" s="440"/>
    </row>
    <row r="51" spans="1:13" ht="17.45" customHeight="1" thickBot="1">
      <c r="A51" s="805" t="s">
        <v>88</v>
      </c>
      <c r="B51" s="806"/>
      <c r="C51" s="168">
        <f>SUMIF($G$7:$G$31,"Planned shut",$F$7:$F$31)</f>
        <v>0</v>
      </c>
      <c r="D51" s="122">
        <f>+C51+'15'!D51</f>
        <v>0</v>
      </c>
      <c r="E51" s="147">
        <f t="shared" si="0"/>
        <v>0</v>
      </c>
      <c r="F51" s="188"/>
      <c r="H51" s="193" t="s">
        <v>89</v>
      </c>
      <c r="I51" s="145">
        <f>I49/I40</f>
        <v>0</v>
      </c>
      <c r="J51" s="140">
        <f>J49/J40</f>
        <v>0</v>
      </c>
      <c r="K51" s="141" t="s">
        <v>86</v>
      </c>
      <c r="L51" s="439"/>
      <c r="M51" s="440"/>
    </row>
    <row r="52" spans="1:13" ht="13.5" thickBot="1">
      <c r="A52" s="803" t="s">
        <v>29</v>
      </c>
      <c r="B52" s="804"/>
      <c r="C52" s="148">
        <f>SUM(C38:C51)</f>
        <v>31</v>
      </c>
      <c r="D52" s="148">
        <f>SUM(D38:D51)</f>
        <v>3337</v>
      </c>
      <c r="E52" s="149">
        <f>SUM(E38:E51)</f>
        <v>55.616666666666667</v>
      </c>
      <c r="F52" s="188"/>
      <c r="H52" s="194"/>
      <c r="I52" s="195"/>
      <c r="J52" s="142"/>
      <c r="K52" s="143"/>
      <c r="L52" s="446"/>
      <c r="M52" s="447"/>
    </row>
    <row r="53" spans="1:13" ht="13.5" thickBot="1">
      <c r="A53" s="807"/>
      <c r="B53" s="808"/>
      <c r="C53" s="150">
        <f>C52/(24*60)</f>
        <v>2.1527777777777778E-2</v>
      </c>
      <c r="D53" s="150">
        <f>D52/(24*60*G4)</f>
        <v>0.14483506944444444</v>
      </c>
      <c r="E53" s="151">
        <f>E52/(G4*24)</f>
        <v>0.14483506944444444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90</v>
      </c>
      <c r="B56" s="198"/>
      <c r="C56" s="199"/>
      <c r="D56" s="199"/>
      <c r="E56" s="199"/>
      <c r="F56" s="200"/>
      <c r="G56" s="199"/>
      <c r="H56" s="201"/>
      <c r="I56" s="202" t="s">
        <v>91</v>
      </c>
      <c r="J56" s="203">
        <f>+D34+'15'!J56</f>
        <v>14653</v>
      </c>
      <c r="K56" s="204">
        <f>J56/(J40+J56/1000)/1000</f>
        <v>1.8245821130436515E-2</v>
      </c>
    </row>
    <row r="57" spans="1:13">
      <c r="A57" s="179"/>
      <c r="I57" s="202" t="s">
        <v>92</v>
      </c>
      <c r="J57" s="203">
        <f>+E34+'15'!J57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  <c r="J58" s="153">
        <v>325</v>
      </c>
    </row>
    <row r="59" spans="1:13">
      <c r="A59" s="208"/>
      <c r="B59" s="179"/>
      <c r="C59" s="179"/>
      <c r="D59" s="179"/>
      <c r="E59" s="179"/>
      <c r="F59" s="192"/>
      <c r="G59" s="179"/>
      <c r="H59" s="207"/>
      <c r="J59" s="159">
        <f>+J56+J58</f>
        <v>14978</v>
      </c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24:A32"/>
    <mergeCell ref="A34:B34"/>
    <mergeCell ref="A37:B37"/>
    <mergeCell ref="A38:B38"/>
    <mergeCell ref="A53:B53"/>
    <mergeCell ref="A48:B48"/>
    <mergeCell ref="A49:B49"/>
    <mergeCell ref="A50:B50"/>
    <mergeCell ref="A51:B51"/>
    <mergeCell ref="A52:B52"/>
    <mergeCell ref="I7:I13"/>
    <mergeCell ref="A15:A23"/>
    <mergeCell ref="I15:I22"/>
    <mergeCell ref="A46:B46"/>
    <mergeCell ref="A47:B47"/>
    <mergeCell ref="A44:B44"/>
    <mergeCell ref="A45:B45"/>
    <mergeCell ref="A7:A14"/>
    <mergeCell ref="A40:B40"/>
    <mergeCell ref="I24:I31"/>
    <mergeCell ref="A41:B41"/>
    <mergeCell ref="A42:B42"/>
    <mergeCell ref="A39:B39"/>
    <mergeCell ref="A43:B43"/>
  </mergeCells>
  <phoneticPr fontId="31" type="noConversion"/>
  <printOptions horizontalCentered="1"/>
  <pageMargins left="0.39027777777777778" right="0.39027777777777778" top="0.39027777777777778" bottom="0.39027777777777778" header="0" footer="0"/>
  <pageSetup paperSize="9" scale="62" firstPageNumber="4294963191" orientation="landscape" r:id="rId1"/>
  <headerFooter alignWithMargins="0"/>
  <colBreaks count="1" manualBreakCount="1">
    <brk id="13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O61"/>
  <sheetViews>
    <sheetView view="pageBreakPreview" zoomScale="80" zoomScaleNormal="75" zoomScaleSheetLayoutView="80" workbookViewId="0">
      <selection activeCell="A7" sqref="A7:B32"/>
    </sheetView>
  </sheetViews>
  <sheetFormatPr defaultColWidth="9.140625" defaultRowHeight="12.75"/>
  <cols>
    <col min="1" max="1" width="8" style="153" customWidth="1"/>
    <col min="2" max="2" width="7" style="153" bestFit="1" customWidth="1"/>
    <col min="3" max="3" width="14.85546875" style="153" bestFit="1" customWidth="1"/>
    <col min="4" max="4" width="12.5703125" style="153" bestFit="1" customWidth="1"/>
    <col min="5" max="5" width="13.85546875" style="153" bestFit="1" customWidth="1"/>
    <col min="6" max="6" width="12.140625" style="114" bestFit="1" customWidth="1"/>
    <col min="7" max="7" width="11.42578125" style="153" bestFit="1" customWidth="1"/>
    <col min="8" max="8" width="64.85546875" style="153" customWidth="1"/>
    <col min="9" max="9" width="14.7109375" style="153" bestFit="1" customWidth="1"/>
    <col min="10" max="10" width="20.28515625" style="153" bestFit="1" customWidth="1"/>
    <col min="11" max="11" width="12.5703125" style="153" bestFit="1" customWidth="1"/>
    <col min="12" max="12" width="8.28515625" style="153" customWidth="1"/>
    <col min="13" max="13" width="12.140625" style="153" customWidth="1"/>
    <col min="14" max="16384" width="9.140625" style="153"/>
  </cols>
  <sheetData>
    <row r="1" spans="1:15" ht="15.75">
      <c r="A1" s="152"/>
    </row>
    <row r="2" spans="1:15" ht="15.75">
      <c r="A2" s="152" t="s">
        <v>175</v>
      </c>
    </row>
    <row r="3" spans="1:15" ht="15">
      <c r="A3" s="154"/>
    </row>
    <row r="4" spans="1:15" ht="20.25">
      <c r="A4" s="155" t="s">
        <v>4</v>
      </c>
      <c r="B4" s="156"/>
      <c r="F4" s="157" t="s">
        <v>31</v>
      </c>
      <c r="G4" s="158">
        <v>15</v>
      </c>
      <c r="H4" s="158" t="str">
        <f>+'1'!H4</f>
        <v>.12.25</v>
      </c>
    </row>
    <row r="5" spans="1:15" ht="13.5" thickBot="1">
      <c r="C5" s="159"/>
      <c r="D5" s="159"/>
    </row>
    <row r="6" spans="1:15" ht="26.25" thickBot="1">
      <c r="A6" s="160" t="s">
        <v>50</v>
      </c>
      <c r="B6" s="161" t="s">
        <v>10</v>
      </c>
      <c r="C6" s="161" t="s">
        <v>51</v>
      </c>
      <c r="D6" s="161" t="s">
        <v>52</v>
      </c>
      <c r="E6" s="162" t="s">
        <v>53</v>
      </c>
      <c r="F6" s="106" t="s">
        <v>54</v>
      </c>
      <c r="G6" s="161" t="s">
        <v>55</v>
      </c>
      <c r="H6" s="163" t="s">
        <v>56</v>
      </c>
      <c r="I6" s="164" t="s">
        <v>57</v>
      </c>
      <c r="J6" s="165" t="s">
        <v>10</v>
      </c>
      <c r="K6" s="166" t="s">
        <v>58</v>
      </c>
      <c r="L6" s="213" t="s">
        <v>143</v>
      </c>
      <c r="M6" s="167" t="s">
        <v>59</v>
      </c>
      <c r="N6" s="153">
        <f>374+343+344</f>
        <v>1061</v>
      </c>
    </row>
    <row r="7" spans="1:15" ht="13.5" customHeight="1" thickBot="1">
      <c r="A7" s="789" t="s">
        <v>486</v>
      </c>
      <c r="B7" s="218" t="s">
        <v>536</v>
      </c>
      <c r="C7" s="219">
        <v>22809</v>
      </c>
      <c r="D7" s="220">
        <v>200</v>
      </c>
      <c r="E7" s="221"/>
      <c r="F7" s="230"/>
      <c r="G7" s="231" t="s">
        <v>13</v>
      </c>
      <c r="H7" s="232" t="s">
        <v>395</v>
      </c>
      <c r="I7" s="792" t="s">
        <v>564</v>
      </c>
      <c r="J7" s="217" t="str">
        <f>+'14'!J7</f>
        <v>TW 38 RC BR</v>
      </c>
      <c r="K7" s="240"/>
      <c r="L7" s="244"/>
      <c r="M7" s="121">
        <f>+K7+'14'!M7+L7</f>
        <v>78513</v>
      </c>
    </row>
    <row r="8" spans="1:15" ht="13.5" thickBot="1">
      <c r="A8" s="790"/>
      <c r="B8" s="218"/>
      <c r="C8" s="219"/>
      <c r="D8" s="220"/>
      <c r="E8" s="222"/>
      <c r="F8" s="233">
        <v>4</v>
      </c>
      <c r="G8" s="234" t="s">
        <v>13</v>
      </c>
      <c r="H8" s="232" t="s">
        <v>393</v>
      </c>
      <c r="I8" s="793"/>
      <c r="J8" s="217" t="str">
        <f>+'14'!J8</f>
        <v>TW 36 RC BR</v>
      </c>
      <c r="K8" s="241"/>
      <c r="L8" s="241"/>
      <c r="M8" s="121">
        <f>+K8+'14'!M8+L8</f>
        <v>1530</v>
      </c>
      <c r="N8" s="153">
        <v>830</v>
      </c>
      <c r="O8" s="153">
        <f>+N8-N8*0.1</f>
        <v>747</v>
      </c>
    </row>
    <row r="9" spans="1:15" ht="13.5" thickBot="1">
      <c r="A9" s="790"/>
      <c r="B9" s="218"/>
      <c r="C9" s="219"/>
      <c r="D9" s="220"/>
      <c r="E9" s="223"/>
      <c r="F9" s="230">
        <v>4</v>
      </c>
      <c r="G9" s="234" t="s">
        <v>13</v>
      </c>
      <c r="H9" s="235" t="s">
        <v>226</v>
      </c>
      <c r="I9" s="793"/>
      <c r="J9" s="217" t="str">
        <f>+'14'!J9</f>
        <v>N 20 RC BR</v>
      </c>
      <c r="K9" s="241"/>
      <c r="L9" s="241"/>
      <c r="M9" s="121">
        <f>+K9+'14'!M9+L9</f>
        <v>74204</v>
      </c>
    </row>
    <row r="10" spans="1:15" ht="13.5" thickBot="1">
      <c r="A10" s="790"/>
      <c r="B10" s="218"/>
      <c r="C10" s="219"/>
      <c r="D10" s="220"/>
      <c r="E10" s="222"/>
      <c r="F10" s="230"/>
      <c r="G10" s="234"/>
      <c r="H10" s="235" t="s">
        <v>562</v>
      </c>
      <c r="I10" s="793"/>
      <c r="J10" s="217" t="str">
        <f>+'14'!J10</f>
        <v>TW 17 RC HW</v>
      </c>
      <c r="K10" s="241"/>
      <c r="L10" s="241"/>
      <c r="M10" s="121">
        <f>+K10+'14'!M10+L10</f>
        <v>39984</v>
      </c>
    </row>
    <row r="11" spans="1:15" ht="13.5" thickBot="1">
      <c r="A11" s="790"/>
      <c r="B11" s="218"/>
      <c r="C11" s="219"/>
      <c r="D11" s="220"/>
      <c r="E11" s="222"/>
      <c r="F11" s="230"/>
      <c r="G11" s="234"/>
      <c r="H11" s="235"/>
      <c r="I11" s="793"/>
      <c r="J11" s="217" t="str">
        <f>+'14'!J11</f>
        <v>N 15,5 RC HW</v>
      </c>
      <c r="K11" s="241"/>
      <c r="L11" s="241"/>
      <c r="M11" s="121">
        <f>+K11+'14'!M11+L11</f>
        <v>149213</v>
      </c>
    </row>
    <row r="12" spans="1:15" ht="13.5" thickBot="1">
      <c r="A12" s="790"/>
      <c r="B12" s="218"/>
      <c r="C12" s="219"/>
      <c r="D12" s="220"/>
      <c r="E12" s="222"/>
      <c r="F12" s="230"/>
      <c r="G12" s="234"/>
      <c r="H12" s="235"/>
      <c r="I12" s="793"/>
      <c r="J12" s="217" t="str">
        <f>+'14'!J12</f>
        <v>N 17 RC HW</v>
      </c>
      <c r="K12" s="241"/>
      <c r="L12" s="241"/>
      <c r="M12" s="121">
        <f>+K12+'14'!M12+L12</f>
        <v>6572</v>
      </c>
    </row>
    <row r="13" spans="1:15" ht="13.5" thickBot="1">
      <c r="A13" s="790"/>
      <c r="B13" s="218"/>
      <c r="C13" s="219"/>
      <c r="D13" s="219"/>
      <c r="E13" s="222"/>
      <c r="F13" s="230"/>
      <c r="G13" s="234"/>
      <c r="H13" s="235"/>
      <c r="I13" s="794"/>
      <c r="J13" s="217" t="str">
        <f>+'14'!J13</f>
        <v>N 16,5 RC HW</v>
      </c>
      <c r="K13" s="241"/>
      <c r="L13" s="241"/>
      <c r="M13" s="121">
        <f>+K13+'14'!M13+L13</f>
        <v>18880</v>
      </c>
    </row>
    <row r="14" spans="1:15" ht="13.5" thickBot="1">
      <c r="A14" s="791"/>
      <c r="B14" s="169" t="s">
        <v>3</v>
      </c>
      <c r="C14" s="103">
        <f>SUM(C7:C13)</f>
        <v>22809</v>
      </c>
      <c r="D14" s="115">
        <f>SUM(D7:D13)</f>
        <v>200</v>
      </c>
      <c r="E14" s="116">
        <f>SUM(E5:E13)</f>
        <v>0</v>
      </c>
      <c r="F14" s="120"/>
      <c r="G14" s="163"/>
      <c r="H14" s="170"/>
      <c r="I14" s="171"/>
      <c r="J14" s="217" t="str">
        <f>+'14'!J14</f>
        <v>N 20 RC HW</v>
      </c>
      <c r="K14" s="241">
        <f>+C34</f>
        <v>67039</v>
      </c>
      <c r="L14" s="241"/>
      <c r="M14" s="121">
        <f>+K14+'14'!M14+L14</f>
        <v>356717</v>
      </c>
    </row>
    <row r="15" spans="1:15" ht="13.5" customHeight="1" thickBot="1">
      <c r="A15" s="789" t="s">
        <v>556</v>
      </c>
      <c r="B15" s="169"/>
      <c r="C15" s="117">
        <f>C14/($C$23+$D$23+$E$23)</f>
        <v>0.92340391077284323</v>
      </c>
      <c r="D15" s="118">
        <f>D14/($C$23+$D$23+$E$23)</f>
        <v>8.0968381846888791E-3</v>
      </c>
      <c r="E15" s="119">
        <f>E14/($C$23+$D$23+$E$23)</f>
        <v>0</v>
      </c>
      <c r="F15" s="230"/>
      <c r="G15" s="231" t="s">
        <v>13</v>
      </c>
      <c r="H15" s="232" t="s">
        <v>395</v>
      </c>
      <c r="I15" s="792" t="s">
        <v>564</v>
      </c>
      <c r="J15" s="217">
        <f>+'14'!J15</f>
        <v>0</v>
      </c>
      <c r="K15" s="241"/>
      <c r="L15" s="241"/>
      <c r="M15" s="121">
        <f>+K15+'14'!M15+L15</f>
        <v>0</v>
      </c>
    </row>
    <row r="16" spans="1:15" ht="13.5" thickBot="1">
      <c r="A16" s="795"/>
      <c r="B16" s="218" t="s">
        <v>536</v>
      </c>
      <c r="C16" s="224">
        <v>24701</v>
      </c>
      <c r="D16" s="225"/>
      <c r="E16" s="226"/>
      <c r="F16" s="233">
        <v>10</v>
      </c>
      <c r="G16" s="234" t="s">
        <v>13</v>
      </c>
      <c r="H16" s="232" t="s">
        <v>454</v>
      </c>
      <c r="I16" s="793"/>
      <c r="J16" s="217">
        <f>+'14'!J16</f>
        <v>0</v>
      </c>
      <c r="K16" s="241"/>
      <c r="L16" s="231"/>
      <c r="M16" s="121">
        <f>+K16+'14'!M16+L16</f>
        <v>0</v>
      </c>
    </row>
    <row r="17" spans="1:14" ht="13.5" thickBot="1">
      <c r="A17" s="795"/>
      <c r="B17" s="218"/>
      <c r="C17" s="219"/>
      <c r="D17" s="220"/>
      <c r="E17" s="227"/>
      <c r="F17" s="230">
        <v>5</v>
      </c>
      <c r="G17" s="234" t="s">
        <v>13</v>
      </c>
      <c r="H17" s="235" t="s">
        <v>226</v>
      </c>
      <c r="I17" s="793"/>
      <c r="J17" s="217">
        <f>+'14'!J17</f>
        <v>0</v>
      </c>
      <c r="K17" s="241"/>
      <c r="L17" s="231"/>
      <c r="M17" s="121">
        <f>+K17+'14'!M17+L17</f>
        <v>0</v>
      </c>
    </row>
    <row r="18" spans="1:14" ht="13.5" thickBot="1">
      <c r="A18" s="795"/>
      <c r="B18" s="218"/>
      <c r="C18" s="219"/>
      <c r="D18" s="220"/>
      <c r="E18" s="227"/>
      <c r="F18" s="230"/>
      <c r="G18" s="234"/>
      <c r="H18" s="235" t="s">
        <v>562</v>
      </c>
      <c r="I18" s="793"/>
      <c r="J18" s="217">
        <f>+'14'!J18</f>
        <v>0</v>
      </c>
      <c r="K18" s="241"/>
      <c r="L18" s="241"/>
      <c r="M18" s="121">
        <f>+K18+'14'!M18+L18</f>
        <v>0</v>
      </c>
    </row>
    <row r="19" spans="1:14" ht="13.5" thickBot="1">
      <c r="A19" s="795"/>
      <c r="B19" s="218"/>
      <c r="C19" s="219"/>
      <c r="D19" s="220"/>
      <c r="E19" s="227"/>
      <c r="F19" s="237"/>
      <c r="G19" s="234"/>
      <c r="H19" s="235"/>
      <c r="I19" s="793"/>
      <c r="J19" s="217">
        <f>+'14'!J19</f>
        <v>0</v>
      </c>
      <c r="K19" s="241"/>
      <c r="L19" s="241"/>
      <c r="M19" s="121">
        <f>+K19+'14'!M19+L19</f>
        <v>0</v>
      </c>
    </row>
    <row r="20" spans="1:14" ht="13.5" thickBot="1">
      <c r="A20" s="795"/>
      <c r="B20" s="218"/>
      <c r="C20" s="219"/>
      <c r="D20" s="220"/>
      <c r="E20" s="227"/>
      <c r="F20" s="230"/>
      <c r="G20" s="234"/>
      <c r="H20" s="235"/>
      <c r="I20" s="793"/>
      <c r="J20" s="217">
        <f>+'14'!J20</f>
        <v>0</v>
      </c>
      <c r="K20" s="241"/>
      <c r="L20" s="242"/>
      <c r="M20" s="121">
        <f>+K20+'14'!M20+L20</f>
        <v>0</v>
      </c>
    </row>
    <row r="21" spans="1:14" ht="13.5" thickBot="1">
      <c r="A21" s="795"/>
      <c r="B21" s="218"/>
      <c r="C21" s="219"/>
      <c r="D21" s="220"/>
      <c r="E21" s="227"/>
      <c r="F21" s="233"/>
      <c r="G21" s="234"/>
      <c r="H21" s="235"/>
      <c r="I21" s="793"/>
      <c r="J21" s="217">
        <f>+'14'!J21</f>
        <v>0</v>
      </c>
      <c r="K21" s="241"/>
      <c r="L21" s="241"/>
      <c r="M21" s="121">
        <f>+K21+'14'!M21+L21</f>
        <v>0</v>
      </c>
    </row>
    <row r="22" spans="1:14" ht="13.5" thickBot="1">
      <c r="A22" s="795"/>
      <c r="B22" s="218"/>
      <c r="C22" s="219"/>
      <c r="D22" s="220"/>
      <c r="E22" s="227"/>
      <c r="F22" s="238"/>
      <c r="G22" s="234"/>
      <c r="H22" s="235"/>
      <c r="I22" s="794"/>
      <c r="J22" s="217">
        <f>+'14'!J22</f>
        <v>0</v>
      </c>
      <c r="K22" s="241"/>
      <c r="L22" s="241"/>
      <c r="M22" s="121">
        <f>+K22+'14'!M22+L22</f>
        <v>0</v>
      </c>
    </row>
    <row r="23" spans="1:14" ht="13.5" thickBot="1">
      <c r="A23" s="796"/>
      <c r="B23" s="169" t="s">
        <v>3</v>
      </c>
      <c r="C23" s="104">
        <f>SUM(C16:C22)</f>
        <v>24701</v>
      </c>
      <c r="D23" s="115">
        <f>SUM(D16:D22)</f>
        <v>0</v>
      </c>
      <c r="E23" s="116">
        <f>SUM(E18:E22)</f>
        <v>0</v>
      </c>
      <c r="F23" s="120"/>
      <c r="G23" s="163"/>
      <c r="H23" s="170"/>
      <c r="I23" s="172"/>
      <c r="J23" s="217">
        <f>+'14'!J23</f>
        <v>0</v>
      </c>
      <c r="K23" s="241"/>
      <c r="L23" s="241"/>
      <c r="M23" s="121">
        <f>+K23+'14'!M23+L23</f>
        <v>0</v>
      </c>
    </row>
    <row r="24" spans="1:14" ht="13.5" customHeight="1" thickBot="1">
      <c r="A24" s="789" t="s">
        <v>415</v>
      </c>
      <c r="B24" s="173"/>
      <c r="C24" s="117">
        <f>C23/($C$23+$D$23+$E$23)</f>
        <v>1</v>
      </c>
      <c r="D24" s="118">
        <f>D23/($C$23+$D$23+$E$23)</f>
        <v>0</v>
      </c>
      <c r="E24" s="119">
        <f>E23/($C$23+$D$23+$E$23)</f>
        <v>0</v>
      </c>
      <c r="F24" s="230"/>
      <c r="G24" s="231" t="s">
        <v>13</v>
      </c>
      <c r="H24" s="232" t="s">
        <v>395</v>
      </c>
      <c r="I24" s="792" t="s">
        <v>564</v>
      </c>
      <c r="J24" s="217">
        <f>+'14'!J24</f>
        <v>0</v>
      </c>
      <c r="K24" s="241"/>
      <c r="L24" s="241"/>
      <c r="M24" s="121">
        <f>+K24+'14'!M24+L24</f>
        <v>0</v>
      </c>
    </row>
    <row r="25" spans="1:14" ht="13.5" thickBot="1">
      <c r="A25" s="795"/>
      <c r="B25" s="218" t="s">
        <v>536</v>
      </c>
      <c r="C25" s="228">
        <v>19529</v>
      </c>
      <c r="D25" s="220"/>
      <c r="E25" s="227"/>
      <c r="F25" s="233">
        <v>3</v>
      </c>
      <c r="G25" s="234" t="s">
        <v>13</v>
      </c>
      <c r="H25" s="232" t="s">
        <v>393</v>
      </c>
      <c r="I25" s="793"/>
      <c r="J25" s="217">
        <f>+'14'!J25</f>
        <v>0</v>
      </c>
      <c r="K25" s="241"/>
      <c r="L25" s="241"/>
      <c r="M25" s="121">
        <f>+K25+'14'!M25+L25</f>
        <v>0</v>
      </c>
    </row>
    <row r="26" spans="1:14" ht="13.5" thickBot="1">
      <c r="A26" s="795"/>
      <c r="B26" s="218"/>
      <c r="C26" s="228"/>
      <c r="D26" s="220"/>
      <c r="E26" s="229"/>
      <c r="F26" s="230">
        <v>2</v>
      </c>
      <c r="G26" s="234" t="s">
        <v>13</v>
      </c>
      <c r="H26" s="235" t="s">
        <v>226</v>
      </c>
      <c r="I26" s="793"/>
      <c r="J26" s="217">
        <f>+'14'!J26</f>
        <v>0</v>
      </c>
      <c r="K26" s="241"/>
      <c r="L26" s="241"/>
      <c r="M26" s="121">
        <f>+K26+'14'!M26+L26</f>
        <v>0</v>
      </c>
    </row>
    <row r="27" spans="1:14" ht="13.5" thickBot="1">
      <c r="A27" s="795"/>
      <c r="B27" s="218"/>
      <c r="C27" s="219"/>
      <c r="D27" s="220"/>
      <c r="E27" s="227"/>
      <c r="F27" s="230"/>
      <c r="G27" s="234"/>
      <c r="H27" s="235" t="s">
        <v>562</v>
      </c>
      <c r="I27" s="793"/>
      <c r="J27" s="217">
        <f>+'14'!J27</f>
        <v>0</v>
      </c>
      <c r="K27" s="241"/>
      <c r="L27" s="241"/>
      <c r="M27" s="121">
        <f>+K27+'14'!M27+L27</f>
        <v>0</v>
      </c>
    </row>
    <row r="28" spans="1:14" ht="13.5" thickBot="1">
      <c r="A28" s="795"/>
      <c r="B28" s="218"/>
      <c r="C28" s="219"/>
      <c r="D28" s="220"/>
      <c r="E28" s="227"/>
      <c r="F28" s="233"/>
      <c r="G28" s="234"/>
      <c r="H28" s="235"/>
      <c r="I28" s="793"/>
      <c r="J28" s="217">
        <f>+'14'!J28</f>
        <v>0</v>
      </c>
      <c r="K28" s="241"/>
      <c r="L28" s="241"/>
      <c r="M28" s="121">
        <f>+K28+'14'!M28+L28</f>
        <v>0</v>
      </c>
    </row>
    <row r="29" spans="1:14" ht="13.5" thickBot="1">
      <c r="A29" s="795"/>
      <c r="B29" s="218"/>
      <c r="C29" s="219"/>
      <c r="D29" s="220"/>
      <c r="E29" s="227"/>
      <c r="F29" s="238"/>
      <c r="G29" s="234"/>
      <c r="H29" s="235"/>
      <c r="I29" s="793"/>
      <c r="J29" s="217">
        <f>+'14'!J29</f>
        <v>0</v>
      </c>
      <c r="K29" s="241"/>
      <c r="L29" s="241"/>
      <c r="M29" s="121">
        <f>+K29+'14'!M29+L29</f>
        <v>0</v>
      </c>
    </row>
    <row r="30" spans="1:14" ht="13.5" thickBot="1">
      <c r="A30" s="795"/>
      <c r="B30" s="218"/>
      <c r="C30" s="228"/>
      <c r="D30" s="220"/>
      <c r="E30" s="227"/>
      <c r="F30" s="238"/>
      <c r="G30" s="234"/>
      <c r="H30" s="235"/>
      <c r="I30" s="793"/>
      <c r="J30" s="217">
        <f>+'14'!J30</f>
        <v>0</v>
      </c>
      <c r="K30" s="241"/>
      <c r="L30" s="241"/>
      <c r="M30" s="121">
        <f>+K30+'14'!M30+L30</f>
        <v>0</v>
      </c>
      <c r="N30" s="159"/>
    </row>
    <row r="31" spans="1:14" ht="13.5" thickBot="1">
      <c r="A31" s="795"/>
      <c r="B31" s="218"/>
      <c r="C31" s="228"/>
      <c r="D31" s="220"/>
      <c r="E31" s="227"/>
      <c r="F31" s="238"/>
      <c r="G31" s="239"/>
      <c r="H31" s="236"/>
      <c r="I31" s="794"/>
      <c r="J31" s="217">
        <f>+'14'!J31</f>
        <v>0</v>
      </c>
      <c r="K31" s="241"/>
      <c r="L31" s="241"/>
      <c r="M31" s="121">
        <f>+K31+'14'!M31+L31</f>
        <v>0</v>
      </c>
    </row>
    <row r="32" spans="1:14" ht="13.5" thickBot="1">
      <c r="A32" s="796"/>
      <c r="B32" s="169" t="s">
        <v>3</v>
      </c>
      <c r="C32" s="103">
        <f>SUM(C25:C31)</f>
        <v>19529</v>
      </c>
      <c r="D32" s="104">
        <f>SUM(D25:D31)</f>
        <v>0</v>
      </c>
      <c r="E32" s="105">
        <f>SUM(E25:E31)</f>
        <v>0</v>
      </c>
      <c r="F32" s="106">
        <f>SUM(F24:F31)</f>
        <v>5</v>
      </c>
      <c r="G32" s="174"/>
      <c r="H32" s="175"/>
      <c r="I32" s="172"/>
      <c r="J32" s="217">
        <f>+'14'!J32</f>
        <v>0</v>
      </c>
      <c r="K32" s="243"/>
      <c r="L32" s="245"/>
      <c r="M32" s="121">
        <f>+K32+'14'!M32+L32</f>
        <v>0</v>
      </c>
    </row>
    <row r="33" spans="1:14" ht="13.5" thickBot="1">
      <c r="A33" s="176"/>
      <c r="B33" s="177"/>
      <c r="C33" s="107">
        <f>C32/($C$32+$D$32+$E$32)</f>
        <v>1</v>
      </c>
      <c r="D33" s="108">
        <f>D32/($C$32+$D$32+$E$32)</f>
        <v>0</v>
      </c>
      <c r="E33" s="109">
        <f>E32/($C$32+$D$32+$E$32)</f>
        <v>0</v>
      </c>
      <c r="F33" s="110"/>
      <c r="G33" s="178"/>
      <c r="H33" s="179"/>
      <c r="I33" s="180"/>
      <c r="J33" s="125"/>
      <c r="K33" s="126"/>
      <c r="L33" s="216"/>
      <c r="M33" s="123"/>
    </row>
    <row r="34" spans="1:14" ht="13.5" thickBot="1">
      <c r="A34" s="797" t="s">
        <v>60</v>
      </c>
      <c r="B34" s="798"/>
      <c r="C34" s="111">
        <f>C14+C23+C32</f>
        <v>67039</v>
      </c>
      <c r="D34" s="111">
        <f>D14+D23+D32</f>
        <v>200</v>
      </c>
      <c r="E34" s="111">
        <f>E14+E23+E32</f>
        <v>0</v>
      </c>
      <c r="F34" s="112">
        <f>F14+F23+F32</f>
        <v>5</v>
      </c>
      <c r="H34" s="181"/>
      <c r="I34" s="181"/>
      <c r="J34" s="127" t="s">
        <v>29</v>
      </c>
      <c r="K34" s="128">
        <f>SUM(K7:K32)</f>
        <v>67039</v>
      </c>
      <c r="L34" s="215">
        <f>SUM(L7:L32)</f>
        <v>0</v>
      </c>
      <c r="M34" s="124">
        <f>SUM(M7:M32)</f>
        <v>725613</v>
      </c>
      <c r="N34" s="159"/>
    </row>
    <row r="35" spans="1:14" ht="13.5" thickBot="1">
      <c r="A35" s="182"/>
      <c r="B35" s="183"/>
      <c r="C35" s="108">
        <f>C34/($C$34+$D$34+$E$34)</f>
        <v>0.99702553577536845</v>
      </c>
      <c r="D35" s="108">
        <f>D34/($C$34+$D$34+$E$34)</f>
        <v>2.9744642246315382E-3</v>
      </c>
      <c r="E35" s="113">
        <f>E34/($C$34+$D$34+$E$34)</f>
        <v>0</v>
      </c>
      <c r="K35" s="159"/>
      <c r="L35" s="788" t="s">
        <v>186</v>
      </c>
      <c r="M35" s="788"/>
    </row>
    <row r="36" spans="1:14" ht="13.5" thickBot="1">
      <c r="A36" s="181"/>
      <c r="B36" s="181"/>
      <c r="C36" s="159"/>
      <c r="D36" s="159"/>
      <c r="E36" s="159"/>
      <c r="G36" s="159"/>
      <c r="H36" s="184"/>
      <c r="I36" s="166" t="s">
        <v>42</v>
      </c>
      <c r="J36" s="166" t="s">
        <v>43</v>
      </c>
      <c r="K36" s="185"/>
      <c r="L36" s="166" t="s">
        <v>42</v>
      </c>
      <c r="M36" s="166" t="s">
        <v>43</v>
      </c>
    </row>
    <row r="37" spans="1:14" ht="17.45" customHeight="1" thickBot="1">
      <c r="A37" s="801" t="s">
        <v>61</v>
      </c>
      <c r="B37" s="802"/>
      <c r="C37" s="166" t="s">
        <v>62</v>
      </c>
      <c r="D37" s="186" t="s">
        <v>63</v>
      </c>
      <c r="E37" s="187" t="s">
        <v>64</v>
      </c>
      <c r="F37" s="372"/>
      <c r="G37" s="374"/>
      <c r="H37" s="189" t="s">
        <v>65</v>
      </c>
      <c r="I37" s="246">
        <f>(20*1440)/1440*G42*3.4*1440/1000000</f>
        <v>73.146240000000006</v>
      </c>
      <c r="J37" s="129">
        <f>+I37+'14'!J37</f>
        <v>837.13179399540024</v>
      </c>
      <c r="K37" s="130" t="s">
        <v>66</v>
      </c>
      <c r="L37" s="437"/>
      <c r="M37" s="438"/>
    </row>
    <row r="38" spans="1:14" ht="17.45" customHeight="1">
      <c r="A38" s="803" t="s">
        <v>13</v>
      </c>
      <c r="B38" s="804"/>
      <c r="C38" s="168">
        <f>SUMIF($G$7:$G$31,"Process",$F$7:$F$31)</f>
        <v>28</v>
      </c>
      <c r="D38" s="122">
        <f>+C38+'14'!D38</f>
        <v>746</v>
      </c>
      <c r="E38" s="147">
        <f t="shared" ref="E38:E51" si="0">D38/60</f>
        <v>12.433333333333334</v>
      </c>
      <c r="F38" s="372">
        <v>830</v>
      </c>
      <c r="G38" s="372">
        <f>+F38-F38*0.1</f>
        <v>747</v>
      </c>
      <c r="H38" s="190" t="s">
        <v>67</v>
      </c>
      <c r="I38" s="247">
        <f>21.125+22.81+21.481</f>
        <v>65.415999999999997</v>
      </c>
      <c r="J38" s="131">
        <f>+I38+'14'!J38</f>
        <v>756.00299999999993</v>
      </c>
      <c r="K38" s="132" t="s">
        <v>66</v>
      </c>
      <c r="L38" s="439"/>
      <c r="M38" s="440"/>
    </row>
    <row r="39" spans="1:14" ht="17.45" customHeight="1">
      <c r="A39" s="799" t="s">
        <v>14</v>
      </c>
      <c r="B39" s="800"/>
      <c r="C39" s="168">
        <f>SUMIF($G$7:$G$31,"Cleaning",$F$7:$F$31)</f>
        <v>0</v>
      </c>
      <c r="D39" s="122">
        <f>+C39+'14'!D39</f>
        <v>0</v>
      </c>
      <c r="E39" s="147">
        <f t="shared" si="0"/>
        <v>0</v>
      </c>
      <c r="F39" s="372">
        <v>830</v>
      </c>
      <c r="G39" s="372">
        <f>+F39-F39*0.1</f>
        <v>747</v>
      </c>
      <c r="H39" s="190" t="s">
        <v>68</v>
      </c>
      <c r="I39" s="146"/>
      <c r="J39" s="133">
        <f>J37/G4</f>
        <v>55.808786266360016</v>
      </c>
      <c r="K39" s="134" t="s">
        <v>66</v>
      </c>
      <c r="L39" s="439"/>
      <c r="M39" s="440"/>
    </row>
    <row r="40" spans="1:14" ht="17.45" customHeight="1">
      <c r="A40" s="799" t="s">
        <v>69</v>
      </c>
      <c r="B40" s="800"/>
      <c r="C40" s="168">
        <f>SUMIF($G$7:$G$31,"Mechanical",$F$7:$F$31)</f>
        <v>0</v>
      </c>
      <c r="D40" s="122">
        <f>+C40+'14'!D40</f>
        <v>700</v>
      </c>
      <c r="E40" s="147">
        <f t="shared" si="0"/>
        <v>11.666666666666666</v>
      </c>
      <c r="F40" s="372">
        <v>830</v>
      </c>
      <c r="G40" s="372">
        <f>+F40-F40*0.1</f>
        <v>747</v>
      </c>
      <c r="H40" s="190" t="s">
        <v>70</v>
      </c>
      <c r="I40" s="122">
        <f>(K34+L34)/1000</f>
        <v>67.039000000000001</v>
      </c>
      <c r="J40" s="135">
        <f>+I40+'14'!J40</f>
        <v>725.61299999999994</v>
      </c>
      <c r="K40" s="134" t="s">
        <v>66</v>
      </c>
      <c r="L40" s="439"/>
      <c r="M40" s="440"/>
    </row>
    <row r="41" spans="1:14" ht="17.45" customHeight="1">
      <c r="A41" s="799" t="s">
        <v>71</v>
      </c>
      <c r="B41" s="800"/>
      <c r="C41" s="168">
        <f>SUMIF($G$7:$G$31,"Electrical",$F$7:$F$31)</f>
        <v>0</v>
      </c>
      <c r="D41" s="122">
        <f>+C41+'14'!D41</f>
        <v>315</v>
      </c>
      <c r="E41" s="147">
        <f t="shared" si="0"/>
        <v>5.25</v>
      </c>
      <c r="F41" s="372"/>
      <c r="G41" s="372"/>
      <c r="H41" s="190" t="s">
        <v>72</v>
      </c>
      <c r="I41" s="146"/>
      <c r="J41" s="133">
        <f>J40/G4</f>
        <v>48.374199999999995</v>
      </c>
      <c r="K41" s="134" t="s">
        <v>66</v>
      </c>
      <c r="L41" s="439"/>
      <c r="M41" s="440"/>
    </row>
    <row r="42" spans="1:14" ht="17.45" customHeight="1">
      <c r="A42" s="799" t="s">
        <v>17</v>
      </c>
      <c r="B42" s="800"/>
      <c r="C42" s="168">
        <f>SUMIF($G$7:$G$31,"Instrument",$F$7:$F$31)</f>
        <v>0</v>
      </c>
      <c r="D42" s="122">
        <f>+C42+'14'!D42</f>
        <v>0</v>
      </c>
      <c r="E42" s="147">
        <f t="shared" si="0"/>
        <v>0</v>
      </c>
      <c r="F42" s="372">
        <v>830</v>
      </c>
      <c r="G42" s="372">
        <v>747</v>
      </c>
      <c r="H42" s="190" t="s">
        <v>73</v>
      </c>
      <c r="I42" s="248" t="s">
        <v>564</v>
      </c>
      <c r="J42" s="136"/>
      <c r="K42" s="134" t="s">
        <v>74</v>
      </c>
      <c r="L42" s="439"/>
      <c r="M42" s="440"/>
    </row>
    <row r="43" spans="1:14" ht="17.45" customHeight="1">
      <c r="A43" s="799" t="s">
        <v>201</v>
      </c>
      <c r="B43" s="800"/>
      <c r="C43" s="168">
        <f>SUMIF($G$7:$G$31,"Change Grade",$F$7:$F$31)</f>
        <v>0</v>
      </c>
      <c r="D43" s="122">
        <f>+C43+'14'!D43</f>
        <v>0</v>
      </c>
      <c r="E43" s="147">
        <f t="shared" si="0"/>
        <v>0</v>
      </c>
      <c r="F43" s="372"/>
      <c r="G43" s="373"/>
      <c r="H43" s="191" t="s">
        <v>76</v>
      </c>
      <c r="I43" s="122">
        <f>+Report1!AH23</f>
        <v>133.916</v>
      </c>
      <c r="J43" s="137">
        <f>+I43+'14'!J43</f>
        <v>1701.7779999999998</v>
      </c>
      <c r="K43" s="134" t="s">
        <v>66</v>
      </c>
      <c r="L43" s="441">
        <f>+Report1!AN23</f>
        <v>13.7</v>
      </c>
      <c r="M43" s="442">
        <f>+L43+'14'!M43</f>
        <v>158.30000000000001</v>
      </c>
    </row>
    <row r="44" spans="1:14" ht="17.45" customHeight="1">
      <c r="A44" s="799" t="s">
        <v>18</v>
      </c>
      <c r="B44" s="800"/>
      <c r="C44" s="168">
        <f>SUMIF($G$7:$G$31,"PLN",$F$7:$F$31)</f>
        <v>0</v>
      </c>
      <c r="D44" s="122">
        <f>+C44+'14'!D44</f>
        <v>105</v>
      </c>
      <c r="E44" s="147">
        <f t="shared" si="0"/>
        <v>1.75</v>
      </c>
      <c r="F44" s="372"/>
      <c r="G44" s="373"/>
      <c r="H44" s="191" t="s">
        <v>77</v>
      </c>
      <c r="I44" s="122">
        <f>I43/I38</f>
        <v>2.0471444294973709</v>
      </c>
      <c r="J44" s="138">
        <f>J43/J38</f>
        <v>2.2510201679093864</v>
      </c>
      <c r="K44" s="134" t="s">
        <v>66</v>
      </c>
      <c r="L44" s="443">
        <f>+L43/I38</f>
        <v>0.20942888589947414</v>
      </c>
      <c r="M44" s="444">
        <f>+M43/J38</f>
        <v>0.20939070347604444</v>
      </c>
    </row>
    <row r="45" spans="1:14" ht="17.45" customHeight="1">
      <c r="A45" s="799" t="s">
        <v>19</v>
      </c>
      <c r="B45" s="800"/>
      <c r="C45" s="168">
        <f>SUMIF($G$7:$G$31,"Boiler",$F$7:$F$31)</f>
        <v>0</v>
      </c>
      <c r="D45" s="122">
        <f>+C45+'14'!D45</f>
        <v>0</v>
      </c>
      <c r="E45" s="147">
        <f t="shared" si="0"/>
        <v>0</v>
      </c>
      <c r="F45" s="372"/>
      <c r="G45" s="375"/>
      <c r="H45" s="191" t="s">
        <v>78</v>
      </c>
      <c r="I45" s="122">
        <f>I43/I40</f>
        <v>1.9975834961738688</v>
      </c>
      <c r="J45" s="138">
        <f>J43/J40</f>
        <v>2.3452970109410938</v>
      </c>
      <c r="K45" s="134" t="s">
        <v>66</v>
      </c>
      <c r="L45" s="443">
        <f>+L43/I40</f>
        <v>0.20435865690120675</v>
      </c>
      <c r="M45" s="444">
        <f>+M43/J40</f>
        <v>0.21816036923263507</v>
      </c>
    </row>
    <row r="46" spans="1:14" ht="17.45" customHeight="1">
      <c r="A46" s="799" t="s">
        <v>79</v>
      </c>
      <c r="B46" s="800"/>
      <c r="C46" s="168">
        <f>SUMIF($G$7:$G$31,"Gas",$F$7:$F$31)</f>
        <v>0</v>
      </c>
      <c r="D46" s="122">
        <f>+C46+'14'!D46</f>
        <v>0</v>
      </c>
      <c r="E46" s="147">
        <f t="shared" si="0"/>
        <v>0</v>
      </c>
      <c r="F46" s="372"/>
      <c r="G46" s="373"/>
      <c r="H46" s="191" t="s">
        <v>80</v>
      </c>
      <c r="I46" s="144">
        <f>+SUMIF(Listrik!AC22,"&gt;0")</f>
        <v>41264.749999998618</v>
      </c>
      <c r="J46" s="139">
        <f>+I46+'14'!J46</f>
        <v>489737.89000000013</v>
      </c>
      <c r="K46" s="134" t="s">
        <v>81</v>
      </c>
      <c r="L46" s="443">
        <f>+Listrik!AF22</f>
        <v>5259</v>
      </c>
      <c r="M46" s="445">
        <f>+L46+'14'!M46</f>
        <v>95335</v>
      </c>
    </row>
    <row r="47" spans="1:14" ht="17.45" customHeight="1">
      <c r="A47" s="799" t="s">
        <v>82</v>
      </c>
      <c r="B47" s="800"/>
      <c r="C47" s="168">
        <f>SUMIF($G$7:$G$31,"Gas",$F$7:$F$31)</f>
        <v>0</v>
      </c>
      <c r="D47" s="122">
        <f>+C47+'14'!D47</f>
        <v>0</v>
      </c>
      <c r="E47" s="147">
        <f t="shared" si="0"/>
        <v>0</v>
      </c>
      <c r="F47" s="372"/>
      <c r="G47" s="373"/>
      <c r="H47" s="191" t="s">
        <v>83</v>
      </c>
      <c r="I47" s="122">
        <f>I46/I38</f>
        <v>630.80515470219245</v>
      </c>
      <c r="J47" s="139">
        <f>J46/J38</f>
        <v>647.79887116850091</v>
      </c>
      <c r="K47" s="134" t="s">
        <v>25</v>
      </c>
      <c r="L47" s="443">
        <f>+L46/I38</f>
        <v>80.393175981411275</v>
      </c>
      <c r="M47" s="444">
        <f>+M46/J38</f>
        <v>126.10399694181109</v>
      </c>
    </row>
    <row r="48" spans="1:14" ht="17.45" customHeight="1">
      <c r="A48" s="799" t="s">
        <v>15</v>
      </c>
      <c r="B48" s="800"/>
      <c r="C48" s="168">
        <f>SUMIF($G$7:$G$31,"Start Up",$F$7:$F$31)</f>
        <v>0</v>
      </c>
      <c r="D48" s="122">
        <f>+C48+'14'!D48</f>
        <v>0</v>
      </c>
      <c r="E48" s="147">
        <f t="shared" si="0"/>
        <v>0</v>
      </c>
      <c r="F48" s="372"/>
      <c r="G48" s="373"/>
      <c r="H48" s="191" t="s">
        <v>84</v>
      </c>
      <c r="I48" s="122">
        <f>I46/I40</f>
        <v>615.53349542801379</v>
      </c>
      <c r="J48" s="139">
        <f>J46/J40</f>
        <v>674.92987308661804</v>
      </c>
      <c r="K48" s="134" t="s">
        <v>25</v>
      </c>
      <c r="L48" s="443">
        <f>+L46/I38</f>
        <v>80.393175981411275</v>
      </c>
      <c r="M48" s="444">
        <f>+M46/J40</f>
        <v>131.38546304986266</v>
      </c>
    </row>
    <row r="49" spans="1:13" ht="17.45" customHeight="1">
      <c r="A49" s="799" t="s">
        <v>21</v>
      </c>
      <c r="B49" s="800"/>
      <c r="C49" s="168">
        <f>SUMIF($G$7:$G$31,"Others",$F$7:$F$31)</f>
        <v>0</v>
      </c>
      <c r="D49" s="122">
        <f>+C49+'14'!D49</f>
        <v>1440</v>
      </c>
      <c r="E49" s="147">
        <f t="shared" si="0"/>
        <v>24</v>
      </c>
      <c r="F49" s="188"/>
      <c r="H49" s="191" t="s">
        <v>85</v>
      </c>
      <c r="I49" s="122">
        <f>+Report1!AB23</f>
        <v>0</v>
      </c>
      <c r="J49" s="139">
        <f>+I49+'14'!J49</f>
        <v>0</v>
      </c>
      <c r="K49" s="134" t="s">
        <v>86</v>
      </c>
      <c r="L49" s="439"/>
      <c r="M49" s="440"/>
    </row>
    <row r="50" spans="1:13" ht="17.45" customHeight="1">
      <c r="A50" s="799" t="s">
        <v>20</v>
      </c>
      <c r="B50" s="800"/>
      <c r="C50" s="168">
        <f>SUMIF($G$7:$G$31,"Steam",$F$7:$F$31)</f>
        <v>0</v>
      </c>
      <c r="D50" s="122">
        <f>+C50+'14'!D50</f>
        <v>0</v>
      </c>
      <c r="E50" s="147">
        <f t="shared" si="0"/>
        <v>0</v>
      </c>
      <c r="F50" s="188"/>
      <c r="H50" s="191" t="s">
        <v>87</v>
      </c>
      <c r="I50" s="144">
        <f>I49/I38</f>
        <v>0</v>
      </c>
      <c r="J50" s="137">
        <f>J49/J38</f>
        <v>0</v>
      </c>
      <c r="K50" s="134" t="s">
        <v>86</v>
      </c>
      <c r="L50" s="439"/>
      <c r="M50" s="440"/>
    </row>
    <row r="51" spans="1:13" ht="17.45" customHeight="1" thickBot="1">
      <c r="A51" s="805" t="s">
        <v>88</v>
      </c>
      <c r="B51" s="806"/>
      <c r="C51" s="168">
        <f>SUMIF($G$7:$G$31,"Planned shut",$F$7:$F$31)</f>
        <v>0</v>
      </c>
      <c r="D51" s="122">
        <f>+C51+'14'!D51</f>
        <v>0</v>
      </c>
      <c r="E51" s="147">
        <f t="shared" si="0"/>
        <v>0</v>
      </c>
      <c r="F51" s="188"/>
      <c r="H51" s="193" t="s">
        <v>89</v>
      </c>
      <c r="I51" s="145">
        <f>I49/I40</f>
        <v>0</v>
      </c>
      <c r="J51" s="140">
        <f>J49/J40</f>
        <v>0</v>
      </c>
      <c r="K51" s="141" t="s">
        <v>86</v>
      </c>
      <c r="L51" s="439"/>
      <c r="M51" s="440"/>
    </row>
    <row r="52" spans="1:13" ht="13.5" thickBot="1">
      <c r="A52" s="803" t="s">
        <v>29</v>
      </c>
      <c r="B52" s="804"/>
      <c r="C52" s="148">
        <f>SUM(C38:C51)</f>
        <v>28</v>
      </c>
      <c r="D52" s="148">
        <f>SUM(D38:D51)</f>
        <v>3306</v>
      </c>
      <c r="E52" s="149">
        <f>SUM(E38:E51)</f>
        <v>55.1</v>
      </c>
      <c r="F52" s="188"/>
      <c r="H52" s="194"/>
      <c r="I52" s="195"/>
      <c r="J52" s="142"/>
      <c r="K52" s="143"/>
      <c r="L52" s="446"/>
      <c r="M52" s="447"/>
    </row>
    <row r="53" spans="1:13" ht="13.5" thickBot="1">
      <c r="A53" s="807"/>
      <c r="B53" s="808"/>
      <c r="C53" s="150">
        <f>C52/(24*60)</f>
        <v>1.9444444444444445E-2</v>
      </c>
      <c r="D53" s="150">
        <f>D52/(24*60*G4)</f>
        <v>0.15305555555555556</v>
      </c>
      <c r="E53" s="151">
        <f>E52/(G4*24)</f>
        <v>0.15305555555555556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90</v>
      </c>
      <c r="B56" s="198"/>
      <c r="C56" s="199"/>
      <c r="D56" s="199"/>
      <c r="E56" s="199"/>
      <c r="F56" s="200"/>
      <c r="G56" s="199"/>
      <c r="H56" s="201"/>
      <c r="I56" s="202" t="s">
        <v>91</v>
      </c>
      <c r="J56" s="203">
        <f>+D34+'14'!J56</f>
        <v>13245</v>
      </c>
      <c r="K56" s="204">
        <f>J56/(J40+J56/1000)/1000</f>
        <v>1.7926313310541404E-2</v>
      </c>
    </row>
    <row r="57" spans="1:13">
      <c r="A57" s="179"/>
      <c r="I57" s="202" t="s">
        <v>92</v>
      </c>
      <c r="J57" s="203">
        <f>+E34+'14'!J57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  <c r="J58" s="153">
        <v>325</v>
      </c>
    </row>
    <row r="59" spans="1:13">
      <c r="A59" s="208"/>
      <c r="B59" s="179"/>
      <c r="C59" s="179"/>
      <c r="D59" s="179"/>
      <c r="E59" s="179"/>
      <c r="F59" s="192"/>
      <c r="G59" s="179"/>
      <c r="H59" s="207"/>
      <c r="J59" s="159">
        <f>+J56+J58</f>
        <v>13570</v>
      </c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A47:B47"/>
    <mergeCell ref="A37:B37"/>
    <mergeCell ref="A38:B38"/>
    <mergeCell ref="A53:B53"/>
    <mergeCell ref="A48:B48"/>
    <mergeCell ref="A49:B49"/>
    <mergeCell ref="A50:B50"/>
    <mergeCell ref="A51:B51"/>
    <mergeCell ref="A52:B52"/>
    <mergeCell ref="A44:B44"/>
    <mergeCell ref="A46:B46"/>
    <mergeCell ref="A40:B40"/>
    <mergeCell ref="A41:B41"/>
    <mergeCell ref="A43:B43"/>
    <mergeCell ref="A45:B45"/>
    <mergeCell ref="A42:B42"/>
    <mergeCell ref="A39:B39"/>
    <mergeCell ref="L35:M35"/>
    <mergeCell ref="I24:I31"/>
    <mergeCell ref="A24:A32"/>
    <mergeCell ref="I7:I13"/>
    <mergeCell ref="A7:A14"/>
    <mergeCell ref="A34:B34"/>
    <mergeCell ref="A15:A23"/>
    <mergeCell ref="I15:I22"/>
  </mergeCells>
  <phoneticPr fontId="31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O61"/>
  <sheetViews>
    <sheetView view="pageBreakPreview" topLeftCell="A13" zoomScale="80" zoomScaleNormal="75" zoomScaleSheetLayoutView="80" workbookViewId="0">
      <selection activeCell="C26" sqref="C26"/>
    </sheetView>
  </sheetViews>
  <sheetFormatPr defaultColWidth="9.140625" defaultRowHeight="12.75"/>
  <cols>
    <col min="1" max="1" width="8" style="153" customWidth="1"/>
    <col min="2" max="2" width="7" style="153" bestFit="1" customWidth="1"/>
    <col min="3" max="3" width="14.85546875" style="153" bestFit="1" customWidth="1"/>
    <col min="4" max="4" width="12.5703125" style="153" bestFit="1" customWidth="1"/>
    <col min="5" max="5" width="13.85546875" style="153" bestFit="1" customWidth="1"/>
    <col min="6" max="6" width="12.140625" style="114" bestFit="1" customWidth="1"/>
    <col min="7" max="7" width="11.42578125" style="153" bestFit="1" customWidth="1"/>
    <col min="8" max="8" width="64.85546875" style="153" customWidth="1"/>
    <col min="9" max="9" width="14.7109375" style="153" bestFit="1" customWidth="1"/>
    <col min="10" max="10" width="20.28515625" style="153" bestFit="1" customWidth="1"/>
    <col min="11" max="11" width="12.5703125" style="153" bestFit="1" customWidth="1"/>
    <col min="12" max="12" width="8.28515625" style="153" customWidth="1"/>
    <col min="13" max="13" width="12.140625" style="153" customWidth="1"/>
    <col min="14" max="16384" width="9.140625" style="153"/>
  </cols>
  <sheetData>
    <row r="1" spans="1:15" ht="15.75">
      <c r="A1" s="152"/>
    </row>
    <row r="2" spans="1:15" ht="15.75">
      <c r="A2" s="152" t="s">
        <v>175</v>
      </c>
    </row>
    <row r="3" spans="1:15" ht="15">
      <c r="A3" s="154"/>
    </row>
    <row r="4" spans="1:15" ht="20.25">
      <c r="A4" s="155" t="s">
        <v>4</v>
      </c>
      <c r="B4" s="156"/>
      <c r="F4" s="157" t="s">
        <v>31</v>
      </c>
      <c r="G4" s="158">
        <v>14</v>
      </c>
      <c r="H4" s="158" t="str">
        <f>+'1'!H4</f>
        <v>.12.25</v>
      </c>
    </row>
    <row r="5" spans="1:15" ht="13.5" thickBot="1">
      <c r="C5" s="159"/>
      <c r="D5" s="159"/>
    </row>
    <row r="6" spans="1:15" ht="26.25" thickBot="1">
      <c r="A6" s="160" t="s">
        <v>50</v>
      </c>
      <c r="B6" s="161" t="s">
        <v>10</v>
      </c>
      <c r="C6" s="161" t="s">
        <v>51</v>
      </c>
      <c r="D6" s="161" t="s">
        <v>52</v>
      </c>
      <c r="E6" s="162" t="s">
        <v>53</v>
      </c>
      <c r="F6" s="106" t="s">
        <v>54</v>
      </c>
      <c r="G6" s="161" t="s">
        <v>55</v>
      </c>
      <c r="H6" s="163" t="s">
        <v>56</v>
      </c>
      <c r="I6" s="164" t="s">
        <v>57</v>
      </c>
      <c r="J6" s="165" t="s">
        <v>10</v>
      </c>
      <c r="K6" s="166" t="s">
        <v>58</v>
      </c>
      <c r="L6" s="213" t="s">
        <v>143</v>
      </c>
      <c r="M6" s="167" t="s">
        <v>59</v>
      </c>
      <c r="N6" s="153">
        <f>326+330+325</f>
        <v>981</v>
      </c>
    </row>
    <row r="7" spans="1:15" ht="13.5" customHeight="1" thickBot="1">
      <c r="A7" s="789" t="s">
        <v>486</v>
      </c>
      <c r="B7" s="218" t="s">
        <v>536</v>
      </c>
      <c r="C7" s="219">
        <v>22360</v>
      </c>
      <c r="D7" s="220"/>
      <c r="E7" s="221"/>
      <c r="F7" s="230"/>
      <c r="G7" s="231" t="s">
        <v>13</v>
      </c>
      <c r="H7" s="232" t="s">
        <v>395</v>
      </c>
      <c r="I7" s="792" t="s">
        <v>564</v>
      </c>
      <c r="J7" s="217" t="str">
        <f>+'13'!J7</f>
        <v>TW 38 RC BR</v>
      </c>
      <c r="K7" s="240"/>
      <c r="L7" s="244"/>
      <c r="M7" s="121">
        <f>+K7+'13'!M7+L7</f>
        <v>78513</v>
      </c>
    </row>
    <row r="8" spans="1:15" ht="13.5" thickBot="1">
      <c r="A8" s="790"/>
      <c r="B8" s="218"/>
      <c r="C8" s="219"/>
      <c r="D8" s="220"/>
      <c r="E8" s="222"/>
      <c r="F8" s="233">
        <v>4</v>
      </c>
      <c r="G8" s="234" t="s">
        <v>13</v>
      </c>
      <c r="H8" s="232" t="s">
        <v>393</v>
      </c>
      <c r="I8" s="793"/>
      <c r="J8" s="217" t="str">
        <f>+'13'!J8</f>
        <v>TW 36 RC BR</v>
      </c>
      <c r="K8" s="241"/>
      <c r="L8" s="241"/>
      <c r="M8" s="121">
        <f>+K8+'13'!M8+L8</f>
        <v>1530</v>
      </c>
      <c r="N8" s="153">
        <v>830</v>
      </c>
      <c r="O8" s="153">
        <f>+N8-N8*0.1</f>
        <v>747</v>
      </c>
    </row>
    <row r="9" spans="1:15" ht="13.5" thickBot="1">
      <c r="A9" s="790"/>
      <c r="B9" s="218"/>
      <c r="C9" s="219"/>
      <c r="D9" s="220"/>
      <c r="E9" s="223"/>
      <c r="F9" s="230">
        <v>4</v>
      </c>
      <c r="G9" s="234" t="s">
        <v>13</v>
      </c>
      <c r="H9" s="235" t="s">
        <v>226</v>
      </c>
      <c r="I9" s="793"/>
      <c r="J9" s="217" t="str">
        <f>+'13'!J9</f>
        <v>N 20 RC BR</v>
      </c>
      <c r="K9" s="241"/>
      <c r="L9" s="241"/>
      <c r="M9" s="121">
        <f>+K9+'13'!M9+L9</f>
        <v>74204</v>
      </c>
    </row>
    <row r="10" spans="1:15" ht="13.5" thickBot="1">
      <c r="A10" s="790"/>
      <c r="B10" s="218"/>
      <c r="C10" s="219"/>
      <c r="D10" s="220"/>
      <c r="E10" s="222"/>
      <c r="F10" s="230"/>
      <c r="G10" s="234"/>
      <c r="H10" s="235" t="s">
        <v>562</v>
      </c>
      <c r="I10" s="793"/>
      <c r="J10" s="217" t="str">
        <f>+'13'!J10</f>
        <v>TW 17 RC HW</v>
      </c>
      <c r="K10" s="241"/>
      <c r="L10" s="241"/>
      <c r="M10" s="121">
        <f>+K10+'13'!M10+L10</f>
        <v>39984</v>
      </c>
    </row>
    <row r="11" spans="1:15" ht="13.5" thickBot="1">
      <c r="A11" s="790"/>
      <c r="B11" s="218"/>
      <c r="C11" s="219"/>
      <c r="D11" s="220"/>
      <c r="E11" s="222"/>
      <c r="F11" s="230"/>
      <c r="G11" s="234"/>
      <c r="H11" s="235"/>
      <c r="I11" s="793"/>
      <c r="J11" s="217" t="str">
        <f>+'13'!J11</f>
        <v>N 15,5 RC HW</v>
      </c>
      <c r="K11" s="241"/>
      <c r="L11" s="241"/>
      <c r="M11" s="121">
        <f>+K11+'13'!M11+L11</f>
        <v>149213</v>
      </c>
    </row>
    <row r="12" spans="1:15" ht="13.5" thickBot="1">
      <c r="A12" s="790"/>
      <c r="B12" s="218"/>
      <c r="C12" s="219"/>
      <c r="D12" s="220"/>
      <c r="E12" s="222"/>
      <c r="F12" s="230"/>
      <c r="G12" s="234"/>
      <c r="H12" s="235"/>
      <c r="I12" s="793"/>
      <c r="J12" s="217" t="str">
        <f>+'13'!J12</f>
        <v>N 17 RC HW</v>
      </c>
      <c r="K12" s="241"/>
      <c r="L12" s="241"/>
      <c r="M12" s="121">
        <f>+K12+'13'!M12+L12</f>
        <v>6572</v>
      </c>
    </row>
    <row r="13" spans="1:15" ht="13.5" thickBot="1">
      <c r="A13" s="790"/>
      <c r="B13" s="218"/>
      <c r="C13" s="219"/>
      <c r="D13" s="219"/>
      <c r="E13" s="222"/>
      <c r="F13" s="230"/>
      <c r="G13" s="234"/>
      <c r="H13" s="235"/>
      <c r="I13" s="794"/>
      <c r="J13" s="217" t="str">
        <f>+'13'!J13</f>
        <v>N 16,5 RC HW</v>
      </c>
      <c r="K13" s="241"/>
      <c r="L13" s="241"/>
      <c r="M13" s="121">
        <f>+K13+'13'!M13+L13</f>
        <v>18880</v>
      </c>
    </row>
    <row r="14" spans="1:15" ht="13.5" thickBot="1">
      <c r="A14" s="791"/>
      <c r="B14" s="169" t="s">
        <v>3</v>
      </c>
      <c r="C14" s="103">
        <f>SUM(C7:C13)</f>
        <v>22360</v>
      </c>
      <c r="D14" s="115">
        <f>SUM(D7:D13)</f>
        <v>0</v>
      </c>
      <c r="E14" s="116">
        <f>SUM(E5:E13)</f>
        <v>0</v>
      </c>
      <c r="F14" s="106">
        <f>SUM(F6:F13)</f>
        <v>8</v>
      </c>
      <c r="G14" s="163"/>
      <c r="H14" s="170"/>
      <c r="I14" s="171"/>
      <c r="J14" s="217" t="str">
        <f>+'13'!J14</f>
        <v>N 20 RC HW</v>
      </c>
      <c r="K14" s="241">
        <f>+C34</f>
        <v>66549</v>
      </c>
      <c r="L14" s="241"/>
      <c r="M14" s="121">
        <f>+K14+'13'!M14+L14</f>
        <v>289678</v>
      </c>
    </row>
    <row r="15" spans="1:15" ht="13.5" customHeight="1" thickBot="1">
      <c r="A15" s="789" t="s">
        <v>556</v>
      </c>
      <c r="B15" s="169"/>
      <c r="C15" s="117">
        <f>C14/($C$23+$D$23+$E$23)</f>
        <v>0.97616345062429055</v>
      </c>
      <c r="D15" s="118">
        <f>D14/($C$23+$D$23+$E$23)</f>
        <v>0</v>
      </c>
      <c r="E15" s="119">
        <f>E14/($C$23+$D$23+$E$23)</f>
        <v>0</v>
      </c>
      <c r="F15" s="230"/>
      <c r="G15" s="231" t="s">
        <v>13</v>
      </c>
      <c r="H15" s="232" t="s">
        <v>395</v>
      </c>
      <c r="I15" s="792" t="s">
        <v>564</v>
      </c>
      <c r="J15" s="217">
        <f>+'13'!J15</f>
        <v>0</v>
      </c>
      <c r="K15" s="241"/>
      <c r="L15" s="241"/>
      <c r="M15" s="121">
        <f>+K15+'13'!M15+L15</f>
        <v>0</v>
      </c>
    </row>
    <row r="16" spans="1:15" ht="13.5" thickBot="1">
      <c r="A16" s="795"/>
      <c r="B16" s="218" t="s">
        <v>536</v>
      </c>
      <c r="C16" s="224">
        <v>22676</v>
      </c>
      <c r="D16" s="225">
        <v>230</v>
      </c>
      <c r="E16" s="226"/>
      <c r="F16" s="233">
        <v>10</v>
      </c>
      <c r="G16" s="234" t="s">
        <v>13</v>
      </c>
      <c r="H16" s="232" t="s">
        <v>454</v>
      </c>
      <c r="I16" s="793"/>
      <c r="J16" s="217">
        <f>+'13'!J16</f>
        <v>0</v>
      </c>
      <c r="K16" s="241"/>
      <c r="L16" s="231"/>
      <c r="M16" s="121">
        <f>+K16+'13'!M16+L16</f>
        <v>0</v>
      </c>
    </row>
    <row r="17" spans="1:14" ht="13.5" thickBot="1">
      <c r="A17" s="795"/>
      <c r="B17" s="218"/>
      <c r="C17" s="219"/>
      <c r="D17" s="220"/>
      <c r="E17" s="227"/>
      <c r="F17" s="230">
        <v>5</v>
      </c>
      <c r="G17" s="234" t="s">
        <v>13</v>
      </c>
      <c r="H17" s="235" t="s">
        <v>226</v>
      </c>
      <c r="I17" s="793"/>
      <c r="J17" s="217">
        <f>+'13'!J17</f>
        <v>0</v>
      </c>
      <c r="K17" s="241"/>
      <c r="L17" s="231"/>
      <c r="M17" s="121">
        <f>+K17+'13'!M17+L17</f>
        <v>0</v>
      </c>
    </row>
    <row r="18" spans="1:14" ht="13.5" thickBot="1">
      <c r="A18" s="795"/>
      <c r="B18" s="218"/>
      <c r="C18" s="219"/>
      <c r="D18" s="220"/>
      <c r="E18" s="227"/>
      <c r="F18" s="230"/>
      <c r="G18" s="234"/>
      <c r="H18" s="235" t="s">
        <v>562</v>
      </c>
      <c r="I18" s="793"/>
      <c r="J18" s="217">
        <f>+'13'!J18</f>
        <v>0</v>
      </c>
      <c r="K18" s="241"/>
      <c r="L18" s="241"/>
      <c r="M18" s="121">
        <f>+K18+'13'!M18+L18</f>
        <v>0</v>
      </c>
    </row>
    <row r="19" spans="1:14" ht="13.5" thickBot="1">
      <c r="A19" s="795"/>
      <c r="B19" s="218"/>
      <c r="C19" s="219"/>
      <c r="D19" s="220"/>
      <c r="E19" s="227"/>
      <c r="F19" s="237"/>
      <c r="G19" s="234"/>
      <c r="H19" s="235"/>
      <c r="I19" s="793"/>
      <c r="J19" s="217">
        <f>+'13'!J19</f>
        <v>0</v>
      </c>
      <c r="K19" s="241"/>
      <c r="L19" s="241"/>
      <c r="M19" s="121">
        <f>+K19+'13'!M19+L19</f>
        <v>0</v>
      </c>
    </row>
    <row r="20" spans="1:14" ht="13.5" thickBot="1">
      <c r="A20" s="795"/>
      <c r="B20" s="218"/>
      <c r="C20" s="219"/>
      <c r="D20" s="220"/>
      <c r="E20" s="227"/>
      <c r="F20" s="230"/>
      <c r="G20" s="234"/>
      <c r="H20" s="235"/>
      <c r="I20" s="793"/>
      <c r="J20" s="217">
        <f>+'13'!J20</f>
        <v>0</v>
      </c>
      <c r="K20" s="241"/>
      <c r="L20" s="242"/>
      <c r="M20" s="121">
        <f>+K20+'13'!M20+L20</f>
        <v>0</v>
      </c>
    </row>
    <row r="21" spans="1:14" ht="13.5" thickBot="1">
      <c r="A21" s="795"/>
      <c r="B21" s="218"/>
      <c r="C21" s="219"/>
      <c r="D21" s="220"/>
      <c r="E21" s="227"/>
      <c r="F21" s="233"/>
      <c r="G21" s="234"/>
      <c r="H21" s="235"/>
      <c r="I21" s="793"/>
      <c r="J21" s="217">
        <f>+'13'!J21</f>
        <v>0</v>
      </c>
      <c r="K21" s="241"/>
      <c r="L21" s="241"/>
      <c r="M21" s="121">
        <f>+K21+'13'!M21+L21</f>
        <v>0</v>
      </c>
    </row>
    <row r="22" spans="1:14" ht="13.5" thickBot="1">
      <c r="A22" s="795"/>
      <c r="B22" s="218"/>
      <c r="C22" s="219"/>
      <c r="D22" s="220"/>
      <c r="E22" s="227"/>
      <c r="F22" s="238"/>
      <c r="G22" s="234"/>
      <c r="H22" s="235"/>
      <c r="I22" s="794"/>
      <c r="J22" s="217">
        <f>+'13'!J22</f>
        <v>0</v>
      </c>
      <c r="K22" s="241"/>
      <c r="L22" s="241"/>
      <c r="M22" s="121">
        <f>+K22+'13'!M22+L22</f>
        <v>0</v>
      </c>
    </row>
    <row r="23" spans="1:14" ht="13.5" thickBot="1">
      <c r="A23" s="796"/>
      <c r="B23" s="169" t="s">
        <v>3</v>
      </c>
      <c r="C23" s="104">
        <f>SUM(C16:C22)</f>
        <v>22676</v>
      </c>
      <c r="D23" s="115">
        <f>SUM(D16:D22)</f>
        <v>230</v>
      </c>
      <c r="E23" s="116">
        <f>SUM(E18:E22)</f>
        <v>0</v>
      </c>
      <c r="F23" s="106">
        <f>SUM(F15:F22)</f>
        <v>15</v>
      </c>
      <c r="G23" s="163"/>
      <c r="H23" s="170"/>
      <c r="I23" s="172"/>
      <c r="J23" s="217">
        <f>+'13'!J23</f>
        <v>0</v>
      </c>
      <c r="K23" s="241"/>
      <c r="L23" s="241"/>
      <c r="M23" s="121">
        <f>+K23+'13'!M23+L23</f>
        <v>0</v>
      </c>
    </row>
    <row r="24" spans="1:14" ht="13.5" customHeight="1" thickBot="1">
      <c r="A24" s="789" t="s">
        <v>544</v>
      </c>
      <c r="B24" s="173"/>
      <c r="C24" s="117">
        <f>C23/($C$23+$D$23+$E$23)</f>
        <v>0.98995896271719197</v>
      </c>
      <c r="D24" s="118">
        <f>D23/($C$23+$D$23+$E$23)</f>
        <v>1.0041037282807998E-2</v>
      </c>
      <c r="E24" s="119">
        <f>E23/($C$23+$D$23+$E$23)</f>
        <v>0</v>
      </c>
      <c r="F24" s="230"/>
      <c r="G24" s="231" t="s">
        <v>13</v>
      </c>
      <c r="H24" s="232" t="s">
        <v>395</v>
      </c>
      <c r="I24" s="792" t="s">
        <v>564</v>
      </c>
      <c r="J24" s="217">
        <f>+'13'!J24</f>
        <v>0</v>
      </c>
      <c r="K24" s="241"/>
      <c r="L24" s="241"/>
      <c r="M24" s="121">
        <f>+K24+'13'!M24+L24</f>
        <v>0</v>
      </c>
    </row>
    <row r="25" spans="1:14" ht="13.5" thickBot="1">
      <c r="A25" s="795"/>
      <c r="B25" s="218" t="s">
        <v>536</v>
      </c>
      <c r="C25" s="228">
        <v>21513</v>
      </c>
      <c r="D25" s="220"/>
      <c r="E25" s="227"/>
      <c r="F25" s="233">
        <v>4</v>
      </c>
      <c r="G25" s="234" t="s">
        <v>13</v>
      </c>
      <c r="H25" s="232" t="s">
        <v>393</v>
      </c>
      <c r="I25" s="793"/>
      <c r="J25" s="217">
        <f>+'13'!J25</f>
        <v>0</v>
      </c>
      <c r="K25" s="241"/>
      <c r="L25" s="241"/>
      <c r="M25" s="121">
        <f>+K25+'13'!M25+L25</f>
        <v>0</v>
      </c>
    </row>
    <row r="26" spans="1:14" ht="13.5" thickBot="1">
      <c r="A26" s="795"/>
      <c r="B26" s="218"/>
      <c r="C26" s="228"/>
      <c r="D26" s="220"/>
      <c r="E26" s="229"/>
      <c r="F26" s="230">
        <v>4</v>
      </c>
      <c r="G26" s="234" t="s">
        <v>13</v>
      </c>
      <c r="H26" s="235" t="s">
        <v>226</v>
      </c>
      <c r="I26" s="793"/>
      <c r="J26" s="217">
        <f>+'13'!J26</f>
        <v>0</v>
      </c>
      <c r="K26" s="241"/>
      <c r="L26" s="241"/>
      <c r="M26" s="121">
        <f>+K26+'13'!M26+L26</f>
        <v>0</v>
      </c>
    </row>
    <row r="27" spans="1:14" ht="13.5" thickBot="1">
      <c r="A27" s="795"/>
      <c r="B27" s="218"/>
      <c r="C27" s="219"/>
      <c r="D27" s="220"/>
      <c r="E27" s="227"/>
      <c r="F27" s="230"/>
      <c r="G27" s="234"/>
      <c r="H27" s="235" t="s">
        <v>562</v>
      </c>
      <c r="I27" s="793"/>
      <c r="J27" s="217">
        <f>+'13'!J27</f>
        <v>0</v>
      </c>
      <c r="K27" s="241"/>
      <c r="L27" s="241"/>
      <c r="M27" s="121">
        <f>+K27+'13'!M27+L27</f>
        <v>0</v>
      </c>
    </row>
    <row r="28" spans="1:14" ht="13.5" thickBot="1">
      <c r="A28" s="795"/>
      <c r="B28" s="218"/>
      <c r="C28" s="219"/>
      <c r="D28" s="220"/>
      <c r="E28" s="227"/>
      <c r="F28" s="233"/>
      <c r="G28" s="234"/>
      <c r="H28" s="235"/>
      <c r="I28" s="793"/>
      <c r="J28" s="217">
        <f>+'13'!J28</f>
        <v>0</v>
      </c>
      <c r="K28" s="241"/>
      <c r="L28" s="241"/>
      <c r="M28" s="121">
        <f>+K28+'13'!M28+L28</f>
        <v>0</v>
      </c>
    </row>
    <row r="29" spans="1:14" ht="13.5" thickBot="1">
      <c r="A29" s="795"/>
      <c r="B29" s="218"/>
      <c r="C29" s="219"/>
      <c r="D29" s="220"/>
      <c r="E29" s="227"/>
      <c r="F29" s="238"/>
      <c r="G29" s="234"/>
      <c r="H29" s="235"/>
      <c r="I29" s="793"/>
      <c r="J29" s="217">
        <f>+'13'!J29</f>
        <v>0</v>
      </c>
      <c r="K29" s="241"/>
      <c r="L29" s="241"/>
      <c r="M29" s="121">
        <f>+K29+'13'!M29+L29</f>
        <v>0</v>
      </c>
    </row>
    <row r="30" spans="1:14" ht="13.5" thickBot="1">
      <c r="A30" s="795"/>
      <c r="B30" s="218"/>
      <c r="C30" s="228"/>
      <c r="D30" s="220"/>
      <c r="E30" s="227"/>
      <c r="F30" s="238"/>
      <c r="G30" s="234"/>
      <c r="H30" s="235"/>
      <c r="I30" s="793"/>
      <c r="J30" s="217">
        <f>+'13'!J30</f>
        <v>0</v>
      </c>
      <c r="K30" s="241"/>
      <c r="L30" s="241"/>
      <c r="M30" s="121">
        <f>+K30+'13'!M30+L30</f>
        <v>0</v>
      </c>
    </row>
    <row r="31" spans="1:14" ht="13.5" thickBot="1">
      <c r="A31" s="795"/>
      <c r="B31" s="218"/>
      <c r="C31" s="228"/>
      <c r="D31" s="220"/>
      <c r="E31" s="227"/>
      <c r="F31" s="238"/>
      <c r="G31" s="239"/>
      <c r="H31" s="236"/>
      <c r="I31" s="794"/>
      <c r="J31" s="217">
        <f>+'13'!J31</f>
        <v>0</v>
      </c>
      <c r="K31" s="241"/>
      <c r="L31" s="241"/>
      <c r="M31" s="121">
        <f>+K31+'13'!M31+L31</f>
        <v>0</v>
      </c>
    </row>
    <row r="32" spans="1:14" ht="13.5" thickBot="1">
      <c r="A32" s="796"/>
      <c r="B32" s="169" t="s">
        <v>3</v>
      </c>
      <c r="C32" s="103">
        <f>SUM(C25:C31)</f>
        <v>21513</v>
      </c>
      <c r="D32" s="104">
        <f>SUM(D25:D31)</f>
        <v>0</v>
      </c>
      <c r="E32" s="105">
        <f>SUM(E25:E31)</f>
        <v>0</v>
      </c>
      <c r="F32" s="106">
        <f>SUM(F24:F31)</f>
        <v>8</v>
      </c>
      <c r="G32" s="174"/>
      <c r="H32" s="175"/>
      <c r="I32" s="172"/>
      <c r="J32" s="217">
        <f>+'13'!J32</f>
        <v>0</v>
      </c>
      <c r="K32" s="243"/>
      <c r="L32" s="245"/>
      <c r="M32" s="121">
        <f>+K32+'13'!M32+L32</f>
        <v>0</v>
      </c>
      <c r="N32" s="159"/>
    </row>
    <row r="33" spans="1:14" ht="13.5" thickBot="1">
      <c r="A33" s="176"/>
      <c r="B33" s="177"/>
      <c r="C33" s="107">
        <f>C32/($C$32+$D$32+$E$32)</f>
        <v>1</v>
      </c>
      <c r="D33" s="108">
        <f>D32/($C$32+$D$32+$E$32)</f>
        <v>0</v>
      </c>
      <c r="E33" s="109">
        <f>E32/($C$32+$D$32+$E$32)</f>
        <v>0</v>
      </c>
      <c r="F33" s="110"/>
      <c r="G33" s="178"/>
      <c r="H33" s="179"/>
      <c r="I33" s="180"/>
      <c r="J33" s="125"/>
      <c r="K33" s="126"/>
      <c r="L33" s="216"/>
      <c r="M33" s="123"/>
    </row>
    <row r="34" spans="1:14" ht="13.5" thickBot="1">
      <c r="A34" s="797" t="s">
        <v>60</v>
      </c>
      <c r="B34" s="798"/>
      <c r="C34" s="111">
        <f>C14+C23+C32</f>
        <v>66549</v>
      </c>
      <c r="D34" s="111">
        <f>D14+D23+D32</f>
        <v>230</v>
      </c>
      <c r="E34" s="111">
        <f>E14+E23+E32</f>
        <v>0</v>
      </c>
      <c r="F34" s="112">
        <f>F14+F23+F32</f>
        <v>31</v>
      </c>
      <c r="H34" s="181"/>
      <c r="I34" s="181"/>
      <c r="J34" s="127" t="s">
        <v>29</v>
      </c>
      <c r="K34" s="128">
        <f>SUM(K7:K32)</f>
        <v>66549</v>
      </c>
      <c r="L34" s="215">
        <f>SUM(L7:L32)</f>
        <v>0</v>
      </c>
      <c r="M34" s="124">
        <f>SUM(M7:M32)</f>
        <v>658574</v>
      </c>
    </row>
    <row r="35" spans="1:14" ht="13.5" thickBot="1">
      <c r="A35" s="182"/>
      <c r="B35" s="183"/>
      <c r="C35" s="108">
        <f>C34/($C$34+$D$34+$E$34)</f>
        <v>0.99655580347115114</v>
      </c>
      <c r="D35" s="108">
        <f>D34/($C$34+$D$34+$E$34)</f>
        <v>3.4441965288488897E-3</v>
      </c>
      <c r="E35" s="113">
        <f>E34/($C$34+$D$34+$E$34)</f>
        <v>0</v>
      </c>
      <c r="K35" s="159"/>
      <c r="L35" s="788" t="s">
        <v>186</v>
      </c>
      <c r="M35" s="788"/>
    </row>
    <row r="36" spans="1:14" ht="13.5" thickBot="1">
      <c r="A36" s="181"/>
      <c r="B36" s="181"/>
      <c r="C36" s="159"/>
      <c r="D36" s="159"/>
      <c r="E36" s="159"/>
      <c r="G36" s="159"/>
      <c r="H36" s="184"/>
      <c r="I36" s="166" t="s">
        <v>42</v>
      </c>
      <c r="J36" s="166" t="s">
        <v>43</v>
      </c>
      <c r="K36" s="185"/>
      <c r="L36" s="166" t="s">
        <v>42</v>
      </c>
      <c r="M36" s="166" t="s">
        <v>43</v>
      </c>
      <c r="N36" s="159"/>
    </row>
    <row r="37" spans="1:14" ht="17.45" customHeight="1" thickBot="1">
      <c r="A37" s="801" t="s">
        <v>61</v>
      </c>
      <c r="B37" s="802"/>
      <c r="C37" s="166" t="s">
        <v>62</v>
      </c>
      <c r="D37" s="186" t="s">
        <v>63</v>
      </c>
      <c r="E37" s="187" t="s">
        <v>64</v>
      </c>
      <c r="F37" s="372"/>
      <c r="G37" s="374"/>
      <c r="H37" s="189" t="s">
        <v>65</v>
      </c>
      <c r="I37" s="246">
        <f>(20*1440)/1440*G42*3.4*1440/1000000</f>
        <v>73.146240000000006</v>
      </c>
      <c r="J37" s="129">
        <f>+I37+'13'!J37</f>
        <v>763.98555399540021</v>
      </c>
      <c r="K37" s="130" t="s">
        <v>66</v>
      </c>
      <c r="L37" s="437"/>
      <c r="M37" s="438"/>
      <c r="N37" s="567"/>
    </row>
    <row r="38" spans="1:14" ht="17.45" customHeight="1">
      <c r="A38" s="803" t="s">
        <v>13</v>
      </c>
      <c r="B38" s="804"/>
      <c r="C38" s="168">
        <f>SUMIF($G$7:$G$31,"Process",$F$7:$F$31)</f>
        <v>31</v>
      </c>
      <c r="D38" s="122">
        <f>+C38+'13'!D38</f>
        <v>718</v>
      </c>
      <c r="E38" s="147">
        <f t="shared" ref="E38:E51" si="0">D38/60</f>
        <v>11.966666666666667</v>
      </c>
      <c r="F38" s="372">
        <v>830</v>
      </c>
      <c r="G38" s="372">
        <f>+F38-F38*0.1</f>
        <v>747</v>
      </c>
      <c r="H38" s="190" t="s">
        <v>67</v>
      </c>
      <c r="I38" s="559">
        <f>21.619+23.069+22.45</f>
        <v>67.138000000000005</v>
      </c>
      <c r="J38" s="131">
        <f>+I38+'13'!J38</f>
        <v>690.58699999999999</v>
      </c>
      <c r="K38" s="132" t="s">
        <v>66</v>
      </c>
      <c r="L38" s="439"/>
      <c r="M38" s="440"/>
      <c r="N38" s="567"/>
    </row>
    <row r="39" spans="1:14" ht="17.45" customHeight="1">
      <c r="A39" s="799" t="s">
        <v>14</v>
      </c>
      <c r="B39" s="800"/>
      <c r="C39" s="168">
        <f>SUMIF($G$7:$G$31,"Cleaning",$F$7:$F$31)</f>
        <v>0</v>
      </c>
      <c r="D39" s="122">
        <f>+C39+'13'!D39</f>
        <v>0</v>
      </c>
      <c r="E39" s="147">
        <f t="shared" si="0"/>
        <v>0</v>
      </c>
      <c r="F39" s="372">
        <v>830</v>
      </c>
      <c r="G39" s="372">
        <f>+F39-F39*0.1</f>
        <v>747</v>
      </c>
      <c r="H39" s="190" t="s">
        <v>68</v>
      </c>
      <c r="I39" s="146"/>
      <c r="J39" s="133">
        <f>J37/G4</f>
        <v>54.570396713957159</v>
      </c>
      <c r="K39" s="134" t="s">
        <v>66</v>
      </c>
      <c r="L39" s="439"/>
      <c r="M39" s="440"/>
    </row>
    <row r="40" spans="1:14" ht="17.45" customHeight="1">
      <c r="A40" s="799" t="s">
        <v>69</v>
      </c>
      <c r="B40" s="800"/>
      <c r="C40" s="168">
        <f>SUMIF($G$7:$G$31,"Mechanical",$F$7:$F$31)</f>
        <v>0</v>
      </c>
      <c r="D40" s="122">
        <f>+C40+'13'!D40</f>
        <v>700</v>
      </c>
      <c r="E40" s="147">
        <f t="shared" si="0"/>
        <v>11.666666666666666</v>
      </c>
      <c r="F40" s="372">
        <v>830</v>
      </c>
      <c r="G40" s="372">
        <f>+F40-F40*0.1</f>
        <v>747</v>
      </c>
      <c r="H40" s="190" t="s">
        <v>70</v>
      </c>
      <c r="I40" s="122">
        <f>(K34+L34)/1000</f>
        <v>66.549000000000007</v>
      </c>
      <c r="J40" s="135">
        <f>+I40+'13'!J40</f>
        <v>658.57399999999996</v>
      </c>
      <c r="K40" s="134" t="s">
        <v>66</v>
      </c>
      <c r="L40" s="439"/>
      <c r="M40" s="440"/>
    </row>
    <row r="41" spans="1:14" ht="17.45" customHeight="1">
      <c r="A41" s="799" t="s">
        <v>71</v>
      </c>
      <c r="B41" s="800"/>
      <c r="C41" s="168">
        <f>SUMIF($G$7:$G$31,"Electrical",$F$7:$F$31)</f>
        <v>0</v>
      </c>
      <c r="D41" s="122">
        <f>+C41+'13'!D41</f>
        <v>315</v>
      </c>
      <c r="E41" s="147">
        <f t="shared" si="0"/>
        <v>5.25</v>
      </c>
      <c r="F41" s="372"/>
      <c r="G41" s="372"/>
      <c r="H41" s="190" t="s">
        <v>72</v>
      </c>
      <c r="I41" s="146"/>
      <c r="J41" s="133">
        <f>J40/G4</f>
        <v>47.040999999999997</v>
      </c>
      <c r="K41" s="134" t="s">
        <v>66</v>
      </c>
      <c r="L41" s="439"/>
      <c r="M41" s="440"/>
    </row>
    <row r="42" spans="1:14" ht="17.45" customHeight="1">
      <c r="A42" s="799" t="s">
        <v>17</v>
      </c>
      <c r="B42" s="800"/>
      <c r="C42" s="168">
        <f>SUMIF($G$7:$G$31,"Instrument",$F$7:$F$31)</f>
        <v>0</v>
      </c>
      <c r="D42" s="122">
        <f>+C42+'13'!D42</f>
        <v>0</v>
      </c>
      <c r="E42" s="147">
        <f t="shared" si="0"/>
        <v>0</v>
      </c>
      <c r="F42" s="372">
        <f>+(F38*480+F39*480+F40*480)/1440</f>
        <v>830</v>
      </c>
      <c r="G42" s="372">
        <f>+(G38*480+G39*480+G40*480)/1440</f>
        <v>747</v>
      </c>
      <c r="H42" s="190" t="s">
        <v>73</v>
      </c>
      <c r="I42" s="248" t="s">
        <v>564</v>
      </c>
      <c r="J42" s="136"/>
      <c r="K42" s="134" t="s">
        <v>74</v>
      </c>
      <c r="L42" s="439"/>
      <c r="M42" s="440"/>
    </row>
    <row r="43" spans="1:14" ht="17.45" customHeight="1">
      <c r="A43" s="799" t="s">
        <v>201</v>
      </c>
      <c r="B43" s="800"/>
      <c r="C43" s="168">
        <f>SUMIF($G$7:$G$31,"Change GRade",$F$7:$F$31)</f>
        <v>0</v>
      </c>
      <c r="D43" s="122">
        <f>+C43+'13'!D43</f>
        <v>0</v>
      </c>
      <c r="E43" s="147">
        <f t="shared" si="0"/>
        <v>0</v>
      </c>
      <c r="F43" s="372"/>
      <c r="G43" s="373"/>
      <c r="H43" s="191" t="s">
        <v>76</v>
      </c>
      <c r="I43" s="122">
        <f>+Report1!AH22</f>
        <v>132.52100000000002</v>
      </c>
      <c r="J43" s="137">
        <f>+I43+'13'!J43</f>
        <v>1567.8619999999999</v>
      </c>
      <c r="K43" s="134" t="s">
        <v>66</v>
      </c>
      <c r="L43" s="441">
        <f>+Report1!AN22</f>
        <v>11.3</v>
      </c>
      <c r="M43" s="442">
        <f>+L43+'13'!M43</f>
        <v>144.60000000000002</v>
      </c>
    </row>
    <row r="44" spans="1:14" ht="17.45" customHeight="1">
      <c r="A44" s="799" t="s">
        <v>18</v>
      </c>
      <c r="B44" s="800"/>
      <c r="C44" s="168">
        <f>SUMIF($G$7:$G$31,"PLN",$F$7:$F$31)</f>
        <v>0</v>
      </c>
      <c r="D44" s="122">
        <f>+C44+'13'!D44</f>
        <v>105</v>
      </c>
      <c r="E44" s="147">
        <f t="shared" si="0"/>
        <v>1.75</v>
      </c>
      <c r="F44" s="372"/>
      <c r="G44" s="373"/>
      <c r="H44" s="191" t="s">
        <v>77</v>
      </c>
      <c r="I44" s="122">
        <f>I43/I38</f>
        <v>1.9738598111352736</v>
      </c>
      <c r="J44" s="138">
        <f>J43/J38</f>
        <v>2.2703323404581899</v>
      </c>
      <c r="K44" s="134" t="s">
        <v>66</v>
      </c>
      <c r="L44" s="443">
        <f>+L43/I38</f>
        <v>0.16831004796091631</v>
      </c>
      <c r="M44" s="444">
        <f>+M43/J38</f>
        <v>0.20938708663788924</v>
      </c>
    </row>
    <row r="45" spans="1:14" ht="17.45" customHeight="1">
      <c r="A45" s="799" t="s">
        <v>19</v>
      </c>
      <c r="B45" s="800"/>
      <c r="C45" s="168">
        <f>SUMIF($G$7:$G$31,"Boiler",$F$7:$F$31)</f>
        <v>0</v>
      </c>
      <c r="D45" s="122">
        <f>+C45+'13'!D45</f>
        <v>0</v>
      </c>
      <c r="E45" s="147">
        <f t="shared" si="0"/>
        <v>0</v>
      </c>
      <c r="F45" s="372"/>
      <c r="G45" s="375"/>
      <c r="H45" s="191" t="s">
        <v>78</v>
      </c>
      <c r="I45" s="122">
        <f>I43/I40</f>
        <v>1.9913296969150551</v>
      </c>
      <c r="J45" s="138">
        <f>J43/J40</f>
        <v>2.3806922228937069</v>
      </c>
      <c r="K45" s="134" t="s">
        <v>66</v>
      </c>
      <c r="L45" s="443">
        <f>+L43/I40</f>
        <v>0.16979969646425941</v>
      </c>
      <c r="M45" s="444">
        <f>+M43/J40</f>
        <v>0.21956530321573586</v>
      </c>
    </row>
    <row r="46" spans="1:14" ht="17.45" customHeight="1">
      <c r="A46" s="799" t="s">
        <v>79</v>
      </c>
      <c r="B46" s="800"/>
      <c r="C46" s="168">
        <f>SUMIF($G$7:$G$31,"Gas",$F$7:$F$31)</f>
        <v>0</v>
      </c>
      <c r="D46" s="122">
        <f>+C46+'13'!D46</f>
        <v>0</v>
      </c>
      <c r="E46" s="147">
        <f t="shared" si="0"/>
        <v>0</v>
      </c>
      <c r="F46" s="372"/>
      <c r="G46" s="373"/>
      <c r="H46" s="191" t="s">
        <v>80</v>
      </c>
      <c r="I46" s="144">
        <f>+SUMIF(Listrik!AC21,"&gt;0")</f>
        <v>37906.030000000115</v>
      </c>
      <c r="J46" s="139">
        <f>+I46+'13'!J46</f>
        <v>448473.14000000153</v>
      </c>
      <c r="K46" s="134" t="s">
        <v>81</v>
      </c>
      <c r="L46" s="443">
        <f>+Listrik!AF21</f>
        <v>6473</v>
      </c>
      <c r="M46" s="445">
        <f>+L46+'13'!M46</f>
        <v>90076</v>
      </c>
    </row>
    <row r="47" spans="1:14" ht="17.45" customHeight="1">
      <c r="A47" s="799" t="s">
        <v>82</v>
      </c>
      <c r="B47" s="800"/>
      <c r="C47" s="168">
        <f>SUMIF($G$7:$G$31,"Gas",$F$7:$F$31)</f>
        <v>0</v>
      </c>
      <c r="D47" s="122">
        <f>+C47+'13'!D47</f>
        <v>0</v>
      </c>
      <c r="E47" s="147">
        <f t="shared" si="0"/>
        <v>0</v>
      </c>
      <c r="F47" s="372"/>
      <c r="G47" s="373"/>
      <c r="H47" s="191" t="s">
        <v>83</v>
      </c>
      <c r="I47" s="122">
        <f>I46/I38</f>
        <v>564.5987369299072</v>
      </c>
      <c r="J47" s="139">
        <f>J46/J38</f>
        <v>649.40860456394569</v>
      </c>
      <c r="K47" s="134" t="s">
        <v>25</v>
      </c>
      <c r="L47" s="443">
        <f>+L46/I38</f>
        <v>96.413357562036396</v>
      </c>
      <c r="M47" s="444">
        <f>+M46/J38</f>
        <v>130.43396414933963</v>
      </c>
    </row>
    <row r="48" spans="1:14" ht="17.45" customHeight="1">
      <c r="A48" s="799" t="s">
        <v>15</v>
      </c>
      <c r="B48" s="800"/>
      <c r="C48" s="168">
        <f>SUMIF($G$7:$G$31,"Start Up",$F$7:$F$31)</f>
        <v>0</v>
      </c>
      <c r="D48" s="122">
        <f>+C48+'13'!D48</f>
        <v>0</v>
      </c>
      <c r="E48" s="147">
        <f t="shared" si="0"/>
        <v>0</v>
      </c>
      <c r="F48" s="372"/>
      <c r="G48" s="373"/>
      <c r="H48" s="191" t="s">
        <v>84</v>
      </c>
      <c r="I48" s="122">
        <f>I46/I40</f>
        <v>569.59578656328586</v>
      </c>
      <c r="J48" s="139">
        <f>J46/J40</f>
        <v>680.97607861835047</v>
      </c>
      <c r="K48" s="134" t="s">
        <v>25</v>
      </c>
      <c r="L48" s="443">
        <f>+L46/I38</f>
        <v>96.413357562036396</v>
      </c>
      <c r="M48" s="444">
        <f>+M46/J40</f>
        <v>136.77430326736251</v>
      </c>
    </row>
    <row r="49" spans="1:13" ht="17.45" customHeight="1">
      <c r="A49" s="799" t="s">
        <v>21</v>
      </c>
      <c r="B49" s="800"/>
      <c r="C49" s="168">
        <f>SUMIF($G$7:$G$31,"Others",$F$7:$F$31)</f>
        <v>0</v>
      </c>
      <c r="D49" s="122">
        <f>+C49+'13'!D49</f>
        <v>1440</v>
      </c>
      <c r="E49" s="147">
        <f t="shared" si="0"/>
        <v>24</v>
      </c>
      <c r="F49" s="188"/>
      <c r="H49" s="191" t="s">
        <v>85</v>
      </c>
      <c r="I49" s="122">
        <f>+Report1!AB22</f>
        <v>0</v>
      </c>
      <c r="J49" s="139">
        <f>+I49+'13'!J49</f>
        <v>0</v>
      </c>
      <c r="K49" s="134" t="s">
        <v>86</v>
      </c>
      <c r="L49" s="439"/>
      <c r="M49" s="440"/>
    </row>
    <row r="50" spans="1:13" ht="17.45" customHeight="1">
      <c r="A50" s="799" t="s">
        <v>20</v>
      </c>
      <c r="B50" s="800"/>
      <c r="C50" s="168">
        <f>SUMIF($G$7:$G$31,"Steam",$F$7:$F$31)</f>
        <v>0</v>
      </c>
      <c r="D50" s="122">
        <f>+C50+'13'!D50</f>
        <v>0</v>
      </c>
      <c r="E50" s="147">
        <f t="shared" si="0"/>
        <v>0</v>
      </c>
      <c r="F50" s="188"/>
      <c r="H50" s="191" t="s">
        <v>87</v>
      </c>
      <c r="I50" s="144">
        <f>I49/I38</f>
        <v>0</v>
      </c>
      <c r="J50" s="137">
        <f>J49/J38</f>
        <v>0</v>
      </c>
      <c r="K50" s="134" t="s">
        <v>86</v>
      </c>
      <c r="L50" s="439"/>
      <c r="M50" s="440"/>
    </row>
    <row r="51" spans="1:13" ht="17.45" customHeight="1" thickBot="1">
      <c r="A51" s="805" t="s">
        <v>88</v>
      </c>
      <c r="B51" s="806"/>
      <c r="C51" s="168">
        <f>SUMIF($G$7:$G$31,"Planned shut",$F$7:$F$31)</f>
        <v>0</v>
      </c>
      <c r="D51" s="122">
        <f>+C51+'13'!D51</f>
        <v>0</v>
      </c>
      <c r="E51" s="147">
        <f t="shared" si="0"/>
        <v>0</v>
      </c>
      <c r="F51" s="188"/>
      <c r="H51" s="193" t="s">
        <v>89</v>
      </c>
      <c r="I51" s="145">
        <f>I49/I40</f>
        <v>0</v>
      </c>
      <c r="J51" s="140">
        <f>J49/J40</f>
        <v>0</v>
      </c>
      <c r="K51" s="141" t="s">
        <v>86</v>
      </c>
      <c r="L51" s="439"/>
      <c r="M51" s="440"/>
    </row>
    <row r="52" spans="1:13" ht="13.5" thickBot="1">
      <c r="A52" s="803" t="s">
        <v>29</v>
      </c>
      <c r="B52" s="804"/>
      <c r="C52" s="148">
        <f>SUM(C38:C51)</f>
        <v>31</v>
      </c>
      <c r="D52" s="148">
        <f>SUM(D38:D51)</f>
        <v>3278</v>
      </c>
      <c r="E52" s="149">
        <f>SUM(E38:E51)</f>
        <v>54.633333333333333</v>
      </c>
      <c r="F52" s="188"/>
      <c r="H52" s="194"/>
      <c r="I52" s="195"/>
      <c r="J52" s="142"/>
      <c r="K52" s="143"/>
      <c r="L52" s="446"/>
      <c r="M52" s="447"/>
    </row>
    <row r="53" spans="1:13" ht="13.5" thickBot="1">
      <c r="A53" s="807"/>
      <c r="B53" s="808"/>
      <c r="C53" s="150">
        <f>C52/(24*60)</f>
        <v>2.1527777777777778E-2</v>
      </c>
      <c r="D53" s="150">
        <f>D52/(24*60*G4)</f>
        <v>0.16259920634920635</v>
      </c>
      <c r="E53" s="151">
        <f>E52/(G4*24)</f>
        <v>0.16259920634920635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90</v>
      </c>
      <c r="B56" s="198"/>
      <c r="C56" s="199"/>
      <c r="D56" s="199"/>
      <c r="E56" s="199"/>
      <c r="F56" s="200"/>
      <c r="G56" s="199"/>
      <c r="H56" s="201"/>
      <c r="I56" s="202" t="s">
        <v>91</v>
      </c>
      <c r="J56" s="203">
        <f>+D34+'13'!J56</f>
        <v>13045</v>
      </c>
      <c r="K56" s="204">
        <f>J56/(J40+J56/1000)/1000</f>
        <v>1.9423214649972681E-2</v>
      </c>
    </row>
    <row r="57" spans="1:13">
      <c r="A57" s="179"/>
      <c r="I57" s="202" t="s">
        <v>92</v>
      </c>
      <c r="J57" s="203">
        <f>+E34+'13'!J57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  <c r="J58" s="153">
        <v>325</v>
      </c>
    </row>
    <row r="59" spans="1:13">
      <c r="A59" s="208"/>
      <c r="B59" s="179"/>
      <c r="C59" s="179"/>
      <c r="D59" s="179"/>
      <c r="E59" s="179"/>
      <c r="F59" s="192"/>
      <c r="G59" s="179"/>
      <c r="H59" s="207"/>
      <c r="J59" s="159">
        <f>+J56+J58</f>
        <v>13370</v>
      </c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7:A14"/>
    <mergeCell ref="I7:I13"/>
    <mergeCell ref="A15:A23"/>
    <mergeCell ref="I15:I22"/>
    <mergeCell ref="A34:B34"/>
    <mergeCell ref="A37:B37"/>
    <mergeCell ref="I24:I31"/>
    <mergeCell ref="A24:A32"/>
    <mergeCell ref="A38:B38"/>
    <mergeCell ref="A39:B39"/>
    <mergeCell ref="A40:B40"/>
    <mergeCell ref="A41:B41"/>
    <mergeCell ref="A44:B44"/>
    <mergeCell ref="A45:B45"/>
    <mergeCell ref="A42:B42"/>
    <mergeCell ref="A43:B43"/>
    <mergeCell ref="A46:B46"/>
    <mergeCell ref="A47:B47"/>
    <mergeCell ref="A52:B52"/>
    <mergeCell ref="A53:B53"/>
    <mergeCell ref="A48:B48"/>
    <mergeCell ref="A49:B49"/>
    <mergeCell ref="A50:B50"/>
    <mergeCell ref="A51:B51"/>
  </mergeCells>
  <phoneticPr fontId="31" type="noConversion"/>
  <printOptions horizontalCentered="1"/>
  <pageMargins left="0.17" right="0.16" top="0.17" bottom="0.16" header="0" footer="0"/>
  <pageSetup paperSize="9" scale="62" firstPageNumber="4294963191" fitToWidth="20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O61"/>
  <sheetViews>
    <sheetView view="pageBreakPreview" zoomScale="85" zoomScaleNormal="70" zoomScaleSheetLayoutView="85" workbookViewId="0">
      <selection activeCell="D8" sqref="D8"/>
    </sheetView>
  </sheetViews>
  <sheetFormatPr defaultColWidth="9.140625" defaultRowHeight="12.75"/>
  <cols>
    <col min="1" max="1" width="8" style="153" customWidth="1"/>
    <col min="2" max="2" width="7" style="153" bestFit="1" customWidth="1"/>
    <col min="3" max="3" width="14.85546875" style="153" bestFit="1" customWidth="1"/>
    <col min="4" max="4" width="12.5703125" style="153" bestFit="1" customWidth="1"/>
    <col min="5" max="5" width="13.85546875" style="153" bestFit="1" customWidth="1"/>
    <col min="6" max="6" width="12.140625" style="114" bestFit="1" customWidth="1"/>
    <col min="7" max="7" width="11.42578125" style="153" bestFit="1" customWidth="1"/>
    <col min="8" max="8" width="64.85546875" style="153" customWidth="1"/>
    <col min="9" max="9" width="14.7109375" style="153" bestFit="1" customWidth="1"/>
    <col min="10" max="10" width="19.7109375" style="153" bestFit="1" customWidth="1"/>
    <col min="11" max="11" width="12.5703125" style="153" bestFit="1" customWidth="1"/>
    <col min="12" max="12" width="8.28515625" style="153" customWidth="1"/>
    <col min="13" max="13" width="12.140625" style="153" customWidth="1"/>
    <col min="14" max="16384" width="9.140625" style="153"/>
  </cols>
  <sheetData>
    <row r="1" spans="1:15" ht="15.75">
      <c r="A1" s="152"/>
    </row>
    <row r="2" spans="1:15" ht="15.75">
      <c r="A2" s="152" t="s">
        <v>175</v>
      </c>
    </row>
    <row r="3" spans="1:15" ht="15">
      <c r="A3" s="154"/>
    </row>
    <row r="4" spans="1:15" ht="20.25">
      <c r="A4" s="155" t="s">
        <v>4</v>
      </c>
      <c r="B4" s="156"/>
      <c r="F4" s="157" t="s">
        <v>31</v>
      </c>
      <c r="G4" s="158">
        <v>13</v>
      </c>
      <c r="H4" s="158" t="str">
        <f>+'1'!H4</f>
        <v>.12.25</v>
      </c>
    </row>
    <row r="5" spans="1:15" ht="13.5" thickBot="1">
      <c r="C5" s="159"/>
      <c r="D5" s="159"/>
    </row>
    <row r="6" spans="1:15" ht="26.25" thickBot="1">
      <c r="A6" s="160" t="s">
        <v>50</v>
      </c>
      <c r="B6" s="161" t="s">
        <v>10</v>
      </c>
      <c r="C6" s="161" t="s">
        <v>51</v>
      </c>
      <c r="D6" s="161" t="s">
        <v>52</v>
      </c>
      <c r="E6" s="162" t="s">
        <v>53</v>
      </c>
      <c r="F6" s="106" t="s">
        <v>54</v>
      </c>
      <c r="G6" s="161" t="s">
        <v>55</v>
      </c>
      <c r="H6" s="163" t="s">
        <v>56</v>
      </c>
      <c r="I6" s="164" t="s">
        <v>57</v>
      </c>
      <c r="J6" s="165" t="s">
        <v>10</v>
      </c>
      <c r="K6" s="166" t="s">
        <v>58</v>
      </c>
      <c r="L6" s="213" t="s">
        <v>143</v>
      </c>
      <c r="M6" s="167" t="s">
        <v>59</v>
      </c>
      <c r="N6" s="153">
        <f>337+329+348</f>
        <v>1014</v>
      </c>
    </row>
    <row r="7" spans="1:15" ht="13.5" customHeight="1" thickBot="1">
      <c r="A7" s="789" t="s">
        <v>486</v>
      </c>
      <c r="B7" s="218" t="s">
        <v>536</v>
      </c>
      <c r="C7" s="219">
        <v>18892</v>
      </c>
      <c r="D7" s="220">
        <v>442</v>
      </c>
      <c r="E7" s="221"/>
      <c r="F7" s="230">
        <v>4</v>
      </c>
      <c r="G7" s="231" t="s">
        <v>13</v>
      </c>
      <c r="H7" s="232" t="s">
        <v>392</v>
      </c>
      <c r="I7" s="792" t="s">
        <v>564</v>
      </c>
      <c r="J7" s="217" t="str">
        <f>+'12'!J7</f>
        <v>TW 38 RC BR</v>
      </c>
      <c r="K7" s="240"/>
      <c r="L7" s="244"/>
      <c r="M7" s="121">
        <f>+K7+'12'!M7+L7</f>
        <v>78513</v>
      </c>
    </row>
    <row r="8" spans="1:15" ht="13.5" thickBot="1">
      <c r="A8" s="790"/>
      <c r="B8" s="218"/>
      <c r="C8" s="219"/>
      <c r="D8" s="220"/>
      <c r="E8" s="222"/>
      <c r="F8" s="233">
        <v>5</v>
      </c>
      <c r="G8" s="234" t="s">
        <v>13</v>
      </c>
      <c r="H8" s="232" t="s">
        <v>393</v>
      </c>
      <c r="I8" s="793"/>
      <c r="J8" s="217" t="str">
        <f>+'12'!J8</f>
        <v>TW 36 RC BR</v>
      </c>
      <c r="K8" s="241"/>
      <c r="L8" s="241"/>
      <c r="M8" s="121">
        <f>+K8+'12'!M8+L8</f>
        <v>1530</v>
      </c>
      <c r="N8" s="153">
        <v>830</v>
      </c>
      <c r="O8" s="153">
        <f>+N8-N8*0.1</f>
        <v>747</v>
      </c>
    </row>
    <row r="9" spans="1:15" ht="13.5" thickBot="1">
      <c r="A9" s="790"/>
      <c r="B9" s="218"/>
      <c r="C9" s="219"/>
      <c r="D9" s="220"/>
      <c r="E9" s="223"/>
      <c r="F9" s="230">
        <v>7</v>
      </c>
      <c r="G9" s="234" t="s">
        <v>13</v>
      </c>
      <c r="H9" s="235" t="s">
        <v>226</v>
      </c>
      <c r="I9" s="793"/>
      <c r="J9" s="217" t="str">
        <f>+'12'!J9</f>
        <v>N 20 RC BR</v>
      </c>
      <c r="K9" s="241"/>
      <c r="L9" s="241"/>
      <c r="M9" s="121">
        <f>+K9+'12'!M9+L9</f>
        <v>74204</v>
      </c>
    </row>
    <row r="10" spans="1:15" ht="13.5" thickBot="1">
      <c r="A10" s="790"/>
      <c r="B10" s="218"/>
      <c r="C10" s="219"/>
      <c r="D10" s="220"/>
      <c r="E10" s="222"/>
      <c r="F10" s="230"/>
      <c r="G10" s="234"/>
      <c r="H10" s="235" t="s">
        <v>562</v>
      </c>
      <c r="I10" s="793"/>
      <c r="J10" s="217" t="str">
        <f>+'12'!J10</f>
        <v>TW 17 RC HW</v>
      </c>
      <c r="K10" s="241"/>
      <c r="L10" s="241"/>
      <c r="M10" s="121">
        <f>+K10+'12'!M10+L10</f>
        <v>39984</v>
      </c>
    </row>
    <row r="11" spans="1:15" ht="26.25" thickBot="1">
      <c r="A11" s="790"/>
      <c r="B11" s="218"/>
      <c r="C11" s="219"/>
      <c r="D11" s="220"/>
      <c r="E11" s="222" t="s">
        <v>561</v>
      </c>
      <c r="F11" s="230">
        <v>30</v>
      </c>
      <c r="G11" s="234" t="s">
        <v>71</v>
      </c>
      <c r="H11" s="235" t="s">
        <v>560</v>
      </c>
      <c r="I11" s="793"/>
      <c r="J11" s="217" t="str">
        <f>+'12'!J11</f>
        <v>N 15,5 RC HW</v>
      </c>
      <c r="K11" s="241"/>
      <c r="L11" s="241"/>
      <c r="M11" s="121">
        <f>+K11+'12'!M11+L11</f>
        <v>149213</v>
      </c>
    </row>
    <row r="12" spans="1:15" ht="13.5" thickBot="1">
      <c r="A12" s="790"/>
      <c r="B12" s="218"/>
      <c r="C12" s="219"/>
      <c r="D12" s="220"/>
      <c r="E12" s="222"/>
      <c r="F12" s="230"/>
      <c r="G12" s="234"/>
      <c r="H12" s="235"/>
      <c r="I12" s="793"/>
      <c r="J12" s="217" t="str">
        <f>+'12'!J12</f>
        <v>N 17 RC HW</v>
      </c>
      <c r="K12" s="241"/>
      <c r="L12" s="241"/>
      <c r="M12" s="121">
        <f>+K12+'12'!M12+L12</f>
        <v>6572</v>
      </c>
    </row>
    <row r="13" spans="1:15" ht="13.5" thickBot="1">
      <c r="A13" s="790"/>
      <c r="B13" s="218"/>
      <c r="C13" s="219"/>
      <c r="D13" s="219"/>
      <c r="E13" s="222"/>
      <c r="F13" s="230"/>
      <c r="G13" s="234"/>
      <c r="H13" s="235"/>
      <c r="I13" s="794"/>
      <c r="J13" s="217" t="str">
        <f>+'12'!J13</f>
        <v>N 16,5 RC HW</v>
      </c>
      <c r="K13" s="241"/>
      <c r="L13" s="241"/>
      <c r="M13" s="121">
        <f>+K13+'12'!M13+L13</f>
        <v>18880</v>
      </c>
    </row>
    <row r="14" spans="1:15" ht="13.5" thickBot="1">
      <c r="A14" s="791"/>
      <c r="B14" s="169" t="s">
        <v>3</v>
      </c>
      <c r="C14" s="103">
        <f>SUM(C7:C13)</f>
        <v>18892</v>
      </c>
      <c r="D14" s="115">
        <f>SUM(D7:D13)</f>
        <v>442</v>
      </c>
      <c r="E14" s="116">
        <f>SUM(E5:E13)</f>
        <v>0</v>
      </c>
      <c r="F14" s="106">
        <f>SUM(F6:F13)</f>
        <v>46</v>
      </c>
      <c r="G14" s="163"/>
      <c r="H14" s="170"/>
      <c r="I14" s="171"/>
      <c r="J14" s="217" t="str">
        <f>+'12'!J14</f>
        <v>N 20 RC HW</v>
      </c>
      <c r="K14" s="241">
        <f>+C34</f>
        <v>57132</v>
      </c>
      <c r="L14" s="241"/>
      <c r="M14" s="121">
        <f>+K14+'12'!M14+L14</f>
        <v>223129</v>
      </c>
    </row>
    <row r="15" spans="1:15" ht="13.5" customHeight="1" thickBot="1">
      <c r="A15" s="789" t="s">
        <v>556</v>
      </c>
      <c r="B15" s="169"/>
      <c r="C15" s="117">
        <f>C14/($C$23+$D$23+$E$23)</f>
        <v>1.0357456140350878</v>
      </c>
      <c r="D15" s="118">
        <f>D14/($C$23+$D$23+$E$23)</f>
        <v>2.4232456140350876E-2</v>
      </c>
      <c r="E15" s="119">
        <f>E14/($C$23+$D$23+$E$23)</f>
        <v>0</v>
      </c>
      <c r="F15" s="230"/>
      <c r="G15" s="231" t="s">
        <v>13</v>
      </c>
      <c r="H15" s="232" t="s">
        <v>395</v>
      </c>
      <c r="I15" s="792" t="s">
        <v>564</v>
      </c>
      <c r="J15" s="217">
        <f>+'12'!J15</f>
        <v>0</v>
      </c>
      <c r="K15" s="241"/>
      <c r="L15" s="241"/>
      <c r="M15" s="121">
        <f>+K15+'12'!M15+L15</f>
        <v>0</v>
      </c>
    </row>
    <row r="16" spans="1:15" ht="13.5" thickBot="1">
      <c r="A16" s="795"/>
      <c r="B16" s="218" t="s">
        <v>536</v>
      </c>
      <c r="C16" s="224">
        <v>18240</v>
      </c>
      <c r="D16" s="225"/>
      <c r="E16" s="226"/>
      <c r="F16" s="233">
        <v>5</v>
      </c>
      <c r="G16" s="234" t="s">
        <v>13</v>
      </c>
      <c r="H16" s="232" t="s">
        <v>393</v>
      </c>
      <c r="I16" s="793"/>
      <c r="J16" s="217">
        <f>+'12'!J16</f>
        <v>0</v>
      </c>
      <c r="K16" s="241"/>
      <c r="L16" s="231"/>
      <c r="M16" s="121">
        <f>+K16+'12'!M16+L16</f>
        <v>0</v>
      </c>
    </row>
    <row r="17" spans="1:14" ht="13.5" thickBot="1">
      <c r="A17" s="795"/>
      <c r="B17" s="218"/>
      <c r="C17" s="219"/>
      <c r="D17" s="220"/>
      <c r="E17" s="227"/>
      <c r="F17" s="230">
        <v>5</v>
      </c>
      <c r="G17" s="234" t="s">
        <v>13</v>
      </c>
      <c r="H17" s="235" t="s">
        <v>226</v>
      </c>
      <c r="I17" s="793"/>
      <c r="J17" s="217">
        <f>+'12'!J17</f>
        <v>0</v>
      </c>
      <c r="K17" s="241"/>
      <c r="L17" s="231"/>
      <c r="M17" s="121">
        <f>+K17+'12'!M17+L17</f>
        <v>0</v>
      </c>
    </row>
    <row r="18" spans="1:14" ht="13.5" thickBot="1">
      <c r="A18" s="795"/>
      <c r="B18" s="218"/>
      <c r="C18" s="219"/>
      <c r="D18" s="220"/>
      <c r="E18" s="227"/>
      <c r="F18" s="230"/>
      <c r="G18" s="234"/>
      <c r="H18" s="235" t="s">
        <v>562</v>
      </c>
      <c r="I18" s="793"/>
      <c r="J18" s="217">
        <f>+'12'!J18</f>
        <v>0</v>
      </c>
      <c r="K18" s="241"/>
      <c r="L18" s="241"/>
      <c r="M18" s="121">
        <f>+K18+'12'!M18+L18</f>
        <v>0</v>
      </c>
    </row>
    <row r="19" spans="1:14" ht="26.25" thickBot="1">
      <c r="A19" s="795"/>
      <c r="B19" s="218"/>
      <c r="C19" s="219"/>
      <c r="D19" s="220"/>
      <c r="E19" s="227" t="s">
        <v>565</v>
      </c>
      <c r="F19" s="237">
        <v>30</v>
      </c>
      <c r="G19" s="234" t="s">
        <v>13</v>
      </c>
      <c r="H19" s="235" t="s">
        <v>563</v>
      </c>
      <c r="I19" s="793"/>
      <c r="J19" s="217">
        <f>+'12'!J19</f>
        <v>0</v>
      </c>
      <c r="K19" s="241"/>
      <c r="L19" s="241"/>
      <c r="M19" s="121">
        <f>+K19+'12'!M19+L19</f>
        <v>0</v>
      </c>
    </row>
    <row r="20" spans="1:14" ht="13.5" thickBot="1">
      <c r="A20" s="795"/>
      <c r="B20" s="218"/>
      <c r="C20" s="219"/>
      <c r="D20" s="220"/>
      <c r="E20" s="227"/>
      <c r="F20" s="230"/>
      <c r="G20" s="234"/>
      <c r="H20" s="235"/>
      <c r="I20" s="793"/>
      <c r="J20" s="217">
        <f>+'12'!J20</f>
        <v>0</v>
      </c>
      <c r="K20" s="241"/>
      <c r="L20" s="242"/>
      <c r="M20" s="121">
        <f>+K20+'12'!M20+L20</f>
        <v>0</v>
      </c>
    </row>
    <row r="21" spans="1:14" ht="13.5" thickBot="1">
      <c r="A21" s="795"/>
      <c r="B21" s="218"/>
      <c r="C21" s="219"/>
      <c r="D21" s="220"/>
      <c r="E21" s="227"/>
      <c r="F21" s="233"/>
      <c r="G21" s="234"/>
      <c r="H21" s="235"/>
      <c r="I21" s="793"/>
      <c r="J21" s="217">
        <f>+'12'!J21</f>
        <v>0</v>
      </c>
      <c r="K21" s="241"/>
      <c r="L21" s="241"/>
      <c r="M21" s="121">
        <f>+K21+'12'!M21+L21</f>
        <v>0</v>
      </c>
    </row>
    <row r="22" spans="1:14" ht="16.5" customHeight="1" thickBot="1">
      <c r="A22" s="795"/>
      <c r="B22" s="218"/>
      <c r="C22" s="219"/>
      <c r="D22" s="220"/>
      <c r="E22" s="227"/>
      <c r="F22" s="238"/>
      <c r="G22" s="234"/>
      <c r="H22" s="235"/>
      <c r="I22" s="794"/>
      <c r="J22" s="217">
        <f>+'12'!J22</f>
        <v>0</v>
      </c>
      <c r="K22" s="241"/>
      <c r="L22" s="241"/>
      <c r="M22" s="121">
        <f>+K22+'12'!M22+L22</f>
        <v>0</v>
      </c>
    </row>
    <row r="23" spans="1:14" ht="13.5" thickBot="1">
      <c r="A23" s="796"/>
      <c r="B23" s="169" t="s">
        <v>3</v>
      </c>
      <c r="C23" s="104">
        <f>SUM(C16:C22)</f>
        <v>18240</v>
      </c>
      <c r="D23" s="115">
        <f>SUM(D16:D22)</f>
        <v>0</v>
      </c>
      <c r="E23" s="116">
        <f>SUM(E18:E22)</f>
        <v>0</v>
      </c>
      <c r="F23" s="106">
        <f>SUM(F15:F22)</f>
        <v>40</v>
      </c>
      <c r="G23" s="163"/>
      <c r="H23" s="170"/>
      <c r="I23" s="172"/>
      <c r="J23" s="217">
        <f>+'12'!J23</f>
        <v>0</v>
      </c>
      <c r="K23" s="241"/>
      <c r="L23" s="241"/>
      <c r="M23" s="121">
        <f>+K23+'12'!M23+L23</f>
        <v>0</v>
      </c>
    </row>
    <row r="24" spans="1:14" ht="13.5" customHeight="1" thickBot="1">
      <c r="A24" s="789" t="s">
        <v>544</v>
      </c>
      <c r="B24" s="173"/>
      <c r="C24" s="117">
        <f>C23/($C$23+$D$23+$E$23)</f>
        <v>1</v>
      </c>
      <c r="D24" s="118">
        <f>D23/($C$23+$D$23+$E$23)</f>
        <v>0</v>
      </c>
      <c r="E24" s="119">
        <f>E23/($C$23+$D$23+$E$23)</f>
        <v>0</v>
      </c>
      <c r="F24" s="230"/>
      <c r="G24" s="231" t="s">
        <v>13</v>
      </c>
      <c r="H24" s="232" t="s">
        <v>395</v>
      </c>
      <c r="I24" s="792" t="s">
        <v>564</v>
      </c>
      <c r="J24" s="217">
        <f>+'12'!J24</f>
        <v>0</v>
      </c>
      <c r="K24" s="241"/>
      <c r="L24" s="241"/>
      <c r="M24" s="121">
        <f>+K24+'12'!M24+L24</f>
        <v>0</v>
      </c>
    </row>
    <row r="25" spans="1:14" ht="13.5" thickBot="1">
      <c r="A25" s="795"/>
      <c r="B25" s="218" t="s">
        <v>536</v>
      </c>
      <c r="C25" s="228">
        <v>20000</v>
      </c>
      <c r="D25" s="220"/>
      <c r="E25" s="227"/>
      <c r="F25" s="233">
        <v>5</v>
      </c>
      <c r="G25" s="234" t="s">
        <v>13</v>
      </c>
      <c r="H25" s="232" t="s">
        <v>393</v>
      </c>
      <c r="I25" s="793"/>
      <c r="J25" s="217">
        <f>+'12'!J25</f>
        <v>0</v>
      </c>
      <c r="K25" s="241"/>
      <c r="L25" s="241"/>
      <c r="M25" s="121">
        <f>+K25+'12'!M25+L25</f>
        <v>0</v>
      </c>
    </row>
    <row r="26" spans="1:14" ht="13.5" thickBot="1">
      <c r="A26" s="795"/>
      <c r="B26" s="218"/>
      <c r="C26" s="228"/>
      <c r="D26" s="220"/>
      <c r="E26" s="229"/>
      <c r="F26" s="230">
        <v>5</v>
      </c>
      <c r="G26" s="234" t="s">
        <v>13</v>
      </c>
      <c r="H26" s="235" t="s">
        <v>226</v>
      </c>
      <c r="I26" s="793"/>
      <c r="J26" s="217">
        <f>+'12'!J26</f>
        <v>0</v>
      </c>
      <c r="K26" s="241"/>
      <c r="L26" s="241"/>
      <c r="M26" s="121">
        <f>+K26+'12'!M26+L26</f>
        <v>0</v>
      </c>
    </row>
    <row r="27" spans="1:14" ht="13.5" thickBot="1">
      <c r="A27" s="795"/>
      <c r="B27" s="218"/>
      <c r="C27" s="219"/>
      <c r="D27" s="220"/>
      <c r="E27" s="227"/>
      <c r="F27" s="230"/>
      <c r="G27" s="234"/>
      <c r="H27" s="235" t="s">
        <v>562</v>
      </c>
      <c r="I27" s="793"/>
      <c r="J27" s="217">
        <f>+'12'!J27</f>
        <v>0</v>
      </c>
      <c r="K27" s="241"/>
      <c r="L27" s="241"/>
      <c r="M27" s="121">
        <f>+K27+'12'!M27+L27</f>
        <v>0</v>
      </c>
    </row>
    <row r="28" spans="1:14" ht="13.5" thickBot="1">
      <c r="A28" s="795"/>
      <c r="B28" s="218"/>
      <c r="C28" s="219"/>
      <c r="D28" s="220"/>
      <c r="E28" s="227"/>
      <c r="F28" s="233"/>
      <c r="G28" s="234"/>
      <c r="H28" s="235"/>
      <c r="I28" s="793"/>
      <c r="J28" s="217">
        <f>+'12'!J28</f>
        <v>0</v>
      </c>
      <c r="K28" s="241"/>
      <c r="L28" s="241"/>
      <c r="M28" s="121">
        <f>+K28+'12'!M28+L28</f>
        <v>0</v>
      </c>
    </row>
    <row r="29" spans="1:14" ht="13.5" thickBot="1">
      <c r="A29" s="795"/>
      <c r="B29" s="218"/>
      <c r="C29" s="219"/>
      <c r="D29" s="220"/>
      <c r="E29" s="227"/>
      <c r="F29" s="238"/>
      <c r="G29" s="234"/>
      <c r="H29" s="235"/>
      <c r="I29" s="793"/>
      <c r="J29" s="217">
        <f>+'12'!J29</f>
        <v>0</v>
      </c>
      <c r="K29" s="241"/>
      <c r="L29" s="241"/>
      <c r="M29" s="121">
        <f>+K29+'12'!M29+L29</f>
        <v>0</v>
      </c>
    </row>
    <row r="30" spans="1:14" ht="13.5" thickBot="1">
      <c r="A30" s="795"/>
      <c r="B30" s="218"/>
      <c r="C30" s="228"/>
      <c r="D30" s="220"/>
      <c r="E30" s="227"/>
      <c r="F30" s="238"/>
      <c r="G30" s="234"/>
      <c r="H30" s="235"/>
      <c r="I30" s="793"/>
      <c r="J30" s="217">
        <f>+'12'!J30</f>
        <v>0</v>
      </c>
      <c r="K30" s="241"/>
      <c r="L30" s="241"/>
      <c r="M30" s="121">
        <f>+K30+'12'!M30+L30</f>
        <v>0</v>
      </c>
      <c r="N30" s="159"/>
    </row>
    <row r="31" spans="1:14" ht="13.5" thickBot="1">
      <c r="A31" s="795"/>
      <c r="B31" s="218"/>
      <c r="C31" s="228"/>
      <c r="D31" s="220"/>
      <c r="E31" s="227"/>
      <c r="F31" s="238"/>
      <c r="G31" s="239"/>
      <c r="H31" s="236"/>
      <c r="I31" s="794"/>
      <c r="J31" s="217">
        <f>+'12'!J31</f>
        <v>0</v>
      </c>
      <c r="K31" s="241"/>
      <c r="L31" s="241"/>
      <c r="M31" s="121">
        <f>+K31+'12'!M31+L31</f>
        <v>0</v>
      </c>
    </row>
    <row r="32" spans="1:14" ht="13.5" thickBot="1">
      <c r="A32" s="796"/>
      <c r="B32" s="169" t="s">
        <v>3</v>
      </c>
      <c r="C32" s="103">
        <f>SUM(C25:C31)</f>
        <v>20000</v>
      </c>
      <c r="D32" s="104">
        <f>SUM(D25:D31)</f>
        <v>0</v>
      </c>
      <c r="E32" s="105">
        <f>SUM(E25:E31)</f>
        <v>0</v>
      </c>
      <c r="F32" s="106">
        <f>SUM(F24:F31)</f>
        <v>10</v>
      </c>
      <c r="G32" s="174"/>
      <c r="H32" s="175"/>
      <c r="I32" s="172"/>
      <c r="J32" s="217">
        <f>+'12'!J32</f>
        <v>0</v>
      </c>
      <c r="K32" s="243"/>
      <c r="L32" s="245"/>
      <c r="M32" s="121">
        <f>+K32+'12'!M32+L32</f>
        <v>0</v>
      </c>
    </row>
    <row r="33" spans="1:15" ht="13.5" thickBot="1">
      <c r="A33" s="176"/>
      <c r="B33" s="177"/>
      <c r="C33" s="107">
        <f>C32/($C$32+$D$32+$E$32)</f>
        <v>1</v>
      </c>
      <c r="D33" s="108">
        <f>D32/($C$32+$D$32+$E$32)</f>
        <v>0</v>
      </c>
      <c r="E33" s="109">
        <f>E32/($C$32+$D$32+$E$32)</f>
        <v>0</v>
      </c>
      <c r="F33" s="110"/>
      <c r="G33" s="178"/>
      <c r="H33" s="179"/>
      <c r="I33" s="180"/>
      <c r="J33" s="125"/>
      <c r="K33" s="126"/>
      <c r="L33" s="216"/>
      <c r="M33" s="123"/>
    </row>
    <row r="34" spans="1:15" ht="13.5" thickBot="1">
      <c r="A34" s="797" t="s">
        <v>60</v>
      </c>
      <c r="B34" s="798"/>
      <c r="C34" s="111">
        <f>C14+C23+C32</f>
        <v>57132</v>
      </c>
      <c r="D34" s="111">
        <f>D14+D23+D32</f>
        <v>442</v>
      </c>
      <c r="E34" s="111">
        <f>E14+E23+E32</f>
        <v>0</v>
      </c>
      <c r="F34" s="112">
        <f>F14+F23+F32</f>
        <v>96</v>
      </c>
      <c r="H34" s="181"/>
      <c r="I34" s="181"/>
      <c r="J34" s="127" t="s">
        <v>29</v>
      </c>
      <c r="K34" s="128">
        <f>SUM(K7:K32)</f>
        <v>57132</v>
      </c>
      <c r="L34" s="215">
        <f>SUM(L7:L32)</f>
        <v>0</v>
      </c>
      <c r="M34" s="124">
        <f>SUM(M7:M32)</f>
        <v>592025</v>
      </c>
      <c r="N34" s="159"/>
    </row>
    <row r="35" spans="1:15" ht="13.5" thickBot="1">
      <c r="A35" s="182"/>
      <c r="B35" s="183"/>
      <c r="C35" s="108">
        <f>C34/($C$34+$D$34+$E$34)</f>
        <v>0.99232292354187657</v>
      </c>
      <c r="D35" s="108">
        <f>D34/($C$34+$D$34+$E$34)</f>
        <v>7.6770764581234581E-3</v>
      </c>
      <c r="E35" s="113">
        <f>E34/($C$34+$D$34+$E$34)</f>
        <v>0</v>
      </c>
      <c r="K35" s="159"/>
      <c r="L35" s="788" t="s">
        <v>186</v>
      </c>
      <c r="M35" s="788"/>
    </row>
    <row r="36" spans="1:15" ht="13.5" thickBot="1">
      <c r="A36" s="181"/>
      <c r="B36" s="181"/>
      <c r="C36" s="159"/>
      <c r="D36" s="159"/>
      <c r="E36" s="159"/>
      <c r="G36" s="159"/>
      <c r="H36" s="184"/>
      <c r="I36" s="166" t="s">
        <v>42</v>
      </c>
      <c r="J36" s="166" t="s">
        <v>43</v>
      </c>
      <c r="K36" s="185"/>
      <c r="L36" s="166" t="s">
        <v>42</v>
      </c>
      <c r="M36" s="166" t="s">
        <v>43</v>
      </c>
    </row>
    <row r="37" spans="1:15" ht="17.45" customHeight="1" thickBot="1">
      <c r="A37" s="801" t="s">
        <v>61</v>
      </c>
      <c r="B37" s="802"/>
      <c r="C37" s="166" t="s">
        <v>62</v>
      </c>
      <c r="D37" s="186" t="s">
        <v>63</v>
      </c>
      <c r="E37" s="187" t="s">
        <v>64</v>
      </c>
      <c r="F37" s="372"/>
      <c r="G37" s="374"/>
      <c r="H37" s="189" t="s">
        <v>65</v>
      </c>
      <c r="I37" s="246">
        <f>(20*1440)/1440*G42*3.4*1440/1000000</f>
        <v>73.146240000000006</v>
      </c>
      <c r="J37" s="129">
        <f>+I37+'12'!J37</f>
        <v>690.83931399540018</v>
      </c>
      <c r="K37" s="130" t="s">
        <v>66</v>
      </c>
      <c r="L37" s="437"/>
      <c r="M37" s="438"/>
      <c r="O37" s="566"/>
    </row>
    <row r="38" spans="1:15" ht="17.45" customHeight="1">
      <c r="A38" s="803" t="s">
        <v>13</v>
      </c>
      <c r="B38" s="804"/>
      <c r="C38" s="168">
        <f>SUMIF($G$7:$G$31,"Process",$F$7:$F$31)</f>
        <v>66</v>
      </c>
      <c r="D38" s="122">
        <f>+C38+'12'!D38</f>
        <v>687</v>
      </c>
      <c r="E38" s="147">
        <f t="shared" ref="E38:E51" si="0">D38/60</f>
        <v>11.45</v>
      </c>
      <c r="F38" s="372">
        <v>830</v>
      </c>
      <c r="G38" s="372">
        <f>+F38-F38*0.1</f>
        <v>747</v>
      </c>
      <c r="H38" s="190" t="s">
        <v>67</v>
      </c>
      <c r="I38" s="559">
        <f>19.844+20.034+20.225</f>
        <v>60.103000000000002</v>
      </c>
      <c r="J38" s="131">
        <f>+I38+'12'!J38</f>
        <v>623.44899999999996</v>
      </c>
      <c r="K38" s="132" t="s">
        <v>66</v>
      </c>
      <c r="L38" s="439"/>
      <c r="M38" s="440"/>
    </row>
    <row r="39" spans="1:15" ht="17.45" customHeight="1">
      <c r="A39" s="799" t="s">
        <v>14</v>
      </c>
      <c r="B39" s="800"/>
      <c r="C39" s="168">
        <f>SUMIF($G$7:$G$31,"Cleaning",$F$7:$F$31)</f>
        <v>0</v>
      </c>
      <c r="D39" s="122">
        <f>+C39+'12'!D39</f>
        <v>0</v>
      </c>
      <c r="E39" s="147">
        <f t="shared" si="0"/>
        <v>0</v>
      </c>
      <c r="F39" s="372">
        <v>830</v>
      </c>
      <c r="G39" s="372">
        <f>+F39-F39*0.1</f>
        <v>747</v>
      </c>
      <c r="H39" s="190" t="s">
        <v>68</v>
      </c>
      <c r="I39" s="146"/>
      <c r="J39" s="133">
        <f>J37/G4</f>
        <v>53.141485691953861</v>
      </c>
      <c r="K39" s="134" t="s">
        <v>66</v>
      </c>
      <c r="L39" s="439"/>
      <c r="M39" s="440"/>
    </row>
    <row r="40" spans="1:15" ht="17.45" customHeight="1">
      <c r="A40" s="799" t="s">
        <v>69</v>
      </c>
      <c r="B40" s="800"/>
      <c r="C40" s="168">
        <f>SUMIF($G$7:$G$31,"Mechanical",$F$7:$F$31)</f>
        <v>0</v>
      </c>
      <c r="D40" s="122">
        <f>+C40+'12'!D40</f>
        <v>700</v>
      </c>
      <c r="E40" s="147">
        <f t="shared" si="0"/>
        <v>11.666666666666666</v>
      </c>
      <c r="F40" s="372">
        <v>830</v>
      </c>
      <c r="G40" s="372">
        <f>+F40-F40*0.1</f>
        <v>747</v>
      </c>
      <c r="H40" s="190" t="s">
        <v>70</v>
      </c>
      <c r="I40" s="122">
        <f>(K34+L34)/1000</f>
        <v>57.131999999999998</v>
      </c>
      <c r="J40" s="135">
        <f>+I40+'12'!J40</f>
        <v>592.02499999999998</v>
      </c>
      <c r="K40" s="134" t="s">
        <v>66</v>
      </c>
      <c r="L40" s="439"/>
      <c r="M40" s="440"/>
    </row>
    <row r="41" spans="1:15" ht="17.45" customHeight="1">
      <c r="A41" s="799" t="s">
        <v>71</v>
      </c>
      <c r="B41" s="800"/>
      <c r="C41" s="168">
        <f>SUMIF($G$7:$G$31,"Electrical",$F$7:$F$31)</f>
        <v>30</v>
      </c>
      <c r="D41" s="122">
        <f>+C41+'12'!D41</f>
        <v>315</v>
      </c>
      <c r="E41" s="147">
        <f t="shared" si="0"/>
        <v>5.25</v>
      </c>
      <c r="F41" s="372"/>
      <c r="G41" s="372"/>
      <c r="H41" s="190" t="s">
        <v>72</v>
      </c>
      <c r="I41" s="146"/>
      <c r="J41" s="133">
        <f>J40/G4</f>
        <v>45.54038461538461</v>
      </c>
      <c r="K41" s="134" t="s">
        <v>66</v>
      </c>
      <c r="L41" s="439"/>
      <c r="M41" s="440"/>
    </row>
    <row r="42" spans="1:15" ht="17.45" customHeight="1">
      <c r="A42" s="799" t="s">
        <v>17</v>
      </c>
      <c r="B42" s="800"/>
      <c r="C42" s="168">
        <f>SUMIF($G$7:$G$31,"Instrument",$F$7:$F$31)</f>
        <v>0</v>
      </c>
      <c r="D42" s="122">
        <f>+C42+'12'!D42</f>
        <v>0</v>
      </c>
      <c r="E42" s="147">
        <f t="shared" si="0"/>
        <v>0</v>
      </c>
      <c r="F42" s="372">
        <f>+(F38*480+F39*480+F40*480)/1440</f>
        <v>830</v>
      </c>
      <c r="G42" s="372">
        <f>+(G38*480+G39*480+G40*480)/1440</f>
        <v>747</v>
      </c>
      <c r="H42" s="190" t="s">
        <v>73</v>
      </c>
      <c r="I42" s="248" t="s">
        <v>564</v>
      </c>
      <c r="J42" s="136"/>
      <c r="K42" s="134" t="s">
        <v>74</v>
      </c>
      <c r="L42" s="439"/>
      <c r="M42" s="440"/>
    </row>
    <row r="43" spans="1:15" ht="17.45" customHeight="1">
      <c r="A43" s="799" t="s">
        <v>75</v>
      </c>
      <c r="B43" s="800"/>
      <c r="C43" s="168">
        <f>SUMIF($G$7:$G$31,"Water",$F$7:$F$31)</f>
        <v>0</v>
      </c>
      <c r="D43" s="122">
        <f>+C43+'12'!D43</f>
        <v>0</v>
      </c>
      <c r="E43" s="147">
        <f t="shared" si="0"/>
        <v>0</v>
      </c>
      <c r="F43" s="372"/>
      <c r="G43" s="373"/>
      <c r="H43" s="191" t="s">
        <v>76</v>
      </c>
      <c r="I43" s="122">
        <f>+Report1!AH21</f>
        <v>133.35299999999998</v>
      </c>
      <c r="J43" s="137">
        <f>+I43+'12'!J43</f>
        <v>1435.3409999999999</v>
      </c>
      <c r="K43" s="134" t="s">
        <v>66</v>
      </c>
      <c r="L43" s="441">
        <f>+Report1!AN21</f>
        <v>10.3</v>
      </c>
      <c r="M43" s="442">
        <f>+L43+'12'!M43</f>
        <v>133.30000000000001</v>
      </c>
    </row>
    <row r="44" spans="1:15" ht="17.45" customHeight="1">
      <c r="A44" s="799" t="s">
        <v>18</v>
      </c>
      <c r="B44" s="800"/>
      <c r="C44" s="168">
        <f>SUMIF($G$7:$G$31,"PLN",$F$7:$F$31)</f>
        <v>0</v>
      </c>
      <c r="D44" s="122">
        <f>+C44+'12'!D44</f>
        <v>105</v>
      </c>
      <c r="E44" s="147">
        <f t="shared" si="0"/>
        <v>1.75</v>
      </c>
      <c r="F44" s="372"/>
      <c r="G44" s="373"/>
      <c r="H44" s="191" t="s">
        <v>77</v>
      </c>
      <c r="I44" s="122">
        <f>I43/I38</f>
        <v>2.2187411610069376</v>
      </c>
      <c r="J44" s="138">
        <f>J43/J38</f>
        <v>2.3022588856506307</v>
      </c>
      <c r="K44" s="134" t="s">
        <v>66</v>
      </c>
      <c r="L44" s="443">
        <f>+L43/I38</f>
        <v>0.17137247724739199</v>
      </c>
      <c r="M44" s="444">
        <f>+M43/J38</f>
        <v>0.21381059236601554</v>
      </c>
    </row>
    <row r="45" spans="1:15" ht="17.45" customHeight="1">
      <c r="A45" s="799" t="s">
        <v>19</v>
      </c>
      <c r="B45" s="800"/>
      <c r="C45" s="168">
        <f>SUMIF($G$7:$G$31,"Boiler",$F$7:$F$31)</f>
        <v>0</v>
      </c>
      <c r="D45" s="122">
        <f>+C45+'12'!D45</f>
        <v>0</v>
      </c>
      <c r="E45" s="147">
        <f t="shared" si="0"/>
        <v>0</v>
      </c>
      <c r="F45" s="372"/>
      <c r="G45" s="375"/>
      <c r="H45" s="191" t="s">
        <v>78</v>
      </c>
      <c r="I45" s="122">
        <f>I43/I40</f>
        <v>2.3341209829867671</v>
      </c>
      <c r="J45" s="138">
        <f>J43/J40</f>
        <v>2.4244601157045733</v>
      </c>
      <c r="K45" s="134" t="s">
        <v>66</v>
      </c>
      <c r="L45" s="443">
        <f>+L43/I40</f>
        <v>0.18028425400826159</v>
      </c>
      <c r="M45" s="444">
        <f>+M43/J40</f>
        <v>0.22515941049786753</v>
      </c>
    </row>
    <row r="46" spans="1:15" ht="17.45" customHeight="1">
      <c r="A46" s="799" t="s">
        <v>79</v>
      </c>
      <c r="B46" s="800"/>
      <c r="C46" s="168">
        <f>SUMIF($G$7:$G$31,"Gas",$F$7:$F$31)</f>
        <v>0</v>
      </c>
      <c r="D46" s="122">
        <f>+C46+'12'!D46</f>
        <v>0</v>
      </c>
      <c r="E46" s="147">
        <f t="shared" si="0"/>
        <v>0</v>
      </c>
      <c r="F46" s="372"/>
      <c r="G46" s="373"/>
      <c r="H46" s="191" t="s">
        <v>80</v>
      </c>
      <c r="I46" s="144">
        <f>+SUMIF(Listrik!AC20,"&gt;0")</f>
        <v>40782.930000000604</v>
      </c>
      <c r="J46" s="139">
        <f>+I46+'12'!J46</f>
        <v>410567.11000000138</v>
      </c>
      <c r="K46" s="134" t="s">
        <v>81</v>
      </c>
      <c r="L46" s="443">
        <f>+Listrik!AF20</f>
        <v>1442</v>
      </c>
      <c r="M46" s="445">
        <f>+L46+'12'!M46</f>
        <v>83603</v>
      </c>
    </row>
    <row r="47" spans="1:15" ht="17.45" customHeight="1">
      <c r="A47" s="799" t="s">
        <v>82</v>
      </c>
      <c r="B47" s="800"/>
      <c r="C47" s="168">
        <f>SUMIF($G$7:$G$31,"Gas",$F$7:$F$31)</f>
        <v>0</v>
      </c>
      <c r="D47" s="122">
        <f>+C47+'12'!D47</f>
        <v>0</v>
      </c>
      <c r="E47" s="147">
        <f t="shared" si="0"/>
        <v>0</v>
      </c>
      <c r="F47" s="372"/>
      <c r="G47" s="373"/>
      <c r="H47" s="191" t="s">
        <v>83</v>
      </c>
      <c r="I47" s="122">
        <f>I46/I38</f>
        <v>678.55065470942554</v>
      </c>
      <c r="J47" s="139">
        <f>J46/J38</f>
        <v>658.54161286649173</v>
      </c>
      <c r="K47" s="134" t="s">
        <v>25</v>
      </c>
      <c r="L47" s="443">
        <f>+L46/I38</f>
        <v>23.992146814634875</v>
      </c>
      <c r="M47" s="444">
        <f>+M46/J38</f>
        <v>134.09757654595646</v>
      </c>
    </row>
    <row r="48" spans="1:15" ht="17.45" customHeight="1">
      <c r="A48" s="799" t="s">
        <v>15</v>
      </c>
      <c r="B48" s="800"/>
      <c r="C48" s="168">
        <f>SUMIF($G$7:$G$31,"Start Up",$F$7:$F$31)</f>
        <v>0</v>
      </c>
      <c r="D48" s="122">
        <f>+C48+'12'!D48</f>
        <v>0</v>
      </c>
      <c r="E48" s="147">
        <f t="shared" si="0"/>
        <v>0</v>
      </c>
      <c r="F48" s="372"/>
      <c r="G48" s="373"/>
      <c r="H48" s="191" t="s">
        <v>84</v>
      </c>
      <c r="I48" s="122">
        <f>I46/I40</f>
        <v>713.83690401177284</v>
      </c>
      <c r="J48" s="139">
        <f>J46/J40</f>
        <v>693.49623748997328</v>
      </c>
      <c r="K48" s="134" t="s">
        <v>25</v>
      </c>
      <c r="L48" s="443">
        <f>+L46/I38</f>
        <v>23.992146814634875</v>
      </c>
      <c r="M48" s="444">
        <f>+M46/J40</f>
        <v>141.21532029897386</v>
      </c>
    </row>
    <row r="49" spans="1:13" ht="17.45" customHeight="1">
      <c r="A49" s="799" t="s">
        <v>21</v>
      </c>
      <c r="B49" s="800"/>
      <c r="C49" s="168">
        <f>SUMIF($G$7:$G$31,"Others",$F$7:$F$31)</f>
        <v>0</v>
      </c>
      <c r="D49" s="122">
        <f>+C49+'12'!D49</f>
        <v>1440</v>
      </c>
      <c r="E49" s="147">
        <f t="shared" si="0"/>
        <v>24</v>
      </c>
      <c r="F49" s="188"/>
      <c r="H49" s="191" t="s">
        <v>85</v>
      </c>
      <c r="I49" s="122">
        <f>+Report1!AB21</f>
        <v>0</v>
      </c>
      <c r="J49" s="139">
        <f>+I49+'12'!J49</f>
        <v>0</v>
      </c>
      <c r="K49" s="134" t="s">
        <v>86</v>
      </c>
      <c r="L49" s="439"/>
      <c r="M49" s="440"/>
    </row>
    <row r="50" spans="1:13" ht="17.45" customHeight="1">
      <c r="A50" s="799" t="s">
        <v>20</v>
      </c>
      <c r="B50" s="800"/>
      <c r="C50" s="168">
        <f>SUMIF($G$7:$G$31,"Steam",$F$7:$F$31)</f>
        <v>0</v>
      </c>
      <c r="D50" s="122">
        <f>+C50+'12'!D50</f>
        <v>0</v>
      </c>
      <c r="E50" s="147">
        <f t="shared" si="0"/>
        <v>0</v>
      </c>
      <c r="F50" s="188"/>
      <c r="H50" s="191" t="s">
        <v>87</v>
      </c>
      <c r="I50" s="144">
        <f>I49/I38</f>
        <v>0</v>
      </c>
      <c r="J50" s="137">
        <f>J49/J38</f>
        <v>0</v>
      </c>
      <c r="K50" s="134" t="s">
        <v>86</v>
      </c>
      <c r="L50" s="439"/>
      <c r="M50" s="440"/>
    </row>
    <row r="51" spans="1:13" ht="17.45" customHeight="1" thickBot="1">
      <c r="A51" s="805" t="s">
        <v>88</v>
      </c>
      <c r="B51" s="806"/>
      <c r="C51" s="168">
        <f>SUMIF($G$7:$G$31,"Planned shut",$F$7:$F$31)</f>
        <v>0</v>
      </c>
      <c r="D51" s="122">
        <f>+C51+'12'!D51</f>
        <v>0</v>
      </c>
      <c r="E51" s="147">
        <f t="shared" si="0"/>
        <v>0</v>
      </c>
      <c r="F51" s="188"/>
      <c r="H51" s="193" t="s">
        <v>89</v>
      </c>
      <c r="I51" s="145">
        <f>I49/I40</f>
        <v>0</v>
      </c>
      <c r="J51" s="140">
        <f>J49/J40</f>
        <v>0</v>
      </c>
      <c r="K51" s="141" t="s">
        <v>86</v>
      </c>
      <c r="L51" s="439"/>
      <c r="M51" s="440"/>
    </row>
    <row r="52" spans="1:13" ht="13.5" thickBot="1">
      <c r="A52" s="803" t="s">
        <v>29</v>
      </c>
      <c r="B52" s="804"/>
      <c r="C52" s="148">
        <f>SUM(C38:C51)</f>
        <v>96</v>
      </c>
      <c r="D52" s="148">
        <f>SUM(D38:D51)</f>
        <v>3247</v>
      </c>
      <c r="E52" s="149">
        <f>SUM(E38:E51)</f>
        <v>54.116666666666667</v>
      </c>
      <c r="F52" s="188"/>
      <c r="H52" s="194"/>
      <c r="I52" s="195"/>
      <c r="J52" s="142"/>
      <c r="K52" s="143"/>
      <c r="L52" s="446"/>
      <c r="M52" s="447"/>
    </row>
    <row r="53" spans="1:13" ht="13.5" thickBot="1">
      <c r="A53" s="807"/>
      <c r="B53" s="808"/>
      <c r="C53" s="150">
        <f>C52/(24*60)</f>
        <v>6.6666666666666666E-2</v>
      </c>
      <c r="D53" s="150">
        <f>D52/(24*60*G4)</f>
        <v>0.1734508547008547</v>
      </c>
      <c r="E53" s="151">
        <f>E52/(G4*24)</f>
        <v>0.1734508547008547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90</v>
      </c>
      <c r="B56" s="198"/>
      <c r="C56" s="199"/>
      <c r="D56" s="199"/>
      <c r="E56" s="199"/>
      <c r="F56" s="200"/>
      <c r="G56" s="199"/>
      <c r="H56" s="201"/>
      <c r="I56" s="202" t="s">
        <v>91</v>
      </c>
      <c r="J56" s="203">
        <f>+D34+'12'!J56</f>
        <v>12815</v>
      </c>
      <c r="K56" s="204">
        <f>J56/(J40+J56/1000)/1000</f>
        <v>2.1187421466834201E-2</v>
      </c>
    </row>
    <row r="57" spans="1:13">
      <c r="A57" s="179"/>
      <c r="I57" s="202" t="s">
        <v>92</v>
      </c>
      <c r="J57" s="203">
        <f>+E34+'12'!J57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  <c r="J58" s="153">
        <v>325</v>
      </c>
    </row>
    <row r="59" spans="1:13">
      <c r="A59" s="208"/>
      <c r="B59" s="179"/>
      <c r="C59" s="179"/>
      <c r="D59" s="179"/>
      <c r="E59" s="179"/>
      <c r="F59" s="192"/>
      <c r="G59" s="179"/>
      <c r="H59" s="207"/>
      <c r="J59" s="159">
        <f>+J56+J58</f>
        <v>13140</v>
      </c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24:A32"/>
    <mergeCell ref="A34:B34"/>
    <mergeCell ref="A37:B37"/>
    <mergeCell ref="A38:B38"/>
    <mergeCell ref="A53:B53"/>
    <mergeCell ref="A48:B48"/>
    <mergeCell ref="A49:B49"/>
    <mergeCell ref="A50:B50"/>
    <mergeCell ref="A51:B51"/>
    <mergeCell ref="A52:B52"/>
    <mergeCell ref="I7:I13"/>
    <mergeCell ref="A15:A23"/>
    <mergeCell ref="I15:I22"/>
    <mergeCell ref="A46:B46"/>
    <mergeCell ref="A47:B47"/>
    <mergeCell ref="A44:B44"/>
    <mergeCell ref="A45:B45"/>
    <mergeCell ref="A7:A14"/>
    <mergeCell ref="A40:B40"/>
    <mergeCell ref="I24:I31"/>
    <mergeCell ref="A41:B41"/>
    <mergeCell ref="A42:B42"/>
    <mergeCell ref="A39:B39"/>
    <mergeCell ref="A43:B43"/>
  </mergeCells>
  <phoneticPr fontId="31" type="noConversion"/>
  <printOptions horizontalCentered="1"/>
  <pageMargins left="0.17" right="0.16" top="0.17" bottom="0.16" header="0.17" footer="0"/>
  <pageSetup paperSize="9" scale="62" firstPageNumber="4294963191" fitToWidth="20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O61"/>
  <sheetViews>
    <sheetView zoomScale="80" zoomScaleNormal="80" workbookViewId="0">
      <selection activeCell="A15" sqref="A15:B32"/>
    </sheetView>
  </sheetViews>
  <sheetFormatPr defaultColWidth="9.140625" defaultRowHeight="12.75"/>
  <cols>
    <col min="1" max="1" width="8" style="153" customWidth="1"/>
    <col min="2" max="2" width="7" style="153" bestFit="1" customWidth="1"/>
    <col min="3" max="3" width="14.85546875" style="153" bestFit="1" customWidth="1"/>
    <col min="4" max="4" width="12.5703125" style="153" bestFit="1" customWidth="1"/>
    <col min="5" max="5" width="13.85546875" style="153" bestFit="1" customWidth="1"/>
    <col min="6" max="6" width="12.140625" style="114" bestFit="1" customWidth="1"/>
    <col min="7" max="7" width="11.42578125" style="153" bestFit="1" customWidth="1"/>
    <col min="8" max="8" width="64.85546875" style="153" customWidth="1"/>
    <col min="9" max="9" width="14.7109375" style="153" bestFit="1" customWidth="1"/>
    <col min="10" max="10" width="20.28515625" style="153" bestFit="1" customWidth="1"/>
    <col min="11" max="11" width="14" style="153" bestFit="1" customWidth="1"/>
    <col min="12" max="12" width="12.140625" style="153" customWidth="1"/>
    <col min="13" max="13" width="15" style="153" bestFit="1" customWidth="1"/>
    <col min="14" max="16384" width="9.140625" style="153"/>
  </cols>
  <sheetData>
    <row r="1" spans="1:15" ht="15.75">
      <c r="A1" s="152"/>
    </row>
    <row r="2" spans="1:15" ht="15.75">
      <c r="A2" s="152" t="s">
        <v>175</v>
      </c>
    </row>
    <row r="3" spans="1:15" ht="15">
      <c r="A3" s="154"/>
    </row>
    <row r="4" spans="1:15" ht="20.25">
      <c r="A4" s="155" t="s">
        <v>4</v>
      </c>
      <c r="B4" s="156"/>
      <c r="F4" s="157" t="s">
        <v>31</v>
      </c>
      <c r="G4" s="158">
        <v>12</v>
      </c>
      <c r="H4" s="158" t="str">
        <f>+'1'!H4</f>
        <v>.12.25</v>
      </c>
    </row>
    <row r="5" spans="1:15" ht="13.5" thickBot="1">
      <c r="C5" s="159"/>
      <c r="D5" s="159"/>
    </row>
    <row r="6" spans="1:15" ht="26.25" thickBot="1">
      <c r="A6" s="160" t="s">
        <v>50</v>
      </c>
      <c r="B6" s="161" t="s">
        <v>10</v>
      </c>
      <c r="C6" s="161" t="s">
        <v>51</v>
      </c>
      <c r="D6" s="161" t="s">
        <v>52</v>
      </c>
      <c r="E6" s="162" t="s">
        <v>53</v>
      </c>
      <c r="F6" s="106" t="s">
        <v>54</v>
      </c>
      <c r="G6" s="161" t="s">
        <v>55</v>
      </c>
      <c r="H6" s="163" t="s">
        <v>56</v>
      </c>
      <c r="I6" s="164" t="s">
        <v>57</v>
      </c>
      <c r="J6" s="165" t="s">
        <v>10</v>
      </c>
      <c r="K6" s="166" t="s">
        <v>58</v>
      </c>
      <c r="L6" s="213" t="s">
        <v>143</v>
      </c>
      <c r="M6" s="167" t="s">
        <v>59</v>
      </c>
      <c r="N6" s="153">
        <f>416+483+326</f>
        <v>1225</v>
      </c>
    </row>
    <row r="7" spans="1:15" ht="13.5" customHeight="1" thickBot="1">
      <c r="A7" s="789" t="s">
        <v>415</v>
      </c>
      <c r="B7" s="218" t="s">
        <v>536</v>
      </c>
      <c r="C7" s="219">
        <v>21368</v>
      </c>
      <c r="D7" s="220">
        <v>200</v>
      </c>
      <c r="E7" s="221"/>
      <c r="F7" s="230"/>
      <c r="G7" s="231" t="s">
        <v>13</v>
      </c>
      <c r="H7" s="232" t="s">
        <v>395</v>
      </c>
      <c r="I7" s="792" t="s">
        <v>508</v>
      </c>
      <c r="J7" s="217" t="str">
        <f>+'11'!J7</f>
        <v>TW 38 RC BR</v>
      </c>
      <c r="K7" s="240"/>
      <c r="L7" s="244"/>
      <c r="M7" s="121">
        <f>+K7+'11'!M7+L7</f>
        <v>78513</v>
      </c>
    </row>
    <row r="8" spans="1:15" ht="13.5" thickBot="1">
      <c r="A8" s="790"/>
      <c r="B8" s="218"/>
      <c r="C8" s="219"/>
      <c r="D8" s="220"/>
      <c r="E8" s="222"/>
      <c r="F8" s="233">
        <v>3</v>
      </c>
      <c r="G8" s="234" t="s">
        <v>13</v>
      </c>
      <c r="H8" s="232" t="s">
        <v>393</v>
      </c>
      <c r="I8" s="793"/>
      <c r="J8" s="217" t="str">
        <f>+'11'!J8</f>
        <v>TW 36 RC BR</v>
      </c>
      <c r="K8" s="241"/>
      <c r="L8" s="241"/>
      <c r="M8" s="121">
        <f>+K8+'11'!M8+L8</f>
        <v>1530</v>
      </c>
      <c r="N8" s="153">
        <v>830</v>
      </c>
      <c r="O8" s="153">
        <f>+N8-N8*0.14</f>
        <v>713.8</v>
      </c>
    </row>
    <row r="9" spans="1:15" ht="13.5" thickBot="1">
      <c r="A9" s="790"/>
      <c r="B9" s="218"/>
      <c r="C9" s="219"/>
      <c r="D9" s="220"/>
      <c r="E9" s="223"/>
      <c r="F9" s="230">
        <v>2</v>
      </c>
      <c r="G9" s="234" t="s">
        <v>13</v>
      </c>
      <c r="H9" s="235" t="s">
        <v>226</v>
      </c>
      <c r="I9" s="793"/>
      <c r="J9" s="217" t="str">
        <f>+'11'!J9</f>
        <v>N 20 RC BR</v>
      </c>
      <c r="K9" s="241"/>
      <c r="L9" s="241"/>
      <c r="M9" s="121">
        <f>+K9+'11'!M9+L9</f>
        <v>74204</v>
      </c>
    </row>
    <row r="10" spans="1:15" ht="13.5" thickBot="1">
      <c r="A10" s="790"/>
      <c r="B10" s="218"/>
      <c r="C10" s="219"/>
      <c r="D10" s="220"/>
      <c r="E10" s="222"/>
      <c r="F10" s="230"/>
      <c r="G10" s="234"/>
      <c r="H10" s="235" t="s">
        <v>546</v>
      </c>
      <c r="I10" s="793"/>
      <c r="J10" s="217" t="str">
        <f>+'11'!J10</f>
        <v>TW 17 RC HW</v>
      </c>
      <c r="K10" s="241"/>
      <c r="L10" s="241"/>
      <c r="M10" s="121">
        <f>+K10+'11'!M10+L10</f>
        <v>39984</v>
      </c>
    </row>
    <row r="11" spans="1:15" ht="13.5" thickBot="1">
      <c r="A11" s="790"/>
      <c r="B11" s="218"/>
      <c r="C11" s="219"/>
      <c r="D11" s="220"/>
      <c r="E11" s="222"/>
      <c r="F11" s="230"/>
      <c r="G11" s="234"/>
      <c r="H11" s="235"/>
      <c r="I11" s="793"/>
      <c r="J11" s="217" t="str">
        <f>+'11'!J11</f>
        <v>N 15,5 RC HW</v>
      </c>
      <c r="K11" s="241"/>
      <c r="L11" s="241"/>
      <c r="M11" s="121">
        <f>+K11+'11'!M11+L11</f>
        <v>149213</v>
      </c>
    </row>
    <row r="12" spans="1:15" ht="13.5" thickBot="1">
      <c r="A12" s="790"/>
      <c r="B12" s="218"/>
      <c r="C12" s="219"/>
      <c r="D12" s="220"/>
      <c r="E12" s="222"/>
      <c r="F12" s="230"/>
      <c r="G12" s="234"/>
      <c r="H12" s="235"/>
      <c r="I12" s="793"/>
      <c r="J12" s="217" t="str">
        <f>+'11'!J12</f>
        <v>N 17 RC HW</v>
      </c>
      <c r="K12" s="241"/>
      <c r="L12" s="241"/>
      <c r="M12" s="121">
        <f>+K12+'11'!M12+L12</f>
        <v>6572</v>
      </c>
    </row>
    <row r="13" spans="1:15" ht="13.5" thickBot="1">
      <c r="A13" s="790"/>
      <c r="B13" s="218"/>
      <c r="C13" s="219"/>
      <c r="D13" s="219"/>
      <c r="E13" s="222"/>
      <c r="F13" s="230"/>
      <c r="G13" s="234"/>
      <c r="H13" s="235"/>
      <c r="I13" s="794"/>
      <c r="J13" s="217" t="str">
        <f>+'11'!J13</f>
        <v>N 16,5 RC HW</v>
      </c>
      <c r="K13" s="241"/>
      <c r="L13" s="241"/>
      <c r="M13" s="121">
        <f>+K13+'11'!M13+L13</f>
        <v>18880</v>
      </c>
    </row>
    <row r="14" spans="1:15" ht="13.5" thickBot="1">
      <c r="A14" s="791"/>
      <c r="B14" s="169" t="s">
        <v>3</v>
      </c>
      <c r="C14" s="103">
        <f>SUM(C7:C13)</f>
        <v>21368</v>
      </c>
      <c r="D14" s="115">
        <f>SUM(D7:D13)</f>
        <v>200</v>
      </c>
      <c r="E14" s="116">
        <f>SUM(E5:E13)</f>
        <v>0</v>
      </c>
      <c r="F14" s="106">
        <f>SUM(F6:F13)</f>
        <v>5</v>
      </c>
      <c r="G14" s="163"/>
      <c r="H14" s="170"/>
      <c r="I14" s="171"/>
      <c r="J14" s="217" t="str">
        <f>+'11'!J14</f>
        <v>N 20 RC HW</v>
      </c>
      <c r="K14" s="241">
        <f>+C34</f>
        <v>59353</v>
      </c>
      <c r="L14" s="241"/>
      <c r="M14" s="121">
        <f>+K14+'11'!M14+L14</f>
        <v>165997</v>
      </c>
    </row>
    <row r="15" spans="1:15" ht="13.5" customHeight="1" thickBot="1">
      <c r="A15" s="789" t="s">
        <v>556</v>
      </c>
      <c r="B15" s="169"/>
      <c r="C15" s="117">
        <f>C14/($C$23+$D$23+$E$23)</f>
        <v>1.1536551128387864</v>
      </c>
      <c r="D15" s="118">
        <f>D14/($C$23+$D$23+$E$23)</f>
        <v>1.0797969981643452E-2</v>
      </c>
      <c r="E15" s="119">
        <f>E14/($C$23+$D$23+$E$23)</f>
        <v>0</v>
      </c>
      <c r="F15" s="230"/>
      <c r="G15" s="231" t="s">
        <v>13</v>
      </c>
      <c r="H15" s="232" t="s">
        <v>395</v>
      </c>
      <c r="I15" s="792" t="s">
        <v>508</v>
      </c>
      <c r="J15" s="217">
        <f>+'11'!J15</f>
        <v>0</v>
      </c>
      <c r="K15" s="241"/>
      <c r="L15" s="241"/>
      <c r="M15" s="121">
        <f>+K15+'11'!M15+L15</f>
        <v>0</v>
      </c>
    </row>
    <row r="16" spans="1:15" ht="13.5" thickBot="1">
      <c r="A16" s="795"/>
      <c r="B16" s="218" t="s">
        <v>536</v>
      </c>
      <c r="C16" s="224">
        <v>17902</v>
      </c>
      <c r="D16" s="225">
        <v>620</v>
      </c>
      <c r="E16" s="226"/>
      <c r="F16" s="233">
        <v>10</v>
      </c>
      <c r="G16" s="234" t="s">
        <v>13</v>
      </c>
      <c r="H16" s="232" t="s">
        <v>393</v>
      </c>
      <c r="I16" s="793"/>
      <c r="J16" s="217">
        <f>+'11'!J16</f>
        <v>0</v>
      </c>
      <c r="K16" s="241"/>
      <c r="L16" s="241"/>
      <c r="M16" s="121">
        <f>+K16+'11'!M16+L16</f>
        <v>0</v>
      </c>
    </row>
    <row r="17" spans="1:14" ht="13.5" thickBot="1">
      <c r="A17" s="795"/>
      <c r="B17" s="218"/>
      <c r="C17" s="219"/>
      <c r="D17" s="220"/>
      <c r="E17" s="227"/>
      <c r="F17" s="230">
        <v>10</v>
      </c>
      <c r="G17" s="234" t="s">
        <v>13</v>
      </c>
      <c r="H17" s="235" t="s">
        <v>226</v>
      </c>
      <c r="I17" s="793"/>
      <c r="J17" s="217">
        <f>+'11'!J17</f>
        <v>0</v>
      </c>
      <c r="K17" s="241"/>
      <c r="L17" s="241"/>
      <c r="M17" s="121">
        <f>+K17+'11'!M17+L17</f>
        <v>0</v>
      </c>
    </row>
    <row r="18" spans="1:14" ht="13.5" thickBot="1">
      <c r="A18" s="795"/>
      <c r="B18" s="218"/>
      <c r="C18" s="219"/>
      <c r="D18" s="220"/>
      <c r="E18" s="227"/>
      <c r="F18" s="230"/>
      <c r="G18" s="234"/>
      <c r="H18" s="235" t="s">
        <v>546</v>
      </c>
      <c r="I18" s="793"/>
      <c r="J18" s="217">
        <f>+'11'!J18</f>
        <v>0</v>
      </c>
      <c r="K18" s="241"/>
      <c r="L18" s="241"/>
      <c r="M18" s="121">
        <f>+K18+'11'!M18+L18</f>
        <v>0</v>
      </c>
    </row>
    <row r="19" spans="1:14" ht="13.5" thickBot="1">
      <c r="A19" s="795"/>
      <c r="B19" s="218"/>
      <c r="C19" s="219"/>
      <c r="D19" s="220"/>
      <c r="E19" s="227"/>
      <c r="F19" s="237">
        <v>10</v>
      </c>
      <c r="G19" s="234" t="s">
        <v>13</v>
      </c>
      <c r="H19" s="235" t="s">
        <v>557</v>
      </c>
      <c r="I19" s="793"/>
      <c r="J19" s="217">
        <f>+'11'!J19</f>
        <v>0</v>
      </c>
      <c r="K19" s="241"/>
      <c r="L19" s="241"/>
      <c r="M19" s="121">
        <f>+K19+'11'!M19+L19</f>
        <v>0</v>
      </c>
    </row>
    <row r="20" spans="1:14" ht="13.5" thickBot="1">
      <c r="A20" s="795"/>
      <c r="B20" s="218"/>
      <c r="C20" s="219"/>
      <c r="D20" s="220"/>
      <c r="E20" s="227"/>
      <c r="F20" s="230"/>
      <c r="G20" s="234"/>
      <c r="H20" s="235"/>
      <c r="I20" s="793"/>
      <c r="J20" s="217">
        <f>+'11'!J20</f>
        <v>0</v>
      </c>
      <c r="K20" s="241"/>
      <c r="L20" s="241"/>
      <c r="M20" s="121">
        <f>+K20+'11'!M20+L20</f>
        <v>0</v>
      </c>
    </row>
    <row r="21" spans="1:14" ht="13.5" thickBot="1">
      <c r="A21" s="795"/>
      <c r="B21" s="218"/>
      <c r="C21" s="219"/>
      <c r="D21" s="220"/>
      <c r="E21" s="227"/>
      <c r="F21" s="233"/>
      <c r="G21" s="234"/>
      <c r="H21" s="235"/>
      <c r="I21" s="793"/>
      <c r="J21" s="217">
        <f>+'11'!J21</f>
        <v>0</v>
      </c>
      <c r="K21" s="241"/>
      <c r="L21" s="241"/>
      <c r="M21" s="121">
        <f>+K21+'11'!M21+L21</f>
        <v>0</v>
      </c>
    </row>
    <row r="22" spans="1:14" ht="13.5" thickBot="1">
      <c r="A22" s="795"/>
      <c r="B22" s="218"/>
      <c r="C22" s="219"/>
      <c r="D22" s="220"/>
      <c r="E22" s="227"/>
      <c r="F22" s="238"/>
      <c r="G22" s="234"/>
      <c r="H22" s="235"/>
      <c r="I22" s="794"/>
      <c r="J22" s="217">
        <f>+'11'!J22</f>
        <v>0</v>
      </c>
      <c r="K22" s="241"/>
      <c r="L22" s="241"/>
      <c r="M22" s="121">
        <f>+K22+'11'!M22+L22</f>
        <v>0</v>
      </c>
    </row>
    <row r="23" spans="1:14" ht="13.5" thickBot="1">
      <c r="A23" s="796"/>
      <c r="B23" s="169" t="s">
        <v>3</v>
      </c>
      <c r="C23" s="104">
        <f>SUM(C16:C22)</f>
        <v>17902</v>
      </c>
      <c r="D23" s="115">
        <f>SUM(D16:D22)</f>
        <v>620</v>
      </c>
      <c r="E23" s="116">
        <f>SUM(E18:E22)</f>
        <v>0</v>
      </c>
      <c r="F23" s="106">
        <f>SUM(F15:F22)</f>
        <v>30</v>
      </c>
      <c r="G23" s="163"/>
      <c r="H23" s="170"/>
      <c r="I23" s="172"/>
      <c r="J23" s="217">
        <f>+'11'!J23</f>
        <v>0</v>
      </c>
      <c r="K23" s="241"/>
      <c r="L23" s="241"/>
      <c r="M23" s="121">
        <f>+K23+'11'!M23+L23</f>
        <v>0</v>
      </c>
    </row>
    <row r="24" spans="1:14" ht="13.5" customHeight="1" thickBot="1">
      <c r="A24" s="789" t="s">
        <v>544</v>
      </c>
      <c r="B24" s="173"/>
      <c r="C24" s="117">
        <f>C23/($C$23+$D$23+$E$23)</f>
        <v>0.96652629305690529</v>
      </c>
      <c r="D24" s="118">
        <f>D23/($C$23+$D$23+$E$23)</f>
        <v>3.3473706943094698E-2</v>
      </c>
      <c r="E24" s="119">
        <f>E23/($C$23+$D$23+$E$23)</f>
        <v>0</v>
      </c>
      <c r="F24" s="230">
        <v>5</v>
      </c>
      <c r="G24" s="231" t="s">
        <v>13</v>
      </c>
      <c r="H24" s="232" t="s">
        <v>392</v>
      </c>
      <c r="I24" s="792" t="s">
        <v>508</v>
      </c>
      <c r="J24" s="217">
        <f>+'11'!J24</f>
        <v>0</v>
      </c>
      <c r="K24" s="241"/>
      <c r="L24" s="241"/>
      <c r="M24" s="121">
        <f>+K24+'11'!M24+L24</f>
        <v>0</v>
      </c>
    </row>
    <row r="25" spans="1:14" ht="13.5" thickBot="1">
      <c r="A25" s="795"/>
      <c r="B25" s="218" t="s">
        <v>536</v>
      </c>
      <c r="C25" s="228">
        <v>20083</v>
      </c>
      <c r="D25" s="220"/>
      <c r="E25" s="227"/>
      <c r="F25" s="233">
        <v>7</v>
      </c>
      <c r="G25" s="234" t="s">
        <v>13</v>
      </c>
      <c r="H25" s="232" t="s">
        <v>393</v>
      </c>
      <c r="I25" s="793"/>
      <c r="J25" s="217">
        <f>+'11'!J25</f>
        <v>0</v>
      </c>
      <c r="K25" s="241"/>
      <c r="L25" s="241"/>
      <c r="M25" s="121">
        <f>+K25+'11'!M25+L25</f>
        <v>0</v>
      </c>
    </row>
    <row r="26" spans="1:14" ht="13.5" thickBot="1">
      <c r="A26" s="795"/>
      <c r="B26" s="218"/>
      <c r="C26" s="228"/>
      <c r="D26" s="220"/>
      <c r="E26" s="229"/>
      <c r="F26" s="230">
        <v>7</v>
      </c>
      <c r="G26" s="234" t="s">
        <v>13</v>
      </c>
      <c r="H26" s="235" t="s">
        <v>226</v>
      </c>
      <c r="I26" s="793"/>
      <c r="J26" s="217">
        <f>+'11'!J26</f>
        <v>0</v>
      </c>
      <c r="K26" s="241"/>
      <c r="L26" s="241"/>
      <c r="M26" s="121">
        <f>+K26+'11'!M26+L26</f>
        <v>0</v>
      </c>
    </row>
    <row r="27" spans="1:14" ht="13.5" thickBot="1">
      <c r="A27" s="795"/>
      <c r="B27" s="218"/>
      <c r="C27" s="219"/>
      <c r="D27" s="220"/>
      <c r="E27" s="227"/>
      <c r="F27" s="230"/>
      <c r="G27" s="234"/>
      <c r="H27" s="235" t="s">
        <v>546</v>
      </c>
      <c r="I27" s="793"/>
      <c r="J27" s="217">
        <f>+'11'!J27</f>
        <v>0</v>
      </c>
      <c r="K27" s="241"/>
      <c r="L27" s="241"/>
      <c r="M27" s="121">
        <f>+K27+'11'!M27+L27</f>
        <v>0</v>
      </c>
    </row>
    <row r="28" spans="1:14" ht="13.5" thickBot="1">
      <c r="A28" s="795"/>
      <c r="B28" s="218"/>
      <c r="C28" s="219"/>
      <c r="D28" s="220"/>
      <c r="E28" s="227"/>
      <c r="F28" s="233"/>
      <c r="G28" s="234"/>
      <c r="H28" s="235"/>
      <c r="I28" s="793"/>
      <c r="J28" s="217">
        <f>+'11'!J28</f>
        <v>0</v>
      </c>
      <c r="K28" s="241"/>
      <c r="L28" s="241"/>
      <c r="M28" s="121">
        <f>+K28+'11'!M28+L28</f>
        <v>0</v>
      </c>
    </row>
    <row r="29" spans="1:14" ht="13.5" thickBot="1">
      <c r="A29" s="795"/>
      <c r="B29" s="218"/>
      <c r="C29" s="219"/>
      <c r="D29" s="220"/>
      <c r="E29" s="227"/>
      <c r="F29" s="238"/>
      <c r="G29" s="234"/>
      <c r="H29" s="235"/>
      <c r="I29" s="793"/>
      <c r="J29" s="217">
        <f>+'11'!J29</f>
        <v>0</v>
      </c>
      <c r="K29" s="241"/>
      <c r="L29" s="241"/>
      <c r="M29" s="121">
        <f>+K29+'11'!M29+L29</f>
        <v>0</v>
      </c>
    </row>
    <row r="30" spans="1:14" ht="13.5" thickBot="1">
      <c r="A30" s="795"/>
      <c r="B30" s="218"/>
      <c r="C30" s="228"/>
      <c r="D30" s="220"/>
      <c r="E30" s="227"/>
      <c r="F30" s="238"/>
      <c r="G30" s="234"/>
      <c r="H30" s="235"/>
      <c r="I30" s="793"/>
      <c r="J30" s="217">
        <f>+'11'!J30</f>
        <v>0</v>
      </c>
      <c r="K30" s="241"/>
      <c r="L30" s="241"/>
      <c r="M30" s="121">
        <f>+K30+'11'!M30+L30</f>
        <v>0</v>
      </c>
      <c r="N30" s="159"/>
    </row>
    <row r="31" spans="1:14" ht="13.5" thickBot="1">
      <c r="A31" s="795"/>
      <c r="B31" s="218"/>
      <c r="C31" s="228"/>
      <c r="D31" s="220"/>
      <c r="E31" s="227"/>
      <c r="F31" s="238"/>
      <c r="G31" s="239"/>
      <c r="H31" s="236"/>
      <c r="I31" s="794"/>
      <c r="J31" s="217">
        <f>+'11'!J31</f>
        <v>0</v>
      </c>
      <c r="K31" s="241"/>
      <c r="L31" s="241"/>
      <c r="M31" s="121">
        <f>+K31+'11'!M31+L31</f>
        <v>0</v>
      </c>
    </row>
    <row r="32" spans="1:14" ht="13.5" thickBot="1">
      <c r="A32" s="796"/>
      <c r="B32" s="169" t="s">
        <v>3</v>
      </c>
      <c r="C32" s="103">
        <f>SUM(C25:C31)</f>
        <v>20083</v>
      </c>
      <c r="D32" s="104">
        <f>SUM(D25:D31)</f>
        <v>0</v>
      </c>
      <c r="E32" s="105">
        <f>SUM(E25:E31)</f>
        <v>0</v>
      </c>
      <c r="F32" s="106">
        <f>SUM(F24:F31)</f>
        <v>19</v>
      </c>
      <c r="G32" s="174"/>
      <c r="H32" s="175"/>
      <c r="I32" s="172"/>
      <c r="J32" s="217">
        <f>+'1'!J32</f>
        <v>0</v>
      </c>
      <c r="K32" s="243"/>
      <c r="L32" s="245"/>
      <c r="M32" s="121">
        <f>+K32+'11'!M32+L32</f>
        <v>0</v>
      </c>
    </row>
    <row r="33" spans="1:14" ht="13.5" thickBot="1">
      <c r="A33" s="176"/>
      <c r="B33" s="177"/>
      <c r="C33" s="107">
        <f>C32/($C$32+$D$32+$E$32)</f>
        <v>1</v>
      </c>
      <c r="D33" s="108">
        <f>D32/($C$32+$D$32+$E$32)</f>
        <v>0</v>
      </c>
      <c r="E33" s="109">
        <f>E32/($C$32+$D$32+$E$32)</f>
        <v>0</v>
      </c>
      <c r="F33" s="110"/>
      <c r="G33" s="178"/>
      <c r="H33" s="179"/>
      <c r="I33" s="180"/>
      <c r="J33" s="125"/>
      <c r="K33" s="126"/>
      <c r="L33" s="216"/>
      <c r="M33" s="123"/>
    </row>
    <row r="34" spans="1:14" ht="13.5" thickBot="1">
      <c r="A34" s="797" t="s">
        <v>60</v>
      </c>
      <c r="B34" s="798"/>
      <c r="C34" s="111">
        <f>C14+C23+C32</f>
        <v>59353</v>
      </c>
      <c r="D34" s="111">
        <f>D14+D23+D32</f>
        <v>820</v>
      </c>
      <c r="E34" s="111">
        <f>E14+E23+E32</f>
        <v>0</v>
      </c>
      <c r="F34" s="112">
        <f>F14+F23+F32</f>
        <v>54</v>
      </c>
      <c r="H34" s="181"/>
      <c r="I34" s="181"/>
      <c r="J34" s="127" t="s">
        <v>29</v>
      </c>
      <c r="K34" s="128">
        <f>SUM(K7:K32)</f>
        <v>59353</v>
      </c>
      <c r="L34" s="215">
        <f>SUM(L7:L32)</f>
        <v>0</v>
      </c>
      <c r="M34" s="124">
        <f>SUM(M7:M32)</f>
        <v>534893</v>
      </c>
      <c r="N34" s="159"/>
    </row>
    <row r="35" spans="1:14" ht="13.5" thickBot="1">
      <c r="A35" s="182"/>
      <c r="B35" s="183"/>
      <c r="C35" s="108">
        <f>C34/($C$34+$D$34+$E$34)</f>
        <v>0.98637262559619765</v>
      </c>
      <c r="D35" s="108">
        <f>D34/($C$34+$D$34+$E$34)</f>
        <v>1.3627374403802369E-2</v>
      </c>
      <c r="E35" s="113">
        <f>E34/($C$34+$D$34+$E$34)</f>
        <v>0</v>
      </c>
      <c r="K35" s="159"/>
      <c r="L35" s="788" t="s">
        <v>186</v>
      </c>
      <c r="M35" s="788"/>
    </row>
    <row r="36" spans="1:14" ht="13.5" thickBot="1">
      <c r="A36" s="181"/>
      <c r="B36" s="181"/>
      <c r="C36" s="159"/>
      <c r="D36" s="159"/>
      <c r="E36" s="159"/>
      <c r="G36" s="159"/>
      <c r="H36" s="184"/>
      <c r="I36" s="166" t="s">
        <v>42</v>
      </c>
      <c r="J36" s="166" t="s">
        <v>43</v>
      </c>
      <c r="K36" s="185"/>
      <c r="L36" s="166" t="s">
        <v>42</v>
      </c>
      <c r="M36" s="166" t="s">
        <v>43</v>
      </c>
    </row>
    <row r="37" spans="1:14" ht="17.45" customHeight="1" thickBot="1">
      <c r="A37" s="801" t="s">
        <v>61</v>
      </c>
      <c r="B37" s="802"/>
      <c r="C37" s="166" t="s">
        <v>62</v>
      </c>
      <c r="D37" s="186" t="s">
        <v>63</v>
      </c>
      <c r="E37" s="187" t="s">
        <v>64</v>
      </c>
      <c r="F37" s="372"/>
      <c r="G37" s="374"/>
      <c r="H37" s="189" t="s">
        <v>65</v>
      </c>
      <c r="I37" s="246">
        <f>(20*1440)/1440*G42*3.4*1440/1000000</f>
        <v>69.895296000000002</v>
      </c>
      <c r="J37" s="129">
        <f>+I37+'11'!J37</f>
        <v>617.69307399540014</v>
      </c>
      <c r="K37" s="130" t="s">
        <v>66</v>
      </c>
      <c r="L37" s="437"/>
      <c r="M37" s="438"/>
      <c r="N37" s="560"/>
    </row>
    <row r="38" spans="1:14" ht="17.45" customHeight="1">
      <c r="A38" s="803" t="s">
        <v>13</v>
      </c>
      <c r="B38" s="804"/>
      <c r="C38" s="168">
        <f>SUMIF($G$7:$G$31,"Process",$F$7:$F$31)</f>
        <v>54</v>
      </c>
      <c r="D38" s="122">
        <f>+C38+'11'!D38</f>
        <v>621</v>
      </c>
      <c r="E38" s="147">
        <f t="shared" ref="E38:E51" si="0">D38/60</f>
        <v>10.35</v>
      </c>
      <c r="F38" s="372">
        <v>830</v>
      </c>
      <c r="G38" s="372">
        <v>713.8</v>
      </c>
      <c r="H38" s="190" t="s">
        <v>67</v>
      </c>
      <c r="I38" s="559">
        <f>21.054+20.931+21.524</f>
        <v>63.509</v>
      </c>
      <c r="J38" s="131">
        <f>+I38+'11'!J38</f>
        <v>563.346</v>
      </c>
      <c r="K38" s="132" t="s">
        <v>66</v>
      </c>
      <c r="L38" s="439"/>
      <c r="M38" s="440"/>
    </row>
    <row r="39" spans="1:14" ht="17.45" customHeight="1">
      <c r="A39" s="799" t="s">
        <v>14</v>
      </c>
      <c r="B39" s="800"/>
      <c r="C39" s="168">
        <f>SUMIF($G$7:$G$31,"Cleaning",$F$7:$F$31)</f>
        <v>0</v>
      </c>
      <c r="D39" s="122">
        <f>+C39+'11'!D39</f>
        <v>0</v>
      </c>
      <c r="E39" s="147">
        <f t="shared" si="0"/>
        <v>0</v>
      </c>
      <c r="F39" s="372">
        <v>830</v>
      </c>
      <c r="G39" s="372">
        <v>713.8</v>
      </c>
      <c r="H39" s="190" t="s">
        <v>68</v>
      </c>
      <c r="I39" s="146"/>
      <c r="J39" s="133">
        <f>J37/G4</f>
        <v>51.474422832950012</v>
      </c>
      <c r="K39" s="134" t="s">
        <v>66</v>
      </c>
      <c r="L39" s="439"/>
      <c r="M39" s="440"/>
    </row>
    <row r="40" spans="1:14" ht="17.45" customHeight="1">
      <c r="A40" s="799" t="s">
        <v>69</v>
      </c>
      <c r="B40" s="800"/>
      <c r="C40" s="168">
        <f>SUMIF($G$7:$G$31,"Mechanical",$F$7:$F$31)</f>
        <v>0</v>
      </c>
      <c r="D40" s="122">
        <f>+C40+'11'!D40</f>
        <v>700</v>
      </c>
      <c r="E40" s="147">
        <f t="shared" si="0"/>
        <v>11.666666666666666</v>
      </c>
      <c r="F40" s="372">
        <v>830</v>
      </c>
      <c r="G40" s="372">
        <v>713.8</v>
      </c>
      <c r="H40" s="190" t="s">
        <v>70</v>
      </c>
      <c r="I40" s="122">
        <f>(K34+L34)/1000</f>
        <v>59.353000000000002</v>
      </c>
      <c r="J40" s="135">
        <f>+I40+'11'!J40</f>
        <v>534.89300000000003</v>
      </c>
      <c r="K40" s="134" t="s">
        <v>66</v>
      </c>
      <c r="L40" s="439"/>
      <c r="M40" s="440"/>
    </row>
    <row r="41" spans="1:14" ht="17.45" customHeight="1">
      <c r="A41" s="799" t="s">
        <v>71</v>
      </c>
      <c r="B41" s="800"/>
      <c r="C41" s="168">
        <f>SUMIF($G$7:$G$31,"Electrical",$F$7:$F$31)</f>
        <v>0</v>
      </c>
      <c r="D41" s="122">
        <f>+C41+'11'!D41</f>
        <v>285</v>
      </c>
      <c r="E41" s="147">
        <f t="shared" si="0"/>
        <v>4.75</v>
      </c>
      <c r="F41" s="372"/>
      <c r="G41" s="372"/>
      <c r="H41" s="190" t="s">
        <v>72</v>
      </c>
      <c r="I41" s="146"/>
      <c r="J41" s="133">
        <f>J40/G4</f>
        <v>44.574416666666671</v>
      </c>
      <c r="K41" s="134" t="s">
        <v>66</v>
      </c>
      <c r="L41" s="439"/>
      <c r="M41" s="440"/>
    </row>
    <row r="42" spans="1:14" ht="17.45" customHeight="1">
      <c r="A42" s="799" t="s">
        <v>17</v>
      </c>
      <c r="B42" s="800"/>
      <c r="C42" s="168">
        <f>SUMIF($G$7:$G$31,"Instrument",$F$7:$F$31)</f>
        <v>0</v>
      </c>
      <c r="D42" s="122">
        <f>+C42+'11'!D42</f>
        <v>0</v>
      </c>
      <c r="E42" s="147">
        <f t="shared" si="0"/>
        <v>0</v>
      </c>
      <c r="F42" s="372">
        <f>+F40</f>
        <v>830</v>
      </c>
      <c r="G42" s="372">
        <f>+G40</f>
        <v>713.8</v>
      </c>
      <c r="H42" s="190" t="s">
        <v>73</v>
      </c>
      <c r="I42" s="248"/>
      <c r="J42" s="136"/>
      <c r="K42" s="134" t="s">
        <v>74</v>
      </c>
      <c r="L42" s="439"/>
      <c r="M42" s="440"/>
    </row>
    <row r="43" spans="1:14" ht="17.45" customHeight="1">
      <c r="A43" s="799" t="s">
        <v>75</v>
      </c>
      <c r="B43" s="800"/>
      <c r="C43" s="168">
        <f>SUMIF($G$7:$G$31,"Water",$F$7:$F$31)</f>
        <v>0</v>
      </c>
      <c r="D43" s="122">
        <f>+C43+'11'!D43</f>
        <v>0</v>
      </c>
      <c r="E43" s="147">
        <f t="shared" si="0"/>
        <v>0</v>
      </c>
      <c r="F43" s="372"/>
      <c r="G43" s="373"/>
      <c r="H43" s="191" t="s">
        <v>76</v>
      </c>
      <c r="I43" s="122">
        <f>+Report1!AH20</f>
        <v>128.03299999999999</v>
      </c>
      <c r="J43" s="137">
        <f>+I43+'11'!J43</f>
        <v>1301.9879999999998</v>
      </c>
      <c r="K43" s="134" t="s">
        <v>66</v>
      </c>
      <c r="L43" s="441">
        <f>+Report1!AN20</f>
        <v>12.8</v>
      </c>
      <c r="M43" s="442">
        <f>+L43+'11'!M43</f>
        <v>123.00000000000001</v>
      </c>
    </row>
    <row r="44" spans="1:14" ht="17.45" customHeight="1">
      <c r="A44" s="799" t="s">
        <v>18</v>
      </c>
      <c r="B44" s="800"/>
      <c r="C44" s="168">
        <f>SUMIF($G$7:$G$31,"PLN",$F$7:$F$31)</f>
        <v>0</v>
      </c>
      <c r="D44" s="122">
        <f>+C44+'11'!D44</f>
        <v>105</v>
      </c>
      <c r="E44" s="147">
        <f t="shared" si="0"/>
        <v>1.75</v>
      </c>
      <c r="F44" s="372"/>
      <c r="G44" s="373"/>
      <c r="H44" s="191" t="s">
        <v>77</v>
      </c>
      <c r="I44" s="122">
        <f>I43/I38</f>
        <v>2.0159819868050195</v>
      </c>
      <c r="J44" s="138">
        <f>J43/J38</f>
        <v>2.3111693346540134</v>
      </c>
      <c r="K44" s="134" t="s">
        <v>66</v>
      </c>
      <c r="L44" s="443">
        <f>+L43/I38</f>
        <v>0.2015462375411359</v>
      </c>
      <c r="M44" s="444">
        <f>+M43/J38</f>
        <v>0.21833828588469611</v>
      </c>
    </row>
    <row r="45" spans="1:14" ht="17.45" customHeight="1">
      <c r="A45" s="799" t="s">
        <v>19</v>
      </c>
      <c r="B45" s="800"/>
      <c r="C45" s="168">
        <f>SUMIF($G$7:$G$31,"Boiler",$F$7:$F$31)</f>
        <v>0</v>
      </c>
      <c r="D45" s="122">
        <f>+C45+'11'!D45</f>
        <v>0</v>
      </c>
      <c r="E45" s="147">
        <f t="shared" si="0"/>
        <v>0</v>
      </c>
      <c r="F45" s="372"/>
      <c r="G45" s="375"/>
      <c r="H45" s="191" t="s">
        <v>78</v>
      </c>
      <c r="I45" s="122">
        <f>I43/I40</f>
        <v>2.1571445419776589</v>
      </c>
      <c r="J45" s="138">
        <f>J43/J40</f>
        <v>2.434109251756893</v>
      </c>
      <c r="K45" s="134" t="s">
        <v>66</v>
      </c>
      <c r="L45" s="443">
        <f>+L43/I40</f>
        <v>0.21565885464930165</v>
      </c>
      <c r="M45" s="444">
        <f>+M43/J40</f>
        <v>0.2299525325625873</v>
      </c>
    </row>
    <row r="46" spans="1:14" ht="17.45" customHeight="1">
      <c r="A46" s="799" t="s">
        <v>79</v>
      </c>
      <c r="B46" s="800"/>
      <c r="C46" s="168">
        <f>SUMIF($G$7:$G$31,"Gas",$F$7:$F$31)</f>
        <v>0</v>
      </c>
      <c r="D46" s="122">
        <f>+C46+'11'!D46</f>
        <v>0</v>
      </c>
      <c r="E46" s="147">
        <f t="shared" si="0"/>
        <v>0</v>
      </c>
      <c r="F46" s="372"/>
      <c r="G46" s="373"/>
      <c r="H46" s="191" t="s">
        <v>80</v>
      </c>
      <c r="I46" s="144">
        <f>+SUMIF(Listrik!AC19,"&gt;0")</f>
        <v>42222.019999999495</v>
      </c>
      <c r="J46" s="139">
        <f>+I46+'11'!J46</f>
        <v>369784.18000000075</v>
      </c>
      <c r="K46" s="134" t="s">
        <v>81</v>
      </c>
      <c r="L46" s="443">
        <f>+Listrik!AF19</f>
        <v>3557</v>
      </c>
      <c r="M46" s="445">
        <f>+L46+'11'!M46</f>
        <v>82161</v>
      </c>
    </row>
    <row r="47" spans="1:14" ht="17.45" customHeight="1">
      <c r="A47" s="799" t="s">
        <v>82</v>
      </c>
      <c r="B47" s="800"/>
      <c r="C47" s="168">
        <f>SUMIF($G$7:$G$31,"Gas",$F$7:$F$31)</f>
        <v>0</v>
      </c>
      <c r="D47" s="122">
        <f>+C47+'11'!D47</f>
        <v>0</v>
      </c>
      <c r="E47" s="147">
        <f t="shared" si="0"/>
        <v>0</v>
      </c>
      <c r="F47" s="372"/>
      <c r="G47" s="373"/>
      <c r="H47" s="191" t="s">
        <v>83</v>
      </c>
      <c r="I47" s="122">
        <f>I46/I38</f>
        <v>664.81947440519446</v>
      </c>
      <c r="J47" s="139">
        <f>J46/J38</f>
        <v>656.40686185754532</v>
      </c>
      <c r="K47" s="134" t="s">
        <v>25</v>
      </c>
      <c r="L47" s="443">
        <f>+L46/I38</f>
        <v>56.007809916704716</v>
      </c>
      <c r="M47" s="444">
        <f>+M46/J38</f>
        <v>145.844649646931</v>
      </c>
    </row>
    <row r="48" spans="1:14" ht="17.45" customHeight="1">
      <c r="A48" s="799" t="s">
        <v>15</v>
      </c>
      <c r="B48" s="800"/>
      <c r="C48" s="168">
        <f>SUMIF($G$7:$G$31,"Start Up",$F$7:$F$31)</f>
        <v>0</v>
      </c>
      <c r="D48" s="122">
        <f>+C48+'11'!D48</f>
        <v>0</v>
      </c>
      <c r="E48" s="147">
        <f t="shared" si="0"/>
        <v>0</v>
      </c>
      <c r="F48" s="372"/>
      <c r="G48" s="373"/>
      <c r="H48" s="191" t="s">
        <v>84</v>
      </c>
      <c r="I48" s="122">
        <f>I46/I40</f>
        <v>711.37128704529664</v>
      </c>
      <c r="J48" s="139">
        <f>J46/J40</f>
        <v>691.32364790715292</v>
      </c>
      <c r="K48" s="134" t="s">
        <v>25</v>
      </c>
      <c r="L48" s="443">
        <f>+L46/I38</f>
        <v>56.007809916704716</v>
      </c>
      <c r="M48" s="444">
        <f>+M46/J40</f>
        <v>153.60268315345311</v>
      </c>
    </row>
    <row r="49" spans="1:13" ht="17.45" customHeight="1">
      <c r="A49" s="799" t="s">
        <v>21</v>
      </c>
      <c r="B49" s="800"/>
      <c r="C49" s="168">
        <f>SUMIF($G$7:$G$31,"Others",$F$7:$F$31)</f>
        <v>0</v>
      </c>
      <c r="D49" s="122">
        <f>+C49+'11'!D49</f>
        <v>1440</v>
      </c>
      <c r="E49" s="147">
        <f t="shared" si="0"/>
        <v>24</v>
      </c>
      <c r="F49" s="188"/>
      <c r="H49" s="191" t="s">
        <v>85</v>
      </c>
      <c r="I49" s="122">
        <f>+Report1!AB20</f>
        <v>0</v>
      </c>
      <c r="J49" s="139">
        <f>+I49+'11'!J49</f>
        <v>0</v>
      </c>
      <c r="K49" s="134" t="s">
        <v>86</v>
      </c>
      <c r="L49" s="439"/>
      <c r="M49" s="440"/>
    </row>
    <row r="50" spans="1:13" ht="17.45" customHeight="1">
      <c r="A50" s="799" t="s">
        <v>20</v>
      </c>
      <c r="B50" s="800"/>
      <c r="C50" s="168">
        <f>SUMIF($G$7:$G$31,"Steam",$F$7:$F$31)</f>
        <v>0</v>
      </c>
      <c r="D50" s="122">
        <f>+C50+'11'!D50</f>
        <v>0</v>
      </c>
      <c r="E50" s="147">
        <f t="shared" si="0"/>
        <v>0</v>
      </c>
      <c r="F50" s="188"/>
      <c r="H50" s="191" t="s">
        <v>87</v>
      </c>
      <c r="I50" s="144">
        <f>I49/I38</f>
        <v>0</v>
      </c>
      <c r="J50" s="137">
        <f>J49/J38</f>
        <v>0</v>
      </c>
      <c r="K50" s="134" t="s">
        <v>86</v>
      </c>
      <c r="L50" s="439"/>
      <c r="M50" s="440"/>
    </row>
    <row r="51" spans="1:13" ht="17.45" customHeight="1" thickBot="1">
      <c r="A51" s="805" t="s">
        <v>88</v>
      </c>
      <c r="B51" s="806"/>
      <c r="C51" s="168">
        <f>SUMIF($G$7:$G$31,"Planned shut",$F$7:$F$31)</f>
        <v>0</v>
      </c>
      <c r="D51" s="122">
        <f>+C51+'11'!D51</f>
        <v>0</v>
      </c>
      <c r="E51" s="147">
        <f t="shared" si="0"/>
        <v>0</v>
      </c>
      <c r="F51" s="188"/>
      <c r="H51" s="193" t="s">
        <v>89</v>
      </c>
      <c r="I51" s="145">
        <f>I49/I40</f>
        <v>0</v>
      </c>
      <c r="J51" s="140">
        <f>J49/J40</f>
        <v>0</v>
      </c>
      <c r="K51" s="141" t="s">
        <v>86</v>
      </c>
      <c r="L51" s="439"/>
      <c r="M51" s="440"/>
    </row>
    <row r="52" spans="1:13" ht="13.5" thickBot="1">
      <c r="A52" s="803" t="s">
        <v>29</v>
      </c>
      <c r="B52" s="804"/>
      <c r="C52" s="148">
        <f>SUM(C38:C51)</f>
        <v>54</v>
      </c>
      <c r="D52" s="148">
        <f>SUM(D38:D51)</f>
        <v>3151</v>
      </c>
      <c r="E52" s="149">
        <f>SUM(E38:E51)</f>
        <v>52.516666666666666</v>
      </c>
      <c r="F52" s="188"/>
      <c r="H52" s="194"/>
      <c r="I52" s="195"/>
      <c r="J52" s="142"/>
      <c r="K52" s="143"/>
      <c r="L52" s="446"/>
      <c r="M52" s="447"/>
    </row>
    <row r="53" spans="1:13" ht="13.5" thickBot="1">
      <c r="A53" s="807"/>
      <c r="B53" s="808"/>
      <c r="C53" s="150">
        <f>C52/(24*60)</f>
        <v>3.7499999999999999E-2</v>
      </c>
      <c r="D53" s="150">
        <f>D52/(24*60*G4)</f>
        <v>0.18234953703703705</v>
      </c>
      <c r="E53" s="151">
        <f>E52/(G4*24)</f>
        <v>0.18234953703703705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90</v>
      </c>
      <c r="B56" s="198"/>
      <c r="C56" s="199"/>
      <c r="D56" s="199"/>
      <c r="E56" s="199"/>
      <c r="F56" s="200"/>
      <c r="G56" s="199"/>
      <c r="H56" s="201"/>
      <c r="I56" s="202" t="s">
        <v>91</v>
      </c>
      <c r="J56" s="203">
        <f>+D34+'11'!J56</f>
        <v>12373</v>
      </c>
      <c r="K56" s="204">
        <f>J56/(J40+J56/1000)/1000</f>
        <v>2.2608749675660463E-2</v>
      </c>
    </row>
    <row r="57" spans="1:13">
      <c r="A57" s="179"/>
      <c r="I57" s="202" t="s">
        <v>92</v>
      </c>
      <c r="J57" s="203">
        <f>+E34+'11'!J57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  <c r="J58" s="153">
        <v>325</v>
      </c>
    </row>
    <row r="59" spans="1:13">
      <c r="A59" s="208"/>
      <c r="B59" s="179"/>
      <c r="C59" s="179"/>
      <c r="D59" s="179"/>
      <c r="E59" s="179"/>
      <c r="F59" s="192"/>
      <c r="G59" s="179"/>
      <c r="H59" s="207"/>
      <c r="J59" s="159">
        <f>+J56+J58</f>
        <v>12698</v>
      </c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52:B52"/>
    <mergeCell ref="A53:B53"/>
    <mergeCell ref="A48:B48"/>
    <mergeCell ref="A49:B49"/>
    <mergeCell ref="A50:B50"/>
    <mergeCell ref="A51:B51"/>
    <mergeCell ref="A47:B47"/>
    <mergeCell ref="A41:B41"/>
    <mergeCell ref="A7:A14"/>
    <mergeCell ref="I7:I13"/>
    <mergeCell ref="A15:A23"/>
    <mergeCell ref="I15:I22"/>
    <mergeCell ref="A46:B46"/>
    <mergeCell ref="A39:B39"/>
    <mergeCell ref="I24:I31"/>
    <mergeCell ref="A37:B37"/>
    <mergeCell ref="A38:B38"/>
    <mergeCell ref="A24:A32"/>
    <mergeCell ref="A34:B34"/>
    <mergeCell ref="A42:B42"/>
    <mergeCell ref="A43:B43"/>
    <mergeCell ref="A44:B44"/>
    <mergeCell ref="A45:B45"/>
    <mergeCell ref="A40:B40"/>
  </mergeCells>
  <phoneticPr fontId="31" type="noConversion"/>
  <printOptions horizontalCentered="1"/>
  <pageMargins left="0.15625" right="0.15625" top="0.39027777777777778" bottom="0.39027777777777778" header="0" footer="0"/>
  <pageSetup paperSize="9" scale="64" firstPageNumber="4294963191" fitToWidth="20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S61"/>
  <sheetViews>
    <sheetView view="pageBreakPreview" zoomScale="80" zoomScaleNormal="70" zoomScaleSheetLayoutView="80" workbookViewId="0">
      <selection activeCell="A7" sqref="A7:B32"/>
    </sheetView>
  </sheetViews>
  <sheetFormatPr defaultColWidth="9.140625" defaultRowHeight="12.75"/>
  <cols>
    <col min="1" max="1" width="8" style="153" customWidth="1"/>
    <col min="2" max="2" width="7" style="153" bestFit="1" customWidth="1"/>
    <col min="3" max="3" width="14.85546875" style="153" bestFit="1" customWidth="1"/>
    <col min="4" max="4" width="12.5703125" style="153" bestFit="1" customWidth="1"/>
    <col min="5" max="5" width="13.85546875" style="153" bestFit="1" customWidth="1"/>
    <col min="6" max="6" width="12.140625" style="114" bestFit="1" customWidth="1"/>
    <col min="7" max="7" width="11.42578125" style="153" bestFit="1" customWidth="1"/>
    <col min="8" max="8" width="64.85546875" style="153" customWidth="1"/>
    <col min="9" max="9" width="14.7109375" style="153" bestFit="1" customWidth="1"/>
    <col min="10" max="10" width="22.5703125" style="153" customWidth="1"/>
    <col min="11" max="11" width="14" style="153" bestFit="1" customWidth="1"/>
    <col min="12" max="12" width="8.28515625" style="153" customWidth="1"/>
    <col min="13" max="13" width="15.5703125" style="153" bestFit="1" customWidth="1"/>
    <col min="14" max="16384" width="9.140625" style="153"/>
  </cols>
  <sheetData>
    <row r="1" spans="1:19" ht="15.75">
      <c r="A1" s="152"/>
    </row>
    <row r="2" spans="1:19" ht="15.75">
      <c r="A2" s="152" t="s">
        <v>175</v>
      </c>
    </row>
    <row r="3" spans="1:19" ht="15">
      <c r="A3" s="154"/>
    </row>
    <row r="4" spans="1:19" ht="20.25">
      <c r="A4" s="155" t="s">
        <v>4</v>
      </c>
      <c r="B4" s="156"/>
      <c r="F4" s="157" t="s">
        <v>31</v>
      </c>
      <c r="G4" s="158">
        <v>11</v>
      </c>
      <c r="H4" s="158" t="str">
        <f>+'1'!H4</f>
        <v>.12.25</v>
      </c>
      <c r="J4" s="153">
        <f>360+475</f>
        <v>835</v>
      </c>
    </row>
    <row r="5" spans="1:19" ht="13.5" thickBot="1">
      <c r="C5" s="159"/>
      <c r="D5" s="159"/>
    </row>
    <row r="6" spans="1:19" ht="26.25" thickBot="1">
      <c r="A6" s="160" t="s">
        <v>50</v>
      </c>
      <c r="B6" s="161" t="s">
        <v>10</v>
      </c>
      <c r="C6" s="161" t="s">
        <v>51</v>
      </c>
      <c r="D6" s="161" t="s">
        <v>52</v>
      </c>
      <c r="E6" s="162" t="s">
        <v>53</v>
      </c>
      <c r="F6" s="106" t="s">
        <v>54</v>
      </c>
      <c r="G6" s="161" t="s">
        <v>55</v>
      </c>
      <c r="H6" s="163" t="s">
        <v>56</v>
      </c>
      <c r="I6" s="164" t="s">
        <v>57</v>
      </c>
      <c r="J6" s="165" t="s">
        <v>10</v>
      </c>
      <c r="K6" s="166" t="s">
        <v>58</v>
      </c>
      <c r="L6" s="213" t="s">
        <v>143</v>
      </c>
      <c r="M6" s="167" t="s">
        <v>59</v>
      </c>
      <c r="N6" s="153" t="s">
        <v>552</v>
      </c>
      <c r="O6" s="153">
        <v>830</v>
      </c>
      <c r="P6" s="153">
        <f>+O6-(O6*0.14)</f>
        <v>713.8</v>
      </c>
      <c r="Q6" s="153">
        <f>60*5+35</f>
        <v>335</v>
      </c>
      <c r="R6" s="153">
        <f t="shared" ref="R6:R11" si="0">+O6*Q6</f>
        <v>278050</v>
      </c>
      <c r="S6" s="153">
        <f t="shared" ref="S6:S11" si="1">+P6*Q6</f>
        <v>239122.99999999997</v>
      </c>
    </row>
    <row r="7" spans="1:19" ht="13.5" customHeight="1" thickBot="1">
      <c r="A7" s="789" t="s">
        <v>415</v>
      </c>
      <c r="B7" s="218" t="s">
        <v>536</v>
      </c>
      <c r="C7" s="219">
        <v>18594</v>
      </c>
      <c r="D7" s="220"/>
      <c r="E7" s="221"/>
      <c r="F7" s="230"/>
      <c r="G7" s="231" t="s">
        <v>13</v>
      </c>
      <c r="H7" s="232" t="s">
        <v>395</v>
      </c>
      <c r="I7" s="792" t="s">
        <v>553</v>
      </c>
      <c r="J7" s="217" t="str">
        <f>+'10'!J7</f>
        <v>TW 38 RC BR</v>
      </c>
      <c r="K7" s="240"/>
      <c r="L7" s="244"/>
      <c r="M7" s="121">
        <f>+K7+'10'!M7+L7</f>
        <v>78513</v>
      </c>
    </row>
    <row r="8" spans="1:19" ht="13.5" thickBot="1">
      <c r="A8" s="790"/>
      <c r="B8" s="218"/>
      <c r="C8" s="219"/>
      <c r="D8" s="220"/>
      <c r="E8" s="222"/>
      <c r="F8" s="233"/>
      <c r="G8" s="234" t="s">
        <v>13</v>
      </c>
      <c r="H8" s="232" t="s">
        <v>424</v>
      </c>
      <c r="I8" s="793"/>
      <c r="J8" s="217" t="str">
        <f>+'10'!J8</f>
        <v>TW 36 RC BR</v>
      </c>
      <c r="K8" s="241"/>
      <c r="L8" s="241"/>
      <c r="M8" s="121">
        <f>+K8+'10'!M8+L8</f>
        <v>1530</v>
      </c>
    </row>
    <row r="9" spans="1:19" ht="13.5" thickBot="1">
      <c r="A9" s="790"/>
      <c r="B9" s="218"/>
      <c r="C9" s="219"/>
      <c r="D9" s="220"/>
      <c r="E9" s="223"/>
      <c r="F9" s="230">
        <v>5</v>
      </c>
      <c r="G9" s="234" t="s">
        <v>13</v>
      </c>
      <c r="H9" s="235" t="s">
        <v>226</v>
      </c>
      <c r="I9" s="793"/>
      <c r="J9" s="217" t="str">
        <f>+'10'!J9</f>
        <v>N 20 RC BR</v>
      </c>
      <c r="K9" s="241"/>
      <c r="L9" s="241"/>
      <c r="M9" s="121">
        <f>+K9+'10'!M9+L9</f>
        <v>74204</v>
      </c>
      <c r="P9" s="153">
        <f>+O9-(O9*0.2)</f>
        <v>0</v>
      </c>
      <c r="R9" s="153">
        <f t="shared" si="0"/>
        <v>0</v>
      </c>
      <c r="S9" s="153">
        <f t="shared" si="1"/>
        <v>0</v>
      </c>
    </row>
    <row r="10" spans="1:19" ht="13.5" thickBot="1">
      <c r="A10" s="790"/>
      <c r="B10" s="218"/>
      <c r="C10" s="219"/>
      <c r="D10" s="220"/>
      <c r="E10" s="222"/>
      <c r="F10" s="230"/>
      <c r="G10" s="234"/>
      <c r="H10" s="235" t="s">
        <v>549</v>
      </c>
      <c r="I10" s="793"/>
      <c r="J10" s="217" t="str">
        <f>+'10'!J10</f>
        <v>TW 17 RC HW</v>
      </c>
      <c r="K10" s="241"/>
      <c r="L10" s="241"/>
      <c r="M10" s="121">
        <f>+K10+'10'!M10+L10</f>
        <v>39984</v>
      </c>
      <c r="P10" s="153">
        <f>+O10-(O10*0.23)</f>
        <v>0</v>
      </c>
      <c r="R10" s="153">
        <f t="shared" si="0"/>
        <v>0</v>
      </c>
      <c r="S10" s="153">
        <f t="shared" si="1"/>
        <v>0</v>
      </c>
    </row>
    <row r="11" spans="1:19" ht="64.5" thickBot="1">
      <c r="A11" s="790"/>
      <c r="B11" s="218"/>
      <c r="C11" s="219"/>
      <c r="D11" s="220"/>
      <c r="E11" s="222"/>
      <c r="F11" s="230"/>
      <c r="G11" s="234"/>
      <c r="H11" s="235" t="s">
        <v>550</v>
      </c>
      <c r="I11" s="793"/>
      <c r="J11" s="217" t="str">
        <f>+'10'!J11</f>
        <v>N 15,5 RC HW</v>
      </c>
      <c r="K11" s="241"/>
      <c r="L11" s="241"/>
      <c r="M11" s="121">
        <f>+K11+'10'!M11+L11</f>
        <v>149213</v>
      </c>
      <c r="P11" s="153">
        <f>+O11-(O11*0.23)</f>
        <v>0</v>
      </c>
      <c r="R11" s="153">
        <f t="shared" si="0"/>
        <v>0</v>
      </c>
      <c r="S11" s="153">
        <f t="shared" si="1"/>
        <v>0</v>
      </c>
    </row>
    <row r="12" spans="1:19" ht="26.25" thickBot="1">
      <c r="A12" s="790"/>
      <c r="B12" s="218"/>
      <c r="C12" s="219"/>
      <c r="D12" s="220"/>
      <c r="E12" s="222"/>
      <c r="F12" s="230">
        <v>145</v>
      </c>
      <c r="G12" s="234" t="s">
        <v>69</v>
      </c>
      <c r="H12" s="235" t="s">
        <v>551</v>
      </c>
      <c r="I12" s="793"/>
      <c r="J12" s="217" t="str">
        <f>+'10'!J12</f>
        <v>N 17 RC HW</v>
      </c>
      <c r="K12" s="241"/>
      <c r="L12" s="241"/>
      <c r="M12" s="121">
        <f>+K12+'10'!M12+L12</f>
        <v>6572</v>
      </c>
    </row>
    <row r="13" spans="1:19" ht="13.5" thickBot="1">
      <c r="A13" s="790"/>
      <c r="B13" s="218"/>
      <c r="C13" s="219"/>
      <c r="D13" s="219"/>
      <c r="E13" s="222"/>
      <c r="F13" s="230"/>
      <c r="G13" s="234"/>
      <c r="H13" s="235"/>
      <c r="I13" s="794"/>
      <c r="J13" s="217" t="str">
        <f>+'10'!J13</f>
        <v>N 16,5 RC HW</v>
      </c>
      <c r="K13" s="241"/>
      <c r="L13" s="241"/>
      <c r="M13" s="121">
        <f>+K13+'10'!M13+L13</f>
        <v>18880</v>
      </c>
    </row>
    <row r="14" spans="1:19" ht="13.5" thickBot="1">
      <c r="A14" s="791"/>
      <c r="B14" s="169" t="s">
        <v>3</v>
      </c>
      <c r="C14" s="103">
        <f>SUM(C7:C13)</f>
        <v>18594</v>
      </c>
      <c r="D14" s="115">
        <f>SUM(D7:D13)</f>
        <v>0</v>
      </c>
      <c r="E14" s="116">
        <f>SUM(E5:E13)</f>
        <v>0</v>
      </c>
      <c r="F14" s="106">
        <f>SUM(F6:F13)</f>
        <v>150</v>
      </c>
      <c r="G14" s="163"/>
      <c r="H14" s="170"/>
      <c r="I14" s="171"/>
      <c r="J14" s="217" t="str">
        <f>+'10'!J14</f>
        <v>N 20 RC HW</v>
      </c>
      <c r="K14" s="241">
        <f>+C34</f>
        <v>47020</v>
      </c>
      <c r="L14" s="241"/>
      <c r="M14" s="121">
        <f>+K14+'10'!M14+L14</f>
        <v>106644</v>
      </c>
      <c r="Q14" s="179">
        <f>SUM(Q6:Q11)</f>
        <v>335</v>
      </c>
      <c r="R14" s="179">
        <f>SUM(R6:R11)</f>
        <v>278050</v>
      </c>
      <c r="S14" s="179">
        <f>SUM(S6:S11)</f>
        <v>239122.99999999997</v>
      </c>
    </row>
    <row r="15" spans="1:19" ht="13.5" customHeight="1" thickBot="1">
      <c r="A15" s="789" t="s">
        <v>556</v>
      </c>
      <c r="B15" s="169"/>
      <c r="C15" s="117">
        <f>C14/($C$23+$D$23+$E$23)</f>
        <v>2.3465421504290762</v>
      </c>
      <c r="D15" s="118">
        <f>D14/($C$23+$D$23+$E$23)</f>
        <v>0</v>
      </c>
      <c r="E15" s="119">
        <f>E14/($C$23+$D$23+$E$23)</f>
        <v>0</v>
      </c>
      <c r="F15" s="230"/>
      <c r="G15" s="231" t="s">
        <v>13</v>
      </c>
      <c r="H15" s="232" t="s">
        <v>395</v>
      </c>
      <c r="I15" s="792" t="s">
        <v>553</v>
      </c>
      <c r="J15" s="217">
        <f>+'10'!J15</f>
        <v>0</v>
      </c>
      <c r="K15" s="241"/>
      <c r="L15" s="241"/>
      <c r="M15" s="121">
        <f>+K15+'10'!M15+L15</f>
        <v>0</v>
      </c>
      <c r="P15" s="153" t="s">
        <v>473</v>
      </c>
      <c r="Q15" s="153">
        <f>480-Q14</f>
        <v>145</v>
      </c>
      <c r="R15" s="179">
        <f>+R14/Q14</f>
        <v>830</v>
      </c>
      <c r="S15" s="179">
        <f>+S14/Q14</f>
        <v>713.8</v>
      </c>
    </row>
    <row r="16" spans="1:19" ht="13.5" thickBot="1">
      <c r="A16" s="795"/>
      <c r="B16" s="218" t="s">
        <v>536</v>
      </c>
      <c r="C16" s="224">
        <v>7924</v>
      </c>
      <c r="D16" s="225"/>
      <c r="E16" s="226"/>
      <c r="F16" s="233">
        <v>2</v>
      </c>
      <c r="G16" s="234" t="s">
        <v>13</v>
      </c>
      <c r="H16" s="232" t="s">
        <v>393</v>
      </c>
      <c r="I16" s="793"/>
      <c r="J16" s="217">
        <f>+'10'!J16</f>
        <v>0</v>
      </c>
      <c r="K16" s="241"/>
      <c r="L16" s="231"/>
      <c r="M16" s="121">
        <f>+K16+'10'!M16+L16</f>
        <v>0</v>
      </c>
    </row>
    <row r="17" spans="1:19" ht="13.5" thickBot="1">
      <c r="A17" s="795"/>
      <c r="B17" s="218"/>
      <c r="C17" s="219"/>
      <c r="D17" s="220"/>
      <c r="E17" s="227"/>
      <c r="F17" s="230">
        <v>3</v>
      </c>
      <c r="G17" s="234" t="s">
        <v>13</v>
      </c>
      <c r="H17" s="235" t="s">
        <v>226</v>
      </c>
      <c r="I17" s="793"/>
      <c r="J17" s="217">
        <f>+'10'!J17</f>
        <v>0</v>
      </c>
      <c r="K17" s="241"/>
      <c r="L17" s="231"/>
      <c r="M17" s="121">
        <f>+K17+'10'!M17+L17</f>
        <v>0</v>
      </c>
      <c r="N17" s="153" t="s">
        <v>552</v>
      </c>
      <c r="O17" s="153">
        <v>830</v>
      </c>
      <c r="P17" s="153">
        <f>+O17-(O17*0.14)</f>
        <v>713.8</v>
      </c>
      <c r="Q17" s="153">
        <f>60-45+240</f>
        <v>255</v>
      </c>
      <c r="R17" s="153">
        <f>+O17*Q17</f>
        <v>211650</v>
      </c>
      <c r="S17" s="153">
        <f>+P17*Q17</f>
        <v>182019</v>
      </c>
    </row>
    <row r="18" spans="1:19" ht="13.5" thickBot="1">
      <c r="A18" s="795"/>
      <c r="B18" s="218"/>
      <c r="C18" s="219"/>
      <c r="D18" s="220"/>
      <c r="E18" s="227"/>
      <c r="F18" s="230"/>
      <c r="G18" s="234"/>
      <c r="H18" s="235" t="s">
        <v>547</v>
      </c>
      <c r="I18" s="793"/>
      <c r="J18" s="217">
        <f>+'10'!J18</f>
        <v>0</v>
      </c>
      <c r="K18" s="241"/>
      <c r="L18" s="241"/>
      <c r="M18" s="121">
        <f>+K18+'10'!M18+L18</f>
        <v>0</v>
      </c>
    </row>
    <row r="19" spans="1:19" ht="64.5" thickBot="1">
      <c r="A19" s="795"/>
      <c r="B19" s="218"/>
      <c r="C19" s="219"/>
      <c r="D19" s="220"/>
      <c r="E19" s="227"/>
      <c r="F19" s="237"/>
      <c r="G19" s="234"/>
      <c r="H19" s="235" t="s">
        <v>548</v>
      </c>
      <c r="I19" s="793"/>
      <c r="J19" s="217">
        <f>+'10'!J19</f>
        <v>0</v>
      </c>
      <c r="K19" s="241"/>
      <c r="L19" s="241"/>
      <c r="M19" s="121">
        <f>+K19+'10'!M19+L19</f>
        <v>0</v>
      </c>
    </row>
    <row r="20" spans="1:19" ht="13.5" thickBot="1">
      <c r="A20" s="795"/>
      <c r="B20" s="218"/>
      <c r="C20" s="219"/>
      <c r="D20" s="220"/>
      <c r="E20" s="227"/>
      <c r="F20" s="230">
        <v>225</v>
      </c>
      <c r="G20" s="234" t="s">
        <v>69</v>
      </c>
      <c r="H20" s="235"/>
      <c r="I20" s="793"/>
      <c r="J20" s="217">
        <f>+'10'!J20</f>
        <v>0</v>
      </c>
      <c r="K20" s="241"/>
      <c r="L20" s="242"/>
      <c r="M20" s="121">
        <f>+K20+'10'!M20+L20</f>
        <v>0</v>
      </c>
      <c r="P20" s="153">
        <f>+O20-(O20*0.2)</f>
        <v>0</v>
      </c>
      <c r="R20" s="153">
        <f>+O20*Q20</f>
        <v>0</v>
      </c>
      <c r="S20" s="153">
        <f>+P20*Q20</f>
        <v>0</v>
      </c>
    </row>
    <row r="21" spans="1:19" ht="13.5" thickBot="1">
      <c r="A21" s="795"/>
      <c r="B21" s="218"/>
      <c r="C21" s="219"/>
      <c r="D21" s="220"/>
      <c r="E21" s="227"/>
      <c r="F21" s="233"/>
      <c r="G21" s="234"/>
      <c r="H21" s="235"/>
      <c r="I21" s="793"/>
      <c r="J21" s="217">
        <f>+'10'!J21</f>
        <v>0</v>
      </c>
      <c r="K21" s="241"/>
      <c r="L21" s="241"/>
      <c r="M21" s="121">
        <f>+K21+'10'!M21+L21</f>
        <v>0</v>
      </c>
      <c r="P21" s="153">
        <f>+O21-(O21*0.23)</f>
        <v>0</v>
      </c>
      <c r="R21" s="153">
        <f>+O21*Q21</f>
        <v>0</v>
      </c>
      <c r="S21" s="153">
        <f>+P21*Q21</f>
        <v>0</v>
      </c>
    </row>
    <row r="22" spans="1:19" ht="13.5" thickBot="1">
      <c r="A22" s="795"/>
      <c r="B22" s="218"/>
      <c r="C22" s="219"/>
      <c r="D22" s="220"/>
      <c r="E22" s="227"/>
      <c r="F22" s="238"/>
      <c r="G22" s="234"/>
      <c r="H22" s="235"/>
      <c r="I22" s="794"/>
      <c r="J22" s="217">
        <f>+'10'!J22</f>
        <v>0</v>
      </c>
      <c r="K22" s="241"/>
      <c r="L22" s="241"/>
      <c r="M22" s="121">
        <f>+K22+'10'!M22+L22</f>
        <v>0</v>
      </c>
      <c r="P22" s="153">
        <f>+O22-(O22*0.23)</f>
        <v>0</v>
      </c>
      <c r="R22" s="153">
        <f>+O22*Q22</f>
        <v>0</v>
      </c>
      <c r="S22" s="153">
        <f>+P22*Q22</f>
        <v>0</v>
      </c>
    </row>
    <row r="23" spans="1:19" ht="13.5" thickBot="1">
      <c r="A23" s="796"/>
      <c r="B23" s="169" t="s">
        <v>3</v>
      </c>
      <c r="C23" s="104">
        <f>SUM(C16:C22)</f>
        <v>7924</v>
      </c>
      <c r="D23" s="115">
        <f>SUM(D16:D22)</f>
        <v>0</v>
      </c>
      <c r="E23" s="116">
        <f>SUM(E18:E22)</f>
        <v>0</v>
      </c>
      <c r="F23" s="106">
        <f>SUM(F15:F22)</f>
        <v>230</v>
      </c>
      <c r="G23" s="163"/>
      <c r="H23" s="170"/>
      <c r="I23" s="172"/>
      <c r="J23" s="217">
        <f>+'10'!J23</f>
        <v>0</v>
      </c>
      <c r="K23" s="241"/>
      <c r="L23" s="241"/>
      <c r="M23" s="121">
        <f>+K23+'10'!M23+L23</f>
        <v>0</v>
      </c>
    </row>
    <row r="24" spans="1:19" ht="13.5" customHeight="1" thickBot="1">
      <c r="A24" s="789" t="s">
        <v>544</v>
      </c>
      <c r="B24" s="173"/>
      <c r="C24" s="117">
        <f>C23/($C$23+$D$23+$E$23)</f>
        <v>1</v>
      </c>
      <c r="D24" s="118">
        <f>D23/($C$23+$D$23+$E$23)</f>
        <v>0</v>
      </c>
      <c r="E24" s="119">
        <f>E23/($C$23+$D$23+$E$23)</f>
        <v>0</v>
      </c>
      <c r="F24" s="230">
        <v>6</v>
      </c>
      <c r="G24" s="231" t="s">
        <v>13</v>
      </c>
      <c r="H24" s="232" t="s">
        <v>392</v>
      </c>
      <c r="I24" s="792" t="s">
        <v>553</v>
      </c>
      <c r="J24" s="217">
        <f>+'10'!J24</f>
        <v>0</v>
      </c>
      <c r="K24" s="241"/>
      <c r="L24" s="241"/>
      <c r="M24" s="121">
        <f>+K24+'10'!M24+L24</f>
        <v>0</v>
      </c>
    </row>
    <row r="25" spans="1:19" ht="13.5" customHeight="1" thickBot="1">
      <c r="A25" s="795"/>
      <c r="B25" s="218" t="s">
        <v>536</v>
      </c>
      <c r="C25" s="228">
        <v>20502</v>
      </c>
      <c r="D25" s="220"/>
      <c r="E25" s="227"/>
      <c r="F25" s="233"/>
      <c r="G25" s="234" t="s">
        <v>13</v>
      </c>
      <c r="H25" s="232" t="s">
        <v>424</v>
      </c>
      <c r="I25" s="793"/>
      <c r="J25" s="217">
        <f>+'10'!J25</f>
        <v>0</v>
      </c>
      <c r="K25" s="241"/>
      <c r="L25" s="241"/>
      <c r="M25" s="121">
        <f>+K25+'10'!M25+L25</f>
        <v>0</v>
      </c>
      <c r="Q25" s="179">
        <f>SUM(Q17:Q22)</f>
        <v>255</v>
      </c>
      <c r="R25" s="179">
        <f>SUM(R17:R22)</f>
        <v>211650</v>
      </c>
      <c r="S25" s="179">
        <f>SUM(S17:S22)</f>
        <v>182019</v>
      </c>
    </row>
    <row r="26" spans="1:19" ht="13.5" customHeight="1" thickBot="1">
      <c r="A26" s="795"/>
      <c r="B26" s="218"/>
      <c r="C26" s="228"/>
      <c r="D26" s="220"/>
      <c r="E26" s="229"/>
      <c r="F26" s="230">
        <v>3</v>
      </c>
      <c r="G26" s="234" t="s">
        <v>13</v>
      </c>
      <c r="H26" s="235" t="s">
        <v>226</v>
      </c>
      <c r="I26" s="793"/>
      <c r="J26" s="217">
        <f>+'10'!J26</f>
        <v>0</v>
      </c>
      <c r="K26" s="231"/>
      <c r="L26" s="231"/>
      <c r="M26" s="121">
        <f>+K26+'10'!M26+L26</f>
        <v>0</v>
      </c>
      <c r="P26" s="153" t="s">
        <v>473</v>
      </c>
      <c r="Q26" s="153">
        <f>480-Q25</f>
        <v>225</v>
      </c>
      <c r="R26" s="179">
        <f>+R25/Q25</f>
        <v>830</v>
      </c>
      <c r="S26" s="179">
        <f>+S25/Q25</f>
        <v>713.8</v>
      </c>
    </row>
    <row r="27" spans="1:19" ht="13.5" customHeight="1" thickBot="1">
      <c r="A27" s="795"/>
      <c r="B27" s="218"/>
      <c r="C27" s="219"/>
      <c r="D27" s="220"/>
      <c r="E27" s="227"/>
      <c r="F27" s="230"/>
      <c r="G27" s="234"/>
      <c r="H27" s="235" t="s">
        <v>546</v>
      </c>
      <c r="I27" s="793"/>
      <c r="J27" s="217">
        <f>+'10'!J27</f>
        <v>0</v>
      </c>
      <c r="K27" s="231"/>
      <c r="L27" s="231"/>
      <c r="M27" s="121">
        <f>+K27+'10'!M27+L27</f>
        <v>0</v>
      </c>
      <c r="N27" s="153" t="s">
        <v>552</v>
      </c>
      <c r="O27" s="153">
        <v>830</v>
      </c>
      <c r="P27" s="153">
        <f>+O27-(O27*0.14)</f>
        <v>713.8</v>
      </c>
      <c r="Q27" s="153">
        <v>480</v>
      </c>
      <c r="R27" s="153">
        <f>+O27*Q27</f>
        <v>398400</v>
      </c>
      <c r="S27" s="153">
        <f>+P27*Q27</f>
        <v>342624</v>
      </c>
    </row>
    <row r="28" spans="1:19" ht="13.5" customHeight="1" thickBot="1">
      <c r="A28" s="795"/>
      <c r="B28" s="218"/>
      <c r="C28" s="219"/>
      <c r="D28" s="220"/>
      <c r="E28" s="227"/>
      <c r="F28" s="233"/>
      <c r="G28" s="234"/>
      <c r="H28" s="235"/>
      <c r="I28" s="793"/>
      <c r="J28" s="217">
        <f>+'10'!J28</f>
        <v>0</v>
      </c>
      <c r="K28" s="241"/>
      <c r="L28" s="241"/>
      <c r="M28" s="121">
        <f>+K28+'10'!M28+L28</f>
        <v>0</v>
      </c>
    </row>
    <row r="29" spans="1:19" ht="13.5" customHeight="1" thickBot="1">
      <c r="A29" s="795"/>
      <c r="B29" s="218"/>
      <c r="C29" s="219"/>
      <c r="D29" s="220"/>
      <c r="E29" s="227"/>
      <c r="F29" s="238"/>
      <c r="G29" s="234"/>
      <c r="H29" s="235"/>
      <c r="I29" s="793"/>
      <c r="J29" s="217">
        <f>+'10'!J29</f>
        <v>0</v>
      </c>
      <c r="K29" s="241"/>
      <c r="L29" s="241"/>
      <c r="M29" s="121">
        <f>+K29+'10'!M29+L29</f>
        <v>0</v>
      </c>
    </row>
    <row r="30" spans="1:19" ht="13.5" customHeight="1" thickBot="1">
      <c r="A30" s="795"/>
      <c r="B30" s="218"/>
      <c r="C30" s="228"/>
      <c r="D30" s="220"/>
      <c r="E30" s="227"/>
      <c r="F30" s="238"/>
      <c r="G30" s="234"/>
      <c r="H30" s="235"/>
      <c r="I30" s="793"/>
      <c r="J30" s="217">
        <f>+'10'!J30</f>
        <v>0</v>
      </c>
      <c r="K30" s="242"/>
      <c r="L30" s="242"/>
      <c r="M30" s="121">
        <f>+K30+'10'!M30+L30</f>
        <v>0</v>
      </c>
      <c r="P30" s="153">
        <f>+O30-(O30*0.2)</f>
        <v>0</v>
      </c>
      <c r="R30" s="153">
        <f>+O30*Q30</f>
        <v>0</v>
      </c>
      <c r="S30" s="153">
        <f>+P30*Q30</f>
        <v>0</v>
      </c>
    </row>
    <row r="31" spans="1:19" ht="13.5" customHeight="1" thickBot="1">
      <c r="A31" s="795"/>
      <c r="B31" s="218"/>
      <c r="C31" s="228"/>
      <c r="D31" s="220"/>
      <c r="E31" s="227"/>
      <c r="F31" s="238"/>
      <c r="G31" s="239"/>
      <c r="H31" s="236"/>
      <c r="I31" s="794"/>
      <c r="J31" s="217">
        <f>+'10'!J31</f>
        <v>0</v>
      </c>
      <c r="K31" s="241"/>
      <c r="L31" s="241"/>
      <c r="M31" s="121">
        <f>+K31+'10'!M31+L31</f>
        <v>0</v>
      </c>
      <c r="P31" s="153">
        <f>+O31-(O31*0.23)</f>
        <v>0</v>
      </c>
      <c r="R31" s="153">
        <f>+O31*Q31</f>
        <v>0</v>
      </c>
      <c r="S31" s="153">
        <f>+P31*Q31</f>
        <v>0</v>
      </c>
    </row>
    <row r="32" spans="1:19" ht="13.5" customHeight="1" thickBot="1">
      <c r="A32" s="796"/>
      <c r="B32" s="169" t="s">
        <v>3</v>
      </c>
      <c r="C32" s="103">
        <f>SUM(C25:C31)</f>
        <v>20502</v>
      </c>
      <c r="D32" s="104">
        <f>SUM(D25:D31)</f>
        <v>0</v>
      </c>
      <c r="E32" s="105">
        <f>SUM(E25:E31)</f>
        <v>0</v>
      </c>
      <c r="F32" s="106">
        <f>SUM(F24:F31)</f>
        <v>9</v>
      </c>
      <c r="G32" s="174"/>
      <c r="H32" s="175"/>
      <c r="I32" s="172"/>
      <c r="J32" s="217">
        <f>+'10'!J32</f>
        <v>0</v>
      </c>
      <c r="K32" s="241"/>
      <c r="L32" s="241"/>
      <c r="M32" s="121">
        <f>+K32+'10'!M32+L32</f>
        <v>0</v>
      </c>
      <c r="P32" s="153">
        <f>+O32-(O32*0.23)</f>
        <v>0</v>
      </c>
      <c r="R32" s="153">
        <f>+O32*Q32</f>
        <v>0</v>
      </c>
      <c r="S32" s="153">
        <f>+P32*Q32</f>
        <v>0</v>
      </c>
    </row>
    <row r="33" spans="1:19" ht="13.5" thickBot="1">
      <c r="A33" s="176"/>
      <c r="B33" s="177"/>
      <c r="C33" s="107">
        <f>C32/($C$32+$D$32+$E$32)</f>
        <v>1</v>
      </c>
      <c r="D33" s="108">
        <f>D32/($C$32+$D$32+$E$32)</f>
        <v>0</v>
      </c>
      <c r="E33" s="109">
        <f>E32/($C$32+$D$32+$E$32)</f>
        <v>0</v>
      </c>
      <c r="F33" s="110"/>
      <c r="G33" s="178"/>
      <c r="H33" s="179"/>
      <c r="I33" s="180"/>
      <c r="J33" s="125"/>
      <c r="K33" s="126"/>
      <c r="L33" s="216"/>
      <c r="M33" s="123"/>
    </row>
    <row r="34" spans="1:19" ht="13.5" thickBot="1">
      <c r="A34" s="797" t="s">
        <v>60</v>
      </c>
      <c r="B34" s="798"/>
      <c r="C34" s="111">
        <f>C14+C23+C32</f>
        <v>47020</v>
      </c>
      <c r="D34" s="111">
        <f>D14+D23+D32</f>
        <v>0</v>
      </c>
      <c r="E34" s="111">
        <f>E14+E23+E32</f>
        <v>0</v>
      </c>
      <c r="F34" s="112">
        <f>F14+F23+F32</f>
        <v>389</v>
      </c>
      <c r="H34" s="181"/>
      <c r="I34" s="181"/>
      <c r="J34" s="127" t="s">
        <v>29</v>
      </c>
      <c r="K34" s="128">
        <f>SUM(K7:K32)</f>
        <v>47020</v>
      </c>
      <c r="L34" s="215">
        <f>SUM(L7:L32)</f>
        <v>0</v>
      </c>
      <c r="M34" s="124">
        <f>SUM(M7:M32)</f>
        <v>475540</v>
      </c>
    </row>
    <row r="35" spans="1:19" ht="13.5" thickBot="1">
      <c r="A35" s="182"/>
      <c r="B35" s="183"/>
      <c r="C35" s="108">
        <f>C34/($C$34+$D$34+$E$34)</f>
        <v>1</v>
      </c>
      <c r="D35" s="108">
        <f>D34/($C$34+$D$34+$E$34)</f>
        <v>0</v>
      </c>
      <c r="E35" s="113">
        <f>E34/($C$34+$D$34+$E$34)</f>
        <v>0</v>
      </c>
      <c r="K35" s="159"/>
      <c r="L35" s="788" t="s">
        <v>186</v>
      </c>
      <c r="M35" s="788"/>
      <c r="Q35" s="179">
        <f>SUM(Q27:Q32)</f>
        <v>480</v>
      </c>
      <c r="R35" s="179">
        <f>SUM(R27:R32)</f>
        <v>398400</v>
      </c>
      <c r="S35" s="179">
        <f>SUM(S27:S32)</f>
        <v>342624</v>
      </c>
    </row>
    <row r="36" spans="1:19" ht="13.5" thickBot="1">
      <c r="A36" s="181"/>
      <c r="B36" s="181"/>
      <c r="C36" s="159"/>
      <c r="D36" s="159"/>
      <c r="E36" s="159"/>
      <c r="G36" s="159"/>
      <c r="H36" s="184"/>
      <c r="I36" s="166" t="s">
        <v>42</v>
      </c>
      <c r="J36" s="166" t="s">
        <v>43</v>
      </c>
      <c r="K36" s="185"/>
      <c r="L36" s="166" t="s">
        <v>42</v>
      </c>
      <c r="M36" s="166" t="s">
        <v>43</v>
      </c>
      <c r="P36" s="153" t="s">
        <v>473</v>
      </c>
      <c r="Q36" s="153">
        <f>480-Q35</f>
        <v>0</v>
      </c>
      <c r="R36" s="179">
        <f>+R35/Q35</f>
        <v>830</v>
      </c>
      <c r="S36" s="179">
        <f>+S35/Q35</f>
        <v>713.8</v>
      </c>
    </row>
    <row r="37" spans="1:19" ht="17.45" customHeight="1" thickBot="1">
      <c r="A37" s="801" t="s">
        <v>61</v>
      </c>
      <c r="B37" s="802"/>
      <c r="C37" s="166" t="s">
        <v>62</v>
      </c>
      <c r="D37" s="186" t="s">
        <v>63</v>
      </c>
      <c r="E37" s="187" t="s">
        <v>64</v>
      </c>
      <c r="F37" s="372"/>
      <c r="G37" s="374"/>
      <c r="H37" s="189" t="s">
        <v>65</v>
      </c>
      <c r="I37" s="246">
        <f>(20*1070)/1070*G42*3.4*1070/1000000</f>
        <v>51.936087999999998</v>
      </c>
      <c r="J37" s="129">
        <f>+I37+'10'!J37</f>
        <v>547.79777799540011</v>
      </c>
      <c r="K37" s="130" t="s">
        <v>66</v>
      </c>
      <c r="L37" s="437"/>
      <c r="M37" s="438"/>
    </row>
    <row r="38" spans="1:19" ht="17.45" customHeight="1">
      <c r="A38" s="803" t="s">
        <v>13</v>
      </c>
      <c r="B38" s="804"/>
      <c r="C38" s="168">
        <f>SUMIF($G$7:$G$31,"Process",$F$7:$F$31)</f>
        <v>19</v>
      </c>
      <c r="D38" s="122">
        <f>+C38+'10'!D38</f>
        <v>567</v>
      </c>
      <c r="E38" s="147">
        <f t="shared" ref="E38:E51" si="2">D38/60</f>
        <v>9.4499999999999993</v>
      </c>
      <c r="F38" s="372">
        <v>830</v>
      </c>
      <c r="G38" s="372">
        <v>713.8</v>
      </c>
      <c r="H38" s="190" t="s">
        <v>67</v>
      </c>
      <c r="I38" s="559">
        <f>17.094+11.352+21.12</f>
        <v>49.566000000000003</v>
      </c>
      <c r="J38" s="131">
        <f>+I38+'10'!J38</f>
        <v>499.83699999999999</v>
      </c>
      <c r="K38" s="132" t="s">
        <v>66</v>
      </c>
      <c r="L38" s="439"/>
      <c r="M38" s="440"/>
      <c r="N38" s="153">
        <v>335</v>
      </c>
    </row>
    <row r="39" spans="1:19" ht="17.45" customHeight="1">
      <c r="A39" s="799" t="s">
        <v>14</v>
      </c>
      <c r="B39" s="800"/>
      <c r="C39" s="168">
        <f>SUMIF($G$7:$G$31,"Cleaning",$F$7:$F$31)</f>
        <v>0</v>
      </c>
      <c r="D39" s="122">
        <f>+C39+'10'!D39</f>
        <v>0</v>
      </c>
      <c r="E39" s="147">
        <f t="shared" si="2"/>
        <v>0</v>
      </c>
      <c r="F39" s="372">
        <v>830</v>
      </c>
      <c r="G39" s="372">
        <v>713.8</v>
      </c>
      <c r="H39" s="190" t="s">
        <v>68</v>
      </c>
      <c r="I39" s="146"/>
      <c r="J39" s="133">
        <f>J37/G4</f>
        <v>49.799797999581827</v>
      </c>
      <c r="K39" s="134" t="s">
        <v>66</v>
      </c>
      <c r="L39" s="439"/>
      <c r="M39" s="440"/>
      <c r="N39" s="153">
        <v>255</v>
      </c>
    </row>
    <row r="40" spans="1:19" ht="17.45" customHeight="1">
      <c r="A40" s="799" t="s">
        <v>69</v>
      </c>
      <c r="B40" s="800"/>
      <c r="C40" s="168">
        <f>SUMIF($G$7:$G$31,"Mechanical",$F$7:$F$31)</f>
        <v>370</v>
      </c>
      <c r="D40" s="122">
        <f>+C40+'10'!D40</f>
        <v>700</v>
      </c>
      <c r="E40" s="147">
        <f t="shared" si="2"/>
        <v>11.666666666666666</v>
      </c>
      <c r="F40" s="372">
        <v>830</v>
      </c>
      <c r="G40" s="372">
        <v>713.8</v>
      </c>
      <c r="H40" s="190" t="s">
        <v>70</v>
      </c>
      <c r="I40" s="122">
        <f>(K34+L34)/1000</f>
        <v>47.02</v>
      </c>
      <c r="J40" s="135">
        <f>+I40+'10'!J40</f>
        <v>475.54</v>
      </c>
      <c r="K40" s="134" t="s">
        <v>66</v>
      </c>
      <c r="L40" s="439"/>
      <c r="M40" s="440"/>
      <c r="N40" s="153">
        <v>480</v>
      </c>
    </row>
    <row r="41" spans="1:19" ht="17.45" customHeight="1">
      <c r="A41" s="799" t="s">
        <v>71</v>
      </c>
      <c r="B41" s="800"/>
      <c r="C41" s="168">
        <f>SUMIF($G$7:$G$31,"Electrical",$F$7:$F$31)</f>
        <v>0</v>
      </c>
      <c r="D41" s="122">
        <f>+C41+'10'!D41</f>
        <v>285</v>
      </c>
      <c r="E41" s="147">
        <f t="shared" si="2"/>
        <v>4.75</v>
      </c>
      <c r="F41" s="372"/>
      <c r="G41" s="372"/>
      <c r="H41" s="190" t="s">
        <v>72</v>
      </c>
      <c r="I41" s="146"/>
      <c r="J41" s="133">
        <f>J40/G4</f>
        <v>43.230909090909094</v>
      </c>
      <c r="K41" s="134" t="s">
        <v>66</v>
      </c>
      <c r="L41" s="439"/>
      <c r="M41" s="440"/>
      <c r="N41" s="153">
        <f>+N38+N39+N40</f>
        <v>1070</v>
      </c>
    </row>
    <row r="42" spans="1:19" ht="17.45" customHeight="1">
      <c r="A42" s="799" t="s">
        <v>17</v>
      </c>
      <c r="B42" s="800"/>
      <c r="C42" s="168">
        <f>SUMIF($G$7:$G$31,"Instrument",$F$7:$F$31)</f>
        <v>0</v>
      </c>
      <c r="D42" s="122">
        <f>+C42+'10'!D42</f>
        <v>0</v>
      </c>
      <c r="E42" s="147">
        <f t="shared" si="2"/>
        <v>0</v>
      </c>
      <c r="F42" s="372">
        <f>+(335*F38+255*F39+480*F40)/1070</f>
        <v>830</v>
      </c>
      <c r="G42" s="372">
        <f>+(335*G38+255*G39+480*G40)/1070</f>
        <v>713.8</v>
      </c>
      <c r="H42" s="190" t="s">
        <v>73</v>
      </c>
      <c r="I42" s="248" t="s">
        <v>553</v>
      </c>
      <c r="J42" s="136"/>
      <c r="K42" s="134" t="s">
        <v>74</v>
      </c>
      <c r="L42" s="439"/>
      <c r="M42" s="440"/>
    </row>
    <row r="43" spans="1:19" ht="17.45" customHeight="1">
      <c r="A43" s="799" t="s">
        <v>201</v>
      </c>
      <c r="B43" s="800"/>
      <c r="C43" s="168">
        <f>SUMIF($G$7:$G$31,"Change Grade",$F$7:$F$31)</f>
        <v>0</v>
      </c>
      <c r="D43" s="122">
        <f>+C43+'10'!D43</f>
        <v>0</v>
      </c>
      <c r="E43" s="147">
        <f t="shared" si="2"/>
        <v>0</v>
      </c>
      <c r="F43" s="372"/>
      <c r="G43" s="373"/>
      <c r="H43" s="191" t="s">
        <v>76</v>
      </c>
      <c r="I43" s="122">
        <f>+Report1!AH19</f>
        <v>97.397999999999996</v>
      </c>
      <c r="J43" s="137">
        <f>+I43+'10'!J43</f>
        <v>1173.9549999999999</v>
      </c>
      <c r="K43" s="134" t="s">
        <v>66</v>
      </c>
      <c r="L43" s="441">
        <f>+Report1!AN19</f>
        <v>10.7</v>
      </c>
      <c r="M43" s="442">
        <f>+L43+'10'!M43</f>
        <v>110.20000000000002</v>
      </c>
    </row>
    <row r="44" spans="1:19" ht="17.45" customHeight="1">
      <c r="A44" s="799" t="s">
        <v>18</v>
      </c>
      <c r="B44" s="800"/>
      <c r="C44" s="168">
        <f>SUMIF($G$7:$G$31,"PLN",$F$7:$F$31)</f>
        <v>0</v>
      </c>
      <c r="D44" s="122">
        <f>+C44+'10'!D44</f>
        <v>105</v>
      </c>
      <c r="E44" s="147">
        <f t="shared" si="2"/>
        <v>1.75</v>
      </c>
      <c r="F44" s="372"/>
      <c r="G44" s="373"/>
      <c r="H44" s="191" t="s">
        <v>77</v>
      </c>
      <c r="I44" s="122">
        <f>I43/I38</f>
        <v>1.9650163418472337</v>
      </c>
      <c r="J44" s="138">
        <f>J43/J38</f>
        <v>2.3486756682678553</v>
      </c>
      <c r="K44" s="134" t="s">
        <v>66</v>
      </c>
      <c r="L44" s="443">
        <f>+L43/I38</f>
        <v>0.21587378444901745</v>
      </c>
      <c r="M44" s="444">
        <f>+M43/J38</f>
        <v>0.22047187383086891</v>
      </c>
    </row>
    <row r="45" spans="1:19" ht="17.45" customHeight="1">
      <c r="A45" s="799" t="s">
        <v>19</v>
      </c>
      <c r="B45" s="800"/>
      <c r="C45" s="168">
        <f>SUMIF($G$7:$G$31,"Boiler",$F$7:$F$31)</f>
        <v>0</v>
      </c>
      <c r="D45" s="122">
        <f>+C45+'10'!D45</f>
        <v>0</v>
      </c>
      <c r="E45" s="147">
        <f t="shared" si="2"/>
        <v>0</v>
      </c>
      <c r="F45" s="372"/>
      <c r="G45" s="375"/>
      <c r="H45" s="191" t="s">
        <v>78</v>
      </c>
      <c r="I45" s="122">
        <f>I43/I40</f>
        <v>2.0714164185452995</v>
      </c>
      <c r="J45" s="138">
        <f>J43/J40</f>
        <v>2.4686777137569917</v>
      </c>
      <c r="K45" s="134" t="s">
        <v>66</v>
      </c>
      <c r="L45" s="443">
        <f>+L43/I40</f>
        <v>0.22756273925988937</v>
      </c>
      <c r="M45" s="444">
        <f>+M43/J40</f>
        <v>0.23173655213020988</v>
      </c>
    </row>
    <row r="46" spans="1:19" ht="17.45" customHeight="1">
      <c r="A46" s="799" t="s">
        <v>79</v>
      </c>
      <c r="B46" s="800"/>
      <c r="C46" s="168">
        <f>SUMIF($G$7:$G$31,"Gas",$F$7:$F$31)</f>
        <v>0</v>
      </c>
      <c r="D46" s="122">
        <f>+C46+'10'!D46</f>
        <v>0</v>
      </c>
      <c r="E46" s="147">
        <f t="shared" si="2"/>
        <v>0</v>
      </c>
      <c r="F46" s="372"/>
      <c r="G46" s="373"/>
      <c r="H46" s="191" t="s">
        <v>80</v>
      </c>
      <c r="I46" s="144">
        <f>+SUMIF(Listrik!AC18,"&gt;0")</f>
        <v>35062.459999999912</v>
      </c>
      <c r="J46" s="139">
        <f>+I46+'10'!J46</f>
        <v>327562.16000000125</v>
      </c>
      <c r="K46" s="134" t="s">
        <v>81</v>
      </c>
      <c r="L46" s="443">
        <f>+Listrik!AF18</f>
        <v>5382</v>
      </c>
      <c r="M46" s="445">
        <f>+L46+'10'!M46</f>
        <v>78604</v>
      </c>
    </row>
    <row r="47" spans="1:19" ht="17.45" customHeight="1">
      <c r="A47" s="799" t="s">
        <v>82</v>
      </c>
      <c r="B47" s="800"/>
      <c r="C47" s="168">
        <f>SUMIF($G$7:$G$31,"Gas",$F$7:$F$31)</f>
        <v>0</v>
      </c>
      <c r="D47" s="122">
        <f>+C47+'10'!D47</f>
        <v>0</v>
      </c>
      <c r="E47" s="147">
        <f t="shared" si="2"/>
        <v>0</v>
      </c>
      <c r="F47" s="372"/>
      <c r="G47" s="373"/>
      <c r="H47" s="191" t="s">
        <v>83</v>
      </c>
      <c r="I47" s="122">
        <f>I46/I38</f>
        <v>707.389339466568</v>
      </c>
      <c r="J47" s="139">
        <f>J46/J38</f>
        <v>655.33796017501959</v>
      </c>
      <c r="K47" s="134" t="s">
        <v>25</v>
      </c>
      <c r="L47" s="443">
        <f>+L46/I38</f>
        <v>108.58249606585159</v>
      </c>
      <c r="M47" s="444">
        <f>+M46/J38</f>
        <v>157.2592665208858</v>
      </c>
    </row>
    <row r="48" spans="1:19" ht="17.45" customHeight="1">
      <c r="A48" s="799" t="s">
        <v>15</v>
      </c>
      <c r="B48" s="800"/>
      <c r="C48" s="168">
        <f>SUMIF($G$7:$G$31,"Start Up",$F$7:$F$31)</f>
        <v>0</v>
      </c>
      <c r="D48" s="122">
        <f>+C48+'10'!D48</f>
        <v>0</v>
      </c>
      <c r="E48" s="147">
        <f t="shared" si="2"/>
        <v>0</v>
      </c>
      <c r="F48" s="372"/>
      <c r="G48" s="373"/>
      <c r="H48" s="191" t="s">
        <v>84</v>
      </c>
      <c r="I48" s="122">
        <f>I46/I40</f>
        <v>745.69247128881136</v>
      </c>
      <c r="J48" s="139">
        <f>J46/J40</f>
        <v>688.82146612272629</v>
      </c>
      <c r="K48" s="134" t="s">
        <v>25</v>
      </c>
      <c r="L48" s="443">
        <f>+L46/I38</f>
        <v>108.58249606585159</v>
      </c>
      <c r="M48" s="444">
        <f>+M46/J40</f>
        <v>165.29419186608908</v>
      </c>
    </row>
    <row r="49" spans="1:13" ht="17.45" customHeight="1">
      <c r="A49" s="799" t="s">
        <v>21</v>
      </c>
      <c r="B49" s="800"/>
      <c r="C49" s="168">
        <f>SUMIF($G$7:$G$31,"Others",$F$7:$F$31)</f>
        <v>0</v>
      </c>
      <c r="D49" s="122">
        <f>+C49+'10'!D49</f>
        <v>1440</v>
      </c>
      <c r="E49" s="147">
        <f t="shared" si="2"/>
        <v>24</v>
      </c>
      <c r="F49" s="188"/>
      <c r="H49" s="191" t="s">
        <v>170</v>
      </c>
      <c r="I49" s="122">
        <f>+Report1!AB19</f>
        <v>0</v>
      </c>
      <c r="J49" s="139">
        <f>+I49+'10'!J49</f>
        <v>0</v>
      </c>
      <c r="K49" s="134" t="s">
        <v>86</v>
      </c>
      <c r="L49" s="439"/>
      <c r="M49" s="440"/>
    </row>
    <row r="50" spans="1:13" ht="17.45" customHeight="1">
      <c r="A50" s="799" t="s">
        <v>20</v>
      </c>
      <c r="B50" s="800"/>
      <c r="C50" s="168">
        <f>SUMIF($G$7:$G$31,"Steam",$F$7:$F$31)</f>
        <v>0</v>
      </c>
      <c r="D50" s="122">
        <f>+C50+'10'!D50</f>
        <v>0</v>
      </c>
      <c r="E50" s="147">
        <f t="shared" si="2"/>
        <v>0</v>
      </c>
      <c r="F50" s="188"/>
      <c r="H50" s="191" t="s">
        <v>87</v>
      </c>
      <c r="I50" s="144">
        <f>I49/I38</f>
        <v>0</v>
      </c>
      <c r="J50" s="137">
        <f>J49/J38</f>
        <v>0</v>
      </c>
      <c r="K50" s="134" t="s">
        <v>86</v>
      </c>
      <c r="L50" s="439"/>
      <c r="M50" s="440"/>
    </row>
    <row r="51" spans="1:13" ht="17.45" customHeight="1" thickBot="1">
      <c r="A51" s="805" t="s">
        <v>88</v>
      </c>
      <c r="B51" s="806"/>
      <c r="C51" s="168">
        <f>SUMIF($G$7:$G$31,"Planned shut",$F$7:$F$31)</f>
        <v>0</v>
      </c>
      <c r="D51" s="122">
        <f>+C51+'10'!D51</f>
        <v>0</v>
      </c>
      <c r="E51" s="147">
        <f t="shared" si="2"/>
        <v>0</v>
      </c>
      <c r="F51" s="188"/>
      <c r="H51" s="193" t="s">
        <v>89</v>
      </c>
      <c r="I51" s="145">
        <f>I49/I40</f>
        <v>0</v>
      </c>
      <c r="J51" s="140">
        <f>J49/J40</f>
        <v>0</v>
      </c>
      <c r="K51" s="141" t="s">
        <v>86</v>
      </c>
      <c r="L51" s="439"/>
      <c r="M51" s="440"/>
    </row>
    <row r="52" spans="1:13" ht="13.5" thickBot="1">
      <c r="A52" s="803" t="s">
        <v>29</v>
      </c>
      <c r="B52" s="804"/>
      <c r="C52" s="148">
        <f>SUM(C38:C51)</f>
        <v>389</v>
      </c>
      <c r="D52" s="148">
        <f>SUM(D38:D51)</f>
        <v>3097</v>
      </c>
      <c r="E52" s="149">
        <f>SUM(E38:E51)</f>
        <v>51.616666666666667</v>
      </c>
      <c r="F52" s="188"/>
      <c r="H52" s="194"/>
      <c r="I52" s="195"/>
      <c r="J52" s="142"/>
      <c r="K52" s="143"/>
      <c r="L52" s="446"/>
      <c r="M52" s="447"/>
    </row>
    <row r="53" spans="1:13" ht="13.5" thickBot="1">
      <c r="A53" s="807"/>
      <c r="B53" s="808"/>
      <c r="C53" s="150">
        <f>C52/(24*60)</f>
        <v>0.27013888888888887</v>
      </c>
      <c r="D53" s="150">
        <f>D52/(24*60*G4)</f>
        <v>0.19551767676767676</v>
      </c>
      <c r="E53" s="151">
        <f>E52/(G4*24)</f>
        <v>0.19551767676767676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90</v>
      </c>
      <c r="B56" s="198"/>
      <c r="C56" s="199"/>
      <c r="D56" s="199"/>
      <c r="E56" s="199"/>
      <c r="F56" s="200"/>
      <c r="G56" s="199"/>
      <c r="H56" s="201"/>
      <c r="I56" s="202" t="s">
        <v>91</v>
      </c>
      <c r="J56" s="203">
        <f>+D34+'10'!J56</f>
        <v>11553</v>
      </c>
      <c r="K56" s="204">
        <f>J56/(J40+J56/1000)/1000</f>
        <v>2.3718263247470193E-2</v>
      </c>
    </row>
    <row r="57" spans="1:13">
      <c r="A57" s="179"/>
      <c r="I57" s="202" t="s">
        <v>92</v>
      </c>
      <c r="J57" s="203">
        <f>+E34+'10'!J57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  <c r="J58" s="153">
        <v>325</v>
      </c>
    </row>
    <row r="59" spans="1:13">
      <c r="A59" s="208"/>
      <c r="B59" s="179"/>
      <c r="C59" s="179"/>
      <c r="D59" s="179"/>
      <c r="E59" s="179"/>
      <c r="F59" s="192"/>
      <c r="G59" s="179"/>
      <c r="H59" s="207"/>
      <c r="J59" s="159">
        <f>+J56+J58</f>
        <v>11878</v>
      </c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41:B41"/>
    <mergeCell ref="A7:A14"/>
    <mergeCell ref="A40:B40"/>
    <mergeCell ref="A34:B34"/>
    <mergeCell ref="A38:B38"/>
    <mergeCell ref="A39:B39"/>
    <mergeCell ref="I7:I13"/>
    <mergeCell ref="A15:A23"/>
    <mergeCell ref="I15:I22"/>
    <mergeCell ref="A45:B45"/>
    <mergeCell ref="A42:B42"/>
    <mergeCell ref="I24:I31"/>
    <mergeCell ref="A37:B37"/>
    <mergeCell ref="A44:B44"/>
    <mergeCell ref="A24:A32"/>
    <mergeCell ref="A43:B43"/>
    <mergeCell ref="A53:B53"/>
    <mergeCell ref="A52:B52"/>
    <mergeCell ref="A46:B46"/>
    <mergeCell ref="A51:B51"/>
    <mergeCell ref="A50:B50"/>
    <mergeCell ref="A49:B49"/>
    <mergeCell ref="A47:B47"/>
    <mergeCell ref="A48:B48"/>
  </mergeCells>
  <phoneticPr fontId="31" type="noConversion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O61"/>
  <sheetViews>
    <sheetView view="pageBreakPreview" zoomScale="80" zoomScaleNormal="75" zoomScaleSheetLayoutView="80" workbookViewId="0">
      <selection activeCell="A7" sqref="A7:B32"/>
    </sheetView>
  </sheetViews>
  <sheetFormatPr defaultColWidth="9.140625" defaultRowHeight="12.75"/>
  <cols>
    <col min="1" max="1" width="8" style="153" customWidth="1"/>
    <col min="2" max="2" width="7" style="153" bestFit="1" customWidth="1"/>
    <col min="3" max="3" width="14.85546875" style="153" bestFit="1" customWidth="1"/>
    <col min="4" max="4" width="12.5703125" style="153" bestFit="1" customWidth="1"/>
    <col min="5" max="5" width="13.85546875" style="153" bestFit="1" customWidth="1"/>
    <col min="6" max="6" width="12.140625" style="114" bestFit="1" customWidth="1"/>
    <col min="7" max="7" width="11.42578125" style="153" bestFit="1" customWidth="1"/>
    <col min="8" max="8" width="64.85546875" style="153" customWidth="1"/>
    <col min="9" max="9" width="14.7109375" style="153" bestFit="1" customWidth="1"/>
    <col min="10" max="10" width="19.140625" style="153" customWidth="1"/>
    <col min="11" max="11" width="12.5703125" style="153" bestFit="1" customWidth="1"/>
    <col min="12" max="12" width="8.28515625" style="153" customWidth="1"/>
    <col min="13" max="13" width="12.140625" style="153" customWidth="1"/>
    <col min="14" max="16384" width="9.140625" style="153"/>
  </cols>
  <sheetData>
    <row r="1" spans="1:15" ht="15.75">
      <c r="A1" s="152"/>
    </row>
    <row r="2" spans="1:15" ht="15.75">
      <c r="A2" s="152" t="s">
        <v>175</v>
      </c>
    </row>
    <row r="3" spans="1:15" ht="15">
      <c r="A3" s="154"/>
    </row>
    <row r="4" spans="1:15" ht="20.25">
      <c r="A4" s="155" t="s">
        <v>4</v>
      </c>
      <c r="B4" s="156"/>
      <c r="F4" s="157" t="s">
        <v>31</v>
      </c>
      <c r="G4" s="158">
        <v>10</v>
      </c>
      <c r="H4" s="158" t="str">
        <f>+'1'!H4</f>
        <v>.12.25</v>
      </c>
    </row>
    <row r="5" spans="1:15" ht="13.5" thickBot="1">
      <c r="C5" s="159"/>
      <c r="D5" s="159"/>
    </row>
    <row r="6" spans="1:15" ht="26.25" thickBot="1">
      <c r="A6" s="160" t="s">
        <v>50</v>
      </c>
      <c r="B6" s="161" t="s">
        <v>10</v>
      </c>
      <c r="C6" s="161" t="s">
        <v>51</v>
      </c>
      <c r="D6" s="161" t="s">
        <v>52</v>
      </c>
      <c r="E6" s="162" t="s">
        <v>53</v>
      </c>
      <c r="F6" s="106" t="s">
        <v>54</v>
      </c>
      <c r="G6" s="161" t="s">
        <v>55</v>
      </c>
      <c r="H6" s="163" t="s">
        <v>56</v>
      </c>
      <c r="I6" s="164" t="s">
        <v>57</v>
      </c>
      <c r="J6" s="165" t="s">
        <v>10</v>
      </c>
      <c r="K6" s="166" t="s">
        <v>58</v>
      </c>
      <c r="L6" s="213" t="s">
        <v>143</v>
      </c>
      <c r="M6" s="167" t="s">
        <v>59</v>
      </c>
      <c r="N6" s="153">
        <f>396+343+330</f>
        <v>1069</v>
      </c>
    </row>
    <row r="7" spans="1:15" ht="13.5" customHeight="1" thickBot="1">
      <c r="A7" s="789" t="s">
        <v>415</v>
      </c>
      <c r="B7" s="218" t="s">
        <v>536</v>
      </c>
      <c r="C7" s="219">
        <v>21239</v>
      </c>
      <c r="D7" s="220"/>
      <c r="E7" s="221"/>
      <c r="F7" s="230"/>
      <c r="G7" s="231" t="s">
        <v>13</v>
      </c>
      <c r="H7" s="232" t="s">
        <v>395</v>
      </c>
      <c r="I7" s="792" t="s">
        <v>508</v>
      </c>
      <c r="J7" s="217" t="str">
        <f>+'9'!J7</f>
        <v>TW 38 RC BR</v>
      </c>
      <c r="K7" s="240"/>
      <c r="L7" s="244"/>
      <c r="M7" s="121">
        <f>+K7+'9'!M7+L7</f>
        <v>78513</v>
      </c>
    </row>
    <row r="8" spans="1:15" ht="13.5" thickBot="1">
      <c r="A8" s="790"/>
      <c r="B8" s="218"/>
      <c r="C8" s="219"/>
      <c r="D8" s="220"/>
      <c r="E8" s="222"/>
      <c r="F8" s="233">
        <v>14</v>
      </c>
      <c r="G8" s="234" t="s">
        <v>13</v>
      </c>
      <c r="H8" s="232" t="s">
        <v>394</v>
      </c>
      <c r="I8" s="793"/>
      <c r="J8" s="217" t="str">
        <f>+'9'!J8</f>
        <v>TW 36 RC BR</v>
      </c>
      <c r="K8" s="241"/>
      <c r="L8" s="241"/>
      <c r="M8" s="121">
        <f>+K8+'9'!M8+L8</f>
        <v>1530</v>
      </c>
      <c r="N8" s="153">
        <v>830</v>
      </c>
      <c r="O8" s="153">
        <f>+N8-N8*0.14</f>
        <v>713.8</v>
      </c>
    </row>
    <row r="9" spans="1:15" ht="13.5" thickBot="1">
      <c r="A9" s="790"/>
      <c r="B9" s="218"/>
      <c r="C9" s="219"/>
      <c r="D9" s="220"/>
      <c r="E9" s="223"/>
      <c r="F9" s="230">
        <v>5</v>
      </c>
      <c r="G9" s="234" t="s">
        <v>13</v>
      </c>
      <c r="H9" s="235" t="s">
        <v>226</v>
      </c>
      <c r="I9" s="793"/>
      <c r="J9" s="217" t="str">
        <f>+'9'!J9</f>
        <v>N 20 RC BR</v>
      </c>
      <c r="K9" s="241"/>
      <c r="L9" s="241"/>
      <c r="M9" s="121">
        <f>+K9+'9'!M9+L9</f>
        <v>74204</v>
      </c>
    </row>
    <row r="10" spans="1:15" ht="13.5" thickBot="1">
      <c r="A10" s="790"/>
      <c r="B10" s="218"/>
      <c r="C10" s="219"/>
      <c r="D10" s="220"/>
      <c r="E10" s="222"/>
      <c r="F10" s="230"/>
      <c r="G10" s="234"/>
      <c r="H10" s="235" t="s">
        <v>541</v>
      </c>
      <c r="I10" s="793"/>
      <c r="J10" s="217" t="str">
        <f>+'9'!J10</f>
        <v>TW 17 RC HW</v>
      </c>
      <c r="K10" s="241"/>
      <c r="L10" s="241"/>
      <c r="M10" s="121">
        <f>+K10+'9'!M10+L10</f>
        <v>39984</v>
      </c>
    </row>
    <row r="11" spans="1:15" ht="13.5" thickBot="1">
      <c r="A11" s="790"/>
      <c r="B11" s="218"/>
      <c r="C11" s="219"/>
      <c r="D11" s="220"/>
      <c r="E11" s="222"/>
      <c r="F11" s="230"/>
      <c r="G11" s="234"/>
      <c r="H11" s="235"/>
      <c r="I11" s="793"/>
      <c r="J11" s="217" t="str">
        <f>+'9'!J11</f>
        <v>N 15,5 RC HW</v>
      </c>
      <c r="K11" s="241"/>
      <c r="L11" s="241"/>
      <c r="M11" s="121">
        <f>+K11+'9'!M11+L11</f>
        <v>149213</v>
      </c>
    </row>
    <row r="12" spans="1:15" ht="13.5" thickBot="1">
      <c r="A12" s="790"/>
      <c r="B12" s="218"/>
      <c r="C12" s="219"/>
      <c r="D12" s="220"/>
      <c r="E12" s="222"/>
      <c r="F12" s="230"/>
      <c r="G12" s="234"/>
      <c r="H12" s="235"/>
      <c r="I12" s="793"/>
      <c r="J12" s="217" t="str">
        <f>+'9'!J12</f>
        <v>N 17 RC HW</v>
      </c>
      <c r="K12" s="241"/>
      <c r="L12" s="241"/>
      <c r="M12" s="121">
        <f>+K12+'9'!M12+L12</f>
        <v>6572</v>
      </c>
    </row>
    <row r="13" spans="1:15" ht="13.5" thickBot="1">
      <c r="A13" s="790"/>
      <c r="B13" s="218"/>
      <c r="C13" s="219"/>
      <c r="D13" s="219"/>
      <c r="E13" s="222"/>
      <c r="F13" s="230"/>
      <c r="G13" s="234"/>
      <c r="H13" s="235"/>
      <c r="I13" s="794"/>
      <c r="J13" s="217" t="str">
        <f>+'9'!J13</f>
        <v>N 16,5 RC HW</v>
      </c>
      <c r="K13" s="241"/>
      <c r="L13" s="241"/>
      <c r="M13" s="121">
        <f>+K13+'9'!M13+L13</f>
        <v>18880</v>
      </c>
    </row>
    <row r="14" spans="1:15" ht="13.5" thickBot="1">
      <c r="A14" s="791"/>
      <c r="B14" s="169" t="s">
        <v>3</v>
      </c>
      <c r="C14" s="103">
        <f>SUM(C7:C13)</f>
        <v>21239</v>
      </c>
      <c r="D14" s="115">
        <f>SUM(D7:D13)</f>
        <v>0</v>
      </c>
      <c r="E14" s="116">
        <f>SUM(E5:E13)</f>
        <v>0</v>
      </c>
      <c r="F14" s="106">
        <f>SUM(F6:F13)</f>
        <v>19</v>
      </c>
      <c r="G14" s="163"/>
      <c r="H14" s="170"/>
      <c r="I14" s="171"/>
      <c r="J14" s="217" t="str">
        <f>+'9'!J14</f>
        <v>N 20 RC HW</v>
      </c>
      <c r="K14" s="241">
        <f>+C34</f>
        <v>56856</v>
      </c>
      <c r="L14" s="241"/>
      <c r="M14" s="121">
        <f>+K14+'9'!M14+L14</f>
        <v>59624</v>
      </c>
    </row>
    <row r="15" spans="1:15" ht="13.5" customHeight="1" thickBot="1">
      <c r="A15" s="789" t="s">
        <v>486</v>
      </c>
      <c r="B15" s="169"/>
      <c r="C15" s="117">
        <f>C14/($C$23+$D$23+$E$23)</f>
        <v>1.0353417178512236</v>
      </c>
      <c r="D15" s="118">
        <f>D14/($C$23+$D$23+$E$23)</f>
        <v>0</v>
      </c>
      <c r="E15" s="119">
        <f>E14/($C$23+$D$23+$E$23)</f>
        <v>0</v>
      </c>
      <c r="F15" s="230"/>
      <c r="G15" s="231" t="s">
        <v>13</v>
      </c>
      <c r="H15" s="232" t="s">
        <v>395</v>
      </c>
      <c r="I15" s="792" t="s">
        <v>508</v>
      </c>
      <c r="J15" s="217">
        <f>+'9'!J15</f>
        <v>0</v>
      </c>
      <c r="K15" s="241"/>
      <c r="L15" s="241"/>
      <c r="M15" s="121">
        <f>+K15+'9'!M15+L15</f>
        <v>0</v>
      </c>
    </row>
    <row r="16" spans="1:15" ht="13.5" thickBot="1">
      <c r="A16" s="795"/>
      <c r="B16" s="218" t="s">
        <v>536</v>
      </c>
      <c r="C16" s="224">
        <v>19714</v>
      </c>
      <c r="D16" s="225">
        <v>800</v>
      </c>
      <c r="E16" s="226"/>
      <c r="F16" s="233"/>
      <c r="G16" s="234" t="s">
        <v>13</v>
      </c>
      <c r="H16" s="232" t="s">
        <v>424</v>
      </c>
      <c r="I16" s="793"/>
      <c r="J16" s="217">
        <f>+'9'!J16</f>
        <v>0</v>
      </c>
      <c r="K16" s="241"/>
      <c r="L16" s="241"/>
      <c r="M16" s="121">
        <f>+K16+'9'!M16+L16</f>
        <v>0</v>
      </c>
    </row>
    <row r="17" spans="1:13" ht="13.5" thickBot="1">
      <c r="A17" s="795"/>
      <c r="B17" s="218"/>
      <c r="C17" s="219"/>
      <c r="D17" s="220"/>
      <c r="E17" s="227"/>
      <c r="F17" s="230">
        <v>5</v>
      </c>
      <c r="G17" s="234" t="s">
        <v>13</v>
      </c>
      <c r="H17" s="235" t="s">
        <v>226</v>
      </c>
      <c r="I17" s="793"/>
      <c r="J17" s="217">
        <f>+'9'!J17</f>
        <v>0</v>
      </c>
      <c r="K17" s="241"/>
      <c r="L17" s="241"/>
      <c r="M17" s="121">
        <f>+K17+'9'!M17+L17</f>
        <v>0</v>
      </c>
    </row>
    <row r="18" spans="1:13" ht="13.5" thickBot="1">
      <c r="A18" s="795"/>
      <c r="B18" s="218"/>
      <c r="C18" s="219"/>
      <c r="D18" s="220"/>
      <c r="E18" s="227"/>
      <c r="F18" s="230"/>
      <c r="G18" s="234"/>
      <c r="H18" s="235" t="s">
        <v>541</v>
      </c>
      <c r="I18" s="793"/>
      <c r="J18" s="217">
        <f>+'9'!J18</f>
        <v>0</v>
      </c>
      <c r="K18" s="241"/>
      <c r="L18" s="241"/>
      <c r="M18" s="121">
        <f>+K18+'9'!M18+L18</f>
        <v>0</v>
      </c>
    </row>
    <row r="19" spans="1:13" ht="13.5" thickBot="1">
      <c r="A19" s="795"/>
      <c r="B19" s="218"/>
      <c r="C19" s="219"/>
      <c r="D19" s="220"/>
      <c r="E19" s="227"/>
      <c r="F19" s="237"/>
      <c r="G19" s="234"/>
      <c r="H19" s="235"/>
      <c r="I19" s="793"/>
      <c r="J19" s="217">
        <f>+'9'!J19</f>
        <v>0</v>
      </c>
      <c r="K19" s="241"/>
      <c r="L19" s="241"/>
      <c r="M19" s="121">
        <f>+K19+'9'!M19+L19</f>
        <v>0</v>
      </c>
    </row>
    <row r="20" spans="1:13" ht="13.5" thickBot="1">
      <c r="A20" s="795"/>
      <c r="B20" s="218"/>
      <c r="C20" s="219"/>
      <c r="D20" s="220"/>
      <c r="E20" s="227"/>
      <c r="F20" s="230"/>
      <c r="G20" s="234"/>
      <c r="H20" s="235"/>
      <c r="I20" s="793"/>
      <c r="J20" s="217">
        <f>+'9'!J20</f>
        <v>0</v>
      </c>
      <c r="K20" s="241"/>
      <c r="L20" s="241"/>
      <c r="M20" s="121">
        <f>+K20+'9'!M20+L20</f>
        <v>0</v>
      </c>
    </row>
    <row r="21" spans="1:13" ht="13.5" thickBot="1">
      <c r="A21" s="795"/>
      <c r="B21" s="218"/>
      <c r="C21" s="219"/>
      <c r="D21" s="220"/>
      <c r="E21" s="227"/>
      <c r="F21" s="233"/>
      <c r="G21" s="234"/>
      <c r="H21" s="235"/>
      <c r="I21" s="793"/>
      <c r="J21" s="217">
        <f>+'9'!J21</f>
        <v>0</v>
      </c>
      <c r="K21" s="241"/>
      <c r="L21" s="241"/>
      <c r="M21" s="121">
        <f>+K21+'9'!M21+L21</f>
        <v>0</v>
      </c>
    </row>
    <row r="22" spans="1:13" ht="13.5" thickBot="1">
      <c r="A22" s="795"/>
      <c r="B22" s="218"/>
      <c r="C22" s="219"/>
      <c r="D22" s="220"/>
      <c r="E22" s="227"/>
      <c r="F22" s="238"/>
      <c r="G22" s="234"/>
      <c r="H22" s="235"/>
      <c r="I22" s="794"/>
      <c r="J22" s="217">
        <f>+'9'!J22</f>
        <v>0</v>
      </c>
      <c r="K22" s="241"/>
      <c r="L22" s="241"/>
      <c r="M22" s="121">
        <f>+K22+'9'!M22+L22</f>
        <v>0</v>
      </c>
    </row>
    <row r="23" spans="1:13" ht="13.5" thickBot="1">
      <c r="A23" s="796"/>
      <c r="B23" s="169" t="s">
        <v>3</v>
      </c>
      <c r="C23" s="104">
        <f>SUM(C16:C22)</f>
        <v>19714</v>
      </c>
      <c r="D23" s="115">
        <f>SUM(D16:D22)</f>
        <v>800</v>
      </c>
      <c r="E23" s="116">
        <f>SUM(E18:E22)</f>
        <v>0</v>
      </c>
      <c r="F23" s="106">
        <f>SUM(F15:F22)</f>
        <v>5</v>
      </c>
      <c r="G23" s="163"/>
      <c r="H23" s="170"/>
      <c r="I23" s="172"/>
      <c r="J23" s="217">
        <f>+'9'!J23</f>
        <v>0</v>
      </c>
      <c r="K23" s="241"/>
      <c r="L23" s="241"/>
      <c r="M23" s="121">
        <f>+K23+'9'!M23+L23</f>
        <v>0</v>
      </c>
    </row>
    <row r="24" spans="1:13" ht="13.5" customHeight="1" thickBot="1">
      <c r="A24" s="789" t="s">
        <v>544</v>
      </c>
      <c r="B24" s="173"/>
      <c r="C24" s="117">
        <f>C23/($C$23+$D$23+$E$23)</f>
        <v>0.96100224237106369</v>
      </c>
      <c r="D24" s="118">
        <f>D23/($C$23+$D$23+$E$23)</f>
        <v>3.8997757628936335E-2</v>
      </c>
      <c r="E24" s="119">
        <f>E23/($C$23+$D$23+$E$23)</f>
        <v>0</v>
      </c>
      <c r="F24" s="230"/>
      <c r="G24" s="231" t="s">
        <v>13</v>
      </c>
      <c r="H24" s="232" t="s">
        <v>395</v>
      </c>
      <c r="I24" s="792" t="s">
        <v>508</v>
      </c>
      <c r="J24" s="217">
        <f>+'9'!J24</f>
        <v>0</v>
      </c>
      <c r="K24" s="241"/>
      <c r="L24" s="241"/>
      <c r="M24" s="121">
        <f>+K24+'9'!M24+L24</f>
        <v>0</v>
      </c>
    </row>
    <row r="25" spans="1:13" ht="13.5" customHeight="1" thickBot="1">
      <c r="A25" s="795"/>
      <c r="B25" s="218" t="s">
        <v>536</v>
      </c>
      <c r="C25" s="228">
        <v>15903</v>
      </c>
      <c r="D25" s="220">
        <v>2500</v>
      </c>
      <c r="E25" s="227"/>
      <c r="F25" s="233">
        <v>15</v>
      </c>
      <c r="G25" s="234" t="s">
        <v>13</v>
      </c>
      <c r="H25" s="232" t="s">
        <v>454</v>
      </c>
      <c r="I25" s="793"/>
      <c r="J25" s="217">
        <f>+'9'!J25</f>
        <v>0</v>
      </c>
      <c r="K25" s="241"/>
      <c r="L25" s="241"/>
      <c r="M25" s="121">
        <f>+K25+'9'!M25+L25</f>
        <v>0</v>
      </c>
    </row>
    <row r="26" spans="1:13" ht="13.5" customHeight="1" thickBot="1">
      <c r="A26" s="795"/>
      <c r="B26" s="218"/>
      <c r="C26" s="228"/>
      <c r="D26" s="220"/>
      <c r="E26" s="229"/>
      <c r="F26" s="230">
        <v>16</v>
      </c>
      <c r="G26" s="234" t="s">
        <v>13</v>
      </c>
      <c r="H26" s="235" t="s">
        <v>226</v>
      </c>
      <c r="I26" s="793"/>
      <c r="J26" s="217">
        <f>+'9'!J26</f>
        <v>0</v>
      </c>
      <c r="K26" s="241"/>
      <c r="L26" s="241"/>
      <c r="M26" s="121">
        <f>+K26+'9'!M26+L26</f>
        <v>0</v>
      </c>
    </row>
    <row r="27" spans="1:13" ht="13.5" customHeight="1" thickBot="1">
      <c r="A27" s="795"/>
      <c r="B27" s="218"/>
      <c r="C27" s="219"/>
      <c r="D27" s="220"/>
      <c r="E27" s="227"/>
      <c r="F27" s="230"/>
      <c r="G27" s="234"/>
      <c r="H27" s="235" t="s">
        <v>541</v>
      </c>
      <c r="I27" s="793"/>
      <c r="J27" s="217">
        <f>+'9'!J27</f>
        <v>0</v>
      </c>
      <c r="K27" s="241"/>
      <c r="L27" s="241"/>
      <c r="M27" s="121">
        <f>+K27+'9'!M27+L27</f>
        <v>0</v>
      </c>
    </row>
    <row r="28" spans="1:13" ht="13.5" thickBot="1">
      <c r="A28" s="795"/>
      <c r="B28" s="218"/>
      <c r="C28" s="219"/>
      <c r="D28" s="220"/>
      <c r="E28" s="227"/>
      <c r="F28" s="233">
        <v>85</v>
      </c>
      <c r="G28" s="234" t="s">
        <v>13</v>
      </c>
      <c r="H28" s="235" t="s">
        <v>543</v>
      </c>
      <c r="I28" s="793"/>
      <c r="J28" s="217">
        <f>+'9'!J28</f>
        <v>0</v>
      </c>
      <c r="K28" s="241"/>
      <c r="L28" s="241"/>
      <c r="M28" s="121">
        <f>+K28+'9'!M28+L28</f>
        <v>0</v>
      </c>
    </row>
    <row r="29" spans="1:13" ht="13.5" thickBot="1">
      <c r="A29" s="795"/>
      <c r="B29" s="218"/>
      <c r="C29" s="219"/>
      <c r="D29" s="220"/>
      <c r="E29" s="227"/>
      <c r="F29" s="238"/>
      <c r="G29" s="234"/>
      <c r="H29" s="235" t="s">
        <v>542</v>
      </c>
      <c r="I29" s="793"/>
      <c r="J29" s="217">
        <f>+'9'!J29</f>
        <v>0</v>
      </c>
      <c r="K29" s="241"/>
      <c r="L29" s="241"/>
      <c r="M29" s="121">
        <f>+K29+'9'!M29+L29</f>
        <v>0</v>
      </c>
    </row>
    <row r="30" spans="1:13" ht="13.5" thickBot="1">
      <c r="A30" s="795"/>
      <c r="B30" s="218"/>
      <c r="C30" s="228"/>
      <c r="D30" s="220"/>
      <c r="E30" s="227"/>
      <c r="F30" s="238"/>
      <c r="G30" s="234"/>
      <c r="H30" s="235"/>
      <c r="I30" s="793"/>
      <c r="J30" s="217">
        <f>+'9'!J30</f>
        <v>0</v>
      </c>
      <c r="K30" s="241"/>
      <c r="L30" s="241"/>
      <c r="M30" s="121">
        <f>+K30+'9'!M30+L30</f>
        <v>0</v>
      </c>
    </row>
    <row r="31" spans="1:13" ht="13.5" customHeight="1" thickBot="1">
      <c r="A31" s="795"/>
      <c r="B31" s="218"/>
      <c r="C31" s="228"/>
      <c r="D31" s="220"/>
      <c r="E31" s="227"/>
      <c r="F31" s="238"/>
      <c r="G31" s="239"/>
      <c r="H31" s="236"/>
      <c r="I31" s="794"/>
      <c r="J31" s="217">
        <f>+'9'!J31</f>
        <v>0</v>
      </c>
      <c r="K31" s="241"/>
      <c r="L31" s="241"/>
      <c r="M31" s="121">
        <f>+K31+'9'!M31+L31</f>
        <v>0</v>
      </c>
    </row>
    <row r="32" spans="1:13" ht="13.5" customHeight="1" thickBot="1">
      <c r="A32" s="796"/>
      <c r="B32" s="169" t="s">
        <v>3</v>
      </c>
      <c r="C32" s="103">
        <f>SUM(C25:C31)</f>
        <v>15903</v>
      </c>
      <c r="D32" s="104">
        <f>SUM(D25:D31)</f>
        <v>2500</v>
      </c>
      <c r="E32" s="105">
        <f>SUM(E25:E31)</f>
        <v>0</v>
      </c>
      <c r="F32" s="106">
        <f>SUM(F24:F31)</f>
        <v>116</v>
      </c>
      <c r="G32" s="174"/>
      <c r="H32" s="175"/>
      <c r="I32" s="172"/>
      <c r="J32" s="217">
        <f>+'9'!J32</f>
        <v>0</v>
      </c>
      <c r="K32" s="243"/>
      <c r="L32" s="245"/>
      <c r="M32" s="121">
        <f>+K32+'9'!M32+L32</f>
        <v>0</v>
      </c>
    </row>
    <row r="33" spans="1:13" ht="13.5" thickBot="1">
      <c r="A33" s="176"/>
      <c r="B33" s="177"/>
      <c r="C33" s="107">
        <f>C32/($C$32+$D$32+$E$32)</f>
        <v>0.86415258381785576</v>
      </c>
      <c r="D33" s="108">
        <f>D32/($C$32+$D$32+$E$32)</f>
        <v>0.13584741618214421</v>
      </c>
      <c r="E33" s="109">
        <f>E32/($C$32+$D$32+$E$32)</f>
        <v>0</v>
      </c>
      <c r="F33" s="110"/>
      <c r="G33" s="178"/>
      <c r="H33" s="179"/>
      <c r="I33" s="180"/>
      <c r="J33" s="125"/>
      <c r="K33" s="126"/>
      <c r="L33" s="216"/>
      <c r="M33" s="123"/>
    </row>
    <row r="34" spans="1:13" ht="13.5" thickBot="1">
      <c r="A34" s="797" t="s">
        <v>60</v>
      </c>
      <c r="B34" s="798"/>
      <c r="C34" s="111">
        <f>C14+C23+C32</f>
        <v>56856</v>
      </c>
      <c r="D34" s="111">
        <f>D14+D23+D32</f>
        <v>3300</v>
      </c>
      <c r="E34" s="111">
        <f>E14+E23+E32</f>
        <v>0</v>
      </c>
      <c r="F34" s="112">
        <f>F14+F23+F32</f>
        <v>140</v>
      </c>
      <c r="H34" s="181"/>
      <c r="I34" s="181"/>
      <c r="J34" s="127" t="s">
        <v>29</v>
      </c>
      <c r="K34" s="128">
        <f>SUM(K7:K32)</f>
        <v>56856</v>
      </c>
      <c r="L34" s="215">
        <f>SUM(L7:L32)</f>
        <v>0</v>
      </c>
      <c r="M34" s="124">
        <f>SUM(M7:M32)</f>
        <v>428520</v>
      </c>
    </row>
    <row r="35" spans="1:13" ht="13.5" thickBot="1">
      <c r="A35" s="182"/>
      <c r="B35" s="183"/>
      <c r="C35" s="108">
        <f>C34/($C$34+$D$34+$E$34)</f>
        <v>0.94514262916417313</v>
      </c>
      <c r="D35" s="108">
        <f>D34/($C$34+$D$34+$E$34)</f>
        <v>5.4857370835826848E-2</v>
      </c>
      <c r="E35" s="113">
        <f>E34/($C$34+$D$34+$E$34)</f>
        <v>0</v>
      </c>
      <c r="K35" s="159"/>
      <c r="L35" s="788" t="s">
        <v>186</v>
      </c>
      <c r="M35" s="788"/>
    </row>
    <row r="36" spans="1:13" ht="13.5" thickBot="1">
      <c r="A36" s="181"/>
      <c r="B36" s="181"/>
      <c r="C36" s="159"/>
      <c r="D36" s="159"/>
      <c r="E36" s="159"/>
      <c r="G36" s="159"/>
      <c r="H36" s="184"/>
      <c r="I36" s="166" t="s">
        <v>42</v>
      </c>
      <c r="J36" s="166" t="s">
        <v>43</v>
      </c>
      <c r="K36" s="185"/>
      <c r="L36" s="166" t="s">
        <v>42</v>
      </c>
      <c r="M36" s="166" t="s">
        <v>43</v>
      </c>
    </row>
    <row r="37" spans="1:13" ht="17.45" customHeight="1" thickBot="1">
      <c r="A37" s="801" t="s">
        <v>61</v>
      </c>
      <c r="B37" s="802"/>
      <c r="C37" s="166" t="s">
        <v>62</v>
      </c>
      <c r="D37" s="186" t="s">
        <v>63</v>
      </c>
      <c r="E37" s="187" t="s">
        <v>64</v>
      </c>
      <c r="F37" s="372"/>
      <c r="G37" s="374"/>
      <c r="H37" s="189" t="s">
        <v>65</v>
      </c>
      <c r="I37" s="246">
        <f>(20*1355)/1355*G42*3.4*1355/1000000</f>
        <v>65.769531999999998</v>
      </c>
      <c r="J37" s="386">
        <f>+I37+'9'!J37</f>
        <v>495.86168999540007</v>
      </c>
      <c r="K37" s="130" t="s">
        <v>66</v>
      </c>
      <c r="L37" s="437"/>
      <c r="M37" s="438"/>
    </row>
    <row r="38" spans="1:13" ht="17.45" customHeight="1">
      <c r="A38" s="803" t="s">
        <v>13</v>
      </c>
      <c r="B38" s="804"/>
      <c r="C38" s="168">
        <f>SUMIF($G$7:$G$31,"Process",$F$7:$F$31)</f>
        <v>140</v>
      </c>
      <c r="D38" s="122">
        <f>+C38+'9'!D38</f>
        <v>548</v>
      </c>
      <c r="E38" s="147">
        <f t="shared" ref="E38:E51" si="0">D38/60</f>
        <v>9.1333333333333329</v>
      </c>
      <c r="F38" s="372">
        <v>830</v>
      </c>
      <c r="G38" s="374">
        <f>+F38-F38*0.14</f>
        <v>713.8</v>
      </c>
      <c r="H38" s="190" t="s">
        <v>67</v>
      </c>
      <c r="I38" s="559">
        <f>20.79+20.328+17.424</f>
        <v>58.541999999999994</v>
      </c>
      <c r="J38" s="387">
        <f>+I38+'9'!J38</f>
        <v>450.27099999999996</v>
      </c>
      <c r="K38" s="132" t="s">
        <v>66</v>
      </c>
      <c r="L38" s="439"/>
      <c r="M38" s="440"/>
    </row>
    <row r="39" spans="1:13" ht="17.45" customHeight="1">
      <c r="A39" s="799" t="s">
        <v>14</v>
      </c>
      <c r="B39" s="800"/>
      <c r="C39" s="168">
        <f>SUMIF($G$7:$G$23,"Cleaning",$F$7:$F$23)</f>
        <v>0</v>
      </c>
      <c r="D39" s="122">
        <f>+C39+'9'!D39</f>
        <v>0</v>
      </c>
      <c r="E39" s="147">
        <f t="shared" si="0"/>
        <v>0</v>
      </c>
      <c r="F39" s="372">
        <v>830</v>
      </c>
      <c r="G39" s="374">
        <f>+F39-F39*0.14</f>
        <v>713.8</v>
      </c>
      <c r="H39" s="190" t="s">
        <v>68</v>
      </c>
      <c r="I39" s="146"/>
      <c r="J39" s="388">
        <f>J37/G4</f>
        <v>49.586168999540007</v>
      </c>
      <c r="K39" s="134" t="s">
        <v>66</v>
      </c>
      <c r="L39" s="439"/>
      <c r="M39" s="440"/>
    </row>
    <row r="40" spans="1:13" ht="17.45" customHeight="1">
      <c r="A40" s="799" t="s">
        <v>69</v>
      </c>
      <c r="B40" s="800"/>
      <c r="C40" s="168">
        <f>SUMIF($G$7:$G$23,"Mechanical",$F$7:$F$23)</f>
        <v>0</v>
      </c>
      <c r="D40" s="122">
        <f>+C40+'9'!D40</f>
        <v>330</v>
      </c>
      <c r="E40" s="147">
        <f t="shared" si="0"/>
        <v>5.5</v>
      </c>
      <c r="F40" s="372">
        <v>830</v>
      </c>
      <c r="G40" s="374">
        <f>+F40-F40*0.14</f>
        <v>713.8</v>
      </c>
      <c r="H40" s="190" t="s">
        <v>70</v>
      </c>
      <c r="I40" s="122">
        <f>+(K34+L34)/1000</f>
        <v>56.856000000000002</v>
      </c>
      <c r="J40" s="389">
        <f>+I40+'9'!J40</f>
        <v>428.52000000000004</v>
      </c>
      <c r="K40" s="134" t="s">
        <v>66</v>
      </c>
      <c r="L40" s="439"/>
      <c r="M40" s="440"/>
    </row>
    <row r="41" spans="1:13" ht="17.45" customHeight="1">
      <c r="A41" s="799" t="s">
        <v>71</v>
      </c>
      <c r="B41" s="800"/>
      <c r="C41" s="168">
        <f>SUMIF($G$7:$G$31,"Electrical",$F$7:$F$31)</f>
        <v>0</v>
      </c>
      <c r="D41" s="122">
        <f>+C41+'9'!D41</f>
        <v>285</v>
      </c>
      <c r="E41" s="147">
        <f t="shared" si="0"/>
        <v>4.75</v>
      </c>
      <c r="F41" s="372"/>
      <c r="G41" s="372"/>
      <c r="H41" s="190" t="s">
        <v>72</v>
      </c>
      <c r="I41" s="146"/>
      <c r="J41" s="388">
        <f>J40/G4</f>
        <v>42.852000000000004</v>
      </c>
      <c r="K41" s="134" t="s">
        <v>66</v>
      </c>
      <c r="L41" s="439"/>
      <c r="M41" s="440"/>
    </row>
    <row r="42" spans="1:13" ht="17.45" customHeight="1">
      <c r="A42" s="799" t="s">
        <v>17</v>
      </c>
      <c r="B42" s="800"/>
      <c r="C42" s="168">
        <f>SUMIF($G$7:$G$23,"Instrument",$F$7:$F$23)</f>
        <v>0</v>
      </c>
      <c r="D42" s="122">
        <f>+C42+'9'!D42</f>
        <v>0</v>
      </c>
      <c r="E42" s="147">
        <f t="shared" si="0"/>
        <v>0</v>
      </c>
      <c r="F42" s="372">
        <f>+(F38*480+F39*480+F40*395)/1355</f>
        <v>830</v>
      </c>
      <c r="G42" s="372">
        <f>+(G38*480+G39*480+G40*395)/1355</f>
        <v>713.8</v>
      </c>
      <c r="H42" s="190" t="s">
        <v>73</v>
      </c>
      <c r="I42" s="248" t="s">
        <v>508</v>
      </c>
      <c r="J42" s="390"/>
      <c r="K42" s="134" t="s">
        <v>74</v>
      </c>
      <c r="L42" s="439"/>
      <c r="M42" s="440"/>
    </row>
    <row r="43" spans="1:13" ht="17.45" customHeight="1">
      <c r="A43" s="799" t="s">
        <v>75</v>
      </c>
      <c r="B43" s="800"/>
      <c r="C43" s="168">
        <f>SUMIF($G$7:$G$23,"Water",$F$7:$F$23)</f>
        <v>0</v>
      </c>
      <c r="D43" s="122">
        <f>+C43+'9'!D43</f>
        <v>0</v>
      </c>
      <c r="E43" s="147">
        <f t="shared" si="0"/>
        <v>0</v>
      </c>
      <c r="F43" s="372"/>
      <c r="G43" s="373"/>
      <c r="H43" s="191" t="s">
        <v>76</v>
      </c>
      <c r="I43" s="122">
        <f>+Report1!AH18</f>
        <v>127.56700000000001</v>
      </c>
      <c r="J43" s="391">
        <f>+I43+'9'!J43</f>
        <v>1076.557</v>
      </c>
      <c r="K43" s="134" t="s">
        <v>66</v>
      </c>
      <c r="L43" s="441">
        <f>+Report1!AN18</f>
        <v>11.2</v>
      </c>
      <c r="M43" s="442">
        <f>+L43+'9'!M43</f>
        <v>99.500000000000014</v>
      </c>
    </row>
    <row r="44" spans="1:13" ht="17.45" customHeight="1">
      <c r="A44" s="799" t="s">
        <v>18</v>
      </c>
      <c r="B44" s="800"/>
      <c r="C44" s="168">
        <f>SUMIF($G$7:$G$23,"PLN",$F$7:$F$23)</f>
        <v>0</v>
      </c>
      <c r="D44" s="122">
        <f>+C44+'9'!D44</f>
        <v>105</v>
      </c>
      <c r="E44" s="147">
        <f t="shared" si="0"/>
        <v>1.75</v>
      </c>
      <c r="F44" s="372"/>
      <c r="G44" s="373"/>
      <c r="H44" s="191" t="s">
        <v>77</v>
      </c>
      <c r="I44" s="122">
        <f>I43/I38</f>
        <v>2.1790680195415262</v>
      </c>
      <c r="J44" s="391">
        <f>J43/J38</f>
        <v>2.3909090303395071</v>
      </c>
      <c r="K44" s="134" t="s">
        <v>66</v>
      </c>
      <c r="L44" s="443">
        <f>+L43/I38</f>
        <v>0.19131563663694443</v>
      </c>
      <c r="M44" s="444">
        <f>+M43/J38</f>
        <v>0.22097803322887777</v>
      </c>
    </row>
    <row r="45" spans="1:13" ht="17.45" customHeight="1">
      <c r="A45" s="799" t="s">
        <v>19</v>
      </c>
      <c r="B45" s="800"/>
      <c r="C45" s="168">
        <f>SUMIF($G$7:$G$23,"Boiler",$F$7:$F$23)</f>
        <v>0</v>
      </c>
      <c r="D45" s="122">
        <f>+C45+'9'!D45</f>
        <v>0</v>
      </c>
      <c r="E45" s="147">
        <f t="shared" si="0"/>
        <v>0</v>
      </c>
      <c r="F45" s="372"/>
      <c r="G45" s="375"/>
      <c r="H45" s="191" t="s">
        <v>78</v>
      </c>
      <c r="I45" s="122">
        <f>I43/I40</f>
        <v>2.2436858027297033</v>
      </c>
      <c r="J45" s="391">
        <f>J43/J40</f>
        <v>2.5122678054699894</v>
      </c>
      <c r="K45" s="134" t="s">
        <v>66</v>
      </c>
      <c r="L45" s="443">
        <f>+L43/I40</f>
        <v>0.19698888419867736</v>
      </c>
      <c r="M45" s="444">
        <f>+M43/J40</f>
        <v>0.23219453001026791</v>
      </c>
    </row>
    <row r="46" spans="1:13" ht="17.45" customHeight="1">
      <c r="A46" s="799" t="s">
        <v>79</v>
      </c>
      <c r="B46" s="800"/>
      <c r="C46" s="168">
        <f>SUMIF($G$7:$G$23,"Gas",$F$7:$F$23)</f>
        <v>0</v>
      </c>
      <c r="D46" s="122">
        <f>+C46+'9'!D46</f>
        <v>0</v>
      </c>
      <c r="E46" s="147">
        <f t="shared" si="0"/>
        <v>0</v>
      </c>
      <c r="F46" s="372"/>
      <c r="G46" s="373"/>
      <c r="H46" s="191" t="s">
        <v>80</v>
      </c>
      <c r="I46" s="144">
        <f>+SUMIF(Listrik!AC17,"&gt;0")</f>
        <v>22539.000000000629</v>
      </c>
      <c r="J46" s="391">
        <f>+I46+'9'!J46</f>
        <v>292499.70000000135</v>
      </c>
      <c r="K46" s="134" t="s">
        <v>81</v>
      </c>
      <c r="L46" s="443">
        <f>+Listrik!AF17</f>
        <v>17663</v>
      </c>
      <c r="M46" s="445">
        <f>+L46+'9'!M46</f>
        <v>73222</v>
      </c>
    </row>
    <row r="47" spans="1:13" ht="17.45" customHeight="1">
      <c r="A47" s="799" t="s">
        <v>82</v>
      </c>
      <c r="B47" s="800"/>
      <c r="C47" s="168">
        <f>SUMIF($G$7:$G$23,"Gas",$F$7:$F$23)</f>
        <v>0</v>
      </c>
      <c r="D47" s="122">
        <f>+C47+'9'!D47</f>
        <v>0</v>
      </c>
      <c r="E47" s="147">
        <f t="shared" si="0"/>
        <v>0</v>
      </c>
      <c r="F47" s="372"/>
      <c r="G47" s="373"/>
      <c r="H47" s="191" t="s">
        <v>83</v>
      </c>
      <c r="I47" s="122">
        <f>I46/I38</f>
        <v>385.00563697859025</v>
      </c>
      <c r="J47" s="391">
        <f>J46/J38</f>
        <v>649.60812488479462</v>
      </c>
      <c r="K47" s="134" t="s">
        <v>25</v>
      </c>
      <c r="L47" s="443">
        <f>+L46/I38</f>
        <v>301.71500802842405</v>
      </c>
      <c r="M47" s="444">
        <f>+M46/J38</f>
        <v>162.61762360889333</v>
      </c>
    </row>
    <row r="48" spans="1:13" ht="17.45" customHeight="1">
      <c r="A48" s="799" t="s">
        <v>15</v>
      </c>
      <c r="B48" s="800"/>
      <c r="C48" s="168">
        <f>SUMIF($G$7:$G$23,"Start Up",$F$7:$F$23)</f>
        <v>0</v>
      </c>
      <c r="D48" s="122">
        <f>+C48+'9'!D48</f>
        <v>0</v>
      </c>
      <c r="E48" s="147">
        <f t="shared" si="0"/>
        <v>0</v>
      </c>
      <c r="F48" s="372"/>
      <c r="G48" s="373"/>
      <c r="H48" s="191" t="s">
        <v>84</v>
      </c>
      <c r="I48" s="122">
        <f>I46/I40</f>
        <v>396.42254115661723</v>
      </c>
      <c r="J48" s="391">
        <f>J46/J40</f>
        <v>682.58120974517249</v>
      </c>
      <c r="K48" s="134" t="s">
        <v>25</v>
      </c>
      <c r="L48" s="443">
        <f>+L46/I38</f>
        <v>301.71500802842405</v>
      </c>
      <c r="M48" s="444">
        <f>+M46/J40</f>
        <v>170.87183795388779</v>
      </c>
    </row>
    <row r="49" spans="1:13" ht="17.45" customHeight="1">
      <c r="A49" s="799" t="s">
        <v>21</v>
      </c>
      <c r="B49" s="800"/>
      <c r="C49" s="168">
        <f>SUMIF($G$7:$G$23,"Others",$F$7:$F$23)</f>
        <v>0</v>
      </c>
      <c r="D49" s="122">
        <f>+C49+'9'!D49</f>
        <v>1440</v>
      </c>
      <c r="E49" s="147">
        <f t="shared" si="0"/>
        <v>24</v>
      </c>
      <c r="F49" s="188"/>
      <c r="H49" s="191" t="s">
        <v>170</v>
      </c>
      <c r="I49" s="122">
        <f>+Report1!AB18</f>
        <v>0</v>
      </c>
      <c r="J49" s="391">
        <f>+I49+'9'!J49</f>
        <v>0</v>
      </c>
      <c r="K49" s="134" t="s">
        <v>86</v>
      </c>
      <c r="L49" s="439"/>
      <c r="M49" s="440"/>
    </row>
    <row r="50" spans="1:13" ht="17.45" customHeight="1">
      <c r="A50" s="799" t="s">
        <v>20</v>
      </c>
      <c r="B50" s="800"/>
      <c r="C50" s="168">
        <f>SUMIF($G$7:$G$23,"Steam",$F$7:$F$23)</f>
        <v>0</v>
      </c>
      <c r="D50" s="122">
        <f>+C50+'9'!D50</f>
        <v>0</v>
      </c>
      <c r="E50" s="147">
        <f t="shared" si="0"/>
        <v>0</v>
      </c>
      <c r="F50" s="188"/>
      <c r="H50" s="191" t="s">
        <v>87</v>
      </c>
      <c r="I50" s="144">
        <f>I49/I38</f>
        <v>0</v>
      </c>
      <c r="J50" s="391">
        <f>J49/J38</f>
        <v>0</v>
      </c>
      <c r="K50" s="134" t="s">
        <v>86</v>
      </c>
      <c r="L50" s="439"/>
      <c r="M50" s="440"/>
    </row>
    <row r="51" spans="1:13" ht="17.45" customHeight="1" thickBot="1">
      <c r="A51" s="805" t="s">
        <v>88</v>
      </c>
      <c r="B51" s="806"/>
      <c r="C51" s="168">
        <f>SUMIF($G$7:$G$23,"Planned shut",$F$7:$F$23)</f>
        <v>0</v>
      </c>
      <c r="D51" s="122">
        <f>+C51+'9'!D51</f>
        <v>0</v>
      </c>
      <c r="E51" s="147">
        <f t="shared" si="0"/>
        <v>0</v>
      </c>
      <c r="F51" s="188"/>
      <c r="H51" s="193" t="s">
        <v>89</v>
      </c>
      <c r="I51" s="145">
        <f>I49/I40</f>
        <v>0</v>
      </c>
      <c r="J51" s="392">
        <f>J49/J40</f>
        <v>0</v>
      </c>
      <c r="K51" s="141" t="s">
        <v>86</v>
      </c>
      <c r="L51" s="439"/>
      <c r="M51" s="440"/>
    </row>
    <row r="52" spans="1:13" ht="13.5" thickBot="1">
      <c r="A52" s="803" t="s">
        <v>29</v>
      </c>
      <c r="B52" s="804"/>
      <c r="C52" s="148">
        <f>SUM(C38:C51)</f>
        <v>140</v>
      </c>
      <c r="D52" s="148">
        <f>SUM(D38:D51)</f>
        <v>2708</v>
      </c>
      <c r="E52" s="149">
        <f>SUM(E38:E51)</f>
        <v>45.133333333333333</v>
      </c>
      <c r="F52" s="188"/>
      <c r="H52" s="194"/>
      <c r="I52" s="195"/>
      <c r="J52" s="393"/>
      <c r="K52" s="143"/>
      <c r="L52" s="446"/>
      <c r="M52" s="447"/>
    </row>
    <row r="53" spans="1:13" ht="13.5" thickBot="1">
      <c r="A53" s="807"/>
      <c r="B53" s="808"/>
      <c r="C53" s="150">
        <f>C52/(24*60)</f>
        <v>9.7222222222222224E-2</v>
      </c>
      <c r="D53" s="150">
        <f>D52/(24*60*G4)</f>
        <v>0.18805555555555556</v>
      </c>
      <c r="E53" s="151">
        <f>E52/(G4*24)</f>
        <v>0.18805555555555556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90</v>
      </c>
      <c r="B56" s="198"/>
      <c r="C56" s="199"/>
      <c r="D56" s="199"/>
      <c r="E56" s="199"/>
      <c r="F56" s="200"/>
      <c r="G56" s="199"/>
      <c r="H56" s="201"/>
      <c r="I56" s="202" t="s">
        <v>91</v>
      </c>
      <c r="J56" s="203">
        <f>+D34+'9'!J56</f>
        <v>11553</v>
      </c>
      <c r="K56" s="204">
        <f>J56/(J40+J56/1000)/1000</f>
        <v>2.6252462659604198E-2</v>
      </c>
    </row>
    <row r="57" spans="1:13">
      <c r="A57" s="179"/>
      <c r="I57" s="202" t="s">
        <v>92</v>
      </c>
      <c r="J57" s="203">
        <f>+E34+'9'!J57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  <c r="J58" s="153">
        <v>325</v>
      </c>
    </row>
    <row r="59" spans="1:13">
      <c r="A59" s="208"/>
      <c r="B59" s="179"/>
      <c r="C59" s="179"/>
      <c r="D59" s="179"/>
      <c r="E59" s="179"/>
      <c r="F59" s="192"/>
      <c r="G59" s="179"/>
      <c r="H59" s="207"/>
      <c r="J59" s="159">
        <f>+J56+J58</f>
        <v>11878</v>
      </c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39:B39"/>
    <mergeCell ref="A46:B46"/>
    <mergeCell ref="A42:B42"/>
    <mergeCell ref="A43:B43"/>
    <mergeCell ref="A44:B44"/>
    <mergeCell ref="A45:B45"/>
    <mergeCell ref="A41:B41"/>
    <mergeCell ref="A40:B40"/>
    <mergeCell ref="A37:B37"/>
    <mergeCell ref="A7:A14"/>
    <mergeCell ref="I7:I13"/>
    <mergeCell ref="A15:A23"/>
    <mergeCell ref="I15:I22"/>
    <mergeCell ref="A24:A32"/>
    <mergeCell ref="I24:I31"/>
    <mergeCell ref="A34:B34"/>
    <mergeCell ref="A53:B53"/>
    <mergeCell ref="A49:B49"/>
    <mergeCell ref="A47:B47"/>
    <mergeCell ref="A48:B48"/>
    <mergeCell ref="A50:B50"/>
    <mergeCell ref="A52:B52"/>
    <mergeCell ref="A51:B51"/>
    <mergeCell ref="A38:B38"/>
  </mergeCells>
  <phoneticPr fontId="31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O61"/>
  <sheetViews>
    <sheetView view="pageBreakPreview" zoomScale="80" zoomScaleNormal="75" zoomScaleSheetLayoutView="80" workbookViewId="0">
      <selection activeCell="D27" sqref="D27"/>
    </sheetView>
  </sheetViews>
  <sheetFormatPr defaultColWidth="9.140625" defaultRowHeight="12.75"/>
  <cols>
    <col min="1" max="1" width="8" style="153" customWidth="1"/>
    <col min="2" max="2" width="12" style="153" customWidth="1"/>
    <col min="3" max="3" width="14.85546875" style="153" bestFit="1" customWidth="1"/>
    <col min="4" max="4" width="12.5703125" style="153" bestFit="1" customWidth="1"/>
    <col min="5" max="5" width="13.85546875" style="153" bestFit="1" customWidth="1"/>
    <col min="6" max="6" width="12.140625" style="114" bestFit="1" customWidth="1"/>
    <col min="7" max="7" width="11.42578125" style="153" bestFit="1" customWidth="1"/>
    <col min="8" max="8" width="64.85546875" style="153" customWidth="1"/>
    <col min="9" max="9" width="14.7109375" style="153" bestFit="1" customWidth="1"/>
    <col min="10" max="10" width="19.42578125" style="153" customWidth="1"/>
    <col min="11" max="11" width="12.5703125" style="153" bestFit="1" customWidth="1"/>
    <col min="12" max="12" width="10.5703125" style="153" bestFit="1" customWidth="1"/>
    <col min="13" max="13" width="12.140625" style="153" customWidth="1"/>
    <col min="14" max="16384" width="9.140625" style="153"/>
  </cols>
  <sheetData>
    <row r="1" spans="1:15" ht="15.75">
      <c r="A1" s="152"/>
    </row>
    <row r="2" spans="1:15" ht="15.75">
      <c r="A2" s="152" t="s">
        <v>175</v>
      </c>
    </row>
    <row r="3" spans="1:15" ht="15">
      <c r="A3" s="154"/>
    </row>
    <row r="4" spans="1:15" ht="20.25">
      <c r="A4" s="155" t="s">
        <v>4</v>
      </c>
      <c r="B4" s="156"/>
      <c r="F4" s="157" t="s">
        <v>31</v>
      </c>
      <c r="G4" s="158">
        <v>9</v>
      </c>
      <c r="H4" s="158" t="str">
        <f>+'1'!H4</f>
        <v>.12.25</v>
      </c>
    </row>
    <row r="5" spans="1:15" ht="13.5" thickBot="1">
      <c r="C5" s="159"/>
      <c r="D5" s="159"/>
    </row>
    <row r="6" spans="1:15" ht="26.25" thickBot="1">
      <c r="A6" s="160" t="s">
        <v>50</v>
      </c>
      <c r="B6" s="161" t="s">
        <v>10</v>
      </c>
      <c r="C6" s="161" t="s">
        <v>51</v>
      </c>
      <c r="D6" s="161" t="s">
        <v>52</v>
      </c>
      <c r="E6" s="162" t="s">
        <v>53</v>
      </c>
      <c r="F6" s="106" t="s">
        <v>54</v>
      </c>
      <c r="G6" s="161" t="s">
        <v>55</v>
      </c>
      <c r="H6" s="163" t="s">
        <v>56</v>
      </c>
      <c r="I6" s="164" t="s">
        <v>57</v>
      </c>
      <c r="J6" s="165" t="s">
        <v>10</v>
      </c>
      <c r="K6" s="166" t="s">
        <v>58</v>
      </c>
      <c r="L6" s="213" t="s">
        <v>143</v>
      </c>
      <c r="M6" s="167" t="s">
        <v>59</v>
      </c>
      <c r="N6" s="153">
        <f>338+332+447</f>
        <v>1117</v>
      </c>
    </row>
    <row r="7" spans="1:15" ht="13.5" customHeight="1" thickBot="1">
      <c r="A7" s="789" t="s">
        <v>415</v>
      </c>
      <c r="B7" s="218" t="s">
        <v>502</v>
      </c>
      <c r="C7" s="219">
        <v>15419</v>
      </c>
      <c r="D7" s="220"/>
      <c r="E7" s="221"/>
      <c r="F7" s="230">
        <v>2</v>
      </c>
      <c r="G7" s="231" t="s">
        <v>13</v>
      </c>
      <c r="H7" s="232" t="s">
        <v>392</v>
      </c>
      <c r="I7" s="792" t="s">
        <v>508</v>
      </c>
      <c r="J7" s="217" t="str">
        <f>+'8'!J7</f>
        <v>TW 38 RC BR</v>
      </c>
      <c r="K7" s="240"/>
      <c r="L7" s="244"/>
      <c r="M7" s="121">
        <f>+K7+'8'!M7+L7</f>
        <v>78513</v>
      </c>
    </row>
    <row r="8" spans="1:15" ht="13.5" thickBot="1">
      <c r="A8" s="790"/>
      <c r="B8" s="218"/>
      <c r="C8" s="219"/>
      <c r="D8" s="220"/>
      <c r="E8" s="222"/>
      <c r="F8" s="233">
        <v>2</v>
      </c>
      <c r="G8" s="578" t="s">
        <v>13</v>
      </c>
      <c r="H8" s="232" t="s">
        <v>393</v>
      </c>
      <c r="I8" s="793"/>
      <c r="J8" s="217" t="str">
        <f>+'8'!J8</f>
        <v>TW 36 RC BR</v>
      </c>
      <c r="K8" s="241"/>
      <c r="L8" s="241"/>
      <c r="M8" s="121">
        <f>+K8+'8'!M8+L8</f>
        <v>1530</v>
      </c>
      <c r="N8" s="153">
        <v>830</v>
      </c>
      <c r="O8" s="153">
        <f>+N8-N8*0.14</f>
        <v>713.8</v>
      </c>
    </row>
    <row r="9" spans="1:15" ht="13.5" thickBot="1">
      <c r="A9" s="790"/>
      <c r="B9" s="218"/>
      <c r="C9" s="219"/>
      <c r="D9" s="220"/>
      <c r="E9" s="223"/>
      <c r="F9" s="230">
        <v>2</v>
      </c>
      <c r="G9" s="578" t="s">
        <v>13</v>
      </c>
      <c r="H9" s="235" t="s">
        <v>226</v>
      </c>
      <c r="I9" s="793"/>
      <c r="J9" s="217" t="str">
        <f>+'8'!J9</f>
        <v>N 20 RC BR</v>
      </c>
      <c r="K9" s="241"/>
      <c r="L9" s="241"/>
      <c r="M9" s="121">
        <f>+K9+'8'!M9+L9</f>
        <v>74204</v>
      </c>
    </row>
    <row r="10" spans="1:15" ht="13.5" thickBot="1">
      <c r="A10" s="790"/>
      <c r="B10" s="218"/>
      <c r="C10" s="219"/>
      <c r="D10" s="220"/>
      <c r="E10" s="222"/>
      <c r="F10" s="230"/>
      <c r="G10" s="578"/>
      <c r="H10" s="235" t="s">
        <v>501</v>
      </c>
      <c r="I10" s="793"/>
      <c r="J10" s="217" t="str">
        <f>+'8'!J10</f>
        <v>TW 17 RC HW</v>
      </c>
      <c r="K10" s="241"/>
      <c r="L10" s="241"/>
      <c r="M10" s="121">
        <f>+K10+'8'!M10+L10</f>
        <v>39984</v>
      </c>
    </row>
    <row r="11" spans="1:15" ht="13.5" thickBot="1">
      <c r="A11" s="790"/>
      <c r="B11" s="218"/>
      <c r="C11" s="219"/>
      <c r="D11" s="220"/>
      <c r="E11" s="222"/>
      <c r="F11" s="230">
        <v>5</v>
      </c>
      <c r="G11" s="234" t="s">
        <v>13</v>
      </c>
      <c r="H11" s="235" t="s">
        <v>525</v>
      </c>
      <c r="I11" s="793"/>
      <c r="J11" s="217" t="str">
        <f>+'8'!J11</f>
        <v>N 15,5 RC HW</v>
      </c>
      <c r="K11" s="241">
        <f>+C7+C16</f>
        <v>22993</v>
      </c>
      <c r="L11" s="241"/>
      <c r="M11" s="121">
        <f>+K11+'8'!M11+L11</f>
        <v>149213</v>
      </c>
    </row>
    <row r="12" spans="1:15" ht="13.5" thickBot="1">
      <c r="A12" s="790"/>
      <c r="B12" s="218"/>
      <c r="C12" s="219"/>
      <c r="D12" s="220"/>
      <c r="E12" s="222"/>
      <c r="F12" s="230"/>
      <c r="G12" s="234"/>
      <c r="H12" s="235"/>
      <c r="I12" s="793"/>
      <c r="J12" s="217" t="s">
        <v>533</v>
      </c>
      <c r="K12" s="241">
        <f>+C17</f>
        <v>6572</v>
      </c>
      <c r="L12" s="241"/>
      <c r="M12" s="121">
        <f>+K12+'8'!M12+L12</f>
        <v>6572</v>
      </c>
    </row>
    <row r="13" spans="1:15" ht="13.5" thickBot="1">
      <c r="A13" s="790"/>
      <c r="B13" s="218"/>
      <c r="C13" s="219"/>
      <c r="D13" s="219"/>
      <c r="E13" s="222"/>
      <c r="F13" s="230"/>
      <c r="G13" s="234"/>
      <c r="H13" s="235"/>
      <c r="I13" s="794"/>
      <c r="J13" s="217" t="s">
        <v>535</v>
      </c>
      <c r="K13" s="241">
        <f>+C18+C25</f>
        <v>18880</v>
      </c>
      <c r="L13" s="241"/>
      <c r="M13" s="121">
        <f>+K13+'8'!M13+L13</f>
        <v>18880</v>
      </c>
    </row>
    <row r="14" spans="1:15" ht="13.5" thickBot="1">
      <c r="A14" s="791"/>
      <c r="B14" s="169" t="s">
        <v>3</v>
      </c>
      <c r="C14" s="103">
        <f>SUM(C7:C13)</f>
        <v>15419</v>
      </c>
      <c r="D14" s="115">
        <f>SUM(D7:D13)</f>
        <v>0</v>
      </c>
      <c r="E14" s="116">
        <f>SUM(E5:E13)</f>
        <v>0</v>
      </c>
      <c r="F14" s="106">
        <f>SUM(F6:F13)</f>
        <v>11</v>
      </c>
      <c r="G14" s="163"/>
      <c r="H14" s="170"/>
      <c r="I14" s="171"/>
      <c r="J14" s="217" t="s">
        <v>536</v>
      </c>
      <c r="K14" s="241">
        <f>+C26</f>
        <v>2768</v>
      </c>
      <c r="L14" s="241"/>
      <c r="M14" s="121">
        <f>+K14+'8'!M14+L14</f>
        <v>2768</v>
      </c>
    </row>
    <row r="15" spans="1:15" ht="13.5" customHeight="1" thickBot="1">
      <c r="A15" s="789" t="s">
        <v>486</v>
      </c>
      <c r="B15" s="169"/>
      <c r="C15" s="117">
        <f>C14/($C$23+$D$23+$E$23)</f>
        <v>0.84803651963480364</v>
      </c>
      <c r="D15" s="118">
        <f>D14/($C$23+$D$23+$E$23)</f>
        <v>0</v>
      </c>
      <c r="E15" s="119">
        <f>E14/($C$23+$D$23+$E$23)</f>
        <v>0</v>
      </c>
      <c r="F15" s="230"/>
      <c r="G15" s="231" t="s">
        <v>13</v>
      </c>
      <c r="H15" s="232" t="s">
        <v>395</v>
      </c>
      <c r="I15" s="792" t="s">
        <v>508</v>
      </c>
      <c r="J15" s="217">
        <f>+'8'!J15</f>
        <v>0</v>
      </c>
      <c r="K15" s="241"/>
      <c r="L15" s="241"/>
      <c r="M15" s="121">
        <f>+K15+'8'!M15+L15</f>
        <v>0</v>
      </c>
    </row>
    <row r="16" spans="1:15" ht="13.5" thickBot="1">
      <c r="A16" s="795"/>
      <c r="B16" s="218" t="s">
        <v>502</v>
      </c>
      <c r="C16" s="224">
        <f>1618+5956</f>
        <v>7574</v>
      </c>
      <c r="D16" s="225"/>
      <c r="E16" s="226"/>
      <c r="F16" s="233">
        <v>3</v>
      </c>
      <c r="G16" s="578" t="s">
        <v>13</v>
      </c>
      <c r="H16" s="232" t="s">
        <v>393</v>
      </c>
      <c r="I16" s="793"/>
      <c r="J16" s="217">
        <f>+'8'!J16</f>
        <v>0</v>
      </c>
      <c r="K16" s="241"/>
      <c r="L16" s="231"/>
      <c r="M16" s="121">
        <f>+K16+'8'!M16+L16</f>
        <v>0</v>
      </c>
    </row>
    <row r="17" spans="1:13" ht="13.5" thickBot="1">
      <c r="A17" s="795"/>
      <c r="B17" s="218" t="s">
        <v>533</v>
      </c>
      <c r="C17" s="219">
        <f>1089+5483</f>
        <v>6572</v>
      </c>
      <c r="D17" s="220"/>
      <c r="E17" s="227"/>
      <c r="F17" s="230">
        <v>2</v>
      </c>
      <c r="G17" s="578" t="s">
        <v>13</v>
      </c>
      <c r="H17" s="235" t="s">
        <v>226</v>
      </c>
      <c r="I17" s="793"/>
      <c r="J17" s="217">
        <f>+'8'!J17</f>
        <v>0</v>
      </c>
      <c r="K17" s="241"/>
      <c r="L17" s="231"/>
      <c r="M17" s="121">
        <f>+K17+'8'!M17+L17</f>
        <v>0</v>
      </c>
    </row>
    <row r="18" spans="1:13" ht="13.5" thickBot="1">
      <c r="A18" s="795"/>
      <c r="B18" s="218" t="s">
        <v>535</v>
      </c>
      <c r="C18" s="219">
        <f>3791+245</f>
        <v>4036</v>
      </c>
      <c r="D18" s="220"/>
      <c r="E18" s="227"/>
      <c r="F18" s="230"/>
      <c r="G18" s="578"/>
      <c r="H18" s="235" t="s">
        <v>528</v>
      </c>
      <c r="I18" s="793"/>
      <c r="J18" s="217">
        <f>+'8'!J18</f>
        <v>0</v>
      </c>
      <c r="K18" s="241"/>
      <c r="L18" s="241"/>
      <c r="M18" s="121">
        <f>+K18+'8'!M18+L18</f>
        <v>0</v>
      </c>
    </row>
    <row r="19" spans="1:13" ht="13.5" thickBot="1">
      <c r="A19" s="795"/>
      <c r="B19" s="218"/>
      <c r="C19" s="219"/>
      <c r="D19" s="220"/>
      <c r="E19" s="227"/>
      <c r="F19" s="237"/>
      <c r="G19" s="234"/>
      <c r="H19" s="235" t="s">
        <v>526</v>
      </c>
      <c r="I19" s="793"/>
      <c r="J19" s="217">
        <f>+'8'!J19</f>
        <v>0</v>
      </c>
      <c r="K19" s="241"/>
      <c r="L19" s="241"/>
      <c r="M19" s="121">
        <f>+K19+'8'!M19+L19</f>
        <v>0</v>
      </c>
    </row>
    <row r="20" spans="1:13" ht="13.5" thickBot="1">
      <c r="A20" s="795"/>
      <c r="B20" s="218"/>
      <c r="C20" s="219"/>
      <c r="D20" s="220"/>
      <c r="E20" s="227"/>
      <c r="F20" s="230"/>
      <c r="G20" s="234"/>
      <c r="H20" s="235" t="s">
        <v>527</v>
      </c>
      <c r="I20" s="793"/>
      <c r="J20" s="217">
        <f>+'8'!J20</f>
        <v>0</v>
      </c>
      <c r="K20" s="242"/>
      <c r="L20" s="242"/>
      <c r="M20" s="121">
        <f>+K20+'8'!M20+L20</f>
        <v>0</v>
      </c>
    </row>
    <row r="21" spans="1:13" ht="13.5" thickBot="1">
      <c r="A21" s="795"/>
      <c r="B21" s="218"/>
      <c r="C21" s="219"/>
      <c r="D21" s="220"/>
      <c r="E21" s="227"/>
      <c r="F21" s="233"/>
      <c r="G21" s="234"/>
      <c r="H21" s="235"/>
      <c r="I21" s="793"/>
      <c r="J21" s="217">
        <f>+'8'!J21</f>
        <v>0</v>
      </c>
      <c r="K21" s="241"/>
      <c r="L21" s="241"/>
      <c r="M21" s="121">
        <f>+K21+'8'!M21+L21</f>
        <v>0</v>
      </c>
    </row>
    <row r="22" spans="1:13" ht="13.5" thickBot="1">
      <c r="A22" s="795"/>
      <c r="B22" s="218"/>
      <c r="C22" s="219"/>
      <c r="D22" s="220"/>
      <c r="E22" s="227"/>
      <c r="F22" s="238"/>
      <c r="G22" s="234"/>
      <c r="H22" s="235"/>
      <c r="I22" s="794"/>
      <c r="J22" s="217">
        <f>+'8'!J22</f>
        <v>0</v>
      </c>
      <c r="K22" s="241"/>
      <c r="L22" s="241"/>
      <c r="M22" s="121">
        <f>+K22+'8'!M22+L22</f>
        <v>0</v>
      </c>
    </row>
    <row r="23" spans="1:13" ht="13.5" thickBot="1">
      <c r="A23" s="796"/>
      <c r="B23" s="169" t="s">
        <v>3</v>
      </c>
      <c r="C23" s="104">
        <f>SUM(C16:C22)</f>
        <v>18182</v>
      </c>
      <c r="D23" s="115">
        <f>SUM(D16:D22)</f>
        <v>0</v>
      </c>
      <c r="E23" s="116">
        <f>SUM(E18:E22)</f>
        <v>0</v>
      </c>
      <c r="F23" s="106">
        <f>SUM(F15:F22)</f>
        <v>5</v>
      </c>
      <c r="G23" s="163"/>
      <c r="H23" s="170"/>
      <c r="I23" s="172"/>
      <c r="J23" s="217">
        <f>+'8'!J23</f>
        <v>0</v>
      </c>
      <c r="K23" s="241"/>
      <c r="L23" s="241"/>
      <c r="M23" s="121">
        <f>+K23+'8'!M23+L23</f>
        <v>0</v>
      </c>
    </row>
    <row r="24" spans="1:13" ht="13.5" customHeight="1" thickBot="1">
      <c r="A24" s="789" t="s">
        <v>544</v>
      </c>
      <c r="B24" s="173"/>
      <c r="C24" s="117">
        <f>C23/($C$23+$D$23+$E$23)</f>
        <v>1</v>
      </c>
      <c r="D24" s="118">
        <f>D23/($C$23+$D$23+$E$23)</f>
        <v>0</v>
      </c>
      <c r="E24" s="119">
        <f>E23/($C$23+$D$23+$E$23)</f>
        <v>0</v>
      </c>
      <c r="F24" s="230"/>
      <c r="G24" s="231" t="s">
        <v>13</v>
      </c>
      <c r="H24" s="232" t="s">
        <v>395</v>
      </c>
      <c r="I24" s="792" t="s">
        <v>508</v>
      </c>
      <c r="J24" s="217">
        <f>+'8'!J24</f>
        <v>0</v>
      </c>
      <c r="K24" s="241"/>
      <c r="L24" s="241"/>
      <c r="M24" s="121">
        <f>+K24+'8'!M24+L24</f>
        <v>0</v>
      </c>
    </row>
    <row r="25" spans="1:13" ht="13.5" customHeight="1" thickBot="1">
      <c r="A25" s="795"/>
      <c r="B25" s="218" t="s">
        <v>535</v>
      </c>
      <c r="C25" s="228">
        <f>13870+974</f>
        <v>14844</v>
      </c>
      <c r="D25" s="220"/>
      <c r="E25" s="227"/>
      <c r="F25" s="233">
        <v>4</v>
      </c>
      <c r="G25" s="578" t="s">
        <v>13</v>
      </c>
      <c r="H25" s="232" t="s">
        <v>393</v>
      </c>
      <c r="I25" s="793"/>
      <c r="J25" s="217">
        <f>+'8'!J25</f>
        <v>0</v>
      </c>
      <c r="K25" s="241"/>
      <c r="L25" s="241"/>
      <c r="M25" s="121">
        <f>+K25+'8'!M25+L25</f>
        <v>0</v>
      </c>
    </row>
    <row r="26" spans="1:13" ht="13.5" customHeight="1" thickBot="1">
      <c r="A26" s="795"/>
      <c r="B26" s="218" t="s">
        <v>536</v>
      </c>
      <c r="C26" s="228">
        <f>1965+374+429</f>
        <v>2768</v>
      </c>
      <c r="D26" s="220">
        <v>1670</v>
      </c>
      <c r="E26" s="229"/>
      <c r="F26" s="230">
        <v>5</v>
      </c>
      <c r="G26" s="578" t="s">
        <v>13</v>
      </c>
      <c r="H26" s="235" t="s">
        <v>226</v>
      </c>
      <c r="I26" s="793"/>
      <c r="J26" s="217">
        <f>+'8'!J26</f>
        <v>0</v>
      </c>
      <c r="K26" s="241"/>
      <c r="L26" s="241"/>
      <c r="M26" s="121">
        <f>+K26+'8'!M26+L26</f>
        <v>0</v>
      </c>
    </row>
    <row r="27" spans="1:13" ht="13.5" customHeight="1" thickBot="1">
      <c r="A27" s="795"/>
      <c r="B27" s="218"/>
      <c r="C27" s="219"/>
      <c r="D27" s="220"/>
      <c r="E27" s="227"/>
      <c r="F27" s="230"/>
      <c r="G27" s="578"/>
      <c r="H27" s="235" t="s">
        <v>530</v>
      </c>
      <c r="I27" s="793"/>
      <c r="J27" s="217">
        <f>+'8'!J27</f>
        <v>0</v>
      </c>
      <c r="K27" s="241"/>
      <c r="L27" s="241"/>
      <c r="M27" s="121">
        <f>+K27+'8'!M27+L27</f>
        <v>0</v>
      </c>
    </row>
    <row r="28" spans="1:13" ht="13.5" customHeight="1" thickBot="1">
      <c r="A28" s="795"/>
      <c r="B28" s="218"/>
      <c r="C28" s="219"/>
      <c r="D28" s="220"/>
      <c r="E28" s="227"/>
      <c r="F28" s="233">
        <v>6</v>
      </c>
      <c r="G28" s="234" t="s">
        <v>13</v>
      </c>
      <c r="H28" s="235" t="s">
        <v>529</v>
      </c>
      <c r="I28" s="793"/>
      <c r="J28" s="217">
        <f>+'8'!J28</f>
        <v>0</v>
      </c>
      <c r="K28" s="241"/>
      <c r="L28" s="241"/>
      <c r="M28" s="121">
        <f>+K28+'8'!M28+L28</f>
        <v>0</v>
      </c>
    </row>
    <row r="29" spans="1:13" ht="13.5" customHeight="1" thickBot="1">
      <c r="A29" s="795"/>
      <c r="B29" s="218"/>
      <c r="C29" s="219"/>
      <c r="D29" s="220"/>
      <c r="E29" s="227"/>
      <c r="F29" s="238"/>
      <c r="G29" s="234"/>
      <c r="H29" s="235"/>
      <c r="I29" s="793"/>
      <c r="J29" s="217">
        <f>+'8'!J29</f>
        <v>0</v>
      </c>
      <c r="K29" s="241"/>
      <c r="L29" s="241"/>
      <c r="M29" s="121">
        <f>+K29+'8'!M29+L29</f>
        <v>0</v>
      </c>
    </row>
    <row r="30" spans="1:13" ht="13.5" customHeight="1" thickBot="1">
      <c r="A30" s="795"/>
      <c r="B30" s="218"/>
      <c r="C30" s="228"/>
      <c r="D30" s="220"/>
      <c r="E30" s="227"/>
      <c r="F30" s="238"/>
      <c r="G30" s="234"/>
      <c r="H30" s="235"/>
      <c r="I30" s="793"/>
      <c r="J30" s="217">
        <f>+'8'!J30</f>
        <v>0</v>
      </c>
      <c r="K30" s="241"/>
      <c r="L30" s="241"/>
      <c r="M30" s="121">
        <f>+K30+'8'!M30+L30</f>
        <v>0</v>
      </c>
    </row>
    <row r="31" spans="1:13" ht="13.5" customHeight="1" thickBot="1">
      <c r="A31" s="795"/>
      <c r="B31" s="218"/>
      <c r="C31" s="228"/>
      <c r="D31" s="220"/>
      <c r="E31" s="227"/>
      <c r="F31" s="238"/>
      <c r="G31" s="239"/>
      <c r="H31" s="236"/>
      <c r="I31" s="794"/>
      <c r="J31" s="217">
        <f>+'8'!J31</f>
        <v>0</v>
      </c>
      <c r="K31" s="241"/>
      <c r="L31" s="241"/>
      <c r="M31" s="121">
        <f>+K31+'8'!M31+L31</f>
        <v>0</v>
      </c>
    </row>
    <row r="32" spans="1:13" ht="13.5" customHeight="1" thickBot="1">
      <c r="A32" s="796"/>
      <c r="B32" s="169" t="s">
        <v>3</v>
      </c>
      <c r="C32" s="103">
        <f>SUM(C25:C31)</f>
        <v>17612</v>
      </c>
      <c r="D32" s="104">
        <f>SUM(D25:D31)</f>
        <v>1670</v>
      </c>
      <c r="E32" s="105">
        <f>SUM(E25:E31)</f>
        <v>0</v>
      </c>
      <c r="F32" s="106">
        <f>SUM(F24:F31)</f>
        <v>15</v>
      </c>
      <c r="G32" s="174"/>
      <c r="H32" s="175"/>
      <c r="I32" s="172"/>
      <c r="J32" s="217">
        <f>+'8'!J32</f>
        <v>0</v>
      </c>
      <c r="K32" s="243"/>
      <c r="L32" s="245"/>
      <c r="M32" s="121">
        <f>+K32+'8'!M32+L32</f>
        <v>0</v>
      </c>
    </row>
    <row r="33" spans="1:15" ht="13.5" thickBot="1">
      <c r="A33" s="176"/>
      <c r="B33" s="177"/>
      <c r="C33" s="107">
        <f>C32/($C$32+$D$32+$E$32)</f>
        <v>0.91339072710299762</v>
      </c>
      <c r="D33" s="108">
        <f>D32/($C$32+$D$32+$E$32)</f>
        <v>8.660927289700239E-2</v>
      </c>
      <c r="E33" s="109">
        <f>E32/($C$32+$D$32+$E$32)</f>
        <v>0</v>
      </c>
      <c r="F33" s="110"/>
      <c r="G33" s="178"/>
      <c r="H33" s="179"/>
      <c r="I33" s="180"/>
      <c r="J33" s="125"/>
      <c r="K33" s="126"/>
      <c r="L33" s="216"/>
      <c r="M33" s="123"/>
    </row>
    <row r="34" spans="1:15" ht="13.5" thickBot="1">
      <c r="A34" s="797" t="s">
        <v>60</v>
      </c>
      <c r="B34" s="798"/>
      <c r="C34" s="111">
        <f>C14+C23+C32</f>
        <v>51213</v>
      </c>
      <c r="D34" s="111">
        <f>D14+D23+D32</f>
        <v>1670</v>
      </c>
      <c r="E34" s="111">
        <f>E14+E23+E32</f>
        <v>0</v>
      </c>
      <c r="F34" s="112">
        <f>F14+F23+F32</f>
        <v>31</v>
      </c>
      <c r="H34" s="181"/>
      <c r="I34" s="181"/>
      <c r="J34" s="127" t="s">
        <v>29</v>
      </c>
      <c r="K34" s="128">
        <f>SUM(K7:K32)</f>
        <v>51213</v>
      </c>
      <c r="L34" s="215">
        <f>SUM(L7:L32)</f>
        <v>0</v>
      </c>
      <c r="M34" s="124">
        <f>SUM(M7:M32)</f>
        <v>371664</v>
      </c>
    </row>
    <row r="35" spans="1:15" ht="13.5" thickBot="1">
      <c r="A35" s="182"/>
      <c r="B35" s="183"/>
      <c r="C35" s="108">
        <f>C34/($C$34+$D$34+$E$34)</f>
        <v>0.96842085358243668</v>
      </c>
      <c r="D35" s="108">
        <f>D34/($C$34+$D$34+$E$34)</f>
        <v>3.1579146417563299E-2</v>
      </c>
      <c r="E35" s="113">
        <f>E34/($C$34+$D$34+$E$34)</f>
        <v>0</v>
      </c>
      <c r="K35" s="159"/>
      <c r="L35" s="788" t="s">
        <v>186</v>
      </c>
      <c r="M35" s="788"/>
    </row>
    <row r="36" spans="1:15" ht="13.5" thickBot="1">
      <c r="A36" s="181"/>
      <c r="B36" s="181"/>
      <c r="C36" s="159"/>
      <c r="D36" s="159"/>
      <c r="E36" s="159"/>
      <c r="G36" s="159"/>
      <c r="H36" s="184"/>
      <c r="I36" s="166" t="s">
        <v>42</v>
      </c>
      <c r="J36" s="166" t="s">
        <v>43</v>
      </c>
      <c r="K36" s="185"/>
      <c r="L36" s="166" t="s">
        <v>42</v>
      </c>
      <c r="M36" s="166" t="s">
        <v>43</v>
      </c>
    </row>
    <row r="37" spans="1:15" ht="17.45" customHeight="1" thickBot="1">
      <c r="A37" s="801" t="s">
        <v>61</v>
      </c>
      <c r="B37" s="802"/>
      <c r="C37" s="166" t="s">
        <v>62</v>
      </c>
      <c r="D37" s="186" t="s">
        <v>63</v>
      </c>
      <c r="E37" s="187" t="s">
        <v>64</v>
      </c>
      <c r="F37" s="372"/>
      <c r="G37" s="374"/>
      <c r="H37" s="189" t="s">
        <v>65</v>
      </c>
      <c r="I37" s="246">
        <f>(15.5*595+17*175+16.5*455+20*215)/1440*G42*3.4*1440/1000000</f>
        <v>58.258214600000002</v>
      </c>
      <c r="J37" s="129">
        <f>+I37+'8'!J37</f>
        <v>430.09215799540004</v>
      </c>
      <c r="K37" s="130" t="s">
        <v>66</v>
      </c>
      <c r="L37" s="437"/>
      <c r="M37" s="438"/>
      <c r="N37" s="153">
        <f>360+25+40+120+50</f>
        <v>595</v>
      </c>
      <c r="O37" s="560">
        <v>20.715000000000003</v>
      </c>
    </row>
    <row r="38" spans="1:15" ht="17.45" customHeight="1">
      <c r="A38" s="803" t="s">
        <v>13</v>
      </c>
      <c r="B38" s="804"/>
      <c r="C38" s="168">
        <f>SUMIF($G$7:$G$31,"Process",$F$7:$F$31)</f>
        <v>31</v>
      </c>
      <c r="D38" s="122">
        <f>+C38+'8'!D38</f>
        <v>408</v>
      </c>
      <c r="E38" s="147">
        <f t="shared" ref="E38:E51" si="0">D38/60</f>
        <v>6.8</v>
      </c>
      <c r="F38" s="372">
        <v>830</v>
      </c>
      <c r="G38" s="372">
        <f>+F38-F38*0.14</f>
        <v>713.8</v>
      </c>
      <c r="H38" s="190" t="s">
        <v>67</v>
      </c>
      <c r="I38" s="559">
        <f>15.566+18.652+20.011</f>
        <v>54.228999999999999</v>
      </c>
      <c r="J38" s="131">
        <f>+I38+'8'!J38</f>
        <v>391.72899999999998</v>
      </c>
      <c r="K38" s="132" t="s">
        <v>66</v>
      </c>
      <c r="L38" s="439"/>
      <c r="M38" s="440"/>
      <c r="N38" s="153">
        <f>95+60+20</f>
        <v>175</v>
      </c>
      <c r="O38" s="153">
        <v>7.1869999999999994</v>
      </c>
    </row>
    <row r="39" spans="1:15" ht="17.45" customHeight="1">
      <c r="A39" s="799" t="s">
        <v>14</v>
      </c>
      <c r="B39" s="800"/>
      <c r="C39" s="168">
        <f>SUMIF($G$7:$G$31,"Cleaning",$F$7:$F$31)</f>
        <v>0</v>
      </c>
      <c r="D39" s="122">
        <f>+C39+'8'!D39</f>
        <v>0</v>
      </c>
      <c r="E39" s="147">
        <f t="shared" si="0"/>
        <v>0</v>
      </c>
      <c r="F39" s="372">
        <v>830</v>
      </c>
      <c r="G39" s="372">
        <f>+F39-F39*0.14</f>
        <v>713.8</v>
      </c>
      <c r="H39" s="190" t="s">
        <v>68</v>
      </c>
      <c r="I39" s="146"/>
      <c r="J39" s="133">
        <f>J37/G4</f>
        <v>47.788017555044448</v>
      </c>
      <c r="K39" s="134" t="s">
        <v>66</v>
      </c>
      <c r="L39" s="439"/>
      <c r="M39" s="440"/>
      <c r="N39" s="153">
        <f>10+180+240+25</f>
        <v>455</v>
      </c>
      <c r="O39" s="153">
        <v>16.988</v>
      </c>
    </row>
    <row r="40" spans="1:15" ht="17.45" customHeight="1">
      <c r="A40" s="799" t="s">
        <v>69</v>
      </c>
      <c r="B40" s="800"/>
      <c r="C40" s="168">
        <f>SUMIF($G$7:$G$31,"Mechanical",$F$7:$F$31)</f>
        <v>0</v>
      </c>
      <c r="D40" s="122">
        <f>+C40+'8'!D40</f>
        <v>330</v>
      </c>
      <c r="E40" s="147">
        <f t="shared" si="0"/>
        <v>5.5</v>
      </c>
      <c r="F40" s="372">
        <v>830</v>
      </c>
      <c r="G40" s="372">
        <f>+F40-F40*0.14</f>
        <v>713.8</v>
      </c>
      <c r="H40" s="190" t="s">
        <v>70</v>
      </c>
      <c r="I40" s="122">
        <f>(K34+L34)/1000</f>
        <v>51.213000000000001</v>
      </c>
      <c r="J40" s="135">
        <f>+I40+'8'!J40</f>
        <v>371.66400000000004</v>
      </c>
      <c r="K40" s="134" t="s">
        <v>66</v>
      </c>
      <c r="L40" s="439"/>
      <c r="M40" s="440"/>
      <c r="N40" s="153">
        <f>35+180</f>
        <v>215</v>
      </c>
      <c r="O40" s="153">
        <v>9.3390000000000004</v>
      </c>
    </row>
    <row r="41" spans="1:15" ht="17.45" customHeight="1">
      <c r="A41" s="799" t="s">
        <v>71</v>
      </c>
      <c r="B41" s="800"/>
      <c r="C41" s="168">
        <f>SUMIF($G$7:$G$31,"Electrical",$F$7:$F$31)</f>
        <v>0</v>
      </c>
      <c r="D41" s="122">
        <f>+C41+'8'!D41</f>
        <v>285</v>
      </c>
      <c r="E41" s="147">
        <f t="shared" si="0"/>
        <v>4.75</v>
      </c>
      <c r="F41" s="372"/>
      <c r="G41" s="372"/>
      <c r="H41" s="190" t="s">
        <v>72</v>
      </c>
      <c r="I41" s="146"/>
      <c r="J41" s="133">
        <f>J40/G4</f>
        <v>41.296000000000006</v>
      </c>
      <c r="K41" s="134" t="s">
        <v>66</v>
      </c>
      <c r="L41" s="439"/>
      <c r="M41" s="440"/>
      <c r="N41" s="153">
        <f>SUM(N37:N40)</f>
        <v>1440</v>
      </c>
    </row>
    <row r="42" spans="1:15" ht="17.45" customHeight="1">
      <c r="A42" s="799" t="s">
        <v>17</v>
      </c>
      <c r="B42" s="800"/>
      <c r="C42" s="168">
        <f>SUMIF($G$7:$G$31,"Instrument",$F$7:$F$31)</f>
        <v>0</v>
      </c>
      <c r="D42" s="122">
        <f>+C42+'8'!D42</f>
        <v>0</v>
      </c>
      <c r="E42" s="147">
        <f t="shared" si="0"/>
        <v>0</v>
      </c>
      <c r="F42" s="372">
        <f>+(F38*480+F39*480+F40*480)/1440</f>
        <v>830</v>
      </c>
      <c r="G42" s="372">
        <f>+(G38*480+G39*480+G40*480)/1440</f>
        <v>713.8</v>
      </c>
      <c r="H42" s="190" t="s">
        <v>73</v>
      </c>
      <c r="I42" s="248" t="s">
        <v>508</v>
      </c>
      <c r="J42" s="136"/>
      <c r="K42" s="134" t="s">
        <v>74</v>
      </c>
      <c r="L42" s="439"/>
      <c r="M42" s="440"/>
    </row>
    <row r="43" spans="1:15" ht="17.45" customHeight="1">
      <c r="A43" s="799" t="s">
        <v>201</v>
      </c>
      <c r="B43" s="800"/>
      <c r="C43" s="168">
        <f>SUMIF($G$7:$G$31,"Change Grade",$F$7:$F$31)</f>
        <v>0</v>
      </c>
      <c r="D43" s="122">
        <f>+C43+'8'!D43</f>
        <v>0</v>
      </c>
      <c r="E43" s="147">
        <f t="shared" si="0"/>
        <v>0</v>
      </c>
      <c r="F43" s="372"/>
      <c r="G43" s="373"/>
      <c r="H43" s="191" t="s">
        <v>76</v>
      </c>
      <c r="I43" s="122">
        <f>+Report1!AH17</f>
        <v>135.58099999999999</v>
      </c>
      <c r="J43" s="137">
        <f>+I43+'8'!J43</f>
        <v>948.99</v>
      </c>
      <c r="K43" s="134" t="s">
        <v>66</v>
      </c>
      <c r="L43" s="441">
        <f>+Report1!AN17</f>
        <v>9.4</v>
      </c>
      <c r="M43" s="442">
        <f>+L43+'8'!M43</f>
        <v>88.300000000000011</v>
      </c>
    </row>
    <row r="44" spans="1:15" ht="17.45" customHeight="1">
      <c r="A44" s="799" t="s">
        <v>18</v>
      </c>
      <c r="B44" s="800"/>
      <c r="C44" s="168">
        <f>SUMIF($G$7:$G$31,"PLN",$F$7:$F$31)</f>
        <v>0</v>
      </c>
      <c r="D44" s="122">
        <f>+C44+'8'!D44</f>
        <v>105</v>
      </c>
      <c r="E44" s="147">
        <f t="shared" si="0"/>
        <v>1.75</v>
      </c>
      <c r="F44" s="372"/>
      <c r="G44" s="373"/>
      <c r="H44" s="191" t="s">
        <v>77</v>
      </c>
      <c r="I44" s="122">
        <f>I43/I38</f>
        <v>2.5001567427022442</v>
      </c>
      <c r="J44" s="138">
        <f>J43/J38</f>
        <v>2.4225676424262694</v>
      </c>
      <c r="K44" s="134" t="s">
        <v>66</v>
      </c>
      <c r="L44" s="443">
        <f>+L43/I38</f>
        <v>0.1733389883641594</v>
      </c>
      <c r="M44" s="444">
        <f>+M43/J38</f>
        <v>0.22541093460019557</v>
      </c>
    </row>
    <row r="45" spans="1:15" ht="17.45" customHeight="1">
      <c r="A45" s="799" t="s">
        <v>19</v>
      </c>
      <c r="B45" s="800"/>
      <c r="C45" s="168">
        <f>SUMIF($G$7:$G$31,"Boiler",$F$7:$F$31)</f>
        <v>0</v>
      </c>
      <c r="D45" s="122">
        <f>+C45+'8'!D45</f>
        <v>0</v>
      </c>
      <c r="E45" s="147">
        <f t="shared" si="0"/>
        <v>0</v>
      </c>
      <c r="F45" s="372"/>
      <c r="G45" s="375"/>
      <c r="H45" s="191" t="s">
        <v>78</v>
      </c>
      <c r="I45" s="122">
        <f>I43/I40</f>
        <v>2.6473942163122643</v>
      </c>
      <c r="J45" s="138">
        <f>J43/J40</f>
        <v>2.5533546429032672</v>
      </c>
      <c r="K45" s="134" t="s">
        <v>66</v>
      </c>
      <c r="L45" s="443">
        <f>+L43/I40</f>
        <v>0.18354714623240193</v>
      </c>
      <c r="M45" s="444">
        <f>+M43/J40</f>
        <v>0.23758017994747946</v>
      </c>
    </row>
    <row r="46" spans="1:15" ht="17.45" customHeight="1">
      <c r="A46" s="799" t="s">
        <v>79</v>
      </c>
      <c r="B46" s="800"/>
      <c r="C46" s="168">
        <f>SUMIF($G$7:$G$31,"Gas",$F$7:$F$31)</f>
        <v>0</v>
      </c>
      <c r="D46" s="122">
        <f>+C46+'8'!D46</f>
        <v>0</v>
      </c>
      <c r="E46" s="147">
        <f t="shared" si="0"/>
        <v>0</v>
      </c>
      <c r="F46" s="372"/>
      <c r="G46" s="373"/>
      <c r="H46" s="191" t="s">
        <v>80</v>
      </c>
      <c r="I46" s="144">
        <f>+SUMIF(Listrik!AC16,"&gt;0")</f>
        <v>34596.579999999449</v>
      </c>
      <c r="J46" s="139">
        <f>+I46+'8'!J46</f>
        <v>269960.70000000071</v>
      </c>
      <c r="K46" s="134" t="s">
        <v>81</v>
      </c>
      <c r="L46" s="443">
        <f>+Listrik!AF16</f>
        <v>1300</v>
      </c>
      <c r="M46" s="445">
        <f>+L46+'8'!M46</f>
        <v>55559</v>
      </c>
    </row>
    <row r="47" spans="1:15" ht="17.45" customHeight="1">
      <c r="A47" s="799" t="s">
        <v>82</v>
      </c>
      <c r="B47" s="800"/>
      <c r="C47" s="168">
        <f>SUMIF($G$7:$G$31,"Gas",$F$7:$F$31)</f>
        <v>0</v>
      </c>
      <c r="D47" s="122">
        <f>+C47+'8'!D47</f>
        <v>0</v>
      </c>
      <c r="E47" s="147">
        <f t="shared" si="0"/>
        <v>0</v>
      </c>
      <c r="F47" s="372"/>
      <c r="G47" s="373"/>
      <c r="H47" s="191" t="s">
        <v>83</v>
      </c>
      <c r="I47" s="122">
        <f>I46/I38</f>
        <v>637.97193383612921</v>
      </c>
      <c r="J47" s="139">
        <f>J46/J38</f>
        <v>689.15168394476973</v>
      </c>
      <c r="K47" s="134" t="s">
        <v>25</v>
      </c>
      <c r="L47" s="443">
        <f>+L46/I38</f>
        <v>23.972413284405022</v>
      </c>
      <c r="M47" s="444">
        <f>+M46/J38</f>
        <v>141.83019383298148</v>
      </c>
    </row>
    <row r="48" spans="1:15" ht="17.45" customHeight="1">
      <c r="A48" s="799" t="s">
        <v>15</v>
      </c>
      <c r="B48" s="800"/>
      <c r="C48" s="168">
        <f>SUMIF($G$7:$G$31,"Start Up",$F$7:$F$31)</f>
        <v>0</v>
      </c>
      <c r="D48" s="122">
        <f>+C48+'8'!D48</f>
        <v>0</v>
      </c>
      <c r="E48" s="147">
        <f t="shared" si="0"/>
        <v>0</v>
      </c>
      <c r="F48" s="372"/>
      <c r="G48" s="373"/>
      <c r="H48" s="191" t="s">
        <v>84</v>
      </c>
      <c r="I48" s="122">
        <f>I46/I40</f>
        <v>675.54292855328629</v>
      </c>
      <c r="J48" s="139">
        <f>J46/J40</f>
        <v>726.35687072194423</v>
      </c>
      <c r="K48" s="134" t="s">
        <v>25</v>
      </c>
      <c r="L48" s="443">
        <f>+L46/I38</f>
        <v>23.972413284405022</v>
      </c>
      <c r="M48" s="444">
        <f>+M46/J40</f>
        <v>149.48717120840328</v>
      </c>
    </row>
    <row r="49" spans="1:13" ht="17.45" customHeight="1">
      <c r="A49" s="799" t="s">
        <v>21</v>
      </c>
      <c r="B49" s="800"/>
      <c r="C49" s="168">
        <f>SUMIF($G$7:$G$31,"Others",$F$7:$F$31)</f>
        <v>0</v>
      </c>
      <c r="D49" s="122">
        <f>+C49+'8'!D49</f>
        <v>1440</v>
      </c>
      <c r="E49" s="147">
        <f t="shared" si="0"/>
        <v>24</v>
      </c>
      <c r="F49" s="188"/>
      <c r="H49" s="191" t="s">
        <v>170</v>
      </c>
      <c r="I49" s="122">
        <f>+Report1!AB17</f>
        <v>0</v>
      </c>
      <c r="J49" s="139">
        <f>+I49+'8'!J49</f>
        <v>0</v>
      </c>
      <c r="K49" s="134" t="s">
        <v>86</v>
      </c>
      <c r="L49" s="439"/>
      <c r="M49" s="440"/>
    </row>
    <row r="50" spans="1:13" ht="17.45" customHeight="1">
      <c r="A50" s="799" t="s">
        <v>20</v>
      </c>
      <c r="B50" s="800"/>
      <c r="C50" s="168">
        <f>SUMIF($G$7:$G$31,"Steam",$F$7:$F$31)</f>
        <v>0</v>
      </c>
      <c r="D50" s="122">
        <f>+C50+'8'!D50</f>
        <v>0</v>
      </c>
      <c r="E50" s="147">
        <f t="shared" si="0"/>
        <v>0</v>
      </c>
      <c r="F50" s="188"/>
      <c r="H50" s="191" t="s">
        <v>87</v>
      </c>
      <c r="I50" s="144">
        <f>I49/I38</f>
        <v>0</v>
      </c>
      <c r="J50" s="137">
        <f>J49/J38</f>
        <v>0</v>
      </c>
      <c r="K50" s="134" t="s">
        <v>86</v>
      </c>
      <c r="L50" s="439"/>
      <c r="M50" s="440"/>
    </row>
    <row r="51" spans="1:13" ht="17.45" customHeight="1" thickBot="1">
      <c r="A51" s="805" t="s">
        <v>88</v>
      </c>
      <c r="B51" s="806"/>
      <c r="C51" s="168">
        <f>SUMIF($G$7:$G$31,"Planned shut",$F$7:$F$31)</f>
        <v>0</v>
      </c>
      <c r="D51" s="122">
        <f>+C51+'8'!D51</f>
        <v>0</v>
      </c>
      <c r="E51" s="147">
        <f t="shared" si="0"/>
        <v>0</v>
      </c>
      <c r="F51" s="188"/>
      <c r="H51" s="193" t="s">
        <v>89</v>
      </c>
      <c r="I51" s="145">
        <f>I49/I40</f>
        <v>0</v>
      </c>
      <c r="J51" s="140">
        <f>J49/J40</f>
        <v>0</v>
      </c>
      <c r="K51" s="141" t="s">
        <v>86</v>
      </c>
      <c r="L51" s="439"/>
      <c r="M51" s="440"/>
    </row>
    <row r="52" spans="1:13" ht="13.5" thickBot="1">
      <c r="A52" s="803" t="s">
        <v>29</v>
      </c>
      <c r="B52" s="804"/>
      <c r="C52" s="148">
        <f>SUM(C38:C51)</f>
        <v>31</v>
      </c>
      <c r="D52" s="148">
        <f>SUM(D38:D51)</f>
        <v>2568</v>
      </c>
      <c r="E52" s="149">
        <f>SUM(E38:E51)</f>
        <v>42.8</v>
      </c>
      <c r="F52" s="188"/>
      <c r="H52" s="194"/>
      <c r="I52" s="195"/>
      <c r="J52" s="142"/>
      <c r="K52" s="143"/>
      <c r="L52" s="446"/>
      <c r="M52" s="447"/>
    </row>
    <row r="53" spans="1:13" ht="13.5" thickBot="1">
      <c r="A53" s="807"/>
      <c r="B53" s="808"/>
      <c r="C53" s="150">
        <f>C52/(24*60)</f>
        <v>2.1527777777777778E-2</v>
      </c>
      <c r="D53" s="150">
        <f>D52/(24*60*G4)</f>
        <v>0.19814814814814816</v>
      </c>
      <c r="E53" s="151">
        <f>E52/(G4*24)</f>
        <v>0.19814814814814813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90</v>
      </c>
      <c r="B56" s="198"/>
      <c r="C56" s="199"/>
      <c r="D56" s="199"/>
      <c r="E56" s="199"/>
      <c r="F56" s="200"/>
      <c r="G56" s="199"/>
      <c r="H56" s="201"/>
      <c r="I56" s="202" t="s">
        <v>91</v>
      </c>
      <c r="J56" s="203">
        <f>+D34+'8'!J56</f>
        <v>8253</v>
      </c>
      <c r="K56" s="204">
        <f>J56/(J40+J56/1000)/1000</f>
        <v>2.172316584938289E-2</v>
      </c>
    </row>
    <row r="57" spans="1:13">
      <c r="A57" s="179"/>
      <c r="I57" s="202" t="s">
        <v>92</v>
      </c>
      <c r="J57" s="203">
        <f>+E34+'8'!J57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  <c r="J58" s="159">
        <f>+J56+325</f>
        <v>8578</v>
      </c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38:B38"/>
    <mergeCell ref="A24:A32"/>
    <mergeCell ref="A7:A14"/>
    <mergeCell ref="I7:I13"/>
    <mergeCell ref="A15:A23"/>
    <mergeCell ref="I15:I22"/>
    <mergeCell ref="I24:I31"/>
    <mergeCell ref="A37:B37"/>
    <mergeCell ref="A34:B34"/>
    <mergeCell ref="A47:B47"/>
    <mergeCell ref="A40:B40"/>
    <mergeCell ref="A41:B41"/>
    <mergeCell ref="A39:B39"/>
    <mergeCell ref="A46:B46"/>
    <mergeCell ref="A42:B42"/>
    <mergeCell ref="A43:B43"/>
    <mergeCell ref="A44:B44"/>
    <mergeCell ref="A45:B45"/>
    <mergeCell ref="A48:B48"/>
    <mergeCell ref="A53:B53"/>
    <mergeCell ref="A52:B52"/>
    <mergeCell ref="A49:B49"/>
    <mergeCell ref="A51:B51"/>
    <mergeCell ref="A50:B50"/>
  </mergeCells>
  <phoneticPr fontId="31" type="noConversion"/>
  <printOptions horizontalCentered="1"/>
  <pageMargins left="0.17" right="0.16" top="0.17" bottom="0.16" header="0" footer="0"/>
  <pageSetup paperSize="9" scale="62" firstPageNumber="4294963191" fitToWidth="27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O61"/>
  <sheetViews>
    <sheetView view="pageBreakPreview" zoomScale="80" zoomScaleNormal="75" zoomScaleSheetLayoutView="80" workbookViewId="0">
      <selection activeCell="A7" sqref="A7:B32"/>
    </sheetView>
  </sheetViews>
  <sheetFormatPr defaultColWidth="9.140625" defaultRowHeight="12.75"/>
  <cols>
    <col min="1" max="1" width="8" style="153" customWidth="1"/>
    <col min="2" max="2" width="7" style="153" bestFit="1" customWidth="1"/>
    <col min="3" max="3" width="14.85546875" style="153" bestFit="1" customWidth="1"/>
    <col min="4" max="4" width="15" style="153" bestFit="1" customWidth="1"/>
    <col min="5" max="5" width="13.85546875" style="153" bestFit="1" customWidth="1"/>
    <col min="6" max="6" width="12.140625" style="114" bestFit="1" customWidth="1"/>
    <col min="7" max="7" width="11.42578125" style="153" bestFit="1" customWidth="1"/>
    <col min="8" max="8" width="64.85546875" style="153" customWidth="1"/>
    <col min="9" max="9" width="14.7109375" style="153" bestFit="1" customWidth="1"/>
    <col min="10" max="10" width="20.28515625" style="153" bestFit="1" customWidth="1"/>
    <col min="11" max="11" width="14" style="153" bestFit="1" customWidth="1"/>
    <col min="12" max="12" width="13.7109375" style="153" bestFit="1" customWidth="1"/>
    <col min="13" max="13" width="15" style="153" bestFit="1" customWidth="1"/>
    <col min="14" max="16384" width="9.140625" style="153"/>
  </cols>
  <sheetData>
    <row r="1" spans="1:15" ht="15.75">
      <c r="A1" s="152"/>
    </row>
    <row r="2" spans="1:15" ht="15.75">
      <c r="A2" s="152" t="s">
        <v>175</v>
      </c>
    </row>
    <row r="3" spans="1:15" ht="15">
      <c r="A3" s="154"/>
    </row>
    <row r="4" spans="1:15" ht="20.25">
      <c r="A4" s="155" t="s">
        <v>4</v>
      </c>
      <c r="B4" s="156"/>
      <c r="F4" s="157" t="s">
        <v>31</v>
      </c>
      <c r="G4" s="158">
        <v>8</v>
      </c>
      <c r="H4" s="158" t="str">
        <f>+'1'!H4</f>
        <v>.12.25</v>
      </c>
    </row>
    <row r="5" spans="1:15" ht="13.5" thickBot="1">
      <c r="C5" s="159"/>
      <c r="D5" s="159"/>
    </row>
    <row r="6" spans="1:15" ht="26.25" thickBot="1">
      <c r="A6" s="160" t="s">
        <v>50</v>
      </c>
      <c r="B6" s="161" t="s">
        <v>10</v>
      </c>
      <c r="C6" s="161" t="s">
        <v>51</v>
      </c>
      <c r="D6" s="161" t="s">
        <v>52</v>
      </c>
      <c r="E6" s="162" t="s">
        <v>53</v>
      </c>
      <c r="F6" s="106" t="s">
        <v>54</v>
      </c>
      <c r="G6" s="161" t="s">
        <v>55</v>
      </c>
      <c r="H6" s="163" t="s">
        <v>56</v>
      </c>
      <c r="I6" s="164" t="s">
        <v>57</v>
      </c>
      <c r="J6" s="165" t="s">
        <v>10</v>
      </c>
      <c r="K6" s="166" t="s">
        <v>58</v>
      </c>
      <c r="L6" s="213" t="s">
        <v>143</v>
      </c>
      <c r="M6" s="167" t="s">
        <v>59</v>
      </c>
      <c r="N6" s="153">
        <f>377+324+329</f>
        <v>1030</v>
      </c>
    </row>
    <row r="7" spans="1:15" ht="13.5" customHeight="1" thickBot="1">
      <c r="A7" s="789" t="s">
        <v>415</v>
      </c>
      <c r="B7" s="218" t="s">
        <v>502</v>
      </c>
      <c r="C7" s="219">
        <v>15189</v>
      </c>
      <c r="D7" s="220"/>
      <c r="E7" s="221"/>
      <c r="F7" s="230">
        <v>3</v>
      </c>
      <c r="G7" s="231" t="s">
        <v>13</v>
      </c>
      <c r="H7" s="232" t="s">
        <v>392</v>
      </c>
      <c r="I7" s="792" t="s">
        <v>508</v>
      </c>
      <c r="J7" s="217" t="str">
        <f>+'7'!J7</f>
        <v>TW 38 RC BR</v>
      </c>
      <c r="K7" s="240"/>
      <c r="L7" s="244"/>
      <c r="M7" s="121">
        <f>+K7+'7'!M7+L7</f>
        <v>78513</v>
      </c>
    </row>
    <row r="8" spans="1:15" ht="13.5" thickBot="1">
      <c r="A8" s="790"/>
      <c r="B8" s="218"/>
      <c r="C8" s="219"/>
      <c r="D8" s="220"/>
      <c r="E8" s="222"/>
      <c r="F8" s="233">
        <v>4</v>
      </c>
      <c r="G8" s="578" t="s">
        <v>13</v>
      </c>
      <c r="H8" s="232" t="s">
        <v>393</v>
      </c>
      <c r="I8" s="793"/>
      <c r="J8" s="217" t="str">
        <f>+'7'!J8</f>
        <v>TW 36 RC BR</v>
      </c>
      <c r="K8" s="241"/>
      <c r="L8" s="241"/>
      <c r="M8" s="121">
        <f>+K8+'7'!M8+L8</f>
        <v>1530</v>
      </c>
      <c r="N8" s="153">
        <v>830</v>
      </c>
      <c r="O8" s="153">
        <f>+N8-N8*0.14</f>
        <v>713.8</v>
      </c>
    </row>
    <row r="9" spans="1:15" ht="13.5" thickBot="1">
      <c r="A9" s="790"/>
      <c r="B9" s="218"/>
      <c r="C9" s="219"/>
      <c r="D9" s="220"/>
      <c r="E9" s="223"/>
      <c r="F9" s="230">
        <v>3</v>
      </c>
      <c r="G9" s="578" t="s">
        <v>13</v>
      </c>
      <c r="H9" s="235" t="s">
        <v>226</v>
      </c>
      <c r="I9" s="793"/>
      <c r="J9" s="217" t="str">
        <f>+'7'!J9</f>
        <v>N 20 RC BR</v>
      </c>
      <c r="K9" s="241"/>
      <c r="L9" s="241"/>
      <c r="M9" s="121">
        <f>+K9+'7'!M9+L9</f>
        <v>74204</v>
      </c>
    </row>
    <row r="10" spans="1:15" ht="13.5" thickBot="1">
      <c r="A10" s="790"/>
      <c r="B10" s="218"/>
      <c r="C10" s="219"/>
      <c r="D10" s="220"/>
      <c r="E10" s="222"/>
      <c r="F10" s="230"/>
      <c r="G10" s="578"/>
      <c r="H10" s="235" t="s">
        <v>501</v>
      </c>
      <c r="I10" s="793"/>
      <c r="J10" s="217" t="str">
        <f>+'7'!J10</f>
        <v>TW 17 RC HW</v>
      </c>
      <c r="K10" s="241"/>
      <c r="L10" s="241"/>
      <c r="M10" s="121">
        <f>+K10+'7'!M10+L10</f>
        <v>39984</v>
      </c>
    </row>
    <row r="11" spans="1:15" ht="13.5" thickBot="1">
      <c r="A11" s="790"/>
      <c r="B11" s="218"/>
      <c r="C11" s="219"/>
      <c r="D11" s="220"/>
      <c r="E11" s="222"/>
      <c r="F11" s="230"/>
      <c r="G11" s="234"/>
      <c r="H11" s="235"/>
      <c r="I11" s="793"/>
      <c r="J11" s="217" t="str">
        <f>+'7'!J11</f>
        <v>N 15,5 RC HW</v>
      </c>
      <c r="K11" s="241">
        <f>+C34</f>
        <v>45993</v>
      </c>
      <c r="L11" s="241"/>
      <c r="M11" s="121">
        <f>+K11+'7'!M11+L11</f>
        <v>126220</v>
      </c>
    </row>
    <row r="12" spans="1:15" ht="13.5" thickBot="1">
      <c r="A12" s="790"/>
      <c r="B12" s="218"/>
      <c r="C12" s="219"/>
      <c r="D12" s="220"/>
      <c r="E12" s="222"/>
      <c r="F12" s="230"/>
      <c r="G12" s="234"/>
      <c r="H12" s="235"/>
      <c r="I12" s="793"/>
      <c r="J12" s="217">
        <f>+'7'!J12</f>
        <v>0</v>
      </c>
      <c r="K12" s="241"/>
      <c r="L12" s="241"/>
      <c r="M12" s="121">
        <f>+K12+'7'!M12+L12</f>
        <v>0</v>
      </c>
    </row>
    <row r="13" spans="1:15" ht="13.5" thickBot="1">
      <c r="A13" s="790"/>
      <c r="B13" s="218"/>
      <c r="C13" s="219"/>
      <c r="D13" s="219"/>
      <c r="E13" s="222"/>
      <c r="F13" s="230"/>
      <c r="G13" s="234"/>
      <c r="H13" s="235"/>
      <c r="I13" s="794"/>
      <c r="J13" s="217">
        <f>+'7'!J13</f>
        <v>0</v>
      </c>
      <c r="K13" s="241"/>
      <c r="L13" s="241"/>
      <c r="M13" s="121">
        <f>+K13+'7'!M13+L13</f>
        <v>0</v>
      </c>
    </row>
    <row r="14" spans="1:15" ht="13.5" thickBot="1">
      <c r="A14" s="791"/>
      <c r="B14" s="169" t="s">
        <v>3</v>
      </c>
      <c r="C14" s="103">
        <f>SUM(C7:C13)</f>
        <v>15189</v>
      </c>
      <c r="D14" s="115">
        <f>SUM(D7:D13)</f>
        <v>0</v>
      </c>
      <c r="E14" s="116">
        <f>SUM(E5:E13)</f>
        <v>0</v>
      </c>
      <c r="F14" s="106">
        <f>SUM(F6:F13)</f>
        <v>10</v>
      </c>
      <c r="G14" s="163"/>
      <c r="H14" s="170"/>
      <c r="I14" s="171"/>
      <c r="J14" s="217">
        <f>+'7'!J14</f>
        <v>0</v>
      </c>
      <c r="K14" s="241"/>
      <c r="L14" s="241"/>
      <c r="M14" s="121">
        <f>+K14+'7'!M14+L14</f>
        <v>0</v>
      </c>
    </row>
    <row r="15" spans="1:15" ht="13.5" customHeight="1" thickBot="1">
      <c r="A15" s="789" t="s">
        <v>486</v>
      </c>
      <c r="B15" s="169"/>
      <c r="C15" s="117">
        <f>C14/($C$23+$D$23+$E$23)</f>
        <v>1.0847736037708899</v>
      </c>
      <c r="D15" s="118">
        <f>D14/($C$23+$D$23+$E$23)</f>
        <v>0</v>
      </c>
      <c r="E15" s="119">
        <f>E14/($C$23+$D$23+$E$23)</f>
        <v>0</v>
      </c>
      <c r="F15" s="230"/>
      <c r="G15" s="231" t="s">
        <v>13</v>
      </c>
      <c r="H15" s="232" t="s">
        <v>395</v>
      </c>
      <c r="I15" s="792" t="s">
        <v>508</v>
      </c>
      <c r="J15" s="217">
        <f>+'7'!J15</f>
        <v>0</v>
      </c>
      <c r="K15" s="241"/>
      <c r="L15" s="241"/>
      <c r="M15" s="121">
        <f>+K15+'7'!M15+L15</f>
        <v>0</v>
      </c>
    </row>
    <row r="16" spans="1:15" ht="13.5" thickBot="1">
      <c r="A16" s="795"/>
      <c r="B16" s="218" t="s">
        <v>502</v>
      </c>
      <c r="C16" s="224">
        <v>13122</v>
      </c>
      <c r="D16" s="225">
        <v>880</v>
      </c>
      <c r="E16" s="226"/>
      <c r="F16" s="233">
        <v>2</v>
      </c>
      <c r="G16" s="578" t="s">
        <v>13</v>
      </c>
      <c r="H16" s="232" t="s">
        <v>393</v>
      </c>
      <c r="I16" s="793"/>
      <c r="J16" s="217">
        <f>+'7'!J16</f>
        <v>0</v>
      </c>
      <c r="K16" s="241"/>
      <c r="L16" s="231"/>
      <c r="M16" s="121">
        <f>+K16+'7'!M16+L16</f>
        <v>0</v>
      </c>
    </row>
    <row r="17" spans="1:14" ht="13.5" thickBot="1">
      <c r="A17" s="795"/>
      <c r="B17" s="218"/>
      <c r="C17" s="219"/>
      <c r="D17" s="220"/>
      <c r="E17" s="227"/>
      <c r="F17" s="230">
        <v>6</v>
      </c>
      <c r="G17" s="578" t="s">
        <v>13</v>
      </c>
      <c r="H17" s="235" t="s">
        <v>226</v>
      </c>
      <c r="I17" s="793"/>
      <c r="J17" s="217">
        <f>+'7'!J17</f>
        <v>0</v>
      </c>
      <c r="K17" s="241"/>
      <c r="L17" s="231"/>
      <c r="M17" s="121">
        <f>+K17+'7'!M17+L17</f>
        <v>0</v>
      </c>
    </row>
    <row r="18" spans="1:14" ht="13.5" thickBot="1">
      <c r="A18" s="795"/>
      <c r="B18" s="218"/>
      <c r="C18" s="219"/>
      <c r="D18" s="220"/>
      <c r="E18" s="227"/>
      <c r="F18" s="230"/>
      <c r="G18" s="578"/>
      <c r="H18" s="235" t="s">
        <v>501</v>
      </c>
      <c r="I18" s="793"/>
      <c r="J18" s="217">
        <f>+'7'!J18</f>
        <v>0</v>
      </c>
      <c r="K18" s="241"/>
      <c r="L18" s="241"/>
      <c r="M18" s="121">
        <f>+K18+'7'!M18+L18</f>
        <v>0</v>
      </c>
    </row>
    <row r="19" spans="1:14" ht="13.5" thickBot="1">
      <c r="A19" s="795"/>
      <c r="B19" s="218"/>
      <c r="C19" s="219"/>
      <c r="D19" s="220"/>
      <c r="E19" s="227"/>
      <c r="F19" s="237">
        <v>70</v>
      </c>
      <c r="G19" s="234" t="s">
        <v>13</v>
      </c>
      <c r="H19" s="235" t="s">
        <v>523</v>
      </c>
      <c r="I19" s="793"/>
      <c r="J19" s="217">
        <f>+'7'!J19</f>
        <v>0</v>
      </c>
      <c r="K19" s="241"/>
      <c r="L19" s="241"/>
      <c r="M19" s="121">
        <f>+K19+'7'!M19+L19</f>
        <v>0</v>
      </c>
    </row>
    <row r="20" spans="1:14" ht="13.5" thickBot="1">
      <c r="A20" s="795"/>
      <c r="B20" s="218"/>
      <c r="C20" s="219"/>
      <c r="D20" s="220"/>
      <c r="E20" s="227"/>
      <c r="F20" s="230"/>
      <c r="G20" s="234"/>
      <c r="H20" s="235" t="s">
        <v>522</v>
      </c>
      <c r="I20" s="793"/>
      <c r="J20" s="217">
        <f>+'7'!J20</f>
        <v>0</v>
      </c>
      <c r="K20" s="241"/>
      <c r="L20" s="242"/>
      <c r="M20" s="121">
        <f>+K20+'7'!M20+L20</f>
        <v>0</v>
      </c>
    </row>
    <row r="21" spans="1:14" ht="13.5" thickBot="1">
      <c r="A21" s="795"/>
      <c r="B21" s="218"/>
      <c r="C21" s="219"/>
      <c r="D21" s="220"/>
      <c r="E21" s="227"/>
      <c r="F21" s="233"/>
      <c r="G21" s="234"/>
      <c r="H21" s="235"/>
      <c r="I21" s="793"/>
      <c r="J21" s="217">
        <f>+'7'!J21</f>
        <v>0</v>
      </c>
      <c r="K21" s="241"/>
      <c r="L21" s="241"/>
      <c r="M21" s="121">
        <f>+K21+'7'!M21+L21</f>
        <v>0</v>
      </c>
    </row>
    <row r="22" spans="1:14" ht="13.5" thickBot="1">
      <c r="A22" s="795"/>
      <c r="B22" s="218"/>
      <c r="C22" s="219"/>
      <c r="D22" s="220"/>
      <c r="E22" s="227"/>
      <c r="F22" s="238"/>
      <c r="G22" s="234"/>
      <c r="H22" s="235"/>
      <c r="I22" s="794"/>
      <c r="J22" s="217">
        <f>+'7'!J22</f>
        <v>0</v>
      </c>
      <c r="K22" s="241"/>
      <c r="L22" s="241"/>
      <c r="M22" s="121">
        <f>+K22+'7'!M22+L22</f>
        <v>0</v>
      </c>
    </row>
    <row r="23" spans="1:14" ht="13.5" thickBot="1">
      <c r="A23" s="796"/>
      <c r="B23" s="169" t="s">
        <v>3</v>
      </c>
      <c r="C23" s="104">
        <f>SUM(C16:C22)</f>
        <v>13122</v>
      </c>
      <c r="D23" s="115">
        <f>SUM(D16:D22)</f>
        <v>880</v>
      </c>
      <c r="E23" s="116">
        <f>SUM(E18:E22)</f>
        <v>0</v>
      </c>
      <c r="F23" s="106">
        <f>SUM(F15:F22)</f>
        <v>78</v>
      </c>
      <c r="G23" s="163"/>
      <c r="H23" s="170"/>
      <c r="I23" s="172"/>
      <c r="J23" s="217">
        <f>+'7'!J23</f>
        <v>0</v>
      </c>
      <c r="K23" s="241"/>
      <c r="L23" s="241"/>
      <c r="M23" s="121">
        <f>+K23+'7'!M23+L23</f>
        <v>0</v>
      </c>
    </row>
    <row r="24" spans="1:14" ht="13.5" customHeight="1" thickBot="1">
      <c r="A24" s="789" t="s">
        <v>413</v>
      </c>
      <c r="B24" s="173"/>
      <c r="C24" s="117">
        <f>C23/($C$23+$D$23+$E$23)</f>
        <v>0.93715183545207825</v>
      </c>
      <c r="D24" s="118">
        <f>D23/($C$23+$D$23+$E$23)</f>
        <v>6.284816454792172E-2</v>
      </c>
      <c r="E24" s="119">
        <f>E23/($C$23+$D$23+$E$23)</f>
        <v>0</v>
      </c>
      <c r="F24" s="230"/>
      <c r="G24" s="231" t="s">
        <v>13</v>
      </c>
      <c r="H24" s="232" t="s">
        <v>395</v>
      </c>
      <c r="I24" s="792" t="s">
        <v>508</v>
      </c>
      <c r="J24" s="217">
        <f>+'7'!J24</f>
        <v>0</v>
      </c>
      <c r="K24" s="241"/>
      <c r="L24" s="241"/>
      <c r="M24" s="121">
        <f>+K24+'7'!M24+L24</f>
        <v>0</v>
      </c>
    </row>
    <row r="25" spans="1:14" ht="13.5" thickBot="1">
      <c r="A25" s="795"/>
      <c r="B25" s="218" t="s">
        <v>502</v>
      </c>
      <c r="C25" s="228">
        <v>17682</v>
      </c>
      <c r="D25" s="220"/>
      <c r="E25" s="227"/>
      <c r="F25" s="233">
        <v>5</v>
      </c>
      <c r="G25" s="578" t="s">
        <v>13</v>
      </c>
      <c r="H25" s="232" t="s">
        <v>393</v>
      </c>
      <c r="I25" s="793"/>
      <c r="J25" s="217">
        <f>+'7'!J25</f>
        <v>0</v>
      </c>
      <c r="K25" s="241"/>
      <c r="L25" s="241"/>
      <c r="M25" s="121">
        <f>+K25+'7'!M25+L25</f>
        <v>0</v>
      </c>
    </row>
    <row r="26" spans="1:14" ht="13.5" thickBot="1">
      <c r="A26" s="795"/>
      <c r="B26" s="218"/>
      <c r="C26" s="228"/>
      <c r="D26" s="220"/>
      <c r="E26" s="229"/>
      <c r="F26" s="230">
        <v>5</v>
      </c>
      <c r="G26" s="578" t="s">
        <v>13</v>
      </c>
      <c r="H26" s="235" t="s">
        <v>226</v>
      </c>
      <c r="I26" s="793"/>
      <c r="J26" s="217">
        <f>+'7'!J26</f>
        <v>0</v>
      </c>
      <c r="K26" s="241"/>
      <c r="L26" s="241"/>
      <c r="M26" s="121">
        <f>+K26+'7'!M26+L26</f>
        <v>0</v>
      </c>
    </row>
    <row r="27" spans="1:14" ht="13.5" thickBot="1">
      <c r="A27" s="795"/>
      <c r="B27" s="218"/>
      <c r="C27" s="219"/>
      <c r="D27" s="220"/>
      <c r="E27" s="227"/>
      <c r="F27" s="230"/>
      <c r="G27" s="578"/>
      <c r="H27" s="235" t="s">
        <v>501</v>
      </c>
      <c r="I27" s="793"/>
      <c r="J27" s="217">
        <f>+'7'!J27</f>
        <v>0</v>
      </c>
      <c r="K27" s="241"/>
      <c r="L27" s="241"/>
      <c r="M27" s="121">
        <f>+K27+'7'!M27+L27</f>
        <v>0</v>
      </c>
    </row>
    <row r="28" spans="1:14" ht="13.5" thickBot="1">
      <c r="A28" s="795"/>
      <c r="B28" s="218"/>
      <c r="C28" s="219"/>
      <c r="D28" s="220"/>
      <c r="E28" s="227"/>
      <c r="F28" s="233"/>
      <c r="G28" s="234"/>
      <c r="H28" s="235"/>
      <c r="I28" s="793"/>
      <c r="J28" s="217">
        <f>+'7'!J28</f>
        <v>0</v>
      </c>
      <c r="K28" s="241"/>
      <c r="L28" s="241"/>
      <c r="M28" s="121">
        <f>+K28+'7'!M28+L28</f>
        <v>0</v>
      </c>
    </row>
    <row r="29" spans="1:14" ht="13.5" thickBot="1">
      <c r="A29" s="795"/>
      <c r="B29" s="218"/>
      <c r="C29" s="219"/>
      <c r="D29" s="220"/>
      <c r="E29" s="227"/>
      <c r="F29" s="238"/>
      <c r="G29" s="234"/>
      <c r="H29" s="235"/>
      <c r="I29" s="793"/>
      <c r="J29" s="217">
        <f>+'7'!J29</f>
        <v>0</v>
      </c>
      <c r="K29" s="241"/>
      <c r="L29" s="241"/>
      <c r="M29" s="121">
        <f>+K29+'7'!M29+L29</f>
        <v>0</v>
      </c>
    </row>
    <row r="30" spans="1:14" ht="13.5" thickBot="1">
      <c r="A30" s="795"/>
      <c r="B30" s="218"/>
      <c r="C30" s="228"/>
      <c r="D30" s="220"/>
      <c r="E30" s="227"/>
      <c r="F30" s="238"/>
      <c r="G30" s="234"/>
      <c r="H30" s="235"/>
      <c r="I30" s="793"/>
      <c r="J30" s="217">
        <f>+'7'!J30</f>
        <v>0</v>
      </c>
      <c r="K30" s="241"/>
      <c r="L30" s="241"/>
      <c r="M30" s="121">
        <f>+K30+'7'!M30+L30</f>
        <v>0</v>
      </c>
      <c r="N30" s="159"/>
    </row>
    <row r="31" spans="1:14" ht="13.5" thickBot="1">
      <c r="A31" s="795"/>
      <c r="B31" s="218"/>
      <c r="C31" s="228"/>
      <c r="D31" s="220"/>
      <c r="E31" s="227"/>
      <c r="F31" s="238"/>
      <c r="G31" s="239"/>
      <c r="H31" s="236"/>
      <c r="I31" s="794"/>
      <c r="J31" s="217">
        <f>+'7'!J31</f>
        <v>0</v>
      </c>
      <c r="K31" s="241"/>
      <c r="L31" s="241"/>
      <c r="M31" s="121">
        <f>+K31+'7'!M31+L31</f>
        <v>0</v>
      </c>
    </row>
    <row r="32" spans="1:14" ht="13.5" thickBot="1">
      <c r="A32" s="796"/>
      <c r="B32" s="169" t="s">
        <v>3</v>
      </c>
      <c r="C32" s="103">
        <f>SUM(C25:C31)</f>
        <v>17682</v>
      </c>
      <c r="D32" s="104">
        <f>SUM(D25:D31)</f>
        <v>0</v>
      </c>
      <c r="E32" s="105">
        <f>SUM(E25:E31)</f>
        <v>0</v>
      </c>
      <c r="F32" s="106">
        <f>SUM(F24:F31)</f>
        <v>10</v>
      </c>
      <c r="G32" s="174"/>
      <c r="H32" s="175"/>
      <c r="I32" s="172"/>
      <c r="J32" s="217">
        <f>+'7'!J32</f>
        <v>0</v>
      </c>
      <c r="K32" s="243"/>
      <c r="L32" s="245"/>
      <c r="M32" s="121">
        <f>+K32+'7'!M32+L32</f>
        <v>0</v>
      </c>
    </row>
    <row r="33" spans="1:14" ht="13.5" thickBot="1">
      <c r="A33" s="176"/>
      <c r="B33" s="177"/>
      <c r="C33" s="107">
        <f>C32/($C$32+$D$32+$E$32)</f>
        <v>1</v>
      </c>
      <c r="D33" s="108">
        <f>D32/($C$32+$D$32+$E$32)</f>
        <v>0</v>
      </c>
      <c r="E33" s="109">
        <f>E32/($C$32+$D$32+$E$32)</f>
        <v>0</v>
      </c>
      <c r="F33" s="110"/>
      <c r="G33" s="178"/>
      <c r="H33" s="179"/>
      <c r="I33" s="180"/>
      <c r="J33" s="125"/>
      <c r="K33" s="126"/>
      <c r="L33" s="216"/>
      <c r="M33" s="123"/>
    </row>
    <row r="34" spans="1:14" ht="13.5" thickBot="1">
      <c r="A34" s="797" t="s">
        <v>60</v>
      </c>
      <c r="B34" s="798"/>
      <c r="C34" s="111">
        <f>C14+C23+C32</f>
        <v>45993</v>
      </c>
      <c r="D34" s="111">
        <f>D14+D23+D32</f>
        <v>880</v>
      </c>
      <c r="E34" s="111">
        <f>E14+E23+E32</f>
        <v>0</v>
      </c>
      <c r="F34" s="112">
        <f>F14+F23+F32</f>
        <v>98</v>
      </c>
      <c r="H34" s="181"/>
      <c r="I34" s="181"/>
      <c r="J34" s="127" t="s">
        <v>29</v>
      </c>
      <c r="K34" s="128">
        <f>SUM(K7:K32)</f>
        <v>45993</v>
      </c>
      <c r="L34" s="215">
        <f>SUM(L7:L32)</f>
        <v>0</v>
      </c>
      <c r="M34" s="124">
        <f>SUM(M7:M32)</f>
        <v>320451</v>
      </c>
      <c r="N34" s="159"/>
    </row>
    <row r="35" spans="1:14" ht="13.5" thickBot="1">
      <c r="A35" s="182"/>
      <c r="B35" s="183"/>
      <c r="C35" s="108">
        <f>C34/($C$34+$D$34+$E$34)</f>
        <v>0.98122586563693381</v>
      </c>
      <c r="D35" s="108">
        <f>D34/($C$34+$D$34+$E$34)</f>
        <v>1.8774134363066158E-2</v>
      </c>
      <c r="E35" s="113">
        <f>E34/($C$34+$D$34+$E$34)</f>
        <v>0</v>
      </c>
      <c r="K35" s="159"/>
      <c r="L35" s="788" t="s">
        <v>186</v>
      </c>
      <c r="M35" s="788"/>
    </row>
    <row r="36" spans="1:14" ht="13.5" thickBot="1">
      <c r="A36" s="181"/>
      <c r="B36" s="181"/>
      <c r="C36" s="159"/>
      <c r="D36" s="159"/>
      <c r="E36" s="159"/>
      <c r="G36" s="159"/>
      <c r="H36" s="184"/>
      <c r="I36" s="166" t="s">
        <v>42</v>
      </c>
      <c r="J36" s="166" t="s">
        <v>43</v>
      </c>
      <c r="K36" s="185"/>
      <c r="L36" s="166" t="s">
        <v>42</v>
      </c>
      <c r="M36" s="166" t="s">
        <v>43</v>
      </c>
    </row>
    <row r="37" spans="1:14" ht="17.45" customHeight="1" thickBot="1">
      <c r="A37" s="801" t="s">
        <v>61</v>
      </c>
      <c r="B37" s="802"/>
      <c r="C37" s="166" t="s">
        <v>62</v>
      </c>
      <c r="D37" s="186" t="s">
        <v>63</v>
      </c>
      <c r="E37" s="187" t="s">
        <v>64</v>
      </c>
      <c r="F37" s="372"/>
      <c r="G37" s="374"/>
      <c r="H37" s="189" t="s">
        <v>65</v>
      </c>
      <c r="I37" s="246">
        <f>(15.5*1370)/1370*G42*3.4*1370/1000000</f>
        <v>51.535646199999995</v>
      </c>
      <c r="J37" s="129">
        <f>+I37+'7'!J37</f>
        <v>371.83394339540007</v>
      </c>
      <c r="K37" s="130" t="s">
        <v>66</v>
      </c>
      <c r="L37" s="437"/>
      <c r="M37" s="438"/>
    </row>
    <row r="38" spans="1:14" ht="17.45" customHeight="1">
      <c r="A38" s="803" t="s">
        <v>13</v>
      </c>
      <c r="B38" s="804"/>
      <c r="C38" s="168">
        <f>SUMIF($G$7:$G$31,"Process",$F$7:$F$31)</f>
        <v>98</v>
      </c>
      <c r="D38" s="122">
        <f>+C38+'7'!D38</f>
        <v>377</v>
      </c>
      <c r="E38" s="147">
        <f t="shared" ref="E38:E51" si="0">D38/60</f>
        <v>6.2833333333333332</v>
      </c>
      <c r="F38" s="372">
        <v>830</v>
      </c>
      <c r="G38" s="372">
        <f>+F38-F38*0.14</f>
        <v>713.8</v>
      </c>
      <c r="H38" s="190" t="s">
        <v>67</v>
      </c>
      <c r="I38" s="559">
        <f>16.372+14.062+16.967</f>
        <v>47.400999999999996</v>
      </c>
      <c r="J38" s="131">
        <f>+I38+'7'!J38</f>
        <v>337.5</v>
      </c>
      <c r="K38" s="132" t="s">
        <v>66</v>
      </c>
      <c r="L38" s="439"/>
      <c r="M38" s="440"/>
      <c r="N38" s="560"/>
    </row>
    <row r="39" spans="1:14" ht="17.45" customHeight="1">
      <c r="A39" s="799" t="s">
        <v>14</v>
      </c>
      <c r="B39" s="800"/>
      <c r="C39" s="168">
        <f>SUMIF($G$7:$G$31,"Cleaning",$F$7:$F$31)</f>
        <v>0</v>
      </c>
      <c r="D39" s="122">
        <f>+C39+'7'!D39</f>
        <v>0</v>
      </c>
      <c r="E39" s="147">
        <f t="shared" si="0"/>
        <v>0</v>
      </c>
      <c r="F39" s="372">
        <v>830</v>
      </c>
      <c r="G39" s="372">
        <f>+F39-F39*0.14</f>
        <v>713.8</v>
      </c>
      <c r="H39" s="190" t="s">
        <v>68</v>
      </c>
      <c r="I39" s="146"/>
      <c r="J39" s="133">
        <f>J37/G4</f>
        <v>46.479242924425009</v>
      </c>
      <c r="K39" s="134" t="s">
        <v>66</v>
      </c>
      <c r="L39" s="439"/>
      <c r="M39" s="440"/>
    </row>
    <row r="40" spans="1:14" ht="17.45" customHeight="1">
      <c r="A40" s="799" t="s">
        <v>69</v>
      </c>
      <c r="B40" s="800"/>
      <c r="C40" s="168">
        <f>SUMIF($G$7:$G$31,"Mechanical",$F$7:$F$31)</f>
        <v>0</v>
      </c>
      <c r="D40" s="122">
        <f>+C40+'7'!D40</f>
        <v>330</v>
      </c>
      <c r="E40" s="147">
        <f t="shared" si="0"/>
        <v>5.5</v>
      </c>
      <c r="F40" s="372">
        <v>830</v>
      </c>
      <c r="G40" s="372">
        <f>+F40-F40*0.14</f>
        <v>713.8</v>
      </c>
      <c r="H40" s="190" t="s">
        <v>70</v>
      </c>
      <c r="I40" s="122">
        <f>(K34+L34)/1000</f>
        <v>45.993000000000002</v>
      </c>
      <c r="J40" s="135">
        <f>+I40+'7'!J40</f>
        <v>320.45100000000002</v>
      </c>
      <c r="K40" s="134" t="s">
        <v>66</v>
      </c>
      <c r="L40" s="439"/>
      <c r="M40" s="440"/>
    </row>
    <row r="41" spans="1:14" ht="17.45" customHeight="1">
      <c r="A41" s="799" t="s">
        <v>71</v>
      </c>
      <c r="B41" s="800"/>
      <c r="C41" s="168">
        <f>SUMIF($G$7:$G$31,"Electrical",$F$7:$F$31)</f>
        <v>0</v>
      </c>
      <c r="D41" s="122">
        <f>+C41+'7'!D41</f>
        <v>285</v>
      </c>
      <c r="E41" s="147">
        <f t="shared" si="0"/>
        <v>4.75</v>
      </c>
      <c r="F41" s="372"/>
      <c r="G41" s="372"/>
      <c r="H41" s="190" t="s">
        <v>72</v>
      </c>
      <c r="I41" s="146"/>
      <c r="J41" s="133">
        <f>J40/G4</f>
        <v>40.056375000000003</v>
      </c>
      <c r="K41" s="134" t="s">
        <v>66</v>
      </c>
      <c r="L41" s="439"/>
      <c r="M41" s="440"/>
    </row>
    <row r="42" spans="1:14" ht="17.45" customHeight="1">
      <c r="A42" s="799" t="s">
        <v>17</v>
      </c>
      <c r="B42" s="800"/>
      <c r="C42" s="168">
        <f>SUMIF($G$7:$G$31,"Instrument",$F$7:$F$31)</f>
        <v>0</v>
      </c>
      <c r="D42" s="122">
        <f>+C42+'7'!D42</f>
        <v>0</v>
      </c>
      <c r="E42" s="147">
        <f t="shared" si="0"/>
        <v>0</v>
      </c>
      <c r="F42" s="372">
        <f>+(F38*480+F39*410+F40*480)/1370</f>
        <v>830</v>
      </c>
      <c r="G42" s="372">
        <f>+(G38*480+G39*410+G40*480)/1370</f>
        <v>713.8</v>
      </c>
      <c r="H42" s="190" t="s">
        <v>73</v>
      </c>
      <c r="I42" s="248" t="s">
        <v>508</v>
      </c>
      <c r="J42" s="136"/>
      <c r="K42" s="134" t="s">
        <v>74</v>
      </c>
      <c r="L42" s="439"/>
      <c r="M42" s="440"/>
    </row>
    <row r="43" spans="1:14" ht="17.45" customHeight="1">
      <c r="A43" s="799" t="s">
        <v>201</v>
      </c>
      <c r="B43" s="800"/>
      <c r="C43" s="168">
        <f>SUMIF($G$7:$G$31,"Change Grade",$F$7:$F$31)</f>
        <v>0</v>
      </c>
      <c r="D43" s="122">
        <f>+C43+'7'!D43</f>
        <v>0</v>
      </c>
      <c r="E43" s="147">
        <f t="shared" si="0"/>
        <v>0</v>
      </c>
      <c r="F43" s="372"/>
      <c r="G43" s="373"/>
      <c r="H43" s="191" t="s">
        <v>76</v>
      </c>
      <c r="I43" s="122">
        <f>+Report1!AH16</f>
        <v>118.254</v>
      </c>
      <c r="J43" s="137">
        <f>+I43+'7'!J43</f>
        <v>813.40899999999999</v>
      </c>
      <c r="K43" s="134" t="s">
        <v>66</v>
      </c>
      <c r="L43" s="441">
        <f>+Report1!AN16</f>
        <v>7.9</v>
      </c>
      <c r="M43" s="442">
        <f>+L43+'7'!M43</f>
        <v>78.900000000000006</v>
      </c>
    </row>
    <row r="44" spans="1:14" ht="17.45" customHeight="1">
      <c r="A44" s="799" t="s">
        <v>18</v>
      </c>
      <c r="B44" s="800"/>
      <c r="C44" s="168">
        <f>SUMIF($G$7:$G$31,"PLN",$F$7:$F$31)</f>
        <v>0</v>
      </c>
      <c r="D44" s="122">
        <f>+C44+'7'!D44</f>
        <v>105</v>
      </c>
      <c r="E44" s="147">
        <f t="shared" si="0"/>
        <v>1.75</v>
      </c>
      <c r="F44" s="372"/>
      <c r="G44" s="373"/>
      <c r="H44" s="191" t="s">
        <v>77</v>
      </c>
      <c r="I44" s="122">
        <f>I43/I38</f>
        <v>2.4947574945676254</v>
      </c>
      <c r="J44" s="138">
        <f>J43/J38</f>
        <v>2.4101007407407407</v>
      </c>
      <c r="K44" s="134" t="s">
        <v>66</v>
      </c>
      <c r="L44" s="443">
        <f>+L43/I38</f>
        <v>0.16666315056644376</v>
      </c>
      <c r="M44" s="444">
        <f>+M43/J38</f>
        <v>0.23377777777777781</v>
      </c>
    </row>
    <row r="45" spans="1:14" ht="17.45" customHeight="1">
      <c r="A45" s="799" t="s">
        <v>19</v>
      </c>
      <c r="B45" s="800"/>
      <c r="C45" s="168">
        <f>SUMIF($G$7:$G$31,"Boiler",$F$7:$F$31)</f>
        <v>0</v>
      </c>
      <c r="D45" s="122">
        <f>+C45+'7'!D45</f>
        <v>0</v>
      </c>
      <c r="E45" s="147">
        <f t="shared" si="0"/>
        <v>0</v>
      </c>
      <c r="F45" s="372"/>
      <c r="G45" s="375"/>
      <c r="H45" s="191" t="s">
        <v>78</v>
      </c>
      <c r="I45" s="122">
        <f>I43/I40</f>
        <v>2.5711303894070836</v>
      </c>
      <c r="J45" s="138">
        <f>J43/J40</f>
        <v>2.5383256722556644</v>
      </c>
      <c r="K45" s="134" t="s">
        <v>66</v>
      </c>
      <c r="L45" s="443">
        <f>+L43/I40</f>
        <v>0.17176526862783467</v>
      </c>
      <c r="M45" s="444">
        <f>+M43/J40</f>
        <v>0.24621549004371962</v>
      </c>
    </row>
    <row r="46" spans="1:14" ht="17.45" customHeight="1">
      <c r="A46" s="799" t="s">
        <v>79</v>
      </c>
      <c r="B46" s="800"/>
      <c r="C46" s="168">
        <f>SUMIF($G$7:$G$31,"Gas",$F$7:$F$31)</f>
        <v>0</v>
      </c>
      <c r="D46" s="122">
        <f>+C46+'7'!D46</f>
        <v>0</v>
      </c>
      <c r="E46" s="147">
        <f t="shared" si="0"/>
        <v>0</v>
      </c>
      <c r="F46" s="372"/>
      <c r="G46" s="373"/>
      <c r="H46" s="191" t="s">
        <v>80</v>
      </c>
      <c r="I46" s="144">
        <f>+SUMIF(Listrik!AC15,"&gt;0")</f>
        <v>34343.670000000035</v>
      </c>
      <c r="J46" s="139">
        <f>+I46+'7'!J46</f>
        <v>235364.12000000125</v>
      </c>
      <c r="K46" s="134" t="s">
        <v>81</v>
      </c>
      <c r="L46" s="443">
        <f>+Listrik!AF15</f>
        <v>1274</v>
      </c>
      <c r="M46" s="445">
        <f>+L46+'7'!M46</f>
        <v>54259</v>
      </c>
    </row>
    <row r="47" spans="1:14" ht="17.45" customHeight="1">
      <c r="A47" s="799" t="s">
        <v>82</v>
      </c>
      <c r="B47" s="800"/>
      <c r="C47" s="168">
        <f>SUMIF($G$7:$G$31,"Gas",$F$7:$F$31)</f>
        <v>0</v>
      </c>
      <c r="D47" s="122">
        <f>+C47+'7'!D47</f>
        <v>0</v>
      </c>
      <c r="E47" s="147">
        <f t="shared" si="0"/>
        <v>0</v>
      </c>
      <c r="F47" s="372"/>
      <c r="G47" s="373"/>
      <c r="H47" s="191" t="s">
        <v>83</v>
      </c>
      <c r="I47" s="122">
        <f>I46/I38</f>
        <v>724.53471445750165</v>
      </c>
      <c r="J47" s="139">
        <f>J46/J38</f>
        <v>697.37517037037412</v>
      </c>
      <c r="K47" s="134" t="s">
        <v>25</v>
      </c>
      <c r="L47" s="443">
        <f>+L46/I38</f>
        <v>26.877070104006247</v>
      </c>
      <c r="M47" s="444">
        <f>+M46/J38</f>
        <v>160.7674074074074</v>
      </c>
    </row>
    <row r="48" spans="1:14" ht="17.45" customHeight="1">
      <c r="A48" s="799" t="s">
        <v>15</v>
      </c>
      <c r="B48" s="800"/>
      <c r="C48" s="168">
        <f>SUMIF($G$7:$G$31,"Start Up",$F$7:$F$31)</f>
        <v>0</v>
      </c>
      <c r="D48" s="122">
        <f>+C48+'7'!D48</f>
        <v>0</v>
      </c>
      <c r="E48" s="147">
        <f t="shared" si="0"/>
        <v>0</v>
      </c>
      <c r="F48" s="372"/>
      <c r="G48" s="373"/>
      <c r="H48" s="191" t="s">
        <v>84</v>
      </c>
      <c r="I48" s="122">
        <f>I46/I40</f>
        <v>746.71515230578643</v>
      </c>
      <c r="J48" s="139">
        <f>J46/J40</f>
        <v>734.47772046272667</v>
      </c>
      <c r="K48" s="134" t="s">
        <v>25</v>
      </c>
      <c r="L48" s="443">
        <f>+L46/I38</f>
        <v>26.877070104006247</v>
      </c>
      <c r="M48" s="444">
        <f>+M46/J40</f>
        <v>169.32073858405809</v>
      </c>
    </row>
    <row r="49" spans="1:13" ht="17.45" customHeight="1">
      <c r="A49" s="799" t="s">
        <v>21</v>
      </c>
      <c r="B49" s="800"/>
      <c r="C49" s="168">
        <f>SUMIF($G$7:$G$31,"Others",$F$7:$F$31)</f>
        <v>0</v>
      </c>
      <c r="D49" s="122">
        <f>+C49+'7'!D49</f>
        <v>1440</v>
      </c>
      <c r="E49" s="147">
        <f t="shared" si="0"/>
        <v>24</v>
      </c>
      <c r="F49" s="188"/>
      <c r="H49" s="191" t="s">
        <v>170</v>
      </c>
      <c r="I49" s="122">
        <f>+Report1!AB16</f>
        <v>0</v>
      </c>
      <c r="J49" s="139">
        <f>+I49+'7'!J49</f>
        <v>0</v>
      </c>
      <c r="K49" s="134" t="s">
        <v>86</v>
      </c>
      <c r="L49" s="439"/>
      <c r="M49" s="440"/>
    </row>
    <row r="50" spans="1:13" ht="17.45" customHeight="1">
      <c r="A50" s="799" t="s">
        <v>20</v>
      </c>
      <c r="B50" s="800"/>
      <c r="C50" s="168">
        <f>SUMIF($G$7:$G$31,"Steam",$F$7:$F$31)</f>
        <v>0</v>
      </c>
      <c r="D50" s="122">
        <f>+C50+'7'!D50</f>
        <v>0</v>
      </c>
      <c r="E50" s="147">
        <f t="shared" si="0"/>
        <v>0</v>
      </c>
      <c r="F50" s="188"/>
      <c r="H50" s="191" t="s">
        <v>87</v>
      </c>
      <c r="I50" s="144">
        <f>I49/I38</f>
        <v>0</v>
      </c>
      <c r="J50" s="137">
        <f>J49/J38</f>
        <v>0</v>
      </c>
      <c r="K50" s="134" t="s">
        <v>86</v>
      </c>
      <c r="L50" s="439"/>
      <c r="M50" s="440"/>
    </row>
    <row r="51" spans="1:13" ht="17.45" customHeight="1" thickBot="1">
      <c r="A51" s="805" t="s">
        <v>88</v>
      </c>
      <c r="B51" s="806"/>
      <c r="C51" s="168">
        <f>SUMIF($G$7:$G$31,"Planned shut",$F$7:$F$31)</f>
        <v>0</v>
      </c>
      <c r="D51" s="122">
        <f>+C51+'7'!D51</f>
        <v>0</v>
      </c>
      <c r="E51" s="147">
        <f t="shared" si="0"/>
        <v>0</v>
      </c>
      <c r="F51" s="188"/>
      <c r="H51" s="193" t="s">
        <v>89</v>
      </c>
      <c r="I51" s="145">
        <f>I49/I40</f>
        <v>0</v>
      </c>
      <c r="J51" s="140">
        <f>J49/J40</f>
        <v>0</v>
      </c>
      <c r="K51" s="141" t="s">
        <v>86</v>
      </c>
      <c r="L51" s="439"/>
      <c r="M51" s="440"/>
    </row>
    <row r="52" spans="1:13" ht="13.5" thickBot="1">
      <c r="A52" s="803" t="s">
        <v>29</v>
      </c>
      <c r="B52" s="804"/>
      <c r="C52" s="148">
        <f>SUM(C38:C51)</f>
        <v>98</v>
      </c>
      <c r="D52" s="148">
        <f>SUM(D38:D51)</f>
        <v>2537</v>
      </c>
      <c r="E52" s="149">
        <f>SUM(E38:E51)</f>
        <v>42.283333333333331</v>
      </c>
      <c r="F52" s="188"/>
      <c r="H52" s="194"/>
      <c r="I52" s="195"/>
      <c r="J52" s="142"/>
      <c r="K52" s="143"/>
      <c r="L52" s="446"/>
      <c r="M52" s="447"/>
    </row>
    <row r="53" spans="1:13" ht="13.5" thickBot="1">
      <c r="A53" s="807"/>
      <c r="B53" s="808"/>
      <c r="C53" s="150">
        <f>C52/(24*60)</f>
        <v>6.805555555555555E-2</v>
      </c>
      <c r="D53" s="150">
        <f>D52/(24*60*G4)</f>
        <v>0.22022569444444445</v>
      </c>
      <c r="E53" s="151">
        <f>E52/(G4*24)</f>
        <v>0.22022569444444443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90</v>
      </c>
      <c r="B56" s="198"/>
      <c r="C56" s="199"/>
      <c r="D56" s="199"/>
      <c r="E56" s="199"/>
      <c r="F56" s="200"/>
      <c r="G56" s="199"/>
      <c r="H56" s="201"/>
      <c r="I56" s="202" t="s">
        <v>91</v>
      </c>
      <c r="J56" s="203">
        <f>+D34+'7'!J56</f>
        <v>6583</v>
      </c>
      <c r="K56" s="204">
        <f>J56/(J40+J56/1000)/1000</f>
        <v>2.0129405505237983E-2</v>
      </c>
    </row>
    <row r="57" spans="1:13">
      <c r="A57" s="179"/>
      <c r="I57" s="202" t="s">
        <v>92</v>
      </c>
      <c r="J57" s="203">
        <f>+E34+'7'!J57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43:B43"/>
    <mergeCell ref="A45:B45"/>
    <mergeCell ref="A40:B40"/>
    <mergeCell ref="A41:B41"/>
    <mergeCell ref="A44:B44"/>
    <mergeCell ref="A34:B34"/>
    <mergeCell ref="A38:B38"/>
    <mergeCell ref="A39:B39"/>
    <mergeCell ref="A7:A14"/>
    <mergeCell ref="I7:I13"/>
    <mergeCell ref="A15:A23"/>
    <mergeCell ref="I15:I22"/>
    <mergeCell ref="A24:A32"/>
    <mergeCell ref="I24:I31"/>
    <mergeCell ref="A53:B53"/>
    <mergeCell ref="A37:B37"/>
    <mergeCell ref="A48:B48"/>
    <mergeCell ref="A50:B50"/>
    <mergeCell ref="A49:B49"/>
    <mergeCell ref="A52:B52"/>
    <mergeCell ref="A51:B51"/>
    <mergeCell ref="A46:B46"/>
    <mergeCell ref="A47:B47"/>
    <mergeCell ref="A42:B42"/>
  </mergeCells>
  <phoneticPr fontId="31" type="noConversion"/>
  <printOptions horizontalCentered="1"/>
  <pageMargins left="0.17" right="0.16" top="0.17" bottom="0.16" header="0" footer="0"/>
  <pageSetup paperSize="9" scale="62" firstPageNumber="4294963191" fitToWidth="8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O61"/>
  <sheetViews>
    <sheetView view="pageBreakPreview" zoomScale="80" zoomScaleNormal="75" zoomScaleSheetLayoutView="80" workbookViewId="0">
      <selection activeCell="A7" sqref="A7:B32"/>
    </sheetView>
  </sheetViews>
  <sheetFormatPr defaultColWidth="9.140625" defaultRowHeight="12.75"/>
  <cols>
    <col min="1" max="1" width="8" style="153" customWidth="1"/>
    <col min="2" max="2" width="7" style="153" bestFit="1" customWidth="1"/>
    <col min="3" max="3" width="14.85546875" style="153" bestFit="1" customWidth="1"/>
    <col min="4" max="4" width="12.7109375" style="153" bestFit="1" customWidth="1"/>
    <col min="5" max="5" width="13.85546875" style="153" bestFit="1" customWidth="1"/>
    <col min="6" max="6" width="12.140625" style="114" bestFit="1" customWidth="1"/>
    <col min="7" max="7" width="11.42578125" style="153" bestFit="1" customWidth="1"/>
    <col min="8" max="8" width="64.85546875" style="153" customWidth="1"/>
    <col min="9" max="9" width="14.7109375" style="153" bestFit="1" customWidth="1"/>
    <col min="10" max="10" width="20.140625" style="153" bestFit="1" customWidth="1"/>
    <col min="11" max="11" width="13.28515625" style="153" bestFit="1" customWidth="1"/>
    <col min="12" max="12" width="12" style="153" bestFit="1" customWidth="1"/>
    <col min="13" max="13" width="15.5703125" style="153" bestFit="1" customWidth="1"/>
    <col min="14" max="16384" width="9.140625" style="153"/>
  </cols>
  <sheetData>
    <row r="1" spans="1:15" ht="15.75">
      <c r="A1" s="152"/>
    </row>
    <row r="2" spans="1:15" ht="15.75">
      <c r="A2" s="152" t="s">
        <v>175</v>
      </c>
    </row>
    <row r="3" spans="1:15" ht="15">
      <c r="A3" s="154"/>
    </row>
    <row r="4" spans="1:15" ht="20.25">
      <c r="A4" s="155" t="s">
        <v>4</v>
      </c>
      <c r="B4" s="156"/>
      <c r="F4" s="157" t="s">
        <v>31</v>
      </c>
      <c r="G4" s="158">
        <v>7</v>
      </c>
      <c r="H4" s="158" t="str">
        <f>+'1'!H4</f>
        <v>.12.25</v>
      </c>
    </row>
    <row r="5" spans="1:15" ht="13.5" thickBot="1">
      <c r="C5" s="159"/>
      <c r="D5" s="159"/>
    </row>
    <row r="6" spans="1:15" ht="26.25" thickBot="1">
      <c r="A6" s="160" t="s">
        <v>50</v>
      </c>
      <c r="B6" s="161" t="s">
        <v>10</v>
      </c>
      <c r="C6" s="161" t="s">
        <v>51</v>
      </c>
      <c r="D6" s="161" t="s">
        <v>52</v>
      </c>
      <c r="E6" s="162" t="s">
        <v>53</v>
      </c>
      <c r="F6" s="106" t="s">
        <v>54</v>
      </c>
      <c r="G6" s="161" t="s">
        <v>55</v>
      </c>
      <c r="H6" s="163" t="s">
        <v>56</v>
      </c>
      <c r="I6" s="164" t="s">
        <v>57</v>
      </c>
      <c r="J6" s="165" t="s">
        <v>10</v>
      </c>
      <c r="K6" s="166" t="s">
        <v>58</v>
      </c>
      <c r="L6" s="213" t="s">
        <v>143</v>
      </c>
      <c r="M6" s="167" t="s">
        <v>59</v>
      </c>
      <c r="N6" s="153">
        <f>331+333+357</f>
        <v>1021</v>
      </c>
    </row>
    <row r="7" spans="1:15" ht="13.5" customHeight="1" thickBot="1">
      <c r="A7" s="789" t="s">
        <v>415</v>
      </c>
      <c r="B7" s="218" t="s">
        <v>502</v>
      </c>
      <c r="C7" s="219">
        <v>14771</v>
      </c>
      <c r="D7" s="220">
        <v>100</v>
      </c>
      <c r="E7" s="221"/>
      <c r="F7" s="230">
        <v>5</v>
      </c>
      <c r="G7" s="231" t="s">
        <v>13</v>
      </c>
      <c r="H7" s="232" t="s">
        <v>392</v>
      </c>
      <c r="I7" s="792" t="s">
        <v>508</v>
      </c>
      <c r="J7" s="217" t="str">
        <f>+'6'!J7</f>
        <v>TW 38 RC BR</v>
      </c>
      <c r="K7" s="240"/>
      <c r="L7" s="244"/>
      <c r="M7" s="121">
        <f>+K7+'6'!M7+L7</f>
        <v>78513</v>
      </c>
    </row>
    <row r="8" spans="1:15" ht="13.5" thickBot="1">
      <c r="A8" s="790"/>
      <c r="B8" s="218"/>
      <c r="C8" s="219"/>
      <c r="D8" s="220"/>
      <c r="E8" s="222"/>
      <c r="F8" s="233"/>
      <c r="G8" s="578" t="s">
        <v>13</v>
      </c>
      <c r="H8" s="232" t="s">
        <v>424</v>
      </c>
      <c r="I8" s="793"/>
      <c r="J8" s="217" t="str">
        <f>+'6'!J8</f>
        <v>TW 36 RC BR</v>
      </c>
      <c r="K8" s="241"/>
      <c r="L8" s="241"/>
      <c r="M8" s="121">
        <f>+K8+'6'!M8+L8</f>
        <v>1530</v>
      </c>
      <c r="N8" s="153">
        <v>830</v>
      </c>
      <c r="O8" s="153">
        <f>+N8-N8*0.14</f>
        <v>713.8</v>
      </c>
    </row>
    <row r="9" spans="1:15" ht="13.5" thickBot="1">
      <c r="A9" s="790"/>
      <c r="B9" s="218"/>
      <c r="C9" s="219"/>
      <c r="D9" s="220"/>
      <c r="E9" s="223"/>
      <c r="F9" s="230">
        <v>5</v>
      </c>
      <c r="G9" s="578" t="s">
        <v>13</v>
      </c>
      <c r="H9" s="235" t="s">
        <v>226</v>
      </c>
      <c r="I9" s="793"/>
      <c r="J9" s="217" t="str">
        <f>+'6'!J9</f>
        <v>N 20 RC BR</v>
      </c>
      <c r="K9" s="241"/>
      <c r="L9" s="241"/>
      <c r="M9" s="121">
        <f>+K9+'6'!M9+L9</f>
        <v>74204</v>
      </c>
    </row>
    <row r="10" spans="1:15" ht="13.5" thickBot="1">
      <c r="A10" s="790"/>
      <c r="B10" s="218"/>
      <c r="C10" s="219"/>
      <c r="D10" s="220"/>
      <c r="E10" s="222"/>
      <c r="F10" s="230"/>
      <c r="G10" s="578"/>
      <c r="H10" s="235" t="s">
        <v>501</v>
      </c>
      <c r="I10" s="793"/>
      <c r="J10" s="217" t="str">
        <f>+'6'!J10</f>
        <v>TW 17 RC HW</v>
      </c>
      <c r="K10" s="241"/>
      <c r="L10" s="241"/>
      <c r="M10" s="121">
        <f>+K10+'6'!M10+L10</f>
        <v>39984</v>
      </c>
    </row>
    <row r="11" spans="1:15" ht="13.5" thickBot="1">
      <c r="A11" s="790"/>
      <c r="B11" s="218"/>
      <c r="C11" s="219"/>
      <c r="D11" s="220"/>
      <c r="E11" s="222"/>
      <c r="F11" s="230"/>
      <c r="G11" s="234"/>
      <c r="H11" s="235"/>
      <c r="I11" s="793"/>
      <c r="J11" s="217" t="s">
        <v>502</v>
      </c>
      <c r="K11" s="241">
        <f>+C34</f>
        <v>48440</v>
      </c>
      <c r="L11" s="241"/>
      <c r="M11" s="121">
        <f>+K11+'6'!M11+L11</f>
        <v>80227</v>
      </c>
    </row>
    <row r="12" spans="1:15" ht="13.5" thickBot="1">
      <c r="A12" s="790"/>
      <c r="B12" s="218"/>
      <c r="C12" s="219"/>
      <c r="D12" s="220"/>
      <c r="E12" s="222"/>
      <c r="F12" s="230"/>
      <c r="G12" s="234"/>
      <c r="H12" s="235"/>
      <c r="I12" s="793"/>
      <c r="J12" s="217">
        <f>+'6'!J12</f>
        <v>0</v>
      </c>
      <c r="K12" s="241"/>
      <c r="L12" s="241"/>
      <c r="M12" s="121">
        <f>+K12+'6'!M12+L12</f>
        <v>0</v>
      </c>
    </row>
    <row r="13" spans="1:15" ht="13.5" thickBot="1">
      <c r="A13" s="790"/>
      <c r="B13" s="218"/>
      <c r="C13" s="219"/>
      <c r="D13" s="219"/>
      <c r="E13" s="222"/>
      <c r="F13" s="230"/>
      <c r="G13" s="234"/>
      <c r="H13" s="235"/>
      <c r="I13" s="794"/>
      <c r="J13" s="217">
        <f>+'6'!J13</f>
        <v>0</v>
      </c>
      <c r="K13" s="241"/>
      <c r="L13" s="241"/>
      <c r="M13" s="121">
        <f>+K13+'6'!M13+L13</f>
        <v>0</v>
      </c>
    </row>
    <row r="14" spans="1:15" ht="13.5" thickBot="1">
      <c r="A14" s="791"/>
      <c r="B14" s="169" t="s">
        <v>3</v>
      </c>
      <c r="C14" s="103">
        <f>SUM(C7:C13)</f>
        <v>14771</v>
      </c>
      <c r="D14" s="115">
        <f>SUM(D7:D13)</f>
        <v>100</v>
      </c>
      <c r="E14" s="116">
        <f>SUM(E5:E13)</f>
        <v>0</v>
      </c>
      <c r="F14" s="106">
        <f>SUM(F6:F13)</f>
        <v>10</v>
      </c>
      <c r="G14" s="163"/>
      <c r="H14" s="170"/>
      <c r="I14" s="171"/>
      <c r="J14" s="217">
        <f>+'6'!J14</f>
        <v>0</v>
      </c>
      <c r="K14" s="241"/>
      <c r="L14" s="241"/>
      <c r="M14" s="121">
        <f>+K14+'6'!M14+L14</f>
        <v>0</v>
      </c>
    </row>
    <row r="15" spans="1:15" ht="13.5" customHeight="1" thickBot="1">
      <c r="A15" s="789" t="s">
        <v>486</v>
      </c>
      <c r="B15" s="169"/>
      <c r="C15" s="117">
        <f>C14/($C$23+$D$23+$E$23)</f>
        <v>0.87052098066949557</v>
      </c>
      <c r="D15" s="118">
        <f>D14/($C$23+$D$23+$E$23)</f>
        <v>5.8934464875058934E-3</v>
      </c>
      <c r="E15" s="119">
        <f>E14/($C$23+$D$23+$E$23)</f>
        <v>0</v>
      </c>
      <c r="F15" s="230"/>
      <c r="G15" s="231" t="s">
        <v>13</v>
      </c>
      <c r="H15" s="232" t="s">
        <v>395</v>
      </c>
      <c r="I15" s="792" t="s">
        <v>508</v>
      </c>
      <c r="J15" s="217">
        <f>+'6'!J15</f>
        <v>0</v>
      </c>
      <c r="K15" s="241"/>
      <c r="L15" s="241"/>
      <c r="M15" s="121">
        <f>+K15+'6'!M15+L15</f>
        <v>0</v>
      </c>
    </row>
    <row r="16" spans="1:15" ht="13.5" thickBot="1">
      <c r="A16" s="795"/>
      <c r="B16" s="218" t="s">
        <v>502</v>
      </c>
      <c r="C16" s="224">
        <v>16568</v>
      </c>
      <c r="D16" s="225">
        <v>400</v>
      </c>
      <c r="E16" s="226"/>
      <c r="F16" s="233">
        <v>2</v>
      </c>
      <c r="G16" s="578" t="s">
        <v>13</v>
      </c>
      <c r="H16" s="232" t="s">
        <v>393</v>
      </c>
      <c r="I16" s="793"/>
      <c r="J16" s="217">
        <f>+'6'!J16</f>
        <v>0</v>
      </c>
      <c r="K16" s="241"/>
      <c r="L16" s="241"/>
      <c r="M16" s="121">
        <f>+K16+'6'!M16+L16</f>
        <v>0</v>
      </c>
    </row>
    <row r="17" spans="1:14" ht="13.5" thickBot="1">
      <c r="A17" s="795"/>
      <c r="B17" s="218"/>
      <c r="C17" s="219"/>
      <c r="D17" s="220"/>
      <c r="E17" s="227"/>
      <c r="F17" s="230">
        <v>8</v>
      </c>
      <c r="G17" s="578" t="s">
        <v>13</v>
      </c>
      <c r="H17" s="235" t="s">
        <v>226</v>
      </c>
      <c r="I17" s="793"/>
      <c r="J17" s="217">
        <f>+'6'!J17</f>
        <v>0</v>
      </c>
      <c r="K17" s="241"/>
      <c r="L17" s="231"/>
      <c r="M17" s="121">
        <f>+K17+'6'!M17+L17</f>
        <v>0</v>
      </c>
    </row>
    <row r="18" spans="1:14" ht="13.5" thickBot="1">
      <c r="A18" s="795"/>
      <c r="B18" s="218"/>
      <c r="C18" s="219"/>
      <c r="D18" s="220"/>
      <c r="E18" s="227"/>
      <c r="F18" s="230"/>
      <c r="G18" s="578"/>
      <c r="H18" s="235" t="s">
        <v>501</v>
      </c>
      <c r="I18" s="793"/>
      <c r="J18" s="217">
        <f>+'6'!J18</f>
        <v>0</v>
      </c>
      <c r="K18" s="241"/>
      <c r="L18" s="241"/>
      <c r="M18" s="121">
        <f>+K18+'6'!M18+L18</f>
        <v>0</v>
      </c>
    </row>
    <row r="19" spans="1:14" ht="13.5" thickBot="1">
      <c r="A19" s="795"/>
      <c r="B19" s="218"/>
      <c r="C19" s="219"/>
      <c r="D19" s="220"/>
      <c r="E19" s="227"/>
      <c r="F19" s="237"/>
      <c r="G19" s="234"/>
      <c r="H19" s="235"/>
      <c r="I19" s="793"/>
      <c r="J19" s="217">
        <f>+'6'!J19</f>
        <v>0</v>
      </c>
      <c r="K19" s="241"/>
      <c r="L19" s="241"/>
      <c r="M19" s="121">
        <f>+K19+'6'!M19+L19</f>
        <v>0</v>
      </c>
    </row>
    <row r="20" spans="1:14" ht="13.5" thickBot="1">
      <c r="A20" s="795"/>
      <c r="B20" s="218"/>
      <c r="C20" s="219"/>
      <c r="D20" s="220"/>
      <c r="E20" s="227"/>
      <c r="F20" s="230"/>
      <c r="G20" s="234"/>
      <c r="H20" s="235"/>
      <c r="I20" s="793"/>
      <c r="J20" s="217">
        <f>+'6'!J20</f>
        <v>0</v>
      </c>
      <c r="K20" s="242"/>
      <c r="L20" s="242"/>
      <c r="M20" s="121">
        <f>+K20+'6'!M20+L20</f>
        <v>0</v>
      </c>
    </row>
    <row r="21" spans="1:14" ht="13.5" thickBot="1">
      <c r="A21" s="795"/>
      <c r="B21" s="218"/>
      <c r="C21" s="219"/>
      <c r="D21" s="220"/>
      <c r="E21" s="227"/>
      <c r="F21" s="233"/>
      <c r="G21" s="234"/>
      <c r="H21" s="235"/>
      <c r="I21" s="793"/>
      <c r="J21" s="217">
        <f>+'6'!J21</f>
        <v>0</v>
      </c>
      <c r="K21" s="241"/>
      <c r="L21" s="241"/>
      <c r="M21" s="121">
        <f>+K21+'6'!M21+L21</f>
        <v>0</v>
      </c>
    </row>
    <row r="22" spans="1:14" ht="13.5" thickBot="1">
      <c r="A22" s="795"/>
      <c r="B22" s="218"/>
      <c r="C22" s="219"/>
      <c r="D22" s="220"/>
      <c r="E22" s="227"/>
      <c r="F22" s="238"/>
      <c r="G22" s="234"/>
      <c r="H22" s="235"/>
      <c r="I22" s="794"/>
      <c r="J22" s="217">
        <f>+'6'!J22</f>
        <v>0</v>
      </c>
      <c r="K22" s="241"/>
      <c r="L22" s="241"/>
      <c r="M22" s="121">
        <f>+K22+'6'!M22+L22</f>
        <v>0</v>
      </c>
    </row>
    <row r="23" spans="1:14" ht="13.5" thickBot="1">
      <c r="A23" s="796"/>
      <c r="B23" s="169" t="s">
        <v>3</v>
      </c>
      <c r="C23" s="104">
        <f>SUM(C16:C22)</f>
        <v>16568</v>
      </c>
      <c r="D23" s="115">
        <f>SUM(D16:D22)</f>
        <v>400</v>
      </c>
      <c r="E23" s="116">
        <f>SUM(E18:E22)</f>
        <v>0</v>
      </c>
      <c r="F23" s="106">
        <f>SUM(F15:F22)</f>
        <v>10</v>
      </c>
      <c r="G23" s="163"/>
      <c r="H23" s="170"/>
      <c r="I23" s="172"/>
      <c r="J23" s="217">
        <f>+'6'!J23</f>
        <v>0</v>
      </c>
      <c r="K23" s="241"/>
      <c r="L23" s="241"/>
      <c r="M23" s="121">
        <f>+K23+'6'!M23+L23</f>
        <v>0</v>
      </c>
    </row>
    <row r="24" spans="1:14" ht="13.5" customHeight="1" thickBot="1">
      <c r="A24" s="789" t="s">
        <v>413</v>
      </c>
      <c r="B24" s="173"/>
      <c r="C24" s="117">
        <f>C23/($C$23+$D$23+$E$23)</f>
        <v>0.97642621404997643</v>
      </c>
      <c r="D24" s="118">
        <f>D23/($C$23+$D$23+$E$23)</f>
        <v>2.3573785950023574E-2</v>
      </c>
      <c r="E24" s="119">
        <f>E23/($C$23+$D$23+$E$23)</f>
        <v>0</v>
      </c>
      <c r="F24" s="230"/>
      <c r="G24" s="231" t="s">
        <v>13</v>
      </c>
      <c r="H24" s="232" t="s">
        <v>395</v>
      </c>
      <c r="I24" s="792" t="s">
        <v>508</v>
      </c>
      <c r="J24" s="217">
        <f>+'6'!J24</f>
        <v>0</v>
      </c>
      <c r="K24" s="241"/>
      <c r="L24" s="241"/>
      <c r="M24" s="121">
        <f>+K24+'6'!M24+L24</f>
        <v>0</v>
      </c>
    </row>
    <row r="25" spans="1:14" ht="13.5" thickBot="1">
      <c r="A25" s="795"/>
      <c r="B25" s="218" t="s">
        <v>502</v>
      </c>
      <c r="C25" s="228">
        <v>17101</v>
      </c>
      <c r="D25" s="220">
        <v>200</v>
      </c>
      <c r="E25" s="227"/>
      <c r="F25" s="233">
        <v>5</v>
      </c>
      <c r="G25" s="578" t="s">
        <v>13</v>
      </c>
      <c r="H25" s="232" t="s">
        <v>393</v>
      </c>
      <c r="I25" s="793"/>
      <c r="J25" s="217">
        <f>+'6'!J25</f>
        <v>0</v>
      </c>
      <c r="K25" s="241"/>
      <c r="L25" s="241"/>
      <c r="M25" s="121">
        <f>+K25+'6'!M25+L25</f>
        <v>0</v>
      </c>
    </row>
    <row r="26" spans="1:14" ht="13.5" thickBot="1">
      <c r="A26" s="795"/>
      <c r="B26" s="218"/>
      <c r="C26" s="228"/>
      <c r="D26" s="220"/>
      <c r="E26" s="229"/>
      <c r="F26" s="230">
        <v>5</v>
      </c>
      <c r="G26" s="578" t="s">
        <v>13</v>
      </c>
      <c r="H26" s="235" t="s">
        <v>226</v>
      </c>
      <c r="I26" s="793"/>
      <c r="J26" s="217">
        <f>+'6'!J26</f>
        <v>0</v>
      </c>
      <c r="K26" s="241"/>
      <c r="L26" s="241"/>
      <c r="M26" s="121">
        <f>+K26+'6'!M26+L26</f>
        <v>0</v>
      </c>
    </row>
    <row r="27" spans="1:14" ht="13.5" thickBot="1">
      <c r="A27" s="795"/>
      <c r="B27" s="218"/>
      <c r="C27" s="219"/>
      <c r="D27" s="220"/>
      <c r="E27" s="227"/>
      <c r="F27" s="230"/>
      <c r="G27" s="578"/>
      <c r="H27" s="235" t="s">
        <v>501</v>
      </c>
      <c r="I27" s="793"/>
      <c r="J27" s="217">
        <f>+'6'!J27</f>
        <v>0</v>
      </c>
      <c r="K27" s="241"/>
      <c r="L27" s="241"/>
      <c r="M27" s="121">
        <f>+K27+'6'!M27+L27</f>
        <v>0</v>
      </c>
    </row>
    <row r="28" spans="1:14" ht="13.5" thickBot="1">
      <c r="A28" s="795"/>
      <c r="B28" s="218"/>
      <c r="C28" s="219"/>
      <c r="D28" s="220"/>
      <c r="E28" s="227"/>
      <c r="F28" s="233"/>
      <c r="G28" s="234"/>
      <c r="H28" s="235"/>
      <c r="I28" s="793"/>
      <c r="J28" s="217">
        <f>+'6'!J28</f>
        <v>0</v>
      </c>
      <c r="K28" s="241"/>
      <c r="L28" s="241"/>
      <c r="M28" s="121">
        <f>+K28+'6'!M28+L28</f>
        <v>0</v>
      </c>
    </row>
    <row r="29" spans="1:14" ht="13.5" thickBot="1">
      <c r="A29" s="795"/>
      <c r="B29" s="218"/>
      <c r="C29" s="219"/>
      <c r="D29" s="220"/>
      <c r="E29" s="227"/>
      <c r="F29" s="238"/>
      <c r="G29" s="234"/>
      <c r="H29" s="235"/>
      <c r="I29" s="793"/>
      <c r="J29" s="217">
        <f>+'6'!J29</f>
        <v>0</v>
      </c>
      <c r="K29" s="241"/>
      <c r="L29" s="241"/>
      <c r="M29" s="121">
        <f>+K29+'6'!M29+L29</f>
        <v>0</v>
      </c>
    </row>
    <row r="30" spans="1:14" ht="13.5" thickBot="1">
      <c r="A30" s="795"/>
      <c r="B30" s="218"/>
      <c r="C30" s="228"/>
      <c r="D30" s="220"/>
      <c r="E30" s="227"/>
      <c r="F30" s="238"/>
      <c r="G30" s="234"/>
      <c r="H30" s="235"/>
      <c r="I30" s="793"/>
      <c r="J30" s="217">
        <f>+'6'!J30</f>
        <v>0</v>
      </c>
      <c r="K30" s="241"/>
      <c r="L30" s="241"/>
      <c r="M30" s="121">
        <f>+K30+'6'!M30+L30</f>
        <v>0</v>
      </c>
      <c r="N30" s="159"/>
    </row>
    <row r="31" spans="1:14" ht="13.5" thickBot="1">
      <c r="A31" s="795"/>
      <c r="B31" s="218"/>
      <c r="C31" s="228"/>
      <c r="D31" s="220"/>
      <c r="E31" s="227"/>
      <c r="F31" s="238"/>
      <c r="G31" s="239"/>
      <c r="H31" s="236"/>
      <c r="I31" s="794"/>
      <c r="J31" s="217">
        <f>+'6'!J31</f>
        <v>0</v>
      </c>
      <c r="K31" s="241"/>
      <c r="L31" s="241"/>
      <c r="M31" s="121">
        <f>+K31+'6'!M31+L31</f>
        <v>0</v>
      </c>
    </row>
    <row r="32" spans="1:14" ht="13.5" thickBot="1">
      <c r="A32" s="796"/>
      <c r="B32" s="169" t="s">
        <v>3</v>
      </c>
      <c r="C32" s="103">
        <f>SUM(C25:C31)</f>
        <v>17101</v>
      </c>
      <c r="D32" s="104">
        <f>SUM(D25:D31)</f>
        <v>200</v>
      </c>
      <c r="E32" s="105">
        <f>SUM(E25:E31)</f>
        <v>0</v>
      </c>
      <c r="F32" s="106">
        <f>SUM(F24:F31)</f>
        <v>10</v>
      </c>
      <c r="G32" s="174"/>
      <c r="H32" s="175"/>
      <c r="I32" s="172"/>
      <c r="J32" s="217">
        <f>+'6'!J32</f>
        <v>0</v>
      </c>
      <c r="K32" s="243"/>
      <c r="L32" s="245"/>
      <c r="M32" s="121">
        <f>+K32+'6'!M32+L32</f>
        <v>0</v>
      </c>
    </row>
    <row r="33" spans="1:15" ht="13.5" thickBot="1">
      <c r="A33" s="176"/>
      <c r="B33" s="177"/>
      <c r="C33" s="107">
        <f>C32/($C$32+$D$32+$E$32)</f>
        <v>0.98843997456794408</v>
      </c>
      <c r="D33" s="108">
        <f>D32/($C$32+$D$32+$E$32)</f>
        <v>1.156002543205595E-2</v>
      </c>
      <c r="E33" s="109">
        <f>E32/($C$32+$D$32+$E$32)</f>
        <v>0</v>
      </c>
      <c r="F33" s="110"/>
      <c r="G33" s="178"/>
      <c r="H33" s="179"/>
      <c r="I33" s="180"/>
      <c r="J33" s="125"/>
      <c r="K33" s="126"/>
      <c r="L33" s="216"/>
      <c r="M33" s="123"/>
    </row>
    <row r="34" spans="1:15" ht="13.5" thickBot="1">
      <c r="A34" s="797" t="s">
        <v>60</v>
      </c>
      <c r="B34" s="798"/>
      <c r="C34" s="111">
        <f>C14+C23+C32</f>
        <v>48440</v>
      </c>
      <c r="D34" s="111">
        <f>D14+D23+D32</f>
        <v>700</v>
      </c>
      <c r="E34" s="111">
        <f>E14+E23+E32</f>
        <v>0</v>
      </c>
      <c r="F34" s="112">
        <f>F14+F23+F32</f>
        <v>30</v>
      </c>
      <c r="H34" s="181"/>
      <c r="I34" s="181"/>
      <c r="J34" s="127" t="s">
        <v>29</v>
      </c>
      <c r="K34" s="128">
        <f>SUM(K7:K32)</f>
        <v>48440</v>
      </c>
      <c r="L34" s="215">
        <f>SUM(L7:L32)</f>
        <v>0</v>
      </c>
      <c r="M34" s="124">
        <f>SUM(M7:M32)</f>
        <v>274458</v>
      </c>
      <c r="N34" s="159"/>
    </row>
    <row r="35" spans="1:15" ht="13.5" thickBot="1">
      <c r="A35" s="182"/>
      <c r="B35" s="183"/>
      <c r="C35" s="108">
        <f>C34/($C$34+$D$34+$E$34)</f>
        <v>0.98575498575498577</v>
      </c>
      <c r="D35" s="108">
        <f>D34/($C$34+$D$34+$E$34)</f>
        <v>1.4245014245014245E-2</v>
      </c>
      <c r="E35" s="113">
        <f>E34/($C$34+$D$34+$E$34)</f>
        <v>0</v>
      </c>
      <c r="K35" s="159"/>
      <c r="L35" s="788" t="s">
        <v>186</v>
      </c>
      <c r="M35" s="788"/>
    </row>
    <row r="36" spans="1:15" ht="13.5" thickBot="1">
      <c r="A36" s="181"/>
      <c r="B36" s="181"/>
      <c r="C36" s="159"/>
      <c r="D36" s="159"/>
      <c r="E36" s="159"/>
      <c r="G36" s="159"/>
      <c r="H36" s="184"/>
      <c r="I36" s="166" t="s">
        <v>42</v>
      </c>
      <c r="J36" s="166" t="s">
        <v>43</v>
      </c>
      <c r="K36" s="185"/>
      <c r="L36" s="166" t="s">
        <v>42</v>
      </c>
      <c r="M36" s="166" t="s">
        <v>43</v>
      </c>
    </row>
    <row r="37" spans="1:15" ht="17.45" customHeight="1" thickBot="1">
      <c r="A37" s="801" t="s">
        <v>61</v>
      </c>
      <c r="B37" s="802"/>
      <c r="C37" s="166" t="s">
        <v>62</v>
      </c>
      <c r="D37" s="186" t="s">
        <v>63</v>
      </c>
      <c r="E37" s="187" t="s">
        <v>64</v>
      </c>
      <c r="F37" s="372"/>
      <c r="G37" s="374"/>
      <c r="H37" s="189" t="s">
        <v>65</v>
      </c>
      <c r="I37" s="246">
        <f>(15.5*1440)/1440*G42*3.4*1440/1000000</f>
        <v>54.168854399999994</v>
      </c>
      <c r="J37" s="129">
        <f>+I37+'6'!J37</f>
        <v>320.2982971954001</v>
      </c>
      <c r="K37" s="130" t="s">
        <v>66</v>
      </c>
      <c r="L37" s="437"/>
      <c r="M37" s="438"/>
    </row>
    <row r="38" spans="1:15" ht="17.45" customHeight="1">
      <c r="A38" s="803" t="s">
        <v>13</v>
      </c>
      <c r="B38" s="804"/>
      <c r="C38" s="168">
        <f>SUMIF($G$7:$G$31,"Process",$F$7:$F$31)</f>
        <v>30</v>
      </c>
      <c r="D38" s="122">
        <f>+C38+'6'!D38</f>
        <v>279</v>
      </c>
      <c r="E38" s="147">
        <f t="shared" ref="E38:E51" si="0">D38/60</f>
        <v>4.6500000000000004</v>
      </c>
      <c r="F38" s="372">
        <v>830</v>
      </c>
      <c r="G38" s="372">
        <f>+F38-F38*0.14</f>
        <v>713.8</v>
      </c>
      <c r="H38" s="190" t="s">
        <v>67</v>
      </c>
      <c r="I38" s="559">
        <f>15.86+16.02+17.426</f>
        <v>49.305999999999997</v>
      </c>
      <c r="J38" s="131">
        <f>+I38+'6'!J38</f>
        <v>290.09899999999999</v>
      </c>
      <c r="K38" s="132" t="s">
        <v>66</v>
      </c>
      <c r="L38" s="439"/>
      <c r="M38" s="440"/>
      <c r="O38" s="560"/>
    </row>
    <row r="39" spans="1:15" ht="17.45" customHeight="1">
      <c r="A39" s="799" t="s">
        <v>14</v>
      </c>
      <c r="B39" s="800"/>
      <c r="C39" s="168">
        <f>SUMIF($G$7:$G$31,"Cleaning",$F$7:$F$31)</f>
        <v>0</v>
      </c>
      <c r="D39" s="122">
        <f>+C39+'6'!D39</f>
        <v>0</v>
      </c>
      <c r="E39" s="147">
        <f t="shared" si="0"/>
        <v>0</v>
      </c>
      <c r="F39" s="372">
        <v>830</v>
      </c>
      <c r="G39" s="372">
        <f>+F39-F39*0.14</f>
        <v>713.8</v>
      </c>
      <c r="H39" s="190" t="s">
        <v>68</v>
      </c>
      <c r="I39" s="146"/>
      <c r="J39" s="133">
        <f>J37/G4</f>
        <v>45.756899599342873</v>
      </c>
      <c r="K39" s="134" t="s">
        <v>66</v>
      </c>
      <c r="L39" s="439"/>
      <c r="M39" s="440"/>
    </row>
    <row r="40" spans="1:15" ht="17.45" customHeight="1">
      <c r="A40" s="799" t="s">
        <v>69</v>
      </c>
      <c r="B40" s="800"/>
      <c r="C40" s="168">
        <f>SUMIF($G$7:$G$31,"Mechanical",$F$7:$F$31)</f>
        <v>0</v>
      </c>
      <c r="D40" s="122">
        <f>+C40+'6'!D40</f>
        <v>330</v>
      </c>
      <c r="E40" s="147">
        <f t="shared" si="0"/>
        <v>5.5</v>
      </c>
      <c r="F40" s="372">
        <v>830</v>
      </c>
      <c r="G40" s="372">
        <f>+F40-F40*0.14</f>
        <v>713.8</v>
      </c>
      <c r="H40" s="190" t="s">
        <v>70</v>
      </c>
      <c r="I40" s="122">
        <f>(K34+L34)/1000</f>
        <v>48.44</v>
      </c>
      <c r="J40" s="135">
        <f>+I40+'6'!J40</f>
        <v>274.45800000000003</v>
      </c>
      <c r="K40" s="134" t="s">
        <v>66</v>
      </c>
      <c r="L40" s="439"/>
      <c r="M40" s="440"/>
    </row>
    <row r="41" spans="1:15" ht="17.45" customHeight="1">
      <c r="A41" s="799" t="s">
        <v>71</v>
      </c>
      <c r="B41" s="800"/>
      <c r="C41" s="168">
        <f>SUMIF($G$7:$G$31,"Electrical",$F$7:$F$31)</f>
        <v>0</v>
      </c>
      <c r="D41" s="122">
        <f>+C41+'6'!D41</f>
        <v>285</v>
      </c>
      <c r="E41" s="147">
        <f t="shared" si="0"/>
        <v>4.75</v>
      </c>
      <c r="F41" s="372"/>
      <c r="G41" s="372"/>
      <c r="H41" s="190" t="s">
        <v>72</v>
      </c>
      <c r="I41" s="146"/>
      <c r="J41" s="133">
        <f>J40/G4</f>
        <v>39.208285714285715</v>
      </c>
      <c r="K41" s="134" t="s">
        <v>66</v>
      </c>
      <c r="L41" s="439"/>
      <c r="M41" s="440"/>
    </row>
    <row r="42" spans="1:15" ht="17.45" customHeight="1">
      <c r="A42" s="799" t="s">
        <v>17</v>
      </c>
      <c r="B42" s="800"/>
      <c r="C42" s="168">
        <f>SUMIF($G$7:$G$31,"Instrument",$F$7:$F$31)</f>
        <v>0</v>
      </c>
      <c r="D42" s="122">
        <f>+C42+'6'!D42</f>
        <v>0</v>
      </c>
      <c r="E42" s="147">
        <f t="shared" si="0"/>
        <v>0</v>
      </c>
      <c r="F42" s="372">
        <f>+(F38*480+F39*480+F40*480)/1440</f>
        <v>830</v>
      </c>
      <c r="G42" s="372">
        <f>+(G38*480+G39*480+G40*480)/1440</f>
        <v>713.8</v>
      </c>
      <c r="H42" s="190" t="s">
        <v>73</v>
      </c>
      <c r="I42" s="248" t="s">
        <v>508</v>
      </c>
      <c r="J42" s="136"/>
      <c r="K42" s="134" t="s">
        <v>74</v>
      </c>
      <c r="L42" s="439"/>
      <c r="M42" s="440"/>
    </row>
    <row r="43" spans="1:15" ht="17.45" customHeight="1">
      <c r="A43" s="799" t="s">
        <v>201</v>
      </c>
      <c r="B43" s="800"/>
      <c r="C43" s="168">
        <f>SUMIF($G$7:$G$31,"Change Grade",$F$7:$F$31)</f>
        <v>0</v>
      </c>
      <c r="D43" s="122">
        <f>+C43+'6'!D43</f>
        <v>0</v>
      </c>
      <c r="E43" s="147">
        <f t="shared" si="0"/>
        <v>0</v>
      </c>
      <c r="F43" s="372"/>
      <c r="G43" s="373"/>
      <c r="H43" s="191" t="s">
        <v>76</v>
      </c>
      <c r="I43" s="122">
        <f>+Report1!AH15</f>
        <v>124.12700000000001</v>
      </c>
      <c r="J43" s="137">
        <f>+I43+'6'!J43</f>
        <v>695.15499999999997</v>
      </c>
      <c r="K43" s="134" t="s">
        <v>66</v>
      </c>
      <c r="L43" s="441">
        <f>+Report1!AN15</f>
        <v>8.8000000000000007</v>
      </c>
      <c r="M43" s="442">
        <f>+L43+'6'!M43</f>
        <v>71</v>
      </c>
    </row>
    <row r="44" spans="1:15" ht="17.45" customHeight="1">
      <c r="A44" s="799" t="s">
        <v>18</v>
      </c>
      <c r="B44" s="800"/>
      <c r="C44" s="168">
        <f>SUMIF($G$7:$G$31,"PLN",$F$7:$F$31)</f>
        <v>0</v>
      </c>
      <c r="D44" s="122">
        <f>+C44+'6'!D44</f>
        <v>105</v>
      </c>
      <c r="E44" s="147">
        <f t="shared" si="0"/>
        <v>1.75</v>
      </c>
      <c r="F44" s="372"/>
      <c r="G44" s="373"/>
      <c r="H44" s="191" t="s">
        <v>77</v>
      </c>
      <c r="I44" s="122">
        <f>I43/I38</f>
        <v>2.5174826593112405</v>
      </c>
      <c r="J44" s="138">
        <f>J43/J38</f>
        <v>2.3962681705210978</v>
      </c>
      <c r="K44" s="134" t="s">
        <v>66</v>
      </c>
      <c r="L44" s="443">
        <f>+L43/I38</f>
        <v>0.17847726443029249</v>
      </c>
      <c r="M44" s="444">
        <f>+M43/J38</f>
        <v>0.24474403565679304</v>
      </c>
    </row>
    <row r="45" spans="1:15" ht="17.45" customHeight="1">
      <c r="A45" s="799" t="s">
        <v>19</v>
      </c>
      <c r="B45" s="800"/>
      <c r="C45" s="168">
        <f>SUMIF($G$7:$G$31,"Boiler",$F$7:$F$31)</f>
        <v>0</v>
      </c>
      <c r="D45" s="122">
        <f>+C45+'6'!D45</f>
        <v>0</v>
      </c>
      <c r="E45" s="147">
        <f t="shared" si="0"/>
        <v>0</v>
      </c>
      <c r="F45" s="372"/>
      <c r="G45" s="375"/>
      <c r="H45" s="191" t="s">
        <v>78</v>
      </c>
      <c r="I45" s="122">
        <f>I43/I40</f>
        <v>2.5624896779521058</v>
      </c>
      <c r="J45" s="138">
        <f>J43/J40</f>
        <v>2.5328283380335055</v>
      </c>
      <c r="K45" s="134" t="s">
        <v>66</v>
      </c>
      <c r="L45" s="443">
        <f>+L43/I40</f>
        <v>0.18166804293971928</v>
      </c>
      <c r="M45" s="444">
        <f>+M43/J40</f>
        <v>0.2586916759577057</v>
      </c>
    </row>
    <row r="46" spans="1:15" ht="17.45" customHeight="1">
      <c r="A46" s="799" t="s">
        <v>79</v>
      </c>
      <c r="B46" s="800"/>
      <c r="C46" s="168">
        <f>SUMIF($G$7:$G$31,"Gas",$F$7:$F$31)</f>
        <v>0</v>
      </c>
      <c r="D46" s="122">
        <f>+C46+'6'!D46</f>
        <v>0</v>
      </c>
      <c r="E46" s="147">
        <f t="shared" si="0"/>
        <v>0</v>
      </c>
      <c r="F46" s="372"/>
      <c r="G46" s="373"/>
      <c r="H46" s="191" t="s">
        <v>80</v>
      </c>
      <c r="I46" s="144">
        <f>+SUMIF(Listrik!AC14,"&gt;0")</f>
        <v>35692.670000001242</v>
      </c>
      <c r="J46" s="139">
        <f>+I46+'6'!J46</f>
        <v>201020.4500000012</v>
      </c>
      <c r="K46" s="134" t="s">
        <v>81</v>
      </c>
      <c r="L46" s="443">
        <f>+Listrik!AF14</f>
        <v>1216</v>
      </c>
      <c r="M46" s="445">
        <f>+L46+'6'!M46</f>
        <v>52985</v>
      </c>
    </row>
    <row r="47" spans="1:15" ht="17.45" customHeight="1">
      <c r="A47" s="799" t="s">
        <v>82</v>
      </c>
      <c r="B47" s="800"/>
      <c r="C47" s="168">
        <f>SUMIF($G$7:$G$31,"Gas",$F$7:$F$31)</f>
        <v>0</v>
      </c>
      <c r="D47" s="122">
        <f>+C47+'6'!D47</f>
        <v>0</v>
      </c>
      <c r="E47" s="147">
        <f t="shared" si="0"/>
        <v>0</v>
      </c>
      <c r="F47" s="372"/>
      <c r="G47" s="373"/>
      <c r="H47" s="191" t="s">
        <v>83</v>
      </c>
      <c r="I47" s="122">
        <f>I46/I38</f>
        <v>723.90114793333964</v>
      </c>
      <c r="J47" s="139">
        <f>J46/J38</f>
        <v>692.93741102175886</v>
      </c>
      <c r="K47" s="134" t="s">
        <v>25</v>
      </c>
      <c r="L47" s="443">
        <f>+L46/I38</f>
        <v>24.662312903094961</v>
      </c>
      <c r="M47" s="444">
        <f>+M46/J38</f>
        <v>182.64454548274901</v>
      </c>
    </row>
    <row r="48" spans="1:15" ht="17.45" customHeight="1">
      <c r="A48" s="799" t="s">
        <v>15</v>
      </c>
      <c r="B48" s="800"/>
      <c r="C48" s="168">
        <f>SUMIF($G$7:$G$31,"Start Up",$F$7:$F$31)</f>
        <v>0</v>
      </c>
      <c r="D48" s="122">
        <f>+C48+'6'!D48</f>
        <v>0</v>
      </c>
      <c r="E48" s="147">
        <f t="shared" si="0"/>
        <v>0</v>
      </c>
      <c r="F48" s="372"/>
      <c r="G48" s="373"/>
      <c r="H48" s="191" t="s">
        <v>84</v>
      </c>
      <c r="I48" s="122">
        <f>I46/I40</f>
        <v>736.84289843107445</v>
      </c>
      <c r="J48" s="139">
        <f>J46/J40</f>
        <v>732.42700158130276</v>
      </c>
      <c r="K48" s="134" t="s">
        <v>25</v>
      </c>
      <c r="L48" s="443">
        <f>+L46/I38</f>
        <v>24.662312903094961</v>
      </c>
      <c r="M48" s="444">
        <f>+M46/J40</f>
        <v>193.05321761435263</v>
      </c>
    </row>
    <row r="49" spans="1:13" ht="17.45" customHeight="1">
      <c r="A49" s="799" t="s">
        <v>21</v>
      </c>
      <c r="B49" s="800"/>
      <c r="C49" s="168">
        <f>SUMIF($G$7:$G$31,"Others",$F$7:$F$31)</f>
        <v>0</v>
      </c>
      <c r="D49" s="122">
        <f>+C49+'6'!D49</f>
        <v>1440</v>
      </c>
      <c r="E49" s="147">
        <f t="shared" si="0"/>
        <v>24</v>
      </c>
      <c r="F49" s="188"/>
      <c r="H49" s="191" t="s">
        <v>170</v>
      </c>
      <c r="I49" s="122">
        <f>+Report1!AB15</f>
        <v>0</v>
      </c>
      <c r="J49" s="139">
        <f>+I49+'6'!J49</f>
        <v>0</v>
      </c>
      <c r="K49" s="134" t="s">
        <v>86</v>
      </c>
      <c r="L49" s="439"/>
      <c r="M49" s="440"/>
    </row>
    <row r="50" spans="1:13" ht="17.45" customHeight="1">
      <c r="A50" s="799" t="s">
        <v>20</v>
      </c>
      <c r="B50" s="800"/>
      <c r="C50" s="168">
        <f>SUMIF($G$7:$G$31,"Steam",$F$7:$F$31)</f>
        <v>0</v>
      </c>
      <c r="D50" s="122">
        <f>+C50+'6'!D50</f>
        <v>0</v>
      </c>
      <c r="E50" s="147">
        <f t="shared" si="0"/>
        <v>0</v>
      </c>
      <c r="F50" s="188"/>
      <c r="H50" s="191" t="s">
        <v>87</v>
      </c>
      <c r="I50" s="144">
        <f>I49/I38</f>
        <v>0</v>
      </c>
      <c r="J50" s="137">
        <f>J49/J38</f>
        <v>0</v>
      </c>
      <c r="K50" s="134" t="s">
        <v>86</v>
      </c>
      <c r="L50" s="439"/>
      <c r="M50" s="440"/>
    </row>
    <row r="51" spans="1:13" ht="17.45" customHeight="1" thickBot="1">
      <c r="A51" s="805" t="s">
        <v>88</v>
      </c>
      <c r="B51" s="806"/>
      <c r="C51" s="168">
        <f>SUMIF($G$7:$G$31,"Planned shut",$F$7:$F$31)</f>
        <v>0</v>
      </c>
      <c r="D51" s="122">
        <f>+C51+'6'!D51</f>
        <v>0</v>
      </c>
      <c r="E51" s="147">
        <f t="shared" si="0"/>
        <v>0</v>
      </c>
      <c r="F51" s="188"/>
      <c r="H51" s="193" t="s">
        <v>89</v>
      </c>
      <c r="I51" s="145">
        <f>I49/I40</f>
        <v>0</v>
      </c>
      <c r="J51" s="140">
        <f>J49/J40</f>
        <v>0</v>
      </c>
      <c r="K51" s="141" t="s">
        <v>86</v>
      </c>
      <c r="L51" s="439"/>
      <c r="M51" s="440"/>
    </row>
    <row r="52" spans="1:13" ht="13.5" thickBot="1">
      <c r="A52" s="803" t="s">
        <v>29</v>
      </c>
      <c r="B52" s="804"/>
      <c r="C52" s="148">
        <f>SUM(C38:C51)</f>
        <v>30</v>
      </c>
      <c r="D52" s="148">
        <f>SUM(D38:D51)</f>
        <v>2439</v>
      </c>
      <c r="E52" s="149">
        <f>SUM(E38:E51)</f>
        <v>40.65</v>
      </c>
      <c r="F52" s="188"/>
      <c r="H52" s="194"/>
      <c r="I52" s="195"/>
      <c r="J52" s="142"/>
      <c r="K52" s="143"/>
      <c r="L52" s="446"/>
      <c r="M52" s="447"/>
    </row>
    <row r="53" spans="1:13" ht="13.5" thickBot="1">
      <c r="A53" s="807"/>
      <c r="B53" s="808"/>
      <c r="C53" s="150">
        <f>C52/(24*60)</f>
        <v>2.0833333333333332E-2</v>
      </c>
      <c r="D53" s="150">
        <f>D52/(24*60*G4)</f>
        <v>0.24196428571428572</v>
      </c>
      <c r="E53" s="151">
        <f>E52/(G4*24)</f>
        <v>0.24196428571428572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90</v>
      </c>
      <c r="B56" s="198"/>
      <c r="C56" s="199"/>
      <c r="D56" s="199"/>
      <c r="E56" s="199"/>
      <c r="F56" s="200"/>
      <c r="G56" s="199"/>
      <c r="H56" s="201"/>
      <c r="I56" s="202" t="s">
        <v>91</v>
      </c>
      <c r="J56" s="203">
        <f>+D34+'6'!J56</f>
        <v>5703</v>
      </c>
      <c r="K56" s="204">
        <f>J56/(J40+J56/1000)/1000</f>
        <v>2.0356152355252875E-2</v>
      </c>
    </row>
    <row r="57" spans="1:13">
      <c r="A57" s="179"/>
      <c r="I57" s="202" t="s">
        <v>92</v>
      </c>
      <c r="J57" s="203">
        <f>+E34+'6'!J57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48:B48"/>
    <mergeCell ref="A49:B49"/>
    <mergeCell ref="A50:B50"/>
    <mergeCell ref="A51:B51"/>
    <mergeCell ref="A41:B41"/>
    <mergeCell ref="A52:B52"/>
    <mergeCell ref="A53:B53"/>
    <mergeCell ref="A42:B42"/>
    <mergeCell ref="A43:B43"/>
    <mergeCell ref="A44:B44"/>
    <mergeCell ref="A45:B45"/>
    <mergeCell ref="A46:B46"/>
    <mergeCell ref="A47:B47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1" type="noConversion"/>
  <printOptions horizontalCentered="1"/>
  <pageMargins left="0.19513888888888889" right="0.19513888888888889" top="0.17" bottom="0.16" header="0" footer="0"/>
  <pageSetup paperSize="9" scale="62" firstPageNumber="4294963191" fitToWidth="14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R61"/>
  <sheetViews>
    <sheetView view="pageBreakPreview" zoomScale="80" zoomScaleNormal="75" zoomScaleSheetLayoutView="80" workbookViewId="0">
      <selection activeCell="D17" sqref="D17"/>
    </sheetView>
  </sheetViews>
  <sheetFormatPr defaultColWidth="9.140625" defaultRowHeight="12.75"/>
  <cols>
    <col min="1" max="1" width="8" style="153" customWidth="1"/>
    <col min="2" max="2" width="7" style="153" bestFit="1" customWidth="1"/>
    <col min="3" max="3" width="14.85546875" style="153" bestFit="1" customWidth="1"/>
    <col min="4" max="4" width="12.5703125" style="153" bestFit="1" customWidth="1"/>
    <col min="5" max="5" width="13.85546875" style="153" bestFit="1" customWidth="1"/>
    <col min="6" max="6" width="12.140625" style="114" bestFit="1" customWidth="1"/>
    <col min="7" max="7" width="11.42578125" style="153" bestFit="1" customWidth="1"/>
    <col min="8" max="8" width="64.85546875" style="153" customWidth="1"/>
    <col min="9" max="9" width="14.7109375" style="153" bestFit="1" customWidth="1"/>
    <col min="10" max="10" width="20.140625" style="153" bestFit="1" customWidth="1"/>
    <col min="11" max="11" width="12.85546875" style="153" bestFit="1" customWidth="1"/>
    <col min="12" max="12" width="8.28515625" style="153" customWidth="1"/>
    <col min="13" max="13" width="14.5703125" style="153" bestFit="1" customWidth="1"/>
    <col min="14" max="16384" width="9.140625" style="153"/>
  </cols>
  <sheetData>
    <row r="1" spans="1:18" ht="15.75">
      <c r="A1" s="152"/>
    </row>
    <row r="2" spans="1:18" ht="15.75">
      <c r="A2" s="152" t="s">
        <v>175</v>
      </c>
    </row>
    <row r="3" spans="1:18" ht="15">
      <c r="A3" s="154"/>
    </row>
    <row r="4" spans="1:18" ht="20.25">
      <c r="A4" s="155" t="s">
        <v>4</v>
      </c>
      <c r="B4" s="156"/>
      <c r="F4" s="157" t="s">
        <v>31</v>
      </c>
      <c r="G4" s="158">
        <v>6</v>
      </c>
      <c r="H4" s="158" t="str">
        <f>+'1'!H4</f>
        <v>.12.25</v>
      </c>
    </row>
    <row r="5" spans="1:18" ht="13.5" thickBot="1">
      <c r="C5" s="159"/>
      <c r="D5" s="159"/>
    </row>
    <row r="6" spans="1:18" ht="26.25" thickBot="1">
      <c r="A6" s="160" t="s">
        <v>50</v>
      </c>
      <c r="B6" s="161" t="s">
        <v>10</v>
      </c>
      <c r="C6" s="161" t="s">
        <v>51</v>
      </c>
      <c r="D6" s="161" t="s">
        <v>52</v>
      </c>
      <c r="E6" s="162" t="s">
        <v>53</v>
      </c>
      <c r="F6" s="106" t="s">
        <v>54</v>
      </c>
      <c r="G6" s="161" t="s">
        <v>55</v>
      </c>
      <c r="H6" s="163" t="s">
        <v>56</v>
      </c>
      <c r="I6" s="164" t="s">
        <v>57</v>
      </c>
      <c r="J6" s="165" t="s">
        <v>10</v>
      </c>
      <c r="K6" s="166" t="s">
        <v>58</v>
      </c>
      <c r="L6" s="213" t="s">
        <v>143</v>
      </c>
      <c r="M6" s="167" t="s">
        <v>59</v>
      </c>
      <c r="N6" s="153">
        <f>379+363+428</f>
        <v>1170</v>
      </c>
    </row>
    <row r="7" spans="1:18" ht="13.5" customHeight="1" thickBot="1">
      <c r="A7" s="789" t="s">
        <v>414</v>
      </c>
      <c r="B7" s="218" t="s">
        <v>487</v>
      </c>
      <c r="C7" s="219">
        <v>6641</v>
      </c>
      <c r="D7" s="220"/>
      <c r="E7" s="221"/>
      <c r="F7" s="230"/>
      <c r="G7" s="231" t="s">
        <v>13</v>
      </c>
      <c r="H7" s="232" t="s">
        <v>395</v>
      </c>
      <c r="I7" s="792" t="s">
        <v>507</v>
      </c>
      <c r="J7" s="217" t="str">
        <f>+'5'!J7</f>
        <v>TW 38 RC BR</v>
      </c>
      <c r="K7" s="240"/>
      <c r="L7" s="244"/>
      <c r="M7" s="121">
        <f>+K7+'5'!M7+L7</f>
        <v>78513</v>
      </c>
    </row>
    <row r="8" spans="1:18" ht="13.5" thickBot="1">
      <c r="A8" s="790"/>
      <c r="B8" s="218" t="s">
        <v>502</v>
      </c>
      <c r="C8" s="219">
        <v>2811</v>
      </c>
      <c r="D8" s="220">
        <v>280</v>
      </c>
      <c r="E8" s="222"/>
      <c r="F8" s="233">
        <v>5</v>
      </c>
      <c r="G8" s="578" t="s">
        <v>13</v>
      </c>
      <c r="H8" s="232" t="s">
        <v>393</v>
      </c>
      <c r="I8" s="793"/>
      <c r="J8" s="217" t="str">
        <f>+'5'!J8</f>
        <v>TW 36 RC BR</v>
      </c>
      <c r="K8" s="241"/>
      <c r="L8" s="241"/>
      <c r="M8" s="121">
        <f>+K8+'5'!M8+L8</f>
        <v>1530</v>
      </c>
      <c r="N8" s="153">
        <v>820</v>
      </c>
      <c r="O8" s="153">
        <f>+N8-N8*0.14</f>
        <v>705.2</v>
      </c>
      <c r="P8" s="153">
        <f>60+30</f>
        <v>90</v>
      </c>
      <c r="Q8" s="153">
        <f>+N8*P8</f>
        <v>73800</v>
      </c>
      <c r="R8" s="153">
        <f>+O8*P8</f>
        <v>63468.000000000007</v>
      </c>
    </row>
    <row r="9" spans="1:18" ht="13.5" thickBot="1">
      <c r="A9" s="790"/>
      <c r="B9" s="218"/>
      <c r="C9" s="219"/>
      <c r="D9" s="220"/>
      <c r="E9" s="223"/>
      <c r="F9" s="230">
        <v>10</v>
      </c>
      <c r="G9" s="578" t="s">
        <v>13</v>
      </c>
      <c r="H9" s="235" t="s">
        <v>226</v>
      </c>
      <c r="I9" s="793"/>
      <c r="J9" s="217" t="str">
        <f>+'5'!J9</f>
        <v>N 20 RC BR</v>
      </c>
      <c r="K9" s="241"/>
      <c r="L9" s="241"/>
      <c r="M9" s="121">
        <f>+K9+'5'!M9+L9</f>
        <v>74204</v>
      </c>
      <c r="N9" s="153">
        <v>830</v>
      </c>
      <c r="O9" s="153">
        <f>+N9-N9*0.14</f>
        <v>713.8</v>
      </c>
      <c r="P9" s="153">
        <f>20+54+180</f>
        <v>254</v>
      </c>
      <c r="Q9" s="153">
        <f>+N9*P9</f>
        <v>210820</v>
      </c>
      <c r="R9" s="153">
        <f>+O9*P9</f>
        <v>181305.19999999998</v>
      </c>
    </row>
    <row r="10" spans="1:18" ht="13.5" thickBot="1">
      <c r="A10" s="790"/>
      <c r="B10" s="218"/>
      <c r="C10" s="219"/>
      <c r="D10" s="220"/>
      <c r="E10" s="222"/>
      <c r="F10" s="230"/>
      <c r="G10" s="578"/>
      <c r="H10" s="235" t="s">
        <v>505</v>
      </c>
      <c r="I10" s="793"/>
      <c r="J10" s="217" t="str">
        <f>+'5'!J10</f>
        <v>TW 17 RC HW</v>
      </c>
      <c r="K10" s="241">
        <f>+C7</f>
        <v>6641</v>
      </c>
      <c r="L10" s="241"/>
      <c r="M10" s="121">
        <f>+K10+'5'!M10+L10</f>
        <v>39984</v>
      </c>
      <c r="P10" s="153">
        <f>SUM(P8:P9)</f>
        <v>344</v>
      </c>
      <c r="Q10" s="153">
        <f>SUM(Q8:Q9)</f>
        <v>284620</v>
      </c>
      <c r="R10" s="153">
        <f>SUM(R8:R9)</f>
        <v>244773.19999999998</v>
      </c>
    </row>
    <row r="11" spans="1:18" ht="26.25" thickBot="1">
      <c r="A11" s="790"/>
      <c r="B11" s="218"/>
      <c r="C11" s="219"/>
      <c r="D11" s="220"/>
      <c r="E11" s="222"/>
      <c r="F11" s="230">
        <v>70</v>
      </c>
      <c r="G11" s="234" t="s">
        <v>69</v>
      </c>
      <c r="H11" s="235" t="s">
        <v>506</v>
      </c>
      <c r="I11" s="793"/>
      <c r="J11" s="217" t="s">
        <v>502</v>
      </c>
      <c r="K11" s="241">
        <f>+C8+C16+C25</f>
        <v>31787</v>
      </c>
      <c r="L11" s="241"/>
      <c r="M11" s="121">
        <f>+K11+'5'!M11+L11</f>
        <v>31787</v>
      </c>
      <c r="Q11" s="153">
        <f>+Q10/P10</f>
        <v>827.38372093023258</v>
      </c>
      <c r="R11" s="153">
        <f>+R10/P10</f>
        <v>711.55</v>
      </c>
    </row>
    <row r="12" spans="1:18" ht="13.5" thickBot="1">
      <c r="A12" s="790"/>
      <c r="B12" s="218"/>
      <c r="C12" s="219"/>
      <c r="D12" s="220"/>
      <c r="E12" s="222"/>
      <c r="F12" s="230">
        <v>66</v>
      </c>
      <c r="G12" s="234" t="s">
        <v>13</v>
      </c>
      <c r="H12" s="235" t="s">
        <v>511</v>
      </c>
      <c r="I12" s="793"/>
      <c r="J12" s="217">
        <f>+'5'!J12</f>
        <v>0</v>
      </c>
      <c r="K12" s="241"/>
      <c r="L12" s="241"/>
      <c r="M12" s="121">
        <f>+K12+'5'!M12+L12</f>
        <v>0</v>
      </c>
    </row>
    <row r="13" spans="1:18" ht="13.5" thickBot="1">
      <c r="A13" s="790"/>
      <c r="B13" s="218"/>
      <c r="C13" s="219"/>
      <c r="D13" s="219"/>
      <c r="E13" s="222"/>
      <c r="F13" s="230"/>
      <c r="G13" s="234"/>
      <c r="H13" s="235" t="s">
        <v>504</v>
      </c>
      <c r="I13" s="794"/>
      <c r="J13" s="217">
        <f>+'5'!J13</f>
        <v>0</v>
      </c>
      <c r="K13" s="241"/>
      <c r="L13" s="241"/>
      <c r="M13" s="121">
        <f>+K13+'5'!M13+L13</f>
        <v>0</v>
      </c>
    </row>
    <row r="14" spans="1:18" ht="13.5" thickBot="1">
      <c r="A14" s="791"/>
      <c r="B14" s="169" t="s">
        <v>3</v>
      </c>
      <c r="C14" s="103">
        <f>SUM(C7:C13)</f>
        <v>9452</v>
      </c>
      <c r="D14" s="115">
        <f>SUM(D7:D13)</f>
        <v>280</v>
      </c>
      <c r="E14" s="116">
        <f>SUM(E5:E13)</f>
        <v>0</v>
      </c>
      <c r="F14" s="106">
        <f>SUM(F6:F13)</f>
        <v>151</v>
      </c>
      <c r="G14" s="163"/>
      <c r="H14" s="170"/>
      <c r="I14" s="171"/>
      <c r="J14" s="217">
        <f>+'5'!J14</f>
        <v>0</v>
      </c>
      <c r="K14" s="241"/>
      <c r="L14" s="241"/>
      <c r="M14" s="121">
        <f>+K14+'5'!M14+L14</f>
        <v>0</v>
      </c>
    </row>
    <row r="15" spans="1:18" ht="13.5" customHeight="1" thickBot="1">
      <c r="A15" s="789" t="s">
        <v>486</v>
      </c>
      <c r="B15" s="169"/>
      <c r="C15" s="117">
        <f>C14/($C$23+$D$23+$E$23)</f>
        <v>0.59728278041074245</v>
      </c>
      <c r="D15" s="118">
        <f>D14/($C$23+$D$23+$E$23)</f>
        <v>1.769352290679305E-2</v>
      </c>
      <c r="E15" s="119">
        <f>E14/($C$23+$D$23+$E$23)</f>
        <v>0</v>
      </c>
      <c r="F15" s="230"/>
      <c r="G15" s="231" t="s">
        <v>13</v>
      </c>
      <c r="H15" s="232" t="s">
        <v>395</v>
      </c>
      <c r="I15" s="792" t="s">
        <v>508</v>
      </c>
      <c r="J15" s="217">
        <f>+'5'!J15</f>
        <v>0</v>
      </c>
      <c r="K15" s="241"/>
      <c r="L15" s="241"/>
      <c r="M15" s="121">
        <f>+K15+'5'!M15+L15</f>
        <v>0</v>
      </c>
    </row>
    <row r="16" spans="1:18" ht="13.5" thickBot="1">
      <c r="A16" s="795"/>
      <c r="B16" s="218" t="s">
        <v>502</v>
      </c>
      <c r="C16" s="224">
        <v>14255</v>
      </c>
      <c r="D16" s="225">
        <v>1570</v>
      </c>
      <c r="E16" s="226"/>
      <c r="F16" s="233"/>
      <c r="G16" s="578" t="s">
        <v>13</v>
      </c>
      <c r="H16" s="232" t="s">
        <v>424</v>
      </c>
      <c r="I16" s="793"/>
      <c r="J16" s="217">
        <f>+'5'!J16</f>
        <v>0</v>
      </c>
      <c r="K16" s="241"/>
      <c r="L16" s="231"/>
      <c r="M16" s="121">
        <f>+K16+'5'!M16+L16</f>
        <v>0</v>
      </c>
    </row>
    <row r="17" spans="1:13" ht="13.5" thickBot="1">
      <c r="A17" s="795"/>
      <c r="B17" s="218"/>
      <c r="C17" s="219"/>
      <c r="D17" s="220"/>
      <c r="E17" s="227"/>
      <c r="F17" s="230">
        <v>3</v>
      </c>
      <c r="G17" s="578" t="s">
        <v>13</v>
      </c>
      <c r="H17" s="235" t="s">
        <v>226</v>
      </c>
      <c r="I17" s="793"/>
      <c r="J17" s="217">
        <f>+'5'!J17</f>
        <v>0</v>
      </c>
      <c r="K17" s="231"/>
      <c r="L17" s="231"/>
      <c r="M17" s="121">
        <f>+K17+'5'!M17+L17</f>
        <v>0</v>
      </c>
    </row>
    <row r="18" spans="1:13" ht="13.5" thickBot="1">
      <c r="A18" s="795"/>
      <c r="B18" s="218"/>
      <c r="C18" s="219"/>
      <c r="D18" s="220"/>
      <c r="E18" s="227"/>
      <c r="F18" s="230"/>
      <c r="G18" s="578"/>
      <c r="H18" s="235" t="s">
        <v>501</v>
      </c>
      <c r="I18" s="793"/>
      <c r="J18" s="217">
        <f>+'5'!J18</f>
        <v>0</v>
      </c>
      <c r="K18" s="241"/>
      <c r="L18" s="241"/>
      <c r="M18" s="121">
        <f>+K18+'5'!M18+L18</f>
        <v>0</v>
      </c>
    </row>
    <row r="19" spans="1:13" ht="26.25" thickBot="1">
      <c r="A19" s="795"/>
      <c r="B19" s="218"/>
      <c r="C19" s="219"/>
      <c r="D19" s="220"/>
      <c r="E19" s="227"/>
      <c r="F19" s="237">
        <v>22</v>
      </c>
      <c r="G19" s="234" t="s">
        <v>13</v>
      </c>
      <c r="H19" s="235" t="s">
        <v>499</v>
      </c>
      <c r="I19" s="793"/>
      <c r="J19" s="217">
        <f>+'5'!J19</f>
        <v>0</v>
      </c>
      <c r="K19" s="241"/>
      <c r="L19" s="241"/>
      <c r="M19" s="121">
        <f>+K19+'5'!M19+L19</f>
        <v>0</v>
      </c>
    </row>
    <row r="20" spans="1:13" ht="13.5" thickBot="1">
      <c r="A20" s="795"/>
      <c r="B20" s="218"/>
      <c r="C20" s="219"/>
      <c r="D20" s="220"/>
      <c r="E20" s="227"/>
      <c r="F20" s="230"/>
      <c r="G20" s="234"/>
      <c r="H20" s="235" t="s">
        <v>500</v>
      </c>
      <c r="I20" s="793"/>
      <c r="J20" s="217">
        <f>+'5'!J20</f>
        <v>0</v>
      </c>
      <c r="K20" s="242"/>
      <c r="L20" s="242"/>
      <c r="M20" s="121">
        <f>+K20+'5'!M20+L20</f>
        <v>0</v>
      </c>
    </row>
    <row r="21" spans="1:13" ht="13.5" thickBot="1">
      <c r="A21" s="795"/>
      <c r="B21" s="218"/>
      <c r="C21" s="219"/>
      <c r="D21" s="220"/>
      <c r="E21" s="227"/>
      <c r="F21" s="233"/>
      <c r="G21" s="234"/>
      <c r="H21" s="235" t="s">
        <v>498</v>
      </c>
      <c r="I21" s="793"/>
      <c r="J21" s="217">
        <f>+'5'!J21</f>
        <v>0</v>
      </c>
      <c r="K21" s="241"/>
      <c r="L21" s="241"/>
      <c r="M21" s="121">
        <f>+K21+'5'!M21+L21</f>
        <v>0</v>
      </c>
    </row>
    <row r="22" spans="1:13" ht="13.5" thickBot="1">
      <c r="A22" s="795"/>
      <c r="B22" s="218"/>
      <c r="C22" s="219"/>
      <c r="D22" s="220"/>
      <c r="E22" s="227"/>
      <c r="F22" s="238"/>
      <c r="G22" s="234"/>
      <c r="H22" s="235"/>
      <c r="I22" s="794"/>
      <c r="J22" s="217">
        <f>+'5'!J22</f>
        <v>0</v>
      </c>
      <c r="K22" s="241"/>
      <c r="L22" s="241"/>
      <c r="M22" s="121">
        <f>+K22+'5'!M22+L22</f>
        <v>0</v>
      </c>
    </row>
    <row r="23" spans="1:13" ht="13.5" thickBot="1">
      <c r="A23" s="796"/>
      <c r="B23" s="169" t="s">
        <v>3</v>
      </c>
      <c r="C23" s="104">
        <f>SUM(C16:C22)</f>
        <v>14255</v>
      </c>
      <c r="D23" s="115">
        <f>SUM(D16:D22)</f>
        <v>1570</v>
      </c>
      <c r="E23" s="116">
        <f>SUM(E18:E22)</f>
        <v>0</v>
      </c>
      <c r="F23" s="106">
        <f>SUM(F15:F22)</f>
        <v>25</v>
      </c>
      <c r="G23" s="163"/>
      <c r="H23" s="170"/>
      <c r="I23" s="172"/>
      <c r="J23" s="217">
        <f>+'5'!J23</f>
        <v>0</v>
      </c>
      <c r="K23" s="241"/>
      <c r="L23" s="241"/>
      <c r="M23" s="121">
        <f>+K23+'5'!M23+L23</f>
        <v>0</v>
      </c>
    </row>
    <row r="24" spans="1:13" ht="13.5" customHeight="1" thickBot="1">
      <c r="A24" s="789" t="s">
        <v>413</v>
      </c>
      <c r="B24" s="173"/>
      <c r="C24" s="117">
        <f>C23/($C$23+$D$23+$E$23)</f>
        <v>0.90078988941548188</v>
      </c>
      <c r="D24" s="118">
        <f>D23/($C$23+$D$23+$E$23)</f>
        <v>9.9210110584518174E-2</v>
      </c>
      <c r="E24" s="119">
        <f>E23/($C$23+$D$23+$E$23)</f>
        <v>0</v>
      </c>
      <c r="F24" s="230"/>
      <c r="G24" s="231" t="s">
        <v>13</v>
      </c>
      <c r="H24" s="232" t="s">
        <v>395</v>
      </c>
      <c r="I24" s="792" t="s">
        <v>508</v>
      </c>
      <c r="J24" s="217">
        <f>+'5'!J24</f>
        <v>0</v>
      </c>
      <c r="K24" s="241"/>
      <c r="L24" s="241"/>
      <c r="M24" s="121">
        <f>+K24+'5'!M24+L24</f>
        <v>0</v>
      </c>
    </row>
    <row r="25" spans="1:13" ht="13.5" customHeight="1" thickBot="1">
      <c r="A25" s="795"/>
      <c r="B25" s="218" t="s">
        <v>502</v>
      </c>
      <c r="C25" s="228">
        <v>14721</v>
      </c>
      <c r="D25" s="220"/>
      <c r="E25" s="227"/>
      <c r="F25" s="233">
        <v>5</v>
      </c>
      <c r="G25" s="578" t="s">
        <v>13</v>
      </c>
      <c r="H25" s="232" t="s">
        <v>393</v>
      </c>
      <c r="I25" s="793"/>
      <c r="J25" s="217">
        <f>+'5'!J25</f>
        <v>0</v>
      </c>
      <c r="K25" s="241"/>
      <c r="L25" s="241"/>
      <c r="M25" s="121">
        <f>+K25+'5'!M25+L25</f>
        <v>0</v>
      </c>
    </row>
    <row r="26" spans="1:13" ht="13.5" customHeight="1" thickBot="1">
      <c r="A26" s="795"/>
      <c r="B26" s="218"/>
      <c r="C26" s="228"/>
      <c r="D26" s="220"/>
      <c r="E26" s="229"/>
      <c r="F26" s="230">
        <v>15</v>
      </c>
      <c r="G26" s="578" t="s">
        <v>13</v>
      </c>
      <c r="H26" s="235" t="s">
        <v>226</v>
      </c>
      <c r="I26" s="793"/>
      <c r="J26" s="217">
        <f>+'5'!J26</f>
        <v>0</v>
      </c>
      <c r="K26" s="241"/>
      <c r="L26" s="241"/>
      <c r="M26" s="121">
        <f>+K26+'5'!M26+L26</f>
        <v>0</v>
      </c>
    </row>
    <row r="27" spans="1:13" ht="13.5" customHeight="1" thickBot="1">
      <c r="A27" s="795"/>
      <c r="B27" s="218"/>
      <c r="C27" s="219"/>
      <c r="D27" s="220"/>
      <c r="E27" s="227"/>
      <c r="F27" s="230"/>
      <c r="G27" s="578"/>
      <c r="H27" s="235" t="s">
        <v>501</v>
      </c>
      <c r="I27" s="793"/>
      <c r="J27" s="217">
        <f>+'5'!J27</f>
        <v>0</v>
      </c>
      <c r="K27" s="241"/>
      <c r="L27" s="241"/>
      <c r="M27" s="121">
        <f>+K27+'5'!M27+L27</f>
        <v>0</v>
      </c>
    </row>
    <row r="28" spans="1:13" ht="13.5" customHeight="1" thickBot="1">
      <c r="A28" s="795"/>
      <c r="B28" s="218"/>
      <c r="C28" s="219"/>
      <c r="D28" s="220"/>
      <c r="E28" s="227"/>
      <c r="F28" s="233"/>
      <c r="G28" s="234"/>
      <c r="H28" s="235"/>
      <c r="I28" s="793"/>
      <c r="J28" s="217">
        <f>+'5'!J28</f>
        <v>0</v>
      </c>
      <c r="K28" s="241"/>
      <c r="L28" s="241"/>
      <c r="M28" s="121">
        <f>+K28+'5'!M28+L28</f>
        <v>0</v>
      </c>
    </row>
    <row r="29" spans="1:13" ht="13.5" customHeight="1" thickBot="1">
      <c r="A29" s="795"/>
      <c r="B29" s="218"/>
      <c r="C29" s="219"/>
      <c r="D29" s="220"/>
      <c r="E29" s="227"/>
      <c r="F29" s="238"/>
      <c r="G29" s="234"/>
      <c r="H29" s="235"/>
      <c r="I29" s="793"/>
      <c r="J29" s="217">
        <f>+'5'!J29</f>
        <v>0</v>
      </c>
      <c r="K29" s="241"/>
      <c r="L29" s="241"/>
      <c r="M29" s="121">
        <f>+K29+'5'!M29+L29</f>
        <v>0</v>
      </c>
    </row>
    <row r="30" spans="1:13" ht="13.5" customHeight="1" thickBot="1">
      <c r="A30" s="795"/>
      <c r="B30" s="218"/>
      <c r="C30" s="228"/>
      <c r="D30" s="220"/>
      <c r="E30" s="227"/>
      <c r="F30" s="238"/>
      <c r="G30" s="234"/>
      <c r="H30" s="235"/>
      <c r="I30" s="793"/>
      <c r="J30" s="217">
        <f>+'5'!J30</f>
        <v>0</v>
      </c>
      <c r="K30" s="241"/>
      <c r="L30" s="241"/>
      <c r="M30" s="121">
        <f>+K30+'5'!M30+L30</f>
        <v>0</v>
      </c>
    </row>
    <row r="31" spans="1:13" ht="13.5" customHeight="1" thickBot="1">
      <c r="A31" s="795"/>
      <c r="B31" s="218"/>
      <c r="C31" s="228"/>
      <c r="D31" s="220"/>
      <c r="E31" s="227"/>
      <c r="F31" s="238"/>
      <c r="G31" s="239"/>
      <c r="H31" s="236"/>
      <c r="I31" s="794"/>
      <c r="J31" s="217">
        <f>+'5'!J31</f>
        <v>0</v>
      </c>
      <c r="K31" s="241"/>
      <c r="L31" s="241"/>
      <c r="M31" s="121">
        <f>+K31+'5'!M31+L31</f>
        <v>0</v>
      </c>
    </row>
    <row r="32" spans="1:13" ht="13.5" customHeight="1" thickBot="1">
      <c r="A32" s="796"/>
      <c r="B32" s="169" t="s">
        <v>3</v>
      </c>
      <c r="C32" s="103">
        <f>SUM(C25:C31)</f>
        <v>14721</v>
      </c>
      <c r="D32" s="104">
        <f>SUM(D25:D31)</f>
        <v>0</v>
      </c>
      <c r="E32" s="105">
        <f>SUM(E25:E31)</f>
        <v>0</v>
      </c>
      <c r="F32" s="106">
        <f>SUM(F24:F31)</f>
        <v>20</v>
      </c>
      <c r="G32" s="174"/>
      <c r="H32" s="175"/>
      <c r="I32" s="172"/>
      <c r="J32" s="217">
        <f>+'5'!J32</f>
        <v>0</v>
      </c>
      <c r="K32" s="243"/>
      <c r="L32" s="245"/>
      <c r="M32" s="121">
        <f>+K32+'5'!M32+L32</f>
        <v>0</v>
      </c>
    </row>
    <row r="33" spans="1:14" ht="13.5" thickBot="1">
      <c r="A33" s="176"/>
      <c r="B33" s="177"/>
      <c r="C33" s="107">
        <f>C32/($C$32+$D$32+$E$32)</f>
        <v>1</v>
      </c>
      <c r="D33" s="108">
        <f>D32/($C$32+$D$32+$E$32)</f>
        <v>0</v>
      </c>
      <c r="E33" s="109">
        <f>E32/($C$32+$D$32+$E$32)</f>
        <v>0</v>
      </c>
      <c r="F33" s="110"/>
      <c r="G33" s="178"/>
      <c r="H33" s="179"/>
      <c r="I33" s="180"/>
      <c r="J33" s="125"/>
      <c r="K33" s="126"/>
      <c r="L33" s="216"/>
      <c r="M33" s="123"/>
    </row>
    <row r="34" spans="1:14" ht="13.5" thickBot="1">
      <c r="A34" s="797" t="s">
        <v>60</v>
      </c>
      <c r="B34" s="798"/>
      <c r="C34" s="111">
        <f>C14+C23+C32</f>
        <v>38428</v>
      </c>
      <c r="D34" s="111">
        <f>D14+D23+D32</f>
        <v>1850</v>
      </c>
      <c r="E34" s="111">
        <f>E14+E23+E32</f>
        <v>0</v>
      </c>
      <c r="F34" s="112">
        <f>F14+F23+F32</f>
        <v>196</v>
      </c>
      <c r="H34" s="181"/>
      <c r="I34" s="181"/>
      <c r="J34" s="127" t="s">
        <v>29</v>
      </c>
      <c r="K34" s="128">
        <f>SUM(K7:K32)</f>
        <v>38428</v>
      </c>
      <c r="L34" s="215">
        <f>SUM(L7:L32)</f>
        <v>0</v>
      </c>
      <c r="M34" s="124">
        <f>SUM(M7:M32)</f>
        <v>226018</v>
      </c>
    </row>
    <row r="35" spans="1:14" ht="13.5" thickBot="1">
      <c r="A35" s="182"/>
      <c r="B35" s="183"/>
      <c r="C35" s="108">
        <f>C34/($C$34+$D$34+$E$34)</f>
        <v>0.95406921892844732</v>
      </c>
      <c r="D35" s="108">
        <f>D34/($C$34+$D$34+$E$34)</f>
        <v>4.5930781071552712E-2</v>
      </c>
      <c r="E35" s="113">
        <f>E34/($C$34+$D$34+$E$34)</f>
        <v>0</v>
      </c>
      <c r="K35" s="159"/>
      <c r="L35" s="788" t="s">
        <v>186</v>
      </c>
      <c r="M35" s="788"/>
    </row>
    <row r="36" spans="1:14" ht="13.5" thickBot="1">
      <c r="A36" s="181"/>
      <c r="B36" s="181"/>
      <c r="C36" s="159"/>
      <c r="D36" s="159"/>
      <c r="E36" s="159"/>
      <c r="G36" s="159"/>
      <c r="H36" s="184"/>
      <c r="I36" s="166" t="s">
        <v>42</v>
      </c>
      <c r="J36" s="166" t="s">
        <v>43</v>
      </c>
      <c r="K36" s="185"/>
      <c r="L36" s="166" t="s">
        <v>42</v>
      </c>
      <c r="M36" s="166" t="s">
        <v>43</v>
      </c>
    </row>
    <row r="37" spans="1:14" ht="17.45" customHeight="1" thickBot="1">
      <c r="A37" s="801" t="s">
        <v>61</v>
      </c>
      <c r="B37" s="802"/>
      <c r="C37" s="166" t="s">
        <v>62</v>
      </c>
      <c r="D37" s="186" t="s">
        <v>63</v>
      </c>
      <c r="E37" s="187" t="s">
        <v>64</v>
      </c>
      <c r="F37" s="372"/>
      <c r="G37" s="374"/>
      <c r="H37" s="189" t="s">
        <v>65</v>
      </c>
      <c r="I37" s="246">
        <f>(17*90+15.5*1214)/1304*G42*3.4*1304/1000000</f>
        <v>49.339478996748454</v>
      </c>
      <c r="J37" s="129">
        <f>+I37+'5'!J37</f>
        <v>266.12944279540011</v>
      </c>
      <c r="K37" s="130" t="s">
        <v>66</v>
      </c>
      <c r="L37" s="437"/>
      <c r="M37" s="438"/>
      <c r="N37" s="153">
        <f>2.162+1.784</f>
        <v>3.9459999999999997</v>
      </c>
    </row>
    <row r="38" spans="1:14" ht="17.45" customHeight="1">
      <c r="A38" s="803" t="s">
        <v>13</v>
      </c>
      <c r="B38" s="804"/>
      <c r="C38" s="168">
        <f>SUMIF($G$7:$G$31,"Process",$F$7:$F$31)</f>
        <v>126</v>
      </c>
      <c r="D38" s="122">
        <f>+C38+'5'!D38</f>
        <v>249</v>
      </c>
      <c r="E38" s="147">
        <f t="shared" ref="E38:E51" si="0">D38/60</f>
        <v>4.1500000000000004</v>
      </c>
      <c r="F38" s="372">
        <v>827.38372093023258</v>
      </c>
      <c r="G38" s="372">
        <v>711.55</v>
      </c>
      <c r="H38" s="190" t="s">
        <v>67</v>
      </c>
      <c r="I38" s="559">
        <f>11.028+15.946+15.328</f>
        <v>42.302</v>
      </c>
      <c r="J38" s="131">
        <f>+I38+'5'!J38</f>
        <v>240.79300000000001</v>
      </c>
      <c r="K38" s="132" t="s">
        <v>66</v>
      </c>
      <c r="L38" s="439"/>
      <c r="M38" s="440"/>
      <c r="N38" s="560">
        <f>+I38-N37</f>
        <v>38.356000000000002</v>
      </c>
    </row>
    <row r="39" spans="1:14" ht="17.45" customHeight="1">
      <c r="A39" s="799" t="s">
        <v>14</v>
      </c>
      <c r="B39" s="800"/>
      <c r="C39" s="168">
        <f>SUMIF($G$7:$G$31,"Cleaning",$F$7:$F$31)</f>
        <v>0</v>
      </c>
      <c r="D39" s="122">
        <f>+C39+'5'!D39</f>
        <v>0</v>
      </c>
      <c r="E39" s="147">
        <f t="shared" si="0"/>
        <v>0</v>
      </c>
      <c r="F39" s="372">
        <v>830</v>
      </c>
      <c r="G39" s="372">
        <f>+F39-F39*0.14</f>
        <v>713.8</v>
      </c>
      <c r="H39" s="190" t="s">
        <v>68</v>
      </c>
      <c r="I39" s="146"/>
      <c r="J39" s="133">
        <f>J37/G4</f>
        <v>44.354907132566687</v>
      </c>
      <c r="K39" s="134" t="s">
        <v>66</v>
      </c>
      <c r="L39" s="439"/>
      <c r="M39" s="440"/>
    </row>
    <row r="40" spans="1:14" ht="17.45" customHeight="1">
      <c r="A40" s="799" t="s">
        <v>69</v>
      </c>
      <c r="B40" s="800"/>
      <c r="C40" s="168">
        <f>SUMIF($G$7:$G$31,"Mechanical",$F$7:$F$31)</f>
        <v>70</v>
      </c>
      <c r="D40" s="122">
        <f>+C40+'5'!D40</f>
        <v>330</v>
      </c>
      <c r="E40" s="147">
        <f t="shared" si="0"/>
        <v>5.5</v>
      </c>
      <c r="F40" s="372">
        <v>830</v>
      </c>
      <c r="G40" s="372">
        <f>+F40-F40*0.14</f>
        <v>713.8</v>
      </c>
      <c r="H40" s="190" t="s">
        <v>70</v>
      </c>
      <c r="I40" s="122">
        <f>(K34+L34)/1000</f>
        <v>38.427999999999997</v>
      </c>
      <c r="J40" s="135">
        <f>+I40+'5'!J40</f>
        <v>226.01800000000003</v>
      </c>
      <c r="K40" s="134" t="s">
        <v>66</v>
      </c>
      <c r="L40" s="439"/>
      <c r="M40" s="440"/>
    </row>
    <row r="41" spans="1:14" ht="17.45" customHeight="1">
      <c r="A41" s="799" t="s">
        <v>71</v>
      </c>
      <c r="B41" s="800"/>
      <c r="C41" s="168">
        <f>SUMIF($G$7:$G$31,"Electrical",$F$7:$F$31)</f>
        <v>0</v>
      </c>
      <c r="D41" s="122">
        <f>+C41+'5'!D41</f>
        <v>285</v>
      </c>
      <c r="E41" s="147">
        <f t="shared" si="0"/>
        <v>4.75</v>
      </c>
      <c r="F41" s="372"/>
      <c r="G41" s="372"/>
      <c r="H41" s="190" t="s">
        <v>72</v>
      </c>
      <c r="I41" s="146"/>
      <c r="J41" s="133">
        <f>J40/G4</f>
        <v>37.669666666666672</v>
      </c>
      <c r="K41" s="134" t="s">
        <v>66</v>
      </c>
      <c r="L41" s="439"/>
      <c r="M41" s="440"/>
    </row>
    <row r="42" spans="1:14" ht="17.45" customHeight="1">
      <c r="A42" s="799" t="s">
        <v>17</v>
      </c>
      <c r="B42" s="800"/>
      <c r="C42" s="168">
        <f>SUMIF($G$7:$G$31,"Instrument",$F$7:$F$31)</f>
        <v>0</v>
      </c>
      <c r="D42" s="122">
        <f>+C42+'5'!D42</f>
        <v>0</v>
      </c>
      <c r="E42" s="147">
        <f t="shared" si="0"/>
        <v>0</v>
      </c>
      <c r="F42" s="372">
        <f>+(F38*344+F39*480+F40*480)/1304</f>
        <v>829.30981595092021</v>
      </c>
      <c r="G42" s="372">
        <f>+(G38*344+G39*480+G40*480)/1304</f>
        <v>713.20644171779134</v>
      </c>
      <c r="H42" s="190" t="s">
        <v>73</v>
      </c>
      <c r="I42" s="248" t="s">
        <v>509</v>
      </c>
      <c r="J42" s="136"/>
      <c r="K42" s="134" t="s">
        <v>74</v>
      </c>
      <c r="L42" s="439"/>
      <c r="M42" s="440"/>
    </row>
    <row r="43" spans="1:14" ht="17.45" customHeight="1">
      <c r="A43" s="799" t="s">
        <v>75</v>
      </c>
      <c r="B43" s="800"/>
      <c r="C43" s="168">
        <f>SUMIF($G$7:$G$31,"Water",$F$7:$F$31)</f>
        <v>0</v>
      </c>
      <c r="D43" s="122">
        <f>+C43+'5'!D43</f>
        <v>0</v>
      </c>
      <c r="E43" s="147">
        <f t="shared" si="0"/>
        <v>0</v>
      </c>
      <c r="F43" s="372"/>
      <c r="G43" s="373"/>
      <c r="H43" s="191" t="s">
        <v>76</v>
      </c>
      <c r="I43" s="122">
        <f>+Report1!AH14</f>
        <v>124.375</v>
      </c>
      <c r="J43" s="137">
        <f>+I43+'5'!J43</f>
        <v>571.02800000000002</v>
      </c>
      <c r="K43" s="134" t="s">
        <v>66</v>
      </c>
      <c r="L43" s="441">
        <f>+Report1!AN14</f>
        <v>8.9</v>
      </c>
      <c r="M43" s="442">
        <f>+L43+'5'!M43</f>
        <v>62.199999999999996</v>
      </c>
    </row>
    <row r="44" spans="1:14" ht="17.45" customHeight="1">
      <c r="A44" s="799" t="s">
        <v>18</v>
      </c>
      <c r="B44" s="800"/>
      <c r="C44" s="168">
        <f>SUMIF($G$7:$G$31,"PLN",$F$7:$F$31)</f>
        <v>0</v>
      </c>
      <c r="D44" s="122">
        <f>+C44+'5'!D44</f>
        <v>105</v>
      </c>
      <c r="E44" s="147">
        <f t="shared" si="0"/>
        <v>1.75</v>
      </c>
      <c r="F44" s="372"/>
      <c r="G44" s="373"/>
      <c r="H44" s="191" t="s">
        <v>77</v>
      </c>
      <c r="I44" s="122">
        <f>I43/I38</f>
        <v>2.9401683135549148</v>
      </c>
      <c r="J44" s="138">
        <f>J43/J38</f>
        <v>2.3714476749739402</v>
      </c>
      <c r="K44" s="134" t="s">
        <v>66</v>
      </c>
      <c r="L44" s="443">
        <f>+L43/I38</f>
        <v>0.21039194364332656</v>
      </c>
      <c r="M44" s="444">
        <f>+M43/J38</f>
        <v>0.25831315694393109</v>
      </c>
    </row>
    <row r="45" spans="1:14" ht="17.45" customHeight="1">
      <c r="A45" s="799" t="s">
        <v>19</v>
      </c>
      <c r="B45" s="800"/>
      <c r="C45" s="168">
        <f>SUMIF($G$7:$G$31,"Boiler",$F$7:$F$31)</f>
        <v>0</v>
      </c>
      <c r="D45" s="122">
        <f>+C45+'5'!D45</f>
        <v>0</v>
      </c>
      <c r="E45" s="147">
        <f t="shared" si="0"/>
        <v>0</v>
      </c>
      <c r="F45" s="372"/>
      <c r="G45" s="375"/>
      <c r="H45" s="191" t="s">
        <v>78</v>
      </c>
      <c r="I45" s="122">
        <f>I43/I40</f>
        <v>3.2365722910377852</v>
      </c>
      <c r="J45" s="138">
        <f>J43/J40</f>
        <v>2.5264713429903809</v>
      </c>
      <c r="K45" s="134" t="s">
        <v>66</v>
      </c>
      <c r="L45" s="443">
        <f>+L43/I40</f>
        <v>0.23160195690642243</v>
      </c>
      <c r="M45" s="444">
        <f>+M43/J40</f>
        <v>0.27519932040810902</v>
      </c>
    </row>
    <row r="46" spans="1:14" ht="17.45" customHeight="1">
      <c r="A46" s="799" t="s">
        <v>79</v>
      </c>
      <c r="B46" s="800"/>
      <c r="C46" s="168">
        <f>SUMIF($G$7:$G$31,"Gas",$F$7:$F$31)</f>
        <v>0</v>
      </c>
      <c r="D46" s="122">
        <f>+C46+'5'!D46</f>
        <v>0</v>
      </c>
      <c r="E46" s="147">
        <f t="shared" si="0"/>
        <v>0</v>
      </c>
      <c r="F46" s="372"/>
      <c r="G46" s="373"/>
      <c r="H46" s="191" t="s">
        <v>80</v>
      </c>
      <c r="I46" s="144">
        <f>+SUMIF(Listrik!AC13,"&gt;0")</f>
        <v>36470.969999999048</v>
      </c>
      <c r="J46" s="139">
        <f>+I46+'5'!J46</f>
        <v>165327.77999999997</v>
      </c>
      <c r="K46" s="134" t="s">
        <v>81</v>
      </c>
      <c r="L46" s="443">
        <f>+Listrik!AF13</f>
        <v>1205</v>
      </c>
      <c r="M46" s="445">
        <f>+L46+'5'!M46</f>
        <v>51769</v>
      </c>
    </row>
    <row r="47" spans="1:14" ht="17.45" customHeight="1">
      <c r="A47" s="799" t="s">
        <v>82</v>
      </c>
      <c r="B47" s="800"/>
      <c r="C47" s="168">
        <f>SUMIF($G$7:$G$31,"Gas",$F$7:$F$31)</f>
        <v>0</v>
      </c>
      <c r="D47" s="122">
        <f>+C47+'5'!D47</f>
        <v>0</v>
      </c>
      <c r="E47" s="147">
        <f t="shared" si="0"/>
        <v>0</v>
      </c>
      <c r="F47" s="372"/>
      <c r="G47" s="373"/>
      <c r="H47" s="191" t="s">
        <v>83</v>
      </c>
      <c r="I47" s="122">
        <f>I46/I38</f>
        <v>862.15710841092732</v>
      </c>
      <c r="J47" s="139">
        <f>J46/J38</f>
        <v>686.59711868700492</v>
      </c>
      <c r="K47" s="134" t="s">
        <v>25</v>
      </c>
      <c r="L47" s="443">
        <f>+L46/I38</f>
        <v>28.485650796652642</v>
      </c>
      <c r="M47" s="444">
        <f>+M46/J38</f>
        <v>214.99379134775512</v>
      </c>
    </row>
    <row r="48" spans="1:14" ht="17.45" customHeight="1">
      <c r="A48" s="799" t="s">
        <v>15</v>
      </c>
      <c r="B48" s="800"/>
      <c r="C48" s="168">
        <f>SUMIF($G$7:$G$31,"Start Up",$F$7:$F$31)</f>
        <v>0</v>
      </c>
      <c r="D48" s="122">
        <f>+C48+'5'!D48</f>
        <v>0</v>
      </c>
      <c r="E48" s="147">
        <f t="shared" si="0"/>
        <v>0</v>
      </c>
      <c r="F48" s="372"/>
      <c r="G48" s="373"/>
      <c r="H48" s="191" t="s">
        <v>84</v>
      </c>
      <c r="I48" s="122">
        <f>I46/I40</f>
        <v>949.07281149159598</v>
      </c>
      <c r="J48" s="139">
        <f>J46/J40</f>
        <v>731.48059004150093</v>
      </c>
      <c r="K48" s="134" t="s">
        <v>25</v>
      </c>
      <c r="L48" s="443">
        <f>+L46/I38</f>
        <v>28.485650796652642</v>
      </c>
      <c r="M48" s="444">
        <f>+M46/J40</f>
        <v>229.04812891008677</v>
      </c>
    </row>
    <row r="49" spans="1:13" ht="17.45" customHeight="1">
      <c r="A49" s="799" t="s">
        <v>21</v>
      </c>
      <c r="B49" s="800"/>
      <c r="C49" s="168">
        <f>SUMIF($G$7:$G$31,"Others",$F$7:$F$31)</f>
        <v>0</v>
      </c>
      <c r="D49" s="122">
        <f>+C49+'5'!D49</f>
        <v>1440</v>
      </c>
      <c r="E49" s="147">
        <f t="shared" si="0"/>
        <v>24</v>
      </c>
      <c r="F49" s="188"/>
      <c r="H49" s="191" t="s">
        <v>170</v>
      </c>
      <c r="I49" s="122">
        <f>+Report1!AB14</f>
        <v>0</v>
      </c>
      <c r="J49" s="139">
        <f>+I49+'5'!J49</f>
        <v>0</v>
      </c>
      <c r="K49" s="134" t="s">
        <v>86</v>
      </c>
      <c r="L49" s="439"/>
      <c r="M49" s="440"/>
    </row>
    <row r="50" spans="1:13" ht="17.45" customHeight="1">
      <c r="A50" s="799" t="s">
        <v>20</v>
      </c>
      <c r="B50" s="800"/>
      <c r="C50" s="168">
        <f>SUMIF($G$7:$G$31,"Steam",$F$7:$F$31)</f>
        <v>0</v>
      </c>
      <c r="D50" s="122">
        <f>+C50+'5'!D50</f>
        <v>0</v>
      </c>
      <c r="E50" s="147">
        <f t="shared" si="0"/>
        <v>0</v>
      </c>
      <c r="F50" s="188"/>
      <c r="H50" s="191" t="s">
        <v>87</v>
      </c>
      <c r="I50" s="144">
        <f>I49/I38</f>
        <v>0</v>
      </c>
      <c r="J50" s="137">
        <f>J49/J38</f>
        <v>0</v>
      </c>
      <c r="K50" s="134" t="s">
        <v>86</v>
      </c>
      <c r="L50" s="439"/>
      <c r="M50" s="440"/>
    </row>
    <row r="51" spans="1:13" ht="17.45" customHeight="1" thickBot="1">
      <c r="A51" s="805" t="s">
        <v>88</v>
      </c>
      <c r="B51" s="806"/>
      <c r="C51" s="168">
        <f>SUMIF($G$7:$G$31,"Planned shut",$F$7:$F$31)</f>
        <v>0</v>
      </c>
      <c r="D51" s="122">
        <f>+C51+'5'!D51</f>
        <v>0</v>
      </c>
      <c r="E51" s="147">
        <f t="shared" si="0"/>
        <v>0</v>
      </c>
      <c r="F51" s="188"/>
      <c r="H51" s="193" t="s">
        <v>89</v>
      </c>
      <c r="I51" s="145">
        <f>I49/I40</f>
        <v>0</v>
      </c>
      <c r="J51" s="140">
        <f>J49/J40</f>
        <v>0</v>
      </c>
      <c r="K51" s="141" t="s">
        <v>86</v>
      </c>
      <c r="L51" s="439"/>
      <c r="M51" s="440"/>
    </row>
    <row r="52" spans="1:13" ht="13.5" thickBot="1">
      <c r="A52" s="803" t="s">
        <v>29</v>
      </c>
      <c r="B52" s="804"/>
      <c r="C52" s="148">
        <f>SUM(C38:C51)</f>
        <v>196</v>
      </c>
      <c r="D52" s="148">
        <f>SUM(D38:D51)</f>
        <v>2409</v>
      </c>
      <c r="E52" s="149">
        <f>SUM(E38:E51)</f>
        <v>40.15</v>
      </c>
      <c r="F52" s="188"/>
      <c r="H52" s="194"/>
      <c r="I52" s="195"/>
      <c r="J52" s="142"/>
      <c r="K52" s="143"/>
      <c r="L52" s="446"/>
      <c r="M52" s="447"/>
    </row>
    <row r="53" spans="1:13" ht="13.5" thickBot="1">
      <c r="A53" s="807"/>
      <c r="B53" s="808"/>
      <c r="C53" s="150">
        <f>C52/(24*60)</f>
        <v>0.1361111111111111</v>
      </c>
      <c r="D53" s="150">
        <f>D52/(24*60*G4)</f>
        <v>0.27881944444444445</v>
      </c>
      <c r="E53" s="151">
        <f>E52/(G4*24)</f>
        <v>0.27881944444444445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90</v>
      </c>
      <c r="B56" s="198"/>
      <c r="C56" s="199"/>
      <c r="D56" s="199"/>
      <c r="E56" s="199"/>
      <c r="F56" s="200"/>
      <c r="G56" s="199"/>
      <c r="H56" s="201"/>
      <c r="I56" s="202" t="s">
        <v>91</v>
      </c>
      <c r="J56" s="203">
        <f>+D34+'5'!J56</f>
        <v>5003</v>
      </c>
      <c r="K56" s="204">
        <f>J56/(J40+J56/1000)/1000</f>
        <v>2.1656039927106192E-2</v>
      </c>
    </row>
    <row r="57" spans="1:13">
      <c r="A57" s="179"/>
      <c r="I57" s="202" t="s">
        <v>92</v>
      </c>
      <c r="J57" s="203">
        <f>+E34+'5'!J57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48:B48"/>
    <mergeCell ref="A49:B49"/>
    <mergeCell ref="A50:B50"/>
    <mergeCell ref="A51:B51"/>
    <mergeCell ref="A41:B41"/>
    <mergeCell ref="A52:B52"/>
    <mergeCell ref="A53:B53"/>
    <mergeCell ref="A42:B42"/>
    <mergeCell ref="A43:B43"/>
    <mergeCell ref="A44:B44"/>
    <mergeCell ref="A45:B45"/>
    <mergeCell ref="A46:B46"/>
    <mergeCell ref="A47:B47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1" type="noConversion"/>
  <printOptions horizontalCentered="1"/>
  <pageMargins left="0.19513888888888889" right="0.19513888888888889" top="0.17" bottom="0.16" header="0" footer="0"/>
  <pageSetup paperSize="9" scale="62" firstPageNumber="4294963191" fitToWidth="3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R61"/>
  <sheetViews>
    <sheetView view="pageBreakPreview" zoomScale="80" zoomScaleNormal="75" zoomScaleSheetLayoutView="80" workbookViewId="0">
      <selection activeCell="A7" sqref="A7:A32"/>
    </sheetView>
  </sheetViews>
  <sheetFormatPr defaultColWidth="9.140625" defaultRowHeight="12.75"/>
  <cols>
    <col min="1" max="1" width="8" style="153" customWidth="1"/>
    <col min="2" max="2" width="7" style="153" bestFit="1" customWidth="1"/>
    <col min="3" max="3" width="14.85546875" style="153" bestFit="1" customWidth="1"/>
    <col min="4" max="4" width="12.5703125" style="153" bestFit="1" customWidth="1"/>
    <col min="5" max="5" width="13.85546875" style="153" bestFit="1" customWidth="1"/>
    <col min="6" max="6" width="12.140625" style="114" bestFit="1" customWidth="1"/>
    <col min="7" max="7" width="11.42578125" style="153" bestFit="1" customWidth="1"/>
    <col min="8" max="8" width="64.85546875" style="153" customWidth="1"/>
    <col min="9" max="9" width="14.7109375" style="153" bestFit="1" customWidth="1"/>
    <col min="10" max="10" width="20.140625" style="153" bestFit="1" customWidth="1"/>
    <col min="11" max="11" width="14" style="153" customWidth="1"/>
    <col min="12" max="12" width="8.28515625" style="153" customWidth="1"/>
    <col min="13" max="13" width="15.5703125" style="153" bestFit="1" customWidth="1"/>
    <col min="14" max="16384" width="9.140625" style="153"/>
  </cols>
  <sheetData>
    <row r="1" spans="1:16" ht="15.75">
      <c r="A1" s="152"/>
    </row>
    <row r="2" spans="1:16" ht="15.75">
      <c r="A2" s="152" t="s">
        <v>175</v>
      </c>
    </row>
    <row r="3" spans="1:16" ht="15">
      <c r="A3" s="154"/>
    </row>
    <row r="4" spans="1:16" ht="20.25">
      <c r="A4" s="155" t="s">
        <v>4</v>
      </c>
      <c r="B4" s="156"/>
      <c r="F4" s="157" t="s">
        <v>31</v>
      </c>
      <c r="G4" s="158">
        <v>5</v>
      </c>
      <c r="H4" s="158" t="str">
        <f>+'1'!H4</f>
        <v>.12.25</v>
      </c>
    </row>
    <row r="5" spans="1:16" ht="13.5" thickBot="1">
      <c r="C5" s="159"/>
      <c r="D5" s="159"/>
    </row>
    <row r="6" spans="1:16" ht="26.25" thickBot="1">
      <c r="A6" s="160" t="s">
        <v>50</v>
      </c>
      <c r="B6" s="161" t="s">
        <v>10</v>
      </c>
      <c r="C6" s="161" t="s">
        <v>51</v>
      </c>
      <c r="D6" s="161" t="s">
        <v>52</v>
      </c>
      <c r="E6" s="162" t="s">
        <v>53</v>
      </c>
      <c r="F6" s="106" t="s">
        <v>54</v>
      </c>
      <c r="G6" s="161" t="s">
        <v>55</v>
      </c>
      <c r="H6" s="163" t="s">
        <v>56</v>
      </c>
      <c r="I6" s="164" t="s">
        <v>57</v>
      </c>
      <c r="J6" s="165" t="s">
        <v>10</v>
      </c>
      <c r="K6" s="166" t="s">
        <v>58</v>
      </c>
      <c r="L6" s="213" t="s">
        <v>143</v>
      </c>
      <c r="M6" s="167" t="s">
        <v>59</v>
      </c>
      <c r="N6" s="153">
        <f>286+334</f>
        <v>620</v>
      </c>
    </row>
    <row r="7" spans="1:16" ht="13.5" customHeight="1" thickBot="1">
      <c r="A7" s="789" t="s">
        <v>414</v>
      </c>
      <c r="B7" s="218" t="s">
        <v>487</v>
      </c>
      <c r="C7" s="219">
        <v>1001</v>
      </c>
      <c r="D7" s="220"/>
      <c r="E7" s="221"/>
      <c r="F7" s="230"/>
      <c r="G7" s="231" t="s">
        <v>13</v>
      </c>
      <c r="H7" s="232" t="s">
        <v>395</v>
      </c>
      <c r="I7" s="792" t="s">
        <v>437</v>
      </c>
      <c r="J7" s="217" t="str">
        <f>+'4'!J7</f>
        <v>TW 38 RC BR</v>
      </c>
      <c r="K7" s="240"/>
      <c r="L7" s="244"/>
      <c r="M7" s="121">
        <f>+K7+'4'!M7+L7</f>
        <v>78513</v>
      </c>
    </row>
    <row r="8" spans="1:16" ht="13.5" thickBot="1">
      <c r="A8" s="790"/>
      <c r="B8" s="218"/>
      <c r="C8" s="219"/>
      <c r="D8" s="220"/>
      <c r="E8" s="222"/>
      <c r="F8" s="233">
        <v>2</v>
      </c>
      <c r="G8" s="578" t="s">
        <v>13</v>
      </c>
      <c r="H8" s="232" t="s">
        <v>454</v>
      </c>
      <c r="I8" s="793"/>
      <c r="J8" s="217" t="str">
        <f>+'4'!J8</f>
        <v>TW 36 RC BR</v>
      </c>
      <c r="K8" s="241"/>
      <c r="L8" s="241"/>
      <c r="M8" s="121">
        <f>+K8+'4'!M8+L8</f>
        <v>1530</v>
      </c>
      <c r="N8" s="153">
        <v>700</v>
      </c>
      <c r="O8" s="153">
        <f>+N8-N8*0.14</f>
        <v>602</v>
      </c>
      <c r="P8" s="153">
        <f>480-285</f>
        <v>195</v>
      </c>
    </row>
    <row r="9" spans="1:16" ht="13.5" thickBot="1">
      <c r="A9" s="790"/>
      <c r="B9" s="218"/>
      <c r="C9" s="219"/>
      <c r="D9" s="220"/>
      <c r="E9" s="223"/>
      <c r="F9" s="230">
        <v>10</v>
      </c>
      <c r="G9" s="578" t="s">
        <v>13</v>
      </c>
      <c r="H9" s="235" t="s">
        <v>226</v>
      </c>
      <c r="I9" s="793"/>
      <c r="J9" s="217" t="str">
        <f>+'4'!J9</f>
        <v>N 20 RC BR</v>
      </c>
      <c r="K9" s="241"/>
      <c r="L9" s="241"/>
      <c r="M9" s="121">
        <f>+K9+'4'!M9+L9</f>
        <v>74204</v>
      </c>
    </row>
    <row r="10" spans="1:16" ht="51.75" thickBot="1">
      <c r="A10" s="790"/>
      <c r="B10" s="218"/>
      <c r="C10" s="219"/>
      <c r="D10" s="220"/>
      <c r="E10" s="222"/>
      <c r="F10" s="230">
        <f>240+45</f>
        <v>285</v>
      </c>
      <c r="G10" s="578" t="s">
        <v>71</v>
      </c>
      <c r="H10" s="235" t="s">
        <v>485</v>
      </c>
      <c r="I10" s="793"/>
      <c r="J10" s="217" t="s">
        <v>487</v>
      </c>
      <c r="K10" s="241">
        <f>+C34</f>
        <v>33343</v>
      </c>
      <c r="L10" s="241"/>
      <c r="M10" s="121">
        <f>+K10+'4'!M10+L10</f>
        <v>33343</v>
      </c>
    </row>
    <row r="11" spans="1:16" ht="13.5" thickBot="1">
      <c r="A11" s="790"/>
      <c r="B11" s="218"/>
      <c r="C11" s="219"/>
      <c r="D11" s="220"/>
      <c r="E11" s="222"/>
      <c r="F11" s="230"/>
      <c r="G11" s="234"/>
      <c r="H11" s="235" t="s">
        <v>474</v>
      </c>
      <c r="I11" s="793"/>
      <c r="J11" s="217">
        <f>+'4'!J11</f>
        <v>0</v>
      </c>
      <c r="K11" s="241"/>
      <c r="L11" s="241"/>
      <c r="M11" s="121">
        <f>+K11+'4'!M11+L11</f>
        <v>0</v>
      </c>
    </row>
    <row r="12" spans="1:16" ht="13.5" thickBot="1">
      <c r="A12" s="790"/>
      <c r="B12" s="218"/>
      <c r="C12" s="219"/>
      <c r="D12" s="220"/>
      <c r="E12" s="222"/>
      <c r="F12" s="230"/>
      <c r="G12" s="234"/>
      <c r="H12" s="235" t="s">
        <v>478</v>
      </c>
      <c r="I12" s="793"/>
      <c r="J12" s="217">
        <f>+'4'!J12</f>
        <v>0</v>
      </c>
      <c r="K12" s="241"/>
      <c r="L12" s="241"/>
      <c r="M12" s="121">
        <f>+K12+'4'!M12+L12</f>
        <v>0</v>
      </c>
    </row>
    <row r="13" spans="1:16" ht="13.5" thickBot="1">
      <c r="A13" s="790"/>
      <c r="B13" s="218"/>
      <c r="C13" s="219"/>
      <c r="D13" s="219"/>
      <c r="E13" s="222"/>
      <c r="F13" s="230"/>
      <c r="G13" s="234"/>
      <c r="H13" s="235" t="s">
        <v>475</v>
      </c>
      <c r="I13" s="794"/>
      <c r="J13" s="217">
        <f>+'4'!J13</f>
        <v>0</v>
      </c>
      <c r="K13" s="241"/>
      <c r="L13" s="241"/>
      <c r="M13" s="121">
        <f>+K13+'4'!M13+L13</f>
        <v>0</v>
      </c>
    </row>
    <row r="14" spans="1:16" ht="13.5" thickBot="1">
      <c r="A14" s="791"/>
      <c r="B14" s="169" t="s">
        <v>3</v>
      </c>
      <c r="C14" s="103">
        <f>SUM(C7:C13)</f>
        <v>1001</v>
      </c>
      <c r="D14" s="115">
        <f>SUM(D7:D13)</f>
        <v>0</v>
      </c>
      <c r="E14" s="116">
        <f>SUM(E5:E13)</f>
        <v>0</v>
      </c>
      <c r="F14" s="106">
        <f>SUM(F6:F13)</f>
        <v>297</v>
      </c>
      <c r="G14" s="163"/>
      <c r="H14" s="170"/>
      <c r="I14" s="171"/>
      <c r="J14" s="217">
        <f>+'4'!J14</f>
        <v>0</v>
      </c>
      <c r="K14" s="241"/>
      <c r="L14" s="241"/>
      <c r="M14" s="121">
        <f>+K14+'4'!M14+L14</f>
        <v>0</v>
      </c>
    </row>
    <row r="15" spans="1:16" ht="13.5" customHeight="1" thickBot="1">
      <c r="A15" s="789" t="s">
        <v>486</v>
      </c>
      <c r="B15" s="169"/>
      <c r="C15" s="117">
        <f>C14/($C$23+$D$23+$E$23)</f>
        <v>6.5928999538958047E-2</v>
      </c>
      <c r="D15" s="118">
        <f>D14/($C$23+$D$23+$E$23)</f>
        <v>0</v>
      </c>
      <c r="E15" s="119">
        <f>E14/($C$23+$D$23+$E$23)</f>
        <v>0</v>
      </c>
      <c r="F15" s="230">
        <v>2</v>
      </c>
      <c r="G15" s="231" t="s">
        <v>13</v>
      </c>
      <c r="H15" s="232" t="s">
        <v>392</v>
      </c>
      <c r="I15" s="792" t="s">
        <v>481</v>
      </c>
      <c r="J15" s="217">
        <f>+'4'!J15</f>
        <v>0</v>
      </c>
      <c r="K15" s="241"/>
      <c r="L15" s="241"/>
      <c r="M15" s="121">
        <f>+K15+'4'!M15+L15</f>
        <v>0</v>
      </c>
    </row>
    <row r="16" spans="1:16" ht="13.5" thickBot="1">
      <c r="A16" s="795"/>
      <c r="B16" s="218" t="s">
        <v>487</v>
      </c>
      <c r="C16" s="224">
        <v>14645</v>
      </c>
      <c r="D16" s="225">
        <v>538</v>
      </c>
      <c r="E16" s="226"/>
      <c r="F16" s="233">
        <v>2</v>
      </c>
      <c r="G16" s="578" t="s">
        <v>13</v>
      </c>
      <c r="H16" s="232" t="s">
        <v>393</v>
      </c>
      <c r="I16" s="793"/>
      <c r="J16" s="217">
        <f>+'4'!J16</f>
        <v>0</v>
      </c>
      <c r="K16" s="231"/>
      <c r="L16" s="231"/>
      <c r="M16" s="121">
        <f>+K16+'4'!M16+L16</f>
        <v>0</v>
      </c>
    </row>
    <row r="17" spans="1:18" ht="13.5" thickBot="1">
      <c r="A17" s="795"/>
      <c r="B17" s="218"/>
      <c r="C17" s="219"/>
      <c r="D17" s="220"/>
      <c r="E17" s="227"/>
      <c r="F17" s="230">
        <v>6</v>
      </c>
      <c r="G17" s="578" t="s">
        <v>13</v>
      </c>
      <c r="H17" s="235" t="s">
        <v>226</v>
      </c>
      <c r="I17" s="793"/>
      <c r="J17" s="217">
        <f>+'4'!J17</f>
        <v>0</v>
      </c>
      <c r="K17" s="231"/>
      <c r="L17" s="231"/>
      <c r="M17" s="121">
        <f>+K17+'4'!M17+L17</f>
        <v>0</v>
      </c>
      <c r="N17" s="153">
        <v>800</v>
      </c>
      <c r="O17" s="153">
        <f>+N17-N17*0.14</f>
        <v>688</v>
      </c>
      <c r="P17" s="153">
        <v>480</v>
      </c>
    </row>
    <row r="18" spans="1:18" ht="13.5" thickBot="1">
      <c r="A18" s="795"/>
      <c r="B18" s="218"/>
      <c r="C18" s="219"/>
      <c r="D18" s="220"/>
      <c r="E18" s="227"/>
      <c r="F18" s="230"/>
      <c r="G18" s="578"/>
      <c r="H18" s="235" t="s">
        <v>479</v>
      </c>
      <c r="I18" s="793"/>
      <c r="J18" s="217">
        <f>+'4'!J18</f>
        <v>0</v>
      </c>
      <c r="K18" s="241"/>
      <c r="L18" s="241"/>
      <c r="M18" s="121">
        <f>+K18+'4'!M18+L18</f>
        <v>0</v>
      </c>
    </row>
    <row r="19" spans="1:18" ht="39" thickBot="1">
      <c r="A19" s="795"/>
      <c r="B19" s="218"/>
      <c r="C19" s="219"/>
      <c r="D19" s="220"/>
      <c r="E19" s="227"/>
      <c r="F19" s="237"/>
      <c r="G19" s="234"/>
      <c r="H19" s="235" t="s">
        <v>476</v>
      </c>
      <c r="I19" s="793"/>
      <c r="J19" s="217">
        <f>+'4'!J19</f>
        <v>0</v>
      </c>
      <c r="K19" s="241"/>
      <c r="L19" s="241"/>
      <c r="M19" s="121">
        <f>+K19+'4'!M19+L19</f>
        <v>0</v>
      </c>
    </row>
    <row r="20" spans="1:18" ht="13.5" thickBot="1">
      <c r="A20" s="795"/>
      <c r="B20" s="218"/>
      <c r="C20" s="219"/>
      <c r="D20" s="220"/>
      <c r="E20" s="227"/>
      <c r="F20" s="230"/>
      <c r="G20" s="234"/>
      <c r="H20" s="235"/>
      <c r="I20" s="793"/>
      <c r="J20" s="217">
        <f>+'4'!J20</f>
        <v>0</v>
      </c>
      <c r="K20" s="242"/>
      <c r="L20" s="242"/>
      <c r="M20" s="121">
        <f>+K20+'4'!M20+L20</f>
        <v>0</v>
      </c>
    </row>
    <row r="21" spans="1:18" ht="13.5" thickBot="1">
      <c r="A21" s="795"/>
      <c r="B21" s="218"/>
      <c r="C21" s="219"/>
      <c r="D21" s="220"/>
      <c r="E21" s="227"/>
      <c r="F21" s="233"/>
      <c r="G21" s="234"/>
      <c r="H21" s="235"/>
      <c r="I21" s="793"/>
      <c r="J21" s="217">
        <f>+'4'!J21</f>
        <v>0</v>
      </c>
      <c r="K21" s="241"/>
      <c r="L21" s="241"/>
      <c r="M21" s="121">
        <f>+K21+'4'!M21+L21</f>
        <v>0</v>
      </c>
    </row>
    <row r="22" spans="1:18" ht="13.5" thickBot="1">
      <c r="A22" s="795"/>
      <c r="B22" s="218"/>
      <c r="C22" s="219"/>
      <c r="D22" s="220"/>
      <c r="E22" s="227"/>
      <c r="F22" s="238"/>
      <c r="G22" s="234"/>
      <c r="H22" s="235"/>
      <c r="I22" s="794"/>
      <c r="J22" s="217">
        <f>+'4'!J22</f>
        <v>0</v>
      </c>
      <c r="K22" s="241"/>
      <c r="L22" s="241"/>
      <c r="M22" s="121">
        <f>+K22+'4'!M22+L22</f>
        <v>0</v>
      </c>
    </row>
    <row r="23" spans="1:18" ht="13.5" thickBot="1">
      <c r="A23" s="796"/>
      <c r="B23" s="169" t="s">
        <v>3</v>
      </c>
      <c r="C23" s="104">
        <f>SUM(C16:C22)</f>
        <v>14645</v>
      </c>
      <c r="D23" s="115">
        <f>SUM(D16:D22)</f>
        <v>538</v>
      </c>
      <c r="E23" s="116">
        <f>SUM(E18:E22)</f>
        <v>0</v>
      </c>
      <c r="F23" s="106">
        <f>SUM(F15:F22)</f>
        <v>10</v>
      </c>
      <c r="G23" s="163"/>
      <c r="H23" s="170"/>
      <c r="I23" s="172"/>
      <c r="J23" s="217">
        <f>+'4'!J23</f>
        <v>0</v>
      </c>
      <c r="K23" s="241"/>
      <c r="L23" s="241"/>
      <c r="M23" s="121">
        <f>+K23+'4'!M23+L23</f>
        <v>0</v>
      </c>
    </row>
    <row r="24" spans="1:18" ht="13.5" customHeight="1" thickBot="1">
      <c r="A24" s="789" t="s">
        <v>413</v>
      </c>
      <c r="B24" s="173"/>
      <c r="C24" s="117">
        <f>C23/($C$23+$D$23+$E$23)</f>
        <v>0.96456563261542516</v>
      </c>
      <c r="D24" s="118">
        <f>D23/($C$23+$D$23+$E$23)</f>
        <v>3.5434367384574852E-2</v>
      </c>
      <c r="E24" s="119">
        <f>E23/($C$23+$D$23+$E$23)</f>
        <v>0</v>
      </c>
      <c r="F24" s="230"/>
      <c r="G24" s="231" t="s">
        <v>13</v>
      </c>
      <c r="H24" s="232" t="s">
        <v>395</v>
      </c>
      <c r="I24" s="792" t="s">
        <v>482</v>
      </c>
      <c r="J24" s="217">
        <f>+'4'!J24</f>
        <v>0</v>
      </c>
      <c r="K24" s="241"/>
      <c r="L24" s="241"/>
      <c r="M24" s="121">
        <f>+K24+'4'!M24+L24</f>
        <v>0</v>
      </c>
    </row>
    <row r="25" spans="1:18" ht="13.5" thickBot="1">
      <c r="A25" s="795"/>
      <c r="B25" s="218" t="s">
        <v>487</v>
      </c>
      <c r="C25" s="228">
        <v>17697</v>
      </c>
      <c r="D25" s="220"/>
      <c r="E25" s="227"/>
      <c r="F25" s="233">
        <v>5</v>
      </c>
      <c r="G25" s="578" t="s">
        <v>13</v>
      </c>
      <c r="H25" s="232" t="s">
        <v>393</v>
      </c>
      <c r="I25" s="793"/>
      <c r="J25" s="217">
        <f>+'4'!J25</f>
        <v>0</v>
      </c>
      <c r="K25" s="241"/>
      <c r="L25" s="241"/>
      <c r="M25" s="121">
        <f>+K25+'4'!M25+L25</f>
        <v>0</v>
      </c>
      <c r="N25" s="153">
        <v>820</v>
      </c>
      <c r="O25" s="153">
        <f>+N25-N25*0.14</f>
        <v>705.2</v>
      </c>
      <c r="P25" s="153">
        <f>60+26</f>
        <v>86</v>
      </c>
      <c r="Q25" s="153">
        <f>+N25*P25</f>
        <v>70520</v>
      </c>
      <c r="R25" s="153">
        <f>+O25*P25</f>
        <v>60647.200000000004</v>
      </c>
    </row>
    <row r="26" spans="1:18" ht="13.5" thickBot="1">
      <c r="A26" s="795"/>
      <c r="B26" s="218"/>
      <c r="C26" s="228"/>
      <c r="D26" s="220"/>
      <c r="E26" s="229"/>
      <c r="F26" s="230">
        <v>10</v>
      </c>
      <c r="G26" s="578" t="s">
        <v>13</v>
      </c>
      <c r="H26" s="235" t="s">
        <v>226</v>
      </c>
      <c r="I26" s="793"/>
      <c r="J26" s="217">
        <f>+'4'!J26</f>
        <v>0</v>
      </c>
      <c r="K26" s="241"/>
      <c r="L26" s="241"/>
      <c r="M26" s="121">
        <f>+K26+'4'!M26+L26</f>
        <v>0</v>
      </c>
      <c r="N26" s="153">
        <v>830</v>
      </c>
      <c r="O26" s="153">
        <f>+N26-N26*0.14</f>
        <v>713.8</v>
      </c>
      <c r="P26" s="153">
        <f>480-P25</f>
        <v>394</v>
      </c>
      <c r="Q26" s="153">
        <f>+N26*P26</f>
        <v>327020</v>
      </c>
      <c r="R26" s="153">
        <f>+O26*P26</f>
        <v>281237.19999999995</v>
      </c>
    </row>
    <row r="27" spans="1:18" ht="13.5" thickBot="1">
      <c r="A27" s="795"/>
      <c r="B27" s="218"/>
      <c r="C27" s="219"/>
      <c r="D27" s="220"/>
      <c r="E27" s="227"/>
      <c r="F27" s="230"/>
      <c r="G27" s="578"/>
      <c r="H27" s="235" t="s">
        <v>480</v>
      </c>
      <c r="I27" s="793"/>
      <c r="J27" s="217">
        <f>+'4'!J27</f>
        <v>0</v>
      </c>
      <c r="K27" s="241"/>
      <c r="L27" s="241"/>
      <c r="M27" s="121">
        <f>+K27+'4'!M27+L27</f>
        <v>0</v>
      </c>
      <c r="P27" s="153">
        <f>SUM(P25:P26)</f>
        <v>480</v>
      </c>
      <c r="Q27" s="153">
        <f>SUM(Q25:Q26)</f>
        <v>397540</v>
      </c>
      <c r="R27" s="153">
        <f>SUM(R25:R26)</f>
        <v>341884.39999999997</v>
      </c>
    </row>
    <row r="28" spans="1:18" ht="13.5" thickBot="1">
      <c r="A28" s="795"/>
      <c r="B28" s="218"/>
      <c r="C28" s="219"/>
      <c r="D28" s="220"/>
      <c r="E28" s="227"/>
      <c r="F28" s="233"/>
      <c r="G28" s="234"/>
      <c r="H28" s="235" t="s">
        <v>477</v>
      </c>
      <c r="I28" s="793"/>
      <c r="J28" s="217">
        <f>+'4'!J28</f>
        <v>0</v>
      </c>
      <c r="K28" s="241"/>
      <c r="L28" s="241"/>
      <c r="M28" s="121">
        <f>+K28+'4'!M28+L28</f>
        <v>0</v>
      </c>
      <c r="Q28" s="153">
        <f>+Q27/P27</f>
        <v>828.20833333333337</v>
      </c>
      <c r="R28" s="153">
        <f>+R27/P27</f>
        <v>712.2591666666666</v>
      </c>
    </row>
    <row r="29" spans="1:18" ht="13.5" thickBot="1">
      <c r="A29" s="795"/>
      <c r="B29" s="218"/>
      <c r="C29" s="219"/>
      <c r="D29" s="220"/>
      <c r="E29" s="227"/>
      <c r="F29" s="238"/>
      <c r="G29" s="234"/>
      <c r="H29" s="235"/>
      <c r="I29" s="793"/>
      <c r="J29" s="217">
        <f>+'4'!J29</f>
        <v>0</v>
      </c>
      <c r="K29" s="241"/>
      <c r="L29" s="241"/>
      <c r="M29" s="121">
        <f>+K29+'4'!M29+L29</f>
        <v>0</v>
      </c>
    </row>
    <row r="30" spans="1:18" ht="13.5" thickBot="1">
      <c r="A30" s="795"/>
      <c r="B30" s="218"/>
      <c r="C30" s="228"/>
      <c r="D30" s="220"/>
      <c r="E30" s="227"/>
      <c r="F30" s="238"/>
      <c r="G30" s="234"/>
      <c r="H30" s="235"/>
      <c r="I30" s="793"/>
      <c r="J30" s="217">
        <f>+'4'!J30</f>
        <v>0</v>
      </c>
      <c r="K30" s="241"/>
      <c r="L30" s="241"/>
      <c r="M30" s="121">
        <f>+K30+'4'!M30+L30</f>
        <v>0</v>
      </c>
      <c r="N30" s="159"/>
    </row>
    <row r="31" spans="1:18" ht="13.5" thickBot="1">
      <c r="A31" s="795"/>
      <c r="B31" s="218"/>
      <c r="C31" s="228"/>
      <c r="D31" s="220"/>
      <c r="E31" s="227"/>
      <c r="F31" s="238"/>
      <c r="G31" s="239"/>
      <c r="H31" s="236"/>
      <c r="I31" s="794"/>
      <c r="J31" s="217">
        <f>+'4'!J31</f>
        <v>0</v>
      </c>
      <c r="K31" s="241"/>
      <c r="L31" s="241"/>
      <c r="M31" s="121">
        <f>+K31+'4'!M31+L31</f>
        <v>0</v>
      </c>
    </row>
    <row r="32" spans="1:18" ht="13.5" thickBot="1">
      <c r="A32" s="796"/>
      <c r="B32" s="169" t="s">
        <v>3</v>
      </c>
      <c r="C32" s="103">
        <f>SUM(C25:C31)</f>
        <v>17697</v>
      </c>
      <c r="D32" s="104">
        <f>SUM(D25:D31)</f>
        <v>0</v>
      </c>
      <c r="E32" s="105">
        <f>SUM(E25:E31)</f>
        <v>0</v>
      </c>
      <c r="F32" s="106">
        <f>SUM(F24:F31)</f>
        <v>15</v>
      </c>
      <c r="G32" s="174"/>
      <c r="H32" s="175"/>
      <c r="I32" s="172"/>
      <c r="J32" s="217">
        <f>+'4'!J32</f>
        <v>0</v>
      </c>
      <c r="K32" s="243"/>
      <c r="L32" s="245"/>
      <c r="M32" s="121">
        <f>+K32+'4'!M32+L32</f>
        <v>0</v>
      </c>
    </row>
    <row r="33" spans="1:14" ht="13.5" thickBot="1">
      <c r="A33" s="176"/>
      <c r="B33" s="177"/>
      <c r="C33" s="107">
        <f>C32/($C$32+$D$32+$E$32)</f>
        <v>1</v>
      </c>
      <c r="D33" s="108">
        <f>D32/($C$32+$D$32+$E$32)</f>
        <v>0</v>
      </c>
      <c r="E33" s="109">
        <f>E32/($C$32+$D$32+$E$32)</f>
        <v>0</v>
      </c>
      <c r="F33" s="110"/>
      <c r="G33" s="178"/>
      <c r="H33" s="179"/>
      <c r="I33" s="180"/>
      <c r="J33" s="125"/>
      <c r="K33" s="126"/>
      <c r="L33" s="216"/>
      <c r="M33" s="123"/>
    </row>
    <row r="34" spans="1:14" ht="13.5" thickBot="1">
      <c r="A34" s="797" t="s">
        <v>60</v>
      </c>
      <c r="B34" s="798"/>
      <c r="C34" s="111">
        <f>C14+C23+C32</f>
        <v>33343</v>
      </c>
      <c r="D34" s="111">
        <f>D14+D23+D32</f>
        <v>538</v>
      </c>
      <c r="E34" s="111">
        <f>E14+E23+E32</f>
        <v>0</v>
      </c>
      <c r="F34" s="112">
        <f>F14+F23+F32</f>
        <v>322</v>
      </c>
      <c r="H34" s="181"/>
      <c r="I34" s="181"/>
      <c r="J34" s="127" t="s">
        <v>29</v>
      </c>
      <c r="K34" s="128">
        <f>SUM(K7:K32)</f>
        <v>33343</v>
      </c>
      <c r="L34" s="215">
        <f>SUM(L7:L32)</f>
        <v>0</v>
      </c>
      <c r="M34" s="124">
        <f>SUM(M7:M32)</f>
        <v>187590</v>
      </c>
      <c r="N34" s="159"/>
    </row>
    <row r="35" spans="1:14" ht="13.5" thickBot="1">
      <c r="A35" s="182"/>
      <c r="B35" s="183"/>
      <c r="C35" s="108">
        <f>C34/($C$34+$D$34+$E$34)</f>
        <v>0.98412089371624212</v>
      </c>
      <c r="D35" s="108">
        <f>D34/($C$34+$D$34+$E$34)</f>
        <v>1.5879106283757858E-2</v>
      </c>
      <c r="E35" s="113">
        <f>E34/($C$34+$D$34+$E$34)</f>
        <v>0</v>
      </c>
      <c r="K35" s="159"/>
      <c r="L35" s="788" t="s">
        <v>186</v>
      </c>
      <c r="M35" s="788"/>
    </row>
    <row r="36" spans="1:14" ht="13.5" thickBot="1">
      <c r="A36" s="181"/>
      <c r="B36" s="181"/>
      <c r="C36" s="159"/>
      <c r="D36" s="159"/>
      <c r="E36" s="159"/>
      <c r="G36" s="159"/>
      <c r="H36" s="184"/>
      <c r="I36" s="166" t="s">
        <v>42</v>
      </c>
      <c r="J36" s="166" t="s">
        <v>43</v>
      </c>
      <c r="K36" s="185"/>
      <c r="L36" s="166" t="s">
        <v>42</v>
      </c>
      <c r="M36" s="166" t="s">
        <v>43</v>
      </c>
    </row>
    <row r="37" spans="1:14" ht="17.45" customHeight="1" thickBot="1">
      <c r="A37" s="801" t="s">
        <v>61</v>
      </c>
      <c r="B37" s="802"/>
      <c r="C37" s="166" t="s">
        <v>62</v>
      </c>
      <c r="D37" s="186" t="s">
        <v>63</v>
      </c>
      <c r="E37" s="187" t="s">
        <v>64</v>
      </c>
      <c r="F37" s="372"/>
      <c r="G37" s="374"/>
      <c r="H37" s="189" t="s">
        <v>65</v>
      </c>
      <c r="I37" s="246">
        <f>(17*1155)/1155*G42*3.4*1155/1000000</f>
        <v>45.633932319999992</v>
      </c>
      <c r="J37" s="129">
        <f>+I37+'4'!J37</f>
        <v>216.78996379865166</v>
      </c>
      <c r="K37" s="130" t="s">
        <v>66</v>
      </c>
      <c r="L37" s="437"/>
      <c r="M37" s="438"/>
    </row>
    <row r="38" spans="1:14" ht="17.45" customHeight="1">
      <c r="A38" s="803" t="s">
        <v>13</v>
      </c>
      <c r="B38" s="804"/>
      <c r="C38" s="168">
        <f>SUMIF($G$7:$G$31,"Process",$F$7:$F$31)</f>
        <v>37</v>
      </c>
      <c r="D38" s="122">
        <f>+C38+'4'!D38</f>
        <v>123</v>
      </c>
      <c r="E38" s="147">
        <f t="shared" ref="E38:E51" si="0">D38/60</f>
        <v>2.0499999999999998</v>
      </c>
      <c r="F38" s="372">
        <v>700</v>
      </c>
      <c r="G38" s="372">
        <v>602</v>
      </c>
      <c r="H38" s="190" t="s">
        <v>67</v>
      </c>
      <c r="I38" s="559">
        <f>4.865+16.623+17.948</f>
        <v>39.436</v>
      </c>
      <c r="J38" s="131">
        <f>+I38+'4'!J38</f>
        <v>198.49100000000001</v>
      </c>
      <c r="K38" s="132" t="s">
        <v>66</v>
      </c>
      <c r="L38" s="439"/>
      <c r="M38" s="440"/>
    </row>
    <row r="39" spans="1:14" ht="17.45" customHeight="1">
      <c r="A39" s="799" t="s">
        <v>14</v>
      </c>
      <c r="B39" s="800"/>
      <c r="C39" s="168">
        <f>SUMIF($G$7:$G$31,"Cleaning",$F$7:$F$31)</f>
        <v>0</v>
      </c>
      <c r="D39" s="122">
        <f>+C39+'4'!D39</f>
        <v>0</v>
      </c>
      <c r="E39" s="147">
        <f t="shared" si="0"/>
        <v>0</v>
      </c>
      <c r="F39" s="372">
        <v>800</v>
      </c>
      <c r="G39" s="372">
        <v>688</v>
      </c>
      <c r="H39" s="190" t="s">
        <v>68</v>
      </c>
      <c r="I39" s="146"/>
      <c r="J39" s="133">
        <f>J37/G4</f>
        <v>43.35799275973033</v>
      </c>
      <c r="K39" s="134" t="s">
        <v>66</v>
      </c>
      <c r="L39" s="439"/>
      <c r="M39" s="440"/>
    </row>
    <row r="40" spans="1:14" ht="17.45" customHeight="1">
      <c r="A40" s="799" t="s">
        <v>69</v>
      </c>
      <c r="B40" s="800"/>
      <c r="C40" s="168">
        <f>SUMIF($G$7:$G$31,"Mechanical",$F$7:$F$31)</f>
        <v>0</v>
      </c>
      <c r="D40" s="122">
        <f>+C40+'4'!D40</f>
        <v>260</v>
      </c>
      <c r="E40" s="147">
        <f t="shared" si="0"/>
        <v>4.333333333333333</v>
      </c>
      <c r="F40" s="372">
        <v>828.20833333333337</v>
      </c>
      <c r="G40" s="372">
        <v>712.2591666666666</v>
      </c>
      <c r="H40" s="190" t="s">
        <v>70</v>
      </c>
      <c r="I40" s="122">
        <f>(K34+L34)/1000</f>
        <v>33.343000000000004</v>
      </c>
      <c r="J40" s="135">
        <f>+I40+'4'!J40</f>
        <v>187.59000000000003</v>
      </c>
      <c r="K40" s="134" t="s">
        <v>66</v>
      </c>
      <c r="L40" s="439"/>
      <c r="M40" s="440"/>
    </row>
    <row r="41" spans="1:14" ht="17.45" customHeight="1">
      <c r="A41" s="799" t="s">
        <v>71</v>
      </c>
      <c r="B41" s="800"/>
      <c r="C41" s="168">
        <f>SUMIF($G$7:$G$31,"Electrical",$F$7:$F$31)</f>
        <v>285</v>
      </c>
      <c r="D41" s="122">
        <f>+C41+'4'!D41</f>
        <v>285</v>
      </c>
      <c r="E41" s="147">
        <f t="shared" si="0"/>
        <v>4.75</v>
      </c>
      <c r="F41" s="372"/>
      <c r="G41" s="372"/>
      <c r="H41" s="190" t="s">
        <v>72</v>
      </c>
      <c r="I41" s="146"/>
      <c r="J41" s="133">
        <f>J40/G4</f>
        <v>37.518000000000008</v>
      </c>
      <c r="K41" s="134" t="s">
        <v>66</v>
      </c>
      <c r="L41" s="439"/>
      <c r="M41" s="440"/>
    </row>
    <row r="42" spans="1:14" ht="17.45" customHeight="1">
      <c r="A42" s="799" t="s">
        <v>17</v>
      </c>
      <c r="B42" s="800"/>
      <c r="C42" s="168">
        <f>SUMIF($G$7:$G$31,"Instrument",$F$7:$F$31)</f>
        <v>0</v>
      </c>
      <c r="D42" s="122">
        <f>+C42+'4'!D42</f>
        <v>0</v>
      </c>
      <c r="E42" s="147">
        <f t="shared" si="0"/>
        <v>0</v>
      </c>
      <c r="F42" s="372">
        <f>+(F38*195+F39*480+F40*480)/1155</f>
        <v>794.83982683982686</v>
      </c>
      <c r="G42" s="372">
        <f>+(G38*195+G39*480+G40*480)/1155</f>
        <v>683.56225108225101</v>
      </c>
      <c r="H42" s="190" t="s">
        <v>73</v>
      </c>
      <c r="I42" s="248" t="s">
        <v>483</v>
      </c>
      <c r="J42" s="136"/>
      <c r="K42" s="134" t="s">
        <v>74</v>
      </c>
      <c r="L42" s="439"/>
      <c r="M42" s="440"/>
    </row>
    <row r="43" spans="1:14" ht="17.45" customHeight="1">
      <c r="A43" s="799" t="s">
        <v>75</v>
      </c>
      <c r="B43" s="800"/>
      <c r="C43" s="168">
        <f>SUMIF($G$7:$G$31,"Water",$F$7:$F$31)</f>
        <v>0</v>
      </c>
      <c r="D43" s="122">
        <f>+C43+'4'!D43</f>
        <v>0</v>
      </c>
      <c r="E43" s="147">
        <f t="shared" si="0"/>
        <v>0</v>
      </c>
      <c r="F43" s="372"/>
      <c r="G43" s="373"/>
      <c r="H43" s="191" t="s">
        <v>76</v>
      </c>
      <c r="I43" s="122">
        <f>+Report1!AH13</f>
        <v>109.386</v>
      </c>
      <c r="J43" s="137">
        <f>+I43+'4'!J43</f>
        <v>446.65300000000002</v>
      </c>
      <c r="K43" s="134" t="s">
        <v>66</v>
      </c>
      <c r="L43" s="441">
        <f>+Report1!AN13</f>
        <v>7.5</v>
      </c>
      <c r="M43" s="442">
        <f>+L43+'4'!M43</f>
        <v>53.3</v>
      </c>
    </row>
    <row r="44" spans="1:14" ht="17.45" customHeight="1">
      <c r="A44" s="799" t="s">
        <v>18</v>
      </c>
      <c r="B44" s="800"/>
      <c r="C44" s="168">
        <f>SUMIF($G$7:$G$31,"PLN",$F$7:$F$31)</f>
        <v>0</v>
      </c>
      <c r="D44" s="122">
        <f>+C44+'4'!D44</f>
        <v>105</v>
      </c>
      <c r="E44" s="147">
        <f t="shared" si="0"/>
        <v>1.75</v>
      </c>
      <c r="F44" s="372"/>
      <c r="G44" s="373"/>
      <c r="H44" s="191" t="s">
        <v>77</v>
      </c>
      <c r="I44" s="122">
        <f>I43/I38</f>
        <v>2.7737600162288265</v>
      </c>
      <c r="J44" s="138">
        <f>J43/J38</f>
        <v>2.2502430840693028</v>
      </c>
      <c r="K44" s="134" t="s">
        <v>66</v>
      </c>
      <c r="L44" s="443">
        <f>+L43/I38</f>
        <v>0.1901815599959428</v>
      </c>
      <c r="M44" s="444">
        <f>+M43/J38</f>
        <v>0.26852602888795962</v>
      </c>
    </row>
    <row r="45" spans="1:14" ht="17.45" customHeight="1">
      <c r="A45" s="799" t="s">
        <v>19</v>
      </c>
      <c r="B45" s="800"/>
      <c r="C45" s="168">
        <f>SUMIF($G$7:$G$31,"Boiler",$F$7:$F$31)</f>
        <v>0</v>
      </c>
      <c r="D45" s="122">
        <f>+C45+'4'!D45</f>
        <v>0</v>
      </c>
      <c r="E45" s="147">
        <f t="shared" si="0"/>
        <v>0</v>
      </c>
      <c r="F45" s="372"/>
      <c r="G45" s="375"/>
      <c r="H45" s="191" t="s">
        <v>78</v>
      </c>
      <c r="I45" s="122">
        <f>I43/I40</f>
        <v>3.2806286177008661</v>
      </c>
      <c r="J45" s="138">
        <f>J43/J40</f>
        <v>2.3810064502372192</v>
      </c>
      <c r="K45" s="134" t="s">
        <v>66</v>
      </c>
      <c r="L45" s="443">
        <f>+L43/I40</f>
        <v>0.22493476891701406</v>
      </c>
      <c r="M45" s="444">
        <f>+M43/J40</f>
        <v>0.28413028413028407</v>
      </c>
    </row>
    <row r="46" spans="1:14" ht="17.45" customHeight="1">
      <c r="A46" s="799" t="s">
        <v>79</v>
      </c>
      <c r="B46" s="800"/>
      <c r="C46" s="168">
        <f>SUMIF($G$7:$G$31,"Gas",$F$7:$F$31)</f>
        <v>0</v>
      </c>
      <c r="D46" s="122">
        <f>+C46+'4'!D46</f>
        <v>0</v>
      </c>
      <c r="E46" s="147">
        <f t="shared" si="0"/>
        <v>0</v>
      </c>
      <c r="F46" s="372"/>
      <c r="G46" s="373"/>
      <c r="H46" s="191" t="s">
        <v>80</v>
      </c>
      <c r="I46" s="144">
        <f>+SUMIF(Listrik!AC12,"&gt;0")</f>
        <v>31737.23000000128</v>
      </c>
      <c r="J46" s="139">
        <f>+I46+'4'!J46</f>
        <v>128856.81000000091</v>
      </c>
      <c r="K46" s="134" t="s">
        <v>81</v>
      </c>
      <c r="L46" s="443">
        <f>+Listrik!AF12</f>
        <v>1280</v>
      </c>
      <c r="M46" s="445">
        <f>+L46+'4'!M46</f>
        <v>50564</v>
      </c>
    </row>
    <row r="47" spans="1:14" ht="17.45" customHeight="1">
      <c r="A47" s="799" t="s">
        <v>82</v>
      </c>
      <c r="B47" s="800"/>
      <c r="C47" s="168">
        <f>SUMIF($G$7:$G$31,"Gas",$F$7:$F$31)</f>
        <v>0</v>
      </c>
      <c r="D47" s="122">
        <f>+C47+'4'!D47</f>
        <v>0</v>
      </c>
      <c r="E47" s="147">
        <f t="shared" si="0"/>
        <v>0</v>
      </c>
      <c r="F47" s="372"/>
      <c r="G47" s="373"/>
      <c r="H47" s="191" t="s">
        <v>83</v>
      </c>
      <c r="I47" s="122">
        <f>I46/I38</f>
        <v>804.77812151337048</v>
      </c>
      <c r="J47" s="139">
        <f>J46/J38</f>
        <v>649.18212916455104</v>
      </c>
      <c r="K47" s="134" t="s">
        <v>25</v>
      </c>
      <c r="L47" s="443">
        <f>+L46/I38</f>
        <v>32.457652905974236</v>
      </c>
      <c r="M47" s="444">
        <f>+M46/J38</f>
        <v>254.74202860583097</v>
      </c>
    </row>
    <row r="48" spans="1:14" ht="17.45" customHeight="1">
      <c r="A48" s="799" t="s">
        <v>15</v>
      </c>
      <c r="B48" s="800"/>
      <c r="C48" s="168">
        <f>SUMIF($G$7:$G$31,"Start Up",$F$7:$F$31)</f>
        <v>0</v>
      </c>
      <c r="D48" s="122">
        <f>+C48+'4'!D48</f>
        <v>0</v>
      </c>
      <c r="E48" s="147">
        <f t="shared" si="0"/>
        <v>0</v>
      </c>
      <c r="F48" s="372"/>
      <c r="G48" s="373"/>
      <c r="H48" s="191" t="s">
        <v>84</v>
      </c>
      <c r="I48" s="122">
        <f>I46/I40</f>
        <v>951.84086614885518</v>
      </c>
      <c r="J48" s="139">
        <f>J46/J40</f>
        <v>686.90660482968656</v>
      </c>
      <c r="K48" s="134" t="s">
        <v>25</v>
      </c>
      <c r="L48" s="443">
        <f>+L46/I38</f>
        <v>32.457652905974236</v>
      </c>
      <c r="M48" s="444">
        <f>+M46/J40</f>
        <v>269.54528492990028</v>
      </c>
    </row>
    <row r="49" spans="1:13" ht="17.45" customHeight="1">
      <c r="A49" s="799" t="s">
        <v>21</v>
      </c>
      <c r="B49" s="800"/>
      <c r="C49" s="168">
        <f>SUMIF($G$7:$G$31,"Others",$F$7:$F$31)</f>
        <v>0</v>
      </c>
      <c r="D49" s="122">
        <f>+C49+'4'!D49</f>
        <v>1440</v>
      </c>
      <c r="E49" s="147">
        <f t="shared" si="0"/>
        <v>24</v>
      </c>
      <c r="F49" s="188"/>
      <c r="H49" s="191" t="s">
        <v>170</v>
      </c>
      <c r="I49" s="122">
        <f>+Report1!AB13</f>
        <v>0</v>
      </c>
      <c r="J49" s="139">
        <f>+I49+'4'!J49</f>
        <v>0</v>
      </c>
      <c r="K49" s="134" t="s">
        <v>86</v>
      </c>
      <c r="L49" s="439"/>
      <c r="M49" s="440"/>
    </row>
    <row r="50" spans="1:13" ht="17.45" customHeight="1">
      <c r="A50" s="799" t="s">
        <v>20</v>
      </c>
      <c r="B50" s="800"/>
      <c r="C50" s="168">
        <f>SUMIF($G$7:$G$31,"Steam",$F$7:$F$31)</f>
        <v>0</v>
      </c>
      <c r="D50" s="122">
        <f>+C50+'4'!D50</f>
        <v>0</v>
      </c>
      <c r="E50" s="147">
        <f t="shared" si="0"/>
        <v>0</v>
      </c>
      <c r="F50" s="188"/>
      <c r="H50" s="191" t="s">
        <v>87</v>
      </c>
      <c r="I50" s="144">
        <f>I49/I38</f>
        <v>0</v>
      </c>
      <c r="J50" s="137">
        <f>J49/J38</f>
        <v>0</v>
      </c>
      <c r="K50" s="134" t="s">
        <v>86</v>
      </c>
      <c r="L50" s="439"/>
      <c r="M50" s="440"/>
    </row>
    <row r="51" spans="1:13" ht="17.45" customHeight="1" thickBot="1">
      <c r="A51" s="805" t="s">
        <v>88</v>
      </c>
      <c r="B51" s="806"/>
      <c r="C51" s="168">
        <f>SUMIF($G$7:$G$31,"Planned shut",$F$7:$F$31)</f>
        <v>0</v>
      </c>
      <c r="D51" s="122">
        <f>+C51+'4'!D51</f>
        <v>0</v>
      </c>
      <c r="E51" s="147">
        <f t="shared" si="0"/>
        <v>0</v>
      </c>
      <c r="F51" s="188"/>
      <c r="H51" s="193" t="s">
        <v>89</v>
      </c>
      <c r="I51" s="145">
        <f>I49/I40</f>
        <v>0</v>
      </c>
      <c r="J51" s="140">
        <f>J49/J40</f>
        <v>0</v>
      </c>
      <c r="K51" s="141" t="s">
        <v>86</v>
      </c>
      <c r="L51" s="439"/>
      <c r="M51" s="440"/>
    </row>
    <row r="52" spans="1:13" ht="13.5" thickBot="1">
      <c r="A52" s="803" t="s">
        <v>29</v>
      </c>
      <c r="B52" s="804"/>
      <c r="C52" s="148">
        <f>SUM(C38:C51)</f>
        <v>322</v>
      </c>
      <c r="D52" s="148">
        <f>SUM(D38:D51)</f>
        <v>2213</v>
      </c>
      <c r="E52" s="149">
        <f>SUM(E38:E51)</f>
        <v>36.883333333333333</v>
      </c>
      <c r="F52" s="188"/>
      <c r="H52" s="194"/>
      <c r="I52" s="195"/>
      <c r="J52" s="142"/>
      <c r="K52" s="143"/>
      <c r="L52" s="446"/>
      <c r="M52" s="447"/>
    </row>
    <row r="53" spans="1:13" ht="13.5" thickBot="1">
      <c r="A53" s="807"/>
      <c r="B53" s="808"/>
      <c r="C53" s="150">
        <f>C52/(24*60)</f>
        <v>0.22361111111111112</v>
      </c>
      <c r="D53" s="150">
        <f>D52/(24*60*G4)</f>
        <v>0.30736111111111108</v>
      </c>
      <c r="E53" s="151">
        <f>E52/(G4*24)</f>
        <v>0.30736111111111108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90</v>
      </c>
      <c r="B56" s="198"/>
      <c r="C56" s="199"/>
      <c r="D56" s="199"/>
      <c r="E56" s="199"/>
      <c r="F56" s="200"/>
      <c r="G56" s="199"/>
      <c r="H56" s="201"/>
      <c r="I56" s="202" t="s">
        <v>91</v>
      </c>
      <c r="J56" s="203">
        <f>+D34+'4'!J56</f>
        <v>3153</v>
      </c>
      <c r="K56" s="204">
        <f>J56/(J40+J56/1000)/1000</f>
        <v>1.6530095468772113E-2</v>
      </c>
    </row>
    <row r="57" spans="1:13">
      <c r="A57" s="179"/>
      <c r="I57" s="202" t="s">
        <v>92</v>
      </c>
      <c r="J57" s="203">
        <f>+E34+'4'!J57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48:B48"/>
    <mergeCell ref="A49:B49"/>
    <mergeCell ref="A50:B50"/>
    <mergeCell ref="A51:B51"/>
    <mergeCell ref="A41:B41"/>
    <mergeCell ref="A52:B52"/>
    <mergeCell ref="A53:B53"/>
    <mergeCell ref="A42:B42"/>
    <mergeCell ref="A43:B43"/>
    <mergeCell ref="A44:B44"/>
    <mergeCell ref="A45:B45"/>
    <mergeCell ref="A46:B46"/>
    <mergeCell ref="A47:B47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1" type="noConversion"/>
  <printOptions horizontalCentered="1"/>
  <pageMargins left="0.17" right="0.16" top="0.17" bottom="0.14027777777777778" header="0" footer="0"/>
  <pageSetup paperSize="9" scale="59" firstPageNumber="4294963191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N61"/>
  <sheetViews>
    <sheetView view="pageBreakPreview" zoomScale="80" zoomScaleNormal="75" zoomScaleSheetLayoutView="80" workbookViewId="0">
      <selection activeCell="A7" sqref="A7:B32"/>
    </sheetView>
  </sheetViews>
  <sheetFormatPr defaultColWidth="9.140625" defaultRowHeight="12.75"/>
  <cols>
    <col min="1" max="1" width="8" style="153" customWidth="1"/>
    <col min="2" max="2" width="7" style="153" bestFit="1" customWidth="1"/>
    <col min="3" max="3" width="14.85546875" style="153" bestFit="1" customWidth="1"/>
    <col min="4" max="4" width="12.5703125" style="153" bestFit="1" customWidth="1"/>
    <col min="5" max="5" width="13.85546875" style="153" bestFit="1" customWidth="1"/>
    <col min="6" max="6" width="12.140625" style="114" bestFit="1" customWidth="1"/>
    <col min="7" max="7" width="11.42578125" style="153" bestFit="1" customWidth="1"/>
    <col min="8" max="8" width="64.85546875" style="153" customWidth="1"/>
    <col min="9" max="9" width="14.7109375" style="153" bestFit="1" customWidth="1"/>
    <col min="10" max="10" width="20.140625" style="153" bestFit="1" customWidth="1"/>
    <col min="11" max="11" width="14" style="153" bestFit="1" customWidth="1"/>
    <col min="12" max="12" width="8.28515625" style="153" customWidth="1"/>
    <col min="13" max="13" width="14.5703125" style="153" bestFit="1" customWidth="1"/>
    <col min="14" max="16384" width="9.140625" style="153"/>
  </cols>
  <sheetData>
    <row r="1" spans="1:13" ht="15.75">
      <c r="A1" s="152"/>
    </row>
    <row r="2" spans="1:13" ht="15.75">
      <c r="A2" s="152" t="s">
        <v>175</v>
      </c>
    </row>
    <row r="3" spans="1:13" ht="15">
      <c r="A3" s="154"/>
    </row>
    <row r="4" spans="1:13" ht="20.25">
      <c r="A4" s="155" t="s">
        <v>4</v>
      </c>
      <c r="B4" s="156"/>
      <c r="F4" s="157" t="s">
        <v>31</v>
      </c>
      <c r="G4" s="158">
        <v>4</v>
      </c>
      <c r="H4" s="158" t="str">
        <f>+'5'!H4</f>
        <v>.12.25</v>
      </c>
    </row>
    <row r="5" spans="1:13" ht="13.5" thickBot="1">
      <c r="C5" s="159"/>
      <c r="D5" s="159"/>
    </row>
    <row r="6" spans="1:13" ht="26.25" thickBot="1">
      <c r="A6" s="160" t="s">
        <v>50</v>
      </c>
      <c r="B6" s="161" t="s">
        <v>10</v>
      </c>
      <c r="C6" s="161" t="s">
        <v>51</v>
      </c>
      <c r="D6" s="161" t="s">
        <v>52</v>
      </c>
      <c r="E6" s="162" t="s">
        <v>53</v>
      </c>
      <c r="F6" s="106" t="s">
        <v>54</v>
      </c>
      <c r="G6" s="161" t="s">
        <v>55</v>
      </c>
      <c r="H6" s="163" t="s">
        <v>56</v>
      </c>
      <c r="I6" s="164" t="s">
        <v>57</v>
      </c>
      <c r="J6" s="165" t="s">
        <v>10</v>
      </c>
      <c r="K6" s="166" t="s">
        <v>58</v>
      </c>
      <c r="L6" s="213" t="s">
        <v>143</v>
      </c>
      <c r="M6" s="167" t="s">
        <v>59</v>
      </c>
    </row>
    <row r="7" spans="1:13" ht="13.5" customHeight="1" thickBot="1">
      <c r="A7" s="789" t="s">
        <v>414</v>
      </c>
      <c r="B7" s="218" t="s">
        <v>447</v>
      </c>
      <c r="C7" s="219"/>
      <c r="D7" s="220"/>
      <c r="E7" s="221"/>
      <c r="F7" s="230"/>
      <c r="G7" s="231" t="s">
        <v>13</v>
      </c>
      <c r="H7" s="232" t="s">
        <v>395</v>
      </c>
      <c r="I7" s="792"/>
      <c r="J7" s="217" t="str">
        <f>+'3'!J7</f>
        <v>TW 38 RC BR</v>
      </c>
      <c r="K7" s="240"/>
      <c r="L7" s="244"/>
      <c r="M7" s="121">
        <f>+K7+'3'!M7+L7</f>
        <v>78513</v>
      </c>
    </row>
    <row r="8" spans="1:13" ht="13.5" thickBot="1">
      <c r="A8" s="790"/>
      <c r="B8" s="218"/>
      <c r="C8" s="219"/>
      <c r="D8" s="220"/>
      <c r="E8" s="222"/>
      <c r="F8" s="233"/>
      <c r="G8" s="578" t="s">
        <v>13</v>
      </c>
      <c r="H8" s="232" t="s">
        <v>424</v>
      </c>
      <c r="I8" s="793"/>
      <c r="J8" s="217" t="str">
        <f>+'3'!J8</f>
        <v>TW 36 RC BR</v>
      </c>
      <c r="K8" s="241"/>
      <c r="L8" s="241"/>
      <c r="M8" s="121">
        <f>+K8+'3'!M8+L8</f>
        <v>1530</v>
      </c>
    </row>
    <row r="9" spans="1:13" ht="13.5" thickBot="1">
      <c r="A9" s="790"/>
      <c r="B9" s="218"/>
      <c r="C9" s="219"/>
      <c r="D9" s="220"/>
      <c r="E9" s="223"/>
      <c r="F9" s="230"/>
      <c r="G9" s="578" t="s">
        <v>13</v>
      </c>
      <c r="H9" s="235" t="s">
        <v>226</v>
      </c>
      <c r="I9" s="793"/>
      <c r="J9" s="217" t="str">
        <f>+'3'!J9</f>
        <v>N 20 RC BR</v>
      </c>
      <c r="K9" s="241"/>
      <c r="L9" s="241"/>
      <c r="M9" s="121">
        <f>+K9+'3'!M9+L9</f>
        <v>74204</v>
      </c>
    </row>
    <row r="10" spans="1:13" ht="51.75" thickBot="1">
      <c r="A10" s="790"/>
      <c r="B10" s="218"/>
      <c r="C10" s="219"/>
      <c r="D10" s="220"/>
      <c r="E10" s="222"/>
      <c r="F10" s="230">
        <v>480</v>
      </c>
      <c r="G10" s="578" t="s">
        <v>21</v>
      </c>
      <c r="H10" s="235" t="s">
        <v>460</v>
      </c>
      <c r="I10" s="793"/>
      <c r="J10" s="217">
        <f>+'3'!J10</f>
        <v>0</v>
      </c>
      <c r="K10" s="241"/>
      <c r="L10" s="241"/>
      <c r="M10" s="121">
        <f>+K10+'3'!M10+L10</f>
        <v>0</v>
      </c>
    </row>
    <row r="11" spans="1:13" ht="39" thickBot="1">
      <c r="A11" s="790"/>
      <c r="B11" s="218"/>
      <c r="C11" s="219"/>
      <c r="D11" s="220"/>
      <c r="E11" s="222"/>
      <c r="F11" s="230"/>
      <c r="G11" s="234"/>
      <c r="H11" s="235" t="s">
        <v>461</v>
      </c>
      <c r="I11" s="793"/>
      <c r="J11" s="217">
        <f>+'3'!J11</f>
        <v>0</v>
      </c>
      <c r="K11" s="241"/>
      <c r="L11" s="241"/>
      <c r="M11" s="121">
        <f>+K11+'3'!M11+L11</f>
        <v>0</v>
      </c>
    </row>
    <row r="12" spans="1:13" ht="39" thickBot="1">
      <c r="A12" s="790"/>
      <c r="B12" s="218"/>
      <c r="C12" s="219"/>
      <c r="D12" s="220"/>
      <c r="E12" s="222"/>
      <c r="F12" s="230"/>
      <c r="G12" s="234"/>
      <c r="H12" s="235" t="s">
        <v>462</v>
      </c>
      <c r="I12" s="793"/>
      <c r="J12" s="217">
        <f>+'3'!J12</f>
        <v>0</v>
      </c>
      <c r="K12" s="241"/>
      <c r="L12" s="241"/>
      <c r="M12" s="121">
        <f>+K12+'3'!M12+L12</f>
        <v>0</v>
      </c>
    </row>
    <row r="13" spans="1:13" ht="13.5" thickBot="1">
      <c r="A13" s="790"/>
      <c r="B13" s="218"/>
      <c r="C13" s="219"/>
      <c r="D13" s="219"/>
      <c r="E13" s="222"/>
      <c r="F13" s="230"/>
      <c r="G13" s="234"/>
      <c r="H13" s="235"/>
      <c r="I13" s="794"/>
      <c r="J13" s="217">
        <f>+'3'!J13</f>
        <v>0</v>
      </c>
      <c r="K13" s="241"/>
      <c r="L13" s="241"/>
      <c r="M13" s="121">
        <f>+K13+'3'!M13+L13</f>
        <v>0</v>
      </c>
    </row>
    <row r="14" spans="1:13" ht="13.5" thickBot="1">
      <c r="A14" s="791"/>
      <c r="B14" s="169" t="s">
        <v>3</v>
      </c>
      <c r="C14" s="103">
        <f>SUM(C7:C13)</f>
        <v>0</v>
      </c>
      <c r="D14" s="115">
        <f>SUM(D7:D13)</f>
        <v>0</v>
      </c>
      <c r="E14" s="116">
        <f>SUM(E5:E13)</f>
        <v>0</v>
      </c>
      <c r="F14" s="106">
        <f>SUM(F6:F13)</f>
        <v>480</v>
      </c>
      <c r="G14" s="163"/>
      <c r="H14" s="170"/>
      <c r="I14" s="171"/>
      <c r="J14" s="217">
        <f>+'3'!J14</f>
        <v>0</v>
      </c>
      <c r="K14" s="241"/>
      <c r="L14" s="241"/>
      <c r="M14" s="121">
        <f>+K14+'3'!M14+L14</f>
        <v>0</v>
      </c>
    </row>
    <row r="15" spans="1:13" ht="13.5" customHeight="1" thickBot="1">
      <c r="A15" s="789" t="s">
        <v>415</v>
      </c>
      <c r="B15" s="169"/>
      <c r="C15" s="117" t="e">
        <f>C14/($C$23+$D$23+$E$23)</f>
        <v>#DIV/0!</v>
      </c>
      <c r="D15" s="118" t="e">
        <f>D14/($C$23+$D$23+$E$23)</f>
        <v>#DIV/0!</v>
      </c>
      <c r="E15" s="119" t="e">
        <f>E14/($C$23+$D$23+$E$23)</f>
        <v>#DIV/0!</v>
      </c>
      <c r="F15" s="230"/>
      <c r="G15" s="231" t="s">
        <v>13</v>
      </c>
      <c r="H15" s="232" t="s">
        <v>395</v>
      </c>
      <c r="I15" s="792"/>
      <c r="J15" s="217">
        <f>+'3'!J15</f>
        <v>0</v>
      </c>
      <c r="K15" s="241"/>
      <c r="L15" s="241"/>
      <c r="M15" s="121">
        <f>+K15+'3'!M15+L15</f>
        <v>0</v>
      </c>
    </row>
    <row r="16" spans="1:13" ht="13.5" thickBot="1">
      <c r="A16" s="795"/>
      <c r="B16" s="218" t="s">
        <v>447</v>
      </c>
      <c r="C16" s="224"/>
      <c r="D16" s="225"/>
      <c r="E16" s="226"/>
      <c r="F16" s="233"/>
      <c r="G16" s="578" t="s">
        <v>13</v>
      </c>
      <c r="H16" s="232" t="s">
        <v>424</v>
      </c>
      <c r="I16" s="793"/>
      <c r="J16" s="217">
        <f>+'3'!J16</f>
        <v>0</v>
      </c>
      <c r="K16" s="231"/>
      <c r="L16" s="231"/>
      <c r="M16" s="121">
        <f>+K16+'3'!M16+L16</f>
        <v>0</v>
      </c>
    </row>
    <row r="17" spans="1:14" ht="13.5" thickBot="1">
      <c r="A17" s="795"/>
      <c r="B17" s="218"/>
      <c r="C17" s="219"/>
      <c r="D17" s="220"/>
      <c r="E17" s="227"/>
      <c r="F17" s="230"/>
      <c r="G17" s="578" t="s">
        <v>13</v>
      </c>
      <c r="H17" s="235" t="s">
        <v>226</v>
      </c>
      <c r="I17" s="793"/>
      <c r="J17" s="217">
        <f>+'3'!J17</f>
        <v>0</v>
      </c>
      <c r="K17" s="231"/>
      <c r="L17" s="231"/>
      <c r="M17" s="121">
        <f>+K17+'3'!M17+L17</f>
        <v>0</v>
      </c>
    </row>
    <row r="18" spans="1:14" ht="13.5" thickBot="1">
      <c r="A18" s="795"/>
      <c r="B18" s="218"/>
      <c r="C18" s="219"/>
      <c r="D18" s="220"/>
      <c r="E18" s="227"/>
      <c r="F18" s="230">
        <v>480</v>
      </c>
      <c r="G18" s="578" t="s">
        <v>21</v>
      </c>
      <c r="H18" s="235" t="s">
        <v>466</v>
      </c>
      <c r="I18" s="793"/>
      <c r="J18" s="217">
        <f>+'3'!J18</f>
        <v>0</v>
      </c>
      <c r="K18" s="241"/>
      <c r="L18" s="241"/>
      <c r="M18" s="121">
        <f>+K18+'3'!M18+L18</f>
        <v>0</v>
      </c>
    </row>
    <row r="19" spans="1:14" ht="13.5" thickBot="1">
      <c r="A19" s="795"/>
      <c r="B19" s="218"/>
      <c r="C19" s="219"/>
      <c r="D19" s="220"/>
      <c r="E19" s="227"/>
      <c r="F19" s="237"/>
      <c r="G19" s="234"/>
      <c r="H19" s="235" t="s">
        <v>463</v>
      </c>
      <c r="I19" s="793"/>
      <c r="J19" s="217">
        <f>+'3'!J19</f>
        <v>0</v>
      </c>
      <c r="K19" s="241"/>
      <c r="L19" s="241"/>
      <c r="M19" s="121">
        <f>+K19+'3'!M19+L19</f>
        <v>0</v>
      </c>
    </row>
    <row r="20" spans="1:14" ht="13.5" thickBot="1">
      <c r="A20" s="795"/>
      <c r="B20" s="218"/>
      <c r="C20" s="219"/>
      <c r="D20" s="220"/>
      <c r="E20" s="227"/>
      <c r="F20" s="230"/>
      <c r="G20" s="234"/>
      <c r="H20" s="235" t="s">
        <v>464</v>
      </c>
      <c r="I20" s="793"/>
      <c r="J20" s="217">
        <f>+'3'!J20</f>
        <v>0</v>
      </c>
      <c r="K20" s="242"/>
      <c r="L20" s="242"/>
      <c r="M20" s="121">
        <f>+K20+'3'!M20+L20</f>
        <v>0</v>
      </c>
    </row>
    <row r="21" spans="1:14" ht="13.5" thickBot="1">
      <c r="A21" s="795"/>
      <c r="B21" s="218"/>
      <c r="C21" s="219"/>
      <c r="D21" s="220"/>
      <c r="E21" s="227"/>
      <c r="F21" s="233"/>
      <c r="G21" s="234"/>
      <c r="H21" s="235" t="s">
        <v>465</v>
      </c>
      <c r="I21" s="793"/>
      <c r="J21" s="217">
        <f>+'3'!J21</f>
        <v>0</v>
      </c>
      <c r="K21" s="241"/>
      <c r="L21" s="241"/>
      <c r="M21" s="121">
        <f>+K21+'3'!M21+L21</f>
        <v>0</v>
      </c>
    </row>
    <row r="22" spans="1:14" ht="13.5" thickBot="1">
      <c r="A22" s="795"/>
      <c r="B22" s="218"/>
      <c r="C22" s="219"/>
      <c r="D22" s="220"/>
      <c r="E22" s="227"/>
      <c r="F22" s="238"/>
      <c r="G22" s="234"/>
      <c r="H22" s="235"/>
      <c r="I22" s="794"/>
      <c r="J22" s="217">
        <f>+'3'!J22</f>
        <v>0</v>
      </c>
      <c r="K22" s="241"/>
      <c r="L22" s="241"/>
      <c r="M22" s="121">
        <f>+K22+'3'!M22+L22</f>
        <v>0</v>
      </c>
    </row>
    <row r="23" spans="1:14" ht="13.5" thickBot="1">
      <c r="A23" s="796"/>
      <c r="B23" s="169" t="s">
        <v>3</v>
      </c>
      <c r="C23" s="104">
        <f>SUM(C16:C22)</f>
        <v>0</v>
      </c>
      <c r="D23" s="115">
        <f>SUM(D16:D22)</f>
        <v>0</v>
      </c>
      <c r="E23" s="116">
        <f>SUM(E18:E22)</f>
        <v>0</v>
      </c>
      <c r="F23" s="106">
        <f>SUM(F15:F22)</f>
        <v>480</v>
      </c>
      <c r="G23" s="163"/>
      <c r="H23" s="170"/>
      <c r="I23" s="172"/>
      <c r="J23" s="217">
        <f>+'3'!J23</f>
        <v>0</v>
      </c>
      <c r="K23" s="241"/>
      <c r="L23" s="241"/>
      <c r="M23" s="121">
        <f>+K23+'3'!M23+L23</f>
        <v>0</v>
      </c>
    </row>
    <row r="24" spans="1:14" ht="13.5" customHeight="1" thickBot="1">
      <c r="A24" s="789" t="s">
        <v>413</v>
      </c>
      <c r="B24" s="173"/>
      <c r="C24" s="117" t="e">
        <f>C23/($C$23+$D$23+$E$23)</f>
        <v>#DIV/0!</v>
      </c>
      <c r="D24" s="118" t="e">
        <f>D23/($C$23+$D$23+$E$23)</f>
        <v>#DIV/0!</v>
      </c>
      <c r="E24" s="119" t="e">
        <f>E23/($C$23+$D$23+$E$23)</f>
        <v>#DIV/0!</v>
      </c>
      <c r="F24" s="230"/>
      <c r="G24" s="231" t="s">
        <v>13</v>
      </c>
      <c r="H24" s="232" t="s">
        <v>395</v>
      </c>
      <c r="I24" s="792"/>
      <c r="J24" s="217">
        <f>+'3'!J24</f>
        <v>0</v>
      </c>
      <c r="K24" s="241"/>
      <c r="L24" s="241"/>
      <c r="M24" s="121">
        <f>+K24+'3'!M24+L24</f>
        <v>0</v>
      </c>
    </row>
    <row r="25" spans="1:14" ht="13.5" thickBot="1">
      <c r="A25" s="795"/>
      <c r="B25" s="218" t="s">
        <v>447</v>
      </c>
      <c r="C25" s="228"/>
      <c r="D25" s="220"/>
      <c r="E25" s="227"/>
      <c r="F25" s="233"/>
      <c r="G25" s="578" t="s">
        <v>13</v>
      </c>
      <c r="H25" s="232" t="s">
        <v>424</v>
      </c>
      <c r="I25" s="793"/>
      <c r="J25" s="217">
        <f>+'3'!J25</f>
        <v>0</v>
      </c>
      <c r="K25" s="241"/>
      <c r="L25" s="241"/>
      <c r="M25" s="121">
        <f>+K25+'3'!M25+L25</f>
        <v>0</v>
      </c>
    </row>
    <row r="26" spans="1:14" ht="13.5" thickBot="1">
      <c r="A26" s="795"/>
      <c r="B26" s="218"/>
      <c r="C26" s="228"/>
      <c r="D26" s="220"/>
      <c r="E26" s="229"/>
      <c r="F26" s="230"/>
      <c r="G26" s="578" t="s">
        <v>13</v>
      </c>
      <c r="H26" s="235" t="s">
        <v>226</v>
      </c>
      <c r="I26" s="793"/>
      <c r="J26" s="217">
        <f>+'3'!J26</f>
        <v>0</v>
      </c>
      <c r="K26" s="241"/>
      <c r="L26" s="241"/>
      <c r="M26" s="121">
        <f>+K26+'3'!M26+L26</f>
        <v>0</v>
      </c>
    </row>
    <row r="27" spans="1:14" ht="64.5" thickBot="1">
      <c r="A27" s="795"/>
      <c r="B27" s="218"/>
      <c r="C27" s="219"/>
      <c r="D27" s="220"/>
      <c r="E27" s="227"/>
      <c r="F27" s="230">
        <f>480-260</f>
        <v>220</v>
      </c>
      <c r="G27" s="578" t="s">
        <v>21</v>
      </c>
      <c r="H27" s="235" t="s">
        <v>467</v>
      </c>
      <c r="I27" s="793"/>
      <c r="J27" s="217">
        <f>+'3'!J27</f>
        <v>0</v>
      </c>
      <c r="K27" s="241"/>
      <c r="L27" s="241"/>
      <c r="M27" s="121">
        <f>+K27+'3'!M27+L27</f>
        <v>0</v>
      </c>
    </row>
    <row r="28" spans="1:14" ht="26.25" thickBot="1">
      <c r="A28" s="795"/>
      <c r="B28" s="218"/>
      <c r="C28" s="219"/>
      <c r="D28" s="220"/>
      <c r="E28" s="227"/>
      <c r="F28" s="233"/>
      <c r="G28" s="234"/>
      <c r="H28" s="235" t="s">
        <v>468</v>
      </c>
      <c r="I28" s="793"/>
      <c r="J28" s="217">
        <f>+'3'!J28</f>
        <v>0</v>
      </c>
      <c r="K28" s="241"/>
      <c r="L28" s="241"/>
      <c r="M28" s="121">
        <f>+K28+'3'!M28+L28</f>
        <v>0</v>
      </c>
    </row>
    <row r="29" spans="1:14" ht="39" thickBot="1">
      <c r="A29" s="795"/>
      <c r="B29" s="218"/>
      <c r="C29" s="219"/>
      <c r="D29" s="220"/>
      <c r="E29" s="227"/>
      <c r="F29" s="238">
        <v>260</v>
      </c>
      <c r="G29" s="234" t="s">
        <v>69</v>
      </c>
      <c r="H29" s="235" t="s">
        <v>469</v>
      </c>
      <c r="I29" s="793"/>
      <c r="J29" s="217">
        <f>+'3'!J29</f>
        <v>0</v>
      </c>
      <c r="K29" s="241"/>
      <c r="L29" s="241"/>
      <c r="M29" s="121">
        <f>+K29+'3'!M29+L29</f>
        <v>0</v>
      </c>
    </row>
    <row r="30" spans="1:14" ht="13.5" thickBot="1">
      <c r="A30" s="795"/>
      <c r="B30" s="218"/>
      <c r="C30" s="228"/>
      <c r="D30" s="220"/>
      <c r="E30" s="227"/>
      <c r="F30" s="238"/>
      <c r="G30" s="234"/>
      <c r="H30" s="235" t="s">
        <v>470</v>
      </c>
      <c r="I30" s="793"/>
      <c r="J30" s="217">
        <f>+'3'!J30</f>
        <v>0</v>
      </c>
      <c r="K30" s="241"/>
      <c r="L30" s="241"/>
      <c r="M30" s="121">
        <f>+K30+'3'!M30+L30</f>
        <v>0</v>
      </c>
      <c r="N30" s="159"/>
    </row>
    <row r="31" spans="1:14" ht="13.5" thickBot="1">
      <c r="A31" s="795"/>
      <c r="B31" s="218"/>
      <c r="C31" s="228"/>
      <c r="D31" s="220"/>
      <c r="E31" s="227"/>
      <c r="F31" s="238"/>
      <c r="G31" s="239"/>
      <c r="H31" s="584" t="s">
        <v>471</v>
      </c>
      <c r="I31" s="794"/>
      <c r="J31" s="217">
        <f>+'3'!J31</f>
        <v>0</v>
      </c>
      <c r="K31" s="241"/>
      <c r="L31" s="241"/>
      <c r="M31" s="121">
        <f>+K31+'3'!M31+L31</f>
        <v>0</v>
      </c>
    </row>
    <row r="32" spans="1:14" ht="13.5" thickBot="1">
      <c r="A32" s="796"/>
      <c r="B32" s="169" t="s">
        <v>3</v>
      </c>
      <c r="C32" s="103">
        <f>SUM(C25:C31)</f>
        <v>0</v>
      </c>
      <c r="D32" s="104">
        <f>SUM(D25:D31)</f>
        <v>0</v>
      </c>
      <c r="E32" s="105">
        <f>SUM(E25:E31)</f>
        <v>0</v>
      </c>
      <c r="F32" s="106">
        <f>SUM(F24:F31)</f>
        <v>480</v>
      </c>
      <c r="G32" s="174"/>
      <c r="H32" s="175"/>
      <c r="I32" s="172"/>
      <c r="J32" s="217">
        <f>+'3'!J32</f>
        <v>0</v>
      </c>
      <c r="K32" s="243"/>
      <c r="L32" s="245"/>
      <c r="M32" s="121">
        <f>+K32+'3'!M32+L32</f>
        <v>0</v>
      </c>
    </row>
    <row r="33" spans="1:14" ht="13.5" thickBot="1">
      <c r="A33" s="176"/>
      <c r="B33" s="177"/>
      <c r="C33" s="107" t="e">
        <f>C32/($C$32+$D$32+$E$32)</f>
        <v>#DIV/0!</v>
      </c>
      <c r="D33" s="108" t="e">
        <f>D32/($C$32+$D$32+$E$32)</f>
        <v>#DIV/0!</v>
      </c>
      <c r="E33" s="109" t="e">
        <f>E32/($C$32+$D$32+$E$32)</f>
        <v>#DIV/0!</v>
      </c>
      <c r="F33" s="110"/>
      <c r="G33" s="178"/>
      <c r="H33" s="179"/>
      <c r="I33" s="180"/>
      <c r="J33" s="125"/>
      <c r="K33" s="126"/>
      <c r="L33" s="216"/>
      <c r="M33" s="123"/>
    </row>
    <row r="34" spans="1:14" ht="13.5" thickBot="1">
      <c r="A34" s="797" t="s">
        <v>60</v>
      </c>
      <c r="B34" s="798"/>
      <c r="C34" s="111">
        <f>C14+C23+C32</f>
        <v>0</v>
      </c>
      <c r="D34" s="111">
        <f>D14+D23+D32</f>
        <v>0</v>
      </c>
      <c r="E34" s="111">
        <f>E14+E23+E32</f>
        <v>0</v>
      </c>
      <c r="F34" s="112">
        <f>F14+F23+F32</f>
        <v>1440</v>
      </c>
      <c r="H34" s="181"/>
      <c r="I34" s="181"/>
      <c r="J34" s="127" t="s">
        <v>29</v>
      </c>
      <c r="K34" s="128">
        <f>SUM(K7:K32)</f>
        <v>0</v>
      </c>
      <c r="L34" s="215">
        <f>SUM(L7:L32)</f>
        <v>0</v>
      </c>
      <c r="M34" s="124">
        <f>SUM(M7:M32)</f>
        <v>154247</v>
      </c>
      <c r="N34" s="159"/>
    </row>
    <row r="35" spans="1:14" ht="13.5" thickBot="1">
      <c r="A35" s="182"/>
      <c r="B35" s="183"/>
      <c r="C35" s="108" t="e">
        <f>C34/($C$34+$D$34+$E$34)</f>
        <v>#DIV/0!</v>
      </c>
      <c r="D35" s="108" t="e">
        <f>D34/($C$34+$D$34+$E$34)</f>
        <v>#DIV/0!</v>
      </c>
      <c r="E35" s="113" t="e">
        <f>E34/($C$34+$D$34+$E$34)</f>
        <v>#DIV/0!</v>
      </c>
      <c r="K35" s="159"/>
      <c r="L35" s="788" t="s">
        <v>186</v>
      </c>
      <c r="M35" s="788"/>
    </row>
    <row r="36" spans="1:14" ht="13.5" thickBot="1">
      <c r="A36" s="181"/>
      <c r="B36" s="181"/>
      <c r="C36" s="159"/>
      <c r="D36" s="159"/>
      <c r="E36" s="159"/>
      <c r="G36" s="159"/>
      <c r="H36" s="184"/>
      <c r="I36" s="166" t="s">
        <v>42</v>
      </c>
      <c r="J36" s="166" t="s">
        <v>43</v>
      </c>
      <c r="K36" s="185"/>
      <c r="L36" s="166" t="s">
        <v>42</v>
      </c>
      <c r="M36" s="166" t="s">
        <v>43</v>
      </c>
    </row>
    <row r="37" spans="1:14" ht="17.45" customHeight="1" thickBot="1">
      <c r="A37" s="801" t="s">
        <v>61</v>
      </c>
      <c r="B37" s="802"/>
      <c r="C37" s="166" t="s">
        <v>62</v>
      </c>
      <c r="D37" s="186" t="s">
        <v>63</v>
      </c>
      <c r="E37" s="187" t="s">
        <v>64</v>
      </c>
      <c r="F37" s="372"/>
      <c r="G37" s="374"/>
      <c r="H37" s="189" t="s">
        <v>65</v>
      </c>
      <c r="I37" s="246">
        <f>(16*1400)/1400*G42*3.4*1400/1000000</f>
        <v>0</v>
      </c>
      <c r="J37" s="129">
        <f>+I37+'3'!J37</f>
        <v>171.15603147865167</v>
      </c>
      <c r="K37" s="130" t="s">
        <v>66</v>
      </c>
      <c r="L37" s="437"/>
      <c r="M37" s="438"/>
    </row>
    <row r="38" spans="1:14" ht="17.45" customHeight="1">
      <c r="A38" s="803" t="s">
        <v>13</v>
      </c>
      <c r="B38" s="804"/>
      <c r="C38" s="168">
        <f>SUMIF($G$7:$G$31,"Process",$F$7:$F$31)</f>
        <v>0</v>
      </c>
      <c r="D38" s="122">
        <f>+C38+'3'!D38</f>
        <v>86</v>
      </c>
      <c r="E38" s="147">
        <f t="shared" ref="E38:E51" si="0">D38/60</f>
        <v>1.4333333333333333</v>
      </c>
      <c r="F38" s="372"/>
      <c r="G38" s="372"/>
      <c r="H38" s="190" t="s">
        <v>67</v>
      </c>
      <c r="I38" s="559"/>
      <c r="J38" s="131">
        <f>+I38+'3'!J38</f>
        <v>159.05500000000001</v>
      </c>
      <c r="K38" s="132" t="s">
        <v>66</v>
      </c>
      <c r="L38" s="439"/>
      <c r="M38" s="440"/>
    </row>
    <row r="39" spans="1:14" ht="17.45" customHeight="1">
      <c r="A39" s="799" t="s">
        <v>14</v>
      </c>
      <c r="B39" s="800"/>
      <c r="C39" s="168">
        <f>SUMIF($G$7:$G$31,"Cleaning",$F$7:$F$31)</f>
        <v>0</v>
      </c>
      <c r="D39" s="122">
        <f>+C39+'3'!D39</f>
        <v>0</v>
      </c>
      <c r="E39" s="147">
        <f t="shared" si="0"/>
        <v>0</v>
      </c>
      <c r="F39" s="372"/>
      <c r="G39" s="372"/>
      <c r="H39" s="190" t="s">
        <v>68</v>
      </c>
      <c r="I39" s="146"/>
      <c r="J39" s="133">
        <f>J37/G4</f>
        <v>42.789007869662917</v>
      </c>
      <c r="K39" s="134" t="s">
        <v>66</v>
      </c>
      <c r="L39" s="439"/>
      <c r="M39" s="440"/>
    </row>
    <row r="40" spans="1:14" ht="17.45" customHeight="1">
      <c r="A40" s="799" t="s">
        <v>69</v>
      </c>
      <c r="B40" s="800"/>
      <c r="C40" s="168">
        <f>SUMIF($G$7:$G$31,"Mechanical",$F$7:$F$31)</f>
        <v>260</v>
      </c>
      <c r="D40" s="122">
        <f>+C40+'3'!D40</f>
        <v>260</v>
      </c>
      <c r="E40" s="147">
        <f t="shared" si="0"/>
        <v>4.333333333333333</v>
      </c>
      <c r="F40" s="372"/>
      <c r="G40" s="372"/>
      <c r="H40" s="190" t="s">
        <v>70</v>
      </c>
      <c r="I40" s="122">
        <f>(K34+L34)/1000</f>
        <v>0</v>
      </c>
      <c r="J40" s="135">
        <f>+I40+'3'!J40</f>
        <v>154.24700000000001</v>
      </c>
      <c r="K40" s="134" t="s">
        <v>66</v>
      </c>
      <c r="L40" s="439"/>
      <c r="M40" s="440"/>
    </row>
    <row r="41" spans="1:14" ht="17.45" customHeight="1">
      <c r="A41" s="799" t="s">
        <v>71</v>
      </c>
      <c r="B41" s="800"/>
      <c r="C41" s="168">
        <f>SUMIF($G$7:$G$31,"Electrical",$F$7:$F$31)</f>
        <v>0</v>
      </c>
      <c r="D41" s="122">
        <f>+C41+'3'!D41</f>
        <v>0</v>
      </c>
      <c r="E41" s="147">
        <f t="shared" si="0"/>
        <v>0</v>
      </c>
      <c r="F41" s="372"/>
      <c r="G41" s="372"/>
      <c r="H41" s="190" t="s">
        <v>72</v>
      </c>
      <c r="I41" s="146"/>
      <c r="J41" s="133">
        <f>J40/G4</f>
        <v>38.561750000000004</v>
      </c>
      <c r="K41" s="134" t="s">
        <v>66</v>
      </c>
      <c r="L41" s="439"/>
      <c r="M41" s="440"/>
    </row>
    <row r="42" spans="1:14" ht="17.45" customHeight="1">
      <c r="A42" s="799" t="s">
        <v>17</v>
      </c>
      <c r="B42" s="800"/>
      <c r="C42" s="168">
        <f>SUMIF($G$7:$G$31,"Instrument",$F$7:$F$31)</f>
        <v>0</v>
      </c>
      <c r="D42" s="122">
        <f>+C42+'3'!D42</f>
        <v>0</v>
      </c>
      <c r="E42" s="147">
        <f t="shared" si="0"/>
        <v>0</v>
      </c>
      <c r="F42" s="372">
        <f>+(F38*480+F39*440+F40*480)/1400</f>
        <v>0</v>
      </c>
      <c r="G42" s="372">
        <f>+(G38*480+G39*440+G40*480)/1400</f>
        <v>0</v>
      </c>
      <c r="H42" s="190" t="s">
        <v>73</v>
      </c>
      <c r="I42" s="248"/>
      <c r="J42" s="136"/>
      <c r="K42" s="134" t="s">
        <v>74</v>
      </c>
      <c r="L42" s="439"/>
      <c r="M42" s="440"/>
    </row>
    <row r="43" spans="1:14" ht="17.45" customHeight="1">
      <c r="A43" s="799" t="s">
        <v>201</v>
      </c>
      <c r="B43" s="800"/>
      <c r="C43" s="168">
        <f>SUMIF($G$7:$G$31,"Change Grade",$F$7:$F$31)</f>
        <v>0</v>
      </c>
      <c r="D43" s="122">
        <f>+C43+'3'!D43</f>
        <v>0</v>
      </c>
      <c r="E43" s="147">
        <f t="shared" si="0"/>
        <v>0</v>
      </c>
      <c r="F43" s="372"/>
      <c r="G43" s="373"/>
      <c r="H43" s="191" t="s">
        <v>76</v>
      </c>
      <c r="I43" s="122">
        <f>+Report1!AH12</f>
        <v>6.1840000000000002</v>
      </c>
      <c r="J43" s="137">
        <f>+I43+'3'!J43</f>
        <v>337.267</v>
      </c>
      <c r="K43" s="134" t="s">
        <v>66</v>
      </c>
      <c r="L43" s="441">
        <f>+Report1!AN12</f>
        <v>0</v>
      </c>
      <c r="M43" s="442">
        <f>+L43+'3'!M43</f>
        <v>45.8</v>
      </c>
    </row>
    <row r="44" spans="1:14" ht="17.45" customHeight="1">
      <c r="A44" s="799" t="s">
        <v>18</v>
      </c>
      <c r="B44" s="800"/>
      <c r="C44" s="168">
        <f>SUMIF($G$7:$G$31,"PLN",$F$7:$F$31)</f>
        <v>0</v>
      </c>
      <c r="D44" s="122">
        <f>+C44+'3'!D44</f>
        <v>105</v>
      </c>
      <c r="E44" s="147">
        <f t="shared" si="0"/>
        <v>1.75</v>
      </c>
      <c r="F44" s="372"/>
      <c r="G44" s="373"/>
      <c r="H44" s="191" t="s">
        <v>77</v>
      </c>
      <c r="I44" s="122" t="e">
        <f>I43/I38</f>
        <v>#DIV/0!</v>
      </c>
      <c r="J44" s="138">
        <f>J43/J38</f>
        <v>2.1204426141900599</v>
      </c>
      <c r="K44" s="134" t="s">
        <v>66</v>
      </c>
      <c r="L44" s="443" t="e">
        <f>+L43/I38</f>
        <v>#DIV/0!</v>
      </c>
      <c r="M44" s="444">
        <f>+M43/J38</f>
        <v>0.28795070887428875</v>
      </c>
    </row>
    <row r="45" spans="1:14" ht="17.45" customHeight="1">
      <c r="A45" s="799" t="s">
        <v>19</v>
      </c>
      <c r="B45" s="800"/>
      <c r="C45" s="168">
        <f>SUMIF($G$7:$G$31,"Boiler",$F$7:$F$31)</f>
        <v>0</v>
      </c>
      <c r="D45" s="122">
        <f>+C45+'3'!D45</f>
        <v>0</v>
      </c>
      <c r="E45" s="147">
        <f t="shared" si="0"/>
        <v>0</v>
      </c>
      <c r="F45" s="372"/>
      <c r="G45" s="375"/>
      <c r="H45" s="191" t="s">
        <v>78</v>
      </c>
      <c r="I45" s="122" t="e">
        <f>I43/I40</f>
        <v>#DIV/0!</v>
      </c>
      <c r="J45" s="138">
        <f>J43/J40</f>
        <v>2.1865384740059772</v>
      </c>
      <c r="K45" s="134" t="s">
        <v>66</v>
      </c>
      <c r="L45" s="443" t="e">
        <f>+L43/I40</f>
        <v>#DIV/0!</v>
      </c>
      <c r="M45" s="444">
        <f>+M43/J40</f>
        <v>0.29692635837325843</v>
      </c>
    </row>
    <row r="46" spans="1:14" ht="17.45" customHeight="1">
      <c r="A46" s="799" t="s">
        <v>79</v>
      </c>
      <c r="B46" s="800"/>
      <c r="C46" s="168">
        <f>SUMIF($G$7:$G$31,"Gas",$F$7:$F$31)</f>
        <v>0</v>
      </c>
      <c r="D46" s="122">
        <f>+C46+'3'!D46</f>
        <v>0</v>
      </c>
      <c r="E46" s="147">
        <f t="shared" si="0"/>
        <v>0</v>
      </c>
      <c r="F46" s="372"/>
      <c r="G46" s="373"/>
      <c r="H46" s="191" t="s">
        <v>80</v>
      </c>
      <c r="I46" s="144">
        <f>+SUMIF(Listrik!AC11,"&gt;0")</f>
        <v>23567.179999999549</v>
      </c>
      <c r="J46" s="139">
        <f>+I46+'3'!J46</f>
        <v>97119.579999999638</v>
      </c>
      <c r="K46" s="134" t="s">
        <v>81</v>
      </c>
      <c r="L46" s="443">
        <f>+Listrik!AF11</f>
        <v>1070</v>
      </c>
      <c r="M46" s="445">
        <f>+L46+'3'!M46</f>
        <v>49284</v>
      </c>
    </row>
    <row r="47" spans="1:14" ht="17.45" customHeight="1">
      <c r="A47" s="799" t="s">
        <v>82</v>
      </c>
      <c r="B47" s="800"/>
      <c r="C47" s="168">
        <f>SUMIF($G$7:$G$31,"Gas",$F$7:$F$31)</f>
        <v>0</v>
      </c>
      <c r="D47" s="122">
        <f>+C47+'3'!D47</f>
        <v>0</v>
      </c>
      <c r="E47" s="147">
        <f t="shared" si="0"/>
        <v>0</v>
      </c>
      <c r="F47" s="372"/>
      <c r="G47" s="373"/>
      <c r="H47" s="191" t="s">
        <v>83</v>
      </c>
      <c r="I47" s="122" t="e">
        <f>I46/I38</f>
        <v>#DIV/0!</v>
      </c>
      <c r="J47" s="139">
        <f>J46/J38</f>
        <v>610.60375341862652</v>
      </c>
      <c r="K47" s="134" t="s">
        <v>25</v>
      </c>
      <c r="L47" s="439" t="e">
        <f>+L46/I38</f>
        <v>#DIV/0!</v>
      </c>
      <c r="M47" s="444">
        <f>+M46/J38</f>
        <v>309.85508157555563</v>
      </c>
    </row>
    <row r="48" spans="1:14" ht="17.45" customHeight="1">
      <c r="A48" s="799" t="s">
        <v>15</v>
      </c>
      <c r="B48" s="800"/>
      <c r="C48" s="168">
        <f>SUMIF($G$7:$G$31,"Start Up",$F$7:$F$31)</f>
        <v>0</v>
      </c>
      <c r="D48" s="122">
        <f>+C48+'3'!D48</f>
        <v>0</v>
      </c>
      <c r="E48" s="147">
        <f t="shared" si="0"/>
        <v>0</v>
      </c>
      <c r="F48" s="372"/>
      <c r="G48" s="373"/>
      <c r="H48" s="191" t="s">
        <v>84</v>
      </c>
      <c r="I48" s="122" t="e">
        <f>I46/I40</f>
        <v>#DIV/0!</v>
      </c>
      <c r="J48" s="139">
        <f>J46/J40</f>
        <v>629.6367514441099</v>
      </c>
      <c r="K48" s="134" t="s">
        <v>25</v>
      </c>
      <c r="L48" s="443" t="e">
        <f>+L46/I38</f>
        <v>#DIV/0!</v>
      </c>
      <c r="M48" s="444">
        <f>+M46/J40</f>
        <v>319.51350755606268</v>
      </c>
    </row>
    <row r="49" spans="1:13" ht="17.45" customHeight="1">
      <c r="A49" s="799" t="s">
        <v>21</v>
      </c>
      <c r="B49" s="800"/>
      <c r="C49" s="168">
        <f>SUMIF($G$7:$G$31,"Others",$F$7:$F$31)</f>
        <v>1180</v>
      </c>
      <c r="D49" s="122">
        <f>+C49+'3'!D49</f>
        <v>1440</v>
      </c>
      <c r="E49" s="147">
        <f t="shared" si="0"/>
        <v>24</v>
      </c>
      <c r="F49" s="188"/>
      <c r="H49" s="191" t="s">
        <v>170</v>
      </c>
      <c r="I49" s="122">
        <f>+Report1!AB12</f>
        <v>0</v>
      </c>
      <c r="J49" s="139">
        <f>+I49+'3'!J49</f>
        <v>0</v>
      </c>
      <c r="K49" s="134" t="s">
        <v>86</v>
      </c>
      <c r="L49" s="439"/>
      <c r="M49" s="440"/>
    </row>
    <row r="50" spans="1:13" ht="17.45" customHeight="1">
      <c r="A50" s="799" t="s">
        <v>20</v>
      </c>
      <c r="B50" s="800"/>
      <c r="C50" s="168">
        <f>SUMIF($G$7:$G$31,"Steam",$F$7:$F$31)</f>
        <v>0</v>
      </c>
      <c r="D50" s="122">
        <f>+C50+'3'!D50</f>
        <v>0</v>
      </c>
      <c r="E50" s="147">
        <f t="shared" si="0"/>
        <v>0</v>
      </c>
      <c r="F50" s="188"/>
      <c r="H50" s="191" t="s">
        <v>87</v>
      </c>
      <c r="I50" s="144" t="e">
        <f>I49/I38</f>
        <v>#DIV/0!</v>
      </c>
      <c r="J50" s="137">
        <f>J49/J38</f>
        <v>0</v>
      </c>
      <c r="K50" s="134" t="s">
        <v>86</v>
      </c>
      <c r="L50" s="439"/>
      <c r="M50" s="440"/>
    </row>
    <row r="51" spans="1:13" ht="17.45" customHeight="1" thickBot="1">
      <c r="A51" s="805" t="s">
        <v>88</v>
      </c>
      <c r="B51" s="806"/>
      <c r="C51" s="168">
        <f>SUMIF($G$7:$G$31,"Planned shut",$F$7:$F$31)</f>
        <v>0</v>
      </c>
      <c r="D51" s="122">
        <f>+C51+'3'!D51</f>
        <v>0</v>
      </c>
      <c r="E51" s="147">
        <f t="shared" si="0"/>
        <v>0</v>
      </c>
      <c r="F51" s="188"/>
      <c r="H51" s="193" t="s">
        <v>89</v>
      </c>
      <c r="I51" s="145" t="e">
        <f>I49/I40</f>
        <v>#DIV/0!</v>
      </c>
      <c r="J51" s="140">
        <f>J49/J40</f>
        <v>0</v>
      </c>
      <c r="K51" s="141" t="s">
        <v>86</v>
      </c>
      <c r="L51" s="439"/>
      <c r="M51" s="440"/>
    </row>
    <row r="52" spans="1:13" ht="13.5" thickBot="1">
      <c r="A52" s="803" t="s">
        <v>29</v>
      </c>
      <c r="B52" s="804"/>
      <c r="C52" s="148">
        <f>SUM(C38:C51)</f>
        <v>1440</v>
      </c>
      <c r="D52" s="148">
        <f>SUM(D38:D51)</f>
        <v>1891</v>
      </c>
      <c r="E52" s="149">
        <f>SUM(E38:E51)</f>
        <v>31.516666666666666</v>
      </c>
      <c r="F52" s="188"/>
      <c r="H52" s="194"/>
      <c r="I52" s="195"/>
      <c r="J52" s="142"/>
      <c r="K52" s="143"/>
      <c r="L52" s="446"/>
      <c r="M52" s="447"/>
    </row>
    <row r="53" spans="1:13" ht="13.5" thickBot="1">
      <c r="A53" s="807"/>
      <c r="B53" s="808"/>
      <c r="C53" s="150">
        <f>C52/(24*60)</f>
        <v>1</v>
      </c>
      <c r="D53" s="150">
        <f>D52/(24*60*G4)</f>
        <v>0.32829861111111114</v>
      </c>
      <c r="E53" s="151">
        <f>E52/(G4*24)</f>
        <v>0.32829861111111108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90</v>
      </c>
      <c r="B56" s="198"/>
      <c r="C56" s="199"/>
      <c r="D56" s="199"/>
      <c r="E56" s="199"/>
      <c r="F56" s="200"/>
      <c r="G56" s="199"/>
      <c r="H56" s="201"/>
      <c r="I56" s="202" t="s">
        <v>91</v>
      </c>
      <c r="J56" s="203">
        <f>+D34+'3'!J56</f>
        <v>2615</v>
      </c>
      <c r="K56" s="204">
        <f>J56/(J40+J56/1000)/1000</f>
        <v>1.6670704185844879E-2</v>
      </c>
    </row>
    <row r="57" spans="1:13">
      <c r="A57" s="179"/>
      <c r="I57" s="202" t="s">
        <v>92</v>
      </c>
      <c r="J57" s="203">
        <f>+E34+'3'!J57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48:B48"/>
    <mergeCell ref="A49:B49"/>
    <mergeCell ref="A50:B50"/>
    <mergeCell ref="A51:B51"/>
    <mergeCell ref="A41:B41"/>
    <mergeCell ref="A52:B52"/>
    <mergeCell ref="A53:B53"/>
    <mergeCell ref="A42:B42"/>
    <mergeCell ref="A43:B43"/>
    <mergeCell ref="A44:B44"/>
    <mergeCell ref="A45:B45"/>
    <mergeCell ref="A46:B46"/>
    <mergeCell ref="A47:B47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1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O61"/>
  <sheetViews>
    <sheetView view="pageBreakPreview" topLeftCell="A4" zoomScale="80" zoomScaleNormal="75" zoomScaleSheetLayoutView="80" workbookViewId="0">
      <selection activeCell="A7" sqref="A7:B32"/>
    </sheetView>
  </sheetViews>
  <sheetFormatPr defaultColWidth="9.140625" defaultRowHeight="12.75"/>
  <cols>
    <col min="1" max="1" width="8" style="153" customWidth="1"/>
    <col min="2" max="2" width="7" style="153" bestFit="1" customWidth="1"/>
    <col min="3" max="3" width="14.85546875" style="153" bestFit="1" customWidth="1"/>
    <col min="4" max="4" width="12.7109375" style="153" bestFit="1" customWidth="1"/>
    <col min="5" max="5" width="13.85546875" style="153" bestFit="1" customWidth="1"/>
    <col min="6" max="6" width="12.140625" style="114" bestFit="1" customWidth="1"/>
    <col min="7" max="7" width="11.42578125" style="153" bestFit="1" customWidth="1"/>
    <col min="8" max="8" width="64.85546875" style="153" customWidth="1"/>
    <col min="9" max="9" width="14.7109375" style="153" bestFit="1" customWidth="1"/>
    <col min="10" max="10" width="20.140625" style="153" bestFit="1" customWidth="1"/>
    <col min="11" max="11" width="13.7109375" style="153" bestFit="1" customWidth="1"/>
    <col min="12" max="12" width="8.28515625" style="153" customWidth="1"/>
    <col min="13" max="13" width="14.5703125" style="153" bestFit="1" customWidth="1"/>
    <col min="14" max="16384" width="9.140625" style="153"/>
  </cols>
  <sheetData>
    <row r="1" spans="1:15" ht="15.75">
      <c r="A1" s="152"/>
    </row>
    <row r="2" spans="1:15" ht="15.75">
      <c r="A2" s="152" t="s">
        <v>175</v>
      </c>
    </row>
    <row r="3" spans="1:15" ht="15">
      <c r="A3" s="154"/>
    </row>
    <row r="4" spans="1:15" ht="20.25">
      <c r="A4" s="155" t="s">
        <v>4</v>
      </c>
      <c r="B4" s="156"/>
      <c r="F4" s="157" t="s">
        <v>31</v>
      </c>
      <c r="G4" s="158">
        <v>3</v>
      </c>
      <c r="H4" s="158" t="str">
        <f>+'1'!H4</f>
        <v>.12.25</v>
      </c>
    </row>
    <row r="5" spans="1:15" ht="13.5" thickBot="1">
      <c r="C5" s="159"/>
      <c r="D5" s="159"/>
    </row>
    <row r="6" spans="1:15" ht="26.25" thickBot="1">
      <c r="A6" s="160" t="s">
        <v>50</v>
      </c>
      <c r="B6" s="161" t="s">
        <v>10</v>
      </c>
      <c r="C6" s="161" t="s">
        <v>51</v>
      </c>
      <c r="D6" s="161" t="s">
        <v>52</v>
      </c>
      <c r="E6" s="162" t="s">
        <v>53</v>
      </c>
      <c r="F6" s="106" t="s">
        <v>54</v>
      </c>
      <c r="G6" s="161" t="s">
        <v>55</v>
      </c>
      <c r="H6" s="163" t="s">
        <v>56</v>
      </c>
      <c r="I6" s="164" t="s">
        <v>57</v>
      </c>
      <c r="J6" s="165" t="s">
        <v>10</v>
      </c>
      <c r="K6" s="166" t="s">
        <v>58</v>
      </c>
      <c r="L6" s="213" t="s">
        <v>143</v>
      </c>
      <c r="M6" s="167" t="s">
        <v>59</v>
      </c>
      <c r="N6" s="153">
        <f>447+356+247</f>
        <v>1050</v>
      </c>
    </row>
    <row r="7" spans="1:15" ht="13.5" customHeight="1" thickBot="1">
      <c r="A7" s="789" t="s">
        <v>414</v>
      </c>
      <c r="B7" s="218" t="s">
        <v>447</v>
      </c>
      <c r="C7" s="219">
        <v>18920</v>
      </c>
      <c r="D7" s="220">
        <v>500</v>
      </c>
      <c r="E7" s="221"/>
      <c r="F7" s="230"/>
      <c r="G7" s="231" t="s">
        <v>13</v>
      </c>
      <c r="H7" s="232" t="s">
        <v>395</v>
      </c>
      <c r="I7" s="792" t="s">
        <v>437</v>
      </c>
      <c r="J7" s="217" t="str">
        <f>+'2'!J7</f>
        <v>TW 38 RC BR</v>
      </c>
      <c r="K7" s="240"/>
      <c r="L7" s="244"/>
      <c r="M7" s="121">
        <f>+K7+'2'!M7+L7</f>
        <v>78513</v>
      </c>
    </row>
    <row r="8" spans="1:15" ht="13.5" thickBot="1">
      <c r="A8" s="790"/>
      <c r="B8" s="218"/>
      <c r="C8" s="219"/>
      <c r="D8" s="220"/>
      <c r="E8" s="222"/>
      <c r="F8" s="233">
        <v>2</v>
      </c>
      <c r="G8" s="578" t="s">
        <v>13</v>
      </c>
      <c r="H8" s="232" t="s">
        <v>393</v>
      </c>
      <c r="I8" s="793"/>
      <c r="J8" s="217" t="str">
        <f>+'2'!J8</f>
        <v>TW 36 RC BR</v>
      </c>
      <c r="K8" s="241"/>
      <c r="L8" s="241"/>
      <c r="M8" s="121">
        <f>+K8+'2'!M8+L8</f>
        <v>1530</v>
      </c>
      <c r="N8" s="153">
        <v>700</v>
      </c>
      <c r="O8" s="153">
        <f>+N8-N8*0.14</f>
        <v>602</v>
      </c>
    </row>
    <row r="9" spans="1:15" ht="13.5" thickBot="1">
      <c r="A9" s="790"/>
      <c r="B9" s="218"/>
      <c r="C9" s="219"/>
      <c r="D9" s="220"/>
      <c r="E9" s="223"/>
      <c r="F9" s="230">
        <v>1</v>
      </c>
      <c r="G9" s="578" t="s">
        <v>13</v>
      </c>
      <c r="H9" s="235" t="s">
        <v>226</v>
      </c>
      <c r="I9" s="793"/>
      <c r="J9" s="217" t="str">
        <f>+'2'!J9</f>
        <v>N 20 RC BR</v>
      </c>
      <c r="K9" s="241">
        <f>+C34</f>
        <v>49815</v>
      </c>
      <c r="L9" s="241"/>
      <c r="M9" s="121">
        <f>+K9+'2'!M9+L9</f>
        <v>74204</v>
      </c>
    </row>
    <row r="10" spans="1:15" ht="13.5" thickBot="1">
      <c r="A10" s="790"/>
      <c r="B10" s="218"/>
      <c r="C10" s="219"/>
      <c r="D10" s="220"/>
      <c r="E10" s="222"/>
      <c r="F10" s="230"/>
      <c r="G10" s="578"/>
      <c r="H10" s="235" t="s">
        <v>433</v>
      </c>
      <c r="I10" s="793"/>
      <c r="J10" s="217">
        <f>+'2'!J10</f>
        <v>0</v>
      </c>
      <c r="K10" s="241"/>
      <c r="L10" s="241"/>
      <c r="M10" s="121">
        <f>+K10+'2'!M10+L10</f>
        <v>0</v>
      </c>
    </row>
    <row r="11" spans="1:15" ht="13.5" thickBot="1">
      <c r="A11" s="790"/>
      <c r="B11" s="218"/>
      <c r="C11" s="219"/>
      <c r="D11" s="220"/>
      <c r="E11" s="222"/>
      <c r="F11" s="230"/>
      <c r="G11" s="234"/>
      <c r="H11" s="235"/>
      <c r="I11" s="793"/>
      <c r="J11" s="217">
        <f>+'2'!J11</f>
        <v>0</v>
      </c>
      <c r="K11" s="241"/>
      <c r="L11" s="241"/>
      <c r="M11" s="121">
        <f>+K11+'2'!M11+L11</f>
        <v>0</v>
      </c>
    </row>
    <row r="12" spans="1:15" ht="13.5" thickBot="1">
      <c r="A12" s="790"/>
      <c r="B12" s="218"/>
      <c r="C12" s="219"/>
      <c r="D12" s="220"/>
      <c r="E12" s="222"/>
      <c r="F12" s="230"/>
      <c r="G12" s="234"/>
      <c r="H12" s="235"/>
      <c r="I12" s="793"/>
      <c r="J12" s="217">
        <f>+'2'!J12</f>
        <v>0</v>
      </c>
      <c r="K12" s="241"/>
      <c r="L12" s="241"/>
      <c r="M12" s="121">
        <f>+K12+'2'!M12+L12</f>
        <v>0</v>
      </c>
    </row>
    <row r="13" spans="1:15" ht="13.5" thickBot="1">
      <c r="A13" s="790"/>
      <c r="B13" s="218"/>
      <c r="C13" s="219"/>
      <c r="D13" s="219"/>
      <c r="E13" s="222"/>
      <c r="F13" s="230"/>
      <c r="G13" s="234"/>
      <c r="H13" s="235"/>
      <c r="I13" s="794"/>
      <c r="J13" s="217">
        <f>+'2'!J13</f>
        <v>0</v>
      </c>
      <c r="K13" s="241"/>
      <c r="L13" s="241"/>
      <c r="M13" s="121">
        <f>+K13+'2'!M13+L13</f>
        <v>0</v>
      </c>
    </row>
    <row r="14" spans="1:15" ht="13.5" thickBot="1">
      <c r="A14" s="791"/>
      <c r="B14" s="169" t="s">
        <v>3</v>
      </c>
      <c r="C14" s="103">
        <f>SUM(C7:C13)</f>
        <v>18920</v>
      </c>
      <c r="D14" s="115">
        <f>SUM(D7:D13)</f>
        <v>500</v>
      </c>
      <c r="E14" s="116">
        <f>SUM(E5:E13)</f>
        <v>0</v>
      </c>
      <c r="F14" s="120">
        <f>SUM(F7:F13)</f>
        <v>3</v>
      </c>
      <c r="G14" s="163"/>
      <c r="H14" s="170"/>
      <c r="I14" s="171"/>
      <c r="J14" s="217">
        <f>+'2'!J14</f>
        <v>0</v>
      </c>
      <c r="K14" s="241"/>
      <c r="L14" s="241"/>
      <c r="M14" s="121">
        <f>+K14+'2'!M14+L14</f>
        <v>0</v>
      </c>
    </row>
    <row r="15" spans="1:15" ht="13.5" customHeight="1" thickBot="1">
      <c r="A15" s="789" t="s">
        <v>415</v>
      </c>
      <c r="B15" s="169"/>
      <c r="C15" s="117">
        <f>C14/($C$23+$D$23+$E$23)</f>
        <v>0.96201759292215383</v>
      </c>
      <c r="D15" s="118">
        <f>D14/($C$23+$D$23+$E$23)</f>
        <v>2.5423297910204912E-2</v>
      </c>
      <c r="E15" s="119">
        <f>E14/($C$23+$D$23+$E$23)</f>
        <v>0</v>
      </c>
      <c r="F15" s="230"/>
      <c r="G15" s="231" t="s">
        <v>13</v>
      </c>
      <c r="H15" s="232" t="s">
        <v>395</v>
      </c>
      <c r="I15" s="792" t="s">
        <v>437</v>
      </c>
      <c r="J15" s="217">
        <f>+'2'!J15</f>
        <v>0</v>
      </c>
      <c r="K15" s="241"/>
      <c r="L15" s="241"/>
      <c r="M15" s="121">
        <f>+K15+'2'!M15+L15</f>
        <v>0</v>
      </c>
    </row>
    <row r="16" spans="1:15" ht="13.5" thickBot="1">
      <c r="A16" s="795"/>
      <c r="B16" s="218" t="s">
        <v>447</v>
      </c>
      <c r="C16" s="224">
        <v>19667</v>
      </c>
      <c r="D16" s="225"/>
      <c r="E16" s="226"/>
      <c r="F16" s="233">
        <v>5</v>
      </c>
      <c r="G16" s="578" t="s">
        <v>13</v>
      </c>
      <c r="H16" s="232" t="s">
        <v>454</v>
      </c>
      <c r="I16" s="793"/>
      <c r="J16" s="217">
        <f>+'2'!J16</f>
        <v>0</v>
      </c>
      <c r="K16" s="231"/>
      <c r="L16" s="231"/>
      <c r="M16" s="121">
        <f>+K16+'2'!M16+L16</f>
        <v>0</v>
      </c>
    </row>
    <row r="17" spans="1:14" ht="13.5" thickBot="1">
      <c r="A17" s="795"/>
      <c r="B17" s="218"/>
      <c r="C17" s="219"/>
      <c r="D17" s="220"/>
      <c r="E17" s="227"/>
      <c r="F17" s="230">
        <v>5</v>
      </c>
      <c r="G17" s="578" t="s">
        <v>13</v>
      </c>
      <c r="H17" s="235" t="s">
        <v>226</v>
      </c>
      <c r="I17" s="793"/>
      <c r="J17" s="217">
        <f>+'2'!J17</f>
        <v>0</v>
      </c>
      <c r="K17" s="231"/>
      <c r="L17" s="231"/>
      <c r="M17" s="121">
        <f>+K17+'2'!M17+L17</f>
        <v>0</v>
      </c>
    </row>
    <row r="18" spans="1:14" ht="13.5" thickBot="1">
      <c r="A18" s="795"/>
      <c r="B18" s="218"/>
      <c r="C18" s="219"/>
      <c r="D18" s="220"/>
      <c r="E18" s="227"/>
      <c r="F18" s="230"/>
      <c r="G18" s="578"/>
      <c r="H18" s="235" t="s">
        <v>433</v>
      </c>
      <c r="I18" s="793"/>
      <c r="J18" s="217">
        <f>+'2'!J18</f>
        <v>0</v>
      </c>
      <c r="K18" s="241"/>
      <c r="L18" s="241"/>
      <c r="M18" s="121">
        <f>+K18+'2'!M18+L18</f>
        <v>0</v>
      </c>
    </row>
    <row r="19" spans="1:14" ht="13.5" thickBot="1">
      <c r="A19" s="795"/>
      <c r="B19" s="218"/>
      <c r="C19" s="219"/>
      <c r="D19" s="220"/>
      <c r="E19" s="227"/>
      <c r="F19" s="237"/>
      <c r="G19" s="234"/>
      <c r="H19" s="235"/>
      <c r="I19" s="793"/>
      <c r="J19" s="217">
        <f>+'2'!J19</f>
        <v>0</v>
      </c>
      <c r="K19" s="241"/>
      <c r="L19" s="241"/>
      <c r="M19" s="121">
        <f>+K19+'2'!M19+L19</f>
        <v>0</v>
      </c>
    </row>
    <row r="20" spans="1:14" ht="13.5" thickBot="1">
      <c r="A20" s="795"/>
      <c r="B20" s="218"/>
      <c r="C20" s="219"/>
      <c r="D20" s="220"/>
      <c r="E20" s="227"/>
      <c r="F20" s="230"/>
      <c r="G20" s="234"/>
      <c r="H20" s="235"/>
      <c r="I20" s="793"/>
      <c r="J20" s="217">
        <f>+'2'!J20</f>
        <v>0</v>
      </c>
      <c r="K20" s="242"/>
      <c r="L20" s="242"/>
      <c r="M20" s="121">
        <f>+K20+'2'!M20+L20</f>
        <v>0</v>
      </c>
    </row>
    <row r="21" spans="1:14" ht="13.5" thickBot="1">
      <c r="A21" s="795"/>
      <c r="B21" s="218"/>
      <c r="C21" s="219"/>
      <c r="D21" s="220"/>
      <c r="E21" s="227"/>
      <c r="F21" s="233"/>
      <c r="G21" s="234"/>
      <c r="H21" s="235"/>
      <c r="I21" s="793"/>
      <c r="J21" s="217">
        <f>+'2'!J21</f>
        <v>0</v>
      </c>
      <c r="K21" s="241"/>
      <c r="L21" s="241"/>
      <c r="M21" s="121">
        <f>+K21+'2'!M21+L21</f>
        <v>0</v>
      </c>
    </row>
    <row r="22" spans="1:14" ht="13.5" thickBot="1">
      <c r="A22" s="795"/>
      <c r="B22" s="218"/>
      <c r="C22" s="219"/>
      <c r="D22" s="220"/>
      <c r="E22" s="227"/>
      <c r="F22" s="238"/>
      <c r="G22" s="234"/>
      <c r="H22" s="235"/>
      <c r="I22" s="794"/>
      <c r="J22" s="217">
        <f>+'2'!J22</f>
        <v>0</v>
      </c>
      <c r="K22" s="241"/>
      <c r="L22" s="241"/>
      <c r="M22" s="121">
        <f>+K22+'2'!M22+L22</f>
        <v>0</v>
      </c>
    </row>
    <row r="23" spans="1:14" ht="13.5" thickBot="1">
      <c r="A23" s="796"/>
      <c r="B23" s="169" t="s">
        <v>3</v>
      </c>
      <c r="C23" s="104">
        <f>SUM(C16:C22)</f>
        <v>19667</v>
      </c>
      <c r="D23" s="115">
        <f>SUM(D16:D22)</f>
        <v>0</v>
      </c>
      <c r="E23" s="116">
        <f>SUM(E18:E22)</f>
        <v>0</v>
      </c>
      <c r="F23" s="120">
        <f>SUM(F15:F22)</f>
        <v>10</v>
      </c>
      <c r="G23" s="163"/>
      <c r="H23" s="170"/>
      <c r="I23" s="172"/>
      <c r="J23" s="217">
        <f>+'2'!J23</f>
        <v>0</v>
      </c>
      <c r="K23" s="241"/>
      <c r="L23" s="241"/>
      <c r="M23" s="121">
        <f>+K23+'2'!M23+L23</f>
        <v>0</v>
      </c>
    </row>
    <row r="24" spans="1:14" ht="13.5" customHeight="1" thickBot="1">
      <c r="A24" s="789" t="s">
        <v>413</v>
      </c>
      <c r="B24" s="173"/>
      <c r="C24" s="117">
        <f>C23/($C$23+$D$23+$E$23)</f>
        <v>1</v>
      </c>
      <c r="D24" s="118">
        <f>D23/($C$23+$D$23+$E$23)</f>
        <v>0</v>
      </c>
      <c r="E24" s="119">
        <f>E23/($C$23+$D$23+$E$23)</f>
        <v>0</v>
      </c>
      <c r="F24" s="230"/>
      <c r="G24" s="231" t="s">
        <v>13</v>
      </c>
      <c r="H24" s="232" t="s">
        <v>395</v>
      </c>
      <c r="I24" s="792" t="s">
        <v>437</v>
      </c>
      <c r="J24" s="217">
        <f>+'2'!J24</f>
        <v>0</v>
      </c>
      <c r="K24" s="241"/>
      <c r="L24" s="241"/>
      <c r="M24" s="121">
        <f>+K24+'2'!M24+L24</f>
        <v>0</v>
      </c>
    </row>
    <row r="25" spans="1:14" ht="13.5" thickBot="1">
      <c r="A25" s="795"/>
      <c r="B25" s="218" t="s">
        <v>447</v>
      </c>
      <c r="C25" s="228">
        <v>11228</v>
      </c>
      <c r="D25" s="220">
        <v>500</v>
      </c>
      <c r="E25" s="227"/>
      <c r="F25" s="233"/>
      <c r="G25" s="578" t="s">
        <v>13</v>
      </c>
      <c r="H25" s="232" t="s">
        <v>424</v>
      </c>
      <c r="I25" s="793"/>
      <c r="J25" s="217">
        <f>+'2'!J25</f>
        <v>0</v>
      </c>
      <c r="K25" s="241"/>
      <c r="L25" s="241"/>
      <c r="M25" s="121">
        <f>+K25+'2'!M25+L25</f>
        <v>0</v>
      </c>
    </row>
    <row r="26" spans="1:14" ht="13.5" thickBot="1">
      <c r="A26" s="795"/>
      <c r="B26" s="218"/>
      <c r="C26" s="228"/>
      <c r="D26" s="220"/>
      <c r="E26" s="229"/>
      <c r="F26" s="230">
        <v>5</v>
      </c>
      <c r="G26" s="578" t="s">
        <v>13</v>
      </c>
      <c r="H26" s="235" t="s">
        <v>226</v>
      </c>
      <c r="I26" s="793"/>
      <c r="J26" s="217">
        <f>+'2'!J26</f>
        <v>0</v>
      </c>
      <c r="K26" s="241"/>
      <c r="L26" s="241"/>
      <c r="M26" s="121">
        <f>+K26+'2'!M26+L26</f>
        <v>0</v>
      </c>
    </row>
    <row r="27" spans="1:14" ht="13.5" thickBot="1">
      <c r="A27" s="795"/>
      <c r="B27" s="218"/>
      <c r="C27" s="219"/>
      <c r="D27" s="220"/>
      <c r="E27" s="227"/>
      <c r="F27" s="230"/>
      <c r="G27" s="578"/>
      <c r="H27" s="235" t="s">
        <v>433</v>
      </c>
      <c r="I27" s="793"/>
      <c r="J27" s="217">
        <f>+'2'!J27</f>
        <v>0</v>
      </c>
      <c r="K27" s="241"/>
      <c r="L27" s="241"/>
      <c r="M27" s="121">
        <f>+K27+'2'!M27+L27</f>
        <v>0</v>
      </c>
    </row>
    <row r="28" spans="1:14" ht="13.5" thickBot="1">
      <c r="A28" s="795"/>
      <c r="B28" s="218"/>
      <c r="C28" s="219"/>
      <c r="D28" s="220"/>
      <c r="E28" s="227"/>
      <c r="F28" s="233">
        <v>260</v>
      </c>
      <c r="G28" s="234" t="s">
        <v>21</v>
      </c>
      <c r="H28" s="235" t="s">
        <v>451</v>
      </c>
      <c r="I28" s="793"/>
      <c r="J28" s="217">
        <f>+'2'!J28</f>
        <v>0</v>
      </c>
      <c r="K28" s="241"/>
      <c r="L28" s="241"/>
      <c r="M28" s="121">
        <f>+K28+'2'!M28+L28</f>
        <v>0</v>
      </c>
    </row>
    <row r="29" spans="1:14" ht="13.5" thickBot="1">
      <c r="A29" s="795"/>
      <c r="B29" s="218"/>
      <c r="C29" s="219"/>
      <c r="D29" s="220"/>
      <c r="E29" s="227"/>
      <c r="F29" s="238"/>
      <c r="G29" s="234"/>
      <c r="H29" s="235" t="s">
        <v>452</v>
      </c>
      <c r="I29" s="793"/>
      <c r="J29" s="217">
        <f>+'2'!J29</f>
        <v>0</v>
      </c>
      <c r="K29" s="241"/>
      <c r="L29" s="241"/>
      <c r="M29" s="121">
        <f>+K29+'2'!M29+L29</f>
        <v>0</v>
      </c>
    </row>
    <row r="30" spans="1:14" ht="64.5" thickBot="1">
      <c r="A30" s="795"/>
      <c r="B30" s="218"/>
      <c r="C30" s="228"/>
      <c r="D30" s="220"/>
      <c r="E30" s="227"/>
      <c r="F30" s="238"/>
      <c r="G30" s="234"/>
      <c r="H30" s="235" t="s">
        <v>453</v>
      </c>
      <c r="I30" s="793"/>
      <c r="J30" s="217">
        <f>+'2'!J30</f>
        <v>0</v>
      </c>
      <c r="K30" s="241"/>
      <c r="L30" s="241"/>
      <c r="M30" s="121">
        <f>+K30+'2'!M30+L30</f>
        <v>0</v>
      </c>
      <c r="N30" s="159"/>
    </row>
    <row r="31" spans="1:14" ht="13.5" thickBot="1">
      <c r="A31" s="795"/>
      <c r="B31" s="218"/>
      <c r="C31" s="228"/>
      <c r="D31" s="220"/>
      <c r="E31" s="227"/>
      <c r="F31" s="238"/>
      <c r="G31" s="239"/>
      <c r="H31" s="584"/>
      <c r="I31" s="794"/>
      <c r="J31" s="217">
        <f>+'2'!J31</f>
        <v>0</v>
      </c>
      <c r="K31" s="241"/>
      <c r="L31" s="241"/>
      <c r="M31" s="121">
        <f>+K31+'2'!M31+L31</f>
        <v>0</v>
      </c>
    </row>
    <row r="32" spans="1:14" ht="13.5" thickBot="1">
      <c r="A32" s="796"/>
      <c r="B32" s="169" t="s">
        <v>3</v>
      </c>
      <c r="C32" s="103">
        <f>SUM(C25:C31)</f>
        <v>11228</v>
      </c>
      <c r="D32" s="104">
        <f>SUM(D25:D31)</f>
        <v>500</v>
      </c>
      <c r="E32" s="105">
        <f>SUM(E25:E31)</f>
        <v>0</v>
      </c>
      <c r="F32" s="106">
        <f>SUM(F24:F31)</f>
        <v>265</v>
      </c>
      <c r="G32" s="174"/>
      <c r="H32" s="175"/>
      <c r="I32" s="172"/>
      <c r="J32" s="217">
        <f>+'2'!J32</f>
        <v>0</v>
      </c>
      <c r="K32" s="243"/>
      <c r="L32" s="245"/>
      <c r="M32" s="121">
        <f>+K32+'2'!M32+L32</f>
        <v>0</v>
      </c>
    </row>
    <row r="33" spans="1:14" ht="13.5" thickBot="1">
      <c r="A33" s="176"/>
      <c r="B33" s="177"/>
      <c r="C33" s="107">
        <f>C32/($C$32+$D$32+$E$32)</f>
        <v>0.95736698499317874</v>
      </c>
      <c r="D33" s="108">
        <f>D32/($C$32+$D$32+$E$32)</f>
        <v>4.2633015006821283E-2</v>
      </c>
      <c r="E33" s="109">
        <f>E32/($C$32+$D$32+$E$32)</f>
        <v>0</v>
      </c>
      <c r="F33" s="110"/>
      <c r="G33" s="178"/>
      <c r="H33" s="179"/>
      <c r="I33" s="180"/>
      <c r="J33" s="125"/>
      <c r="K33" s="126"/>
      <c r="L33" s="216"/>
      <c r="M33" s="123"/>
    </row>
    <row r="34" spans="1:14" ht="13.5" thickBot="1">
      <c r="A34" s="797" t="s">
        <v>60</v>
      </c>
      <c r="B34" s="798"/>
      <c r="C34" s="111">
        <f>C14+C23+C32</f>
        <v>49815</v>
      </c>
      <c r="D34" s="111">
        <f>D14+D23+D32</f>
        <v>1000</v>
      </c>
      <c r="E34" s="111">
        <f>E14+E23+E32</f>
        <v>0</v>
      </c>
      <c r="F34" s="112">
        <f>F14+F23+F32</f>
        <v>278</v>
      </c>
      <c r="H34" s="181"/>
      <c r="I34" s="181"/>
      <c r="J34" s="127" t="s">
        <v>29</v>
      </c>
      <c r="K34" s="128">
        <f>SUM(K7:K32)</f>
        <v>49815</v>
      </c>
      <c r="L34" s="215">
        <f>SUM(L7:L32)</f>
        <v>0</v>
      </c>
      <c r="M34" s="124">
        <f>SUM(M7:M32)</f>
        <v>154247</v>
      </c>
      <c r="N34" s="159"/>
    </row>
    <row r="35" spans="1:14" ht="13.5" thickBot="1">
      <c r="A35" s="182"/>
      <c r="B35" s="183"/>
      <c r="C35" s="108">
        <f>C34/($C$34+$D$34+$E$34)</f>
        <v>0.98032077142576013</v>
      </c>
      <c r="D35" s="108">
        <f>D34/($C$34+$D$34+$E$34)</f>
        <v>1.9679228574239888E-2</v>
      </c>
      <c r="E35" s="113">
        <f>E34/($C$34+$D$34+$E$34)</f>
        <v>0</v>
      </c>
      <c r="K35" s="159"/>
      <c r="L35" s="788" t="s">
        <v>186</v>
      </c>
      <c r="M35" s="788"/>
    </row>
    <row r="36" spans="1:14" ht="13.5" thickBot="1">
      <c r="A36" s="181"/>
      <c r="B36" s="181"/>
      <c r="C36" s="159"/>
      <c r="D36" s="159"/>
      <c r="E36" s="159"/>
      <c r="G36" s="159"/>
      <c r="H36" s="184"/>
      <c r="I36" s="166" t="s">
        <v>42</v>
      </c>
      <c r="J36" s="166" t="s">
        <v>43</v>
      </c>
      <c r="K36" s="185"/>
      <c r="L36" s="166" t="s">
        <v>42</v>
      </c>
      <c r="M36" s="166" t="s">
        <v>43</v>
      </c>
    </row>
    <row r="37" spans="1:14" ht="17.45" customHeight="1" thickBot="1">
      <c r="A37" s="801" t="s">
        <v>61</v>
      </c>
      <c r="B37" s="802"/>
      <c r="C37" s="166" t="s">
        <v>62</v>
      </c>
      <c r="D37" s="186" t="s">
        <v>63</v>
      </c>
      <c r="E37" s="187" t="s">
        <v>64</v>
      </c>
      <c r="F37" s="372"/>
      <c r="G37" s="374"/>
      <c r="H37" s="189" t="s">
        <v>65</v>
      </c>
      <c r="I37" s="246">
        <f>(20*1180)/1180*G42*3.4*1180/1000000</f>
        <v>48.304479999999998</v>
      </c>
      <c r="J37" s="129">
        <f>+I37+'2'!J37</f>
        <v>171.15603147865167</v>
      </c>
      <c r="K37" s="130" t="s">
        <v>66</v>
      </c>
      <c r="L37" s="437"/>
      <c r="M37" s="438"/>
    </row>
    <row r="38" spans="1:14" ht="17.45" customHeight="1">
      <c r="A38" s="803" t="s">
        <v>13</v>
      </c>
      <c r="B38" s="804"/>
      <c r="C38" s="168">
        <f>SUMIF($G$7:$G$31,"Process",$F$7:$F$31)</f>
        <v>18</v>
      </c>
      <c r="D38" s="122">
        <f>+C38+'2'!D38</f>
        <v>86</v>
      </c>
      <c r="E38" s="147">
        <f t="shared" ref="E38:E51" si="0">D38/60</f>
        <v>1.4333333333333333</v>
      </c>
      <c r="F38" s="372">
        <v>700</v>
      </c>
      <c r="G38" s="372">
        <f>+F38-F38*0.14</f>
        <v>602</v>
      </c>
      <c r="H38" s="190"/>
      <c r="I38" s="559">
        <f>19.503+18.447+9.108</f>
        <v>47.058000000000007</v>
      </c>
      <c r="J38" s="131">
        <f>+I38+'2'!J38</f>
        <v>159.05500000000001</v>
      </c>
      <c r="K38" s="132" t="s">
        <v>66</v>
      </c>
      <c r="L38" s="439"/>
      <c r="M38" s="440"/>
      <c r="N38" s="560"/>
    </row>
    <row r="39" spans="1:14" ht="17.45" customHeight="1">
      <c r="A39" s="799" t="s">
        <v>14</v>
      </c>
      <c r="B39" s="800"/>
      <c r="C39" s="168">
        <f>SUMIF($G$7:$G$31,"Cleaning",$F$7:$F$31)</f>
        <v>0</v>
      </c>
      <c r="D39" s="122">
        <f>+C39+'2'!D39</f>
        <v>0</v>
      </c>
      <c r="E39" s="147">
        <f t="shared" si="0"/>
        <v>0</v>
      </c>
      <c r="F39" s="372">
        <v>700</v>
      </c>
      <c r="G39" s="372">
        <f>+F39-F39*0.14</f>
        <v>602</v>
      </c>
      <c r="H39" s="190"/>
      <c r="I39" s="146"/>
      <c r="J39" s="133">
        <f>J37/G4</f>
        <v>57.052010492883888</v>
      </c>
      <c r="K39" s="134" t="s">
        <v>66</v>
      </c>
      <c r="L39" s="439"/>
      <c r="M39" s="440"/>
    </row>
    <row r="40" spans="1:14" ht="17.45" customHeight="1">
      <c r="A40" s="799" t="s">
        <v>69</v>
      </c>
      <c r="B40" s="800"/>
      <c r="C40" s="168">
        <f>SUMIF($G$7:$G$31,"Mechanical",$F$7:$F$31)</f>
        <v>0</v>
      </c>
      <c r="D40" s="122">
        <f>+C40+'2'!D40</f>
        <v>0</v>
      </c>
      <c r="E40" s="147">
        <f t="shared" si="0"/>
        <v>0</v>
      </c>
      <c r="F40" s="372">
        <v>700</v>
      </c>
      <c r="G40" s="372">
        <f>+F40-F40*0.14</f>
        <v>602</v>
      </c>
      <c r="H40" s="190"/>
      <c r="I40" s="122">
        <f>(K34+L34)/1000</f>
        <v>49.814999999999998</v>
      </c>
      <c r="J40" s="135">
        <f>+I40+'2'!J40</f>
        <v>154.24700000000001</v>
      </c>
      <c r="K40" s="134" t="s">
        <v>66</v>
      </c>
      <c r="L40" s="439"/>
      <c r="M40" s="440"/>
    </row>
    <row r="41" spans="1:14" ht="17.45" customHeight="1">
      <c r="A41" s="799" t="s">
        <v>71</v>
      </c>
      <c r="B41" s="800"/>
      <c r="C41" s="168">
        <f>SUMIF($G$7:$G$31,"Electrical",$F$7:$F$31)</f>
        <v>0</v>
      </c>
      <c r="D41" s="122">
        <f>+C41+'2'!D41</f>
        <v>0</v>
      </c>
      <c r="E41" s="147">
        <f t="shared" si="0"/>
        <v>0</v>
      </c>
      <c r="F41" s="372"/>
      <c r="G41" s="372"/>
      <c r="H41" s="190" t="s">
        <v>72</v>
      </c>
      <c r="I41" s="146"/>
      <c r="J41" s="133">
        <f>J40/G4</f>
        <v>51.415666666666674</v>
      </c>
      <c r="K41" s="134" t="s">
        <v>66</v>
      </c>
      <c r="L41" s="439"/>
      <c r="M41" s="440"/>
    </row>
    <row r="42" spans="1:14" ht="17.45" customHeight="1">
      <c r="A42" s="799" t="s">
        <v>17</v>
      </c>
      <c r="B42" s="800"/>
      <c r="C42" s="168">
        <f>SUMIF($G$7:$G$31,"Instrument",$F$7:$F$31)</f>
        <v>0</v>
      </c>
      <c r="D42" s="122">
        <f>+C42+'2'!D42</f>
        <v>0</v>
      </c>
      <c r="E42" s="147">
        <f t="shared" si="0"/>
        <v>0</v>
      </c>
      <c r="F42" s="372">
        <f>+(F38*480+F39*480+F40*220)/1180</f>
        <v>700</v>
      </c>
      <c r="G42" s="372">
        <f>+(G38*480+G39*480+G40*220)/1180</f>
        <v>602</v>
      </c>
      <c r="H42" s="190" t="s">
        <v>73</v>
      </c>
      <c r="I42" s="248" t="s">
        <v>437</v>
      </c>
      <c r="J42" s="136"/>
      <c r="K42" s="134" t="s">
        <v>74</v>
      </c>
      <c r="L42" s="439"/>
      <c r="M42" s="440"/>
    </row>
    <row r="43" spans="1:14" ht="17.45" customHeight="1">
      <c r="A43" s="799" t="s">
        <v>201</v>
      </c>
      <c r="B43" s="800"/>
      <c r="C43" s="168">
        <f>SUMIF($G$7:$G$31,"Change Grade",$F$7:$F$31)</f>
        <v>0</v>
      </c>
      <c r="D43" s="122">
        <f>+C43+'2'!D43</f>
        <v>0</v>
      </c>
      <c r="E43" s="147">
        <f t="shared" si="0"/>
        <v>0</v>
      </c>
      <c r="F43" s="372"/>
      <c r="G43" s="373"/>
      <c r="H43" s="191" t="s">
        <v>76</v>
      </c>
      <c r="I43" s="122">
        <f>+Report1!AH11</f>
        <v>108.375</v>
      </c>
      <c r="J43" s="137">
        <f>+I43+'2'!J43</f>
        <v>331.08299999999997</v>
      </c>
      <c r="K43" s="134" t="s">
        <v>66</v>
      </c>
      <c r="L43" s="441">
        <f>+Report1!AN11</f>
        <v>9.8000000000000007</v>
      </c>
      <c r="M43" s="442">
        <f>+L43+'2'!M43</f>
        <v>45.8</v>
      </c>
    </row>
    <row r="44" spans="1:14" ht="17.45" customHeight="1">
      <c r="A44" s="799" t="s">
        <v>18</v>
      </c>
      <c r="B44" s="800"/>
      <c r="C44" s="168">
        <f>SUMIF($G$7:$G$31,"PLN",$F$7:$F$31)</f>
        <v>0</v>
      </c>
      <c r="D44" s="122">
        <f>+C44+'2'!D44</f>
        <v>105</v>
      </c>
      <c r="E44" s="147">
        <f t="shared" si="0"/>
        <v>1.75</v>
      </c>
      <c r="F44" s="372"/>
      <c r="G44" s="373"/>
      <c r="H44" s="191" t="s">
        <v>77</v>
      </c>
      <c r="I44" s="122">
        <f>I43/I38</f>
        <v>2.303009052658421</v>
      </c>
      <c r="J44" s="138">
        <f>J43/J38</f>
        <v>2.0815629813586494</v>
      </c>
      <c r="K44" s="134" t="s">
        <v>66</v>
      </c>
      <c r="L44" s="443">
        <f>+L43/I38</f>
        <v>0.20825364443877767</v>
      </c>
      <c r="M44" s="444">
        <f>+M43/J38</f>
        <v>0.28795070887428875</v>
      </c>
    </row>
    <row r="45" spans="1:14" ht="17.45" customHeight="1">
      <c r="A45" s="799" t="s">
        <v>19</v>
      </c>
      <c r="B45" s="800"/>
      <c r="C45" s="168">
        <f>SUMIF($G$7:$G$31,"Boiler",$F$7:$F$31)</f>
        <v>0</v>
      </c>
      <c r="D45" s="122">
        <f>+C45+'2'!D45</f>
        <v>0</v>
      </c>
      <c r="E45" s="147">
        <f t="shared" si="0"/>
        <v>0</v>
      </c>
      <c r="F45" s="372"/>
      <c r="G45" s="375"/>
      <c r="H45" s="191" t="s">
        <v>78</v>
      </c>
      <c r="I45" s="122">
        <f>I43/I40</f>
        <v>2.1755495332731107</v>
      </c>
      <c r="J45" s="138">
        <f>J43/J40</f>
        <v>2.1464469325173257</v>
      </c>
      <c r="K45" s="134" t="s">
        <v>66</v>
      </c>
      <c r="L45" s="443">
        <f>+L43/I40</f>
        <v>0.19672789320485801</v>
      </c>
      <c r="M45" s="444">
        <f>+M43/J40</f>
        <v>0.29692635837325843</v>
      </c>
    </row>
    <row r="46" spans="1:14" ht="17.45" customHeight="1">
      <c r="A46" s="799" t="s">
        <v>79</v>
      </c>
      <c r="B46" s="800"/>
      <c r="C46" s="168">
        <f>SUMIF($G$7:$G$31,"Gas",$F$7:$F$31)</f>
        <v>0</v>
      </c>
      <c r="D46" s="122">
        <f>+C46+'2'!D46</f>
        <v>0</v>
      </c>
      <c r="E46" s="147">
        <f t="shared" si="0"/>
        <v>0</v>
      </c>
      <c r="F46" s="372"/>
      <c r="G46" s="373"/>
      <c r="H46" s="191" t="s">
        <v>80</v>
      </c>
      <c r="I46" s="144">
        <f>+SUMIF(Listrik!AC10,"&gt;0")</f>
        <v>9621.4600000006812</v>
      </c>
      <c r="J46" s="139">
        <f>+I46+'2'!J46</f>
        <v>73552.400000000081</v>
      </c>
      <c r="K46" s="134" t="s">
        <v>81</v>
      </c>
      <c r="L46" s="443">
        <f>+Listrik!AF10</f>
        <v>509</v>
      </c>
      <c r="M46" s="445">
        <f>+L46+'2'!M46</f>
        <v>48214</v>
      </c>
    </row>
    <row r="47" spans="1:14" ht="17.45" customHeight="1">
      <c r="A47" s="799" t="s">
        <v>82</v>
      </c>
      <c r="B47" s="800"/>
      <c r="C47" s="168">
        <f>SUMIF($G$7:$G$31,"Gas",$F$7:$F$31)</f>
        <v>0</v>
      </c>
      <c r="D47" s="122">
        <f>+C47+'2'!D47</f>
        <v>0</v>
      </c>
      <c r="E47" s="147">
        <f t="shared" si="0"/>
        <v>0</v>
      </c>
      <c r="F47" s="372"/>
      <c r="G47" s="373"/>
      <c r="H47" s="191" t="s">
        <v>83</v>
      </c>
      <c r="I47" s="122">
        <f>I46/I38</f>
        <v>204.45960304306769</v>
      </c>
      <c r="J47" s="139">
        <f>J46/J38</f>
        <v>462.43374933199254</v>
      </c>
      <c r="K47" s="134" t="s">
        <v>25</v>
      </c>
      <c r="L47" s="439">
        <f>+L46/I38</f>
        <v>10.816439287687533</v>
      </c>
      <c r="M47" s="444">
        <f>+M46/J38</f>
        <v>303.1278488573135</v>
      </c>
    </row>
    <row r="48" spans="1:14" ht="17.45" customHeight="1">
      <c r="A48" s="799" t="s">
        <v>15</v>
      </c>
      <c r="B48" s="800"/>
      <c r="C48" s="168">
        <f>SUMIF($G$7:$G$31,"Start Up",$F$7:$F$31)</f>
        <v>0</v>
      </c>
      <c r="D48" s="122">
        <f>+C48+'2'!D48</f>
        <v>0</v>
      </c>
      <c r="E48" s="147">
        <f t="shared" si="0"/>
        <v>0</v>
      </c>
      <c r="F48" s="372"/>
      <c r="G48" s="373"/>
      <c r="H48" s="191" t="s">
        <v>84</v>
      </c>
      <c r="I48" s="122">
        <f>I46/I40</f>
        <v>193.14383217907621</v>
      </c>
      <c r="J48" s="139">
        <f>J46/J40</f>
        <v>476.84817208762615</v>
      </c>
      <c r="K48" s="134" t="s">
        <v>25</v>
      </c>
      <c r="L48" s="443">
        <f>+L46/I38</f>
        <v>10.816439287687533</v>
      </c>
      <c r="M48" s="444">
        <f>+M46/J40</f>
        <v>312.57658171633807</v>
      </c>
    </row>
    <row r="49" spans="1:13" ht="17.45" customHeight="1">
      <c r="A49" s="799" t="s">
        <v>21</v>
      </c>
      <c r="B49" s="800"/>
      <c r="C49" s="168">
        <f>SUMIF($G$7:$G$31,"Others",$F$7:$F$31)</f>
        <v>260</v>
      </c>
      <c r="D49" s="122">
        <f>+C49+'2'!D49</f>
        <v>260</v>
      </c>
      <c r="E49" s="147">
        <f t="shared" si="0"/>
        <v>4.333333333333333</v>
      </c>
      <c r="F49" s="188"/>
      <c r="H49" s="191" t="s">
        <v>170</v>
      </c>
      <c r="I49" s="122">
        <f>+Report1!AB11</f>
        <v>0</v>
      </c>
      <c r="J49" s="139">
        <f>+I49+'2'!J49</f>
        <v>0</v>
      </c>
      <c r="K49" s="134" t="s">
        <v>86</v>
      </c>
      <c r="L49" s="439"/>
      <c r="M49" s="440"/>
    </row>
    <row r="50" spans="1:13" ht="17.45" customHeight="1">
      <c r="A50" s="799" t="s">
        <v>20</v>
      </c>
      <c r="B50" s="800"/>
      <c r="C50" s="168">
        <f>SUMIF($G$7:$G$31,"Steam",$F$7:$F$31)</f>
        <v>0</v>
      </c>
      <c r="D50" s="122">
        <f>+C50+'2'!D50</f>
        <v>0</v>
      </c>
      <c r="E50" s="147">
        <f t="shared" si="0"/>
        <v>0</v>
      </c>
      <c r="F50" s="188"/>
      <c r="H50" s="191" t="s">
        <v>87</v>
      </c>
      <c r="I50" s="144">
        <f>I49/I38</f>
        <v>0</v>
      </c>
      <c r="J50" s="137">
        <f>J49/J38</f>
        <v>0</v>
      </c>
      <c r="K50" s="134" t="s">
        <v>86</v>
      </c>
      <c r="L50" s="439"/>
      <c r="M50" s="440"/>
    </row>
    <row r="51" spans="1:13" ht="17.45" customHeight="1" thickBot="1">
      <c r="A51" s="805" t="s">
        <v>88</v>
      </c>
      <c r="B51" s="806"/>
      <c r="C51" s="168">
        <f>SUMIF($G$7:$G$31,"Planned shut",$F$7:$F$31)</f>
        <v>0</v>
      </c>
      <c r="D51" s="122">
        <f>+C51+'2'!D51</f>
        <v>0</v>
      </c>
      <c r="E51" s="147">
        <f t="shared" si="0"/>
        <v>0</v>
      </c>
      <c r="F51" s="188"/>
      <c r="H51" s="193" t="s">
        <v>89</v>
      </c>
      <c r="I51" s="145">
        <f>I49/I40</f>
        <v>0</v>
      </c>
      <c r="J51" s="140">
        <f>J49/J40</f>
        <v>0</v>
      </c>
      <c r="K51" s="141" t="s">
        <v>86</v>
      </c>
      <c r="L51" s="439"/>
      <c r="M51" s="440"/>
    </row>
    <row r="52" spans="1:13" ht="13.5" thickBot="1">
      <c r="A52" s="803" t="s">
        <v>29</v>
      </c>
      <c r="B52" s="804"/>
      <c r="C52" s="148">
        <f>SUM(C38:C51)</f>
        <v>278</v>
      </c>
      <c r="D52" s="148">
        <f>SUM(D38:D51)</f>
        <v>451</v>
      </c>
      <c r="E52" s="149">
        <f>SUM(E38:E51)</f>
        <v>7.5166666666666666</v>
      </c>
      <c r="F52" s="188"/>
      <c r="H52" s="194"/>
      <c r="I52" s="195"/>
      <c r="J52" s="142"/>
      <c r="K52" s="143"/>
      <c r="L52" s="446"/>
      <c r="M52" s="447"/>
    </row>
    <row r="53" spans="1:13" ht="13.5" thickBot="1">
      <c r="A53" s="807"/>
      <c r="B53" s="808"/>
      <c r="C53" s="150">
        <f>C52/(24*60)</f>
        <v>0.19305555555555556</v>
      </c>
      <c r="D53" s="150">
        <f>D52/(24*60*G4)</f>
        <v>0.10439814814814814</v>
      </c>
      <c r="E53" s="151">
        <f>E52/(G4*24)</f>
        <v>0.10439814814814814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90</v>
      </c>
      <c r="B56" s="198"/>
      <c r="C56" s="199"/>
      <c r="D56" s="199"/>
      <c r="E56" s="199"/>
      <c r="F56" s="200"/>
      <c r="G56" s="199"/>
      <c r="H56" s="201"/>
      <c r="I56" s="202" t="s">
        <v>91</v>
      </c>
      <c r="J56" s="203">
        <f>+D34+'2'!J56</f>
        <v>2615</v>
      </c>
      <c r="K56" s="204">
        <f>J56/(J40+J56/1000)/1000</f>
        <v>1.6670704185844879E-2</v>
      </c>
    </row>
    <row r="57" spans="1:13">
      <c r="A57" s="179"/>
      <c r="I57" s="202" t="s">
        <v>92</v>
      </c>
      <c r="J57" s="203">
        <f>+E34+'2'!J57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48:B48"/>
    <mergeCell ref="A49:B49"/>
    <mergeCell ref="A50:B50"/>
    <mergeCell ref="A51:B51"/>
    <mergeCell ref="A41:B41"/>
    <mergeCell ref="A52:B52"/>
    <mergeCell ref="A53:B53"/>
    <mergeCell ref="A42:B42"/>
    <mergeCell ref="A43:B43"/>
    <mergeCell ref="A44:B44"/>
    <mergeCell ref="A45:B45"/>
    <mergeCell ref="A46:B46"/>
    <mergeCell ref="A47:B47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1" type="noConversion"/>
  <printOptions horizontalCentered="1"/>
  <pageMargins left="0.17" right="0.16" top="0.17" bottom="0.16" header="0" footer="0"/>
  <pageSetup paperSize="9" scale="60" firstPageNumber="4294963191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R61"/>
  <sheetViews>
    <sheetView view="pageBreakPreview" zoomScale="80" zoomScaleNormal="75" zoomScaleSheetLayoutView="80" workbookViewId="0">
      <selection activeCell="A7" sqref="A7:A32"/>
    </sheetView>
  </sheetViews>
  <sheetFormatPr defaultColWidth="9.140625" defaultRowHeight="12.75"/>
  <cols>
    <col min="1" max="1" width="8" style="153" customWidth="1"/>
    <col min="2" max="2" width="7" style="153" bestFit="1" customWidth="1"/>
    <col min="3" max="3" width="14.85546875" style="153" bestFit="1" customWidth="1"/>
    <col min="4" max="4" width="12.5703125" style="153" bestFit="1" customWidth="1"/>
    <col min="5" max="5" width="13.85546875" style="153" bestFit="1" customWidth="1"/>
    <col min="6" max="6" width="14" style="114" bestFit="1" customWidth="1"/>
    <col min="7" max="7" width="11.42578125" style="153" bestFit="1" customWidth="1"/>
    <col min="8" max="8" width="64.85546875" style="153" customWidth="1"/>
    <col min="9" max="9" width="14.7109375" style="153" bestFit="1" customWidth="1"/>
    <col min="10" max="10" width="20.140625" style="153" bestFit="1" customWidth="1"/>
    <col min="11" max="11" width="13.7109375" style="153" bestFit="1" customWidth="1"/>
    <col min="12" max="12" width="11.5703125" style="153" customWidth="1"/>
    <col min="13" max="13" width="14.42578125" style="153" bestFit="1" customWidth="1"/>
    <col min="14" max="16384" width="9.140625" style="153"/>
  </cols>
  <sheetData>
    <row r="1" spans="1:18" ht="15.75">
      <c r="A1" s="152"/>
    </row>
    <row r="2" spans="1:18" ht="15.75">
      <c r="A2" s="152" t="s">
        <v>175</v>
      </c>
    </row>
    <row r="3" spans="1:18" ht="15">
      <c r="A3" s="154"/>
    </row>
    <row r="4" spans="1:18" ht="20.25">
      <c r="A4" s="155" t="s">
        <v>4</v>
      </c>
      <c r="B4" s="156"/>
      <c r="F4" s="157" t="s">
        <v>31</v>
      </c>
      <c r="G4" s="158">
        <v>2</v>
      </c>
      <c r="H4" s="158" t="str">
        <f>+'1'!H4</f>
        <v>.12.25</v>
      </c>
    </row>
    <row r="5" spans="1:18" ht="13.5" thickBot="1">
      <c r="C5" s="159"/>
      <c r="D5" s="159"/>
    </row>
    <row r="6" spans="1:18" ht="26.25" thickBot="1">
      <c r="A6" s="160" t="s">
        <v>50</v>
      </c>
      <c r="B6" s="161" t="s">
        <v>10</v>
      </c>
      <c r="C6" s="161" t="s">
        <v>51</v>
      </c>
      <c r="D6" s="161" t="s">
        <v>52</v>
      </c>
      <c r="E6" s="162" t="s">
        <v>53</v>
      </c>
      <c r="F6" s="106" t="s">
        <v>54</v>
      </c>
      <c r="G6" s="161" t="s">
        <v>55</v>
      </c>
      <c r="H6" s="163" t="s">
        <v>56</v>
      </c>
      <c r="I6" s="164" t="s">
        <v>57</v>
      </c>
      <c r="J6" s="165" t="s">
        <v>10</v>
      </c>
      <c r="K6" s="166" t="s">
        <v>58</v>
      </c>
      <c r="L6" s="213" t="s">
        <v>143</v>
      </c>
      <c r="M6" s="167" t="s">
        <v>59</v>
      </c>
      <c r="N6" s="153">
        <v>484</v>
      </c>
    </row>
    <row r="7" spans="1:18" ht="13.5" customHeight="1" thickBot="1">
      <c r="A7" s="789" t="s">
        <v>414</v>
      </c>
      <c r="B7" s="218" t="s">
        <v>427</v>
      </c>
      <c r="C7" s="219">
        <v>18504</v>
      </c>
      <c r="D7" s="220"/>
      <c r="E7" s="221"/>
      <c r="F7" s="230"/>
      <c r="G7" s="231" t="s">
        <v>13</v>
      </c>
      <c r="H7" s="232" t="s">
        <v>395</v>
      </c>
      <c r="I7" s="792" t="s">
        <v>436</v>
      </c>
      <c r="J7" s="217" t="str">
        <f>+'1'!J7</f>
        <v>TW 38 RC BR</v>
      </c>
      <c r="K7" s="240">
        <f>+C7</f>
        <v>18504</v>
      </c>
      <c r="L7" s="244"/>
      <c r="M7" s="121">
        <f>+K7+'1'!M7+L7</f>
        <v>78513</v>
      </c>
    </row>
    <row r="8" spans="1:18" ht="13.5" thickBot="1">
      <c r="A8" s="790"/>
      <c r="B8" s="218"/>
      <c r="C8" s="219"/>
      <c r="D8" s="220"/>
      <c r="E8" s="222"/>
      <c r="F8" s="233">
        <v>33</v>
      </c>
      <c r="G8" s="578" t="s">
        <v>13</v>
      </c>
      <c r="H8" s="232" t="s">
        <v>394</v>
      </c>
      <c r="I8" s="793"/>
      <c r="J8" s="217" t="s">
        <v>446</v>
      </c>
      <c r="K8" s="241">
        <f>+C16</f>
        <v>1530</v>
      </c>
      <c r="L8" s="241"/>
      <c r="M8" s="121">
        <f>+K8+'1'!M8+L8</f>
        <v>1530</v>
      </c>
      <c r="N8" s="153">
        <v>380</v>
      </c>
      <c r="O8" s="153">
        <f>+N8-N8*0.12</f>
        <v>334.4</v>
      </c>
      <c r="P8" s="153">
        <v>355</v>
      </c>
      <c r="Q8" s="153">
        <f>+N8*P8</f>
        <v>134900</v>
      </c>
      <c r="R8" s="153">
        <f>+O8*P8</f>
        <v>118711.99999999999</v>
      </c>
    </row>
    <row r="9" spans="1:18" ht="13.5" thickBot="1">
      <c r="A9" s="790"/>
      <c r="B9" s="218"/>
      <c r="C9" s="219"/>
      <c r="D9" s="220"/>
      <c r="E9" s="223"/>
      <c r="F9" s="230">
        <v>2</v>
      </c>
      <c r="G9" s="578" t="s">
        <v>13</v>
      </c>
      <c r="H9" s="235" t="s">
        <v>226</v>
      </c>
      <c r="I9" s="793"/>
      <c r="J9" s="217" t="s">
        <v>447</v>
      </c>
      <c r="K9" s="241">
        <f>+C17+C25</f>
        <v>24389</v>
      </c>
      <c r="L9" s="241"/>
      <c r="M9" s="121">
        <f>+K9+'1'!M9+L9</f>
        <v>24389</v>
      </c>
      <c r="N9" s="153">
        <v>380</v>
      </c>
      <c r="O9" s="153">
        <f>+N9-N9*0.12</f>
        <v>334.4</v>
      </c>
      <c r="P9" s="153">
        <f>5+45</f>
        <v>50</v>
      </c>
      <c r="Q9" s="153">
        <f>+N9*P9</f>
        <v>19000</v>
      </c>
      <c r="R9" s="153">
        <f>+O9*P9</f>
        <v>16720</v>
      </c>
    </row>
    <row r="10" spans="1:18" ht="13.5" thickBot="1">
      <c r="A10" s="790"/>
      <c r="B10" s="218"/>
      <c r="C10" s="219"/>
      <c r="D10" s="220"/>
      <c r="E10" s="222"/>
      <c r="F10" s="230"/>
      <c r="G10" s="578"/>
      <c r="H10" s="235" t="s">
        <v>418</v>
      </c>
      <c r="I10" s="793"/>
      <c r="J10" s="217">
        <f>+'1'!J10</f>
        <v>0</v>
      </c>
      <c r="K10" s="241"/>
      <c r="L10" s="241"/>
      <c r="M10" s="121">
        <f>+K10+'1'!M10+L10</f>
        <v>0</v>
      </c>
      <c r="N10" s="153">
        <v>700</v>
      </c>
      <c r="O10" s="153">
        <f>+N10-N10*0.14</f>
        <v>602</v>
      </c>
      <c r="P10" s="153">
        <f>15+60</f>
        <v>75</v>
      </c>
      <c r="Q10" s="153">
        <f>+N10*P10</f>
        <v>52500</v>
      </c>
      <c r="R10" s="153">
        <f>+O10*P10</f>
        <v>45150</v>
      </c>
    </row>
    <row r="11" spans="1:18" ht="13.5" thickBot="1">
      <c r="A11" s="790"/>
      <c r="B11" s="218"/>
      <c r="C11" s="219"/>
      <c r="D11" s="220"/>
      <c r="E11" s="222"/>
      <c r="F11" s="230"/>
      <c r="G11" s="234"/>
      <c r="H11" s="235" t="s">
        <v>430</v>
      </c>
      <c r="I11" s="793"/>
      <c r="J11" s="217">
        <f>+'1'!J11</f>
        <v>0</v>
      </c>
      <c r="K11" s="241"/>
      <c r="L11" s="241"/>
      <c r="M11" s="121">
        <f>+K11+'1'!M11+L11</f>
        <v>0</v>
      </c>
      <c r="P11" s="153">
        <f>SUM(P8:P10)</f>
        <v>480</v>
      </c>
      <c r="Q11" s="153">
        <f>SUM(Q8:Q10)</f>
        <v>206400</v>
      </c>
      <c r="R11" s="153">
        <f>SUM(R8:R10)</f>
        <v>180582</v>
      </c>
    </row>
    <row r="12" spans="1:18" ht="13.5" thickBot="1">
      <c r="A12" s="790"/>
      <c r="B12" s="218"/>
      <c r="C12" s="219"/>
      <c r="D12" s="220"/>
      <c r="E12" s="222"/>
      <c r="F12" s="230"/>
      <c r="G12" s="234"/>
      <c r="H12" s="235" t="s">
        <v>435</v>
      </c>
      <c r="I12" s="793"/>
      <c r="J12" s="217">
        <f>+'1'!J12</f>
        <v>0</v>
      </c>
      <c r="K12" s="241"/>
      <c r="L12" s="241"/>
      <c r="M12" s="121">
        <f>+K12+'1'!M12+L12</f>
        <v>0</v>
      </c>
      <c r="Q12" s="153">
        <f>+Q11/P11</f>
        <v>430</v>
      </c>
      <c r="R12" s="153">
        <f>+R11/P11</f>
        <v>376.21249999999998</v>
      </c>
    </row>
    <row r="13" spans="1:18" ht="13.5" thickBot="1">
      <c r="A13" s="790"/>
      <c r="B13" s="218"/>
      <c r="C13" s="219"/>
      <c r="D13" s="219"/>
      <c r="E13" s="222"/>
      <c r="F13" s="230"/>
      <c r="G13" s="234"/>
      <c r="H13" s="235"/>
      <c r="I13" s="794"/>
      <c r="J13" s="217">
        <f>+'1'!J13</f>
        <v>0</v>
      </c>
      <c r="K13" s="241"/>
      <c r="L13" s="241"/>
      <c r="M13" s="121">
        <f>+K13+'1'!M13+L13</f>
        <v>0</v>
      </c>
    </row>
    <row r="14" spans="1:18" ht="13.5" thickBot="1">
      <c r="A14" s="791"/>
      <c r="B14" s="169" t="s">
        <v>3</v>
      </c>
      <c r="C14" s="103">
        <f>SUM(C7:C13)</f>
        <v>18504</v>
      </c>
      <c r="D14" s="115">
        <f>SUM(D7:D13)</f>
        <v>0</v>
      </c>
      <c r="E14" s="116">
        <f>SUM(E5:E13)</f>
        <v>0</v>
      </c>
      <c r="F14" s="120">
        <f>SUM(F7:F13)</f>
        <v>35</v>
      </c>
      <c r="G14" s="163"/>
      <c r="H14" s="170"/>
      <c r="I14" s="171"/>
      <c r="J14" s="217">
        <f>+'1'!J14</f>
        <v>0</v>
      </c>
      <c r="K14" s="241"/>
      <c r="L14" s="241"/>
      <c r="M14" s="121">
        <f>+K14+'1'!M14+L14</f>
        <v>0</v>
      </c>
    </row>
    <row r="15" spans="1:18" ht="13.5" customHeight="1" thickBot="1">
      <c r="A15" s="789" t="s">
        <v>415</v>
      </c>
      <c r="B15" s="169"/>
      <c r="C15" s="117">
        <f>C14/($C$23+$D$23+$E$23)</f>
        <v>1.5468985119545227</v>
      </c>
      <c r="D15" s="118">
        <f>D14/($C$23+$D$23+$E$23)</f>
        <v>0</v>
      </c>
      <c r="E15" s="119">
        <f>E14/($C$23+$D$23+$E$23)</f>
        <v>0</v>
      </c>
      <c r="F15" s="230"/>
      <c r="G15" s="231" t="s">
        <v>13</v>
      </c>
      <c r="H15" s="232" t="s">
        <v>395</v>
      </c>
      <c r="I15" s="792" t="s">
        <v>437</v>
      </c>
      <c r="J15" s="217">
        <f>+'1'!J15</f>
        <v>0</v>
      </c>
      <c r="K15" s="241"/>
      <c r="L15" s="241"/>
      <c r="M15" s="121">
        <f>+K15+'1'!M15+L15</f>
        <v>0</v>
      </c>
    </row>
    <row r="16" spans="1:18" ht="13.5" thickBot="1">
      <c r="A16" s="795"/>
      <c r="B16" s="218" t="s">
        <v>446</v>
      </c>
      <c r="C16" s="224">
        <v>1530</v>
      </c>
      <c r="D16" s="225"/>
      <c r="E16" s="226"/>
      <c r="F16" s="233">
        <v>5</v>
      </c>
      <c r="G16" s="578" t="s">
        <v>13</v>
      </c>
      <c r="H16" s="232" t="s">
        <v>393</v>
      </c>
      <c r="I16" s="793"/>
      <c r="J16" s="217">
        <f>+'1'!J16</f>
        <v>0</v>
      </c>
      <c r="K16" s="241"/>
      <c r="L16" s="231"/>
      <c r="M16" s="121">
        <f>+K16+'1'!M16+L16</f>
        <v>0</v>
      </c>
    </row>
    <row r="17" spans="1:14" ht="13.5" thickBot="1">
      <c r="A17" s="795"/>
      <c r="B17" s="218" t="s">
        <v>447</v>
      </c>
      <c r="C17" s="219">
        <f>8434+1598</f>
        <v>10032</v>
      </c>
      <c r="D17" s="220">
        <v>400</v>
      </c>
      <c r="E17" s="227"/>
      <c r="F17" s="230">
        <v>5</v>
      </c>
      <c r="G17" s="578" t="s">
        <v>13</v>
      </c>
      <c r="H17" s="235" t="s">
        <v>226</v>
      </c>
      <c r="I17" s="793"/>
      <c r="J17" s="217">
        <f>+'1'!J17</f>
        <v>0</v>
      </c>
      <c r="K17" s="231"/>
      <c r="L17" s="231"/>
      <c r="M17" s="121">
        <f>+K17+'1'!M17+L17</f>
        <v>0</v>
      </c>
    </row>
    <row r="18" spans="1:14" ht="13.5" thickBot="1">
      <c r="A18" s="795"/>
      <c r="B18" s="218"/>
      <c r="C18" s="219"/>
      <c r="D18" s="220"/>
      <c r="E18" s="227"/>
      <c r="F18" s="230"/>
      <c r="G18" s="578"/>
      <c r="H18" s="235" t="s">
        <v>433</v>
      </c>
      <c r="I18" s="793"/>
      <c r="J18" s="217">
        <f>+'1'!J18</f>
        <v>0</v>
      </c>
      <c r="K18" s="241"/>
      <c r="L18" s="241"/>
      <c r="M18" s="121">
        <f>+K18+'1'!M18+L18</f>
        <v>0</v>
      </c>
    </row>
    <row r="19" spans="1:14" ht="26.25" thickBot="1">
      <c r="A19" s="795"/>
      <c r="B19" s="218"/>
      <c r="C19" s="219"/>
      <c r="D19" s="220"/>
      <c r="E19" s="227"/>
      <c r="F19" s="237">
        <f>60-35+60+20</f>
        <v>105</v>
      </c>
      <c r="G19" s="234" t="s">
        <v>18</v>
      </c>
      <c r="H19" s="235" t="s">
        <v>431</v>
      </c>
      <c r="I19" s="793"/>
      <c r="J19" s="217">
        <f>+'1'!J19</f>
        <v>0</v>
      </c>
      <c r="K19" s="241"/>
      <c r="L19" s="241"/>
      <c r="M19" s="121">
        <f>+K19+'1'!M19+L19</f>
        <v>0</v>
      </c>
    </row>
    <row r="20" spans="1:14" ht="13.5" thickBot="1">
      <c r="A20" s="795"/>
      <c r="B20" s="218"/>
      <c r="C20" s="219"/>
      <c r="D20" s="220"/>
      <c r="E20" s="227"/>
      <c r="F20" s="230"/>
      <c r="G20" s="234"/>
      <c r="H20" s="235" t="s">
        <v>432</v>
      </c>
      <c r="I20" s="793"/>
      <c r="J20" s="217">
        <f>+'1'!J20</f>
        <v>0</v>
      </c>
      <c r="K20" s="242"/>
      <c r="L20" s="242"/>
      <c r="M20" s="121">
        <f>+K20+'1'!M20+L20</f>
        <v>0</v>
      </c>
    </row>
    <row r="21" spans="1:14" ht="13.5" thickBot="1">
      <c r="A21" s="795"/>
      <c r="B21" s="218"/>
      <c r="C21" s="219"/>
      <c r="D21" s="220"/>
      <c r="E21" s="227"/>
      <c r="F21" s="233"/>
      <c r="G21" s="234"/>
      <c r="H21" s="235" t="s">
        <v>434</v>
      </c>
      <c r="I21" s="793"/>
      <c r="J21" s="217">
        <f>+'1'!J21</f>
        <v>0</v>
      </c>
      <c r="K21" s="241"/>
      <c r="L21" s="241"/>
      <c r="M21" s="121">
        <f>+K21+'1'!M21+L21</f>
        <v>0</v>
      </c>
    </row>
    <row r="22" spans="1:14" ht="13.5" thickBot="1">
      <c r="A22" s="795"/>
      <c r="B22" s="218"/>
      <c r="C22" s="219"/>
      <c r="D22" s="220"/>
      <c r="E22" s="227"/>
      <c r="F22" s="238"/>
      <c r="G22" s="234"/>
      <c r="H22" s="235"/>
      <c r="I22" s="794"/>
      <c r="J22" s="217">
        <f>+'1'!J22</f>
        <v>0</v>
      </c>
      <c r="K22" s="241"/>
      <c r="L22" s="241"/>
      <c r="M22" s="121">
        <f>+K22+'1'!M22+L22</f>
        <v>0</v>
      </c>
    </row>
    <row r="23" spans="1:14" ht="13.5" thickBot="1">
      <c r="A23" s="796"/>
      <c r="B23" s="169" t="s">
        <v>3</v>
      </c>
      <c r="C23" s="104">
        <f>SUM(C16:C22)</f>
        <v>11562</v>
      </c>
      <c r="D23" s="115">
        <f>SUM(D16:D22)</f>
        <v>400</v>
      </c>
      <c r="E23" s="116">
        <f>SUM(E18:E22)</f>
        <v>0</v>
      </c>
      <c r="F23" s="120">
        <f>SUM(F15:F22)</f>
        <v>115</v>
      </c>
      <c r="G23" s="163"/>
      <c r="H23" s="170"/>
      <c r="I23" s="172"/>
      <c r="J23" s="217">
        <f>+'1'!J23</f>
        <v>0</v>
      </c>
      <c r="K23" s="241"/>
      <c r="L23" s="241"/>
      <c r="M23" s="121">
        <f>+K23+'1'!M23+L23</f>
        <v>0</v>
      </c>
    </row>
    <row r="24" spans="1:14" ht="13.5" customHeight="1" thickBot="1">
      <c r="A24" s="789" t="s">
        <v>412</v>
      </c>
      <c r="B24" s="173"/>
      <c r="C24" s="117">
        <f>C23/($C$23+$D$23+$E$23)</f>
        <v>0.96656077579000166</v>
      </c>
      <c r="D24" s="118">
        <f>D23/($C$23+$D$23+$E$23)</f>
        <v>3.3439224209998328E-2</v>
      </c>
      <c r="E24" s="119">
        <f>E23/($C$23+$D$23+$E$23)</f>
        <v>0</v>
      </c>
      <c r="F24" s="230">
        <v>2</v>
      </c>
      <c r="G24" s="231" t="s">
        <v>13</v>
      </c>
      <c r="H24" s="232" t="s">
        <v>392</v>
      </c>
      <c r="I24" s="792" t="s">
        <v>437</v>
      </c>
      <c r="J24" s="217">
        <f>+'1'!J24</f>
        <v>0</v>
      </c>
      <c r="K24" s="241"/>
      <c r="L24" s="241"/>
      <c r="M24" s="121">
        <f>+K24+'1'!M24+L24</f>
        <v>0</v>
      </c>
    </row>
    <row r="25" spans="1:14" ht="13.5" customHeight="1" thickBot="1">
      <c r="A25" s="795"/>
      <c r="B25" s="218" t="s">
        <v>447</v>
      </c>
      <c r="C25" s="228">
        <v>14357</v>
      </c>
      <c r="D25" s="220">
        <v>665</v>
      </c>
      <c r="E25" s="227"/>
      <c r="F25" s="233">
        <v>2</v>
      </c>
      <c r="G25" s="578" t="s">
        <v>13</v>
      </c>
      <c r="H25" s="232" t="s">
        <v>393</v>
      </c>
      <c r="I25" s="793"/>
      <c r="J25" s="217">
        <f>+'1'!J25</f>
        <v>0</v>
      </c>
      <c r="K25" s="241"/>
      <c r="L25" s="241"/>
      <c r="M25" s="121">
        <f>+K25+'1'!M25+L25</f>
        <v>0</v>
      </c>
    </row>
    <row r="26" spans="1:14" ht="13.5" customHeight="1" thickBot="1">
      <c r="A26" s="795"/>
      <c r="B26" s="218"/>
      <c r="C26" s="228"/>
      <c r="D26" s="220"/>
      <c r="E26" s="229"/>
      <c r="F26" s="230">
        <v>11</v>
      </c>
      <c r="G26" s="578" t="s">
        <v>13</v>
      </c>
      <c r="H26" s="235" t="s">
        <v>226</v>
      </c>
      <c r="I26" s="793"/>
      <c r="J26" s="217">
        <f>+'1'!J26</f>
        <v>0</v>
      </c>
      <c r="K26" s="241"/>
      <c r="L26" s="241"/>
      <c r="M26" s="121">
        <f>+K26+'1'!M26+L26</f>
        <v>0</v>
      </c>
    </row>
    <row r="27" spans="1:14" ht="13.5" customHeight="1" thickBot="1">
      <c r="A27" s="795"/>
      <c r="B27" s="218"/>
      <c r="C27" s="219"/>
      <c r="D27" s="220"/>
      <c r="E27" s="227"/>
      <c r="F27" s="230"/>
      <c r="G27" s="578"/>
      <c r="H27" s="235" t="s">
        <v>433</v>
      </c>
      <c r="I27" s="793"/>
      <c r="J27" s="217">
        <f>+'1'!J27</f>
        <v>0</v>
      </c>
      <c r="K27" s="241"/>
      <c r="L27" s="241"/>
      <c r="M27" s="121">
        <f>+K27+'1'!M27+L27</f>
        <v>0</v>
      </c>
    </row>
    <row r="28" spans="1:14" ht="13.5" customHeight="1" thickBot="1">
      <c r="A28" s="795"/>
      <c r="B28" s="218"/>
      <c r="C28" s="219"/>
      <c r="D28" s="220"/>
      <c r="E28" s="227"/>
      <c r="F28" s="233"/>
      <c r="G28" s="234"/>
      <c r="H28" s="235" t="s">
        <v>434</v>
      </c>
      <c r="I28" s="793"/>
      <c r="J28" s="217">
        <f>+'1'!J28</f>
        <v>0</v>
      </c>
      <c r="K28" s="241"/>
      <c r="L28" s="241"/>
      <c r="M28" s="121">
        <f>+K28+'1'!M28+L28</f>
        <v>0</v>
      </c>
    </row>
    <row r="29" spans="1:14" ht="13.5" customHeight="1" thickBot="1">
      <c r="A29" s="795"/>
      <c r="B29" s="218"/>
      <c r="C29" s="219"/>
      <c r="D29" s="220"/>
      <c r="E29" s="227"/>
      <c r="F29" s="238"/>
      <c r="G29" s="234"/>
      <c r="H29" s="235"/>
      <c r="I29" s="793"/>
      <c r="J29" s="217">
        <f>+'1'!J29</f>
        <v>0</v>
      </c>
      <c r="K29" s="241"/>
      <c r="L29" s="241"/>
      <c r="M29" s="121">
        <f>+K29+'1'!M29+L29</f>
        <v>0</v>
      </c>
    </row>
    <row r="30" spans="1:14" ht="13.5" customHeight="1" thickBot="1">
      <c r="A30" s="795"/>
      <c r="B30" s="218"/>
      <c r="C30" s="228"/>
      <c r="D30" s="220"/>
      <c r="E30" s="227"/>
      <c r="F30" s="238"/>
      <c r="G30" s="234"/>
      <c r="H30" s="235"/>
      <c r="I30" s="793"/>
      <c r="J30" s="217">
        <f>+'1'!J30</f>
        <v>0</v>
      </c>
      <c r="K30" s="241"/>
      <c r="L30" s="241"/>
      <c r="M30" s="121">
        <f>+K30+'1'!M30+L30</f>
        <v>0</v>
      </c>
      <c r="N30" s="159"/>
    </row>
    <row r="31" spans="1:14" ht="13.5" customHeight="1" thickBot="1">
      <c r="A31" s="795"/>
      <c r="B31" s="218"/>
      <c r="C31" s="228"/>
      <c r="D31" s="220"/>
      <c r="E31" s="227"/>
      <c r="F31" s="238"/>
      <c r="G31" s="239"/>
      <c r="H31" s="584"/>
      <c r="I31" s="794"/>
      <c r="J31" s="217">
        <f>+'1'!J31</f>
        <v>0</v>
      </c>
      <c r="K31" s="241"/>
      <c r="L31" s="241"/>
      <c r="M31" s="121">
        <f>+K31+'1'!M31+L31</f>
        <v>0</v>
      </c>
    </row>
    <row r="32" spans="1:14" ht="13.5" customHeight="1" thickBot="1">
      <c r="A32" s="796"/>
      <c r="B32" s="169" t="s">
        <v>3</v>
      </c>
      <c r="C32" s="103">
        <f>SUM(C25:C31)</f>
        <v>14357</v>
      </c>
      <c r="D32" s="104">
        <f>SUM(D25:D31)</f>
        <v>665</v>
      </c>
      <c r="E32" s="105">
        <f>SUM(E25:E31)</f>
        <v>0</v>
      </c>
      <c r="F32" s="106">
        <f>SUM(F24:F31)</f>
        <v>15</v>
      </c>
      <c r="G32" s="174"/>
      <c r="H32" s="175"/>
      <c r="I32" s="172"/>
      <c r="J32" s="217">
        <f>+'1'!J32</f>
        <v>0</v>
      </c>
      <c r="K32" s="243"/>
      <c r="L32" s="245"/>
      <c r="M32" s="121">
        <f>+K32+'1'!M32+L32</f>
        <v>0</v>
      </c>
    </row>
    <row r="33" spans="1:14" ht="13.5" thickBot="1">
      <c r="A33" s="176"/>
      <c r="B33" s="177"/>
      <c r="C33" s="107">
        <f>C32/($C$32+$D$32+$E$32)</f>
        <v>0.95573159366262816</v>
      </c>
      <c r="D33" s="108">
        <f>D32/($C$32+$D$32+$E$32)</f>
        <v>4.4268406337371856E-2</v>
      </c>
      <c r="E33" s="109">
        <f>E32/($C$32+$D$32+$E$32)</f>
        <v>0</v>
      </c>
      <c r="F33" s="110"/>
      <c r="G33" s="178"/>
      <c r="H33" s="179"/>
      <c r="I33" s="180"/>
      <c r="J33" s="125"/>
      <c r="K33" s="126"/>
      <c r="L33" s="216"/>
      <c r="M33" s="123"/>
    </row>
    <row r="34" spans="1:14" ht="13.5" thickBot="1">
      <c r="A34" s="797" t="s">
        <v>60</v>
      </c>
      <c r="B34" s="798"/>
      <c r="C34" s="111">
        <f>C14+C23+C32</f>
        <v>44423</v>
      </c>
      <c r="D34" s="111">
        <f>D14+D23+D32</f>
        <v>1065</v>
      </c>
      <c r="E34" s="111">
        <f>E14+E23+E32</f>
        <v>0</v>
      </c>
      <c r="F34" s="112">
        <f>F14+F23+F32</f>
        <v>165</v>
      </c>
      <c r="H34" s="181"/>
      <c r="I34" s="181"/>
      <c r="J34" s="127" t="s">
        <v>29</v>
      </c>
      <c r="K34" s="128">
        <f>SUM(K7:K32)</f>
        <v>44423</v>
      </c>
      <c r="L34" s="215">
        <f>SUM(L7:L32)</f>
        <v>0</v>
      </c>
      <c r="M34" s="124">
        <f>SUM(M7:M32)</f>
        <v>104432</v>
      </c>
      <c r="N34" s="159"/>
    </row>
    <row r="35" spans="1:14" ht="13.5" thickBot="1">
      <c r="A35" s="182"/>
      <c r="B35" s="183"/>
      <c r="C35" s="108">
        <f>C34/($C$34+$D$34+$E$34)</f>
        <v>0.97658723179739715</v>
      </c>
      <c r="D35" s="108">
        <f>D34/($C$34+$D$34+$E$34)</f>
        <v>2.3412768202602883E-2</v>
      </c>
      <c r="E35" s="113">
        <f>E34/($C$34+$D$34+$E$34)</f>
        <v>0</v>
      </c>
      <c r="K35" s="159"/>
      <c r="L35" s="788" t="s">
        <v>186</v>
      </c>
      <c r="M35" s="788"/>
    </row>
    <row r="36" spans="1:14" ht="13.5" thickBot="1">
      <c r="A36" s="181"/>
      <c r="B36" s="181"/>
      <c r="C36" s="159"/>
      <c r="D36" s="159"/>
      <c r="E36" s="159"/>
      <c r="G36" s="159"/>
      <c r="H36" s="184"/>
      <c r="I36" s="166" t="s">
        <v>42</v>
      </c>
      <c r="J36" s="166" t="s">
        <v>43</v>
      </c>
      <c r="K36" s="185"/>
      <c r="L36" s="166" t="s">
        <v>42</v>
      </c>
      <c r="M36" s="166" t="s">
        <v>43</v>
      </c>
    </row>
    <row r="37" spans="1:14" ht="17.45" customHeight="1" thickBot="1">
      <c r="A37" s="801" t="s">
        <v>61</v>
      </c>
      <c r="B37" s="802"/>
      <c r="C37" s="166" t="s">
        <v>62</v>
      </c>
      <c r="D37" s="186" t="s">
        <v>63</v>
      </c>
      <c r="E37" s="187" t="s">
        <v>64</v>
      </c>
      <c r="F37" s="372"/>
      <c r="G37" s="374"/>
      <c r="H37" s="189" t="s">
        <v>65</v>
      </c>
      <c r="I37" s="246">
        <f>(38*355+36*50+20*930)/1335*G42*3.4*1335/1000000</f>
        <v>60.011772278651669</v>
      </c>
      <c r="J37" s="129">
        <f>+I37+'1'!J37</f>
        <v>122.85155147865167</v>
      </c>
      <c r="K37" s="130" t="s">
        <v>66</v>
      </c>
      <c r="L37" s="437"/>
      <c r="M37" s="438"/>
      <c r="N37" s="153">
        <v>16.977</v>
      </c>
    </row>
    <row r="38" spans="1:14" ht="17.45" customHeight="1">
      <c r="A38" s="803" t="s">
        <v>13</v>
      </c>
      <c r="B38" s="804"/>
      <c r="C38" s="168">
        <f>SUMIF($G$7:$G$31,"Process",$F$7:$F$31)</f>
        <v>60</v>
      </c>
      <c r="D38" s="122">
        <f>+C38+'1'!D38</f>
        <v>68</v>
      </c>
      <c r="E38" s="147">
        <f t="shared" ref="E38:E51" si="0">D38/60</f>
        <v>1.1333333333333333</v>
      </c>
      <c r="F38" s="372">
        <v>430</v>
      </c>
      <c r="G38" s="372">
        <v>376.21249999999998</v>
      </c>
      <c r="H38" s="190" t="s">
        <v>67</v>
      </c>
      <c r="I38" s="559">
        <f>19.135+14.256+18.148</f>
        <v>51.539000000000001</v>
      </c>
      <c r="J38" s="131">
        <f>+I38+'1'!J38</f>
        <v>111.997</v>
      </c>
      <c r="K38" s="132" t="s">
        <v>66</v>
      </c>
      <c r="L38" s="439"/>
      <c r="M38" s="440"/>
      <c r="N38" s="153">
        <v>1.4259999999999999</v>
      </c>
    </row>
    <row r="39" spans="1:14" ht="17.45" customHeight="1">
      <c r="A39" s="799" t="s">
        <v>14</v>
      </c>
      <c r="B39" s="800"/>
      <c r="C39" s="168">
        <f>SUMIF($G$7:$G$31,"Cleaning",$F$7:$F$31)</f>
        <v>0</v>
      </c>
      <c r="D39" s="122">
        <f>+C39+'1'!D39</f>
        <v>0</v>
      </c>
      <c r="E39" s="147">
        <f t="shared" si="0"/>
        <v>0</v>
      </c>
      <c r="F39" s="372">
        <v>700</v>
      </c>
      <c r="G39" s="372">
        <f>+F39-F39*0.14</f>
        <v>602</v>
      </c>
      <c r="H39" s="190" t="s">
        <v>68</v>
      </c>
      <c r="I39" s="146"/>
      <c r="J39" s="133">
        <f>J37/G4</f>
        <v>61.425775739325836</v>
      </c>
      <c r="K39" s="134" t="s">
        <v>66</v>
      </c>
      <c r="L39" s="439"/>
      <c r="M39" s="440"/>
      <c r="N39" s="560">
        <f>+I38-N37-N38</f>
        <v>33.135999999999996</v>
      </c>
    </row>
    <row r="40" spans="1:14" ht="17.45" customHeight="1">
      <c r="A40" s="799" t="s">
        <v>69</v>
      </c>
      <c r="B40" s="800"/>
      <c r="C40" s="168">
        <f>SUMIF($G$7:$G$31,"Mechanical",$F$7:$F$31)</f>
        <v>0</v>
      </c>
      <c r="D40" s="122">
        <f>+C40+'1'!D40</f>
        <v>0</v>
      </c>
      <c r="E40" s="147">
        <f t="shared" si="0"/>
        <v>0</v>
      </c>
      <c r="F40" s="372">
        <v>700</v>
      </c>
      <c r="G40" s="372">
        <f>+F40-F40*0.14</f>
        <v>602</v>
      </c>
      <c r="H40" s="190" t="s">
        <v>70</v>
      </c>
      <c r="I40" s="122">
        <f>(K34+L34)/1000</f>
        <v>44.423000000000002</v>
      </c>
      <c r="J40" s="135">
        <f>+I40+'1'!J40</f>
        <v>104.432</v>
      </c>
      <c r="K40" s="134" t="s">
        <v>66</v>
      </c>
      <c r="L40" s="439"/>
      <c r="M40" s="440"/>
    </row>
    <row r="41" spans="1:14" ht="17.45" customHeight="1">
      <c r="A41" s="799" t="s">
        <v>71</v>
      </c>
      <c r="B41" s="800"/>
      <c r="C41" s="168">
        <f>SUMIF($G$7:$G$31,"Electrical",$F$7:$F$31)</f>
        <v>0</v>
      </c>
      <c r="D41" s="122">
        <f>+C41+'1'!D41</f>
        <v>0</v>
      </c>
      <c r="E41" s="147">
        <f t="shared" si="0"/>
        <v>0</v>
      </c>
      <c r="F41" s="372"/>
      <c r="G41" s="372"/>
      <c r="H41" s="190" t="s">
        <v>72</v>
      </c>
      <c r="I41" s="146"/>
      <c r="J41" s="133">
        <f>J40/G4</f>
        <v>52.216000000000001</v>
      </c>
      <c r="K41" s="134" t="s">
        <v>66</v>
      </c>
      <c r="L41" s="439"/>
      <c r="M41" s="440"/>
    </row>
    <row r="42" spans="1:14" ht="17.45" customHeight="1">
      <c r="A42" s="799" t="s">
        <v>17</v>
      </c>
      <c r="B42" s="800"/>
      <c r="C42" s="168">
        <f>SUMIF($G$7:$G$31,"Instrument",$F$7:$F$31)</f>
        <v>0</v>
      </c>
      <c r="D42" s="122">
        <f>+C42+'1'!D42</f>
        <v>0</v>
      </c>
      <c r="E42" s="147">
        <f t="shared" si="0"/>
        <v>0</v>
      </c>
      <c r="F42" s="372">
        <f>+(F38*480+F39*375+F40*480)/1335</f>
        <v>602.92134831460669</v>
      </c>
      <c r="G42" s="372">
        <f>+(G38*480+G39*375+G40*480)/1335</f>
        <v>520.81797752808984</v>
      </c>
      <c r="H42" s="190" t="s">
        <v>73</v>
      </c>
      <c r="I42" s="248" t="s">
        <v>438</v>
      </c>
      <c r="J42" s="136"/>
      <c r="K42" s="134" t="s">
        <v>74</v>
      </c>
      <c r="L42" s="439"/>
      <c r="M42" s="440"/>
    </row>
    <row r="43" spans="1:14" ht="17.45" customHeight="1">
      <c r="A43" s="799" t="s">
        <v>75</v>
      </c>
      <c r="B43" s="800"/>
      <c r="C43" s="168">
        <f>SUMIF($G$7:$G$31,"Water",$F$7:$F$31)</f>
        <v>0</v>
      </c>
      <c r="D43" s="122">
        <f>+C43+'1'!D43</f>
        <v>0</v>
      </c>
      <c r="E43" s="147">
        <f t="shared" si="0"/>
        <v>0</v>
      </c>
      <c r="F43" s="372"/>
      <c r="G43" s="373"/>
      <c r="H43" s="191" t="s">
        <v>76</v>
      </c>
      <c r="I43" s="122">
        <f>+Report1!AH10</f>
        <v>122.515</v>
      </c>
      <c r="J43" s="137">
        <f>+I43+'1'!J43</f>
        <v>222.708</v>
      </c>
      <c r="K43" s="134" t="s">
        <v>66</v>
      </c>
      <c r="L43" s="441">
        <f>+Report1!AN10</f>
        <v>16.8</v>
      </c>
      <c r="M43" s="442">
        <f>+L43+'1'!M43</f>
        <v>36</v>
      </c>
    </row>
    <row r="44" spans="1:14" ht="17.45" customHeight="1">
      <c r="A44" s="799" t="s">
        <v>18</v>
      </c>
      <c r="B44" s="800"/>
      <c r="C44" s="168">
        <f>SUMIF($G$7:$G$31,"PLN",$F$7:$F$31)</f>
        <v>105</v>
      </c>
      <c r="D44" s="122">
        <f>+C44+'1'!D44</f>
        <v>105</v>
      </c>
      <c r="E44" s="147">
        <f t="shared" si="0"/>
        <v>1.75</v>
      </c>
      <c r="F44" s="372"/>
      <c r="G44" s="373"/>
      <c r="H44" s="191" t="s">
        <v>77</v>
      </c>
      <c r="I44" s="122">
        <f>I43/I38</f>
        <v>2.3771318807116941</v>
      </c>
      <c r="J44" s="138">
        <f>J43/J38</f>
        <v>1.9885175495772207</v>
      </c>
      <c r="K44" s="134" t="s">
        <v>66</v>
      </c>
      <c r="L44" s="443">
        <f>+L43/I38</f>
        <v>0.32596674363103667</v>
      </c>
      <c r="M44" s="444">
        <f>+M43/J38</f>
        <v>0.32143718135307198</v>
      </c>
    </row>
    <row r="45" spans="1:14" ht="17.45" customHeight="1">
      <c r="A45" s="799" t="s">
        <v>19</v>
      </c>
      <c r="B45" s="800"/>
      <c r="C45" s="168">
        <f>SUMIF($G$7:$G$31,"Boiler",$F$7:$F$31)</f>
        <v>0</v>
      </c>
      <c r="D45" s="122">
        <f>+C45+'1'!D45</f>
        <v>0</v>
      </c>
      <c r="E45" s="147">
        <f t="shared" si="0"/>
        <v>0</v>
      </c>
      <c r="F45" s="372"/>
      <c r="G45" s="375"/>
      <c r="H45" s="191" t="s">
        <v>78</v>
      </c>
      <c r="I45" s="122">
        <f>I43/I40</f>
        <v>2.7579181955293426</v>
      </c>
      <c r="J45" s="138">
        <f>J43/J40</f>
        <v>2.1325647311168989</v>
      </c>
      <c r="K45" s="134" t="s">
        <v>66</v>
      </c>
      <c r="L45" s="443">
        <f>+L43/I40</f>
        <v>0.37818247304324337</v>
      </c>
      <c r="M45" s="444">
        <f>+M43/J40</f>
        <v>0.34472192431438636</v>
      </c>
    </row>
    <row r="46" spans="1:14" ht="17.45" customHeight="1">
      <c r="A46" s="799" t="s">
        <v>79</v>
      </c>
      <c r="B46" s="800"/>
      <c r="C46" s="168">
        <f>SUMIF($G$7:$G$31,"Gas",$F$7:$F$31)</f>
        <v>0</v>
      </c>
      <c r="D46" s="122">
        <f>+C46+'1'!D46</f>
        <v>0</v>
      </c>
      <c r="E46" s="147">
        <f t="shared" si="0"/>
        <v>0</v>
      </c>
      <c r="F46" s="372"/>
      <c r="G46" s="373"/>
      <c r="H46" s="191" t="s">
        <v>80</v>
      </c>
      <c r="I46" s="144">
        <f>+SUMIF(Listrik!AC9,"&gt;0")</f>
        <v>30787.84999999854</v>
      </c>
      <c r="J46" s="139">
        <f>+I46+'1'!J46</f>
        <v>63930.939999999406</v>
      </c>
      <c r="K46" s="134" t="s">
        <v>81</v>
      </c>
      <c r="L46" s="443">
        <f>+Listrik!AF9</f>
        <v>18058</v>
      </c>
      <c r="M46" s="445">
        <f>+L46+'1'!M46</f>
        <v>47705</v>
      </c>
    </row>
    <row r="47" spans="1:14" ht="17.45" customHeight="1">
      <c r="A47" s="799" t="s">
        <v>82</v>
      </c>
      <c r="B47" s="800"/>
      <c r="C47" s="168">
        <f>SUMIF($G$7:$G$31,"Gas",$F$7:$F$31)</f>
        <v>0</v>
      </c>
      <c r="D47" s="122">
        <f>+C47+'1'!D47</f>
        <v>0</v>
      </c>
      <c r="E47" s="147">
        <f t="shared" si="0"/>
        <v>0</v>
      </c>
      <c r="F47" s="372"/>
      <c r="G47" s="373"/>
      <c r="H47" s="191" t="s">
        <v>83</v>
      </c>
      <c r="I47" s="122">
        <f>I46/I38</f>
        <v>597.36995285121054</v>
      </c>
      <c r="J47" s="139">
        <f>J46/J38</f>
        <v>570.82725430144922</v>
      </c>
      <c r="K47" s="134" t="s">
        <v>25</v>
      </c>
      <c r="L47" s="439">
        <f>+L46/I38</f>
        <v>350.37544383864645</v>
      </c>
      <c r="M47" s="444">
        <f>+M46/J38</f>
        <v>425.94890934578603</v>
      </c>
    </row>
    <row r="48" spans="1:14" ht="17.45" customHeight="1">
      <c r="A48" s="799" t="s">
        <v>15</v>
      </c>
      <c r="B48" s="800"/>
      <c r="C48" s="168">
        <f>SUMIF($G$7:$G$31,"Start Up",$F$7:$F$31)</f>
        <v>0</v>
      </c>
      <c r="D48" s="122">
        <f>+C48+'1'!D48</f>
        <v>0</v>
      </c>
      <c r="E48" s="147">
        <f t="shared" si="0"/>
        <v>0</v>
      </c>
      <c r="F48" s="372"/>
      <c r="G48" s="373"/>
      <c r="H48" s="191" t="s">
        <v>84</v>
      </c>
      <c r="I48" s="122">
        <f>I46/I40</f>
        <v>693.06102694546826</v>
      </c>
      <c r="J48" s="139">
        <f>J46/J40</f>
        <v>612.17768500076033</v>
      </c>
      <c r="K48" s="134" t="s">
        <v>25</v>
      </c>
      <c r="L48" s="443">
        <f>+L46/I38</f>
        <v>350.37544383864645</v>
      </c>
      <c r="M48" s="444">
        <f>+M46/J40</f>
        <v>456.80442776160561</v>
      </c>
    </row>
    <row r="49" spans="1:13" ht="17.45" customHeight="1">
      <c r="A49" s="799" t="s">
        <v>21</v>
      </c>
      <c r="B49" s="800"/>
      <c r="C49" s="168">
        <f>SUMIF($G$7:$G$31,"Others",$F$7:$F$31)</f>
        <v>0</v>
      </c>
      <c r="D49" s="122">
        <f>+C49+'1'!D49</f>
        <v>0</v>
      </c>
      <c r="E49" s="147">
        <f t="shared" si="0"/>
        <v>0</v>
      </c>
      <c r="F49" s="188"/>
      <c r="H49" s="191" t="s">
        <v>170</v>
      </c>
      <c r="I49" s="122">
        <f>+Report1!AB10</f>
        <v>0</v>
      </c>
      <c r="J49" s="139">
        <f>+I49+'1'!J49</f>
        <v>0</v>
      </c>
      <c r="K49" s="134" t="s">
        <v>86</v>
      </c>
      <c r="L49" s="439"/>
      <c r="M49" s="440"/>
    </row>
    <row r="50" spans="1:13" ht="17.45" customHeight="1">
      <c r="A50" s="799" t="s">
        <v>20</v>
      </c>
      <c r="B50" s="800"/>
      <c r="C50" s="168">
        <f>SUMIF($G$7:$G$31,"Steam",$F$7:$F$31)</f>
        <v>0</v>
      </c>
      <c r="D50" s="122">
        <f>+C50+'1'!D50</f>
        <v>0</v>
      </c>
      <c r="E50" s="147">
        <f t="shared" si="0"/>
        <v>0</v>
      </c>
      <c r="F50" s="188"/>
      <c r="H50" s="191" t="s">
        <v>87</v>
      </c>
      <c r="I50" s="144">
        <f>I49/I38</f>
        <v>0</v>
      </c>
      <c r="J50" s="137">
        <f>J49/J38</f>
        <v>0</v>
      </c>
      <c r="K50" s="134" t="s">
        <v>86</v>
      </c>
      <c r="L50" s="439"/>
      <c r="M50" s="440"/>
    </row>
    <row r="51" spans="1:13" ht="17.45" customHeight="1" thickBot="1">
      <c r="A51" s="805" t="s">
        <v>88</v>
      </c>
      <c r="B51" s="806"/>
      <c r="C51" s="168">
        <f>SUMIF($G$7:$G$31,"Planned shut",$F$7:$F$31)</f>
        <v>0</v>
      </c>
      <c r="D51" s="122">
        <f>+C51+'1'!D51</f>
        <v>0</v>
      </c>
      <c r="E51" s="147">
        <f t="shared" si="0"/>
        <v>0</v>
      </c>
      <c r="F51" s="188"/>
      <c r="H51" s="193" t="s">
        <v>89</v>
      </c>
      <c r="I51" s="145">
        <f>I49/I40</f>
        <v>0</v>
      </c>
      <c r="J51" s="140">
        <f>J49/J40</f>
        <v>0</v>
      </c>
      <c r="K51" s="141" t="s">
        <v>86</v>
      </c>
      <c r="L51" s="439"/>
      <c r="M51" s="440"/>
    </row>
    <row r="52" spans="1:13" ht="13.5" thickBot="1">
      <c r="A52" s="803" t="s">
        <v>29</v>
      </c>
      <c r="B52" s="804"/>
      <c r="C52" s="148">
        <f>SUM(C38:C51)</f>
        <v>165</v>
      </c>
      <c r="D52" s="148">
        <f>SUM(D38:D51)</f>
        <v>173</v>
      </c>
      <c r="E52" s="149">
        <f>SUM(E38:E51)</f>
        <v>2.8833333333333333</v>
      </c>
      <c r="F52" s="188"/>
      <c r="H52" s="194"/>
      <c r="I52" s="195"/>
      <c r="J52" s="142"/>
      <c r="K52" s="143"/>
      <c r="L52" s="446"/>
      <c r="M52" s="447"/>
    </row>
    <row r="53" spans="1:13" ht="13.5" thickBot="1">
      <c r="A53" s="807"/>
      <c r="B53" s="808"/>
      <c r="C53" s="150">
        <f>C52/(24*60)</f>
        <v>0.11458333333333333</v>
      </c>
      <c r="D53" s="150">
        <f>D52/(24*60*G4)</f>
        <v>6.0069444444444446E-2</v>
      </c>
      <c r="E53" s="151">
        <f>E52/(G4*24)</f>
        <v>6.0069444444444446E-2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90</v>
      </c>
      <c r="B56" s="198"/>
      <c r="C56" s="199"/>
      <c r="D56" s="199"/>
      <c r="E56" s="199"/>
      <c r="F56" s="200"/>
      <c r="G56" s="199"/>
      <c r="H56" s="201"/>
      <c r="I56" s="202" t="s">
        <v>91</v>
      </c>
      <c r="J56" s="203">
        <f>+D34+'1'!J56</f>
        <v>1615</v>
      </c>
      <c r="K56" s="204">
        <f>J56/(J40+J56/1000)/1000</f>
        <v>1.5229096532669477E-2</v>
      </c>
    </row>
    <row r="57" spans="1:13">
      <c r="A57" s="179"/>
      <c r="I57" s="202" t="s">
        <v>92</v>
      </c>
      <c r="J57" s="203">
        <f>+E34+'1'!J57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48:B48"/>
    <mergeCell ref="A49:B49"/>
    <mergeCell ref="A50:B50"/>
    <mergeCell ref="A51:B51"/>
    <mergeCell ref="A41:B41"/>
    <mergeCell ref="A52:B52"/>
    <mergeCell ref="A53:B53"/>
    <mergeCell ref="A42:B42"/>
    <mergeCell ref="A43:B43"/>
    <mergeCell ref="A44:B44"/>
    <mergeCell ref="A45:B45"/>
    <mergeCell ref="A46:B46"/>
    <mergeCell ref="A47:B47"/>
    <mergeCell ref="A34:B34"/>
    <mergeCell ref="A37:B37"/>
    <mergeCell ref="A38:B38"/>
    <mergeCell ref="A39:B39"/>
    <mergeCell ref="A40:B40"/>
    <mergeCell ref="I7:I13"/>
    <mergeCell ref="I15:I22"/>
    <mergeCell ref="A7:A14"/>
    <mergeCell ref="A15:A23"/>
    <mergeCell ref="A24:A32"/>
    <mergeCell ref="I24:I31"/>
  </mergeCells>
  <phoneticPr fontId="31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R61"/>
  <sheetViews>
    <sheetView view="pageBreakPreview" zoomScale="80" zoomScaleNormal="75" zoomScaleSheetLayoutView="80" workbookViewId="0">
      <selection activeCell="H27" sqref="H27"/>
    </sheetView>
  </sheetViews>
  <sheetFormatPr defaultColWidth="9.140625" defaultRowHeight="12.75"/>
  <cols>
    <col min="1" max="1" width="8" style="153" customWidth="1"/>
    <col min="2" max="2" width="7" style="153" bestFit="1" customWidth="1"/>
    <col min="3" max="3" width="14.85546875" style="153" bestFit="1" customWidth="1"/>
    <col min="4" max="4" width="12.7109375" style="153" bestFit="1" customWidth="1"/>
    <col min="5" max="5" width="13.85546875" style="153" bestFit="1" customWidth="1"/>
    <col min="6" max="6" width="12.140625" style="114" bestFit="1" customWidth="1"/>
    <col min="7" max="7" width="11.42578125" style="153" bestFit="1" customWidth="1"/>
    <col min="8" max="8" width="64.85546875" style="153" customWidth="1"/>
    <col min="9" max="9" width="14.7109375" style="153" bestFit="1" customWidth="1"/>
    <col min="10" max="10" width="18.7109375" style="153" bestFit="1" customWidth="1"/>
    <col min="11" max="11" width="14" style="153" bestFit="1" customWidth="1"/>
    <col min="12" max="12" width="8.28515625" style="153" customWidth="1"/>
    <col min="13" max="13" width="14.42578125" style="153" bestFit="1" customWidth="1"/>
    <col min="14" max="14" width="9.140625" style="153" bestFit="1"/>
    <col min="15" max="16384" width="9.140625" style="153"/>
  </cols>
  <sheetData>
    <row r="1" spans="1:15" ht="15.75">
      <c r="A1" s="152"/>
    </row>
    <row r="2" spans="1:15" ht="15.75">
      <c r="A2" s="152" t="s">
        <v>175</v>
      </c>
    </row>
    <row r="3" spans="1:15" ht="15">
      <c r="A3" s="154"/>
    </row>
    <row r="4" spans="1:15" ht="20.25">
      <c r="A4" s="155" t="s">
        <v>4</v>
      </c>
      <c r="B4" s="156"/>
      <c r="F4" s="157" t="s">
        <v>31</v>
      </c>
      <c r="G4" s="158">
        <v>1</v>
      </c>
      <c r="H4" s="158" t="s">
        <v>417</v>
      </c>
    </row>
    <row r="5" spans="1:15" ht="13.5" thickBot="1">
      <c r="C5" s="159"/>
      <c r="D5" s="159"/>
    </row>
    <row r="6" spans="1:15" ht="26.25" thickBot="1">
      <c r="A6" s="160" t="s">
        <v>50</v>
      </c>
      <c r="B6" s="161" t="s">
        <v>10</v>
      </c>
      <c r="C6" s="161" t="s">
        <v>51</v>
      </c>
      <c r="D6" s="161" t="s">
        <v>52</v>
      </c>
      <c r="E6" s="162" t="s">
        <v>53</v>
      </c>
      <c r="F6" s="106" t="s">
        <v>54</v>
      </c>
      <c r="G6" s="161" t="s">
        <v>55</v>
      </c>
      <c r="H6" s="163" t="s">
        <v>56</v>
      </c>
      <c r="I6" s="164" t="s">
        <v>57</v>
      </c>
      <c r="J6" s="165" t="s">
        <v>10</v>
      </c>
      <c r="K6" s="166" t="s">
        <v>58</v>
      </c>
      <c r="L6" s="213" t="s">
        <v>143</v>
      </c>
      <c r="M6" s="167" t="s">
        <v>59</v>
      </c>
      <c r="N6" s="153">
        <f>376+362+323</f>
        <v>1061</v>
      </c>
    </row>
    <row r="7" spans="1:15" ht="13.5" customHeight="1" thickBot="1">
      <c r="A7" s="789" t="s">
        <v>414</v>
      </c>
      <c r="B7" s="218" t="s">
        <v>427</v>
      </c>
      <c r="C7" s="219">
        <v>19424</v>
      </c>
      <c r="D7" s="220">
        <v>550</v>
      </c>
      <c r="E7" s="221"/>
      <c r="F7" s="230"/>
      <c r="G7" s="231" t="s">
        <v>13</v>
      </c>
      <c r="H7" s="232" t="s">
        <v>395</v>
      </c>
      <c r="I7" s="792" t="s">
        <v>421</v>
      </c>
      <c r="J7" s="251" t="s">
        <v>427</v>
      </c>
      <c r="K7" s="240">
        <f>+C34</f>
        <v>60009</v>
      </c>
      <c r="L7" s="244"/>
      <c r="M7" s="121">
        <f>+K7+L7</f>
        <v>60009</v>
      </c>
    </row>
    <row r="8" spans="1:15" ht="13.5" thickBot="1">
      <c r="A8" s="790"/>
      <c r="B8" s="218"/>
      <c r="C8" s="219"/>
      <c r="D8" s="220"/>
      <c r="E8" s="222"/>
      <c r="F8" s="233">
        <v>2</v>
      </c>
      <c r="G8" s="578" t="s">
        <v>13</v>
      </c>
      <c r="H8" s="232" t="s">
        <v>393</v>
      </c>
      <c r="I8" s="793"/>
      <c r="J8" s="252"/>
      <c r="K8" s="241"/>
      <c r="L8" s="241"/>
      <c r="M8" s="121">
        <f t="shared" ref="M8:M32" si="0">+K8+L8</f>
        <v>0</v>
      </c>
      <c r="N8" s="153">
        <v>380</v>
      </c>
      <c r="O8" s="153">
        <f>+N8-N8*0.12</f>
        <v>334.4</v>
      </c>
    </row>
    <row r="9" spans="1:15" ht="13.5" thickBot="1">
      <c r="A9" s="790"/>
      <c r="B9" s="218"/>
      <c r="C9" s="219"/>
      <c r="D9" s="220"/>
      <c r="E9" s="223"/>
      <c r="F9" s="230">
        <v>2</v>
      </c>
      <c r="G9" s="578" t="s">
        <v>13</v>
      </c>
      <c r="H9" s="235" t="s">
        <v>226</v>
      </c>
      <c r="I9" s="793"/>
      <c r="J9" s="252"/>
      <c r="K9" s="241"/>
      <c r="L9" s="241"/>
      <c r="M9" s="121">
        <f t="shared" si="0"/>
        <v>0</v>
      </c>
    </row>
    <row r="10" spans="1:15" ht="13.5" thickBot="1">
      <c r="A10" s="790"/>
      <c r="B10" s="218"/>
      <c r="C10" s="219"/>
      <c r="D10" s="220"/>
      <c r="E10" s="222"/>
      <c r="F10" s="230"/>
      <c r="G10" s="578"/>
      <c r="H10" s="235" t="s">
        <v>418</v>
      </c>
      <c r="I10" s="793"/>
      <c r="J10" s="251"/>
      <c r="K10" s="241"/>
      <c r="L10" s="241"/>
      <c r="M10" s="121">
        <f t="shared" si="0"/>
        <v>0</v>
      </c>
    </row>
    <row r="11" spans="1:15" ht="13.5" thickBot="1">
      <c r="A11" s="790"/>
      <c r="B11" s="218"/>
      <c r="C11" s="219"/>
      <c r="D11" s="220"/>
      <c r="E11" s="222"/>
      <c r="F11" s="230"/>
      <c r="G11" s="234"/>
      <c r="H11" s="235"/>
      <c r="I11" s="793"/>
      <c r="J11" s="251"/>
      <c r="K11" s="241"/>
      <c r="L11" s="241"/>
      <c r="M11" s="121">
        <f t="shared" si="0"/>
        <v>0</v>
      </c>
    </row>
    <row r="12" spans="1:15" ht="13.5" thickBot="1">
      <c r="A12" s="790"/>
      <c r="B12" s="218"/>
      <c r="C12" s="219"/>
      <c r="D12" s="220"/>
      <c r="E12" s="222"/>
      <c r="F12" s="230"/>
      <c r="G12" s="234"/>
      <c r="H12" s="235"/>
      <c r="I12" s="793"/>
      <c r="J12" s="251"/>
      <c r="K12" s="241"/>
      <c r="L12" s="241"/>
      <c r="M12" s="121">
        <f t="shared" si="0"/>
        <v>0</v>
      </c>
    </row>
    <row r="13" spans="1:15" ht="13.5" thickBot="1">
      <c r="A13" s="790"/>
      <c r="B13" s="218"/>
      <c r="C13" s="219"/>
      <c r="D13" s="219"/>
      <c r="E13" s="222"/>
      <c r="F13" s="230"/>
      <c r="G13" s="234"/>
      <c r="H13" s="235"/>
      <c r="I13" s="794"/>
      <c r="J13" s="251"/>
      <c r="K13" s="241"/>
      <c r="L13" s="241"/>
      <c r="M13" s="121">
        <f t="shared" si="0"/>
        <v>0</v>
      </c>
    </row>
    <row r="14" spans="1:15" ht="13.5" thickBot="1">
      <c r="A14" s="791"/>
      <c r="B14" s="169" t="s">
        <v>3</v>
      </c>
      <c r="C14" s="103">
        <f>SUM(C7:C13)</f>
        <v>19424</v>
      </c>
      <c r="D14" s="115">
        <f>SUM(D7:D13)</f>
        <v>550</v>
      </c>
      <c r="E14" s="116">
        <f>SUM(E5:E13)</f>
        <v>0</v>
      </c>
      <c r="F14" s="120">
        <f>SUM(F7:F13)</f>
        <v>4</v>
      </c>
      <c r="G14" s="163"/>
      <c r="H14" s="170"/>
      <c r="I14" s="171"/>
      <c r="J14" s="251"/>
      <c r="K14" s="241"/>
      <c r="L14" s="241"/>
      <c r="M14" s="121">
        <f t="shared" si="0"/>
        <v>0</v>
      </c>
    </row>
    <row r="15" spans="1:15" ht="13.5" customHeight="1" thickBot="1">
      <c r="A15" s="789" t="s">
        <v>415</v>
      </c>
      <c r="B15" s="169"/>
      <c r="C15" s="117">
        <f>C14/($C$23+$D$23+$E$23)</f>
        <v>0.96607977718094096</v>
      </c>
      <c r="D15" s="118">
        <f>D14/($C$23+$D$23+$E$23)</f>
        <v>2.7355018402466926E-2</v>
      </c>
      <c r="E15" s="119">
        <f>E14/($C$23+$D$23+$E$23)</f>
        <v>0</v>
      </c>
      <c r="F15" s="230"/>
      <c r="G15" s="231" t="s">
        <v>13</v>
      </c>
      <c r="H15" s="232" t="s">
        <v>395</v>
      </c>
      <c r="I15" s="792" t="s">
        <v>421</v>
      </c>
      <c r="J15" s="251"/>
      <c r="K15" s="241"/>
      <c r="L15" s="241"/>
      <c r="M15" s="121">
        <f t="shared" si="0"/>
        <v>0</v>
      </c>
    </row>
    <row r="16" spans="1:15" ht="13.5" thickBot="1">
      <c r="A16" s="795"/>
      <c r="B16" s="218" t="s">
        <v>427</v>
      </c>
      <c r="C16" s="224">
        <v>20106</v>
      </c>
      <c r="D16" s="225"/>
      <c r="E16" s="226"/>
      <c r="F16" s="233"/>
      <c r="G16" s="578" t="s">
        <v>13</v>
      </c>
      <c r="H16" s="232" t="s">
        <v>424</v>
      </c>
      <c r="I16" s="793"/>
      <c r="J16" s="251"/>
      <c r="K16" s="231"/>
      <c r="L16" s="231"/>
      <c r="M16" s="121">
        <f t="shared" si="0"/>
        <v>0</v>
      </c>
    </row>
    <row r="17" spans="1:18" ht="13.5" thickBot="1">
      <c r="A17" s="795"/>
      <c r="B17" s="218"/>
      <c r="C17" s="219"/>
      <c r="D17" s="220"/>
      <c r="E17" s="227"/>
      <c r="F17" s="230">
        <v>2</v>
      </c>
      <c r="G17" s="578" t="s">
        <v>13</v>
      </c>
      <c r="H17" s="235" t="s">
        <v>226</v>
      </c>
      <c r="I17" s="793"/>
      <c r="J17" s="251"/>
      <c r="K17" s="231"/>
      <c r="L17" s="231"/>
      <c r="M17" s="121">
        <f t="shared" si="0"/>
        <v>0</v>
      </c>
    </row>
    <row r="18" spans="1:18" ht="13.5" thickBot="1">
      <c r="A18" s="795"/>
      <c r="B18" s="218"/>
      <c r="C18" s="219"/>
      <c r="D18" s="220"/>
      <c r="E18" s="227"/>
      <c r="F18" s="230"/>
      <c r="G18" s="578"/>
      <c r="H18" s="235" t="s">
        <v>418</v>
      </c>
      <c r="I18" s="793"/>
      <c r="J18" s="251"/>
      <c r="K18" s="241"/>
      <c r="L18" s="241"/>
      <c r="M18" s="121">
        <f t="shared" si="0"/>
        <v>0</v>
      </c>
    </row>
    <row r="19" spans="1:18" ht="13.5" thickBot="1">
      <c r="A19" s="795"/>
      <c r="B19" s="218"/>
      <c r="C19" s="219"/>
      <c r="D19" s="220"/>
      <c r="E19" s="227"/>
      <c r="F19" s="237"/>
      <c r="G19" s="234"/>
      <c r="H19" s="235"/>
      <c r="I19" s="793"/>
      <c r="J19" s="251"/>
      <c r="K19" s="241"/>
      <c r="L19" s="241"/>
      <c r="M19" s="121">
        <f t="shared" si="0"/>
        <v>0</v>
      </c>
    </row>
    <row r="20" spans="1:18" ht="13.5" thickBot="1">
      <c r="A20" s="795"/>
      <c r="B20" s="218"/>
      <c r="C20" s="219"/>
      <c r="D20" s="220"/>
      <c r="E20" s="227"/>
      <c r="F20" s="230"/>
      <c r="G20" s="234"/>
      <c r="H20" s="235"/>
      <c r="I20" s="793"/>
      <c r="J20" s="251"/>
      <c r="K20" s="242"/>
      <c r="L20" s="242"/>
      <c r="M20" s="121">
        <f t="shared" si="0"/>
        <v>0</v>
      </c>
    </row>
    <row r="21" spans="1:18" ht="13.5" thickBot="1">
      <c r="A21" s="795"/>
      <c r="B21" s="218"/>
      <c r="C21" s="219"/>
      <c r="D21" s="220"/>
      <c r="E21" s="227"/>
      <c r="F21" s="233"/>
      <c r="G21" s="234"/>
      <c r="H21" s="235"/>
      <c r="I21" s="793"/>
      <c r="J21" s="251"/>
      <c r="K21" s="241"/>
      <c r="L21" s="241"/>
      <c r="M21" s="121">
        <f t="shared" si="0"/>
        <v>0</v>
      </c>
    </row>
    <row r="22" spans="1:18" ht="13.5" thickBot="1">
      <c r="A22" s="795"/>
      <c r="B22" s="218"/>
      <c r="C22" s="219"/>
      <c r="D22" s="220"/>
      <c r="E22" s="227"/>
      <c r="F22" s="238"/>
      <c r="G22" s="234"/>
      <c r="H22" s="235"/>
      <c r="I22" s="794"/>
      <c r="J22" s="251"/>
      <c r="K22" s="241"/>
      <c r="L22" s="241"/>
      <c r="M22" s="121">
        <f t="shared" si="0"/>
        <v>0</v>
      </c>
    </row>
    <row r="23" spans="1:18" ht="13.5" thickBot="1">
      <c r="A23" s="796"/>
      <c r="B23" s="169" t="s">
        <v>3</v>
      </c>
      <c r="C23" s="104">
        <f>SUM(C16:C22)</f>
        <v>20106</v>
      </c>
      <c r="D23" s="115">
        <f>SUM(D16:D22)</f>
        <v>0</v>
      </c>
      <c r="E23" s="116">
        <f>SUM(E18:E22)</f>
        <v>0</v>
      </c>
      <c r="F23" s="120">
        <f>SUM(F15:F22)</f>
        <v>2</v>
      </c>
      <c r="G23" s="163"/>
      <c r="H23" s="170"/>
      <c r="I23" s="172"/>
      <c r="J23" s="251"/>
      <c r="K23" s="241"/>
      <c r="L23" s="241"/>
      <c r="M23" s="121">
        <f t="shared" si="0"/>
        <v>0</v>
      </c>
    </row>
    <row r="24" spans="1:18" ht="13.5" customHeight="1" thickBot="1">
      <c r="A24" s="789" t="s">
        <v>412</v>
      </c>
      <c r="B24" s="173"/>
      <c r="C24" s="117">
        <f>C23/($C$23+$D$23+$E$23)</f>
        <v>1</v>
      </c>
      <c r="D24" s="118">
        <f>D23/($C$23+$D$23+$E$23)</f>
        <v>0</v>
      </c>
      <c r="E24" s="119">
        <f>E23/($C$23+$D$23+$E$23)</f>
        <v>0</v>
      </c>
      <c r="F24" s="230"/>
      <c r="G24" s="231" t="s">
        <v>13</v>
      </c>
      <c r="H24" s="232" t="s">
        <v>395</v>
      </c>
      <c r="I24" s="792" t="s">
        <v>422</v>
      </c>
      <c r="J24" s="251"/>
      <c r="K24" s="241"/>
      <c r="L24" s="241"/>
      <c r="M24" s="121">
        <f t="shared" si="0"/>
        <v>0</v>
      </c>
    </row>
    <row r="25" spans="1:18" ht="13.5" thickBot="1">
      <c r="A25" s="795"/>
      <c r="B25" s="218" t="s">
        <v>427</v>
      </c>
      <c r="C25" s="228">
        <v>20479</v>
      </c>
      <c r="D25" s="220"/>
      <c r="E25" s="227"/>
      <c r="F25" s="233"/>
      <c r="G25" s="578" t="s">
        <v>13</v>
      </c>
      <c r="H25" s="232" t="s">
        <v>424</v>
      </c>
      <c r="I25" s="793"/>
      <c r="J25" s="251"/>
      <c r="K25" s="241"/>
      <c r="L25" s="241"/>
      <c r="M25" s="121">
        <f t="shared" si="0"/>
        <v>0</v>
      </c>
    </row>
    <row r="26" spans="1:18" ht="13.5" thickBot="1">
      <c r="A26" s="795"/>
      <c r="B26" s="218"/>
      <c r="C26" s="228"/>
      <c r="D26" s="220"/>
      <c r="E26" s="229"/>
      <c r="F26" s="230">
        <v>2</v>
      </c>
      <c r="G26" s="578" t="s">
        <v>13</v>
      </c>
      <c r="H26" s="235" t="s">
        <v>226</v>
      </c>
      <c r="I26" s="793"/>
      <c r="J26" s="251"/>
      <c r="K26" s="241"/>
      <c r="L26" s="241"/>
      <c r="M26" s="121">
        <f t="shared" si="0"/>
        <v>0</v>
      </c>
      <c r="N26" s="153">
        <v>380</v>
      </c>
      <c r="O26" s="153">
        <f>+N26-N26*0.12</f>
        <v>334.4</v>
      </c>
      <c r="P26" s="153">
        <f>60+10</f>
        <v>70</v>
      </c>
      <c r="Q26" s="153">
        <f>+N26*P26</f>
        <v>26600</v>
      </c>
      <c r="R26" s="153">
        <f>+O26*P26</f>
        <v>23408</v>
      </c>
    </row>
    <row r="27" spans="1:18" ht="13.5" thickBot="1">
      <c r="A27" s="795"/>
      <c r="B27" s="218"/>
      <c r="C27" s="219"/>
      <c r="D27" s="220"/>
      <c r="E27" s="227"/>
      <c r="F27" s="230"/>
      <c r="G27" s="578"/>
      <c r="H27" s="235" t="s">
        <v>418</v>
      </c>
      <c r="I27" s="793"/>
      <c r="J27" s="251"/>
      <c r="K27" s="241"/>
      <c r="L27" s="241"/>
      <c r="M27" s="121">
        <f t="shared" si="0"/>
        <v>0</v>
      </c>
      <c r="N27" s="153">
        <v>390</v>
      </c>
      <c r="O27" s="153">
        <f>+N27-N27*0.12</f>
        <v>343.2</v>
      </c>
      <c r="P27" s="153">
        <f>50+180+40</f>
        <v>270</v>
      </c>
      <c r="Q27" s="153">
        <f>+N27*P27</f>
        <v>105300</v>
      </c>
      <c r="R27" s="153">
        <f>+O27*P27</f>
        <v>92664</v>
      </c>
    </row>
    <row r="28" spans="1:18" ht="13.5" thickBot="1">
      <c r="A28" s="795"/>
      <c r="B28" s="218"/>
      <c r="C28" s="219"/>
      <c r="D28" s="220"/>
      <c r="E28" s="227"/>
      <c r="F28" s="233"/>
      <c r="G28" s="234"/>
      <c r="H28" s="235" t="s">
        <v>419</v>
      </c>
      <c r="I28" s="793"/>
      <c r="J28" s="251"/>
      <c r="K28" s="241"/>
      <c r="L28" s="241"/>
      <c r="M28" s="121">
        <f t="shared" si="0"/>
        <v>0</v>
      </c>
      <c r="N28" s="153">
        <v>400</v>
      </c>
      <c r="O28" s="153">
        <f>+N28-N28*0.12</f>
        <v>352</v>
      </c>
      <c r="P28" s="153">
        <f>20+120</f>
        <v>140</v>
      </c>
      <c r="Q28" s="153">
        <f>+N28*P28</f>
        <v>56000</v>
      </c>
      <c r="R28" s="153">
        <f>+O28*P28</f>
        <v>49280</v>
      </c>
    </row>
    <row r="29" spans="1:18" ht="13.5" thickBot="1">
      <c r="A29" s="795"/>
      <c r="B29" s="218"/>
      <c r="C29" s="219"/>
      <c r="D29" s="220"/>
      <c r="E29" s="227"/>
      <c r="F29" s="238"/>
      <c r="G29" s="234"/>
      <c r="H29" s="235" t="s">
        <v>420</v>
      </c>
      <c r="I29" s="793"/>
      <c r="J29" s="251"/>
      <c r="K29" s="241"/>
      <c r="L29" s="241"/>
      <c r="M29" s="121">
        <f t="shared" si="0"/>
        <v>0</v>
      </c>
      <c r="P29" s="153">
        <f>SUM(P26:P28)</f>
        <v>480</v>
      </c>
      <c r="Q29" s="153">
        <f>SUM(Q26:Q28)</f>
        <v>187900</v>
      </c>
      <c r="R29" s="153">
        <f>SUM(R26:R28)</f>
        <v>165352</v>
      </c>
    </row>
    <row r="30" spans="1:18" ht="13.5" thickBot="1">
      <c r="A30" s="795"/>
      <c r="B30" s="218"/>
      <c r="C30" s="228"/>
      <c r="D30" s="220"/>
      <c r="E30" s="227"/>
      <c r="F30" s="238"/>
      <c r="G30" s="234"/>
      <c r="H30" s="235"/>
      <c r="I30" s="793"/>
      <c r="J30" s="251"/>
      <c r="K30" s="241"/>
      <c r="L30" s="241"/>
      <c r="M30" s="121">
        <f t="shared" si="0"/>
        <v>0</v>
      </c>
      <c r="N30" s="159"/>
      <c r="Q30" s="153">
        <f>+Q29/P29</f>
        <v>391.45833333333331</v>
      </c>
      <c r="R30" s="153">
        <f>+R29/P29</f>
        <v>344.48333333333335</v>
      </c>
    </row>
    <row r="31" spans="1:18" ht="13.5" thickBot="1">
      <c r="A31" s="795"/>
      <c r="B31" s="218"/>
      <c r="C31" s="228"/>
      <c r="D31" s="220"/>
      <c r="E31" s="227"/>
      <c r="F31" s="238"/>
      <c r="G31" s="239"/>
      <c r="H31" s="584"/>
      <c r="I31" s="794"/>
      <c r="J31" s="251"/>
      <c r="K31" s="241"/>
      <c r="L31" s="241"/>
      <c r="M31" s="121">
        <f t="shared" si="0"/>
        <v>0</v>
      </c>
    </row>
    <row r="32" spans="1:18" ht="13.5" thickBot="1">
      <c r="A32" s="796"/>
      <c r="B32" s="169" t="s">
        <v>3</v>
      </c>
      <c r="C32" s="103">
        <f>SUM(C25:C31)</f>
        <v>20479</v>
      </c>
      <c r="D32" s="104">
        <f>SUM(D25:D31)</f>
        <v>0</v>
      </c>
      <c r="E32" s="105">
        <f>SUM(E25:E31)</f>
        <v>0</v>
      </c>
      <c r="F32" s="106">
        <f>SUM(F24:F31)</f>
        <v>2</v>
      </c>
      <c r="G32" s="174"/>
      <c r="H32" s="175"/>
      <c r="I32" s="172"/>
      <c r="J32" s="253"/>
      <c r="K32" s="243"/>
      <c r="L32" s="245"/>
      <c r="M32" s="121">
        <f t="shared" si="0"/>
        <v>0</v>
      </c>
    </row>
    <row r="33" spans="1:14" ht="13.5" thickBot="1">
      <c r="A33" s="176"/>
      <c r="B33" s="177"/>
      <c r="C33" s="107">
        <f>C32/($C$32+$D$32+$E$32)</f>
        <v>1</v>
      </c>
      <c r="D33" s="108">
        <f>D32/($C$32+$D$32+$E$32)</f>
        <v>0</v>
      </c>
      <c r="E33" s="109">
        <f>E32/($C$32+$D$32+$E$32)</f>
        <v>0</v>
      </c>
      <c r="F33" s="110"/>
      <c r="G33" s="178"/>
      <c r="H33" s="179"/>
      <c r="I33" s="180"/>
      <c r="J33" s="125"/>
      <c r="K33" s="126"/>
      <c r="L33" s="216"/>
      <c r="M33" s="123"/>
    </row>
    <row r="34" spans="1:14" ht="13.5" thickBot="1">
      <c r="A34" s="797" t="s">
        <v>60</v>
      </c>
      <c r="B34" s="798"/>
      <c r="C34" s="111">
        <f>C14+C23+C32</f>
        <v>60009</v>
      </c>
      <c r="D34" s="111">
        <f>D14+D23+D32</f>
        <v>550</v>
      </c>
      <c r="E34" s="111">
        <f>E14+E23+E32</f>
        <v>0</v>
      </c>
      <c r="F34" s="112">
        <f>F14+F23+F32</f>
        <v>8</v>
      </c>
      <c r="H34" s="181"/>
      <c r="I34" s="181"/>
      <c r="J34" s="127" t="s">
        <v>29</v>
      </c>
      <c r="K34" s="128">
        <f>SUM(K7:K32)</f>
        <v>60009</v>
      </c>
      <c r="L34" s="215">
        <f>SUM(L7:L32)</f>
        <v>0</v>
      </c>
      <c r="M34" s="124">
        <f>SUM(M7:M32)</f>
        <v>60009</v>
      </c>
      <c r="N34" s="159"/>
    </row>
    <row r="35" spans="1:14" ht="13.5" thickBot="1">
      <c r="A35" s="182"/>
      <c r="B35" s="183"/>
      <c r="C35" s="108">
        <f>C34/($C$34+$D$34+$E$34)</f>
        <v>0.99091794778645614</v>
      </c>
      <c r="D35" s="108">
        <f>D34/($C$34+$D$34+$E$34)</f>
        <v>9.0820522135438165E-3</v>
      </c>
      <c r="E35" s="113">
        <f>E34/($C$34+$D$34+$E$34)</f>
        <v>0</v>
      </c>
      <c r="K35" s="159"/>
      <c r="L35" s="788" t="s">
        <v>186</v>
      </c>
      <c r="M35" s="788"/>
    </row>
    <row r="36" spans="1:14" ht="13.5" thickBot="1">
      <c r="A36" s="181"/>
      <c r="B36" s="181"/>
      <c r="C36" s="159"/>
      <c r="D36" s="159"/>
      <c r="E36" s="159"/>
      <c r="G36" s="159"/>
      <c r="H36" s="184"/>
      <c r="I36" s="166" t="s">
        <v>42</v>
      </c>
      <c r="J36" s="166" t="s">
        <v>43</v>
      </c>
      <c r="K36" s="185"/>
      <c r="L36" s="166" t="s">
        <v>42</v>
      </c>
      <c r="M36" s="166" t="s">
        <v>43</v>
      </c>
    </row>
    <row r="37" spans="1:14" ht="17.45" customHeight="1" thickBot="1">
      <c r="A37" s="801" t="s">
        <v>61</v>
      </c>
      <c r="B37" s="802"/>
      <c r="C37" s="166" t="s">
        <v>62</v>
      </c>
      <c r="D37" s="186" t="s">
        <v>63</v>
      </c>
      <c r="E37" s="187" t="s">
        <v>64</v>
      </c>
      <c r="F37" s="188"/>
      <c r="G37" s="159"/>
      <c r="H37" s="189" t="s">
        <v>65</v>
      </c>
      <c r="I37" s="246">
        <f>(38*1440)/1440*G42*3.4*1440/1000000</f>
        <v>62.839779200000002</v>
      </c>
      <c r="J37" s="129">
        <f>I37</f>
        <v>62.839779200000002</v>
      </c>
      <c r="K37" s="130" t="s">
        <v>66</v>
      </c>
      <c r="L37" s="437"/>
      <c r="M37" s="438"/>
      <c r="N37" s="579"/>
    </row>
    <row r="38" spans="1:14" ht="17.45" customHeight="1">
      <c r="A38" s="803" t="s">
        <v>13</v>
      </c>
      <c r="B38" s="804"/>
      <c r="C38" s="168">
        <f>SUMIF($G$7:$G$31,"Process",$F$7:$F$31)</f>
        <v>8</v>
      </c>
      <c r="D38" s="122">
        <f>C38</f>
        <v>8</v>
      </c>
      <c r="E38" s="147">
        <f t="shared" ref="E38:E51" si="1">D38/60</f>
        <v>0.13333333333333333</v>
      </c>
      <c r="F38" s="188">
        <v>380</v>
      </c>
      <c r="G38" s="188">
        <v>334.4</v>
      </c>
      <c r="H38" s="190" t="s">
        <v>67</v>
      </c>
      <c r="I38" s="559">
        <f>19.674+20.241+20.543</f>
        <v>60.457999999999998</v>
      </c>
      <c r="J38" s="131">
        <f>I38</f>
        <v>60.457999999999998</v>
      </c>
      <c r="K38" s="132" t="s">
        <v>66</v>
      </c>
      <c r="L38" s="439"/>
      <c r="M38" s="440"/>
      <c r="N38" s="560"/>
    </row>
    <row r="39" spans="1:14" ht="17.45" customHeight="1">
      <c r="A39" s="799" t="s">
        <v>14</v>
      </c>
      <c r="B39" s="800"/>
      <c r="C39" s="168">
        <f>SUMIF($G$7:$G$31,"Cleaning",$F$7:$F$31)</f>
        <v>0</v>
      </c>
      <c r="D39" s="122">
        <f>C39</f>
        <v>0</v>
      </c>
      <c r="E39" s="147">
        <f t="shared" si="1"/>
        <v>0</v>
      </c>
      <c r="F39" s="188">
        <v>380</v>
      </c>
      <c r="G39" s="188">
        <v>334.4</v>
      </c>
      <c r="H39" s="190" t="s">
        <v>68</v>
      </c>
      <c r="I39" s="146"/>
      <c r="J39" s="133">
        <f>J37/G4</f>
        <v>62.839779200000002</v>
      </c>
      <c r="K39" s="134" t="s">
        <v>66</v>
      </c>
      <c r="L39" s="439"/>
      <c r="M39" s="440"/>
    </row>
    <row r="40" spans="1:14" ht="17.45" customHeight="1">
      <c r="A40" s="799" t="s">
        <v>69</v>
      </c>
      <c r="B40" s="800"/>
      <c r="C40" s="168">
        <f>SUMIF($G$7:$G$31,"Mechanical",$F$7:$F$31)</f>
        <v>0</v>
      </c>
      <c r="D40" s="122">
        <f t="shared" ref="D40:D51" si="2">C40</f>
        <v>0</v>
      </c>
      <c r="E40" s="147">
        <f t="shared" si="1"/>
        <v>0</v>
      </c>
      <c r="F40" s="188">
        <v>391.45833333333331</v>
      </c>
      <c r="G40" s="188">
        <v>344.48333333333335</v>
      </c>
      <c r="H40" s="190" t="s">
        <v>70</v>
      </c>
      <c r="I40" s="122">
        <f>(K34+L34)/1000</f>
        <v>60.009</v>
      </c>
      <c r="J40" s="135">
        <f>M34/1000</f>
        <v>60.009</v>
      </c>
      <c r="K40" s="134" t="s">
        <v>66</v>
      </c>
      <c r="L40" s="439"/>
      <c r="M40" s="440"/>
    </row>
    <row r="41" spans="1:14" ht="17.45" customHeight="1">
      <c r="A41" s="799" t="s">
        <v>71</v>
      </c>
      <c r="B41" s="800"/>
      <c r="C41" s="168">
        <f>SUMIF($G$7:$G$31,"Electrical",$F$7:$F$31)</f>
        <v>0</v>
      </c>
      <c r="D41" s="122">
        <f t="shared" si="2"/>
        <v>0</v>
      </c>
      <c r="E41" s="147">
        <f t="shared" si="1"/>
        <v>0</v>
      </c>
      <c r="F41" s="188"/>
      <c r="G41" s="188"/>
      <c r="H41" s="190" t="s">
        <v>72</v>
      </c>
      <c r="I41" s="146"/>
      <c r="J41" s="133">
        <f>J40/G4</f>
        <v>60.009</v>
      </c>
      <c r="K41" s="134" t="s">
        <v>66</v>
      </c>
      <c r="L41" s="439"/>
      <c r="M41" s="440"/>
    </row>
    <row r="42" spans="1:14" ht="17.45" customHeight="1">
      <c r="A42" s="799" t="s">
        <v>17</v>
      </c>
      <c r="B42" s="800"/>
      <c r="C42" s="168">
        <f>SUMIF($G$7:$G$31,"Instrument",$F$7:$F$31)</f>
        <v>0</v>
      </c>
      <c r="D42" s="122">
        <f t="shared" si="2"/>
        <v>0</v>
      </c>
      <c r="E42" s="147">
        <f t="shared" si="1"/>
        <v>0</v>
      </c>
      <c r="F42" s="188">
        <f>+(F38*480+F39*480+F40*480)/1440</f>
        <v>383.81944444444446</v>
      </c>
      <c r="G42" s="188">
        <f>+(G38*480+G39*480+G40*480)/1440</f>
        <v>337.76111111111112</v>
      </c>
      <c r="H42" s="190" t="s">
        <v>73</v>
      </c>
      <c r="I42" s="248" t="s">
        <v>423</v>
      </c>
      <c r="J42" s="136"/>
      <c r="K42" s="134" t="s">
        <v>74</v>
      </c>
      <c r="L42" s="439"/>
      <c r="M42" s="440"/>
    </row>
    <row r="43" spans="1:14" ht="17.45" customHeight="1">
      <c r="A43" s="799" t="s">
        <v>201</v>
      </c>
      <c r="B43" s="800"/>
      <c r="C43" s="168">
        <f>SUMIF($G$7:$G$31,"Change Grade",$F$7:$F$31)</f>
        <v>0</v>
      </c>
      <c r="D43" s="122">
        <f t="shared" si="2"/>
        <v>0</v>
      </c>
      <c r="E43" s="147">
        <f t="shared" si="1"/>
        <v>0</v>
      </c>
      <c r="F43" s="188"/>
      <c r="H43" s="191" t="s">
        <v>76</v>
      </c>
      <c r="I43" s="122">
        <f>+Report1!AH9</f>
        <v>100.193</v>
      </c>
      <c r="J43" s="137">
        <f>I43</f>
        <v>100.193</v>
      </c>
      <c r="K43" s="134" t="s">
        <v>66</v>
      </c>
      <c r="L43" s="441">
        <f>+Report1!AN9</f>
        <v>19.2</v>
      </c>
      <c r="M43" s="442">
        <f>+L43</f>
        <v>19.2</v>
      </c>
    </row>
    <row r="44" spans="1:14" ht="17.45" customHeight="1">
      <c r="A44" s="799" t="s">
        <v>18</v>
      </c>
      <c r="B44" s="800"/>
      <c r="C44" s="168">
        <f>SUMIF($G$7:$G$31,"PLN",$F$7:$F$31)</f>
        <v>0</v>
      </c>
      <c r="D44" s="122">
        <f>C44</f>
        <v>0</v>
      </c>
      <c r="E44" s="147">
        <f t="shared" si="1"/>
        <v>0</v>
      </c>
      <c r="F44" s="188"/>
      <c r="H44" s="191" t="s">
        <v>77</v>
      </c>
      <c r="I44" s="122">
        <f>I43/I38</f>
        <v>1.6572331205134143</v>
      </c>
      <c r="J44" s="138">
        <f>J43/J38</f>
        <v>1.6572331205134143</v>
      </c>
      <c r="K44" s="134" t="s">
        <v>66</v>
      </c>
      <c r="L44" s="443">
        <f>+L43/I38</f>
        <v>0.31757583777167619</v>
      </c>
      <c r="M44" s="444">
        <f>+M43/J38</f>
        <v>0.31757583777167619</v>
      </c>
    </row>
    <row r="45" spans="1:14" ht="17.45" customHeight="1">
      <c r="A45" s="799" t="s">
        <v>19</v>
      </c>
      <c r="B45" s="800"/>
      <c r="C45" s="168">
        <f>SUMIF($G$7:$G$31,"Boiler",$F$7:$F$31)</f>
        <v>0</v>
      </c>
      <c r="D45" s="122">
        <f t="shared" si="2"/>
        <v>0</v>
      </c>
      <c r="E45" s="147">
        <f t="shared" si="1"/>
        <v>0</v>
      </c>
      <c r="F45" s="188"/>
      <c r="G45" s="179"/>
      <c r="H45" s="191" t="s">
        <v>78</v>
      </c>
      <c r="I45" s="122">
        <f>I43/I40</f>
        <v>1.6696328884000733</v>
      </c>
      <c r="J45" s="138">
        <f>J43/J40</f>
        <v>1.6696328884000733</v>
      </c>
      <c r="K45" s="134" t="s">
        <v>66</v>
      </c>
      <c r="L45" s="443">
        <f>+L43/I40</f>
        <v>0.31995200719892014</v>
      </c>
      <c r="M45" s="444">
        <f>+M43/J40</f>
        <v>0.31995200719892014</v>
      </c>
    </row>
    <row r="46" spans="1:14" ht="17.45" customHeight="1">
      <c r="A46" s="799" t="s">
        <v>79</v>
      </c>
      <c r="B46" s="800"/>
      <c r="C46" s="168">
        <f>SUMIF($G$7:$G$31,"Gas",$F$7:$F$31)</f>
        <v>0</v>
      </c>
      <c r="D46" s="122">
        <f t="shared" si="2"/>
        <v>0</v>
      </c>
      <c r="E46" s="147">
        <f t="shared" si="1"/>
        <v>0</v>
      </c>
      <c r="F46" s="188"/>
      <c r="H46" s="191" t="s">
        <v>80</v>
      </c>
      <c r="I46" s="144">
        <f>+SUMIF(Listrik!AC8,"&gt;0")</f>
        <v>33143.090000000862</v>
      </c>
      <c r="J46" s="139">
        <f>I46</f>
        <v>33143.090000000862</v>
      </c>
      <c r="K46" s="134" t="s">
        <v>81</v>
      </c>
      <c r="L46" s="443">
        <f>+Listrik!AF8</f>
        <v>29647</v>
      </c>
      <c r="M46" s="445">
        <f>+L46</f>
        <v>29647</v>
      </c>
    </row>
    <row r="47" spans="1:14" ht="17.45" customHeight="1">
      <c r="A47" s="799" t="s">
        <v>82</v>
      </c>
      <c r="B47" s="800"/>
      <c r="C47" s="168">
        <f>SUMIF($G$7:$G$31,"Gas",$F$7:$F$31)</f>
        <v>0</v>
      </c>
      <c r="D47" s="122">
        <f t="shared" si="2"/>
        <v>0</v>
      </c>
      <c r="E47" s="147">
        <f t="shared" si="1"/>
        <v>0</v>
      </c>
      <c r="F47" s="188"/>
      <c r="H47" s="191" t="s">
        <v>83</v>
      </c>
      <c r="I47" s="122">
        <f>I46/I38</f>
        <v>548.20023818189259</v>
      </c>
      <c r="J47" s="139">
        <f>J46/J38</f>
        <v>548.20023818189259</v>
      </c>
      <c r="K47" s="134" t="s">
        <v>25</v>
      </c>
      <c r="L47" s="443">
        <f>+L46/I38</f>
        <v>490.37348241754609</v>
      </c>
      <c r="M47" s="444">
        <f>+M46/J38</f>
        <v>490.37348241754609</v>
      </c>
    </row>
    <row r="48" spans="1:14" ht="17.45" customHeight="1">
      <c r="A48" s="799" t="s">
        <v>15</v>
      </c>
      <c r="B48" s="800"/>
      <c r="C48" s="168">
        <f>SUMIF($G$7:$G$31,"Start Up",$F$7:$F$31)</f>
        <v>0</v>
      </c>
      <c r="D48" s="122">
        <f t="shared" si="2"/>
        <v>0</v>
      </c>
      <c r="E48" s="147">
        <f t="shared" si="1"/>
        <v>0</v>
      </c>
      <c r="F48" s="188"/>
      <c r="H48" s="191" t="s">
        <v>84</v>
      </c>
      <c r="I48" s="122">
        <f>I46/I40</f>
        <v>552.30198803514247</v>
      </c>
      <c r="J48" s="139">
        <f>J46/J40</f>
        <v>552.30198803514247</v>
      </c>
      <c r="K48" s="134" t="s">
        <v>25</v>
      </c>
      <c r="L48" s="443">
        <f>+L46/I38</f>
        <v>490.37348241754609</v>
      </c>
      <c r="M48" s="444">
        <f>+M46/J40</f>
        <v>494.04256028262427</v>
      </c>
    </row>
    <row r="49" spans="1:13" ht="17.45" customHeight="1">
      <c r="A49" s="799" t="s">
        <v>21</v>
      </c>
      <c r="B49" s="800"/>
      <c r="C49" s="168">
        <f>SUMIF($G$7:$G$31,"Others",$F$7:$F$31)</f>
        <v>0</v>
      </c>
      <c r="D49" s="122">
        <f t="shared" si="2"/>
        <v>0</v>
      </c>
      <c r="E49" s="147">
        <f t="shared" si="1"/>
        <v>0</v>
      </c>
      <c r="F49" s="188"/>
      <c r="H49" s="191" t="s">
        <v>170</v>
      </c>
      <c r="I49" s="122"/>
      <c r="J49" s="139">
        <f>I49</f>
        <v>0</v>
      </c>
      <c r="K49" s="134" t="s">
        <v>86</v>
      </c>
      <c r="L49" s="439"/>
      <c r="M49" s="440"/>
    </row>
    <row r="50" spans="1:13" ht="17.45" customHeight="1">
      <c r="A50" s="799" t="s">
        <v>20</v>
      </c>
      <c r="B50" s="800"/>
      <c r="C50" s="168">
        <f>SUMIF($G$7:$G$31,"Steam",$F$7:$F$31)</f>
        <v>0</v>
      </c>
      <c r="D50" s="122">
        <f t="shared" si="2"/>
        <v>0</v>
      </c>
      <c r="E50" s="147">
        <f t="shared" si="1"/>
        <v>0</v>
      </c>
      <c r="F50" s="188"/>
      <c r="H50" s="191" t="s">
        <v>87</v>
      </c>
      <c r="I50" s="144">
        <f>I49/I38</f>
        <v>0</v>
      </c>
      <c r="J50" s="137">
        <f>J49/J38</f>
        <v>0</v>
      </c>
      <c r="K50" s="134" t="s">
        <v>86</v>
      </c>
      <c r="L50" s="439"/>
      <c r="M50" s="440"/>
    </row>
    <row r="51" spans="1:13" ht="17.45" customHeight="1" thickBot="1">
      <c r="A51" s="805" t="s">
        <v>88</v>
      </c>
      <c r="B51" s="806"/>
      <c r="C51" s="168">
        <f>SUMIF($G$7:$G$31,"Planned shut",$F$7:$F$31)</f>
        <v>0</v>
      </c>
      <c r="D51" s="122">
        <f t="shared" si="2"/>
        <v>0</v>
      </c>
      <c r="E51" s="147">
        <f t="shared" si="1"/>
        <v>0</v>
      </c>
      <c r="F51" s="188"/>
      <c r="H51" s="193" t="s">
        <v>89</v>
      </c>
      <c r="I51" s="145">
        <f>I49/I40</f>
        <v>0</v>
      </c>
      <c r="J51" s="140">
        <f>J49/J40</f>
        <v>0</v>
      </c>
      <c r="K51" s="141" t="s">
        <v>86</v>
      </c>
      <c r="L51" s="439"/>
      <c r="M51" s="440"/>
    </row>
    <row r="52" spans="1:13" ht="13.5" thickBot="1">
      <c r="A52" s="803" t="s">
        <v>29</v>
      </c>
      <c r="B52" s="804"/>
      <c r="C52" s="148">
        <f>SUM(C38:C51)</f>
        <v>8</v>
      </c>
      <c r="D52" s="148">
        <f>SUM(D38:D51)</f>
        <v>8</v>
      </c>
      <c r="E52" s="149">
        <f>SUM(E38:E51)</f>
        <v>0.13333333333333333</v>
      </c>
      <c r="F52" s="188"/>
      <c r="H52" s="194"/>
      <c r="I52" s="195"/>
      <c r="J52" s="142"/>
      <c r="K52" s="143"/>
      <c r="L52" s="446"/>
      <c r="M52" s="447"/>
    </row>
    <row r="53" spans="1:13" ht="13.5" thickBot="1">
      <c r="A53" s="807"/>
      <c r="B53" s="808"/>
      <c r="C53" s="150">
        <f>C52/(24*60)</f>
        <v>5.5555555555555558E-3</v>
      </c>
      <c r="D53" s="150">
        <f>D52/(24*60*G4)</f>
        <v>5.5555555555555558E-3</v>
      </c>
      <c r="E53" s="151">
        <f>E52/(G4*24)</f>
        <v>5.5555555555555558E-3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90</v>
      </c>
      <c r="B56" s="198"/>
      <c r="C56" s="199"/>
      <c r="D56" s="199"/>
      <c r="E56" s="199"/>
      <c r="F56" s="200"/>
      <c r="G56" s="199"/>
      <c r="H56" s="201"/>
      <c r="I56" s="202" t="s">
        <v>91</v>
      </c>
      <c r="J56" s="203">
        <f>D34</f>
        <v>550</v>
      </c>
      <c r="K56" s="204">
        <f>J56/(J40+J56/1000)/1000</f>
        <v>9.0820522135438165E-3</v>
      </c>
    </row>
    <row r="57" spans="1:13">
      <c r="A57" s="179"/>
      <c r="I57" s="202" t="s">
        <v>92</v>
      </c>
      <c r="J57" s="203">
        <f>+E34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48:B48"/>
    <mergeCell ref="A49:B49"/>
    <mergeCell ref="A40:B40"/>
    <mergeCell ref="A41:B41"/>
    <mergeCell ref="A38:B38"/>
    <mergeCell ref="A39:B39"/>
    <mergeCell ref="A37:B37"/>
    <mergeCell ref="A7:A14"/>
    <mergeCell ref="I7:I13"/>
    <mergeCell ref="A15:A23"/>
    <mergeCell ref="I15:I22"/>
    <mergeCell ref="A34:B34"/>
    <mergeCell ref="A24:A32"/>
    <mergeCell ref="I24:I31"/>
    <mergeCell ref="A52:B52"/>
    <mergeCell ref="A53:B53"/>
    <mergeCell ref="A42:B42"/>
    <mergeCell ref="A43:B43"/>
    <mergeCell ref="A44:B44"/>
    <mergeCell ref="A45:B45"/>
    <mergeCell ref="A46:B46"/>
    <mergeCell ref="A47:B47"/>
    <mergeCell ref="A50:B50"/>
    <mergeCell ref="A51:B51"/>
  </mergeCells>
  <phoneticPr fontId="31" type="noConversion"/>
  <printOptions horizontalCentered="1"/>
  <pageMargins left="0.15625" right="0.15625" top="0.17" bottom="0.16" header="0" footer="0"/>
  <pageSetup paperSize="9" scale="62" firstPageNumber="4294963191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157255200</TotalTime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42</vt:i4>
      </vt:variant>
      <vt:variant>
        <vt:lpstr>Named Ranges</vt:lpstr>
      </vt:variant>
      <vt:variant>
        <vt:i4>36</vt:i4>
      </vt:variant>
    </vt:vector>
  </HeadingPairs>
  <TitlesOfParts>
    <vt:vector size="78" baseType="lpstr">
      <vt:lpstr>Report1</vt:lpstr>
      <vt:lpstr>GRAFIK</vt:lpstr>
      <vt:lpstr>Listrik</vt:lpstr>
      <vt:lpstr>Trim Rwd</vt:lpstr>
      <vt:lpstr>Efficiency1</vt:lpstr>
      <vt:lpstr>Efficiency2</vt:lpstr>
      <vt:lpstr>Chem</vt:lpstr>
      <vt:lpstr>BB</vt:lpstr>
      <vt:lpstr>RBP</vt:lpstr>
      <vt:lpstr>Sheet1</vt:lpstr>
      <vt:lpstr>summary</vt:lpstr>
      <vt:lpstr>31</vt:lpstr>
      <vt:lpstr>30</vt:lpstr>
      <vt:lpstr>29</vt:lpstr>
      <vt:lpstr>28</vt:lpstr>
      <vt:lpstr>27</vt:lpstr>
      <vt:lpstr>26</vt:lpstr>
      <vt:lpstr>25</vt:lpstr>
      <vt:lpstr>24</vt:lpstr>
      <vt:lpstr>23</vt:lpstr>
      <vt:lpstr>22</vt:lpstr>
      <vt:lpstr>21</vt:lpstr>
      <vt:lpstr>20</vt:lpstr>
      <vt:lpstr>19</vt:lpstr>
      <vt:lpstr>18</vt:lpstr>
      <vt:lpstr>17</vt:lpstr>
      <vt:lpstr>16</vt:lpstr>
      <vt:lpstr>15</vt:lpstr>
      <vt:lpstr>14</vt:lpstr>
      <vt:lpstr>13</vt:lpstr>
      <vt:lpstr>12</vt:lpstr>
      <vt:lpstr>11</vt:lpstr>
      <vt:lpstr>10</vt:lpstr>
      <vt:lpstr>9</vt:lpstr>
      <vt:lpstr>8</vt:lpstr>
      <vt:lpstr>7</vt:lpstr>
      <vt:lpstr>6</vt:lpstr>
      <vt:lpstr>5</vt:lpstr>
      <vt:lpstr>4</vt:lpstr>
      <vt:lpstr>3</vt:lpstr>
      <vt:lpstr>2</vt:lpstr>
      <vt:lpstr>1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  <vt:lpstr>Chem!Print_Area</vt:lpstr>
      <vt:lpstr>Efficiency1!Print_Area</vt:lpstr>
      <vt:lpstr>Efficiency2!Print_Area</vt:lpstr>
      <vt:lpstr>Listrik!Print_Area</vt:lpstr>
      <vt:lpstr>Report1!Print_Area</vt:lpstr>
    </vt:vector>
  </TitlesOfParts>
  <Company>PT. Sopanusa Tissue</Company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Arief Budiarta</dc:creator>
  <cp:lastModifiedBy>Produksi-PM</cp:lastModifiedBy>
  <cp:revision/>
  <cp:lastPrinted>2026-01-02T07:37:27Z</cp:lastPrinted>
  <dcterms:created xsi:type="dcterms:W3CDTF">2007-07-30T03:52:39Z</dcterms:created>
  <dcterms:modified xsi:type="dcterms:W3CDTF">2026-01-02T08:32:45Z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1033-6.6.0.2477</vt:lpwstr>
  </property>
</Properties>
</file>