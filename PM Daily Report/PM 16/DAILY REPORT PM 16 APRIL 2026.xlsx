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040" tabRatio="930" firstSheet="4" activeTab="9"/>
  </bookViews>
  <sheets>
    <sheet name="eff all value" sheetId="57" state="hidden" r:id="rId1"/>
    <sheet name="eff all value (2)" sheetId="58" state="hidden" r:id="rId2"/>
    <sheet name="eff all value (3)" sheetId="59" state="hidden" r:id="rId3"/>
    <sheet name="eff all value (4)" sheetId="60" state="hidden" r:id="rId4"/>
    <sheet name="Report1" sheetId="48" r:id="rId5"/>
    <sheet name="GRAFIK" sheetId="50" r:id="rId6"/>
    <sheet name="Listrik" sheetId="45" r:id="rId7"/>
    <sheet name="Trim Rwd" sheetId="47" r:id="rId8"/>
    <sheet name="Efficiency1" sheetId="56" r:id="rId9"/>
    <sheet name="Efficiency2" sheetId="55" r:id="rId10"/>
    <sheet name="Chem" sheetId="1" r:id="rId11"/>
    <sheet name="BB" sheetId="2" r:id="rId12"/>
    <sheet name="RBP" sheetId="51" r:id="rId13"/>
    <sheet name="Sheet1" sheetId="53" r:id="rId14"/>
    <sheet name="summary" sheetId="54" r:id="rId15"/>
    <sheet name="30" sheetId="4" r:id="rId16"/>
    <sheet name="29" sheetId="37" r:id="rId17"/>
    <sheet name="28" sheetId="6" r:id="rId18"/>
    <sheet name="27" sheetId="7" r:id="rId19"/>
    <sheet name="26" sheetId="8" r:id="rId20"/>
    <sheet name="25" sheetId="9" r:id="rId21"/>
    <sheet name="24" sheetId="10" r:id="rId22"/>
    <sheet name="23" sheetId="11" r:id="rId23"/>
    <sheet name="22" sheetId="12" r:id="rId24"/>
    <sheet name="21" sheetId="13" r:id="rId25"/>
    <sheet name="20" sheetId="14" r:id="rId26"/>
    <sheet name="19" sheetId="15" r:id="rId27"/>
    <sheet name="18" sheetId="16" r:id="rId28"/>
    <sheet name="17" sheetId="17" r:id="rId29"/>
    <sheet name="16" sheetId="18" r:id="rId30"/>
    <sheet name="15" sheetId="19" r:id="rId31"/>
    <sheet name="14" sheetId="20" r:id="rId32"/>
    <sheet name="13" sheetId="22" r:id="rId33"/>
    <sheet name="12" sheetId="21" r:id="rId34"/>
    <sheet name="11" sheetId="23" r:id="rId35"/>
    <sheet name="10" sheetId="24" r:id="rId36"/>
    <sheet name="9" sheetId="25" r:id="rId37"/>
    <sheet name="8" sheetId="26" r:id="rId38"/>
    <sheet name="7" sheetId="28" r:id="rId39"/>
    <sheet name="6" sheetId="27" r:id="rId40"/>
    <sheet name="5" sheetId="29" r:id="rId41"/>
    <sheet name="4" sheetId="30" r:id="rId42"/>
    <sheet name="3" sheetId="31" r:id="rId43"/>
    <sheet name="2" sheetId="32" r:id="rId44"/>
    <sheet name="1" sheetId="33" r:id="rId45"/>
    <sheet name="31" sheetId="43" r:id="rId46"/>
  </sheets>
  <externalReferences>
    <externalReference r:id="rId47"/>
  </externalReferences>
  <definedNames>
    <definedName name="_xlnm._FilterDatabase" localSheetId="13" hidden="1">Sheet1!$B$1:$F$45</definedName>
    <definedName name="_xlnm.Print_Area" localSheetId="44">'1'!$A$1:$M$61</definedName>
    <definedName name="_xlnm.Print_Area" localSheetId="35">'10'!$A$1:$M$61</definedName>
    <definedName name="_xlnm.Print_Area" localSheetId="34">'11'!$A$1:$M$61</definedName>
    <definedName name="_xlnm.Print_Area" localSheetId="33">'12'!$A$1:$M$61</definedName>
    <definedName name="_xlnm.Print_Area" localSheetId="32">'13'!$A$1:$M$62</definedName>
    <definedName name="_xlnm.Print_Area" localSheetId="31">'14'!$A$1:$M$61</definedName>
    <definedName name="_xlnm.Print_Area" localSheetId="30">'15'!$A$1:$M$61</definedName>
    <definedName name="_xlnm.Print_Area" localSheetId="29">'16'!$A$1:$M$61</definedName>
    <definedName name="_xlnm.Print_Area" localSheetId="28">'17'!$A$1:$M$61</definedName>
    <definedName name="_xlnm.Print_Area" localSheetId="27">'18'!$A$1:$M$61</definedName>
    <definedName name="_xlnm.Print_Area" localSheetId="26">'19'!$A$1:$M$61</definedName>
    <definedName name="_xlnm.Print_Area" localSheetId="43">'2'!$A$1:$M$61</definedName>
    <definedName name="_xlnm.Print_Area" localSheetId="25">'20'!$A$1:$M$62</definedName>
    <definedName name="_xlnm.Print_Area" localSheetId="24">'21'!$A$1:$M$61</definedName>
    <definedName name="_xlnm.Print_Area" localSheetId="23">'22'!$A$1:$M$61</definedName>
    <definedName name="_xlnm.Print_Area" localSheetId="22">'23'!$A$1:$M$61</definedName>
    <definedName name="_xlnm.Print_Area" localSheetId="21">'24'!$A$1:$M$61</definedName>
    <definedName name="_xlnm.Print_Area" localSheetId="20">'25'!$A$1:$M$61</definedName>
    <definedName name="_xlnm.Print_Area" localSheetId="19">'26'!$A$1:$M$61</definedName>
    <definedName name="_xlnm.Print_Area" localSheetId="18">'27'!$A$1:$M$61</definedName>
    <definedName name="_xlnm.Print_Area" localSheetId="17">'28'!$A$1:$M$61</definedName>
    <definedName name="_xlnm.Print_Area" localSheetId="16">'29'!$A$1:$M$61</definedName>
    <definedName name="_xlnm.Print_Area" localSheetId="42">'3'!$A$1:$M$61</definedName>
    <definedName name="_xlnm.Print_Area" localSheetId="15">'30'!$A$1:$M$61</definedName>
    <definedName name="_xlnm.Print_Area" localSheetId="45">'31'!$A$1:$M$63</definedName>
    <definedName name="_xlnm.Print_Area" localSheetId="41">'4'!$A$1:$M$61</definedName>
    <definedName name="_xlnm.Print_Area" localSheetId="40">'5'!$A$1:$M$61</definedName>
    <definedName name="_xlnm.Print_Area" localSheetId="39">'6'!$A$1:$M$61</definedName>
    <definedName name="_xlnm.Print_Area" localSheetId="38">'7'!$A$1:$M$61</definedName>
    <definedName name="_xlnm.Print_Area" localSheetId="37">'8'!$A$1:$M$61</definedName>
    <definedName name="_xlnm.Print_Area" localSheetId="36">'9'!$A$1:$M$62</definedName>
    <definedName name="_xlnm.Print_Area" localSheetId="10">Chem!$CE$7:$CQ$16</definedName>
    <definedName name="_xlnm.Print_Area" localSheetId="8">Efficiency1!$A$1:$AD$143</definedName>
    <definedName name="_xlnm.Print_Area" localSheetId="9">Efficiency2!$A$1:$AD$143</definedName>
    <definedName name="_xlnm.Print_Area" localSheetId="6">Listrik!$A$2:$AW$40</definedName>
    <definedName name="_xlnm.Print_Area" localSheetId="4">Report1!$A$3:$AE$41</definedName>
    <definedName name="_xlnm.Print_Area" localSheetId="14">summary!$A$1:$H$51</definedName>
  </definedNames>
  <calcPr calcId="144525"/>
</workbook>
</file>

<file path=xl/calcChain.xml><?xml version="1.0" encoding="utf-8"?>
<calcChain xmlns="http://schemas.openxmlformats.org/spreadsheetml/2006/main">
  <c r="Y143" i="55" l="1"/>
  <c r="Y144" i="55" s="1"/>
  <c r="W141" i="55"/>
  <c r="W140" i="55"/>
  <c r="W139" i="55"/>
  <c r="W138" i="55"/>
  <c r="W137" i="55"/>
  <c r="X137" i="55" s="1"/>
  <c r="Z134" i="55"/>
  <c r="W134" i="55"/>
  <c r="W133" i="55"/>
  <c r="Z132" i="55"/>
  <c r="W132" i="55"/>
  <c r="X132" i="55" s="1"/>
  <c r="W129" i="55"/>
  <c r="W128" i="55"/>
  <c r="X126" i="55" s="1"/>
  <c r="W127" i="55"/>
  <c r="W126" i="55"/>
  <c r="Z122" i="55"/>
  <c r="W122" i="55"/>
  <c r="W121" i="55"/>
  <c r="X121" i="55" s="1"/>
  <c r="X117" i="55"/>
  <c r="W117" i="55"/>
  <c r="Z113" i="55"/>
  <c r="W113" i="55"/>
  <c r="X113" i="55" s="1"/>
  <c r="W109" i="55"/>
  <c r="X109" i="55" s="1"/>
  <c r="Z105" i="55"/>
  <c r="X105" i="55"/>
  <c r="W105" i="55"/>
  <c r="Z100" i="55"/>
  <c r="W100" i="55"/>
  <c r="X100" i="55" s="1"/>
  <c r="Z96" i="55"/>
  <c r="W96" i="55"/>
  <c r="X96" i="55" s="1"/>
  <c r="X92" i="55"/>
  <c r="W92" i="55"/>
  <c r="X88" i="55"/>
  <c r="W88" i="55"/>
  <c r="Z84" i="55"/>
  <c r="W84" i="55"/>
  <c r="X84" i="55" s="1"/>
  <c r="Z80" i="55"/>
  <c r="X80" i="55"/>
  <c r="W80" i="55"/>
  <c r="Z78" i="55"/>
  <c r="W78" i="55"/>
  <c r="Z77" i="55"/>
  <c r="W77" i="55"/>
  <c r="W76" i="55"/>
  <c r="X76" i="55" s="1"/>
  <c r="W73" i="55"/>
  <c r="W72" i="55"/>
  <c r="X72" i="55" s="1"/>
  <c r="W70" i="55"/>
  <c r="W69" i="55"/>
  <c r="W68" i="55"/>
  <c r="Z67" i="55"/>
  <c r="W67" i="55"/>
  <c r="X67" i="55" s="1"/>
  <c r="Z62" i="55"/>
  <c r="X62" i="55"/>
  <c r="W62" i="55"/>
  <c r="Z57" i="55"/>
  <c r="W57" i="55"/>
  <c r="W56" i="55"/>
  <c r="X56" i="55" s="1"/>
  <c r="Z53" i="55"/>
  <c r="W53" i="55"/>
  <c r="W52" i="55"/>
  <c r="X52" i="55" s="1"/>
  <c r="W48" i="55"/>
  <c r="X48" i="55" s="1"/>
  <c r="Z43" i="55"/>
  <c r="W43" i="55"/>
  <c r="X43" i="55" s="1"/>
  <c r="W38" i="55"/>
  <c r="X38" i="55" s="1"/>
  <c r="W35" i="55"/>
  <c r="W34" i="55"/>
  <c r="X34" i="55" s="1"/>
  <c r="W32" i="55"/>
  <c r="Z31" i="55"/>
  <c r="W31" i="55"/>
  <c r="Z30" i="55"/>
  <c r="W30" i="55"/>
  <c r="X30" i="55" s="1"/>
  <c r="Z25" i="55"/>
  <c r="X25" i="55"/>
  <c r="W25" i="55"/>
  <c r="Z23" i="55"/>
  <c r="W23" i="55"/>
  <c r="Z22" i="55"/>
  <c r="W22" i="55"/>
  <c r="Z21" i="55"/>
  <c r="W21" i="55"/>
  <c r="Z20" i="55"/>
  <c r="W20" i="55"/>
  <c r="X20" i="55" s="1"/>
  <c r="W17" i="55"/>
  <c r="Z16" i="55"/>
  <c r="W16" i="55"/>
  <c r="X16" i="55" s="1"/>
  <c r="Z11" i="55"/>
  <c r="X11" i="55"/>
  <c r="W11" i="55"/>
  <c r="Z6" i="55"/>
  <c r="Z143" i="55" s="1"/>
  <c r="X6" i="55"/>
  <c r="W6" i="55"/>
  <c r="W143" i="55" s="1"/>
  <c r="Z57" i="56"/>
  <c r="Z25" i="56"/>
  <c r="W145" i="55" l="1"/>
  <c r="X143" i="55"/>
  <c r="Z145" i="55"/>
  <c r="Z144" i="55"/>
  <c r="C25" i="21"/>
  <c r="C16" i="21"/>
  <c r="AU39" i="2" l="1"/>
  <c r="K39" i="2"/>
  <c r="O140" i="55"/>
  <c r="P140" i="55" s="1"/>
  <c r="N140" i="55"/>
  <c r="M140" i="55"/>
  <c r="H140" i="55"/>
  <c r="K140" i="55" s="1"/>
  <c r="C140" i="55"/>
  <c r="O139" i="55"/>
  <c r="P139" i="55" s="1"/>
  <c r="N139" i="55"/>
  <c r="M139" i="55"/>
  <c r="H139" i="55"/>
  <c r="K139" i="55" s="1"/>
  <c r="C139" i="55"/>
  <c r="O138" i="55"/>
  <c r="P138" i="55" s="1"/>
  <c r="N138" i="55"/>
  <c r="M138" i="55"/>
  <c r="H138" i="55"/>
  <c r="K138" i="55" s="1"/>
  <c r="C138" i="55"/>
  <c r="O137" i="55"/>
  <c r="P137" i="55" s="1"/>
  <c r="N137" i="55"/>
  <c r="H137" i="55" s="1"/>
  <c r="C137" i="55"/>
  <c r="AC140" i="55"/>
  <c r="O140" i="56"/>
  <c r="O139" i="56"/>
  <c r="O138" i="56"/>
  <c r="O137" i="56"/>
  <c r="I90" i="47"/>
  <c r="I91" i="47"/>
  <c r="I92" i="47"/>
  <c r="I89" i="47"/>
  <c r="G93" i="47"/>
  <c r="H93" i="47" s="1"/>
  <c r="E93" i="47"/>
  <c r="H92" i="47"/>
  <c r="E92" i="47"/>
  <c r="G92" i="47" s="1"/>
  <c r="E91" i="47"/>
  <c r="G91" i="47"/>
  <c r="H91" i="47" s="1"/>
  <c r="F90" i="47"/>
  <c r="G90" i="47" s="1"/>
  <c r="H90" i="47" s="1"/>
  <c r="E90" i="47"/>
  <c r="E89" i="47"/>
  <c r="F89" i="47"/>
  <c r="G89" i="47"/>
  <c r="H89" i="47" s="1"/>
  <c r="AC140" i="56"/>
  <c r="W141" i="56"/>
  <c r="K17" i="4"/>
  <c r="K16" i="4"/>
  <c r="K15" i="4"/>
  <c r="K19" i="4"/>
  <c r="C16" i="4"/>
  <c r="C7" i="4"/>
  <c r="K137" i="55" l="1"/>
  <c r="J137" i="55"/>
  <c r="J138" i="55"/>
  <c r="J139" i="55"/>
  <c r="J140" i="55"/>
  <c r="AG4" i="51"/>
  <c r="AG3" i="51"/>
  <c r="AE7" i="51"/>
  <c r="AE11" i="51"/>
  <c r="AE6" i="51"/>
  <c r="AD3" i="51"/>
  <c r="AD7" i="51"/>
  <c r="AD6" i="51"/>
  <c r="AD10" i="51"/>
  <c r="AC7" i="51"/>
  <c r="AC6" i="51"/>
  <c r="Q127" i="55" l="1"/>
  <c r="R127" i="55"/>
  <c r="AW140" i="55"/>
  <c r="R137" i="55"/>
  <c r="Q137" i="55"/>
  <c r="AR140" i="55"/>
  <c r="BA140" i="55" s="1"/>
  <c r="AM140" i="55"/>
  <c r="AR139" i="55"/>
  <c r="BA139" i="55" s="1"/>
  <c r="AM139" i="55"/>
  <c r="BA138" i="55"/>
  <c r="AD138" i="55" s="1"/>
  <c r="AR138" i="55"/>
  <c r="AM138" i="55"/>
  <c r="AR137" i="55"/>
  <c r="BA137" i="55" s="1"/>
  <c r="AM137" i="55"/>
  <c r="W140" i="56"/>
  <c r="W139" i="56"/>
  <c r="W138" i="56"/>
  <c r="W137" i="56"/>
  <c r="T137" i="56"/>
  <c r="M140" i="56"/>
  <c r="M139" i="56"/>
  <c r="M138" i="56"/>
  <c r="R8" i="4"/>
  <c r="Q8" i="4"/>
  <c r="Q10" i="4" s="1"/>
  <c r="Q11" i="4" s="1"/>
  <c r="R11" i="4"/>
  <c r="R10" i="4"/>
  <c r="P10" i="4"/>
  <c r="R9" i="4"/>
  <c r="Q9" i="4"/>
  <c r="P9" i="4"/>
  <c r="O9" i="4"/>
  <c r="N137" i="56"/>
  <c r="H137" i="56" s="1"/>
  <c r="J137" i="56" s="1"/>
  <c r="P140" i="56"/>
  <c r="T139" i="56"/>
  <c r="P139" i="56"/>
  <c r="N139" i="56"/>
  <c r="AR140" i="56"/>
  <c r="BA140" i="56" s="1"/>
  <c r="AM140" i="56"/>
  <c r="AR139" i="56"/>
  <c r="BA139" i="56" s="1"/>
  <c r="AM139" i="56"/>
  <c r="BA138" i="56"/>
  <c r="AR138" i="56"/>
  <c r="AM138" i="56"/>
  <c r="T138" i="56"/>
  <c r="AR137" i="56"/>
  <c r="BA137" i="56" s="1"/>
  <c r="AD137" i="56" s="1"/>
  <c r="AM137" i="56"/>
  <c r="C14" i="4"/>
  <c r="G42" i="4"/>
  <c r="I37" i="4" s="1"/>
  <c r="F42" i="4"/>
  <c r="P8" i="4"/>
  <c r="G38" i="4"/>
  <c r="R29" i="4"/>
  <c r="Q29" i="4"/>
  <c r="R27" i="4"/>
  <c r="R28" i="4" s="1"/>
  <c r="Q27" i="4"/>
  <c r="R26" i="4"/>
  <c r="Q26" i="4"/>
  <c r="R25" i="4"/>
  <c r="Q25" i="4"/>
  <c r="Q28" i="4"/>
  <c r="P28" i="4"/>
  <c r="P26" i="4"/>
  <c r="P25" i="4"/>
  <c r="O27" i="4"/>
  <c r="O26" i="4"/>
  <c r="O25" i="4"/>
  <c r="Q17" i="4"/>
  <c r="Q18" i="4" s="1"/>
  <c r="Q19" i="4" s="1"/>
  <c r="R17" i="4"/>
  <c r="Q16" i="4"/>
  <c r="P18" i="4"/>
  <c r="P16" i="4"/>
  <c r="O17" i="4"/>
  <c r="O16" i="4"/>
  <c r="R16" i="4" s="1"/>
  <c r="R18" i="4" s="1"/>
  <c r="R19" i="4" s="1"/>
  <c r="L40" i="4"/>
  <c r="L38" i="4"/>
  <c r="I38" i="4"/>
  <c r="L37" i="4"/>
  <c r="O8" i="4"/>
  <c r="N6" i="4"/>
  <c r="V137" i="55" l="1"/>
  <c r="U140" i="56"/>
  <c r="C139" i="56"/>
  <c r="C138" i="56"/>
  <c r="V137" i="56"/>
  <c r="AD137" i="55"/>
  <c r="AD139" i="55"/>
  <c r="AD140" i="55"/>
  <c r="T137" i="55"/>
  <c r="AC137" i="55" s="1"/>
  <c r="U137" i="55"/>
  <c r="V138" i="55"/>
  <c r="V139" i="55"/>
  <c r="V140" i="55"/>
  <c r="T138" i="55"/>
  <c r="AC138" i="55" s="1"/>
  <c r="U138" i="55"/>
  <c r="T139" i="55"/>
  <c r="AC139" i="55" s="1"/>
  <c r="U139" i="55"/>
  <c r="T140" i="55"/>
  <c r="U140" i="55"/>
  <c r="AD140" i="56"/>
  <c r="AD138" i="56"/>
  <c r="U138" i="56"/>
  <c r="P138" i="56"/>
  <c r="U137" i="56"/>
  <c r="C137" i="56"/>
  <c r="P137" i="56"/>
  <c r="K137" i="56"/>
  <c r="V139" i="56"/>
  <c r="H139" i="56"/>
  <c r="U139" i="56"/>
  <c r="N140" i="56"/>
  <c r="C140" i="56"/>
  <c r="T140" i="56"/>
  <c r="AD139" i="56"/>
  <c r="N138" i="56"/>
  <c r="AU38" i="2"/>
  <c r="AA137" i="55" l="1"/>
  <c r="AB137" i="55" s="1"/>
  <c r="AA137" i="56"/>
  <c r="N38" i="48"/>
  <c r="K139" i="56"/>
  <c r="AC139" i="56" s="1"/>
  <c r="J139" i="56"/>
  <c r="V140" i="56"/>
  <c r="H140" i="56"/>
  <c r="V138" i="56"/>
  <c r="H138" i="56"/>
  <c r="K38" i="2"/>
  <c r="O133" i="55"/>
  <c r="O132" i="55"/>
  <c r="O128" i="55"/>
  <c r="O127" i="55"/>
  <c r="O126" i="55"/>
  <c r="O122" i="55"/>
  <c r="O121" i="55"/>
  <c r="O117" i="55"/>
  <c r="O113" i="55"/>
  <c r="O109" i="55"/>
  <c r="O105" i="55"/>
  <c r="O100" i="55"/>
  <c r="O96" i="55"/>
  <c r="O92" i="55"/>
  <c r="O88" i="55"/>
  <c r="O84" i="55"/>
  <c r="O80" i="55"/>
  <c r="O78" i="55"/>
  <c r="O77" i="55"/>
  <c r="O76" i="55"/>
  <c r="O73" i="55"/>
  <c r="O72" i="55"/>
  <c r="O70" i="55"/>
  <c r="O69" i="55"/>
  <c r="O68" i="55"/>
  <c r="O67" i="55"/>
  <c r="O62" i="55"/>
  <c r="O57" i="55"/>
  <c r="O56" i="55"/>
  <c r="O53" i="55"/>
  <c r="O52" i="55"/>
  <c r="O48" i="55"/>
  <c r="O43" i="55"/>
  <c r="O38" i="55"/>
  <c r="O34" i="55"/>
  <c r="O32" i="55"/>
  <c r="O31" i="55"/>
  <c r="O30" i="55"/>
  <c r="O25" i="55"/>
  <c r="O22" i="55"/>
  <c r="O21" i="55"/>
  <c r="O20" i="55"/>
  <c r="O17" i="55"/>
  <c r="O16" i="55"/>
  <c r="O11" i="55"/>
  <c r="O6" i="55"/>
  <c r="AR134" i="55"/>
  <c r="BA134" i="55" s="1"/>
  <c r="AM134" i="55"/>
  <c r="W134" i="56"/>
  <c r="Z132" i="56"/>
  <c r="Z134" i="56"/>
  <c r="O133" i="56"/>
  <c r="O132" i="56"/>
  <c r="I86" i="47"/>
  <c r="I85" i="47"/>
  <c r="F85" i="47"/>
  <c r="E87" i="47"/>
  <c r="H87" i="47" s="1"/>
  <c r="E86" i="47"/>
  <c r="G86" i="47" s="1"/>
  <c r="E85" i="47"/>
  <c r="H85" i="47"/>
  <c r="K16" i="37"/>
  <c r="K18" i="37"/>
  <c r="K9" i="37"/>
  <c r="AL38" i="48" l="1"/>
  <c r="AD134" i="55"/>
  <c r="J140" i="56"/>
  <c r="K140" i="56"/>
  <c r="J138" i="56"/>
  <c r="K138" i="56"/>
  <c r="AC137" i="56"/>
  <c r="H86" i="47"/>
  <c r="G85" i="47"/>
  <c r="G87" i="47"/>
  <c r="AC138" i="56" l="1"/>
  <c r="X137" i="56"/>
  <c r="L38" i="48"/>
  <c r="AB137" i="56"/>
  <c r="Q132" i="55"/>
  <c r="R132" i="55"/>
  <c r="AW135" i="55"/>
  <c r="AR135" i="55"/>
  <c r="BA135" i="55" s="1"/>
  <c r="AM135" i="55"/>
  <c r="AR133" i="55"/>
  <c r="BA133" i="55" s="1"/>
  <c r="AD133" i="55" s="1"/>
  <c r="AM133" i="55"/>
  <c r="M133" i="55"/>
  <c r="N133" i="55" s="1"/>
  <c r="AR132" i="55"/>
  <c r="BA132" i="55" s="1"/>
  <c r="AD132" i="55" s="1"/>
  <c r="AM132" i="55"/>
  <c r="M132" i="55"/>
  <c r="AM135" i="56"/>
  <c r="AR135" i="56"/>
  <c r="BA135" i="56" s="1"/>
  <c r="W133" i="56"/>
  <c r="W132" i="56"/>
  <c r="P8" i="37"/>
  <c r="I37" i="37"/>
  <c r="M133" i="56"/>
  <c r="N133" i="56" s="1"/>
  <c r="M132" i="56"/>
  <c r="P132" i="56"/>
  <c r="AR134" i="56"/>
  <c r="BA134" i="56" s="1"/>
  <c r="AM134" i="56"/>
  <c r="AR133" i="56"/>
  <c r="BA133" i="56" s="1"/>
  <c r="AM133" i="56"/>
  <c r="P133" i="56"/>
  <c r="AR132" i="56"/>
  <c r="BA132" i="56" s="1"/>
  <c r="AM132" i="56"/>
  <c r="AD132" i="56" s="1"/>
  <c r="C14" i="37"/>
  <c r="AD134" i="56" l="1"/>
  <c r="AD135" i="55"/>
  <c r="C133" i="55"/>
  <c r="V133" i="56"/>
  <c r="P133" i="55"/>
  <c r="T133" i="55"/>
  <c r="U133" i="55"/>
  <c r="U133" i="56"/>
  <c r="C132" i="56"/>
  <c r="U132" i="56"/>
  <c r="T132" i="56"/>
  <c r="U132" i="55"/>
  <c r="P132" i="55"/>
  <c r="H133" i="55"/>
  <c r="V133" i="55"/>
  <c r="C132" i="55"/>
  <c r="T132" i="55"/>
  <c r="N132" i="55"/>
  <c r="AD135" i="56"/>
  <c r="AD133" i="56"/>
  <c r="N132" i="56"/>
  <c r="C133" i="56"/>
  <c r="T133" i="56"/>
  <c r="H133" i="56"/>
  <c r="N37" i="48" l="1"/>
  <c r="AA132" i="55"/>
  <c r="AA132" i="56"/>
  <c r="K133" i="55"/>
  <c r="AC133" i="55" s="1"/>
  <c r="J133" i="55"/>
  <c r="V132" i="55"/>
  <c r="H132" i="55"/>
  <c r="V132" i="56"/>
  <c r="H132" i="56"/>
  <c r="K133" i="56"/>
  <c r="AC133" i="56" s="1"/>
  <c r="J133" i="56"/>
  <c r="J132" i="55" l="1"/>
  <c r="K132" i="55"/>
  <c r="K132" i="56"/>
  <c r="L37" i="48" s="1"/>
  <c r="J132" i="56"/>
  <c r="AL37" i="48" l="1"/>
  <c r="AC132" i="55"/>
  <c r="AB132" i="55"/>
  <c r="AC132" i="56"/>
  <c r="AB132" i="56"/>
  <c r="X132" i="56"/>
  <c r="L37" i="37" l="1"/>
  <c r="L38" i="37"/>
  <c r="I38" i="37"/>
  <c r="G42" i="37"/>
  <c r="F42" i="37"/>
  <c r="R28" i="37"/>
  <c r="Q28" i="37"/>
  <c r="Q26" i="37"/>
  <c r="R26" i="37"/>
  <c r="R25" i="37"/>
  <c r="Q25" i="37"/>
  <c r="R27" i="37"/>
  <c r="Q27" i="37"/>
  <c r="P27" i="37"/>
  <c r="P26" i="37"/>
  <c r="O26" i="37"/>
  <c r="O25" i="37"/>
  <c r="O8" i="37"/>
  <c r="N6" i="37"/>
  <c r="AU37" i="2" l="1"/>
  <c r="K37" i="2"/>
  <c r="AC129" i="55" l="1"/>
  <c r="P128" i="55"/>
  <c r="M128" i="55"/>
  <c r="U128" i="55" s="1"/>
  <c r="U127" i="55"/>
  <c r="T127" i="55"/>
  <c r="P127" i="55"/>
  <c r="M127" i="55"/>
  <c r="N127" i="55" s="1"/>
  <c r="Q126" i="55"/>
  <c r="P126" i="55"/>
  <c r="M126" i="55"/>
  <c r="T126" i="55" s="1"/>
  <c r="AC129" i="56"/>
  <c r="W129" i="56"/>
  <c r="O128" i="56"/>
  <c r="O127" i="56"/>
  <c r="O126" i="56"/>
  <c r="H83" i="47"/>
  <c r="E83" i="47"/>
  <c r="G83" i="47" s="1"/>
  <c r="I83" i="47"/>
  <c r="E82" i="47"/>
  <c r="G82" i="47" s="1"/>
  <c r="H82" i="47" s="1"/>
  <c r="I82" i="47"/>
  <c r="I81" i="47"/>
  <c r="E81" i="47"/>
  <c r="G81" i="47"/>
  <c r="H81" i="47" s="1"/>
  <c r="G80" i="47"/>
  <c r="H80" i="47" s="1"/>
  <c r="E80" i="47"/>
  <c r="K9" i="6"/>
  <c r="K20" i="6"/>
  <c r="K19" i="6"/>
  <c r="C127" i="55" l="1"/>
  <c r="U126" i="55"/>
  <c r="AA126" i="55"/>
  <c r="V127" i="55"/>
  <c r="H127" i="55"/>
  <c r="N128" i="55"/>
  <c r="C126" i="55"/>
  <c r="C128" i="55"/>
  <c r="T128" i="55"/>
  <c r="N126" i="55"/>
  <c r="K127" i="55" l="1"/>
  <c r="AC127" i="55" s="1"/>
  <c r="J127" i="55"/>
  <c r="H128" i="55"/>
  <c r="V128" i="55"/>
  <c r="H126" i="55"/>
  <c r="V126" i="55"/>
  <c r="K128" i="55" l="1"/>
  <c r="AC128" i="55" s="1"/>
  <c r="J128" i="55"/>
  <c r="K126" i="55"/>
  <c r="J126" i="55"/>
  <c r="AC126" i="55" l="1"/>
  <c r="AB126" i="55" s="1"/>
  <c r="AW130" i="55" l="1"/>
  <c r="AR130" i="55"/>
  <c r="AM130" i="55"/>
  <c r="AR129" i="55"/>
  <c r="BA129" i="55" s="1"/>
  <c r="AM129" i="55"/>
  <c r="AD129" i="55" s="1"/>
  <c r="AR128" i="55"/>
  <c r="BA128" i="55" s="1"/>
  <c r="AM128" i="55"/>
  <c r="AD128" i="55" s="1"/>
  <c r="AR127" i="55"/>
  <c r="BA127" i="55" s="1"/>
  <c r="AM127" i="55"/>
  <c r="AD127" i="55" s="1"/>
  <c r="AR126" i="55"/>
  <c r="BA126" i="55" s="1"/>
  <c r="AM126" i="55"/>
  <c r="AD126" i="55" s="1"/>
  <c r="AM130" i="56"/>
  <c r="AR130" i="56"/>
  <c r="BA130" i="56"/>
  <c r="W128" i="56"/>
  <c r="W127" i="56"/>
  <c r="W126" i="56"/>
  <c r="Q126" i="56"/>
  <c r="M128" i="56"/>
  <c r="U128" i="56" s="1"/>
  <c r="M127" i="56"/>
  <c r="M126" i="56"/>
  <c r="T126" i="56" s="1"/>
  <c r="P128" i="56"/>
  <c r="AR129" i="56"/>
  <c r="BA129" i="56" s="1"/>
  <c r="AM129" i="56"/>
  <c r="AR128" i="56"/>
  <c r="BA128" i="56" s="1"/>
  <c r="AM128" i="56"/>
  <c r="AR127" i="56"/>
  <c r="BA127" i="56" s="1"/>
  <c r="AM127" i="56"/>
  <c r="AD127" i="56" s="1"/>
  <c r="P127" i="56"/>
  <c r="AR126" i="56"/>
  <c r="BA126" i="56" s="1"/>
  <c r="AD126" i="56" s="1"/>
  <c r="AM126" i="56"/>
  <c r="L38" i="6"/>
  <c r="L37" i="6"/>
  <c r="I38" i="6"/>
  <c r="I37" i="6"/>
  <c r="P8" i="6"/>
  <c r="G42" i="6"/>
  <c r="F42" i="6"/>
  <c r="Q29" i="6"/>
  <c r="R29" i="6"/>
  <c r="R27" i="6"/>
  <c r="Q27" i="6"/>
  <c r="Q26" i="6"/>
  <c r="R26" i="6"/>
  <c r="R25" i="6"/>
  <c r="Q25" i="6"/>
  <c r="P28" i="6"/>
  <c r="N126" i="56" l="1"/>
  <c r="AD130" i="55"/>
  <c r="BA130" i="55"/>
  <c r="U127" i="56"/>
  <c r="P126" i="56"/>
  <c r="C126" i="56"/>
  <c r="N36" i="48" s="1"/>
  <c r="AD130" i="56"/>
  <c r="AD129" i="56"/>
  <c r="C128" i="56"/>
  <c r="T128" i="56"/>
  <c r="N128" i="56"/>
  <c r="V126" i="56"/>
  <c r="H126" i="56"/>
  <c r="AD128" i="56"/>
  <c r="U126" i="56"/>
  <c r="AA126" i="56" s="1"/>
  <c r="N127" i="56"/>
  <c r="C127" i="56"/>
  <c r="T127" i="56"/>
  <c r="R28" i="6"/>
  <c r="Q28" i="6"/>
  <c r="P26" i="6"/>
  <c r="P25" i="6"/>
  <c r="O26" i="6"/>
  <c r="O27" i="6"/>
  <c r="O25" i="6"/>
  <c r="O8" i="6"/>
  <c r="V128" i="56" l="1"/>
  <c r="H128" i="56"/>
  <c r="K126" i="56"/>
  <c r="J126" i="56"/>
  <c r="H127" i="56"/>
  <c r="V127" i="56"/>
  <c r="N6" i="6"/>
  <c r="K128" i="56" l="1"/>
  <c r="AC128" i="56" s="1"/>
  <c r="J128" i="56"/>
  <c r="K127" i="56"/>
  <c r="AC127" i="56" s="1"/>
  <c r="J127" i="56"/>
  <c r="AC126" i="56"/>
  <c r="L36" i="48" l="1"/>
  <c r="AL36" i="48"/>
  <c r="X126" i="56"/>
  <c r="AB126" i="56"/>
  <c r="F29" i="6" l="1"/>
  <c r="C14" i="6" l="1"/>
  <c r="AB6" i="51"/>
  <c r="AB7" i="51"/>
  <c r="AB3" i="51"/>
  <c r="AA7" i="51"/>
  <c r="AA6" i="51"/>
  <c r="Z7" i="51" l="1"/>
  <c r="Z6" i="51"/>
  <c r="Z10" i="51"/>
  <c r="Y7" i="51"/>
  <c r="Y6" i="51"/>
  <c r="X7" i="51"/>
  <c r="X6" i="51"/>
  <c r="W7" i="51"/>
  <c r="W6" i="51"/>
  <c r="V7" i="51"/>
  <c r="V6" i="51"/>
  <c r="U6" i="51"/>
  <c r="U7" i="51"/>
  <c r="T7" i="51"/>
  <c r="T6" i="51"/>
  <c r="S7" i="51"/>
  <c r="S6" i="51"/>
  <c r="R7" i="51"/>
  <c r="R6" i="51"/>
  <c r="Q11" i="51"/>
  <c r="Q7" i="51"/>
  <c r="Q3" i="51"/>
  <c r="Q6" i="51"/>
  <c r="P7" i="51"/>
  <c r="P6" i="51"/>
  <c r="O13" i="51"/>
  <c r="O7" i="51"/>
  <c r="O6" i="51"/>
  <c r="N7" i="51"/>
  <c r="N6" i="51"/>
  <c r="M7" i="51"/>
  <c r="M6" i="51"/>
  <c r="L7" i="51"/>
  <c r="L6" i="51"/>
  <c r="AU36" i="2" l="1"/>
  <c r="K36" i="2"/>
  <c r="U122" i="55" l="1"/>
  <c r="M122" i="55"/>
  <c r="T122" i="55" s="1"/>
  <c r="M121" i="55"/>
  <c r="T121" i="55" s="1"/>
  <c r="Z122" i="56"/>
  <c r="K9" i="7"/>
  <c r="W121" i="56" s="1"/>
  <c r="K19" i="7"/>
  <c r="W122" i="56" s="1"/>
  <c r="M122" i="56"/>
  <c r="O122" i="56"/>
  <c r="P122" i="56" s="1"/>
  <c r="O121" i="56"/>
  <c r="I78" i="47"/>
  <c r="I77" i="47"/>
  <c r="F77" i="47"/>
  <c r="E78" i="47"/>
  <c r="G78" i="47" s="1"/>
  <c r="H78" i="47" s="1"/>
  <c r="C25" i="7"/>
  <c r="E77" i="47"/>
  <c r="C122" i="56" l="1"/>
  <c r="N121" i="55"/>
  <c r="V121" i="55" s="1"/>
  <c r="U121" i="55"/>
  <c r="AA121" i="55" s="1"/>
  <c r="N122" i="55"/>
  <c r="V122" i="55" s="1"/>
  <c r="P121" i="55"/>
  <c r="P122" i="55"/>
  <c r="C121" i="55"/>
  <c r="C122" i="55"/>
  <c r="H122" i="55"/>
  <c r="N122" i="56"/>
  <c r="H122" i="56" s="1"/>
  <c r="J122" i="56" s="1"/>
  <c r="V122" i="56"/>
  <c r="U122" i="56"/>
  <c r="T122" i="56"/>
  <c r="K122" i="56"/>
  <c r="AC122" i="56" s="1"/>
  <c r="G77" i="47"/>
  <c r="H77" i="47" s="1"/>
  <c r="C14" i="7"/>
  <c r="H121" i="55" l="1"/>
  <c r="K121" i="55" s="1"/>
  <c r="K122" i="55"/>
  <c r="AC122" i="55" s="1"/>
  <c r="J122" i="55"/>
  <c r="L37" i="7"/>
  <c r="J121" i="55" l="1"/>
  <c r="AL35" i="48"/>
  <c r="AC121" i="55"/>
  <c r="AB121" i="55" s="1"/>
  <c r="AR124" i="55"/>
  <c r="BA124" i="55" s="1"/>
  <c r="AM124" i="55"/>
  <c r="AD124" i="55" s="1"/>
  <c r="AR123" i="55"/>
  <c r="BA123" i="55" s="1"/>
  <c r="AD123" i="55" s="1"/>
  <c r="AM123" i="55"/>
  <c r="AR122" i="55"/>
  <c r="BA122" i="55" s="1"/>
  <c r="AM122" i="55"/>
  <c r="AR121" i="55"/>
  <c r="BA121" i="55" s="1"/>
  <c r="AM121" i="55"/>
  <c r="AM124" i="56"/>
  <c r="AR124" i="56"/>
  <c r="BA124" i="56"/>
  <c r="M121" i="56"/>
  <c r="N121" i="56" s="1"/>
  <c r="H121" i="56" s="1"/>
  <c r="P121" i="56"/>
  <c r="AM121" i="56"/>
  <c r="AD121" i="56" s="1"/>
  <c r="AR121" i="56"/>
  <c r="BA121" i="56"/>
  <c r="AM122" i="56"/>
  <c r="AR122" i="56"/>
  <c r="BA122" i="56" s="1"/>
  <c r="AM123" i="56"/>
  <c r="AR123" i="56"/>
  <c r="BA123" i="56"/>
  <c r="I38" i="7"/>
  <c r="I37" i="7"/>
  <c r="G42" i="7"/>
  <c r="F42" i="7"/>
  <c r="G40" i="7"/>
  <c r="G39" i="7"/>
  <c r="G38" i="7"/>
  <c r="P11" i="7"/>
  <c r="F31" i="7"/>
  <c r="F29" i="7"/>
  <c r="O10" i="7"/>
  <c r="O9" i="7"/>
  <c r="O8" i="7"/>
  <c r="N6" i="7"/>
  <c r="AD123" i="56" l="1"/>
  <c r="T121" i="56"/>
  <c r="AD121" i="55"/>
  <c r="AD122" i="55"/>
  <c r="AD124" i="56"/>
  <c r="AD122" i="56"/>
  <c r="C121" i="56"/>
  <c r="N35" i="48" s="1"/>
  <c r="J121" i="56"/>
  <c r="K121" i="56"/>
  <c r="L35" i="48" s="1"/>
  <c r="V121" i="56"/>
  <c r="U121" i="56"/>
  <c r="AC121" i="56" l="1"/>
  <c r="K7" i="51" l="1"/>
  <c r="K6" i="51"/>
  <c r="J7" i="51"/>
  <c r="J6" i="51"/>
  <c r="J3" i="51"/>
  <c r="I7" i="51"/>
  <c r="I6" i="51"/>
  <c r="I3" i="51"/>
  <c r="H7" i="51"/>
  <c r="H6" i="51"/>
  <c r="H3" i="51"/>
  <c r="G7" i="51"/>
  <c r="G6" i="51"/>
  <c r="F7" i="51"/>
  <c r="F10" i="51"/>
  <c r="F6" i="51"/>
  <c r="F3" i="51"/>
  <c r="E10" i="51"/>
  <c r="E3" i="51"/>
  <c r="E7" i="51"/>
  <c r="E6" i="51"/>
  <c r="E13" i="51"/>
  <c r="D7" i="51"/>
  <c r="D6" i="51"/>
  <c r="C13" i="51"/>
  <c r="C7" i="51"/>
  <c r="C6" i="51"/>
  <c r="B7" i="51"/>
  <c r="B6" i="51"/>
  <c r="V117" i="55" l="1"/>
  <c r="U117" i="55"/>
  <c r="AA117" i="55" s="1"/>
  <c r="P117" i="55"/>
  <c r="N117" i="55"/>
  <c r="H117" i="55"/>
  <c r="K117" i="55" s="1"/>
  <c r="P113" i="55"/>
  <c r="N113" i="55"/>
  <c r="V113" i="55" s="1"/>
  <c r="O113" i="56"/>
  <c r="Z113" i="56"/>
  <c r="O117" i="56"/>
  <c r="K9" i="8"/>
  <c r="C14" i="8"/>
  <c r="F75" i="47"/>
  <c r="G75" i="47" s="1"/>
  <c r="H75" i="47" s="1"/>
  <c r="I75" i="47"/>
  <c r="E75" i="47"/>
  <c r="I73" i="47"/>
  <c r="F73" i="47"/>
  <c r="G73" i="47"/>
  <c r="H73" i="47" s="1"/>
  <c r="E73" i="47"/>
  <c r="K9" i="9"/>
  <c r="C14" i="9"/>
  <c r="H113" i="55" l="1"/>
  <c r="J113" i="55" s="1"/>
  <c r="C113" i="55"/>
  <c r="C117" i="55"/>
  <c r="T113" i="55"/>
  <c r="U113" i="55"/>
  <c r="AA113" i="55" s="1"/>
  <c r="T117" i="55"/>
  <c r="AC117" i="55" s="1"/>
  <c r="AB117" i="55" s="1"/>
  <c r="J117" i="55"/>
  <c r="K113" i="55" l="1"/>
  <c r="AC113" i="55" s="1"/>
  <c r="AB113" i="55" l="1"/>
  <c r="AU35" i="2"/>
  <c r="AU34" i="2"/>
  <c r="K35" i="2"/>
  <c r="K34" i="2"/>
  <c r="AL34" i="48" l="1"/>
  <c r="AR119" i="55" l="1"/>
  <c r="BA119" i="55" s="1"/>
  <c r="AD119" i="55" s="1"/>
  <c r="AM119" i="55"/>
  <c r="AR118" i="55"/>
  <c r="BA118" i="55" s="1"/>
  <c r="AM118" i="55"/>
  <c r="AR117" i="55"/>
  <c r="BA117" i="55" s="1"/>
  <c r="AD117" i="55" s="1"/>
  <c r="AM117" i="55"/>
  <c r="AR115" i="55"/>
  <c r="BA115" i="55" s="1"/>
  <c r="AD115" i="55" s="1"/>
  <c r="AM115" i="55"/>
  <c r="BA114" i="55"/>
  <c r="AR114" i="55"/>
  <c r="AM114" i="55"/>
  <c r="AR113" i="55"/>
  <c r="BA113" i="55" s="1"/>
  <c r="AM113" i="55"/>
  <c r="AD113" i="55" s="1"/>
  <c r="AR119" i="56"/>
  <c r="BA119" i="56" s="1"/>
  <c r="AM119" i="56"/>
  <c r="AR118" i="56"/>
  <c r="BA118" i="56" s="1"/>
  <c r="AM118" i="56"/>
  <c r="AD118" i="56" s="1"/>
  <c r="AR117" i="56"/>
  <c r="BA117" i="56" s="1"/>
  <c r="AM117" i="56"/>
  <c r="U117" i="56"/>
  <c r="N117" i="56"/>
  <c r="V117" i="56" s="1"/>
  <c r="H117" i="56"/>
  <c r="J117" i="56" s="1"/>
  <c r="AR115" i="56"/>
  <c r="BA115" i="56" s="1"/>
  <c r="AM115" i="56"/>
  <c r="AD115" i="56" s="1"/>
  <c r="AR114" i="56"/>
  <c r="BA114" i="56" s="1"/>
  <c r="AM114" i="56"/>
  <c r="AR113" i="56"/>
  <c r="BA113" i="56" s="1"/>
  <c r="AM113" i="56"/>
  <c r="AD113" i="56" s="1"/>
  <c r="T113" i="56"/>
  <c r="N113" i="56"/>
  <c r="H113" i="56"/>
  <c r="J113" i="56" s="1"/>
  <c r="I38" i="8"/>
  <c r="I37" i="8"/>
  <c r="G42" i="8"/>
  <c r="F42" i="8"/>
  <c r="G40" i="8"/>
  <c r="G39" i="8"/>
  <c r="G38" i="8"/>
  <c r="O10" i="8"/>
  <c r="O9" i="8"/>
  <c r="O8" i="8"/>
  <c r="N6" i="8"/>
  <c r="I38" i="9"/>
  <c r="I37" i="9"/>
  <c r="G40" i="9"/>
  <c r="G39" i="9"/>
  <c r="G38" i="9"/>
  <c r="O10" i="9"/>
  <c r="O9" i="9"/>
  <c r="O8" i="9"/>
  <c r="N6" i="9"/>
  <c r="AD117" i="56" l="1"/>
  <c r="AD114" i="55"/>
  <c r="AD118" i="55"/>
  <c r="V113" i="56"/>
  <c r="U113" i="56"/>
  <c r="C113" i="56"/>
  <c r="N33" i="48" s="1"/>
  <c r="AD119" i="56"/>
  <c r="K117" i="56"/>
  <c r="L34" i="48" s="1"/>
  <c r="P117" i="56"/>
  <c r="T117" i="56"/>
  <c r="C117" i="56"/>
  <c r="N34" i="48" s="1"/>
  <c r="AD114" i="56"/>
  <c r="K113" i="56"/>
  <c r="P113" i="56"/>
  <c r="AC113" i="56" l="1"/>
  <c r="L33" i="48"/>
  <c r="AL33" i="48"/>
  <c r="AC117" i="56"/>
  <c r="O109" i="56" l="1"/>
  <c r="I71" i="47"/>
  <c r="F71" i="47"/>
  <c r="G71" i="47" s="1"/>
  <c r="H71" i="47" s="1"/>
  <c r="E71" i="47"/>
  <c r="K9" i="10"/>
  <c r="C14" i="10"/>
  <c r="AU33" i="2" l="1"/>
  <c r="K33" i="2"/>
  <c r="AR111" i="55" l="1"/>
  <c r="BA111" i="55" s="1"/>
  <c r="AM111" i="55"/>
  <c r="AR110" i="55"/>
  <c r="BA110" i="55" s="1"/>
  <c r="AM110" i="55"/>
  <c r="AR109" i="55"/>
  <c r="BA109" i="55" s="1"/>
  <c r="AM109" i="55"/>
  <c r="U109" i="55"/>
  <c r="AA109" i="55" s="1"/>
  <c r="N109" i="55"/>
  <c r="V109" i="55" s="1"/>
  <c r="N109" i="56"/>
  <c r="H109" i="56" s="1"/>
  <c r="C109" i="56"/>
  <c r="N32" i="48" s="1"/>
  <c r="T109" i="56"/>
  <c r="AM109" i="56"/>
  <c r="AR109" i="56"/>
  <c r="BA109" i="56" s="1"/>
  <c r="AM110" i="56"/>
  <c r="AR110" i="56"/>
  <c r="BA110" i="56" s="1"/>
  <c r="AM111" i="56"/>
  <c r="AR111" i="56"/>
  <c r="BA111" i="56" s="1"/>
  <c r="I38" i="10"/>
  <c r="I37" i="10"/>
  <c r="G40" i="10"/>
  <c r="G39" i="10"/>
  <c r="G38" i="10"/>
  <c r="O10" i="10"/>
  <c r="O9" i="10"/>
  <c r="O8" i="10"/>
  <c r="N6" i="10"/>
  <c r="AD110" i="56" l="1"/>
  <c r="AD109" i="55"/>
  <c r="AD110" i="55"/>
  <c r="AD111" i="55"/>
  <c r="P109" i="55"/>
  <c r="T109" i="55"/>
  <c r="C109" i="55"/>
  <c r="H109" i="55"/>
  <c r="AD111" i="56"/>
  <c r="AD109" i="56"/>
  <c r="J109" i="56"/>
  <c r="K109" i="56"/>
  <c r="P109" i="56"/>
  <c r="V109" i="56"/>
  <c r="U109" i="56"/>
  <c r="AC109" i="56" l="1"/>
  <c r="L32" i="48"/>
  <c r="K109" i="55"/>
  <c r="J109" i="55"/>
  <c r="AL32" i="48" l="1"/>
  <c r="AC109" i="55"/>
  <c r="Z105" i="56" l="1"/>
  <c r="O105" i="56"/>
  <c r="I69" i="47"/>
  <c r="F69" i="47"/>
  <c r="G69" i="47"/>
  <c r="H69" i="47" s="1"/>
  <c r="E69" i="47"/>
  <c r="C14" i="11"/>
  <c r="D14" i="11"/>
  <c r="BC32" i="2"/>
  <c r="AU32" i="2"/>
  <c r="K32" i="2"/>
  <c r="AR107" i="55" l="1"/>
  <c r="BA107" i="55" s="1"/>
  <c r="AD107" i="55" s="1"/>
  <c r="AM107" i="55"/>
  <c r="AR106" i="55"/>
  <c r="BA106" i="55" s="1"/>
  <c r="AM106" i="55"/>
  <c r="AR105" i="55"/>
  <c r="BA105" i="55" s="1"/>
  <c r="AM105" i="55"/>
  <c r="U105" i="55"/>
  <c r="AA105" i="55" s="1"/>
  <c r="N105" i="55"/>
  <c r="V105" i="55" s="1"/>
  <c r="AR107" i="56"/>
  <c r="BA107" i="56" s="1"/>
  <c r="AM107" i="56"/>
  <c r="AR106" i="56"/>
  <c r="BA106" i="56" s="1"/>
  <c r="AM106" i="56"/>
  <c r="AR105" i="56"/>
  <c r="BA105" i="56" s="1"/>
  <c r="AM105" i="56"/>
  <c r="P105" i="56"/>
  <c r="N105" i="56"/>
  <c r="H105" i="56" s="1"/>
  <c r="I38" i="11"/>
  <c r="I37" i="11"/>
  <c r="G40" i="11"/>
  <c r="G39" i="11"/>
  <c r="G38" i="11"/>
  <c r="O8" i="11"/>
  <c r="N6" i="11"/>
  <c r="AD105" i="55" l="1"/>
  <c r="AD106" i="55"/>
  <c r="P105" i="55"/>
  <c r="T105" i="55"/>
  <c r="C105" i="55"/>
  <c r="H105" i="55"/>
  <c r="AD106" i="56"/>
  <c r="K105" i="56"/>
  <c r="J105" i="56"/>
  <c r="AD107" i="56"/>
  <c r="AD105" i="56"/>
  <c r="T105" i="56"/>
  <c r="C105" i="56"/>
  <c r="N31" i="48" s="1"/>
  <c r="U105" i="56"/>
  <c r="V105" i="56"/>
  <c r="AC105" i="56" l="1"/>
  <c r="L31" i="48"/>
  <c r="J105" i="55"/>
  <c r="K105" i="55"/>
  <c r="AL31" i="48" l="1"/>
  <c r="AC105" i="55"/>
  <c r="AQ37" i="45" l="1"/>
  <c r="AQ36" i="45"/>
  <c r="AQ35" i="45"/>
  <c r="AQ34" i="45"/>
  <c r="AQ33" i="45"/>
  <c r="AQ32" i="45"/>
  <c r="AQ31" i="45"/>
  <c r="AQ30" i="45"/>
  <c r="AQ29" i="45"/>
  <c r="AQ28" i="45"/>
  <c r="AQ27" i="45"/>
  <c r="AQ26" i="45"/>
  <c r="AQ25" i="45"/>
  <c r="AQ24" i="45"/>
  <c r="AQ23" i="45"/>
  <c r="AQ22" i="45"/>
  <c r="AQ21" i="45"/>
  <c r="AQ20" i="45"/>
  <c r="AQ19" i="45"/>
  <c r="AQ18" i="45"/>
  <c r="AQ17" i="45"/>
  <c r="AQ16" i="45"/>
  <c r="AQ15" i="45"/>
  <c r="AQ14" i="45"/>
  <c r="AQ13" i="45"/>
  <c r="AQ12" i="45"/>
  <c r="AQ11" i="45"/>
  <c r="AQ10" i="45"/>
  <c r="AQ9" i="45"/>
  <c r="AQ8" i="45"/>
  <c r="Z100" i="56"/>
  <c r="I67" i="47"/>
  <c r="F67" i="47"/>
  <c r="E67" i="47"/>
  <c r="G67" i="47" s="1"/>
  <c r="H67" i="47" s="1"/>
  <c r="O100" i="56" s="1"/>
  <c r="K9" i="12"/>
  <c r="C14" i="12"/>
  <c r="AQ40" i="45" l="1"/>
  <c r="AQ42" i="45" s="1"/>
  <c r="BC31" i="2"/>
  <c r="AU31" i="2"/>
  <c r="K31" i="2"/>
  <c r="AR103" i="55" l="1"/>
  <c r="BA103" i="55" s="1"/>
  <c r="AD103" i="55" s="1"/>
  <c r="AM103" i="55"/>
  <c r="AR102" i="55"/>
  <c r="BA102" i="55" s="1"/>
  <c r="AM102" i="55"/>
  <c r="AD102" i="55" s="1"/>
  <c r="AR101" i="55"/>
  <c r="BA101" i="55" s="1"/>
  <c r="AD101" i="55" s="1"/>
  <c r="AM101" i="55"/>
  <c r="AR100" i="55"/>
  <c r="BA100" i="55" s="1"/>
  <c r="AM100" i="55"/>
  <c r="V100" i="55"/>
  <c r="U100" i="55"/>
  <c r="AA100" i="55" s="1"/>
  <c r="T100" i="55"/>
  <c r="P100" i="55"/>
  <c r="N100" i="55"/>
  <c r="H100" i="55"/>
  <c r="K100" i="55" s="1"/>
  <c r="C100" i="55"/>
  <c r="AM103" i="56"/>
  <c r="AR103" i="56"/>
  <c r="BA103" i="56" s="1"/>
  <c r="AR102" i="56"/>
  <c r="BA102" i="56" s="1"/>
  <c r="AM102" i="56"/>
  <c r="AR101" i="56"/>
  <c r="BA101" i="56" s="1"/>
  <c r="AM101" i="56"/>
  <c r="AR100" i="56"/>
  <c r="BA100" i="56" s="1"/>
  <c r="AM100" i="56"/>
  <c r="U100" i="56"/>
  <c r="N100" i="56"/>
  <c r="V100" i="56" s="1"/>
  <c r="T12" i="12"/>
  <c r="Q12" i="12"/>
  <c r="R12" i="12" s="1"/>
  <c r="V12" i="12"/>
  <c r="AD100" i="56" l="1"/>
  <c r="AD101" i="56"/>
  <c r="AD100" i="55"/>
  <c r="AC100" i="55"/>
  <c r="AL30" i="48"/>
  <c r="J100" i="55"/>
  <c r="AD103" i="56"/>
  <c r="AD102" i="56"/>
  <c r="P100" i="56"/>
  <c r="C100" i="56"/>
  <c r="N30" i="48" s="1"/>
  <c r="H100" i="56"/>
  <c r="T100" i="56"/>
  <c r="U12" i="12"/>
  <c r="W12" i="12" s="1"/>
  <c r="K100" i="56" l="1"/>
  <c r="L30" i="48" s="1"/>
  <c r="J100" i="56"/>
  <c r="I38" i="12"/>
  <c r="I37" i="12"/>
  <c r="G40" i="12"/>
  <c r="G39" i="12"/>
  <c r="G38" i="12"/>
  <c r="O8" i="12"/>
  <c r="N6" i="12"/>
  <c r="AC100" i="56" l="1"/>
  <c r="Z96" i="56" l="1"/>
  <c r="BC30" i="2"/>
  <c r="AU30" i="2"/>
  <c r="K30" i="2"/>
  <c r="O96" i="56"/>
  <c r="I65" i="47" l="1"/>
  <c r="F65" i="47"/>
  <c r="E65" i="47"/>
  <c r="G65" i="47" s="1"/>
  <c r="H65" i="47" s="1"/>
  <c r="AR98" i="55" l="1"/>
  <c r="BA98" i="55" s="1"/>
  <c r="AD98" i="55" s="1"/>
  <c r="AM98" i="55"/>
  <c r="AR97" i="55"/>
  <c r="BA97" i="55" s="1"/>
  <c r="AM97" i="55"/>
  <c r="AR96" i="55"/>
  <c r="BA96" i="55" s="1"/>
  <c r="AM96" i="55"/>
  <c r="N96" i="55"/>
  <c r="V96" i="55" s="1"/>
  <c r="H96" i="55"/>
  <c r="J96" i="55" s="1"/>
  <c r="AR98" i="56"/>
  <c r="BA98" i="56" s="1"/>
  <c r="AM98" i="56"/>
  <c r="AR97" i="56"/>
  <c r="BA97" i="56" s="1"/>
  <c r="AM97" i="56"/>
  <c r="AD97" i="56" s="1"/>
  <c r="AR96" i="56"/>
  <c r="BA96" i="56" s="1"/>
  <c r="AM96" i="56"/>
  <c r="U96" i="56"/>
  <c r="N96" i="56"/>
  <c r="V96" i="56" s="1"/>
  <c r="C14" i="13"/>
  <c r="I38" i="13"/>
  <c r="I37" i="13"/>
  <c r="G40" i="13"/>
  <c r="G39" i="13"/>
  <c r="G38" i="13"/>
  <c r="O8" i="13"/>
  <c r="AD96" i="55" l="1"/>
  <c r="AD97" i="55"/>
  <c r="T96" i="55"/>
  <c r="U96" i="55"/>
  <c r="AA96" i="55" s="1"/>
  <c r="K96" i="55"/>
  <c r="P96" i="55"/>
  <c r="C96" i="55"/>
  <c r="AD98" i="56"/>
  <c r="AD96" i="56"/>
  <c r="P96" i="56"/>
  <c r="C96" i="56"/>
  <c r="N29" i="48" s="1"/>
  <c r="T96" i="56"/>
  <c r="H96" i="56"/>
  <c r="AC96" i="55" l="1"/>
  <c r="AL29" i="48"/>
  <c r="K96" i="56"/>
  <c r="L29" i="48" s="1"/>
  <c r="J96" i="56"/>
  <c r="AC96" i="56" l="1"/>
  <c r="N6" i="13" l="1"/>
  <c r="K9" i="14" l="1"/>
  <c r="C14" i="14"/>
  <c r="O92" i="56" l="1"/>
  <c r="I63" i="47"/>
  <c r="H63" i="47"/>
  <c r="F63" i="47"/>
  <c r="E63" i="47"/>
  <c r="G63" i="47" s="1"/>
  <c r="BC29" i="2" l="1"/>
  <c r="AU29" i="2"/>
  <c r="K29" i="2"/>
  <c r="AR94" i="55" l="1"/>
  <c r="BA94" i="55" s="1"/>
  <c r="AD94" i="55" s="1"/>
  <c r="AM94" i="55"/>
  <c r="AR93" i="55"/>
  <c r="BA93" i="55" s="1"/>
  <c r="AM93" i="55"/>
  <c r="AR92" i="55"/>
  <c r="BA92" i="55" s="1"/>
  <c r="AM92" i="55"/>
  <c r="T92" i="55"/>
  <c r="N92" i="55"/>
  <c r="N92" i="56"/>
  <c r="H92" i="56" s="1"/>
  <c r="C92" i="56"/>
  <c r="N28" i="48" s="1"/>
  <c r="AM92" i="56"/>
  <c r="AR92" i="56"/>
  <c r="BA92" i="56"/>
  <c r="AM93" i="56"/>
  <c r="AR93" i="56"/>
  <c r="BA93" i="56"/>
  <c r="AM94" i="56"/>
  <c r="AR94" i="56"/>
  <c r="BA94" i="56"/>
  <c r="AD93" i="56" l="1"/>
  <c r="AD92" i="56"/>
  <c r="AD94" i="56"/>
  <c r="AD93" i="55"/>
  <c r="AD92" i="55"/>
  <c r="V92" i="55"/>
  <c r="P92" i="55"/>
  <c r="U92" i="55"/>
  <c r="AA92" i="55" s="1"/>
  <c r="C92" i="55"/>
  <c r="H92" i="55"/>
  <c r="J92" i="56"/>
  <c r="K92" i="56"/>
  <c r="L28" i="48" s="1"/>
  <c r="T92" i="56"/>
  <c r="P92" i="56"/>
  <c r="V92" i="56"/>
  <c r="U92" i="56"/>
  <c r="J92" i="55" l="1"/>
  <c r="K92" i="55"/>
  <c r="AC92" i="56"/>
  <c r="AL28" i="48" l="1"/>
  <c r="AC92" i="55"/>
  <c r="C53" i="43" l="1"/>
  <c r="C52" i="43"/>
  <c r="I51" i="43"/>
  <c r="C51" i="43"/>
  <c r="I50" i="43"/>
  <c r="C50" i="43"/>
  <c r="C49" i="43"/>
  <c r="C48" i="43"/>
  <c r="C47" i="43"/>
  <c r="C46" i="43"/>
  <c r="C45" i="43"/>
  <c r="C44" i="43"/>
  <c r="I43" i="43"/>
  <c r="I44" i="43" s="1"/>
  <c r="C43" i="43"/>
  <c r="G42" i="43"/>
  <c r="F42" i="43"/>
  <c r="C42" i="43"/>
  <c r="C41" i="43"/>
  <c r="I40" i="43"/>
  <c r="C40" i="43"/>
  <c r="C39" i="43"/>
  <c r="C38" i="43"/>
  <c r="I37" i="43"/>
  <c r="E35" i="43"/>
  <c r="D35" i="43"/>
  <c r="C35" i="43"/>
  <c r="L34" i="43"/>
  <c r="K34" i="43"/>
  <c r="F34" i="43"/>
  <c r="E34" i="43"/>
  <c r="D34" i="43"/>
  <c r="C34" i="43"/>
  <c r="E33" i="43"/>
  <c r="D33" i="43"/>
  <c r="C33" i="43"/>
  <c r="F32" i="43"/>
  <c r="E32" i="43"/>
  <c r="D32" i="43"/>
  <c r="C32" i="43"/>
  <c r="E24" i="43"/>
  <c r="D24" i="43"/>
  <c r="C24" i="43"/>
  <c r="F23" i="43"/>
  <c r="E23" i="43"/>
  <c r="D23" i="43"/>
  <c r="C23" i="43"/>
  <c r="E15" i="43"/>
  <c r="D15" i="43"/>
  <c r="C15" i="43"/>
  <c r="F14" i="43"/>
  <c r="E14" i="43"/>
  <c r="D14" i="43"/>
  <c r="C14" i="43"/>
  <c r="H4" i="43"/>
  <c r="C51" i="13"/>
  <c r="I50" i="13"/>
  <c r="C50" i="13"/>
  <c r="C49" i="13"/>
  <c r="C48" i="13"/>
  <c r="C47" i="13"/>
  <c r="C46" i="13"/>
  <c r="C45" i="13"/>
  <c r="C44" i="13"/>
  <c r="I43" i="13"/>
  <c r="I44" i="13" s="1"/>
  <c r="C43" i="13"/>
  <c r="G42" i="13"/>
  <c r="F42" i="13"/>
  <c r="C42" i="13"/>
  <c r="C41" i="13"/>
  <c r="C40" i="13"/>
  <c r="C39" i="13"/>
  <c r="C38" i="13"/>
  <c r="L34" i="13"/>
  <c r="E34" i="13"/>
  <c r="F32" i="13"/>
  <c r="E32" i="13"/>
  <c r="D32" i="13"/>
  <c r="C32" i="13"/>
  <c r="E33" i="13" s="1"/>
  <c r="C24" i="13"/>
  <c r="F23" i="13"/>
  <c r="E23" i="13"/>
  <c r="D23" i="13"/>
  <c r="C23" i="13"/>
  <c r="C15" i="13" s="1"/>
  <c r="F14" i="13"/>
  <c r="E14" i="13"/>
  <c r="D14" i="13"/>
  <c r="D34" i="13" s="1"/>
  <c r="H4" i="13"/>
  <c r="C51" i="12"/>
  <c r="I50" i="12"/>
  <c r="C50" i="12"/>
  <c r="C49" i="12"/>
  <c r="C48" i="12"/>
  <c r="C47" i="12"/>
  <c r="C46" i="12"/>
  <c r="C45" i="12"/>
  <c r="C44" i="12"/>
  <c r="I43" i="12"/>
  <c r="I44" i="12" s="1"/>
  <c r="C43" i="12"/>
  <c r="G42" i="12"/>
  <c r="F42" i="12"/>
  <c r="C42" i="12"/>
  <c r="C41" i="12"/>
  <c r="C40" i="12"/>
  <c r="C39" i="12"/>
  <c r="C38" i="12"/>
  <c r="L34" i="12"/>
  <c r="E34" i="12"/>
  <c r="F32" i="12"/>
  <c r="E32" i="12"/>
  <c r="D32" i="12"/>
  <c r="C32" i="12"/>
  <c r="E33" i="12" s="1"/>
  <c r="D24" i="12"/>
  <c r="F23" i="12"/>
  <c r="E23" i="12"/>
  <c r="D23" i="12"/>
  <c r="C23" i="12"/>
  <c r="C15" i="12" s="1"/>
  <c r="F14" i="12"/>
  <c r="E14" i="12"/>
  <c r="E15" i="12" s="1"/>
  <c r="D14" i="12"/>
  <c r="D34" i="12" s="1"/>
  <c r="K34" i="12"/>
  <c r="H4" i="12"/>
  <c r="C51" i="11"/>
  <c r="I50" i="11"/>
  <c r="C50" i="11"/>
  <c r="C49" i="11"/>
  <c r="C48" i="11"/>
  <c r="C47" i="11"/>
  <c r="C46" i="11"/>
  <c r="C45" i="11"/>
  <c r="C44" i="11"/>
  <c r="I43" i="11"/>
  <c r="C43" i="11"/>
  <c r="G42" i="11"/>
  <c r="F42" i="11"/>
  <c r="C42" i="11"/>
  <c r="C41" i="11"/>
  <c r="C40" i="11"/>
  <c r="C39" i="11"/>
  <c r="C38" i="11"/>
  <c r="L34" i="11"/>
  <c r="E34" i="11"/>
  <c r="C34" i="11"/>
  <c r="K9" i="11" s="1"/>
  <c r="K34" i="11" s="1"/>
  <c r="F32" i="11"/>
  <c r="E32" i="11"/>
  <c r="D32" i="11"/>
  <c r="C32" i="11"/>
  <c r="D33" i="11" s="1"/>
  <c r="E24" i="11"/>
  <c r="F23" i="11"/>
  <c r="E23" i="11"/>
  <c r="D23" i="11"/>
  <c r="C23" i="11"/>
  <c r="E15" i="11" s="1"/>
  <c r="F14" i="11"/>
  <c r="E14" i="11"/>
  <c r="D34" i="11"/>
  <c r="H4" i="11"/>
  <c r="C51" i="10"/>
  <c r="I50" i="10"/>
  <c r="C50" i="10"/>
  <c r="C49" i="10"/>
  <c r="C48" i="10"/>
  <c r="C47" i="10"/>
  <c r="C46" i="10"/>
  <c r="C45" i="10"/>
  <c r="C44" i="10"/>
  <c r="I43" i="10"/>
  <c r="C43" i="10"/>
  <c r="G42" i="10"/>
  <c r="F42" i="10"/>
  <c r="C42" i="10"/>
  <c r="C41" i="10"/>
  <c r="C40" i="10"/>
  <c r="C39" i="10"/>
  <c r="C38" i="10"/>
  <c r="L34" i="10"/>
  <c r="E34" i="10"/>
  <c r="D34" i="10"/>
  <c r="F32" i="10"/>
  <c r="E32" i="10"/>
  <c r="D32" i="10"/>
  <c r="C32" i="10"/>
  <c r="E33" i="10" s="1"/>
  <c r="F23" i="10"/>
  <c r="E23" i="10"/>
  <c r="D23" i="10"/>
  <c r="C23" i="10"/>
  <c r="C15" i="10" s="1"/>
  <c r="F14" i="10"/>
  <c r="E14" i="10"/>
  <c r="D14" i="10"/>
  <c r="H4" i="10"/>
  <c r="C51" i="9"/>
  <c r="I50" i="9"/>
  <c r="C50" i="9"/>
  <c r="C49" i="9"/>
  <c r="C48" i="9"/>
  <c r="C47" i="9"/>
  <c r="C46" i="9"/>
  <c r="C45" i="9"/>
  <c r="C44" i="9"/>
  <c r="I43" i="9"/>
  <c r="I44" i="9" s="1"/>
  <c r="C43" i="9"/>
  <c r="G42" i="9"/>
  <c r="F42" i="9"/>
  <c r="C42" i="9"/>
  <c r="C41" i="9"/>
  <c r="C40" i="9"/>
  <c r="C39" i="9"/>
  <c r="C38" i="9"/>
  <c r="C52" i="9" s="1"/>
  <c r="C53" i="9" s="1"/>
  <c r="L34" i="9"/>
  <c r="E34" i="9"/>
  <c r="F32" i="9"/>
  <c r="E32" i="9"/>
  <c r="D32" i="9"/>
  <c r="C32" i="9"/>
  <c r="E33" i="9" s="1"/>
  <c r="E24" i="9"/>
  <c r="F23" i="9"/>
  <c r="E23" i="9"/>
  <c r="D23" i="9"/>
  <c r="C23" i="9"/>
  <c r="C15" i="9" s="1"/>
  <c r="F14" i="9"/>
  <c r="E14" i="9"/>
  <c r="D14" i="9"/>
  <c r="D34" i="9" s="1"/>
  <c r="H4" i="9"/>
  <c r="C51" i="8"/>
  <c r="I50" i="8"/>
  <c r="C50" i="8"/>
  <c r="C49" i="8"/>
  <c r="C48" i="8"/>
  <c r="C47" i="8"/>
  <c r="C46" i="8"/>
  <c r="C45" i="8"/>
  <c r="C44" i="8"/>
  <c r="I43" i="8"/>
  <c r="C43" i="8"/>
  <c r="C42" i="8"/>
  <c r="C41" i="8"/>
  <c r="C40" i="8"/>
  <c r="C39" i="8"/>
  <c r="C38" i="8"/>
  <c r="C52" i="8" s="1"/>
  <c r="C53" i="8" s="1"/>
  <c r="L34" i="8"/>
  <c r="E34" i="8"/>
  <c r="D34" i="8"/>
  <c r="F32" i="8"/>
  <c r="E32" i="8"/>
  <c r="D32" i="8"/>
  <c r="C32" i="8"/>
  <c r="E33" i="8" s="1"/>
  <c r="F23" i="8"/>
  <c r="E23" i="8"/>
  <c r="D23" i="8"/>
  <c r="C23" i="8"/>
  <c r="C15" i="8" s="1"/>
  <c r="F14" i="8"/>
  <c r="E14" i="8"/>
  <c r="D14" i="8"/>
  <c r="K34" i="8"/>
  <c r="H4" i="8"/>
  <c r="C51" i="7"/>
  <c r="I50" i="7"/>
  <c r="C50" i="7"/>
  <c r="C49" i="7"/>
  <c r="C48" i="7"/>
  <c r="C47" i="7"/>
  <c r="C46" i="7"/>
  <c r="C45" i="7"/>
  <c r="C44" i="7"/>
  <c r="I43" i="7"/>
  <c r="I44" i="7" s="1"/>
  <c r="C43" i="7"/>
  <c r="C42" i="7"/>
  <c r="C41" i="7"/>
  <c r="C40" i="7"/>
  <c r="C39" i="7"/>
  <c r="C38" i="7"/>
  <c r="C52" i="7" s="1"/>
  <c r="C53" i="7" s="1"/>
  <c r="L34" i="7"/>
  <c r="E34" i="7"/>
  <c r="F32" i="7"/>
  <c r="E32" i="7"/>
  <c r="D32" i="7"/>
  <c r="D34" i="7" s="1"/>
  <c r="C32" i="7"/>
  <c r="D24" i="7"/>
  <c r="F23" i="7"/>
  <c r="E23" i="7"/>
  <c r="D23" i="7"/>
  <c r="C23" i="7"/>
  <c r="C15" i="7" s="1"/>
  <c r="F14" i="7"/>
  <c r="E14" i="7"/>
  <c r="D14" i="7"/>
  <c r="H4" i="7"/>
  <c r="C51" i="6"/>
  <c r="I50" i="6"/>
  <c r="C50" i="6"/>
  <c r="C49" i="6"/>
  <c r="C48" i="6"/>
  <c r="C47" i="6"/>
  <c r="C46" i="6"/>
  <c r="C45" i="6"/>
  <c r="C44" i="6"/>
  <c r="I43" i="6"/>
  <c r="I44" i="6" s="1"/>
  <c r="C43" i="6"/>
  <c r="C42" i="6"/>
  <c r="C41" i="6"/>
  <c r="C40" i="6"/>
  <c r="C39" i="6"/>
  <c r="C38" i="6"/>
  <c r="L34" i="6"/>
  <c r="D34" i="6"/>
  <c r="F32" i="6"/>
  <c r="E32" i="6"/>
  <c r="D32" i="6"/>
  <c r="C32" i="6"/>
  <c r="F23" i="6"/>
  <c r="E23" i="6"/>
  <c r="D23" i="6"/>
  <c r="C23" i="6"/>
  <c r="E15" i="6" s="1"/>
  <c r="F14" i="6"/>
  <c r="E14" i="6"/>
  <c r="D14" i="6"/>
  <c r="K34" i="6"/>
  <c r="I40" i="6" s="1"/>
  <c r="H4" i="6"/>
  <c r="C51" i="37"/>
  <c r="I50" i="37"/>
  <c r="C50" i="37"/>
  <c r="C49" i="37"/>
  <c r="C48" i="37"/>
  <c r="C47" i="37"/>
  <c r="C46" i="37"/>
  <c r="C45" i="37"/>
  <c r="C44" i="37"/>
  <c r="I43" i="37"/>
  <c r="I44" i="37" s="1"/>
  <c r="C43" i="37"/>
  <c r="C42" i="37"/>
  <c r="C41" i="37"/>
  <c r="C40" i="37"/>
  <c r="C39" i="37"/>
  <c r="C38" i="37"/>
  <c r="C52" i="37" s="1"/>
  <c r="C53" i="37" s="1"/>
  <c r="L34" i="37"/>
  <c r="E34" i="37"/>
  <c r="F32" i="37"/>
  <c r="E32" i="37"/>
  <c r="D32" i="37"/>
  <c r="C32" i="37"/>
  <c r="D33" i="37" s="1"/>
  <c r="F23" i="37"/>
  <c r="E23" i="37"/>
  <c r="D23" i="37"/>
  <c r="C23" i="37"/>
  <c r="F14" i="37"/>
  <c r="E14" i="37"/>
  <c r="D14" i="37"/>
  <c r="H4" i="37"/>
  <c r="C51" i="4"/>
  <c r="I50" i="4"/>
  <c r="C50" i="4"/>
  <c r="C49" i="4"/>
  <c r="C48" i="4"/>
  <c r="C47" i="4"/>
  <c r="C46" i="4"/>
  <c r="C45" i="4"/>
  <c r="C44" i="4"/>
  <c r="I43" i="4"/>
  <c r="C43" i="4"/>
  <c r="D38" i="48"/>
  <c r="C42" i="4"/>
  <c r="C41" i="4"/>
  <c r="C40" i="4"/>
  <c r="C39" i="4"/>
  <c r="C38" i="4"/>
  <c r="L34" i="4"/>
  <c r="K34" i="4"/>
  <c r="I40" i="4" s="1"/>
  <c r="D34" i="4"/>
  <c r="C34" i="4"/>
  <c r="F32" i="4"/>
  <c r="E32" i="4"/>
  <c r="D32" i="4"/>
  <c r="C32" i="4"/>
  <c r="E33" i="4" s="1"/>
  <c r="E24" i="4"/>
  <c r="F23" i="4"/>
  <c r="E23" i="4"/>
  <c r="D23" i="4"/>
  <c r="C23" i="4"/>
  <c r="C15" i="4" s="1"/>
  <c r="F14" i="4"/>
  <c r="F34" i="4" s="1"/>
  <c r="E14" i="4"/>
  <c r="E34" i="4" s="1"/>
  <c r="D14" i="4"/>
  <c r="H4" i="4"/>
  <c r="K57" i="33"/>
  <c r="J57" i="33"/>
  <c r="K56" i="33"/>
  <c r="J56" i="33"/>
  <c r="E53" i="33"/>
  <c r="D53" i="33"/>
  <c r="C53" i="33"/>
  <c r="E52" i="33"/>
  <c r="D52" i="33"/>
  <c r="C52" i="33"/>
  <c r="J51" i="33"/>
  <c r="I51" i="33"/>
  <c r="E51" i="33"/>
  <c r="D51" i="33"/>
  <c r="C51" i="33"/>
  <c r="J50" i="33"/>
  <c r="I50" i="33"/>
  <c r="E50" i="33"/>
  <c r="D50" i="33"/>
  <c r="C50" i="33"/>
  <c r="J49" i="33"/>
  <c r="E49" i="33"/>
  <c r="D49" i="33"/>
  <c r="C49" i="33"/>
  <c r="E48" i="33"/>
  <c r="D48" i="33"/>
  <c r="C48" i="33"/>
  <c r="E47" i="33"/>
  <c r="D47" i="33"/>
  <c r="C47" i="33"/>
  <c r="E46" i="33"/>
  <c r="D46" i="33"/>
  <c r="C46" i="33"/>
  <c r="E45" i="33"/>
  <c r="D45" i="33"/>
  <c r="C45" i="33"/>
  <c r="E44" i="33"/>
  <c r="D44" i="33"/>
  <c r="C44" i="33"/>
  <c r="I43" i="33"/>
  <c r="I44" i="33" s="1"/>
  <c r="E43" i="33"/>
  <c r="D43" i="33"/>
  <c r="C43" i="33"/>
  <c r="G42" i="33"/>
  <c r="F42" i="33"/>
  <c r="E42" i="33"/>
  <c r="D42" i="33"/>
  <c r="C42" i="33"/>
  <c r="J41" i="33"/>
  <c r="E41" i="33"/>
  <c r="D41" i="33"/>
  <c r="C41" i="33"/>
  <c r="J40" i="33"/>
  <c r="I40" i="33"/>
  <c r="G40" i="33"/>
  <c r="E40" i="33"/>
  <c r="D40" i="33"/>
  <c r="C40" i="33"/>
  <c r="J39" i="33"/>
  <c r="E39" i="33"/>
  <c r="D39" i="33"/>
  <c r="C39" i="33"/>
  <c r="J38" i="33"/>
  <c r="I38" i="33"/>
  <c r="G38" i="33"/>
  <c r="E38" i="33"/>
  <c r="D38" i="33"/>
  <c r="C38" i="33"/>
  <c r="J37" i="33"/>
  <c r="I37" i="33"/>
  <c r="E35" i="33"/>
  <c r="D35" i="33"/>
  <c r="C35" i="33"/>
  <c r="M34" i="33"/>
  <c r="L34" i="33"/>
  <c r="K34" i="33"/>
  <c r="F34" i="33"/>
  <c r="E34" i="33"/>
  <c r="D34" i="33"/>
  <c r="C34" i="33"/>
  <c r="E33" i="33"/>
  <c r="D33" i="33"/>
  <c r="C33" i="33"/>
  <c r="M32" i="33"/>
  <c r="F32" i="33"/>
  <c r="E32" i="33"/>
  <c r="D32" i="33"/>
  <c r="C32" i="33"/>
  <c r="M31" i="33"/>
  <c r="M30" i="33"/>
  <c r="M29" i="33"/>
  <c r="M28" i="33"/>
  <c r="M27" i="33"/>
  <c r="M26" i="33"/>
  <c r="M25" i="33"/>
  <c r="M24" i="33"/>
  <c r="E24" i="33"/>
  <c r="D24" i="33"/>
  <c r="C24" i="33"/>
  <c r="M23" i="33"/>
  <c r="F23" i="33"/>
  <c r="E23" i="33"/>
  <c r="D23" i="33"/>
  <c r="C23" i="33"/>
  <c r="M22" i="33"/>
  <c r="P21" i="33"/>
  <c r="M21" i="33"/>
  <c r="M20" i="33"/>
  <c r="R19" i="33"/>
  <c r="Q19" i="33"/>
  <c r="M19" i="33"/>
  <c r="R18" i="33"/>
  <c r="Q18" i="33"/>
  <c r="P18" i="33"/>
  <c r="M18" i="33"/>
  <c r="R17" i="33"/>
  <c r="Q17" i="33"/>
  <c r="P17" i="33"/>
  <c r="O17" i="33"/>
  <c r="M17" i="33"/>
  <c r="R16" i="33"/>
  <c r="Q16" i="33"/>
  <c r="P16" i="33"/>
  <c r="O16" i="33"/>
  <c r="M16" i="33"/>
  <c r="R15" i="33"/>
  <c r="Q15" i="33"/>
  <c r="O15" i="33"/>
  <c r="M15" i="33"/>
  <c r="E15" i="33"/>
  <c r="D15" i="33"/>
  <c r="C15" i="33"/>
  <c r="M14" i="33"/>
  <c r="F14" i="33"/>
  <c r="E14" i="33"/>
  <c r="D14" i="33"/>
  <c r="C14" i="33"/>
  <c r="M13" i="33"/>
  <c r="M12" i="33"/>
  <c r="M11" i="33"/>
  <c r="M10" i="33"/>
  <c r="M9" i="33"/>
  <c r="O8" i="33"/>
  <c r="M8" i="33"/>
  <c r="M7" i="33"/>
  <c r="K7" i="33"/>
  <c r="N6" i="33"/>
  <c r="J57" i="32"/>
  <c r="J56" i="32"/>
  <c r="C53" i="32"/>
  <c r="C52" i="32"/>
  <c r="D51" i="32"/>
  <c r="E51" i="32" s="1"/>
  <c r="C51" i="32"/>
  <c r="J50" i="32"/>
  <c r="D50" i="32"/>
  <c r="E50" i="32" s="1"/>
  <c r="C50" i="32"/>
  <c r="J49" i="32"/>
  <c r="D49" i="32"/>
  <c r="E49" i="32" s="1"/>
  <c r="C49" i="32"/>
  <c r="E48" i="32"/>
  <c r="D48" i="32"/>
  <c r="C48" i="32"/>
  <c r="D47" i="32"/>
  <c r="E47" i="32" s="1"/>
  <c r="C47" i="32"/>
  <c r="D46" i="32"/>
  <c r="E46" i="32" s="1"/>
  <c r="C46" i="32"/>
  <c r="D45" i="32"/>
  <c r="E45" i="32" s="1"/>
  <c r="C45" i="32"/>
  <c r="E44" i="32"/>
  <c r="D44" i="32"/>
  <c r="C44" i="32"/>
  <c r="I43" i="32"/>
  <c r="D43" i="32"/>
  <c r="E43" i="32" s="1"/>
  <c r="C43" i="32"/>
  <c r="G42" i="32"/>
  <c r="F42" i="32"/>
  <c r="D42" i="32"/>
  <c r="E42" i="32" s="1"/>
  <c r="C42" i="32"/>
  <c r="D41" i="32"/>
  <c r="E41" i="32" s="1"/>
  <c r="C41" i="32"/>
  <c r="G40" i="32"/>
  <c r="E40" i="32"/>
  <c r="D40" i="32"/>
  <c r="C40" i="32"/>
  <c r="J39" i="32"/>
  <c r="G39" i="32"/>
  <c r="D39" i="32"/>
  <c r="E39" i="32" s="1"/>
  <c r="C39" i="32"/>
  <c r="J38" i="32"/>
  <c r="I38" i="32"/>
  <c r="G38" i="32"/>
  <c r="D38" i="32"/>
  <c r="C38" i="32"/>
  <c r="J37" i="32"/>
  <c r="I37" i="32"/>
  <c r="E35" i="32"/>
  <c r="D35" i="32"/>
  <c r="C35" i="32"/>
  <c r="L34" i="32"/>
  <c r="F34" i="32"/>
  <c r="E34" i="32"/>
  <c r="D34" i="32"/>
  <c r="C34" i="32"/>
  <c r="E33" i="32"/>
  <c r="D33" i="32"/>
  <c r="C33" i="32"/>
  <c r="M32" i="32"/>
  <c r="J32" i="32"/>
  <c r="F32" i="32"/>
  <c r="E32" i="32"/>
  <c r="D32" i="32"/>
  <c r="C32" i="32"/>
  <c r="M31" i="32"/>
  <c r="J31" i="32"/>
  <c r="J31" i="31" s="1"/>
  <c r="J31" i="30" s="1"/>
  <c r="M30" i="32"/>
  <c r="J30" i="32"/>
  <c r="M29" i="32"/>
  <c r="J29" i="32"/>
  <c r="M28" i="32"/>
  <c r="J28" i="32"/>
  <c r="M27" i="32"/>
  <c r="J27" i="32"/>
  <c r="J27" i="31" s="1"/>
  <c r="J27" i="30" s="1"/>
  <c r="M26" i="32"/>
  <c r="J26" i="32"/>
  <c r="M25" i="32"/>
  <c r="J25" i="32"/>
  <c r="M24" i="32"/>
  <c r="J24" i="32"/>
  <c r="E24" i="32"/>
  <c r="D24" i="32"/>
  <c r="C24" i="32"/>
  <c r="M23" i="32"/>
  <c r="J23" i="32"/>
  <c r="F23" i="32"/>
  <c r="E23" i="32"/>
  <c r="D23" i="32"/>
  <c r="C23" i="32"/>
  <c r="M22" i="32"/>
  <c r="M22" i="31" s="1"/>
  <c r="M22" i="30" s="1"/>
  <c r="J22" i="32"/>
  <c r="M21" i="32"/>
  <c r="J21" i="32"/>
  <c r="M20" i="32"/>
  <c r="J20" i="32"/>
  <c r="M19" i="32"/>
  <c r="J19" i="32"/>
  <c r="M18" i="32"/>
  <c r="M18" i="31" s="1"/>
  <c r="M18" i="30" s="1"/>
  <c r="J18" i="32"/>
  <c r="M17" i="32"/>
  <c r="J17" i="32"/>
  <c r="M16" i="32"/>
  <c r="J16" i="32"/>
  <c r="M15" i="32"/>
  <c r="J15" i="32"/>
  <c r="E15" i="32"/>
  <c r="D15" i="32"/>
  <c r="C15" i="32"/>
  <c r="M14" i="32"/>
  <c r="J14" i="32"/>
  <c r="F14" i="32"/>
  <c r="E14" i="32"/>
  <c r="D14" i="32"/>
  <c r="C14" i="32"/>
  <c r="M13" i="32"/>
  <c r="J13" i="32"/>
  <c r="M12" i="32"/>
  <c r="J12" i="32"/>
  <c r="P11" i="32"/>
  <c r="M11" i="32"/>
  <c r="J11" i="32"/>
  <c r="P10" i="32"/>
  <c r="O10" i="32"/>
  <c r="M10" i="32"/>
  <c r="J10" i="32"/>
  <c r="O9" i="32"/>
  <c r="M9" i="32"/>
  <c r="J9" i="32"/>
  <c r="P8" i="32"/>
  <c r="O8" i="32"/>
  <c r="M8" i="32"/>
  <c r="J8" i="32"/>
  <c r="K7" i="32"/>
  <c r="M7" i="32" s="1"/>
  <c r="M34" i="32" s="1"/>
  <c r="J7" i="32"/>
  <c r="N6" i="32"/>
  <c r="H4" i="32"/>
  <c r="J57" i="31"/>
  <c r="J56" i="31"/>
  <c r="C53" i="31"/>
  <c r="C52" i="31"/>
  <c r="D51" i="31"/>
  <c r="E51" i="31" s="1"/>
  <c r="C51" i="31"/>
  <c r="I50" i="31"/>
  <c r="D50" i="31"/>
  <c r="E50" i="31" s="1"/>
  <c r="C50" i="31"/>
  <c r="J49" i="31"/>
  <c r="E49" i="31"/>
  <c r="D49" i="31"/>
  <c r="C49" i="31"/>
  <c r="E48" i="31"/>
  <c r="D48" i="31"/>
  <c r="C48" i="31"/>
  <c r="D47" i="31"/>
  <c r="E47" i="31" s="1"/>
  <c r="C47" i="31"/>
  <c r="D46" i="31"/>
  <c r="E46" i="31" s="1"/>
  <c r="C46" i="31"/>
  <c r="D45" i="31"/>
  <c r="E45" i="31" s="1"/>
  <c r="C45" i="31"/>
  <c r="I44" i="31"/>
  <c r="E44" i="31"/>
  <c r="D44" i="31"/>
  <c r="C44" i="31"/>
  <c r="I43" i="31"/>
  <c r="E43" i="31"/>
  <c r="D43" i="31"/>
  <c r="C43" i="31"/>
  <c r="G42" i="31"/>
  <c r="F42" i="31"/>
  <c r="D42" i="31"/>
  <c r="E42" i="31" s="1"/>
  <c r="C42" i="31"/>
  <c r="D41" i="31"/>
  <c r="E41" i="31" s="1"/>
  <c r="C41" i="31"/>
  <c r="G40" i="31"/>
  <c r="D40" i="31"/>
  <c r="E40" i="31" s="1"/>
  <c r="C40" i="31"/>
  <c r="J39" i="31"/>
  <c r="G39" i="31"/>
  <c r="D39" i="31"/>
  <c r="E39" i="31" s="1"/>
  <c r="C39" i="31"/>
  <c r="N38" i="31"/>
  <c r="J38" i="31"/>
  <c r="J50" i="31" s="1"/>
  <c r="I38" i="31"/>
  <c r="G38" i="31"/>
  <c r="C38" i="31"/>
  <c r="N37" i="31"/>
  <c r="J37" i="31"/>
  <c r="I37" i="31"/>
  <c r="E35" i="31"/>
  <c r="D35" i="31"/>
  <c r="C35" i="31"/>
  <c r="L34" i="31"/>
  <c r="F34" i="31"/>
  <c r="E34" i="31"/>
  <c r="D34" i="31"/>
  <c r="C34" i="31"/>
  <c r="E33" i="31"/>
  <c r="D33" i="31"/>
  <c r="C33" i="31"/>
  <c r="M32" i="31"/>
  <c r="J32" i="31"/>
  <c r="F32" i="31"/>
  <c r="E32" i="31"/>
  <c r="D32" i="31"/>
  <c r="C32" i="31"/>
  <c r="M31" i="31"/>
  <c r="M30" i="31"/>
  <c r="J30" i="31"/>
  <c r="M29" i="31"/>
  <c r="J29" i="31"/>
  <c r="M28" i="31"/>
  <c r="J28" i="31"/>
  <c r="J28" i="30" s="1"/>
  <c r="J28" i="29" s="1"/>
  <c r="J28" i="27" s="1"/>
  <c r="J28" i="28" s="1"/>
  <c r="J28" i="26" s="1"/>
  <c r="J28" i="25" s="1"/>
  <c r="M27" i="31"/>
  <c r="M26" i="31"/>
  <c r="J26" i="31"/>
  <c r="M25" i="31"/>
  <c r="J25" i="31"/>
  <c r="M24" i="31"/>
  <c r="J24" i="31"/>
  <c r="J24" i="30" s="1"/>
  <c r="J24" i="29" s="1"/>
  <c r="J24" i="27" s="1"/>
  <c r="J24" i="28" s="1"/>
  <c r="J24" i="26" s="1"/>
  <c r="J24" i="25" s="1"/>
  <c r="E24" i="31"/>
  <c r="D24" i="31"/>
  <c r="C24" i="31"/>
  <c r="M23" i="31"/>
  <c r="J23" i="31"/>
  <c r="F23" i="31"/>
  <c r="E23" i="31"/>
  <c r="D23" i="31"/>
  <c r="C23" i="31"/>
  <c r="J22" i="31"/>
  <c r="M21" i="31"/>
  <c r="J21" i="31"/>
  <c r="M20" i="31"/>
  <c r="J20" i="31"/>
  <c r="M19" i="31"/>
  <c r="M19" i="30" s="1"/>
  <c r="M19" i="29" s="1"/>
  <c r="M19" i="27" s="1"/>
  <c r="M19" i="28" s="1"/>
  <c r="M19" i="26" s="1"/>
  <c r="M19" i="25" s="1"/>
  <c r="J19" i="31"/>
  <c r="J18" i="31"/>
  <c r="M17" i="31"/>
  <c r="J17" i="31"/>
  <c r="M16" i="31"/>
  <c r="J16" i="31"/>
  <c r="M15" i="31"/>
  <c r="M15" i="30" s="1"/>
  <c r="J15" i="31"/>
  <c r="E15" i="31"/>
  <c r="D15" i="31"/>
  <c r="C15" i="31"/>
  <c r="M14" i="31"/>
  <c r="J14" i="31"/>
  <c r="F14" i="31"/>
  <c r="E14" i="31"/>
  <c r="D14" i="31"/>
  <c r="C14" i="31"/>
  <c r="M13" i="31"/>
  <c r="J13" i="31"/>
  <c r="M12" i="31"/>
  <c r="J12" i="31"/>
  <c r="M11" i="31"/>
  <c r="J11" i="31"/>
  <c r="J11" i="30" s="1"/>
  <c r="P10" i="31"/>
  <c r="M10" i="31"/>
  <c r="J10" i="31"/>
  <c r="P9" i="31"/>
  <c r="O9" i="31"/>
  <c r="M9" i="31"/>
  <c r="J9" i="31"/>
  <c r="P8" i="31"/>
  <c r="O8" i="31"/>
  <c r="K8" i="31"/>
  <c r="M8" i="31" s="1"/>
  <c r="K7" i="31"/>
  <c r="K34" i="31" s="1"/>
  <c r="I40" i="31" s="1"/>
  <c r="J7" i="31"/>
  <c r="N6" i="31"/>
  <c r="H4" i="31"/>
  <c r="J56" i="30"/>
  <c r="C53" i="30"/>
  <c r="C52" i="30"/>
  <c r="D51" i="30"/>
  <c r="E51" i="30" s="1"/>
  <c r="C51" i="30"/>
  <c r="I50" i="30"/>
  <c r="E50" i="30"/>
  <c r="D50" i="30"/>
  <c r="C50" i="30"/>
  <c r="J49" i="30"/>
  <c r="D49" i="30"/>
  <c r="E49" i="30" s="1"/>
  <c r="C49" i="30"/>
  <c r="E48" i="30"/>
  <c r="D48" i="30"/>
  <c r="C48" i="30"/>
  <c r="D47" i="30"/>
  <c r="E47" i="30" s="1"/>
  <c r="C47" i="30"/>
  <c r="E46" i="30"/>
  <c r="D46" i="30"/>
  <c r="C46" i="30"/>
  <c r="D45" i="30"/>
  <c r="E45" i="30" s="1"/>
  <c r="C45" i="30"/>
  <c r="E44" i="30"/>
  <c r="D44" i="30"/>
  <c r="C44" i="30"/>
  <c r="I43" i="30"/>
  <c r="D43" i="30"/>
  <c r="E43" i="30" s="1"/>
  <c r="C43" i="30"/>
  <c r="G42" i="30"/>
  <c r="F42" i="30"/>
  <c r="D42" i="30"/>
  <c r="E42" i="30" s="1"/>
  <c r="C42" i="30"/>
  <c r="E41" i="30"/>
  <c r="D41" i="30"/>
  <c r="C41" i="30"/>
  <c r="D40" i="30"/>
  <c r="E40" i="30" s="1"/>
  <c r="C40" i="30"/>
  <c r="N39" i="30"/>
  <c r="J39" i="30"/>
  <c r="E39" i="30"/>
  <c r="D39" i="30"/>
  <c r="C39" i="30"/>
  <c r="N38" i="30"/>
  <c r="J38" i="30"/>
  <c r="I38" i="30"/>
  <c r="C38" i="30"/>
  <c r="N37" i="30"/>
  <c r="J37" i="30"/>
  <c r="I37" i="30"/>
  <c r="E35" i="30"/>
  <c r="D35" i="30"/>
  <c r="C35" i="30"/>
  <c r="L34" i="30"/>
  <c r="F34" i="30"/>
  <c r="E34" i="30"/>
  <c r="D34" i="30"/>
  <c r="C34" i="30"/>
  <c r="E33" i="30"/>
  <c r="D33" i="30"/>
  <c r="C33" i="30"/>
  <c r="J32" i="30"/>
  <c r="F32" i="30"/>
  <c r="E32" i="30"/>
  <c r="D32" i="30"/>
  <c r="C32" i="30"/>
  <c r="M31" i="30"/>
  <c r="M30" i="30"/>
  <c r="M30" i="29" s="1"/>
  <c r="M30" i="27" s="1"/>
  <c r="M30" i="28" s="1"/>
  <c r="J30" i="30"/>
  <c r="M29" i="30"/>
  <c r="J29" i="30"/>
  <c r="M28" i="30"/>
  <c r="R27" i="30"/>
  <c r="Q27" i="30"/>
  <c r="M27" i="30"/>
  <c r="M27" i="29" s="1"/>
  <c r="R26" i="30"/>
  <c r="Q26" i="30"/>
  <c r="P26" i="30"/>
  <c r="M26" i="30"/>
  <c r="J26" i="30"/>
  <c r="R25" i="30"/>
  <c r="Q25" i="30"/>
  <c r="O25" i="30"/>
  <c r="M25" i="30"/>
  <c r="J25" i="30"/>
  <c r="R24" i="30"/>
  <c r="Q24" i="30"/>
  <c r="O24" i="30"/>
  <c r="M24" i="30"/>
  <c r="E24" i="30"/>
  <c r="D24" i="30"/>
  <c r="C24" i="30"/>
  <c r="M23" i="30"/>
  <c r="J23" i="30"/>
  <c r="F23" i="30"/>
  <c r="E23" i="30"/>
  <c r="D23" i="30"/>
  <c r="C23" i="30"/>
  <c r="J22" i="30"/>
  <c r="M21" i="30"/>
  <c r="J21" i="30"/>
  <c r="R20" i="30"/>
  <c r="Q20" i="30"/>
  <c r="M20" i="30"/>
  <c r="J20" i="30"/>
  <c r="R19" i="30"/>
  <c r="Q19" i="30"/>
  <c r="P19" i="30"/>
  <c r="J19" i="30"/>
  <c r="R18" i="30"/>
  <c r="Q18" i="30"/>
  <c r="O18" i="30"/>
  <c r="J18" i="30"/>
  <c r="C18" i="30"/>
  <c r="R17" i="30"/>
  <c r="Q17" i="30"/>
  <c r="O17" i="30"/>
  <c r="M17" i="30"/>
  <c r="J17" i="30"/>
  <c r="M16" i="30"/>
  <c r="J16" i="30"/>
  <c r="J15" i="30"/>
  <c r="E15" i="30"/>
  <c r="D15" i="30"/>
  <c r="C15" i="30"/>
  <c r="M14" i="30"/>
  <c r="J14" i="30"/>
  <c r="F14" i="30"/>
  <c r="E14" i="30"/>
  <c r="D14" i="30"/>
  <c r="C14" i="30"/>
  <c r="M13" i="30"/>
  <c r="J13" i="30"/>
  <c r="J13" i="29" s="1"/>
  <c r="J13" i="27" s="1"/>
  <c r="J13" i="28" s="1"/>
  <c r="J13" i="26" s="1"/>
  <c r="J13" i="25" s="1"/>
  <c r="M12" i="30"/>
  <c r="J12" i="30"/>
  <c r="M11" i="30"/>
  <c r="K10" i="30"/>
  <c r="M10" i="30" s="1"/>
  <c r="K9" i="30"/>
  <c r="M9" i="30" s="1"/>
  <c r="M9" i="29" s="1"/>
  <c r="M9" i="27" s="1"/>
  <c r="M9" i="28" s="1"/>
  <c r="M9" i="26" s="1"/>
  <c r="M9" i="25" s="1"/>
  <c r="P8" i="30"/>
  <c r="O8" i="30"/>
  <c r="K8" i="30"/>
  <c r="J8" i="30"/>
  <c r="K7" i="30"/>
  <c r="J7" i="30"/>
  <c r="N6" i="30"/>
  <c r="C53" i="29"/>
  <c r="C52" i="29"/>
  <c r="E51" i="29"/>
  <c r="D51" i="29"/>
  <c r="C51" i="29"/>
  <c r="J50" i="29"/>
  <c r="I50" i="29"/>
  <c r="D50" i="29"/>
  <c r="E50" i="29" s="1"/>
  <c r="C50" i="29"/>
  <c r="J49" i="29"/>
  <c r="E49" i="29"/>
  <c r="D49" i="29"/>
  <c r="C49" i="29"/>
  <c r="D48" i="29"/>
  <c r="E48" i="29" s="1"/>
  <c r="C48" i="29"/>
  <c r="E47" i="29"/>
  <c r="D47" i="29"/>
  <c r="C47" i="29"/>
  <c r="E46" i="29"/>
  <c r="D46" i="29"/>
  <c r="C46" i="29"/>
  <c r="E45" i="29"/>
  <c r="D45" i="29"/>
  <c r="C45" i="29"/>
  <c r="D44" i="29"/>
  <c r="E44" i="29" s="1"/>
  <c r="C44" i="29"/>
  <c r="I43" i="29"/>
  <c r="I44" i="29" s="1"/>
  <c r="D43" i="29"/>
  <c r="E43" i="29" s="1"/>
  <c r="C43" i="29"/>
  <c r="G42" i="29"/>
  <c r="F42" i="29"/>
  <c r="E42" i="29"/>
  <c r="D42" i="29"/>
  <c r="D42" i="27" s="1"/>
  <c r="C42" i="29"/>
  <c r="D41" i="29"/>
  <c r="E41" i="29" s="1"/>
  <c r="C41" i="29"/>
  <c r="G40" i="29"/>
  <c r="E40" i="29"/>
  <c r="D40" i="29"/>
  <c r="C40" i="29"/>
  <c r="G39" i="29"/>
  <c r="D39" i="29"/>
  <c r="C39" i="29"/>
  <c r="J38" i="29"/>
  <c r="I38" i="29"/>
  <c r="G38" i="29"/>
  <c r="C38" i="29"/>
  <c r="J37" i="29"/>
  <c r="I37" i="29"/>
  <c r="L34" i="29"/>
  <c r="F34" i="29"/>
  <c r="E34" i="29"/>
  <c r="C34" i="29"/>
  <c r="J32" i="29"/>
  <c r="J32" i="27" s="1"/>
  <c r="J32" i="28" s="1"/>
  <c r="F32" i="29"/>
  <c r="E32" i="29"/>
  <c r="D32" i="29"/>
  <c r="E33" i="29" s="1"/>
  <c r="C32" i="29"/>
  <c r="M31" i="29"/>
  <c r="J31" i="29"/>
  <c r="J31" i="27" s="1"/>
  <c r="J30" i="29"/>
  <c r="J30" i="27" s="1"/>
  <c r="J30" i="28" s="1"/>
  <c r="M29" i="29"/>
  <c r="M29" i="27" s="1"/>
  <c r="M29" i="28" s="1"/>
  <c r="M29" i="26" s="1"/>
  <c r="M29" i="25" s="1"/>
  <c r="M29" i="24" s="1"/>
  <c r="M29" i="23" s="1"/>
  <c r="J29" i="29"/>
  <c r="M28" i="29"/>
  <c r="M28" i="27" s="1"/>
  <c r="M28" i="28" s="1"/>
  <c r="M28" i="26" s="1"/>
  <c r="M28" i="25" s="1"/>
  <c r="J27" i="29"/>
  <c r="M26" i="29"/>
  <c r="J26" i="29"/>
  <c r="M25" i="29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J25" i="29"/>
  <c r="J25" i="27" s="1"/>
  <c r="J25" i="28" s="1"/>
  <c r="J25" i="26" s="1"/>
  <c r="J25" i="24" s="1"/>
  <c r="M24" i="29"/>
  <c r="M23" i="29"/>
  <c r="J23" i="29"/>
  <c r="J23" i="27" s="1"/>
  <c r="J23" i="28" s="1"/>
  <c r="J23" i="26" s="1"/>
  <c r="J23" i="25" s="1"/>
  <c r="J23" i="24" s="1"/>
  <c r="J23" i="23" s="1"/>
  <c r="J23" i="21" s="1"/>
  <c r="J23" i="22" s="1"/>
  <c r="J23" i="20" s="1"/>
  <c r="J23" i="19" s="1"/>
  <c r="J23" i="18" s="1"/>
  <c r="J23" i="17" s="1"/>
  <c r="J23" i="16" s="1"/>
  <c r="J23" i="15" s="1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23" i="4" s="1"/>
  <c r="J23" i="43" s="1"/>
  <c r="F23" i="29"/>
  <c r="E23" i="29"/>
  <c r="D23" i="29"/>
  <c r="C24" i="29" s="1"/>
  <c r="C23" i="29"/>
  <c r="M22" i="29"/>
  <c r="J22" i="29"/>
  <c r="M21" i="29"/>
  <c r="J21" i="29"/>
  <c r="J21" i="27" s="1"/>
  <c r="J21" i="28" s="1"/>
  <c r="J21" i="26" s="1"/>
  <c r="J21" i="25" s="1"/>
  <c r="J21" i="24" s="1"/>
  <c r="J21" i="23" s="1"/>
  <c r="J21" i="21" s="1"/>
  <c r="J21" i="22" s="1"/>
  <c r="J21" i="20" s="1"/>
  <c r="J21" i="19" s="1"/>
  <c r="J21" i="18" s="1"/>
  <c r="J21" i="17" s="1"/>
  <c r="J21" i="16" s="1"/>
  <c r="J21" i="15" s="1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J21" i="43" s="1"/>
  <c r="M20" i="29"/>
  <c r="M20" i="27" s="1"/>
  <c r="M20" i="28" s="1"/>
  <c r="M20" i="26" s="1"/>
  <c r="J20" i="29"/>
  <c r="J19" i="29"/>
  <c r="M18" i="29"/>
  <c r="J18" i="29"/>
  <c r="M17" i="29"/>
  <c r="J17" i="29"/>
  <c r="J17" i="27" s="1"/>
  <c r="J17" i="28" s="1"/>
  <c r="J17" i="26" s="1"/>
  <c r="M16" i="29"/>
  <c r="M16" i="27" s="1"/>
  <c r="M16" i="28" s="1"/>
  <c r="M16" i="26" s="1"/>
  <c r="M16" i="25" s="1"/>
  <c r="M16" i="24" s="1"/>
  <c r="M16" i="23" s="1"/>
  <c r="J16" i="29"/>
  <c r="J16" i="27" s="1"/>
  <c r="J16" i="28" s="1"/>
  <c r="J16" i="26" s="1"/>
  <c r="J16" i="25" s="1"/>
  <c r="J16" i="24" s="1"/>
  <c r="J16" i="23" s="1"/>
  <c r="J16" i="21" s="1"/>
  <c r="J16" i="22" s="1"/>
  <c r="M15" i="29"/>
  <c r="J15" i="29"/>
  <c r="E15" i="29"/>
  <c r="M14" i="29"/>
  <c r="M14" i="27" s="1"/>
  <c r="M14" i="28" s="1"/>
  <c r="M14" i="26" s="1"/>
  <c r="J14" i="29"/>
  <c r="J14" i="27" s="1"/>
  <c r="J14" i="28" s="1"/>
  <c r="J14" i="26" s="1"/>
  <c r="J14" i="25" s="1"/>
  <c r="J14" i="24" s="1"/>
  <c r="J14" i="23" s="1"/>
  <c r="F14" i="29"/>
  <c r="E14" i="29"/>
  <c r="D14" i="29"/>
  <c r="C14" i="29"/>
  <c r="M13" i="29"/>
  <c r="M12" i="29"/>
  <c r="J12" i="29"/>
  <c r="P11" i="29"/>
  <c r="M11" i="29"/>
  <c r="J11" i="29"/>
  <c r="O10" i="29"/>
  <c r="K10" i="29"/>
  <c r="M10" i="29" s="1"/>
  <c r="J10" i="29"/>
  <c r="J10" i="27" s="1"/>
  <c r="J10" i="28" s="1"/>
  <c r="J10" i="26" s="1"/>
  <c r="J10" i="25" s="1"/>
  <c r="J10" i="24" s="1"/>
  <c r="P9" i="29"/>
  <c r="O9" i="29"/>
  <c r="J9" i="29"/>
  <c r="O8" i="29"/>
  <c r="J8" i="29"/>
  <c r="J7" i="29"/>
  <c r="N6" i="29"/>
  <c r="J57" i="27"/>
  <c r="C53" i="27"/>
  <c r="C52" i="27"/>
  <c r="D51" i="27"/>
  <c r="C51" i="27"/>
  <c r="J50" i="27"/>
  <c r="I50" i="27"/>
  <c r="D50" i="27"/>
  <c r="D50" i="28" s="1"/>
  <c r="E50" i="28" s="1"/>
  <c r="C50" i="27"/>
  <c r="J49" i="27"/>
  <c r="E49" i="27"/>
  <c r="D49" i="27"/>
  <c r="D49" i="28" s="1"/>
  <c r="C49" i="27"/>
  <c r="D48" i="27"/>
  <c r="E48" i="27" s="1"/>
  <c r="C48" i="27"/>
  <c r="D47" i="27"/>
  <c r="E47" i="27" s="1"/>
  <c r="C47" i="27"/>
  <c r="E46" i="27"/>
  <c r="D46" i="27"/>
  <c r="C46" i="27"/>
  <c r="D45" i="27"/>
  <c r="E45" i="27" s="1"/>
  <c r="C45" i="27"/>
  <c r="I44" i="27"/>
  <c r="C44" i="27"/>
  <c r="I43" i="27"/>
  <c r="E43" i="27"/>
  <c r="D43" i="27"/>
  <c r="D43" i="28" s="1"/>
  <c r="C43" i="27"/>
  <c r="G42" i="27"/>
  <c r="F42" i="27"/>
  <c r="C42" i="27"/>
  <c r="E41" i="27"/>
  <c r="D41" i="27"/>
  <c r="C41" i="27"/>
  <c r="D40" i="27"/>
  <c r="E40" i="27" s="1"/>
  <c r="C40" i="27"/>
  <c r="G39" i="27"/>
  <c r="C39" i="27"/>
  <c r="N38" i="27"/>
  <c r="J38" i="27"/>
  <c r="I38" i="27"/>
  <c r="G38" i="27"/>
  <c r="C38" i="27"/>
  <c r="N37" i="27"/>
  <c r="I37" i="27"/>
  <c r="E35" i="27"/>
  <c r="D35" i="27"/>
  <c r="C35" i="27"/>
  <c r="L34" i="27"/>
  <c r="F34" i="27"/>
  <c r="E34" i="27"/>
  <c r="D34" i="27"/>
  <c r="C34" i="27"/>
  <c r="E33" i="27"/>
  <c r="D33" i="27"/>
  <c r="C33" i="27"/>
  <c r="M32" i="27"/>
  <c r="F32" i="27"/>
  <c r="E32" i="27"/>
  <c r="D32" i="27"/>
  <c r="C32" i="27"/>
  <c r="M31" i="27"/>
  <c r="J29" i="27"/>
  <c r="J29" i="28" s="1"/>
  <c r="J29" i="26" s="1"/>
  <c r="R28" i="27"/>
  <c r="Q28" i="27"/>
  <c r="R27" i="27"/>
  <c r="Q27" i="27"/>
  <c r="P27" i="27"/>
  <c r="M27" i="27"/>
  <c r="J27" i="27"/>
  <c r="R26" i="27"/>
  <c r="Q26" i="27"/>
  <c r="P26" i="27"/>
  <c r="O26" i="27"/>
  <c r="M26" i="27"/>
  <c r="J26" i="27"/>
  <c r="J26" i="28" s="1"/>
  <c r="R25" i="27"/>
  <c r="Q25" i="27"/>
  <c r="O25" i="27"/>
  <c r="M24" i="27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E24" i="27"/>
  <c r="D24" i="27"/>
  <c r="C24" i="27"/>
  <c r="M23" i="27"/>
  <c r="M23" i="28" s="1"/>
  <c r="F23" i="27"/>
  <c r="E23" i="27"/>
  <c r="D23" i="27"/>
  <c r="C23" i="27"/>
  <c r="M22" i="27"/>
  <c r="J22" i="27"/>
  <c r="J22" i="28" s="1"/>
  <c r="M21" i="27"/>
  <c r="M21" i="28" s="1"/>
  <c r="J20" i="27"/>
  <c r="J20" i="28" s="1"/>
  <c r="J20" i="26" s="1"/>
  <c r="J20" i="25" s="1"/>
  <c r="J20" i="24" s="1"/>
  <c r="J20" i="23" s="1"/>
  <c r="J20" i="21" s="1"/>
  <c r="J20" i="22" s="1"/>
  <c r="J20" i="20" s="1"/>
  <c r="J20" i="19" s="1"/>
  <c r="J20" i="18" s="1"/>
  <c r="J20" i="17" s="1"/>
  <c r="J20" i="16" s="1"/>
  <c r="J20" i="15" s="1"/>
  <c r="J20" i="14" s="1"/>
  <c r="J20" i="13" s="1"/>
  <c r="J20" i="12" s="1"/>
  <c r="J20" i="11" s="1"/>
  <c r="J20" i="10" s="1"/>
  <c r="J20" i="9" s="1"/>
  <c r="J20" i="8" s="1"/>
  <c r="J20" i="7" s="1"/>
  <c r="J20" i="37" s="1"/>
  <c r="J20" i="4" s="1"/>
  <c r="J20" i="43" s="1"/>
  <c r="J19" i="27"/>
  <c r="M18" i="27"/>
  <c r="J18" i="27"/>
  <c r="J18" i="28" s="1"/>
  <c r="J18" i="26" s="1"/>
  <c r="J18" i="25" s="1"/>
  <c r="J18" i="24" s="1"/>
  <c r="M17" i="27"/>
  <c r="M17" i="28" s="1"/>
  <c r="M17" i="26" s="1"/>
  <c r="M17" i="25" s="1"/>
  <c r="C17" i="27"/>
  <c r="M15" i="27"/>
  <c r="J15" i="27"/>
  <c r="E15" i="27"/>
  <c r="D15" i="27"/>
  <c r="C15" i="27"/>
  <c r="F14" i="27"/>
  <c r="E14" i="27"/>
  <c r="D14" i="27"/>
  <c r="C14" i="27"/>
  <c r="M13" i="27"/>
  <c r="K12" i="27"/>
  <c r="M12" i="27" s="1"/>
  <c r="P11" i="27"/>
  <c r="K11" i="27"/>
  <c r="M11" i="27" s="1"/>
  <c r="AA10" i="27"/>
  <c r="Z10" i="27"/>
  <c r="O10" i="27"/>
  <c r="K10" i="27"/>
  <c r="M10" i="27" s="1"/>
  <c r="M10" i="28" s="1"/>
  <c r="M10" i="26" s="1"/>
  <c r="M10" i="25" s="1"/>
  <c r="AA9" i="27"/>
  <c r="Z9" i="27"/>
  <c r="Y9" i="27"/>
  <c r="P9" i="27"/>
  <c r="O9" i="27"/>
  <c r="AA8" i="27"/>
  <c r="Z8" i="27"/>
  <c r="X8" i="27"/>
  <c r="P8" i="27"/>
  <c r="O8" i="27"/>
  <c r="AA7" i="27"/>
  <c r="Z7" i="27"/>
  <c r="Y7" i="27"/>
  <c r="X7" i="27"/>
  <c r="J7" i="27"/>
  <c r="J7" i="28" s="1"/>
  <c r="J7" i="26" s="1"/>
  <c r="J7" i="25" s="1"/>
  <c r="AA6" i="27"/>
  <c r="Z6" i="27"/>
  <c r="Y6" i="27"/>
  <c r="X6" i="27"/>
  <c r="N6" i="27"/>
  <c r="AA5" i="27"/>
  <c r="Z5" i="27"/>
  <c r="X5" i="27"/>
  <c r="AA4" i="27"/>
  <c r="Z4" i="27"/>
  <c r="X4" i="27"/>
  <c r="H4" i="27"/>
  <c r="AA3" i="27"/>
  <c r="Z3" i="27"/>
  <c r="Y3" i="27"/>
  <c r="X3" i="27"/>
  <c r="AA2" i="27"/>
  <c r="Z2" i="27"/>
  <c r="Y2" i="27"/>
  <c r="X2" i="27"/>
  <c r="AA1" i="27"/>
  <c r="Z1" i="27"/>
  <c r="Y1" i="27"/>
  <c r="X1" i="27"/>
  <c r="J57" i="28"/>
  <c r="C53" i="28"/>
  <c r="C52" i="28"/>
  <c r="C51" i="28"/>
  <c r="J50" i="28"/>
  <c r="I50" i="28"/>
  <c r="C50" i="28"/>
  <c r="J49" i="28"/>
  <c r="C49" i="28"/>
  <c r="E48" i="28"/>
  <c r="D48" i="28"/>
  <c r="C48" i="28"/>
  <c r="D47" i="28"/>
  <c r="D47" i="26" s="1"/>
  <c r="C47" i="28"/>
  <c r="D46" i="28"/>
  <c r="C46" i="28"/>
  <c r="D45" i="28"/>
  <c r="D45" i="26" s="1"/>
  <c r="C45" i="28"/>
  <c r="I44" i="28"/>
  <c r="C44" i="28"/>
  <c r="I43" i="28"/>
  <c r="C43" i="28"/>
  <c r="G42" i="28"/>
  <c r="F42" i="28"/>
  <c r="C42" i="28"/>
  <c r="D41" i="28"/>
  <c r="C41" i="28"/>
  <c r="G40" i="28"/>
  <c r="C40" i="28"/>
  <c r="G39" i="28"/>
  <c r="C39" i="28"/>
  <c r="J38" i="28"/>
  <c r="J38" i="26" s="1"/>
  <c r="J38" i="25" s="1"/>
  <c r="J38" i="24" s="1"/>
  <c r="J38" i="23" s="1"/>
  <c r="I38" i="28"/>
  <c r="G38" i="28"/>
  <c r="C38" i="28"/>
  <c r="I37" i="28"/>
  <c r="E35" i="28"/>
  <c r="D35" i="28"/>
  <c r="C35" i="28"/>
  <c r="L34" i="28"/>
  <c r="F34" i="28"/>
  <c r="E34" i="28"/>
  <c r="D34" i="28"/>
  <c r="C34" i="28"/>
  <c r="E33" i="28"/>
  <c r="D33" i="28"/>
  <c r="C33" i="28"/>
  <c r="M32" i="28"/>
  <c r="F32" i="28"/>
  <c r="E32" i="28"/>
  <c r="D32" i="28"/>
  <c r="C32" i="28"/>
  <c r="M31" i="28"/>
  <c r="M31" i="26" s="1"/>
  <c r="M31" i="25" s="1"/>
  <c r="J31" i="28"/>
  <c r="J31" i="26" s="1"/>
  <c r="J31" i="25" s="1"/>
  <c r="M27" i="28"/>
  <c r="M27" i="26" s="1"/>
  <c r="M27" i="25" s="1"/>
  <c r="M27" i="24" s="1"/>
  <c r="M27" i="23" s="1"/>
  <c r="M27" i="21" s="1"/>
  <c r="J27" i="28"/>
  <c r="J27" i="26" s="1"/>
  <c r="J27" i="25" s="1"/>
  <c r="M26" i="28"/>
  <c r="E24" i="28"/>
  <c r="D24" i="28"/>
  <c r="C24" i="28"/>
  <c r="F23" i="28"/>
  <c r="E23" i="28"/>
  <c r="D23" i="28"/>
  <c r="C23" i="28"/>
  <c r="M22" i="28"/>
  <c r="M22" i="26" s="1"/>
  <c r="M22" i="25" s="1"/>
  <c r="J19" i="28"/>
  <c r="J19" i="26" s="1"/>
  <c r="J19" i="25" s="1"/>
  <c r="M18" i="28"/>
  <c r="M15" i="28"/>
  <c r="J15" i="28"/>
  <c r="J15" i="26" s="1"/>
  <c r="J15" i="25" s="1"/>
  <c r="E15" i="28"/>
  <c r="D15" i="28"/>
  <c r="C15" i="28"/>
  <c r="F14" i="28"/>
  <c r="E14" i="28"/>
  <c r="D14" i="28"/>
  <c r="C14" i="28"/>
  <c r="M13" i="28"/>
  <c r="K12" i="28"/>
  <c r="M12" i="28" s="1"/>
  <c r="J12" i="28"/>
  <c r="K11" i="28"/>
  <c r="J11" i="28"/>
  <c r="J9" i="28"/>
  <c r="J9" i="26" s="1"/>
  <c r="O8" i="28"/>
  <c r="J8" i="28"/>
  <c r="J8" i="26" s="1"/>
  <c r="J8" i="25" s="1"/>
  <c r="C8" i="28"/>
  <c r="C7" i="28"/>
  <c r="N6" i="28"/>
  <c r="H4" i="28"/>
  <c r="J57" i="26"/>
  <c r="C53" i="26"/>
  <c r="C52" i="26"/>
  <c r="C51" i="26"/>
  <c r="I50" i="26"/>
  <c r="E50" i="26"/>
  <c r="D50" i="26"/>
  <c r="C50" i="26"/>
  <c r="C49" i="26"/>
  <c r="D48" i="26"/>
  <c r="E48" i="26" s="1"/>
  <c r="C48" i="26"/>
  <c r="C47" i="26"/>
  <c r="C46" i="26"/>
  <c r="C45" i="26"/>
  <c r="I44" i="26"/>
  <c r="C44" i="26"/>
  <c r="I43" i="26"/>
  <c r="C43" i="26"/>
  <c r="G42" i="26"/>
  <c r="F42" i="26"/>
  <c r="C42" i="26"/>
  <c r="C41" i="26"/>
  <c r="I40" i="26"/>
  <c r="G40" i="26"/>
  <c r="C40" i="26"/>
  <c r="G39" i="26"/>
  <c r="C39" i="26"/>
  <c r="I38" i="26"/>
  <c r="G38" i="26"/>
  <c r="C38" i="26"/>
  <c r="I37" i="26"/>
  <c r="E35" i="26"/>
  <c r="D35" i="26"/>
  <c r="C35" i="26"/>
  <c r="L34" i="26"/>
  <c r="K34" i="26"/>
  <c r="F34" i="26"/>
  <c r="E34" i="26"/>
  <c r="D34" i="26"/>
  <c r="C34" i="26"/>
  <c r="E33" i="26"/>
  <c r="D33" i="26"/>
  <c r="C33" i="26"/>
  <c r="M32" i="26"/>
  <c r="M32" i="25" s="1"/>
  <c r="M32" i="24" s="1"/>
  <c r="M32" i="23" s="1"/>
  <c r="M32" i="21" s="1"/>
  <c r="M32" i="22" s="1"/>
  <c r="J32" i="26"/>
  <c r="J32" i="24" s="1"/>
  <c r="J32" i="23" s="1"/>
  <c r="F32" i="26"/>
  <c r="E32" i="26"/>
  <c r="D32" i="26"/>
  <c r="C32" i="26"/>
  <c r="M30" i="26"/>
  <c r="J30" i="26"/>
  <c r="M26" i="26"/>
  <c r="M26" i="25" s="1"/>
  <c r="M26" i="24" s="1"/>
  <c r="M26" i="23" s="1"/>
  <c r="J26" i="26"/>
  <c r="E24" i="26"/>
  <c r="D24" i="26"/>
  <c r="C24" i="26"/>
  <c r="M23" i="26"/>
  <c r="M23" i="25" s="1"/>
  <c r="F23" i="26"/>
  <c r="E23" i="26"/>
  <c r="D23" i="26"/>
  <c r="C23" i="26"/>
  <c r="J22" i="26"/>
  <c r="J22" i="25" s="1"/>
  <c r="J22" i="24" s="1"/>
  <c r="M21" i="26"/>
  <c r="M21" i="25" s="1"/>
  <c r="F19" i="26"/>
  <c r="M18" i="26"/>
  <c r="M18" i="25" s="1"/>
  <c r="M15" i="26"/>
  <c r="E15" i="26"/>
  <c r="D15" i="26"/>
  <c r="C15" i="26"/>
  <c r="F14" i="26"/>
  <c r="E14" i="26"/>
  <c r="D14" i="26"/>
  <c r="C14" i="26"/>
  <c r="M13" i="26"/>
  <c r="M13" i="25" s="1"/>
  <c r="M13" i="24" s="1"/>
  <c r="K12" i="26"/>
  <c r="J12" i="26"/>
  <c r="P11" i="26"/>
  <c r="J11" i="26"/>
  <c r="J11" i="25" s="1"/>
  <c r="O10" i="26"/>
  <c r="P9" i="26"/>
  <c r="O9" i="26"/>
  <c r="O8" i="26"/>
  <c r="N6" i="26"/>
  <c r="H4" i="26"/>
  <c r="J57" i="25"/>
  <c r="C53" i="25"/>
  <c r="C52" i="25"/>
  <c r="C51" i="25"/>
  <c r="I50" i="25"/>
  <c r="D50" i="25"/>
  <c r="D50" i="24" s="1"/>
  <c r="C50" i="25"/>
  <c r="C49" i="25"/>
  <c r="D48" i="25"/>
  <c r="C48" i="25"/>
  <c r="C47" i="25"/>
  <c r="C46" i="25"/>
  <c r="C45" i="25"/>
  <c r="C44" i="25"/>
  <c r="I43" i="25"/>
  <c r="I44" i="25" s="1"/>
  <c r="C43" i="25"/>
  <c r="G42" i="25"/>
  <c r="F42" i="25"/>
  <c r="C42" i="25"/>
  <c r="C41" i="25"/>
  <c r="G40" i="25"/>
  <c r="C40" i="25"/>
  <c r="G39" i="25"/>
  <c r="C39" i="25"/>
  <c r="I38" i="25"/>
  <c r="G38" i="25"/>
  <c r="C38" i="25"/>
  <c r="I37" i="25"/>
  <c r="E35" i="25"/>
  <c r="D35" i="25"/>
  <c r="C35" i="25"/>
  <c r="L34" i="25"/>
  <c r="K34" i="25"/>
  <c r="I40" i="25" s="1"/>
  <c r="F34" i="25"/>
  <c r="E34" i="25"/>
  <c r="D34" i="25"/>
  <c r="C34" i="25"/>
  <c r="E33" i="25"/>
  <c r="D33" i="25"/>
  <c r="C33" i="25"/>
  <c r="F32" i="25"/>
  <c r="E32" i="25"/>
  <c r="D32" i="25"/>
  <c r="C32" i="25"/>
  <c r="M30" i="25"/>
  <c r="M30" i="24" s="1"/>
  <c r="M30" i="23" s="1"/>
  <c r="J30" i="25"/>
  <c r="V26" i="25"/>
  <c r="R26" i="25"/>
  <c r="Q26" i="25"/>
  <c r="J25" i="25"/>
  <c r="E24" i="25"/>
  <c r="D24" i="25"/>
  <c r="C24" i="25"/>
  <c r="F23" i="25"/>
  <c r="E23" i="25"/>
  <c r="D23" i="25"/>
  <c r="C23" i="25"/>
  <c r="M20" i="25"/>
  <c r="M20" i="24" s="1"/>
  <c r="M20" i="23" s="1"/>
  <c r="M20" i="21" s="1"/>
  <c r="M20" i="22" s="1"/>
  <c r="M20" i="20" s="1"/>
  <c r="M20" i="19" s="1"/>
  <c r="J17" i="25"/>
  <c r="J17" i="24" s="1"/>
  <c r="J17" i="23" s="1"/>
  <c r="J17" i="21" s="1"/>
  <c r="J17" i="22" s="1"/>
  <c r="M15" i="25"/>
  <c r="E15" i="25"/>
  <c r="D15" i="25"/>
  <c r="C15" i="25"/>
  <c r="M14" i="25"/>
  <c r="M14" i="24" s="1"/>
  <c r="F14" i="25"/>
  <c r="E14" i="25"/>
  <c r="D14" i="25"/>
  <c r="C14" i="25"/>
  <c r="K12" i="25"/>
  <c r="J12" i="25"/>
  <c r="J9" i="25"/>
  <c r="J9" i="24" s="1"/>
  <c r="J9" i="23" s="1"/>
  <c r="J9" i="21" s="1"/>
  <c r="O8" i="25"/>
  <c r="N6" i="25"/>
  <c r="H4" i="25"/>
  <c r="C51" i="24"/>
  <c r="I50" i="24"/>
  <c r="C50" i="24"/>
  <c r="C49" i="24"/>
  <c r="C48" i="24"/>
  <c r="C47" i="24"/>
  <c r="C46" i="24"/>
  <c r="C45" i="24"/>
  <c r="I44" i="24"/>
  <c r="C44" i="24"/>
  <c r="I43" i="24"/>
  <c r="C43" i="24"/>
  <c r="G42" i="24"/>
  <c r="F42" i="24"/>
  <c r="C42" i="24"/>
  <c r="C41" i="24"/>
  <c r="G40" i="24"/>
  <c r="C40" i="24"/>
  <c r="G39" i="24"/>
  <c r="C39" i="24"/>
  <c r="I38" i="24"/>
  <c r="G38" i="24"/>
  <c r="C38" i="24"/>
  <c r="I37" i="24"/>
  <c r="E35" i="24"/>
  <c r="D35" i="24"/>
  <c r="C35" i="24"/>
  <c r="L34" i="24"/>
  <c r="F34" i="24"/>
  <c r="E34" i="24"/>
  <c r="D34" i="24"/>
  <c r="C34" i="24"/>
  <c r="E33" i="24"/>
  <c r="D33" i="24"/>
  <c r="C33" i="24"/>
  <c r="F32" i="24"/>
  <c r="E32" i="24"/>
  <c r="D32" i="24"/>
  <c r="C32" i="24"/>
  <c r="M31" i="24"/>
  <c r="M31" i="23" s="1"/>
  <c r="J31" i="24"/>
  <c r="J30" i="24"/>
  <c r="M28" i="24"/>
  <c r="J28" i="24"/>
  <c r="J27" i="24"/>
  <c r="J24" i="24"/>
  <c r="J24" i="23" s="1"/>
  <c r="J24" i="21" s="1"/>
  <c r="J24" i="22" s="1"/>
  <c r="J24" i="20" s="1"/>
  <c r="J24" i="19" s="1"/>
  <c r="J24" i="18" s="1"/>
  <c r="J24" i="17" s="1"/>
  <c r="E24" i="24"/>
  <c r="D24" i="24"/>
  <c r="C24" i="24"/>
  <c r="M23" i="24"/>
  <c r="F23" i="24"/>
  <c r="E23" i="24"/>
  <c r="D23" i="24"/>
  <c r="C23" i="24"/>
  <c r="M22" i="24"/>
  <c r="M22" i="23" s="1"/>
  <c r="M21" i="24"/>
  <c r="M19" i="24"/>
  <c r="M19" i="23" s="1"/>
  <c r="J19" i="24"/>
  <c r="M18" i="24"/>
  <c r="M18" i="23" s="1"/>
  <c r="M17" i="24"/>
  <c r="M17" i="23" s="1"/>
  <c r="M17" i="21" s="1"/>
  <c r="M17" i="22" s="1"/>
  <c r="M15" i="24"/>
  <c r="J15" i="24"/>
  <c r="E15" i="24"/>
  <c r="D15" i="24"/>
  <c r="C15" i="24"/>
  <c r="F14" i="24"/>
  <c r="E14" i="24"/>
  <c r="D14" i="24"/>
  <c r="C14" i="24"/>
  <c r="J13" i="24"/>
  <c r="K12" i="24"/>
  <c r="J12" i="24"/>
  <c r="J12" i="23" s="1"/>
  <c r="J12" i="21" s="1"/>
  <c r="J12" i="22" s="1"/>
  <c r="J11" i="24"/>
  <c r="M10" i="24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M9" i="24"/>
  <c r="M9" i="23" s="1"/>
  <c r="M9" i="21" s="1"/>
  <c r="O8" i="24"/>
  <c r="J8" i="24"/>
  <c r="J7" i="24"/>
  <c r="J7" i="23" s="1"/>
  <c r="N6" i="24"/>
  <c r="H4" i="24"/>
  <c r="J57" i="23"/>
  <c r="C53" i="23"/>
  <c r="C52" i="23"/>
  <c r="C51" i="23"/>
  <c r="I50" i="23"/>
  <c r="C50" i="23"/>
  <c r="C49" i="23"/>
  <c r="C48" i="23"/>
  <c r="C47" i="23"/>
  <c r="C46" i="23"/>
  <c r="C45" i="23"/>
  <c r="I44" i="23"/>
  <c r="C44" i="23"/>
  <c r="I43" i="23"/>
  <c r="C43" i="23"/>
  <c r="G42" i="23"/>
  <c r="F42" i="23"/>
  <c r="C42" i="23"/>
  <c r="C41" i="23"/>
  <c r="G40" i="23"/>
  <c r="C40" i="23"/>
  <c r="C39" i="23"/>
  <c r="N38" i="23"/>
  <c r="I38" i="23"/>
  <c r="G38" i="23"/>
  <c r="C38" i="23"/>
  <c r="N37" i="23"/>
  <c r="I37" i="23"/>
  <c r="E35" i="23"/>
  <c r="D35" i="23"/>
  <c r="C35" i="23"/>
  <c r="L34" i="23"/>
  <c r="F34" i="23"/>
  <c r="E34" i="23"/>
  <c r="D34" i="23"/>
  <c r="C34" i="23"/>
  <c r="E33" i="23"/>
  <c r="D33" i="23"/>
  <c r="C33" i="23"/>
  <c r="F32" i="23"/>
  <c r="E32" i="23"/>
  <c r="D32" i="23"/>
  <c r="C32" i="23"/>
  <c r="J31" i="23"/>
  <c r="J31" i="21" s="1"/>
  <c r="J30" i="23"/>
  <c r="J30" i="21" s="1"/>
  <c r="J30" i="22" s="1"/>
  <c r="J30" i="20" s="1"/>
  <c r="J30" i="19" s="1"/>
  <c r="J30" i="18" s="1"/>
  <c r="J30" i="17" s="1"/>
  <c r="M28" i="23"/>
  <c r="J28" i="23"/>
  <c r="J27" i="23"/>
  <c r="J27" i="21" s="1"/>
  <c r="C26" i="23"/>
  <c r="P25" i="23"/>
  <c r="O25" i="23"/>
  <c r="J25" i="23"/>
  <c r="J25" i="21" s="1"/>
  <c r="J25" i="22" s="1"/>
  <c r="C25" i="23"/>
  <c r="E24" i="23"/>
  <c r="D24" i="23"/>
  <c r="C24" i="23"/>
  <c r="M23" i="23"/>
  <c r="M23" i="21" s="1"/>
  <c r="M23" i="22" s="1"/>
  <c r="F23" i="23"/>
  <c r="E23" i="23"/>
  <c r="D23" i="23"/>
  <c r="C23" i="23"/>
  <c r="J22" i="23"/>
  <c r="M21" i="23"/>
  <c r="M21" i="21" s="1"/>
  <c r="M21" i="22" s="1"/>
  <c r="R19" i="23"/>
  <c r="Q19" i="23"/>
  <c r="J19" i="23"/>
  <c r="J19" i="21" s="1"/>
  <c r="J19" i="22" s="1"/>
  <c r="J19" i="20" s="1"/>
  <c r="J19" i="19" s="1"/>
  <c r="J19" i="18" s="1"/>
  <c r="J19" i="17" s="1"/>
  <c r="J19" i="16" s="1"/>
  <c r="J19" i="15" s="1"/>
  <c r="J19" i="14" s="1"/>
  <c r="J19" i="13" s="1"/>
  <c r="J19" i="12" s="1"/>
  <c r="J19" i="11" s="1"/>
  <c r="J19" i="10" s="1"/>
  <c r="J19" i="9" s="1"/>
  <c r="J19" i="8" s="1"/>
  <c r="J19" i="6" s="1"/>
  <c r="J19" i="37" s="1"/>
  <c r="J19" i="4" s="1"/>
  <c r="J19" i="43" s="1"/>
  <c r="R18" i="23"/>
  <c r="Q18" i="23"/>
  <c r="P18" i="23"/>
  <c r="J18" i="23"/>
  <c r="J18" i="21" s="1"/>
  <c r="J18" i="22" s="1"/>
  <c r="J18" i="20" s="1"/>
  <c r="J18" i="19" s="1"/>
  <c r="R17" i="23"/>
  <c r="Q17" i="23"/>
  <c r="O17" i="23"/>
  <c r="R16" i="23"/>
  <c r="Q16" i="23"/>
  <c r="O16" i="23"/>
  <c r="M15" i="23"/>
  <c r="J15" i="23"/>
  <c r="J15" i="21" s="1"/>
  <c r="E15" i="23"/>
  <c r="D15" i="23"/>
  <c r="C15" i="23"/>
  <c r="M14" i="23"/>
  <c r="F14" i="23"/>
  <c r="E14" i="23"/>
  <c r="D14" i="23"/>
  <c r="C14" i="23"/>
  <c r="M13" i="23"/>
  <c r="K13" i="23"/>
  <c r="K12" i="23"/>
  <c r="K34" i="23" s="1"/>
  <c r="I40" i="23" s="1"/>
  <c r="I51" i="23" s="1"/>
  <c r="R11" i="23"/>
  <c r="Q11" i="23"/>
  <c r="J11" i="23"/>
  <c r="J11" i="21" s="1"/>
  <c r="J11" i="22" s="1"/>
  <c r="J11" i="20" s="1"/>
  <c r="J11" i="19" s="1"/>
  <c r="J11" i="18" s="1"/>
  <c r="J11" i="17" s="1"/>
  <c r="R10" i="23"/>
  <c r="Q10" i="23"/>
  <c r="P10" i="23"/>
  <c r="J10" i="23"/>
  <c r="R9" i="23"/>
  <c r="Q9" i="23"/>
  <c r="O9" i="23"/>
  <c r="R8" i="23"/>
  <c r="Q8" i="23"/>
  <c r="O8" i="23"/>
  <c r="J8" i="23"/>
  <c r="J8" i="21" s="1"/>
  <c r="J8" i="22" s="1"/>
  <c r="J8" i="20" s="1"/>
  <c r="J8" i="19" s="1"/>
  <c r="J8" i="18" s="1"/>
  <c r="J8" i="17" s="1"/>
  <c r="N6" i="23"/>
  <c r="H4" i="23"/>
  <c r="J57" i="21"/>
  <c r="C53" i="21"/>
  <c r="C52" i="21"/>
  <c r="C51" i="21"/>
  <c r="I50" i="21"/>
  <c r="C50" i="21"/>
  <c r="C49" i="21"/>
  <c r="C48" i="21"/>
  <c r="C47" i="21"/>
  <c r="C46" i="21"/>
  <c r="C45" i="21"/>
  <c r="I44" i="21"/>
  <c r="C44" i="21"/>
  <c r="I43" i="21"/>
  <c r="C43" i="21"/>
  <c r="G42" i="21"/>
  <c r="F42" i="21"/>
  <c r="C42" i="21"/>
  <c r="C41" i="21"/>
  <c r="C40" i="21"/>
  <c r="C39" i="21"/>
  <c r="N38" i="21"/>
  <c r="J38" i="21"/>
  <c r="I38" i="21"/>
  <c r="C38" i="21"/>
  <c r="N37" i="21"/>
  <c r="I37" i="21"/>
  <c r="L34" i="21"/>
  <c r="F34" i="21"/>
  <c r="E34" i="21"/>
  <c r="J32" i="21"/>
  <c r="F32" i="21"/>
  <c r="E32" i="21"/>
  <c r="D32" i="21"/>
  <c r="C33" i="21" s="1"/>
  <c r="C32" i="21"/>
  <c r="M31" i="21"/>
  <c r="M30" i="21"/>
  <c r="M29" i="21"/>
  <c r="M29" i="22" s="1"/>
  <c r="M29" i="20" s="1"/>
  <c r="M29" i="19" s="1"/>
  <c r="M29" i="18" s="1"/>
  <c r="M29" i="17" s="1"/>
  <c r="M28" i="21"/>
  <c r="J28" i="21"/>
  <c r="J28" i="22" s="1"/>
  <c r="J28" i="20" s="1"/>
  <c r="J28" i="19" s="1"/>
  <c r="J28" i="18" s="1"/>
  <c r="J28" i="17" s="1"/>
  <c r="J28" i="16" s="1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U27" i="21"/>
  <c r="R27" i="21"/>
  <c r="Q27" i="21"/>
  <c r="M26" i="21"/>
  <c r="M26" i="22" s="1"/>
  <c r="M26" i="20" s="1"/>
  <c r="M26" i="19" s="1"/>
  <c r="M26" i="18" s="1"/>
  <c r="M26" i="17" s="1"/>
  <c r="C26" i="21"/>
  <c r="F23" i="21"/>
  <c r="E23" i="21"/>
  <c r="D23" i="21"/>
  <c r="C23" i="21"/>
  <c r="C24" i="21" s="1"/>
  <c r="M22" i="2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J22" i="21"/>
  <c r="R19" i="21"/>
  <c r="Q19" i="21"/>
  <c r="M19" i="21"/>
  <c r="M19" i="22" s="1"/>
  <c r="M19" i="20" s="1"/>
  <c r="M19" i="19" s="1"/>
  <c r="M19" i="18" s="1"/>
  <c r="M19" i="17" s="1"/>
  <c r="R18" i="21"/>
  <c r="Q18" i="21"/>
  <c r="P18" i="21"/>
  <c r="M18" i="21"/>
  <c r="R17" i="21"/>
  <c r="Q17" i="21"/>
  <c r="O17" i="21"/>
  <c r="R16" i="21"/>
  <c r="Q16" i="21"/>
  <c r="O16" i="21"/>
  <c r="M16" i="21"/>
  <c r="M16" i="22" s="1"/>
  <c r="M15" i="21"/>
  <c r="K14" i="2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F14" i="21"/>
  <c r="E14" i="21"/>
  <c r="D14" i="21"/>
  <c r="C14" i="21"/>
  <c r="C34" i="21" s="1"/>
  <c r="K13" i="21"/>
  <c r="J13" i="21"/>
  <c r="J13" i="22" s="1"/>
  <c r="J13" i="20" s="1"/>
  <c r="J13" i="19" s="1"/>
  <c r="J13" i="18" s="1"/>
  <c r="J13" i="17" s="1"/>
  <c r="P10" i="21"/>
  <c r="J10" i="21"/>
  <c r="P9" i="21"/>
  <c r="O9" i="21"/>
  <c r="P8" i="21"/>
  <c r="O8" i="21"/>
  <c r="J7" i="21"/>
  <c r="J7" i="22" s="1"/>
  <c r="N6" i="21"/>
  <c r="H4" i="21"/>
  <c r="J57" i="22"/>
  <c r="C53" i="22"/>
  <c r="C52" i="22"/>
  <c r="C51" i="22"/>
  <c r="I50" i="22"/>
  <c r="C50" i="22"/>
  <c r="C49" i="22"/>
  <c r="C48" i="22"/>
  <c r="C47" i="22"/>
  <c r="C46" i="22"/>
  <c r="C45" i="22"/>
  <c r="I44" i="22"/>
  <c r="C44" i="22"/>
  <c r="I43" i="22"/>
  <c r="I45" i="22" s="1"/>
  <c r="C43" i="22"/>
  <c r="G42" i="22"/>
  <c r="F42" i="22"/>
  <c r="C42" i="22"/>
  <c r="C41" i="22"/>
  <c r="G40" i="22"/>
  <c r="C40" i="22"/>
  <c r="G39" i="22"/>
  <c r="C39" i="22"/>
  <c r="J38" i="22"/>
  <c r="I38" i="22"/>
  <c r="G38" i="22"/>
  <c r="C38" i="22"/>
  <c r="I37" i="22"/>
  <c r="E35" i="22"/>
  <c r="D35" i="22"/>
  <c r="C35" i="22"/>
  <c r="L34" i="22"/>
  <c r="F34" i="22"/>
  <c r="E34" i="22"/>
  <c r="D34" i="22"/>
  <c r="C34" i="22"/>
  <c r="E33" i="22"/>
  <c r="D33" i="22"/>
  <c r="C33" i="22"/>
  <c r="J32" i="22"/>
  <c r="F32" i="22"/>
  <c r="E32" i="22"/>
  <c r="D32" i="22"/>
  <c r="C32" i="22"/>
  <c r="M31" i="22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J31" i="22"/>
  <c r="J31" i="20" s="1"/>
  <c r="M30" i="22"/>
  <c r="M28" i="22"/>
  <c r="M27" i="22"/>
  <c r="M27" i="20" s="1"/>
  <c r="J27" i="22"/>
  <c r="J27" i="20" s="1"/>
  <c r="E24" i="22"/>
  <c r="D24" i="22"/>
  <c r="C24" i="22"/>
  <c r="F23" i="22"/>
  <c r="E23" i="22"/>
  <c r="D23" i="22"/>
  <c r="C23" i="22"/>
  <c r="J22" i="22"/>
  <c r="M18" i="22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F18" i="22"/>
  <c r="M15" i="22"/>
  <c r="J15" i="22"/>
  <c r="E15" i="22"/>
  <c r="D15" i="22"/>
  <c r="C15" i="22"/>
  <c r="K14" i="22"/>
  <c r="K34" i="22" s="1"/>
  <c r="I40" i="22" s="1"/>
  <c r="J14" i="22"/>
  <c r="F14" i="22"/>
  <c r="E14" i="22"/>
  <c r="D14" i="22"/>
  <c r="C14" i="22"/>
  <c r="P11" i="22"/>
  <c r="O10" i="22"/>
  <c r="J10" i="22"/>
  <c r="P9" i="22"/>
  <c r="O9" i="22"/>
  <c r="M9" i="22"/>
  <c r="J9" i="22"/>
  <c r="J9" i="20" s="1"/>
  <c r="O8" i="22"/>
  <c r="N6" i="22"/>
  <c r="H4" i="22"/>
  <c r="J57" i="20"/>
  <c r="C53" i="20"/>
  <c r="C52" i="20"/>
  <c r="I51" i="20"/>
  <c r="C51" i="20"/>
  <c r="I50" i="20"/>
  <c r="C50" i="20"/>
  <c r="C49" i="20"/>
  <c r="C48" i="20"/>
  <c r="C47" i="20"/>
  <c r="C46" i="20"/>
  <c r="C45" i="20"/>
  <c r="C44" i="20"/>
  <c r="I43" i="20"/>
  <c r="C43" i="20"/>
  <c r="G42" i="20"/>
  <c r="F42" i="20"/>
  <c r="C42" i="20"/>
  <c r="C41" i="20"/>
  <c r="N40" i="20"/>
  <c r="C40" i="20"/>
  <c r="N39" i="20"/>
  <c r="C39" i="20"/>
  <c r="J38" i="20"/>
  <c r="J38" i="19" s="1"/>
  <c r="J38" i="18" s="1"/>
  <c r="I38" i="20"/>
  <c r="C38" i="20"/>
  <c r="I37" i="20"/>
  <c r="E35" i="20"/>
  <c r="D35" i="20"/>
  <c r="C35" i="20"/>
  <c r="L34" i="20"/>
  <c r="F34" i="20"/>
  <c r="E34" i="20"/>
  <c r="D34" i="20"/>
  <c r="C34" i="20"/>
  <c r="P33" i="20"/>
  <c r="E33" i="20"/>
  <c r="D33" i="20"/>
  <c r="C33" i="20"/>
  <c r="P32" i="20"/>
  <c r="O32" i="20"/>
  <c r="M32" i="20"/>
  <c r="M32" i="19" s="1"/>
  <c r="J32" i="20"/>
  <c r="J32" i="19" s="1"/>
  <c r="J32" i="18" s="1"/>
  <c r="J32" i="17" s="1"/>
  <c r="F32" i="20"/>
  <c r="E32" i="20"/>
  <c r="D32" i="20"/>
  <c r="C32" i="20"/>
  <c r="R30" i="20"/>
  <c r="Q30" i="20"/>
  <c r="M30" i="20"/>
  <c r="R29" i="20"/>
  <c r="Q29" i="20"/>
  <c r="P29" i="20"/>
  <c r="M28" i="20"/>
  <c r="M28" i="19" s="1"/>
  <c r="M28" i="18" s="1"/>
  <c r="J25" i="20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25" i="4" s="1"/>
  <c r="J25" i="43" s="1"/>
  <c r="P24" i="20"/>
  <c r="O24" i="20"/>
  <c r="E24" i="20"/>
  <c r="D24" i="20"/>
  <c r="C24" i="20"/>
  <c r="M23" i="20"/>
  <c r="M23" i="19" s="1"/>
  <c r="M23" i="18" s="1"/>
  <c r="M23" i="17" s="1"/>
  <c r="F23" i="20"/>
  <c r="E23" i="20"/>
  <c r="D23" i="20"/>
  <c r="C23" i="20"/>
  <c r="O22" i="20"/>
  <c r="J22" i="20"/>
  <c r="J22" i="19" s="1"/>
  <c r="J22" i="18" s="1"/>
  <c r="J22" i="17" s="1"/>
  <c r="J22" i="16" s="1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2" i="4" s="1"/>
  <c r="J22" i="43" s="1"/>
  <c r="M21" i="20"/>
  <c r="M21" i="19" s="1"/>
  <c r="M21" i="18" s="1"/>
  <c r="M21" i="17" s="1"/>
  <c r="R19" i="20"/>
  <c r="Q19" i="20"/>
  <c r="R18" i="20"/>
  <c r="Q18" i="20"/>
  <c r="P18" i="20"/>
  <c r="R17" i="20"/>
  <c r="Q17" i="20"/>
  <c r="O17" i="20"/>
  <c r="M17" i="20"/>
  <c r="K17" i="20"/>
  <c r="R16" i="20"/>
  <c r="Q16" i="20"/>
  <c r="O16" i="20"/>
  <c r="K16" i="20"/>
  <c r="M15" i="20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K15" i="20"/>
  <c r="K34" i="20" s="1"/>
  <c r="I40" i="20" s="1"/>
  <c r="E15" i="20"/>
  <c r="D15" i="20"/>
  <c r="C15" i="20"/>
  <c r="K14" i="20"/>
  <c r="J14" i="20"/>
  <c r="F14" i="20"/>
  <c r="E14" i="20"/>
  <c r="D14" i="20"/>
  <c r="C14" i="20"/>
  <c r="R12" i="20"/>
  <c r="Q12" i="20"/>
  <c r="J12" i="20"/>
  <c r="J12" i="19" s="1"/>
  <c r="J12" i="18" s="1"/>
  <c r="J12" i="17" s="1"/>
  <c r="J12" i="16" s="1"/>
  <c r="J12" i="15" s="1"/>
  <c r="J12" i="14" s="1"/>
  <c r="J12" i="13" s="1"/>
  <c r="J12" i="12" s="1"/>
  <c r="J12" i="11" s="1"/>
  <c r="J12" i="10" s="1"/>
  <c r="J12" i="9" s="1"/>
  <c r="J12" i="8" s="1"/>
  <c r="J12" i="7" s="1"/>
  <c r="J12" i="6" s="1"/>
  <c r="J12" i="37" s="1"/>
  <c r="J12" i="4" s="1"/>
  <c r="J12" i="43" s="1"/>
  <c r="R11" i="20"/>
  <c r="Q11" i="20"/>
  <c r="P11" i="20"/>
  <c r="R10" i="20"/>
  <c r="Q10" i="20"/>
  <c r="P10" i="20"/>
  <c r="O10" i="20"/>
  <c r="J10" i="20"/>
  <c r="R9" i="20"/>
  <c r="Q9" i="20"/>
  <c r="P9" i="20"/>
  <c r="O9" i="20"/>
  <c r="M9" i="20"/>
  <c r="M9" i="19" s="1"/>
  <c r="R8" i="20"/>
  <c r="Q8" i="20"/>
  <c r="O8" i="20"/>
  <c r="J7" i="20"/>
  <c r="N6" i="20"/>
  <c r="H4" i="20"/>
  <c r="J57" i="19"/>
  <c r="C53" i="19"/>
  <c r="C52" i="19"/>
  <c r="C51" i="19"/>
  <c r="I50" i="19"/>
  <c r="C50" i="19"/>
  <c r="C49" i="19"/>
  <c r="C48" i="19"/>
  <c r="C47" i="19"/>
  <c r="C46" i="19"/>
  <c r="C45" i="19"/>
  <c r="C44" i="19"/>
  <c r="I43" i="19"/>
  <c r="C43" i="19"/>
  <c r="G42" i="19"/>
  <c r="F42" i="19"/>
  <c r="C42" i="19"/>
  <c r="C41" i="19"/>
  <c r="G40" i="19"/>
  <c r="C40" i="19"/>
  <c r="G39" i="19"/>
  <c r="C39" i="19"/>
  <c r="N38" i="19"/>
  <c r="I38" i="19"/>
  <c r="C38" i="19"/>
  <c r="N37" i="19"/>
  <c r="I37" i="19"/>
  <c r="E35" i="19"/>
  <c r="D35" i="19"/>
  <c r="C35" i="19"/>
  <c r="L34" i="19"/>
  <c r="F34" i="19"/>
  <c r="E34" i="19"/>
  <c r="D34" i="19"/>
  <c r="C34" i="19"/>
  <c r="E33" i="19"/>
  <c r="D33" i="19"/>
  <c r="C33" i="19"/>
  <c r="F32" i="19"/>
  <c r="E32" i="19"/>
  <c r="D32" i="19"/>
  <c r="C32" i="19"/>
  <c r="J31" i="19"/>
  <c r="J31" i="18" s="1"/>
  <c r="J31" i="17" s="1"/>
  <c r="J31" i="16" s="1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M30" i="19"/>
  <c r="M27" i="19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J27" i="19"/>
  <c r="E24" i="19"/>
  <c r="D24" i="19"/>
  <c r="C24" i="19"/>
  <c r="F23" i="19"/>
  <c r="E23" i="19"/>
  <c r="D23" i="19"/>
  <c r="C23" i="19"/>
  <c r="K17" i="19"/>
  <c r="J17" i="19"/>
  <c r="K16" i="19"/>
  <c r="J16" i="19"/>
  <c r="P15" i="19"/>
  <c r="O15" i="19"/>
  <c r="J15" i="19"/>
  <c r="E15" i="19"/>
  <c r="D15" i="19"/>
  <c r="C15" i="19"/>
  <c r="J14" i="19"/>
  <c r="F14" i="19"/>
  <c r="E14" i="19"/>
  <c r="D14" i="19"/>
  <c r="C14" i="19"/>
  <c r="R11" i="19"/>
  <c r="Q11" i="19"/>
  <c r="R10" i="19"/>
  <c r="Q10" i="19"/>
  <c r="P10" i="19"/>
  <c r="J10" i="19"/>
  <c r="R9" i="19"/>
  <c r="Q9" i="19"/>
  <c r="P9" i="19"/>
  <c r="O9" i="19"/>
  <c r="J9" i="19"/>
  <c r="R8" i="19"/>
  <c r="Q8" i="19"/>
  <c r="P8" i="19"/>
  <c r="O8" i="19"/>
  <c r="J7" i="19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N6" i="19"/>
  <c r="H4" i="19"/>
  <c r="J57" i="18"/>
  <c r="C53" i="18"/>
  <c r="C52" i="18"/>
  <c r="C51" i="18"/>
  <c r="I50" i="18"/>
  <c r="C50" i="18"/>
  <c r="C49" i="18"/>
  <c r="C48" i="18"/>
  <c r="C47" i="18"/>
  <c r="C46" i="18"/>
  <c r="C45" i="18"/>
  <c r="C44" i="18"/>
  <c r="I43" i="18"/>
  <c r="I44" i="18" s="1"/>
  <c r="C43" i="18"/>
  <c r="G42" i="18"/>
  <c r="F42" i="18"/>
  <c r="C42" i="18"/>
  <c r="C41" i="18"/>
  <c r="C40" i="18"/>
  <c r="N39" i="18"/>
  <c r="C39" i="18"/>
  <c r="N38" i="18"/>
  <c r="I38" i="18"/>
  <c r="C38" i="18"/>
  <c r="I37" i="18"/>
  <c r="P36" i="18"/>
  <c r="E35" i="18"/>
  <c r="D35" i="18"/>
  <c r="C35" i="18"/>
  <c r="P34" i="18"/>
  <c r="L34" i="18"/>
  <c r="F34" i="18"/>
  <c r="E34" i="18"/>
  <c r="D34" i="18"/>
  <c r="C34" i="18"/>
  <c r="E33" i="18"/>
  <c r="D33" i="18"/>
  <c r="C33" i="18"/>
  <c r="M32" i="18"/>
  <c r="M32" i="17" s="1"/>
  <c r="F32" i="18"/>
  <c r="E32" i="18"/>
  <c r="D32" i="18"/>
  <c r="C32" i="18"/>
  <c r="M30" i="18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R29" i="18"/>
  <c r="Q29" i="18"/>
  <c r="R28" i="18"/>
  <c r="Q28" i="18"/>
  <c r="P28" i="18"/>
  <c r="R27" i="18"/>
  <c r="Q27" i="18"/>
  <c r="P27" i="18"/>
  <c r="O27" i="18"/>
  <c r="J27" i="18"/>
  <c r="J27" i="17" s="1"/>
  <c r="R26" i="18"/>
  <c r="Q26" i="18"/>
  <c r="P26" i="18"/>
  <c r="O26" i="18"/>
  <c r="M25" i="18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E24" i="18"/>
  <c r="D24" i="18"/>
  <c r="C24" i="18"/>
  <c r="F23" i="18"/>
  <c r="E23" i="18"/>
  <c r="D23" i="18"/>
  <c r="C23" i="18"/>
  <c r="M20" i="18"/>
  <c r="R19" i="18"/>
  <c r="Q19" i="18"/>
  <c r="R18" i="18"/>
  <c r="Q18" i="18"/>
  <c r="P18" i="18"/>
  <c r="K18" i="18"/>
  <c r="C18" i="18"/>
  <c r="R17" i="18"/>
  <c r="Q17" i="18"/>
  <c r="P17" i="18"/>
  <c r="O17" i="18"/>
  <c r="J17" i="18"/>
  <c r="R16" i="18"/>
  <c r="Q16" i="18"/>
  <c r="P16" i="18"/>
  <c r="O16" i="18"/>
  <c r="K16" i="18"/>
  <c r="J16" i="18"/>
  <c r="J16" i="17" s="1"/>
  <c r="J16" i="16" s="1"/>
  <c r="J16" i="15" s="1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6" i="4" s="1"/>
  <c r="J16" i="43" s="1"/>
  <c r="J15" i="18"/>
  <c r="E15" i="18"/>
  <c r="D15" i="18"/>
  <c r="C15" i="18"/>
  <c r="J14" i="18"/>
  <c r="F14" i="18"/>
  <c r="E14" i="18"/>
  <c r="D14" i="18"/>
  <c r="C14" i="18"/>
  <c r="R11" i="18"/>
  <c r="Q11" i="18"/>
  <c r="R10" i="18"/>
  <c r="Q10" i="18"/>
  <c r="P10" i="18"/>
  <c r="J10" i="18"/>
  <c r="J10" i="17" s="1"/>
  <c r="R9" i="18"/>
  <c r="Q9" i="18"/>
  <c r="P9" i="18"/>
  <c r="O9" i="18"/>
  <c r="K9" i="18"/>
  <c r="M9" i="18" s="1"/>
  <c r="J9" i="18"/>
  <c r="J9" i="17" s="1"/>
  <c r="J9" i="16" s="1"/>
  <c r="J9" i="15" s="1"/>
  <c r="J9" i="14" s="1"/>
  <c r="J9" i="13" s="1"/>
  <c r="J9" i="12" s="1"/>
  <c r="J9" i="11" s="1"/>
  <c r="J9" i="10" s="1"/>
  <c r="J9" i="9" s="1"/>
  <c r="J9" i="8" s="1"/>
  <c r="J9" i="7" s="1"/>
  <c r="J9" i="6" s="1"/>
  <c r="J9" i="37" s="1"/>
  <c r="J9" i="4" s="1"/>
  <c r="J9" i="43" s="1"/>
  <c r="R8" i="18"/>
  <c r="Q8" i="18"/>
  <c r="O8" i="18"/>
  <c r="N6" i="18"/>
  <c r="H4" i="18"/>
  <c r="J57" i="17"/>
  <c r="C53" i="17"/>
  <c r="C52" i="17"/>
  <c r="C51" i="17"/>
  <c r="I50" i="17"/>
  <c r="C50" i="17"/>
  <c r="C49" i="17"/>
  <c r="C48" i="17"/>
  <c r="C47" i="17"/>
  <c r="C46" i="17"/>
  <c r="C45" i="17"/>
  <c r="C44" i="17"/>
  <c r="I43" i="17"/>
  <c r="I44" i="17" s="1"/>
  <c r="C43" i="17"/>
  <c r="G42" i="17"/>
  <c r="F42" i="17"/>
  <c r="C42" i="17"/>
  <c r="C41" i="17"/>
  <c r="C40" i="17"/>
  <c r="C39" i="17"/>
  <c r="J38" i="17"/>
  <c r="I38" i="17"/>
  <c r="C38" i="17"/>
  <c r="I37" i="17"/>
  <c r="E35" i="17"/>
  <c r="D35" i="17"/>
  <c r="C35" i="17"/>
  <c r="L34" i="17"/>
  <c r="F34" i="17"/>
  <c r="E34" i="17"/>
  <c r="D34" i="17"/>
  <c r="C34" i="17"/>
  <c r="E33" i="17"/>
  <c r="D33" i="17"/>
  <c r="C33" i="17"/>
  <c r="F32" i="17"/>
  <c r="E32" i="17"/>
  <c r="D32" i="17"/>
  <c r="C32" i="17"/>
  <c r="M28" i="17"/>
  <c r="M28" i="16" s="1"/>
  <c r="D25" i="17"/>
  <c r="E24" i="17"/>
  <c r="D24" i="17"/>
  <c r="C24" i="17"/>
  <c r="F23" i="17"/>
  <c r="E23" i="17"/>
  <c r="D23" i="17"/>
  <c r="C23" i="17"/>
  <c r="M20" i="17"/>
  <c r="M20" i="16" s="1"/>
  <c r="M20" i="15" s="1"/>
  <c r="M20" i="14" s="1"/>
  <c r="M20" i="13" s="1"/>
  <c r="M20" i="12" s="1"/>
  <c r="M20" i="11" s="1"/>
  <c r="M20" i="10" s="1"/>
  <c r="M20" i="9" s="1"/>
  <c r="M20" i="8" s="1"/>
  <c r="M20" i="7" s="1"/>
  <c r="M20" i="6" s="1"/>
  <c r="M20" i="37" s="1"/>
  <c r="M20" i="4" s="1"/>
  <c r="M20" i="43" s="1"/>
  <c r="J18" i="17"/>
  <c r="J17" i="17"/>
  <c r="J15" i="17"/>
  <c r="E15" i="17"/>
  <c r="D15" i="17"/>
  <c r="C15" i="17"/>
  <c r="J14" i="17"/>
  <c r="J14" i="16" s="1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J14" i="4" s="1"/>
  <c r="J14" i="43" s="1"/>
  <c r="F14" i="17"/>
  <c r="E14" i="17"/>
  <c r="D14" i="17"/>
  <c r="C14" i="17"/>
  <c r="O10" i="17"/>
  <c r="O9" i="17"/>
  <c r="K9" i="17"/>
  <c r="F9" i="17"/>
  <c r="O8" i="17"/>
  <c r="N6" i="17"/>
  <c r="H4" i="17"/>
  <c r="J57" i="16"/>
  <c r="C53" i="16"/>
  <c r="C52" i="16"/>
  <c r="C51" i="16"/>
  <c r="I50" i="16"/>
  <c r="C50" i="16"/>
  <c r="C49" i="16"/>
  <c r="C48" i="16"/>
  <c r="C47" i="16"/>
  <c r="C46" i="16"/>
  <c r="C45" i="16"/>
  <c r="C44" i="16"/>
  <c r="I43" i="16"/>
  <c r="I44" i="16" s="1"/>
  <c r="C43" i="16"/>
  <c r="G42" i="16"/>
  <c r="F42" i="16"/>
  <c r="C42" i="16"/>
  <c r="C41" i="16"/>
  <c r="G40" i="16"/>
  <c r="C40" i="16"/>
  <c r="G39" i="16"/>
  <c r="C39" i="16"/>
  <c r="J38" i="16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I38" i="16"/>
  <c r="G38" i="16"/>
  <c r="C38" i="16"/>
  <c r="I37" i="16"/>
  <c r="E35" i="16"/>
  <c r="D35" i="16"/>
  <c r="C35" i="16"/>
  <c r="L34" i="16"/>
  <c r="F34" i="16"/>
  <c r="E34" i="16"/>
  <c r="D34" i="16"/>
  <c r="C34" i="16"/>
  <c r="E33" i="16"/>
  <c r="D33" i="16"/>
  <c r="C33" i="16"/>
  <c r="M32" i="16"/>
  <c r="J32" i="16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F32" i="16"/>
  <c r="E32" i="16"/>
  <c r="D32" i="16"/>
  <c r="C32" i="16"/>
  <c r="J30" i="16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M29" i="16"/>
  <c r="J27" i="16"/>
  <c r="M26" i="16"/>
  <c r="J24" i="16"/>
  <c r="E24" i="16"/>
  <c r="D24" i="16"/>
  <c r="C24" i="16"/>
  <c r="M23" i="16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F23" i="16"/>
  <c r="E23" i="16"/>
  <c r="D23" i="16"/>
  <c r="C23" i="16"/>
  <c r="M21" i="16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19" i="16"/>
  <c r="J18" i="16"/>
  <c r="J17" i="16"/>
  <c r="J15" i="16"/>
  <c r="J15" i="15" s="1"/>
  <c r="J15" i="14" s="1"/>
  <c r="J15" i="13" s="1"/>
  <c r="J15" i="12" s="1"/>
  <c r="J15" i="11" s="1"/>
  <c r="J15" i="10" s="1"/>
  <c r="J15" i="9" s="1"/>
  <c r="J15" i="8" s="1"/>
  <c r="J15" i="7" s="1"/>
  <c r="J15" i="6" s="1"/>
  <c r="J15" i="37" s="1"/>
  <c r="J15" i="4" s="1"/>
  <c r="J15" i="43" s="1"/>
  <c r="E15" i="16"/>
  <c r="D15" i="16"/>
  <c r="C15" i="16"/>
  <c r="F14" i="16"/>
  <c r="E14" i="16"/>
  <c r="D14" i="16"/>
  <c r="C14" i="16"/>
  <c r="J13" i="16"/>
  <c r="J13" i="15" s="1"/>
  <c r="J13" i="14" s="1"/>
  <c r="J13" i="13" s="1"/>
  <c r="J13" i="12" s="1"/>
  <c r="J13" i="11" s="1"/>
  <c r="J13" i="10" s="1"/>
  <c r="J13" i="9" s="1"/>
  <c r="J13" i="8" s="1"/>
  <c r="J13" i="7" s="1"/>
  <c r="J13" i="6" s="1"/>
  <c r="J13" i="37" s="1"/>
  <c r="J13" i="4" s="1"/>
  <c r="J13" i="43" s="1"/>
  <c r="J11" i="16"/>
  <c r="J10" i="16"/>
  <c r="K9" i="16"/>
  <c r="O8" i="16"/>
  <c r="J8" i="16"/>
  <c r="N6" i="16"/>
  <c r="H4" i="16"/>
  <c r="J57" i="15"/>
  <c r="C53" i="15"/>
  <c r="C52" i="15"/>
  <c r="C51" i="15"/>
  <c r="I50" i="15"/>
  <c r="C50" i="15"/>
  <c r="C49" i="15"/>
  <c r="C48" i="15"/>
  <c r="C47" i="15"/>
  <c r="C46" i="15"/>
  <c r="C45" i="15"/>
  <c r="C44" i="15"/>
  <c r="I43" i="15"/>
  <c r="I45" i="15" s="1"/>
  <c r="C43" i="15"/>
  <c r="G42" i="15"/>
  <c r="F42" i="15"/>
  <c r="C42" i="15"/>
  <c r="C41" i="15"/>
  <c r="I40" i="15"/>
  <c r="I51" i="15" s="1"/>
  <c r="G40" i="15"/>
  <c r="C40" i="15"/>
  <c r="G39" i="15"/>
  <c r="C39" i="15"/>
  <c r="I38" i="15"/>
  <c r="G38" i="15"/>
  <c r="C38" i="15"/>
  <c r="I37" i="15"/>
  <c r="E35" i="15"/>
  <c r="D35" i="15"/>
  <c r="C35" i="15"/>
  <c r="L34" i="15"/>
  <c r="K34" i="15"/>
  <c r="F34" i="15"/>
  <c r="E34" i="15"/>
  <c r="D34" i="15"/>
  <c r="C34" i="15"/>
  <c r="E33" i="15"/>
  <c r="D33" i="15"/>
  <c r="C33" i="15"/>
  <c r="M32" i="15"/>
  <c r="F32" i="15"/>
  <c r="E32" i="15"/>
  <c r="D32" i="15"/>
  <c r="C32" i="15"/>
  <c r="M29" i="15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28" i="15"/>
  <c r="J27" i="15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M26" i="15"/>
  <c r="J24" i="15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J24" i="4" s="1"/>
  <c r="J24" i="43" s="1"/>
  <c r="E24" i="15"/>
  <c r="D24" i="15"/>
  <c r="C24" i="15"/>
  <c r="F23" i="15"/>
  <c r="E23" i="15"/>
  <c r="D23" i="15"/>
  <c r="C23" i="15"/>
  <c r="M19" i="15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J18" i="15"/>
  <c r="J17" i="15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J17" i="4" s="1"/>
  <c r="J17" i="43" s="1"/>
  <c r="E15" i="15"/>
  <c r="D15" i="15"/>
  <c r="C15" i="15"/>
  <c r="F14" i="15"/>
  <c r="E14" i="15"/>
  <c r="D14" i="15"/>
  <c r="C14" i="15"/>
  <c r="J11" i="15"/>
  <c r="J10" i="15"/>
  <c r="J10" i="14" s="1"/>
  <c r="J10" i="13" s="1"/>
  <c r="J10" i="12" s="1"/>
  <c r="J10" i="11" s="1"/>
  <c r="J10" i="10" s="1"/>
  <c r="J10" i="9" s="1"/>
  <c r="J10" i="8" s="1"/>
  <c r="J10" i="7" s="1"/>
  <c r="J10" i="6" s="1"/>
  <c r="J10" i="37" s="1"/>
  <c r="J10" i="4" s="1"/>
  <c r="J10" i="43" s="1"/>
  <c r="K9" i="15"/>
  <c r="O8" i="15"/>
  <c r="J8" i="15"/>
  <c r="N6" i="15"/>
  <c r="H4" i="15"/>
  <c r="J57" i="14"/>
  <c r="J57" i="13" s="1"/>
  <c r="C53" i="14"/>
  <c r="C52" i="14"/>
  <c r="C51" i="14"/>
  <c r="I50" i="14"/>
  <c r="C50" i="14"/>
  <c r="C49" i="14"/>
  <c r="C48" i="14"/>
  <c r="C47" i="14"/>
  <c r="C46" i="14"/>
  <c r="C45" i="14"/>
  <c r="C44" i="14"/>
  <c r="I43" i="14"/>
  <c r="C43" i="14"/>
  <c r="G42" i="14"/>
  <c r="F42" i="14"/>
  <c r="C42" i="14"/>
  <c r="C41" i="14"/>
  <c r="G40" i="14"/>
  <c r="C40" i="14"/>
  <c r="G39" i="14"/>
  <c r="C39" i="14"/>
  <c r="I38" i="14"/>
  <c r="G38" i="14"/>
  <c r="C38" i="14"/>
  <c r="I37" i="14"/>
  <c r="L34" i="14"/>
  <c r="F34" i="14"/>
  <c r="E34" i="14"/>
  <c r="D34" i="14"/>
  <c r="M32" i="14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F32" i="14"/>
  <c r="E32" i="14"/>
  <c r="D32" i="14"/>
  <c r="C32" i="14"/>
  <c r="C33" i="14" s="1"/>
  <c r="M28" i="14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6" i="14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F23" i="14"/>
  <c r="E23" i="14"/>
  <c r="D23" i="14"/>
  <c r="C23" i="14"/>
  <c r="C15" i="14" s="1"/>
  <c r="J18" i="14"/>
  <c r="J18" i="13" s="1"/>
  <c r="J18" i="12" s="1"/>
  <c r="J18" i="11" s="1"/>
  <c r="J18" i="10" s="1"/>
  <c r="J18" i="9" s="1"/>
  <c r="J18" i="8" s="1"/>
  <c r="J18" i="7" s="1"/>
  <c r="J18" i="6" s="1"/>
  <c r="J18" i="37" s="1"/>
  <c r="J18" i="4" s="1"/>
  <c r="J18" i="43" s="1"/>
  <c r="F14" i="14"/>
  <c r="E14" i="14"/>
  <c r="D14" i="14"/>
  <c r="J11" i="14"/>
  <c r="J11" i="13" s="1"/>
  <c r="J11" i="12" s="1"/>
  <c r="J11" i="11" s="1"/>
  <c r="J11" i="10" s="1"/>
  <c r="J11" i="9" s="1"/>
  <c r="J11" i="8" s="1"/>
  <c r="J11" i="7" s="1"/>
  <c r="J11" i="6" s="1"/>
  <c r="J11" i="37" s="1"/>
  <c r="J11" i="4" s="1"/>
  <c r="J11" i="43" s="1"/>
  <c r="O10" i="14"/>
  <c r="O9" i="14"/>
  <c r="O8" i="14"/>
  <c r="J8" i="14"/>
  <c r="J8" i="13" s="1"/>
  <c r="J8" i="12" s="1"/>
  <c r="J8" i="11" s="1"/>
  <c r="J8" i="10" s="1"/>
  <c r="J8" i="9" s="1"/>
  <c r="J8" i="8" s="1"/>
  <c r="J8" i="7" s="1"/>
  <c r="J8" i="6" s="1"/>
  <c r="J8" i="37" s="1"/>
  <c r="J8" i="4" s="1"/>
  <c r="J8" i="43" s="1"/>
  <c r="K34" i="14"/>
  <c r="N6" i="14"/>
  <c r="H4" i="14"/>
  <c r="M39" i="54"/>
  <c r="D39" i="54"/>
  <c r="M38" i="54"/>
  <c r="D38" i="54"/>
  <c r="M37" i="54"/>
  <c r="D37" i="54"/>
  <c r="M36" i="54"/>
  <c r="D36" i="54"/>
  <c r="M35" i="54"/>
  <c r="D35" i="54"/>
  <c r="M34" i="54"/>
  <c r="D34" i="54"/>
  <c r="M33" i="54"/>
  <c r="D33" i="54"/>
  <c r="M32" i="54"/>
  <c r="D32" i="54"/>
  <c r="M31" i="54"/>
  <c r="D31" i="54"/>
  <c r="M30" i="54"/>
  <c r="D30" i="54"/>
  <c r="M29" i="54"/>
  <c r="D29" i="54"/>
  <c r="M28" i="54"/>
  <c r="D28" i="54"/>
  <c r="M27" i="54"/>
  <c r="D27" i="54"/>
  <c r="M26" i="54"/>
  <c r="D26" i="54"/>
  <c r="M25" i="54"/>
  <c r="D25" i="54"/>
  <c r="M24" i="54"/>
  <c r="D24" i="54"/>
  <c r="M23" i="54"/>
  <c r="D23" i="54"/>
  <c r="M22" i="54"/>
  <c r="D22" i="54"/>
  <c r="M21" i="54"/>
  <c r="D21" i="54"/>
  <c r="M20" i="54"/>
  <c r="D20" i="54"/>
  <c r="M19" i="54"/>
  <c r="D19" i="54"/>
  <c r="M18" i="54"/>
  <c r="D18" i="54"/>
  <c r="M17" i="54"/>
  <c r="D17" i="54"/>
  <c r="M16" i="54"/>
  <c r="D16" i="54"/>
  <c r="M11" i="54"/>
  <c r="D11" i="54"/>
  <c r="M10" i="54"/>
  <c r="D10" i="54"/>
  <c r="M9" i="54"/>
  <c r="D9" i="54"/>
  <c r="M8" i="54"/>
  <c r="D8" i="54"/>
  <c r="M7" i="54"/>
  <c r="D7" i="54"/>
  <c r="M6" i="54"/>
  <c r="D6" i="54"/>
  <c r="M5" i="54"/>
  <c r="D5" i="54"/>
  <c r="M4" i="54"/>
  <c r="D4" i="54"/>
  <c r="Q3" i="54"/>
  <c r="P3" i="54"/>
  <c r="O3" i="54"/>
  <c r="N3" i="54"/>
  <c r="M3" i="54"/>
  <c r="H3" i="54"/>
  <c r="G3" i="54"/>
  <c r="F3" i="54"/>
  <c r="E3" i="54"/>
  <c r="AF39" i="51"/>
  <c r="AE39" i="51"/>
  <c r="AD39" i="51"/>
  <c r="AC39" i="51"/>
  <c r="AB39" i="51"/>
  <c r="AA39" i="51"/>
  <c r="Z39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AG37" i="51"/>
  <c r="AG36" i="51"/>
  <c r="AG35" i="51"/>
  <c r="AG34" i="51"/>
  <c r="AG33" i="51"/>
  <c r="AG32" i="51"/>
  <c r="AG31" i="51"/>
  <c r="AG30" i="51"/>
  <c r="AG29" i="51"/>
  <c r="AG28" i="51"/>
  <c r="AG27" i="51"/>
  <c r="AG26" i="51"/>
  <c r="AG25" i="51"/>
  <c r="AG24" i="51"/>
  <c r="AG23" i="51"/>
  <c r="AG22" i="51"/>
  <c r="AG21" i="51"/>
  <c r="AG20" i="51"/>
  <c r="AG19" i="51"/>
  <c r="AG18" i="51"/>
  <c r="AG17" i="51"/>
  <c r="AG16" i="51"/>
  <c r="AG15" i="51"/>
  <c r="AG14" i="51"/>
  <c r="AG13" i="51"/>
  <c r="AG12" i="51"/>
  <c r="AG11" i="51"/>
  <c r="AG10" i="51"/>
  <c r="AG9" i="51"/>
  <c r="AG8" i="51"/>
  <c r="AG7" i="51"/>
  <c r="AG6" i="51"/>
  <c r="BS42" i="2"/>
  <c r="BO42" i="2"/>
  <c r="BK42" i="2"/>
  <c r="BC42" i="2"/>
  <c r="AY42" i="2"/>
  <c r="AU42" i="2"/>
  <c r="AQ42" i="2"/>
  <c r="AM42" i="2"/>
  <c r="AI42" i="2"/>
  <c r="AE42" i="2"/>
  <c r="AA42" i="2"/>
  <c r="K42" i="2"/>
  <c r="G42" i="2"/>
  <c r="BU39" i="2"/>
  <c r="BS39" i="2"/>
  <c r="BQ39" i="2"/>
  <c r="BM39" i="2"/>
  <c r="BG39" i="2"/>
  <c r="BA39" i="2"/>
  <c r="AS39" i="2"/>
  <c r="AQ39" i="2"/>
  <c r="AO39" i="2"/>
  <c r="AK39" i="2"/>
  <c r="AG39" i="2"/>
  <c r="AC39" i="2"/>
  <c r="W39" i="2"/>
  <c r="BW39" i="2" s="1"/>
  <c r="U39" i="2"/>
  <c r="Q39" i="2"/>
  <c r="I39" i="2"/>
  <c r="BW38" i="2"/>
  <c r="BP38" i="2" s="1"/>
  <c r="BU38" i="2"/>
  <c r="BS38" i="2"/>
  <c r="BQ38" i="2"/>
  <c r="BM38" i="2"/>
  <c r="BG38" i="2"/>
  <c r="BH38" i="2" s="1"/>
  <c r="BA38" i="2"/>
  <c r="AS38" i="2"/>
  <c r="AQ38" i="2"/>
  <c r="AO38" i="2"/>
  <c r="AK38" i="2"/>
  <c r="AG38" i="2"/>
  <c r="AC38" i="2"/>
  <c r="AB38" i="2"/>
  <c r="W38" i="2"/>
  <c r="U38" i="2"/>
  <c r="Q38" i="2"/>
  <c r="I38" i="2"/>
  <c r="BW37" i="2"/>
  <c r="BL37" i="2" s="1"/>
  <c r="BU37" i="2"/>
  <c r="BS37" i="2"/>
  <c r="BQ37" i="2"/>
  <c r="BM37" i="2"/>
  <c r="BG37" i="2"/>
  <c r="BH37" i="2" s="1"/>
  <c r="BA37" i="2"/>
  <c r="AS37" i="2"/>
  <c r="AQ37" i="2"/>
  <c r="AO37" i="2"/>
  <c r="AK37" i="2"/>
  <c r="AG37" i="2"/>
  <c r="AC37" i="2"/>
  <c r="AB37" i="2"/>
  <c r="W37" i="2"/>
  <c r="U37" i="2"/>
  <c r="Q37" i="2"/>
  <c r="I37" i="2"/>
  <c r="BU36" i="2"/>
  <c r="BS36" i="2"/>
  <c r="BQ36" i="2"/>
  <c r="BM36" i="2"/>
  <c r="BG36" i="2"/>
  <c r="BA36" i="2"/>
  <c r="AS36" i="2"/>
  <c r="AQ36" i="2"/>
  <c r="AO36" i="2"/>
  <c r="AK36" i="2"/>
  <c r="AG36" i="2"/>
  <c r="AC36" i="2"/>
  <c r="W36" i="2"/>
  <c r="BW36" i="2" s="1"/>
  <c r="U36" i="2"/>
  <c r="Q36" i="2"/>
  <c r="I36" i="2"/>
  <c r="BU35" i="2"/>
  <c r="BS35" i="2"/>
  <c r="BQ35" i="2"/>
  <c r="BM35" i="2"/>
  <c r="BG35" i="2"/>
  <c r="BA35" i="2"/>
  <c r="AS35" i="2"/>
  <c r="AQ35" i="2"/>
  <c r="AO35" i="2"/>
  <c r="AK35" i="2"/>
  <c r="AG35" i="2"/>
  <c r="AC35" i="2"/>
  <c r="W35" i="2"/>
  <c r="BW35" i="2" s="1"/>
  <c r="U35" i="2"/>
  <c r="Q35" i="2"/>
  <c r="I35" i="2"/>
  <c r="BW34" i="2"/>
  <c r="H34" i="2" s="1"/>
  <c r="BU34" i="2"/>
  <c r="BS34" i="2"/>
  <c r="BQ34" i="2"/>
  <c r="BM34" i="2"/>
  <c r="BG34" i="2"/>
  <c r="BA34" i="2"/>
  <c r="AS34" i="2"/>
  <c r="AQ34" i="2"/>
  <c r="AO34" i="2"/>
  <c r="AK34" i="2"/>
  <c r="AG34" i="2"/>
  <c r="AC34" i="2"/>
  <c r="W34" i="2"/>
  <c r="U34" i="2"/>
  <c r="Q34" i="2"/>
  <c r="I34" i="2"/>
  <c r="BU33" i="2"/>
  <c r="BS33" i="2"/>
  <c r="BQ33" i="2"/>
  <c r="BM33" i="2"/>
  <c r="BG33" i="2"/>
  <c r="BA33" i="2"/>
  <c r="AS33" i="2"/>
  <c r="AQ33" i="2"/>
  <c r="AO33" i="2"/>
  <c r="AK33" i="2"/>
  <c r="AG33" i="2"/>
  <c r="AC33" i="2"/>
  <c r="W33" i="2"/>
  <c r="BW33" i="2" s="1"/>
  <c r="U33" i="2"/>
  <c r="Q33" i="2"/>
  <c r="I33" i="2"/>
  <c r="BU32" i="2"/>
  <c r="BS32" i="2"/>
  <c r="BQ32" i="2"/>
  <c r="BM32" i="2"/>
  <c r="BG32" i="2"/>
  <c r="BA32" i="2"/>
  <c r="AS32" i="2"/>
  <c r="AQ32" i="2"/>
  <c r="AO32" i="2"/>
  <c r="AK32" i="2"/>
  <c r="AG32" i="2"/>
  <c r="AC32" i="2"/>
  <c r="W32" i="2"/>
  <c r="BW32" i="2" s="1"/>
  <c r="U32" i="2"/>
  <c r="Q32" i="2"/>
  <c r="I32" i="2"/>
  <c r="BU31" i="2"/>
  <c r="BS31" i="2"/>
  <c r="BQ31" i="2"/>
  <c r="BM31" i="2"/>
  <c r="BG31" i="2"/>
  <c r="BA31" i="2"/>
  <c r="AW31" i="2"/>
  <c r="AW32" i="2" s="1"/>
  <c r="AW33" i="2" s="1"/>
  <c r="AW34" i="2" s="1"/>
  <c r="AW35" i="2" s="1"/>
  <c r="AW36" i="2" s="1"/>
  <c r="AW37" i="2" s="1"/>
  <c r="AW38" i="2" s="1"/>
  <c r="AW39" i="2" s="1"/>
  <c r="AS31" i="2"/>
  <c r="AQ31" i="2"/>
  <c r="AO31" i="2"/>
  <c r="AK31" i="2"/>
  <c r="AG31" i="2"/>
  <c r="AC31" i="2"/>
  <c r="W31" i="2"/>
  <c r="U31" i="2"/>
  <c r="Q31" i="2"/>
  <c r="I31" i="2"/>
  <c r="BU30" i="2"/>
  <c r="BS30" i="2"/>
  <c r="BQ30" i="2"/>
  <c r="BM30" i="2"/>
  <c r="BG30" i="2"/>
  <c r="BA30" i="2"/>
  <c r="AW30" i="2"/>
  <c r="AS30" i="2"/>
  <c r="AQ30" i="2"/>
  <c r="AO30" i="2"/>
  <c r="AK30" i="2"/>
  <c r="AG30" i="2"/>
  <c r="AC30" i="2"/>
  <c r="W30" i="2"/>
  <c r="U30" i="2"/>
  <c r="Q30" i="2"/>
  <c r="I30" i="2"/>
  <c r="BU29" i="2"/>
  <c r="BS29" i="2"/>
  <c r="BQ29" i="2"/>
  <c r="BM29" i="2"/>
  <c r="BG29" i="2"/>
  <c r="BE29" i="2"/>
  <c r="BE30" i="2" s="1"/>
  <c r="BE31" i="2" s="1"/>
  <c r="BE32" i="2" s="1"/>
  <c r="BE33" i="2" s="1"/>
  <c r="BE34" i="2" s="1"/>
  <c r="BE35" i="2" s="1"/>
  <c r="BE36" i="2" s="1"/>
  <c r="BE37" i="2" s="1"/>
  <c r="BE38" i="2" s="1"/>
  <c r="BE39" i="2" s="1"/>
  <c r="BA29" i="2"/>
  <c r="AW29" i="2"/>
  <c r="AS29" i="2"/>
  <c r="AQ29" i="2"/>
  <c r="AO29" i="2"/>
  <c r="AK29" i="2"/>
  <c r="AG29" i="2"/>
  <c r="AC29" i="2"/>
  <c r="W29" i="2"/>
  <c r="U29" i="2"/>
  <c r="Q29" i="2"/>
  <c r="M29" i="2"/>
  <c r="M30" i="2" s="1"/>
  <c r="I29" i="2"/>
  <c r="BX28" i="2"/>
  <c r="BW28" i="2"/>
  <c r="BV28" i="2"/>
  <c r="BU28" i="2"/>
  <c r="BT28" i="2"/>
  <c r="BS28" i="2"/>
  <c r="BR28" i="2"/>
  <c r="BQ28" i="2"/>
  <c r="BP28" i="2"/>
  <c r="BN28" i="2"/>
  <c r="BM28" i="2"/>
  <c r="BL28" i="2"/>
  <c r="BJ28" i="2"/>
  <c r="BI28" i="2"/>
  <c r="BH28" i="2"/>
  <c r="BG28" i="2"/>
  <c r="BF28" i="2"/>
  <c r="BE28" i="2"/>
  <c r="BD28" i="2"/>
  <c r="BC28" i="2"/>
  <c r="BB28" i="2"/>
  <c r="BA28" i="2"/>
  <c r="AZ28" i="2"/>
  <c r="AX28" i="2"/>
  <c r="AW28" i="2"/>
  <c r="AV28" i="2"/>
  <c r="AU28" i="2"/>
  <c r="AT28" i="2"/>
  <c r="AS28" i="2"/>
  <c r="AR28" i="2"/>
  <c r="AQ28" i="2"/>
  <c r="AP28" i="2"/>
  <c r="AO28" i="2"/>
  <c r="AN28" i="2"/>
  <c r="AL28" i="2"/>
  <c r="AK28" i="2"/>
  <c r="AJ28" i="2"/>
  <c r="AH28" i="2"/>
  <c r="AG28" i="2"/>
  <c r="AF28" i="2"/>
  <c r="AD28" i="2"/>
  <c r="AC28" i="2"/>
  <c r="AB28" i="2"/>
  <c r="Z28" i="2"/>
  <c r="Y28" i="2"/>
  <c r="X28" i="2"/>
  <c r="W28" i="2"/>
  <c r="V28" i="2"/>
  <c r="U28" i="2"/>
  <c r="T28" i="2"/>
  <c r="R28" i="2"/>
  <c r="Q28" i="2"/>
  <c r="P28" i="2"/>
  <c r="N28" i="2"/>
  <c r="M28" i="2"/>
  <c r="L28" i="2"/>
  <c r="K28" i="2"/>
  <c r="J28" i="2"/>
  <c r="I28" i="2"/>
  <c r="H28" i="2"/>
  <c r="C28" i="2"/>
  <c r="BX27" i="2"/>
  <c r="BW27" i="2"/>
  <c r="BV27" i="2"/>
  <c r="BU27" i="2"/>
  <c r="BT27" i="2"/>
  <c r="BS27" i="2"/>
  <c r="BR27" i="2"/>
  <c r="BQ27" i="2"/>
  <c r="BP27" i="2"/>
  <c r="BN27" i="2"/>
  <c r="BM27" i="2"/>
  <c r="BL27" i="2"/>
  <c r="BJ27" i="2"/>
  <c r="BI27" i="2"/>
  <c r="BH27" i="2"/>
  <c r="BG27" i="2"/>
  <c r="BF27" i="2"/>
  <c r="BE27" i="2"/>
  <c r="BD27" i="2"/>
  <c r="BC27" i="2"/>
  <c r="BB27" i="2"/>
  <c r="BA27" i="2"/>
  <c r="AZ27" i="2"/>
  <c r="AX27" i="2"/>
  <c r="AW27" i="2"/>
  <c r="AV27" i="2"/>
  <c r="AU27" i="2"/>
  <c r="AT27" i="2"/>
  <c r="AS27" i="2"/>
  <c r="AR27" i="2"/>
  <c r="AQ27" i="2"/>
  <c r="AP27" i="2"/>
  <c r="AO27" i="2"/>
  <c r="AN27" i="2"/>
  <c r="AL27" i="2"/>
  <c r="AK27" i="2"/>
  <c r="AJ27" i="2"/>
  <c r="AH27" i="2"/>
  <c r="AG27" i="2"/>
  <c r="AF27" i="2"/>
  <c r="AD27" i="2"/>
  <c r="AC27" i="2"/>
  <c r="AB27" i="2"/>
  <c r="Z27" i="2"/>
  <c r="Y27" i="2"/>
  <c r="X27" i="2"/>
  <c r="W27" i="2"/>
  <c r="V27" i="2"/>
  <c r="U27" i="2"/>
  <c r="T27" i="2"/>
  <c r="R27" i="2"/>
  <c r="Q27" i="2"/>
  <c r="P27" i="2"/>
  <c r="N27" i="2"/>
  <c r="M27" i="2"/>
  <c r="L27" i="2"/>
  <c r="K27" i="2"/>
  <c r="J27" i="2"/>
  <c r="I27" i="2"/>
  <c r="H27" i="2"/>
  <c r="BX26" i="2"/>
  <c r="BW26" i="2"/>
  <c r="BV26" i="2"/>
  <c r="BU26" i="2"/>
  <c r="BT26" i="2"/>
  <c r="BS26" i="2"/>
  <c r="BR26" i="2"/>
  <c r="BQ26" i="2"/>
  <c r="BP26" i="2"/>
  <c r="BN26" i="2"/>
  <c r="BM26" i="2"/>
  <c r="BL26" i="2"/>
  <c r="BJ26" i="2"/>
  <c r="BI26" i="2"/>
  <c r="BH26" i="2"/>
  <c r="BG26" i="2"/>
  <c r="BF26" i="2"/>
  <c r="BE26" i="2"/>
  <c r="BD26" i="2"/>
  <c r="BC26" i="2"/>
  <c r="BB26" i="2"/>
  <c r="BA26" i="2"/>
  <c r="AZ26" i="2"/>
  <c r="AX26" i="2"/>
  <c r="AW26" i="2"/>
  <c r="AV26" i="2"/>
  <c r="AU26" i="2"/>
  <c r="AT26" i="2"/>
  <c r="AS26" i="2"/>
  <c r="AR26" i="2"/>
  <c r="AQ26" i="2"/>
  <c r="AP26" i="2"/>
  <c r="AO26" i="2"/>
  <c r="AN26" i="2"/>
  <c r="AL26" i="2"/>
  <c r="AK26" i="2"/>
  <c r="AJ26" i="2"/>
  <c r="AH26" i="2"/>
  <c r="AG26" i="2"/>
  <c r="AF26" i="2"/>
  <c r="AD26" i="2"/>
  <c r="AC26" i="2"/>
  <c r="AB26" i="2"/>
  <c r="Z26" i="2"/>
  <c r="Y26" i="2"/>
  <c r="X26" i="2"/>
  <c r="W26" i="2"/>
  <c r="V26" i="2"/>
  <c r="U26" i="2"/>
  <c r="T26" i="2"/>
  <c r="R26" i="2"/>
  <c r="Q26" i="2"/>
  <c r="P26" i="2"/>
  <c r="N26" i="2"/>
  <c r="M26" i="2"/>
  <c r="L26" i="2"/>
  <c r="K26" i="2"/>
  <c r="J26" i="2"/>
  <c r="I26" i="2"/>
  <c r="H26" i="2"/>
  <c r="BX25" i="2"/>
  <c r="BW25" i="2"/>
  <c r="BV25" i="2"/>
  <c r="BU25" i="2"/>
  <c r="BT25" i="2"/>
  <c r="BS25" i="2"/>
  <c r="BR25" i="2"/>
  <c r="BQ25" i="2"/>
  <c r="BP25" i="2"/>
  <c r="BN25" i="2"/>
  <c r="BM25" i="2"/>
  <c r="BL25" i="2"/>
  <c r="BJ25" i="2"/>
  <c r="BI25" i="2"/>
  <c r="BH25" i="2"/>
  <c r="BG25" i="2"/>
  <c r="BF25" i="2"/>
  <c r="BE25" i="2"/>
  <c r="BD25" i="2"/>
  <c r="BC25" i="2"/>
  <c r="BB25" i="2"/>
  <c r="BA25" i="2"/>
  <c r="AZ25" i="2"/>
  <c r="AX25" i="2"/>
  <c r="AW25" i="2"/>
  <c r="AV25" i="2"/>
  <c r="AU25" i="2"/>
  <c r="AT25" i="2"/>
  <c r="AS25" i="2"/>
  <c r="AR25" i="2"/>
  <c r="AQ25" i="2"/>
  <c r="AP25" i="2"/>
  <c r="AO25" i="2"/>
  <c r="AN25" i="2"/>
  <c r="AL25" i="2"/>
  <c r="AK25" i="2"/>
  <c r="AJ25" i="2"/>
  <c r="AH25" i="2"/>
  <c r="AG25" i="2"/>
  <c r="AF25" i="2"/>
  <c r="AD25" i="2"/>
  <c r="AC25" i="2"/>
  <c r="AB25" i="2"/>
  <c r="Z25" i="2"/>
  <c r="Y25" i="2"/>
  <c r="X25" i="2"/>
  <c r="W25" i="2"/>
  <c r="V25" i="2"/>
  <c r="U25" i="2"/>
  <c r="T25" i="2"/>
  <c r="R25" i="2"/>
  <c r="Q25" i="2"/>
  <c r="P25" i="2"/>
  <c r="N25" i="2"/>
  <c r="M25" i="2"/>
  <c r="L25" i="2"/>
  <c r="K25" i="2"/>
  <c r="J25" i="2"/>
  <c r="I25" i="2"/>
  <c r="H25" i="2"/>
  <c r="BX24" i="2"/>
  <c r="BW24" i="2"/>
  <c r="BV24" i="2"/>
  <c r="BU24" i="2"/>
  <c r="BT24" i="2"/>
  <c r="BS24" i="2"/>
  <c r="BR24" i="2"/>
  <c r="BQ24" i="2"/>
  <c r="BP24" i="2"/>
  <c r="BN24" i="2"/>
  <c r="BM24" i="2"/>
  <c r="BL24" i="2"/>
  <c r="BJ24" i="2"/>
  <c r="BI24" i="2"/>
  <c r="BH24" i="2"/>
  <c r="BG24" i="2"/>
  <c r="BF24" i="2"/>
  <c r="BE24" i="2"/>
  <c r="BD24" i="2"/>
  <c r="BC24" i="2"/>
  <c r="BB24" i="2"/>
  <c r="BA24" i="2"/>
  <c r="AZ24" i="2"/>
  <c r="AX24" i="2"/>
  <c r="AW24" i="2"/>
  <c r="AV24" i="2"/>
  <c r="AU24" i="2"/>
  <c r="AT24" i="2"/>
  <c r="AS24" i="2"/>
  <c r="AR24" i="2"/>
  <c r="AQ24" i="2"/>
  <c r="AP24" i="2"/>
  <c r="AO24" i="2"/>
  <c r="AN24" i="2"/>
  <c r="AL24" i="2"/>
  <c r="AK24" i="2"/>
  <c r="AJ24" i="2"/>
  <c r="AH24" i="2"/>
  <c r="AG24" i="2"/>
  <c r="AF24" i="2"/>
  <c r="AD24" i="2"/>
  <c r="AC24" i="2"/>
  <c r="AB24" i="2"/>
  <c r="Z24" i="2"/>
  <c r="Y24" i="2"/>
  <c r="X24" i="2"/>
  <c r="W24" i="2"/>
  <c r="V24" i="2"/>
  <c r="U24" i="2"/>
  <c r="T24" i="2"/>
  <c r="R24" i="2"/>
  <c r="Q24" i="2"/>
  <c r="P24" i="2"/>
  <c r="N24" i="2"/>
  <c r="M24" i="2"/>
  <c r="L24" i="2"/>
  <c r="K24" i="2"/>
  <c r="J24" i="2"/>
  <c r="I24" i="2"/>
  <c r="H24" i="2"/>
  <c r="C24" i="2"/>
  <c r="BX23" i="2"/>
  <c r="BW23" i="2"/>
  <c r="BV23" i="2"/>
  <c r="BU23" i="2"/>
  <c r="BT23" i="2"/>
  <c r="BS23" i="2"/>
  <c r="BR23" i="2"/>
  <c r="BQ23" i="2"/>
  <c r="BP23" i="2"/>
  <c r="BN23" i="2"/>
  <c r="BM23" i="2"/>
  <c r="BL23" i="2"/>
  <c r="BJ23" i="2"/>
  <c r="BI23" i="2"/>
  <c r="BH23" i="2"/>
  <c r="BG23" i="2"/>
  <c r="BF23" i="2"/>
  <c r="BE23" i="2"/>
  <c r="BD23" i="2"/>
  <c r="BC23" i="2"/>
  <c r="BB23" i="2"/>
  <c r="BA23" i="2"/>
  <c r="AZ23" i="2"/>
  <c r="AX23" i="2"/>
  <c r="AW23" i="2"/>
  <c r="AV23" i="2"/>
  <c r="AU23" i="2"/>
  <c r="AT23" i="2"/>
  <c r="AS23" i="2"/>
  <c r="AR23" i="2"/>
  <c r="AQ23" i="2"/>
  <c r="AP23" i="2"/>
  <c r="AO23" i="2"/>
  <c r="AN23" i="2"/>
  <c r="AL23" i="2"/>
  <c r="AK23" i="2"/>
  <c r="AJ23" i="2"/>
  <c r="AH23" i="2"/>
  <c r="AG23" i="2"/>
  <c r="AF23" i="2"/>
  <c r="AD23" i="2"/>
  <c r="AC23" i="2"/>
  <c r="AB23" i="2"/>
  <c r="Z23" i="2"/>
  <c r="Y23" i="2"/>
  <c r="X23" i="2"/>
  <c r="W23" i="2"/>
  <c r="V23" i="2"/>
  <c r="U23" i="2"/>
  <c r="T23" i="2"/>
  <c r="R23" i="2"/>
  <c r="Q23" i="2"/>
  <c r="P23" i="2"/>
  <c r="N23" i="2"/>
  <c r="M23" i="2"/>
  <c r="L23" i="2"/>
  <c r="K23" i="2"/>
  <c r="J23" i="2"/>
  <c r="I23" i="2"/>
  <c r="H23" i="2"/>
  <c r="BX22" i="2"/>
  <c r="BW22" i="2"/>
  <c r="BV22" i="2"/>
  <c r="BU22" i="2"/>
  <c r="BT22" i="2"/>
  <c r="BS22" i="2"/>
  <c r="BR22" i="2"/>
  <c r="BQ22" i="2"/>
  <c r="BP22" i="2"/>
  <c r="BN22" i="2"/>
  <c r="BM22" i="2"/>
  <c r="BL22" i="2"/>
  <c r="BJ22" i="2"/>
  <c r="BI22" i="2"/>
  <c r="BH22" i="2"/>
  <c r="BG22" i="2"/>
  <c r="BF22" i="2"/>
  <c r="BE22" i="2"/>
  <c r="BD22" i="2"/>
  <c r="BB22" i="2"/>
  <c r="BA22" i="2"/>
  <c r="AZ22" i="2"/>
  <c r="AX22" i="2"/>
  <c r="AW22" i="2"/>
  <c r="AV22" i="2"/>
  <c r="AU22" i="2"/>
  <c r="AT22" i="2"/>
  <c r="AS22" i="2"/>
  <c r="AR22" i="2"/>
  <c r="AQ22" i="2"/>
  <c r="AP22" i="2"/>
  <c r="AO22" i="2"/>
  <c r="AN22" i="2"/>
  <c r="AL22" i="2"/>
  <c r="AK22" i="2"/>
  <c r="AJ22" i="2"/>
  <c r="AH22" i="2"/>
  <c r="AG22" i="2"/>
  <c r="AF22" i="2"/>
  <c r="AD22" i="2"/>
  <c r="AC22" i="2"/>
  <c r="AB22" i="2"/>
  <c r="Z22" i="2"/>
  <c r="Y22" i="2"/>
  <c r="X22" i="2"/>
  <c r="W22" i="2"/>
  <c r="V22" i="2"/>
  <c r="U22" i="2"/>
  <c r="T22" i="2"/>
  <c r="R22" i="2"/>
  <c r="Q22" i="2"/>
  <c r="P22" i="2"/>
  <c r="N22" i="2"/>
  <c r="M22" i="2"/>
  <c r="L22" i="2"/>
  <c r="K22" i="2"/>
  <c r="J22" i="2"/>
  <c r="I22" i="2"/>
  <c r="H22" i="2"/>
  <c r="C22" i="2"/>
  <c r="BX21" i="2"/>
  <c r="BW21" i="2"/>
  <c r="BV21" i="2"/>
  <c r="BU21" i="2"/>
  <c r="BT21" i="2"/>
  <c r="BS21" i="2"/>
  <c r="BR21" i="2"/>
  <c r="BQ21" i="2"/>
  <c r="BP21" i="2"/>
  <c r="BN21" i="2"/>
  <c r="BM21" i="2"/>
  <c r="BL21" i="2"/>
  <c r="BJ21" i="2"/>
  <c r="BI21" i="2"/>
  <c r="BH21" i="2"/>
  <c r="BG21" i="2"/>
  <c r="BF21" i="2"/>
  <c r="BE21" i="2"/>
  <c r="BD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L21" i="2"/>
  <c r="AK21" i="2"/>
  <c r="AJ21" i="2"/>
  <c r="AH21" i="2"/>
  <c r="AG21" i="2"/>
  <c r="AF21" i="2"/>
  <c r="AD21" i="2"/>
  <c r="AC21" i="2"/>
  <c r="AB21" i="2"/>
  <c r="Z21" i="2"/>
  <c r="Y21" i="2"/>
  <c r="X21" i="2"/>
  <c r="W21" i="2"/>
  <c r="V21" i="2"/>
  <c r="U21" i="2"/>
  <c r="T21" i="2"/>
  <c r="S21" i="2"/>
  <c r="R21" i="2"/>
  <c r="Q21" i="2"/>
  <c r="P21" i="2"/>
  <c r="N21" i="2"/>
  <c r="M21" i="2"/>
  <c r="L21" i="2"/>
  <c r="K21" i="2"/>
  <c r="J21" i="2"/>
  <c r="I21" i="2"/>
  <c r="H21" i="2"/>
  <c r="BX20" i="2"/>
  <c r="BW20" i="2"/>
  <c r="BV20" i="2"/>
  <c r="BU20" i="2"/>
  <c r="BT20" i="2"/>
  <c r="BS20" i="2"/>
  <c r="BR20" i="2"/>
  <c r="BQ20" i="2"/>
  <c r="BP20" i="2"/>
  <c r="BN20" i="2"/>
  <c r="BM20" i="2"/>
  <c r="BL20" i="2"/>
  <c r="BJ20" i="2"/>
  <c r="BI20" i="2"/>
  <c r="BH20" i="2"/>
  <c r="BG20" i="2"/>
  <c r="BF20" i="2"/>
  <c r="BE20" i="2"/>
  <c r="BD20" i="2"/>
  <c r="BB20" i="2"/>
  <c r="BA20" i="2"/>
  <c r="AZ20" i="2"/>
  <c r="AY20" i="2"/>
  <c r="AX20" i="2"/>
  <c r="AW20" i="2"/>
  <c r="AV20" i="2"/>
  <c r="AT20" i="2"/>
  <c r="AS20" i="2"/>
  <c r="AR20" i="2"/>
  <c r="AQ20" i="2"/>
  <c r="AP20" i="2"/>
  <c r="AO20" i="2"/>
  <c r="AN20" i="2"/>
  <c r="AL20" i="2"/>
  <c r="AK20" i="2"/>
  <c r="AJ20" i="2"/>
  <c r="AH20" i="2"/>
  <c r="AG20" i="2"/>
  <c r="AF20" i="2"/>
  <c r="AD20" i="2"/>
  <c r="AC20" i="2"/>
  <c r="AB20" i="2"/>
  <c r="Z20" i="2"/>
  <c r="Y20" i="2"/>
  <c r="X20" i="2"/>
  <c r="W20" i="2"/>
  <c r="V20" i="2"/>
  <c r="U20" i="2"/>
  <c r="T20" i="2"/>
  <c r="S20" i="2"/>
  <c r="R20" i="2"/>
  <c r="Q20" i="2"/>
  <c r="P20" i="2"/>
  <c r="N20" i="2"/>
  <c r="M20" i="2"/>
  <c r="L20" i="2"/>
  <c r="J20" i="2"/>
  <c r="I20" i="2"/>
  <c r="H20" i="2"/>
  <c r="BX19" i="2"/>
  <c r="BW19" i="2"/>
  <c r="BV19" i="2"/>
  <c r="BU19" i="2"/>
  <c r="BT19" i="2"/>
  <c r="BS19" i="2"/>
  <c r="BR19" i="2"/>
  <c r="BQ19" i="2"/>
  <c r="BP19" i="2"/>
  <c r="BN19" i="2"/>
  <c r="BM19" i="2"/>
  <c r="BL19" i="2"/>
  <c r="BJ19" i="2"/>
  <c r="BI19" i="2"/>
  <c r="BH19" i="2"/>
  <c r="BG19" i="2"/>
  <c r="BF19" i="2"/>
  <c r="BE19" i="2"/>
  <c r="BD19" i="2"/>
  <c r="BB19" i="2"/>
  <c r="BA19" i="2"/>
  <c r="AZ19" i="2"/>
  <c r="AY19" i="2"/>
  <c r="AX19" i="2"/>
  <c r="AW19" i="2"/>
  <c r="AV19" i="2"/>
  <c r="AT19" i="2"/>
  <c r="AS19" i="2"/>
  <c r="AR19" i="2"/>
  <c r="AQ19" i="2"/>
  <c r="AP19" i="2"/>
  <c r="AO19" i="2"/>
  <c r="AN19" i="2"/>
  <c r="AL19" i="2"/>
  <c r="AK19" i="2"/>
  <c r="AJ19" i="2"/>
  <c r="AH19" i="2"/>
  <c r="AG19" i="2"/>
  <c r="AF19" i="2"/>
  <c r="AD19" i="2"/>
  <c r="AC19" i="2"/>
  <c r="AB19" i="2"/>
  <c r="Z19" i="2"/>
  <c r="Y19" i="2"/>
  <c r="X19" i="2"/>
  <c r="W19" i="2"/>
  <c r="V19" i="2"/>
  <c r="U19" i="2"/>
  <c r="T19" i="2"/>
  <c r="S19" i="2"/>
  <c r="R19" i="2"/>
  <c r="Q19" i="2"/>
  <c r="P19" i="2"/>
  <c r="N19" i="2"/>
  <c r="M19" i="2"/>
  <c r="L19" i="2"/>
  <c r="J19" i="2"/>
  <c r="I19" i="2"/>
  <c r="H19" i="2"/>
  <c r="BX18" i="2"/>
  <c r="BW18" i="2"/>
  <c r="BV18" i="2"/>
  <c r="BU18" i="2"/>
  <c r="BT18" i="2"/>
  <c r="BS18" i="2"/>
  <c r="BR18" i="2"/>
  <c r="BQ18" i="2"/>
  <c r="BP18" i="2"/>
  <c r="BN18" i="2"/>
  <c r="BM18" i="2"/>
  <c r="BL18" i="2"/>
  <c r="BJ18" i="2"/>
  <c r="BI18" i="2"/>
  <c r="BH18" i="2"/>
  <c r="BG18" i="2"/>
  <c r="BF18" i="2"/>
  <c r="BE18" i="2"/>
  <c r="BD18" i="2"/>
  <c r="BB18" i="2"/>
  <c r="BA18" i="2"/>
  <c r="AZ18" i="2"/>
  <c r="AY18" i="2"/>
  <c r="AX18" i="2"/>
  <c r="AW18" i="2"/>
  <c r="AV18" i="2"/>
  <c r="AT18" i="2"/>
  <c r="AS18" i="2"/>
  <c r="AR18" i="2"/>
  <c r="AQ18" i="2"/>
  <c r="AP18" i="2"/>
  <c r="AO18" i="2"/>
  <c r="AN18" i="2"/>
  <c r="AL18" i="2"/>
  <c r="AK18" i="2"/>
  <c r="AJ18" i="2"/>
  <c r="AH18" i="2"/>
  <c r="AG18" i="2"/>
  <c r="AF18" i="2"/>
  <c r="AD18" i="2"/>
  <c r="AC18" i="2"/>
  <c r="AB18" i="2"/>
  <c r="Z18" i="2"/>
  <c r="Y18" i="2"/>
  <c r="X18" i="2"/>
  <c r="W18" i="2"/>
  <c r="V18" i="2"/>
  <c r="U18" i="2"/>
  <c r="T18" i="2"/>
  <c r="S18" i="2"/>
  <c r="R18" i="2"/>
  <c r="Q18" i="2"/>
  <c r="P18" i="2"/>
  <c r="N18" i="2"/>
  <c r="M18" i="2"/>
  <c r="L18" i="2"/>
  <c r="J18" i="2"/>
  <c r="I18" i="2"/>
  <c r="H18" i="2"/>
  <c r="C18" i="2"/>
  <c r="BX17" i="2"/>
  <c r="BW17" i="2"/>
  <c r="BV17" i="2"/>
  <c r="BU17" i="2"/>
  <c r="BT17" i="2"/>
  <c r="BS17" i="2"/>
  <c r="BR17" i="2"/>
  <c r="BQ17" i="2"/>
  <c r="BP17" i="2"/>
  <c r="BN17" i="2"/>
  <c r="BM17" i="2"/>
  <c r="BL17" i="2"/>
  <c r="BJ17" i="2"/>
  <c r="BI17" i="2"/>
  <c r="BH17" i="2"/>
  <c r="BG17" i="2"/>
  <c r="BF17" i="2"/>
  <c r="BE17" i="2"/>
  <c r="BD17" i="2"/>
  <c r="BB17" i="2"/>
  <c r="BA17" i="2"/>
  <c r="AZ17" i="2"/>
  <c r="AY17" i="2"/>
  <c r="AX17" i="2"/>
  <c r="AW17" i="2"/>
  <c r="AV17" i="2"/>
  <c r="AT17" i="2"/>
  <c r="AS17" i="2"/>
  <c r="AR17" i="2"/>
  <c r="AQ17" i="2"/>
  <c r="AP17" i="2"/>
  <c r="AO17" i="2"/>
  <c r="AN17" i="2"/>
  <c r="AL17" i="2"/>
  <c r="AK17" i="2"/>
  <c r="AJ17" i="2"/>
  <c r="AH17" i="2"/>
  <c r="AG17" i="2"/>
  <c r="AF17" i="2"/>
  <c r="AD17" i="2"/>
  <c r="AC17" i="2"/>
  <c r="AB17" i="2"/>
  <c r="Z17" i="2"/>
  <c r="Y17" i="2"/>
  <c r="X17" i="2"/>
  <c r="W17" i="2"/>
  <c r="V17" i="2"/>
  <c r="U17" i="2"/>
  <c r="T17" i="2"/>
  <c r="S17" i="2"/>
  <c r="R17" i="2"/>
  <c r="Q17" i="2"/>
  <c r="P17" i="2"/>
  <c r="N17" i="2"/>
  <c r="M17" i="2"/>
  <c r="L17" i="2"/>
  <c r="J17" i="2"/>
  <c r="I17" i="2"/>
  <c r="H17" i="2"/>
  <c r="BX16" i="2"/>
  <c r="BW16" i="2"/>
  <c r="BV16" i="2"/>
  <c r="BU16" i="2"/>
  <c r="BT16" i="2"/>
  <c r="BS16" i="2"/>
  <c r="BR16" i="2"/>
  <c r="BQ16" i="2"/>
  <c r="BP16" i="2"/>
  <c r="BN16" i="2"/>
  <c r="BM16" i="2"/>
  <c r="BL16" i="2"/>
  <c r="BJ16" i="2"/>
  <c r="BI16" i="2"/>
  <c r="BH16" i="2"/>
  <c r="BG16" i="2"/>
  <c r="BF16" i="2"/>
  <c r="BE16" i="2"/>
  <c r="BD16" i="2"/>
  <c r="BB16" i="2"/>
  <c r="BA16" i="2"/>
  <c r="AZ16" i="2"/>
  <c r="AY16" i="2"/>
  <c r="AX16" i="2"/>
  <c r="AW16" i="2"/>
  <c r="AV16" i="2"/>
  <c r="AT16" i="2"/>
  <c r="AS16" i="2"/>
  <c r="AR16" i="2"/>
  <c r="AQ16" i="2"/>
  <c r="AP16" i="2"/>
  <c r="AO16" i="2"/>
  <c r="AN16" i="2"/>
  <c r="AL16" i="2"/>
  <c r="AK16" i="2"/>
  <c r="AJ16" i="2"/>
  <c r="AH16" i="2"/>
  <c r="AG16" i="2"/>
  <c r="AF16" i="2"/>
  <c r="AD16" i="2"/>
  <c r="AC16" i="2"/>
  <c r="AB16" i="2"/>
  <c r="Z16" i="2"/>
  <c r="Y16" i="2"/>
  <c r="X16" i="2"/>
  <c r="W16" i="2"/>
  <c r="V16" i="2"/>
  <c r="U16" i="2"/>
  <c r="T16" i="2"/>
  <c r="S16" i="2"/>
  <c r="R16" i="2"/>
  <c r="Q16" i="2"/>
  <c r="P16" i="2"/>
  <c r="N16" i="2"/>
  <c r="M16" i="2"/>
  <c r="L16" i="2"/>
  <c r="J16" i="2"/>
  <c r="I16" i="2"/>
  <c r="H16" i="2"/>
  <c r="BX15" i="2"/>
  <c r="BW15" i="2"/>
  <c r="BV15" i="2"/>
  <c r="BU15" i="2"/>
  <c r="BT15" i="2"/>
  <c r="BS15" i="2"/>
  <c r="BR15" i="2"/>
  <c r="BQ15" i="2"/>
  <c r="BP15" i="2"/>
  <c r="BN15" i="2"/>
  <c r="BM15" i="2"/>
  <c r="BL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L15" i="2"/>
  <c r="AK15" i="2"/>
  <c r="AJ15" i="2"/>
  <c r="AH15" i="2"/>
  <c r="AG15" i="2"/>
  <c r="AF15" i="2"/>
  <c r="AD15" i="2"/>
  <c r="AC15" i="2"/>
  <c r="AB15" i="2"/>
  <c r="Z15" i="2"/>
  <c r="Y15" i="2"/>
  <c r="X15" i="2"/>
  <c r="W15" i="2"/>
  <c r="V15" i="2"/>
  <c r="U15" i="2"/>
  <c r="T15" i="2"/>
  <c r="S15" i="2"/>
  <c r="R15" i="2"/>
  <c r="Q15" i="2"/>
  <c r="P15" i="2"/>
  <c r="N15" i="2"/>
  <c r="M15" i="2"/>
  <c r="L15" i="2"/>
  <c r="K15" i="2"/>
  <c r="J15" i="2"/>
  <c r="I15" i="2"/>
  <c r="H15" i="2"/>
  <c r="C15" i="2"/>
  <c r="BX14" i="2"/>
  <c r="BW14" i="2"/>
  <c r="BV14" i="2"/>
  <c r="BU14" i="2"/>
  <c r="BT14" i="2"/>
  <c r="BS14" i="2"/>
  <c r="BR14" i="2"/>
  <c r="BQ14" i="2"/>
  <c r="BP14" i="2"/>
  <c r="BN14" i="2"/>
  <c r="BM14" i="2"/>
  <c r="BL14" i="2"/>
  <c r="BJ14" i="2"/>
  <c r="BI14" i="2"/>
  <c r="BH14" i="2"/>
  <c r="BG14" i="2"/>
  <c r="BF14" i="2"/>
  <c r="BE14" i="2"/>
  <c r="BD14" i="2"/>
  <c r="BC14" i="2"/>
  <c r="BB14" i="2"/>
  <c r="BA14" i="2"/>
  <c r="AZ14" i="2"/>
  <c r="AX14" i="2"/>
  <c r="AW14" i="2"/>
  <c r="AV14" i="2"/>
  <c r="AU14" i="2"/>
  <c r="AT14" i="2"/>
  <c r="AS14" i="2"/>
  <c r="AR14" i="2"/>
  <c r="AQ14" i="2"/>
  <c r="AP14" i="2"/>
  <c r="AO14" i="2"/>
  <c r="AN14" i="2"/>
  <c r="AL14" i="2"/>
  <c r="AK14" i="2"/>
  <c r="AJ14" i="2"/>
  <c r="AH14" i="2"/>
  <c r="AG14" i="2"/>
  <c r="AF14" i="2"/>
  <c r="AD14" i="2"/>
  <c r="AC14" i="2"/>
  <c r="AB14" i="2"/>
  <c r="Z14" i="2"/>
  <c r="Y14" i="2"/>
  <c r="X14" i="2"/>
  <c r="W14" i="2"/>
  <c r="V14" i="2"/>
  <c r="U14" i="2"/>
  <c r="T14" i="2"/>
  <c r="R14" i="2"/>
  <c r="Q14" i="2"/>
  <c r="P14" i="2"/>
  <c r="N14" i="2"/>
  <c r="M14" i="2"/>
  <c r="L14" i="2"/>
  <c r="K14" i="2"/>
  <c r="J14" i="2"/>
  <c r="I14" i="2"/>
  <c r="H14" i="2"/>
  <c r="BX13" i="2"/>
  <c r="BW13" i="2"/>
  <c r="BV13" i="2"/>
  <c r="BU13" i="2"/>
  <c r="BT13" i="2"/>
  <c r="BS13" i="2"/>
  <c r="BR13" i="2"/>
  <c r="BQ13" i="2"/>
  <c r="BP13" i="2"/>
  <c r="BN13" i="2"/>
  <c r="BM13" i="2"/>
  <c r="BL13" i="2"/>
  <c r="BJ13" i="2"/>
  <c r="BI13" i="2"/>
  <c r="BH13" i="2"/>
  <c r="BG13" i="2"/>
  <c r="BF13" i="2"/>
  <c r="BE13" i="2"/>
  <c r="BD13" i="2"/>
  <c r="BC13" i="2"/>
  <c r="BB13" i="2"/>
  <c r="BA13" i="2"/>
  <c r="AZ13" i="2"/>
  <c r="AX13" i="2"/>
  <c r="AW13" i="2"/>
  <c r="AV13" i="2"/>
  <c r="AU13" i="2"/>
  <c r="AT13" i="2"/>
  <c r="AS13" i="2"/>
  <c r="AR13" i="2"/>
  <c r="AQ13" i="2"/>
  <c r="AP13" i="2"/>
  <c r="AO13" i="2"/>
  <c r="AN13" i="2"/>
  <c r="AL13" i="2"/>
  <c r="AK13" i="2"/>
  <c r="AJ13" i="2"/>
  <c r="AH13" i="2"/>
  <c r="AG13" i="2"/>
  <c r="AF13" i="2"/>
  <c r="AD13" i="2"/>
  <c r="AC13" i="2"/>
  <c r="AB13" i="2"/>
  <c r="Z13" i="2"/>
  <c r="Y13" i="2"/>
  <c r="X13" i="2"/>
  <c r="W13" i="2"/>
  <c r="V13" i="2"/>
  <c r="U13" i="2"/>
  <c r="T13" i="2"/>
  <c r="R13" i="2"/>
  <c r="Q13" i="2"/>
  <c r="P13" i="2"/>
  <c r="N13" i="2"/>
  <c r="M13" i="2"/>
  <c r="L13" i="2"/>
  <c r="K13" i="2"/>
  <c r="J13" i="2"/>
  <c r="I13" i="2"/>
  <c r="H13" i="2"/>
  <c r="BX12" i="2"/>
  <c r="BW12" i="2"/>
  <c r="BV12" i="2"/>
  <c r="BU12" i="2"/>
  <c r="BT12" i="2"/>
  <c r="BS12" i="2"/>
  <c r="BR12" i="2"/>
  <c r="BQ12" i="2"/>
  <c r="BP12" i="2"/>
  <c r="BN12" i="2"/>
  <c r="BM12" i="2"/>
  <c r="BL12" i="2"/>
  <c r="BJ12" i="2"/>
  <c r="BI12" i="2"/>
  <c r="BH12" i="2"/>
  <c r="BG12" i="2"/>
  <c r="BF12" i="2"/>
  <c r="BE12" i="2"/>
  <c r="BD12" i="2"/>
  <c r="BC12" i="2"/>
  <c r="BB12" i="2"/>
  <c r="BA12" i="2"/>
  <c r="AZ12" i="2"/>
  <c r="AX12" i="2"/>
  <c r="AW12" i="2"/>
  <c r="AV12" i="2"/>
  <c r="AU12" i="2"/>
  <c r="AT12" i="2"/>
  <c r="AS12" i="2"/>
  <c r="AR12" i="2"/>
  <c r="AQ12" i="2"/>
  <c r="AP12" i="2"/>
  <c r="AO12" i="2"/>
  <c r="AN12" i="2"/>
  <c r="AL12" i="2"/>
  <c r="AK12" i="2"/>
  <c r="AJ12" i="2"/>
  <c r="AH12" i="2"/>
  <c r="AG12" i="2"/>
  <c r="AF12" i="2"/>
  <c r="AD12" i="2"/>
  <c r="AC12" i="2"/>
  <c r="AB12" i="2"/>
  <c r="Z12" i="2"/>
  <c r="Y12" i="2"/>
  <c r="X12" i="2"/>
  <c r="W12" i="2"/>
  <c r="V12" i="2"/>
  <c r="U12" i="2"/>
  <c r="T12" i="2"/>
  <c r="R12" i="2"/>
  <c r="Q12" i="2"/>
  <c r="P12" i="2"/>
  <c r="N12" i="2"/>
  <c r="M12" i="2"/>
  <c r="L12" i="2"/>
  <c r="K12" i="2"/>
  <c r="J12" i="2"/>
  <c r="I12" i="2"/>
  <c r="H12" i="2"/>
  <c r="BX11" i="2"/>
  <c r="BW11" i="2"/>
  <c r="BV11" i="2"/>
  <c r="BU11" i="2"/>
  <c r="BT11" i="2"/>
  <c r="BS11" i="2"/>
  <c r="BR11" i="2"/>
  <c r="BQ11" i="2"/>
  <c r="BP11" i="2"/>
  <c r="BN11" i="2"/>
  <c r="BM11" i="2"/>
  <c r="BL11" i="2"/>
  <c r="BJ11" i="2"/>
  <c r="BI11" i="2"/>
  <c r="BH11" i="2"/>
  <c r="BG11" i="2"/>
  <c r="BF11" i="2"/>
  <c r="BE11" i="2"/>
  <c r="BD11" i="2"/>
  <c r="BC11" i="2"/>
  <c r="BB11" i="2"/>
  <c r="BA11" i="2"/>
  <c r="AZ11" i="2"/>
  <c r="AX11" i="2"/>
  <c r="AW11" i="2"/>
  <c r="AV11" i="2"/>
  <c r="AU11" i="2"/>
  <c r="AT11" i="2"/>
  <c r="AS11" i="2"/>
  <c r="AR11" i="2"/>
  <c r="AQ11" i="2"/>
  <c r="AP11" i="2"/>
  <c r="AO11" i="2"/>
  <c r="AN11" i="2"/>
  <c r="AL11" i="2"/>
  <c r="AK11" i="2"/>
  <c r="AJ11" i="2"/>
  <c r="AH11" i="2"/>
  <c r="AG11" i="2"/>
  <c r="AF11" i="2"/>
  <c r="AD11" i="2"/>
  <c r="AC11" i="2"/>
  <c r="AB11" i="2"/>
  <c r="Z11" i="2"/>
  <c r="Y11" i="2"/>
  <c r="X11" i="2"/>
  <c r="W11" i="2"/>
  <c r="V11" i="2"/>
  <c r="U11" i="2"/>
  <c r="T11" i="2"/>
  <c r="R11" i="2"/>
  <c r="Q11" i="2"/>
  <c r="P11" i="2"/>
  <c r="N11" i="2"/>
  <c r="M11" i="2"/>
  <c r="L11" i="2"/>
  <c r="K11" i="2"/>
  <c r="J11" i="2"/>
  <c r="I11" i="2"/>
  <c r="H11" i="2"/>
  <c r="BX10" i="2"/>
  <c r="BW10" i="2"/>
  <c r="BV10" i="2"/>
  <c r="BU10" i="2"/>
  <c r="BT10" i="2"/>
  <c r="BS10" i="2"/>
  <c r="BR10" i="2"/>
  <c r="BQ10" i="2"/>
  <c r="BP10" i="2"/>
  <c r="BN10" i="2"/>
  <c r="BM10" i="2"/>
  <c r="BL10" i="2"/>
  <c r="BJ10" i="2"/>
  <c r="BI10" i="2"/>
  <c r="BH10" i="2"/>
  <c r="BG10" i="2"/>
  <c r="BF10" i="2"/>
  <c r="BE10" i="2"/>
  <c r="BD10" i="2"/>
  <c r="BC10" i="2"/>
  <c r="BB10" i="2"/>
  <c r="BA10" i="2"/>
  <c r="AZ10" i="2"/>
  <c r="AX10" i="2"/>
  <c r="AW10" i="2"/>
  <c r="AV10" i="2"/>
  <c r="AU10" i="2"/>
  <c r="AT10" i="2"/>
  <c r="AS10" i="2"/>
  <c r="AR10" i="2"/>
  <c r="AQ10" i="2"/>
  <c r="AP10" i="2"/>
  <c r="AO10" i="2"/>
  <c r="AN10" i="2"/>
  <c r="AL10" i="2"/>
  <c r="AK10" i="2"/>
  <c r="AJ10" i="2"/>
  <c r="AH10" i="2"/>
  <c r="AG10" i="2"/>
  <c r="AF10" i="2"/>
  <c r="AD10" i="2"/>
  <c r="AC10" i="2"/>
  <c r="AB10" i="2"/>
  <c r="Z10" i="2"/>
  <c r="Y10" i="2"/>
  <c r="X10" i="2"/>
  <c r="W10" i="2"/>
  <c r="V10" i="2"/>
  <c r="U10" i="2"/>
  <c r="T10" i="2"/>
  <c r="R10" i="2"/>
  <c r="Q10" i="2"/>
  <c r="P10" i="2"/>
  <c r="N10" i="2"/>
  <c r="M10" i="2"/>
  <c r="L10" i="2"/>
  <c r="K10" i="2"/>
  <c r="J10" i="2"/>
  <c r="I10" i="2"/>
  <c r="H10" i="2"/>
  <c r="KQ42" i="1"/>
  <c r="KS42" i="1" s="1"/>
  <c r="KN42" i="1"/>
  <c r="KP42" i="1" s="1"/>
  <c r="KK42" i="1"/>
  <c r="KL42" i="1" s="1"/>
  <c r="KH42" i="1"/>
  <c r="KJ42" i="1" s="1"/>
  <c r="KE42" i="1"/>
  <c r="KF42" i="1" s="1"/>
  <c r="KB42" i="1"/>
  <c r="KD42" i="1" s="1"/>
  <c r="JY42" i="1"/>
  <c r="KA42" i="1" s="1"/>
  <c r="JV42" i="1"/>
  <c r="JW42" i="1" s="1"/>
  <c r="JS42" i="1"/>
  <c r="JU42" i="1" s="1"/>
  <c r="JP42" i="1"/>
  <c r="JR42" i="1" s="1"/>
  <c r="JM42" i="1"/>
  <c r="JN42" i="1" s="1"/>
  <c r="JJ42" i="1"/>
  <c r="JL42" i="1" s="1"/>
  <c r="JG42" i="1"/>
  <c r="JD42" i="1"/>
  <c r="JF42" i="1" s="1"/>
  <c r="JA42" i="1"/>
  <c r="JC42" i="1" s="1"/>
  <c r="IX42" i="1"/>
  <c r="IY42" i="1" s="1"/>
  <c r="IU42" i="1"/>
  <c r="IW42" i="1" s="1"/>
  <c r="IR42" i="1"/>
  <c r="IT42" i="1" s="1"/>
  <c r="IO42" i="1"/>
  <c r="IQ42" i="1" s="1"/>
  <c r="IL42" i="1"/>
  <c r="IN42" i="1" s="1"/>
  <c r="II42" i="1"/>
  <c r="IF42" i="1"/>
  <c r="IH42" i="1" s="1"/>
  <c r="IC42" i="1"/>
  <c r="IE42" i="1" s="1"/>
  <c r="HZ42" i="1"/>
  <c r="IA42" i="1" s="1"/>
  <c r="HW42" i="1"/>
  <c r="HY42" i="1" s="1"/>
  <c r="HT42" i="1"/>
  <c r="HV42" i="1" s="1"/>
  <c r="HQ42" i="1"/>
  <c r="HS42" i="1" s="1"/>
  <c r="HN42" i="1"/>
  <c r="HP42" i="1" s="1"/>
  <c r="HK42" i="1"/>
  <c r="HH42" i="1"/>
  <c r="HJ42" i="1" s="1"/>
  <c r="HE42" i="1"/>
  <c r="HG42" i="1" s="1"/>
  <c r="HB42" i="1"/>
  <c r="HC42" i="1" s="1"/>
  <c r="GY42" i="1"/>
  <c r="HA42" i="1" s="1"/>
  <c r="GV42" i="1"/>
  <c r="GX42" i="1" s="1"/>
  <c r="GS42" i="1"/>
  <c r="GU42" i="1" s="1"/>
  <c r="GP42" i="1"/>
  <c r="GR42" i="1" s="1"/>
  <c r="GM42" i="1"/>
  <c r="GJ42" i="1"/>
  <c r="GL42" i="1" s="1"/>
  <c r="GG42" i="1"/>
  <c r="GI42" i="1" s="1"/>
  <c r="GD42" i="1"/>
  <c r="GE42" i="1" s="1"/>
  <c r="GA42" i="1"/>
  <c r="GC42" i="1" s="1"/>
  <c r="FX42" i="1"/>
  <c r="FZ42" i="1" s="1"/>
  <c r="FU42" i="1"/>
  <c r="FV42" i="1" s="1"/>
  <c r="FR42" i="1"/>
  <c r="FT42" i="1" s="1"/>
  <c r="FO42" i="1"/>
  <c r="FL42" i="1"/>
  <c r="FN42" i="1" s="1"/>
  <c r="FI42" i="1"/>
  <c r="FK42" i="1" s="1"/>
  <c r="FF42" i="1"/>
  <c r="FG42" i="1" s="1"/>
  <c r="FC42" i="1"/>
  <c r="FE42" i="1" s="1"/>
  <c r="EZ42" i="1"/>
  <c r="FB42" i="1" s="1"/>
  <c r="EW42" i="1"/>
  <c r="EX42" i="1" s="1"/>
  <c r="ET42" i="1"/>
  <c r="EV42" i="1" s="1"/>
  <c r="EQ42" i="1"/>
  <c r="EN42" i="1"/>
  <c r="EP42" i="1" s="1"/>
  <c r="EK42" i="1"/>
  <c r="EM42" i="1" s="1"/>
  <c r="EH42" i="1"/>
  <c r="EI42" i="1" s="1"/>
  <c r="EE42" i="1"/>
  <c r="EB42" i="1"/>
  <c r="DY42" i="1"/>
  <c r="DV42" i="1"/>
  <c r="DX42" i="1" s="1"/>
  <c r="DS42" i="1"/>
  <c r="DT42" i="1" s="1"/>
  <c r="DP42" i="1"/>
  <c r="DM42" i="1"/>
  <c r="DJ42" i="1"/>
  <c r="DL42" i="1" s="1"/>
  <c r="DG42" i="1"/>
  <c r="DI42" i="1" s="1"/>
  <c r="DD42" i="1"/>
  <c r="DF42" i="1" s="1"/>
  <c r="DA42" i="1"/>
  <c r="DC42" i="1" s="1"/>
  <c r="CX42" i="1"/>
  <c r="CZ42" i="1" s="1"/>
  <c r="CU42" i="1"/>
  <c r="CV42" i="1" s="1"/>
  <c r="CR42" i="1"/>
  <c r="CO42" i="1"/>
  <c r="CL42" i="1"/>
  <c r="CN42" i="1" s="1"/>
  <c r="CI42" i="1"/>
  <c r="CK42" i="1" s="1"/>
  <c r="CF42" i="1"/>
  <c r="CC42" i="1"/>
  <c r="BZ42" i="1"/>
  <c r="CB42" i="1" s="1"/>
  <c r="BW42" i="1"/>
  <c r="BY42" i="1" s="1"/>
  <c r="BT42" i="1"/>
  <c r="BQ42" i="1"/>
  <c r="BS42" i="1" s="1"/>
  <c r="BN42" i="1"/>
  <c r="BK42" i="1"/>
  <c r="BM42" i="1" s="1"/>
  <c r="BH42" i="1"/>
  <c r="BJ42" i="1" s="1"/>
  <c r="BE42" i="1"/>
  <c r="BG42" i="1" s="1"/>
  <c r="BB42" i="1"/>
  <c r="AY42" i="1"/>
  <c r="AV42" i="1"/>
  <c r="AS42" i="1"/>
  <c r="AU42" i="1" s="1"/>
  <c r="AP42" i="1"/>
  <c r="AM42" i="1"/>
  <c r="AJ42" i="1"/>
  <c r="AL42" i="1" s="1"/>
  <c r="AG42" i="1"/>
  <c r="AI42" i="1" s="1"/>
  <c r="AD42" i="1"/>
  <c r="AF42" i="1" s="1"/>
  <c r="AA42" i="1"/>
  <c r="AC42" i="1" s="1"/>
  <c r="X42" i="1"/>
  <c r="U42" i="1"/>
  <c r="W42" i="1" s="1"/>
  <c r="R42" i="1"/>
  <c r="T42" i="1" s="1"/>
  <c r="O42" i="1"/>
  <c r="L42" i="1"/>
  <c r="IP42" i="1" s="1"/>
  <c r="I42" i="1"/>
  <c r="F42" i="1"/>
  <c r="H42" i="1" s="1"/>
  <c r="KV39" i="1"/>
  <c r="KU39" i="1"/>
  <c r="KS39" i="1"/>
  <c r="KR39" i="1"/>
  <c r="KP39" i="1"/>
  <c r="KO39" i="1"/>
  <c r="KM39" i="1"/>
  <c r="KL39" i="1"/>
  <c r="KJ39" i="1"/>
  <c r="KI39" i="1"/>
  <c r="KG39" i="1"/>
  <c r="KF39" i="1"/>
  <c r="KD39" i="1"/>
  <c r="KC39" i="1"/>
  <c r="KA39" i="1"/>
  <c r="JZ39" i="1"/>
  <c r="JX39" i="1"/>
  <c r="JW39" i="1"/>
  <c r="JU39" i="1"/>
  <c r="JT39" i="1"/>
  <c r="JR39" i="1"/>
  <c r="JQ39" i="1"/>
  <c r="JO39" i="1"/>
  <c r="JN39" i="1"/>
  <c r="JL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C39" i="1"/>
  <c r="C39" i="2" s="1"/>
  <c r="B39" i="1"/>
  <c r="B39" i="2" s="1"/>
  <c r="KV38" i="1"/>
  <c r="KU38" i="1"/>
  <c r="KS38" i="1"/>
  <c r="KR38" i="1"/>
  <c r="KP38" i="1"/>
  <c r="KO38" i="1"/>
  <c r="KM38" i="1"/>
  <c r="KL38" i="1"/>
  <c r="KJ38" i="1"/>
  <c r="KI38" i="1"/>
  <c r="KG38" i="1"/>
  <c r="KF38" i="1"/>
  <c r="KD38" i="1"/>
  <c r="KC38" i="1"/>
  <c r="KA38" i="1"/>
  <c r="JZ38" i="1"/>
  <c r="JX38" i="1"/>
  <c r="JW38" i="1"/>
  <c r="JU38" i="1"/>
  <c r="JT38" i="1"/>
  <c r="JR38" i="1"/>
  <c r="JQ38" i="1"/>
  <c r="JO38" i="1"/>
  <c r="JN38" i="1"/>
  <c r="JL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C38" i="1"/>
  <c r="C38" i="2" s="1"/>
  <c r="B38" i="1"/>
  <c r="B38" i="2" s="1"/>
  <c r="KV37" i="1"/>
  <c r="KU37" i="1"/>
  <c r="KS37" i="1"/>
  <c r="KR37" i="1"/>
  <c r="KP37" i="1"/>
  <c r="KO37" i="1"/>
  <c r="KM37" i="1"/>
  <c r="KL37" i="1"/>
  <c r="KJ37" i="1"/>
  <c r="KI37" i="1"/>
  <c r="KG37" i="1"/>
  <c r="KF37" i="1"/>
  <c r="KD37" i="1"/>
  <c r="KC37" i="1"/>
  <c r="KA37" i="1"/>
  <c r="JZ37" i="1"/>
  <c r="JX37" i="1"/>
  <c r="JW37" i="1"/>
  <c r="JU37" i="1"/>
  <c r="JT37" i="1"/>
  <c r="JR37" i="1"/>
  <c r="JQ37" i="1"/>
  <c r="JO37" i="1"/>
  <c r="JN37" i="1"/>
  <c r="JL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C37" i="1"/>
  <c r="C37" i="2" s="1"/>
  <c r="B37" i="1"/>
  <c r="B37" i="2" s="1"/>
  <c r="KV36" i="1"/>
  <c r="KU36" i="1"/>
  <c r="KS36" i="1"/>
  <c r="KR36" i="1"/>
  <c r="KP36" i="1"/>
  <c r="KO36" i="1"/>
  <c r="KM36" i="1"/>
  <c r="KL36" i="1"/>
  <c r="KJ36" i="1"/>
  <c r="KI36" i="1"/>
  <c r="KG36" i="1"/>
  <c r="KF36" i="1"/>
  <c r="KD36" i="1"/>
  <c r="KC36" i="1"/>
  <c r="KA36" i="1"/>
  <c r="JZ36" i="1"/>
  <c r="JX36" i="1"/>
  <c r="JW36" i="1"/>
  <c r="JU36" i="1"/>
  <c r="JT36" i="1"/>
  <c r="JR36" i="1"/>
  <c r="JQ36" i="1"/>
  <c r="JO36" i="1"/>
  <c r="JN36" i="1"/>
  <c r="JL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C36" i="1"/>
  <c r="C36" i="2" s="1"/>
  <c r="B36" i="1"/>
  <c r="B36" i="2" s="1"/>
  <c r="KV35" i="1"/>
  <c r="KU35" i="1"/>
  <c r="KS35" i="1"/>
  <c r="KR35" i="1"/>
  <c r="KP35" i="1"/>
  <c r="KO35" i="1"/>
  <c r="KM35" i="1"/>
  <c r="KL35" i="1"/>
  <c r="KJ35" i="1"/>
  <c r="KI35" i="1"/>
  <c r="KG35" i="1"/>
  <c r="KF35" i="1"/>
  <c r="KD35" i="1"/>
  <c r="KC35" i="1"/>
  <c r="KA35" i="1"/>
  <c r="JZ35" i="1"/>
  <c r="JX35" i="1"/>
  <c r="JW35" i="1"/>
  <c r="JU35" i="1"/>
  <c r="JT35" i="1"/>
  <c r="JR35" i="1"/>
  <c r="JQ35" i="1"/>
  <c r="JO35" i="1"/>
  <c r="JN35" i="1"/>
  <c r="JL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C35" i="1"/>
  <c r="C35" i="2" s="1"/>
  <c r="B35" i="1"/>
  <c r="B35" i="2" s="1"/>
  <c r="KV34" i="1"/>
  <c r="KU34" i="1"/>
  <c r="KS34" i="1"/>
  <c r="KR34" i="1"/>
  <c r="KP34" i="1"/>
  <c r="KO34" i="1"/>
  <c r="KM34" i="1"/>
  <c r="KL34" i="1"/>
  <c r="KJ34" i="1"/>
  <c r="KI34" i="1"/>
  <c r="KG34" i="1"/>
  <c r="KF34" i="1"/>
  <c r="KD34" i="1"/>
  <c r="KC34" i="1"/>
  <c r="KA34" i="1"/>
  <c r="JZ34" i="1"/>
  <c r="JX34" i="1"/>
  <c r="JW34" i="1"/>
  <c r="JU34" i="1"/>
  <c r="JT34" i="1"/>
  <c r="JR34" i="1"/>
  <c r="JQ34" i="1"/>
  <c r="JO34" i="1"/>
  <c r="JN34" i="1"/>
  <c r="JL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C34" i="1"/>
  <c r="C34" i="2" s="1"/>
  <c r="B34" i="1"/>
  <c r="B34" i="2" s="1"/>
  <c r="KV33" i="1"/>
  <c r="KU33" i="1"/>
  <c r="KS33" i="1"/>
  <c r="KR33" i="1"/>
  <c r="KP33" i="1"/>
  <c r="KO33" i="1"/>
  <c r="KM33" i="1"/>
  <c r="KL33" i="1"/>
  <c r="KJ33" i="1"/>
  <c r="KI33" i="1"/>
  <c r="KG33" i="1"/>
  <c r="KF33" i="1"/>
  <c r="KD33" i="1"/>
  <c r="KC33" i="1"/>
  <c r="KA33" i="1"/>
  <c r="JZ33" i="1"/>
  <c r="JX33" i="1"/>
  <c r="JW33" i="1"/>
  <c r="JU33" i="1"/>
  <c r="JT33" i="1"/>
  <c r="JR33" i="1"/>
  <c r="JQ33" i="1"/>
  <c r="JO33" i="1"/>
  <c r="JN33" i="1"/>
  <c r="JL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C33" i="1"/>
  <c r="C33" i="2" s="1"/>
  <c r="B33" i="1"/>
  <c r="B33" i="2" s="1"/>
  <c r="KV32" i="1"/>
  <c r="KU32" i="1"/>
  <c r="KS32" i="1"/>
  <c r="KR32" i="1"/>
  <c r="KP32" i="1"/>
  <c r="KO32" i="1"/>
  <c r="KM32" i="1"/>
  <c r="KL32" i="1"/>
  <c r="KJ32" i="1"/>
  <c r="KI32" i="1"/>
  <c r="KG32" i="1"/>
  <c r="KF32" i="1"/>
  <c r="KD32" i="1"/>
  <c r="KC32" i="1"/>
  <c r="KA32" i="1"/>
  <c r="JZ32" i="1"/>
  <c r="JX32" i="1"/>
  <c r="JW32" i="1"/>
  <c r="JU32" i="1"/>
  <c r="JT32" i="1"/>
  <c r="JR32" i="1"/>
  <c r="JQ32" i="1"/>
  <c r="JO32" i="1"/>
  <c r="JN32" i="1"/>
  <c r="JL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C32" i="1"/>
  <c r="C32" i="2" s="1"/>
  <c r="B32" i="1"/>
  <c r="B32" i="2" s="1"/>
  <c r="KV31" i="1"/>
  <c r="KU31" i="1"/>
  <c r="KS31" i="1"/>
  <c r="KR31" i="1"/>
  <c r="KP31" i="1"/>
  <c r="KO31" i="1"/>
  <c r="KM31" i="1"/>
  <c r="KL31" i="1"/>
  <c r="KJ31" i="1"/>
  <c r="KI31" i="1"/>
  <c r="KG31" i="1"/>
  <c r="KF31" i="1"/>
  <c r="KD31" i="1"/>
  <c r="KC31" i="1"/>
  <c r="KA31" i="1"/>
  <c r="JZ31" i="1"/>
  <c r="JX31" i="1"/>
  <c r="JW31" i="1"/>
  <c r="JU31" i="1"/>
  <c r="JT31" i="1"/>
  <c r="JR31" i="1"/>
  <c r="JQ31" i="1"/>
  <c r="JO31" i="1"/>
  <c r="JN31" i="1"/>
  <c r="JL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C31" i="1"/>
  <c r="C31" i="2" s="1"/>
  <c r="B31" i="1"/>
  <c r="B31" i="2" s="1"/>
  <c r="KV30" i="1"/>
  <c r="KU30" i="1"/>
  <c r="KS30" i="1"/>
  <c r="KR30" i="1"/>
  <c r="KP30" i="1"/>
  <c r="KO30" i="1"/>
  <c r="KM30" i="1"/>
  <c r="KL30" i="1"/>
  <c r="KJ30" i="1"/>
  <c r="KI30" i="1"/>
  <c r="KG30" i="1"/>
  <c r="KF30" i="1"/>
  <c r="KD30" i="1"/>
  <c r="KC30" i="1"/>
  <c r="KA30" i="1"/>
  <c r="JZ30" i="1"/>
  <c r="JX30" i="1"/>
  <c r="JW30" i="1"/>
  <c r="JU30" i="1"/>
  <c r="JT30" i="1"/>
  <c r="JR30" i="1"/>
  <c r="JQ30" i="1"/>
  <c r="JO30" i="1"/>
  <c r="JN30" i="1"/>
  <c r="JL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C30" i="1"/>
  <c r="C30" i="2" s="1"/>
  <c r="B30" i="1"/>
  <c r="B30" i="2" s="1"/>
  <c r="KV29" i="1"/>
  <c r="KU29" i="1"/>
  <c r="KS29" i="1"/>
  <c r="KR29" i="1"/>
  <c r="KP29" i="1"/>
  <c r="KO29" i="1"/>
  <c r="KM29" i="1"/>
  <c r="KL29" i="1"/>
  <c r="KJ29" i="1"/>
  <c r="KI29" i="1"/>
  <c r="KG29" i="1"/>
  <c r="KF29" i="1"/>
  <c r="KD29" i="1"/>
  <c r="KC29" i="1"/>
  <c r="KA29" i="1"/>
  <c r="JZ29" i="1"/>
  <c r="JX29" i="1"/>
  <c r="JW29" i="1"/>
  <c r="JU29" i="1"/>
  <c r="JT29" i="1"/>
  <c r="JR29" i="1"/>
  <c r="JQ29" i="1"/>
  <c r="JO29" i="1"/>
  <c r="JN29" i="1"/>
  <c r="JL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C29" i="1"/>
  <c r="C29" i="2" s="1"/>
  <c r="B29" i="1"/>
  <c r="B29" i="2" s="1"/>
  <c r="KV28" i="1"/>
  <c r="KU28" i="1"/>
  <c r="KS28" i="1"/>
  <c r="KR28" i="1"/>
  <c r="KP28" i="1"/>
  <c r="KO28" i="1"/>
  <c r="KM28" i="1"/>
  <c r="KL28" i="1"/>
  <c r="KJ28" i="1"/>
  <c r="KI28" i="1"/>
  <c r="KG28" i="1"/>
  <c r="KF28" i="1"/>
  <c r="KD28" i="1"/>
  <c r="KC28" i="1"/>
  <c r="KA28" i="1"/>
  <c r="JZ28" i="1"/>
  <c r="JX28" i="1"/>
  <c r="JW28" i="1"/>
  <c r="JU28" i="1"/>
  <c r="JT28" i="1"/>
  <c r="JR28" i="1"/>
  <c r="JQ28" i="1"/>
  <c r="JO28" i="1"/>
  <c r="JN28" i="1"/>
  <c r="JL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C28" i="1"/>
  <c r="B28" i="1"/>
  <c r="B28" i="2" s="1"/>
  <c r="KV27" i="1"/>
  <c r="KU27" i="1"/>
  <c r="KS27" i="1"/>
  <c r="KR27" i="1"/>
  <c r="KP27" i="1"/>
  <c r="KO27" i="1"/>
  <c r="KM27" i="1"/>
  <c r="KL27" i="1"/>
  <c r="KJ27" i="1"/>
  <c r="KI27" i="1"/>
  <c r="KG27" i="1"/>
  <c r="KF27" i="1"/>
  <c r="KD27" i="1"/>
  <c r="KC27" i="1"/>
  <c r="KA27" i="1"/>
  <c r="JZ27" i="1"/>
  <c r="JX27" i="1"/>
  <c r="JW27" i="1"/>
  <c r="JU27" i="1"/>
  <c r="JT27" i="1"/>
  <c r="JR27" i="1"/>
  <c r="JQ27" i="1"/>
  <c r="JO27" i="1"/>
  <c r="JN27" i="1"/>
  <c r="JL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C27" i="1"/>
  <c r="C27" i="2" s="1"/>
  <c r="B27" i="1"/>
  <c r="B27" i="2" s="1"/>
  <c r="KV26" i="1"/>
  <c r="KU26" i="1"/>
  <c r="KS26" i="1"/>
  <c r="KR26" i="1"/>
  <c r="KP26" i="1"/>
  <c r="KO26" i="1"/>
  <c r="KM26" i="1"/>
  <c r="KL26" i="1"/>
  <c r="KJ26" i="1"/>
  <c r="KI26" i="1"/>
  <c r="KG26" i="1"/>
  <c r="KF26" i="1"/>
  <c r="KD26" i="1"/>
  <c r="KC26" i="1"/>
  <c r="KA26" i="1"/>
  <c r="JZ26" i="1"/>
  <c r="JX26" i="1"/>
  <c r="JW26" i="1"/>
  <c r="JU26" i="1"/>
  <c r="JT26" i="1"/>
  <c r="JR26" i="1"/>
  <c r="JQ26" i="1"/>
  <c r="JO26" i="1"/>
  <c r="JN26" i="1"/>
  <c r="JL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C26" i="1"/>
  <c r="C26" i="2" s="1"/>
  <c r="B26" i="1"/>
  <c r="B26" i="2" s="1"/>
  <c r="KV25" i="1"/>
  <c r="KU25" i="1"/>
  <c r="KT25" i="1"/>
  <c r="KS25" i="1"/>
  <c r="KR25" i="1"/>
  <c r="KP25" i="1"/>
  <c r="KO25" i="1"/>
  <c r="KM25" i="1"/>
  <c r="KL25" i="1"/>
  <c r="KJ25" i="1"/>
  <c r="KI25" i="1"/>
  <c r="KG25" i="1"/>
  <c r="KF25" i="1"/>
  <c r="KD25" i="1"/>
  <c r="KC25" i="1"/>
  <c r="KA25" i="1"/>
  <c r="JZ25" i="1"/>
  <c r="JX25" i="1"/>
  <c r="JW25" i="1"/>
  <c r="JU25" i="1"/>
  <c r="JT25" i="1"/>
  <c r="JR25" i="1"/>
  <c r="JQ25" i="1"/>
  <c r="JO25" i="1"/>
  <c r="JN25" i="1"/>
  <c r="JL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C25" i="1"/>
  <c r="C25" i="2" s="1"/>
  <c r="B25" i="1"/>
  <c r="B25" i="2" s="1"/>
  <c r="KV24" i="1"/>
  <c r="KU24" i="1"/>
  <c r="KT24" i="1"/>
  <c r="KS24" i="1"/>
  <c r="KR24" i="1"/>
  <c r="KP24" i="1"/>
  <c r="KO24" i="1"/>
  <c r="KM24" i="1"/>
  <c r="KL24" i="1"/>
  <c r="KJ24" i="1"/>
  <c r="KI24" i="1"/>
  <c r="KG24" i="1"/>
  <c r="KF24" i="1"/>
  <c r="KD24" i="1"/>
  <c r="KC24" i="1"/>
  <c r="KA24" i="1"/>
  <c r="JZ24" i="1"/>
  <c r="JX24" i="1"/>
  <c r="JW24" i="1"/>
  <c r="JU24" i="1"/>
  <c r="JT24" i="1"/>
  <c r="JR24" i="1"/>
  <c r="JQ24" i="1"/>
  <c r="JO24" i="1"/>
  <c r="JN24" i="1"/>
  <c r="JL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C24" i="1"/>
  <c r="B24" i="1"/>
  <c r="B24" i="2" s="1"/>
  <c r="KV23" i="1"/>
  <c r="KU23" i="1"/>
  <c r="KT23" i="1"/>
  <c r="KS23" i="1"/>
  <c r="KR23" i="1"/>
  <c r="KP23" i="1"/>
  <c r="KO23" i="1"/>
  <c r="KM23" i="1"/>
  <c r="KL23" i="1"/>
  <c r="KJ23" i="1"/>
  <c r="KI23" i="1"/>
  <c r="KG23" i="1"/>
  <c r="KF23" i="1"/>
  <c r="KD23" i="1"/>
  <c r="KC23" i="1"/>
  <c r="KA23" i="1"/>
  <c r="JZ23" i="1"/>
  <c r="JX23" i="1"/>
  <c r="JW23" i="1"/>
  <c r="JU23" i="1"/>
  <c r="JT23" i="1"/>
  <c r="JR23" i="1"/>
  <c r="JQ23" i="1"/>
  <c r="JO23" i="1"/>
  <c r="JN23" i="1"/>
  <c r="JL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C23" i="1"/>
  <c r="C23" i="2" s="1"/>
  <c r="B23" i="1"/>
  <c r="B23" i="2" s="1"/>
  <c r="KV22" i="1"/>
  <c r="KU22" i="1"/>
  <c r="KT22" i="1"/>
  <c r="KS22" i="1"/>
  <c r="KR22" i="1"/>
  <c r="KP22" i="1"/>
  <c r="KO22" i="1"/>
  <c r="KM22" i="1"/>
  <c r="KL22" i="1"/>
  <c r="KJ22" i="1"/>
  <c r="KI22" i="1"/>
  <c r="KG22" i="1"/>
  <c r="KF22" i="1"/>
  <c r="KD22" i="1"/>
  <c r="KC22" i="1"/>
  <c r="KA22" i="1"/>
  <c r="JZ22" i="1"/>
  <c r="JX22" i="1"/>
  <c r="JW22" i="1"/>
  <c r="JU22" i="1"/>
  <c r="JT22" i="1"/>
  <c r="JR22" i="1"/>
  <c r="JQ22" i="1"/>
  <c r="JO22" i="1"/>
  <c r="JN22" i="1"/>
  <c r="JL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C22" i="1"/>
  <c r="B22" i="1"/>
  <c r="B22" i="2" s="1"/>
  <c r="KV21" i="1"/>
  <c r="KU21" i="1"/>
  <c r="KT21" i="1"/>
  <c r="KS21" i="1"/>
  <c r="KR21" i="1"/>
  <c r="KP21" i="1"/>
  <c r="KO21" i="1"/>
  <c r="KM21" i="1"/>
  <c r="KL21" i="1"/>
  <c r="KJ21" i="1"/>
  <c r="KI21" i="1"/>
  <c r="KG21" i="1"/>
  <c r="KF21" i="1"/>
  <c r="KD21" i="1"/>
  <c r="KC21" i="1"/>
  <c r="KA21" i="1"/>
  <c r="JZ21" i="1"/>
  <c r="JX21" i="1"/>
  <c r="JW21" i="1"/>
  <c r="JU21" i="1"/>
  <c r="JT21" i="1"/>
  <c r="JR21" i="1"/>
  <c r="JQ21" i="1"/>
  <c r="JO21" i="1"/>
  <c r="JN21" i="1"/>
  <c r="JL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C21" i="1"/>
  <c r="C21" i="2" s="1"/>
  <c r="B21" i="1"/>
  <c r="B21" i="2" s="1"/>
  <c r="KV20" i="1"/>
  <c r="KU20" i="1"/>
  <c r="KT20" i="1"/>
  <c r="KS20" i="1"/>
  <c r="KR20" i="1"/>
  <c r="KP20" i="1"/>
  <c r="KO20" i="1"/>
  <c r="KM20" i="1"/>
  <c r="KL20" i="1"/>
  <c r="KJ20" i="1"/>
  <c r="KI20" i="1"/>
  <c r="KG20" i="1"/>
  <c r="KF20" i="1"/>
  <c r="KD20" i="1"/>
  <c r="KC20" i="1"/>
  <c r="KA20" i="1"/>
  <c r="JZ20" i="1"/>
  <c r="JX20" i="1"/>
  <c r="JW20" i="1"/>
  <c r="JU20" i="1"/>
  <c r="JT20" i="1"/>
  <c r="JR20" i="1"/>
  <c r="JQ20" i="1"/>
  <c r="JO20" i="1"/>
  <c r="JN20" i="1"/>
  <c r="JL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C20" i="1"/>
  <c r="C20" i="2" s="1"/>
  <c r="B20" i="1"/>
  <c r="B20" i="2" s="1"/>
  <c r="KV19" i="1"/>
  <c r="KU19" i="1"/>
  <c r="KT19" i="1"/>
  <c r="KS19" i="1"/>
  <c r="KR19" i="1"/>
  <c r="KP19" i="1"/>
  <c r="KO19" i="1"/>
  <c r="KM19" i="1"/>
  <c r="KL19" i="1"/>
  <c r="KJ19" i="1"/>
  <c r="KI19" i="1"/>
  <c r="KG19" i="1"/>
  <c r="KF19" i="1"/>
  <c r="KD19" i="1"/>
  <c r="KC19" i="1"/>
  <c r="KA19" i="1"/>
  <c r="JZ19" i="1"/>
  <c r="JX19" i="1"/>
  <c r="JW19" i="1"/>
  <c r="JU19" i="1"/>
  <c r="JT19" i="1"/>
  <c r="JR19" i="1"/>
  <c r="JQ19" i="1"/>
  <c r="JO19" i="1"/>
  <c r="JN19" i="1"/>
  <c r="JL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C19" i="1"/>
  <c r="C19" i="2" s="1"/>
  <c r="B19" i="1"/>
  <c r="B19" i="2" s="1"/>
  <c r="KV18" i="1"/>
  <c r="KU18" i="1"/>
  <c r="KT18" i="1"/>
  <c r="KS18" i="1"/>
  <c r="KR18" i="1"/>
  <c r="KP18" i="1"/>
  <c r="KO18" i="1"/>
  <c r="KM18" i="1"/>
  <c r="KL18" i="1"/>
  <c r="KJ18" i="1"/>
  <c r="KI18" i="1"/>
  <c r="KG18" i="1"/>
  <c r="KF18" i="1"/>
  <c r="KD18" i="1"/>
  <c r="KC18" i="1"/>
  <c r="KA18" i="1"/>
  <c r="JZ18" i="1"/>
  <c r="JX18" i="1"/>
  <c r="JW18" i="1"/>
  <c r="JU18" i="1"/>
  <c r="JT18" i="1"/>
  <c r="JR18" i="1"/>
  <c r="JQ18" i="1"/>
  <c r="JO18" i="1"/>
  <c r="JN18" i="1"/>
  <c r="JL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C18" i="1"/>
  <c r="B18" i="1"/>
  <c r="B18" i="2" s="1"/>
  <c r="KV17" i="1"/>
  <c r="KU17" i="1"/>
  <c r="KT17" i="1"/>
  <c r="KS17" i="1"/>
  <c r="KR17" i="1"/>
  <c r="KP17" i="1"/>
  <c r="KO17" i="1"/>
  <c r="KM17" i="1"/>
  <c r="KL17" i="1"/>
  <c r="KJ17" i="1"/>
  <c r="KI17" i="1"/>
  <c r="KG17" i="1"/>
  <c r="KF17" i="1"/>
  <c r="KD17" i="1"/>
  <c r="KC17" i="1"/>
  <c r="KA17" i="1"/>
  <c r="JZ17" i="1"/>
  <c r="JX17" i="1"/>
  <c r="JW17" i="1"/>
  <c r="JU17" i="1"/>
  <c r="JT17" i="1"/>
  <c r="JR17" i="1"/>
  <c r="JQ17" i="1"/>
  <c r="JO17" i="1"/>
  <c r="JN17" i="1"/>
  <c r="JL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C17" i="1"/>
  <c r="C17" i="2" s="1"/>
  <c r="B17" i="1"/>
  <c r="B17" i="2" s="1"/>
  <c r="KV16" i="1"/>
  <c r="KU16" i="1"/>
  <c r="KT16" i="1"/>
  <c r="KS16" i="1"/>
  <c r="KR16" i="1"/>
  <c r="KP16" i="1"/>
  <c r="KO16" i="1"/>
  <c r="KM16" i="1"/>
  <c r="KL16" i="1"/>
  <c r="KJ16" i="1"/>
  <c r="KI16" i="1"/>
  <c r="KG16" i="1"/>
  <c r="KF16" i="1"/>
  <c r="KD16" i="1"/>
  <c r="KC16" i="1"/>
  <c r="KA16" i="1"/>
  <c r="JZ16" i="1"/>
  <c r="JX16" i="1"/>
  <c r="JW16" i="1"/>
  <c r="JU16" i="1"/>
  <c r="JT16" i="1"/>
  <c r="JR16" i="1"/>
  <c r="JQ16" i="1"/>
  <c r="JO16" i="1"/>
  <c r="JN16" i="1"/>
  <c r="JL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C16" i="1"/>
  <c r="C16" i="2" s="1"/>
  <c r="B16" i="1"/>
  <c r="B16" i="2" s="1"/>
  <c r="KV15" i="1"/>
  <c r="KU15" i="1"/>
  <c r="KT15" i="1"/>
  <c r="KS15" i="1"/>
  <c r="KR15" i="1"/>
  <c r="KP15" i="1"/>
  <c r="KO15" i="1"/>
  <c r="KM15" i="1"/>
  <c r="KL15" i="1"/>
  <c r="KJ15" i="1"/>
  <c r="KI15" i="1"/>
  <c r="KG15" i="1"/>
  <c r="KF15" i="1"/>
  <c r="KD15" i="1"/>
  <c r="KC15" i="1"/>
  <c r="KA15" i="1"/>
  <c r="JZ15" i="1"/>
  <c r="JX15" i="1"/>
  <c r="JW15" i="1"/>
  <c r="JU15" i="1"/>
  <c r="JT15" i="1"/>
  <c r="JR15" i="1"/>
  <c r="JQ15" i="1"/>
  <c r="JO15" i="1"/>
  <c r="JN15" i="1"/>
  <c r="JL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C15" i="1"/>
  <c r="B15" i="1"/>
  <c r="B15" i="2" s="1"/>
  <c r="KV14" i="1"/>
  <c r="KU14" i="1"/>
  <c r="KT14" i="1"/>
  <c r="KS14" i="1"/>
  <c r="KR14" i="1"/>
  <c r="KP14" i="1"/>
  <c r="KO14" i="1"/>
  <c r="KM14" i="1"/>
  <c r="KL14" i="1"/>
  <c r="KJ14" i="1"/>
  <c r="KI14" i="1"/>
  <c r="KG14" i="1"/>
  <c r="KF14" i="1"/>
  <c r="KD14" i="1"/>
  <c r="KC14" i="1"/>
  <c r="KA14" i="1"/>
  <c r="JZ14" i="1"/>
  <c r="JX14" i="1"/>
  <c r="JW14" i="1"/>
  <c r="JU14" i="1"/>
  <c r="JT14" i="1"/>
  <c r="JR14" i="1"/>
  <c r="JQ14" i="1"/>
  <c r="JO14" i="1"/>
  <c r="JN14" i="1"/>
  <c r="JL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C14" i="1"/>
  <c r="C14" i="2" s="1"/>
  <c r="B14" i="1"/>
  <c r="B14" i="2" s="1"/>
  <c r="KV13" i="1"/>
  <c r="KU13" i="1"/>
  <c r="KT13" i="1"/>
  <c r="KS13" i="1"/>
  <c r="KR13" i="1"/>
  <c r="KP13" i="1"/>
  <c r="KO13" i="1"/>
  <c r="KM13" i="1"/>
  <c r="KL13" i="1"/>
  <c r="KJ13" i="1"/>
  <c r="KI13" i="1"/>
  <c r="KG13" i="1"/>
  <c r="KF13" i="1"/>
  <c r="KD13" i="1"/>
  <c r="KC13" i="1"/>
  <c r="KA13" i="1"/>
  <c r="JZ13" i="1"/>
  <c r="JX13" i="1"/>
  <c r="JW13" i="1"/>
  <c r="JU13" i="1"/>
  <c r="JT13" i="1"/>
  <c r="JR13" i="1"/>
  <c r="JQ13" i="1"/>
  <c r="JO13" i="1"/>
  <c r="JN13" i="1"/>
  <c r="JL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C13" i="1"/>
  <c r="C13" i="2" s="1"/>
  <c r="B13" i="1"/>
  <c r="B13" i="2" s="1"/>
  <c r="KV12" i="1"/>
  <c r="KU12" i="1"/>
  <c r="KT12" i="1"/>
  <c r="KS12" i="1"/>
  <c r="KR12" i="1"/>
  <c r="KP12" i="1"/>
  <c r="KO12" i="1"/>
  <c r="KM12" i="1"/>
  <c r="KL12" i="1"/>
  <c r="KJ12" i="1"/>
  <c r="KI12" i="1"/>
  <c r="KG12" i="1"/>
  <c r="KF12" i="1"/>
  <c r="KD12" i="1"/>
  <c r="KC12" i="1"/>
  <c r="KA12" i="1"/>
  <c r="JZ12" i="1"/>
  <c r="JX12" i="1"/>
  <c r="JW12" i="1"/>
  <c r="JU12" i="1"/>
  <c r="JT12" i="1"/>
  <c r="JR12" i="1"/>
  <c r="JQ12" i="1"/>
  <c r="JO12" i="1"/>
  <c r="JN12" i="1"/>
  <c r="JL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C12" i="1"/>
  <c r="C12" i="2" s="1"/>
  <c r="B12" i="1"/>
  <c r="B12" i="2" s="1"/>
  <c r="KV11" i="1"/>
  <c r="KU11" i="1"/>
  <c r="KT11" i="1"/>
  <c r="KS11" i="1"/>
  <c r="KR11" i="1"/>
  <c r="KP11" i="1"/>
  <c r="KO11" i="1"/>
  <c r="KM11" i="1"/>
  <c r="KL11" i="1"/>
  <c r="KJ11" i="1"/>
  <c r="KI11" i="1"/>
  <c r="KG11" i="1"/>
  <c r="KF11" i="1"/>
  <c r="KD11" i="1"/>
  <c r="KC11" i="1"/>
  <c r="KA11" i="1"/>
  <c r="JZ11" i="1"/>
  <c r="JX11" i="1"/>
  <c r="JW11" i="1"/>
  <c r="JU11" i="1"/>
  <c r="JT11" i="1"/>
  <c r="JR11" i="1"/>
  <c r="JQ11" i="1"/>
  <c r="JO11" i="1"/>
  <c r="JN11" i="1"/>
  <c r="JL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C11" i="1"/>
  <c r="C11" i="2" s="1"/>
  <c r="B11" i="1"/>
  <c r="B11" i="2" s="1"/>
  <c r="A11" i="1"/>
  <c r="KV10" i="1"/>
  <c r="KU10" i="1"/>
  <c r="KT10" i="1"/>
  <c r="KS10" i="1"/>
  <c r="KR10" i="1"/>
  <c r="KP10" i="1"/>
  <c r="KO10" i="1"/>
  <c r="KM10" i="1"/>
  <c r="KL10" i="1"/>
  <c r="KJ10" i="1"/>
  <c r="KI10" i="1"/>
  <c r="KG10" i="1"/>
  <c r="KF10" i="1"/>
  <c r="KD10" i="1"/>
  <c r="KC10" i="1"/>
  <c r="KA10" i="1"/>
  <c r="JZ10" i="1"/>
  <c r="JX10" i="1"/>
  <c r="JW10" i="1"/>
  <c r="JU10" i="1"/>
  <c r="JT10" i="1"/>
  <c r="JR10" i="1"/>
  <c r="JQ10" i="1"/>
  <c r="JO10" i="1"/>
  <c r="JN10" i="1"/>
  <c r="JL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C10" i="1"/>
  <c r="C10" i="2" s="1"/>
  <c r="B10" i="1"/>
  <c r="B10" i="2" s="1"/>
  <c r="A10" i="1"/>
  <c r="A10" i="2" s="1"/>
  <c r="AX146" i="55"/>
  <c r="BF143" i="55"/>
  <c r="BE143" i="55"/>
  <c r="BD143" i="55"/>
  <c r="BC143" i="55"/>
  <c r="BB143" i="55"/>
  <c r="AZ143" i="55"/>
  <c r="AX143" i="55"/>
  <c r="AW143" i="55"/>
  <c r="AV143" i="55"/>
  <c r="AU143" i="55"/>
  <c r="AT143" i="55"/>
  <c r="AS143" i="55"/>
  <c r="AQ143" i="55"/>
  <c r="AP143" i="55"/>
  <c r="AO143" i="55"/>
  <c r="AN143" i="55"/>
  <c r="AL143" i="55"/>
  <c r="AK143" i="55"/>
  <c r="AJ143" i="55"/>
  <c r="AI143" i="55"/>
  <c r="AH143" i="55"/>
  <c r="AG143" i="55"/>
  <c r="AF143" i="55"/>
  <c r="AC142" i="55"/>
  <c r="AA142" i="55"/>
  <c r="BA90" i="55"/>
  <c r="AR90" i="55"/>
  <c r="AM90" i="55"/>
  <c r="AD90" i="55"/>
  <c r="BA89" i="55"/>
  <c r="AR89" i="55"/>
  <c r="AM89" i="55"/>
  <c r="AD89" i="55"/>
  <c r="BA88" i="55"/>
  <c r="AR88" i="55"/>
  <c r="AM88" i="55"/>
  <c r="AD88" i="55"/>
  <c r="N88" i="55"/>
  <c r="H88" i="55" s="1"/>
  <c r="J88" i="55" s="1"/>
  <c r="BA86" i="55"/>
  <c r="AD86" i="55" s="1"/>
  <c r="AR86" i="55"/>
  <c r="AM86" i="55"/>
  <c r="BA85" i="55"/>
  <c r="AD85" i="55" s="1"/>
  <c r="AR85" i="55"/>
  <c r="AM85" i="55"/>
  <c r="BA84" i="55"/>
  <c r="AD84" i="55" s="1"/>
  <c r="AR84" i="55"/>
  <c r="AM84" i="55"/>
  <c r="N84" i="55"/>
  <c r="H84" i="55" s="1"/>
  <c r="J84" i="55" s="1"/>
  <c r="AR82" i="55"/>
  <c r="BA82" i="55" s="1"/>
  <c r="AM82" i="55"/>
  <c r="AR81" i="55"/>
  <c r="BA81" i="55" s="1"/>
  <c r="AM81" i="55"/>
  <c r="AR80" i="55"/>
  <c r="BA80" i="55" s="1"/>
  <c r="AM80" i="55"/>
  <c r="AD80" i="55" s="1"/>
  <c r="N80" i="55"/>
  <c r="H80" i="55" s="1"/>
  <c r="J80" i="55" s="1"/>
  <c r="AR78" i="55"/>
  <c r="BA78" i="55" s="1"/>
  <c r="AM78" i="55"/>
  <c r="M78" i="55"/>
  <c r="N78" i="55" s="1"/>
  <c r="H78" i="55" s="1"/>
  <c r="J78" i="55" s="1"/>
  <c r="AR77" i="55"/>
  <c r="BA77" i="55" s="1"/>
  <c r="AM77" i="55"/>
  <c r="M77" i="55"/>
  <c r="N77" i="55" s="1"/>
  <c r="H77" i="55" s="1"/>
  <c r="J77" i="55" s="1"/>
  <c r="AR76" i="55"/>
  <c r="BA76" i="55" s="1"/>
  <c r="AM76" i="55"/>
  <c r="M76" i="55"/>
  <c r="N76" i="55" s="1"/>
  <c r="H76" i="55" s="1"/>
  <c r="J76" i="55" s="1"/>
  <c r="AR74" i="55"/>
  <c r="BA74" i="55" s="1"/>
  <c r="AM74" i="55"/>
  <c r="AD74" i="55" s="1"/>
  <c r="AR73" i="55"/>
  <c r="BA73" i="55" s="1"/>
  <c r="AM73" i="55"/>
  <c r="M73" i="55"/>
  <c r="N73" i="55" s="1"/>
  <c r="H73" i="55" s="1"/>
  <c r="J73" i="55" s="1"/>
  <c r="AR72" i="55"/>
  <c r="BA72" i="55" s="1"/>
  <c r="AM72" i="55"/>
  <c r="M72" i="55"/>
  <c r="N72" i="55" s="1"/>
  <c r="H72" i="55" s="1"/>
  <c r="J72" i="55" s="1"/>
  <c r="M70" i="55"/>
  <c r="N70" i="55" s="1"/>
  <c r="H70" i="55" s="1"/>
  <c r="J70" i="55" s="1"/>
  <c r="AR69" i="55"/>
  <c r="BA69" i="55" s="1"/>
  <c r="AM69" i="55"/>
  <c r="N69" i="55"/>
  <c r="H69" i="55"/>
  <c r="J69" i="55" s="1"/>
  <c r="BA68" i="55"/>
  <c r="AR68" i="55"/>
  <c r="AM68" i="55"/>
  <c r="AD68" i="55"/>
  <c r="N68" i="55"/>
  <c r="M68" i="55"/>
  <c r="H68" i="55"/>
  <c r="J68" i="55" s="1"/>
  <c r="BA67" i="55"/>
  <c r="AR67" i="55"/>
  <c r="AM67" i="55"/>
  <c r="AD67" i="55"/>
  <c r="N67" i="55"/>
  <c r="M67" i="55"/>
  <c r="H67" i="55"/>
  <c r="J67" i="55" s="1"/>
  <c r="BA65" i="55"/>
  <c r="AY65" i="55"/>
  <c r="AY143" i="55" s="1"/>
  <c r="AR65" i="55"/>
  <c r="AM65" i="55"/>
  <c r="AD65" i="55" s="1"/>
  <c r="AR64" i="55"/>
  <c r="BA64" i="55" s="1"/>
  <c r="AM64" i="55"/>
  <c r="AR63" i="55"/>
  <c r="BA63" i="55" s="1"/>
  <c r="AM63" i="55"/>
  <c r="AR62" i="55"/>
  <c r="BA62" i="55" s="1"/>
  <c r="AM62" i="55"/>
  <c r="AD62" i="55" s="1"/>
  <c r="R62" i="55"/>
  <c r="R143" i="55" s="1"/>
  <c r="Q62" i="55"/>
  <c r="U62" i="55"/>
  <c r="AA62" i="55" s="1"/>
  <c r="N62" i="55"/>
  <c r="H62" i="55"/>
  <c r="J62" i="55" s="1"/>
  <c r="BA60" i="55"/>
  <c r="AD60" i="55" s="1"/>
  <c r="AR60" i="55"/>
  <c r="AM60" i="55"/>
  <c r="BA59" i="55"/>
  <c r="AD59" i="55" s="1"/>
  <c r="AR59" i="55"/>
  <c r="AM59" i="55"/>
  <c r="BA58" i="55"/>
  <c r="AD58" i="55" s="1"/>
  <c r="AR58" i="55"/>
  <c r="AM58" i="55"/>
  <c r="BA57" i="55"/>
  <c r="AD57" i="55" s="1"/>
  <c r="AR57" i="55"/>
  <c r="AM57" i="55"/>
  <c r="S57" i="55"/>
  <c r="N57" i="55"/>
  <c r="M57" i="55"/>
  <c r="H57" i="55"/>
  <c r="J57" i="55" s="1"/>
  <c r="BA56" i="55"/>
  <c r="AR56" i="55"/>
  <c r="AM56" i="55"/>
  <c r="AD56" i="55"/>
  <c r="N56" i="55"/>
  <c r="M56" i="55"/>
  <c r="H56" i="55"/>
  <c r="J56" i="55" s="1"/>
  <c r="BA54" i="55"/>
  <c r="AR54" i="55"/>
  <c r="AM54" i="55"/>
  <c r="AD54" i="55"/>
  <c r="BA53" i="55"/>
  <c r="AR53" i="55"/>
  <c r="AM53" i="55"/>
  <c r="AD53" i="55"/>
  <c r="N53" i="55"/>
  <c r="H53" i="55"/>
  <c r="J53" i="55" s="1"/>
  <c r="BA52" i="55"/>
  <c r="AD52" i="55" s="1"/>
  <c r="AR52" i="55"/>
  <c r="AM52" i="55"/>
  <c r="N52" i="55"/>
  <c r="J52" i="55"/>
  <c r="AR50" i="55"/>
  <c r="BA50" i="55" s="1"/>
  <c r="AM50" i="55"/>
  <c r="AR49" i="55"/>
  <c r="BA49" i="55" s="1"/>
  <c r="AM49" i="55"/>
  <c r="AR48" i="55"/>
  <c r="BA48" i="55" s="1"/>
  <c r="AM48" i="55"/>
  <c r="AD48" i="55" s="1"/>
  <c r="N48" i="55"/>
  <c r="J48" i="55"/>
  <c r="BA46" i="55"/>
  <c r="AD46" i="55" s="1"/>
  <c r="AR46" i="55"/>
  <c r="AM46" i="55"/>
  <c r="BA45" i="55"/>
  <c r="AD45" i="55" s="1"/>
  <c r="AR45" i="55"/>
  <c r="AM45" i="55"/>
  <c r="BA44" i="55"/>
  <c r="AD44" i="55" s="1"/>
  <c r="AR44" i="55"/>
  <c r="AM44" i="55"/>
  <c r="BA43" i="55"/>
  <c r="AR43" i="55"/>
  <c r="AM43" i="55"/>
  <c r="AD43" i="55" s="1"/>
  <c r="S43" i="55"/>
  <c r="S143" i="55" s="1"/>
  <c r="N43" i="55"/>
  <c r="J43" i="55"/>
  <c r="AR41" i="55"/>
  <c r="BA41" i="55" s="1"/>
  <c r="AM41" i="55"/>
  <c r="AR40" i="55"/>
  <c r="BA40" i="55" s="1"/>
  <c r="AM40" i="55"/>
  <c r="AR39" i="55"/>
  <c r="BA39" i="55" s="1"/>
  <c r="AM39" i="55"/>
  <c r="AD39" i="55" s="1"/>
  <c r="AR38" i="55"/>
  <c r="BA38" i="55" s="1"/>
  <c r="AM38" i="55"/>
  <c r="N38" i="55"/>
  <c r="J38" i="55"/>
  <c r="BA36" i="55"/>
  <c r="AR36" i="55"/>
  <c r="AM36" i="55"/>
  <c r="AD36" i="55"/>
  <c r="BA35" i="55"/>
  <c r="AR35" i="55"/>
  <c r="AM35" i="55"/>
  <c r="AD35" i="55"/>
  <c r="BA34" i="55"/>
  <c r="AR34" i="55"/>
  <c r="AM34" i="55"/>
  <c r="AD34" i="55"/>
  <c r="N34" i="55"/>
  <c r="M34" i="55"/>
  <c r="H34" i="55"/>
  <c r="J34" i="55" s="1"/>
  <c r="BA32" i="55"/>
  <c r="AR32" i="55"/>
  <c r="AM32" i="55"/>
  <c r="AD32" i="55"/>
  <c r="N32" i="55"/>
  <c r="M32" i="55"/>
  <c r="H32" i="55"/>
  <c r="J32" i="55" s="1"/>
  <c r="BA31" i="55"/>
  <c r="AR31" i="55"/>
  <c r="AM31" i="55"/>
  <c r="AD31" i="55"/>
  <c r="N31" i="55"/>
  <c r="M31" i="55"/>
  <c r="H31" i="55"/>
  <c r="J31" i="55" s="1"/>
  <c r="BA30" i="55"/>
  <c r="AR30" i="55"/>
  <c r="AM30" i="55"/>
  <c r="AD30" i="55"/>
  <c r="N30" i="55"/>
  <c r="M30" i="55"/>
  <c r="H30" i="55"/>
  <c r="J30" i="55" s="1"/>
  <c r="BA28" i="55"/>
  <c r="AR28" i="55"/>
  <c r="AM28" i="55"/>
  <c r="AD28" i="55"/>
  <c r="BA27" i="55"/>
  <c r="AR27" i="55"/>
  <c r="AM27" i="55"/>
  <c r="AD27" i="55"/>
  <c r="BA26" i="55"/>
  <c r="AR26" i="55"/>
  <c r="AM26" i="55"/>
  <c r="AD26" i="55"/>
  <c r="BA25" i="55"/>
  <c r="AR25" i="55"/>
  <c r="AM25" i="55"/>
  <c r="AD25" i="55"/>
  <c r="Q25" i="55"/>
  <c r="N25" i="55"/>
  <c r="H25" i="55"/>
  <c r="J25" i="55" s="1"/>
  <c r="BA22" i="55"/>
  <c r="AR22" i="55"/>
  <c r="AM22" i="55"/>
  <c r="AD22" i="55"/>
  <c r="N22" i="55"/>
  <c r="H22" i="55" s="1"/>
  <c r="J22" i="55" s="1"/>
  <c r="BA21" i="55"/>
  <c r="AD21" i="55" s="1"/>
  <c r="AR21" i="55"/>
  <c r="AM21" i="55"/>
  <c r="N21" i="55"/>
  <c r="H21" i="55" s="1"/>
  <c r="J21" i="55" s="1"/>
  <c r="AR20" i="55"/>
  <c r="BA20" i="55" s="1"/>
  <c r="AM20" i="55"/>
  <c r="N20" i="55"/>
  <c r="H20" i="55" s="1"/>
  <c r="J20" i="55" s="1"/>
  <c r="AR18" i="55"/>
  <c r="BA18" i="55" s="1"/>
  <c r="AM18" i="55"/>
  <c r="AD18" i="55" s="1"/>
  <c r="AR17" i="55"/>
  <c r="BA17" i="55" s="1"/>
  <c r="AM17" i="55"/>
  <c r="AD17" i="55" s="1"/>
  <c r="N17" i="55"/>
  <c r="J17" i="55"/>
  <c r="H17" i="55"/>
  <c r="AR16" i="55"/>
  <c r="BA16" i="55" s="1"/>
  <c r="AM16" i="55"/>
  <c r="AD16" i="55" s="1"/>
  <c r="Q16" i="55"/>
  <c r="N16" i="55"/>
  <c r="J16" i="55"/>
  <c r="H16" i="55"/>
  <c r="AR14" i="55"/>
  <c r="BA14" i="55" s="1"/>
  <c r="AM14" i="55"/>
  <c r="AR13" i="55"/>
  <c r="BA13" i="55" s="1"/>
  <c r="AM13" i="55"/>
  <c r="AD13" i="55" s="1"/>
  <c r="AR12" i="55"/>
  <c r="BA12" i="55" s="1"/>
  <c r="AM12" i="55"/>
  <c r="AR11" i="55"/>
  <c r="BA11" i="55" s="1"/>
  <c r="AM11" i="55"/>
  <c r="N11" i="55"/>
  <c r="H11" i="55"/>
  <c r="J11" i="55" s="1"/>
  <c r="BA9" i="55"/>
  <c r="AR9" i="55"/>
  <c r="AM9" i="55"/>
  <c r="AD9" i="55"/>
  <c r="BA8" i="55"/>
  <c r="AR8" i="55"/>
  <c r="AM8" i="55"/>
  <c r="AD8" i="55"/>
  <c r="BA7" i="55"/>
  <c r="AR7" i="55"/>
  <c r="AM7" i="55"/>
  <c r="AD7" i="55"/>
  <c r="BA6" i="55"/>
  <c r="AR6" i="55"/>
  <c r="AR143" i="55" s="1"/>
  <c r="AM6" i="55"/>
  <c r="AM143" i="55" s="1"/>
  <c r="AD6" i="55"/>
  <c r="N6" i="55"/>
  <c r="H6" i="55"/>
  <c r="J6" i="55" s="1"/>
  <c r="A6" i="55"/>
  <c r="BF143" i="56"/>
  <c r="BE143" i="56"/>
  <c r="BD143" i="56"/>
  <c r="BC143" i="56"/>
  <c r="BB143" i="56"/>
  <c r="AZ143" i="56"/>
  <c r="AY143" i="56"/>
  <c r="AX143" i="56"/>
  <c r="AW143" i="56"/>
  <c r="AV143" i="56"/>
  <c r="AU143" i="56"/>
  <c r="AT143" i="56"/>
  <c r="AS143" i="56"/>
  <c r="AQ143" i="56"/>
  <c r="AP143" i="56"/>
  <c r="AO143" i="56"/>
  <c r="AN143" i="56"/>
  <c r="AL143" i="56"/>
  <c r="AK143" i="56"/>
  <c r="AJ143" i="56"/>
  <c r="AI143" i="56"/>
  <c r="AH143" i="56"/>
  <c r="AG143" i="56"/>
  <c r="AF143" i="56"/>
  <c r="Y143" i="56"/>
  <c r="R143" i="56"/>
  <c r="BA90" i="56"/>
  <c r="AR90" i="56"/>
  <c r="AM90" i="56"/>
  <c r="AD90" i="56" s="1"/>
  <c r="BA89" i="56"/>
  <c r="AR89" i="56"/>
  <c r="AM89" i="56"/>
  <c r="AD89" i="56" s="1"/>
  <c r="BA88" i="56"/>
  <c r="AR88" i="56"/>
  <c r="AM88" i="56"/>
  <c r="AD88" i="56" s="1"/>
  <c r="W88" i="56"/>
  <c r="N88" i="56"/>
  <c r="J88" i="56"/>
  <c r="H88" i="56"/>
  <c r="BA86" i="56"/>
  <c r="AR86" i="56"/>
  <c r="AM86" i="56"/>
  <c r="AD86" i="56" s="1"/>
  <c r="BA85" i="56"/>
  <c r="AR85" i="56"/>
  <c r="AM85" i="56"/>
  <c r="AD85" i="56" s="1"/>
  <c r="BA84" i="56"/>
  <c r="AR84" i="56"/>
  <c r="AM84" i="56"/>
  <c r="AD84" i="56" s="1"/>
  <c r="Z84" i="56"/>
  <c r="N84" i="56"/>
  <c r="J84" i="56"/>
  <c r="H84" i="56"/>
  <c r="BA82" i="56"/>
  <c r="AR82" i="56"/>
  <c r="AM82" i="56"/>
  <c r="AD82" i="56" s="1"/>
  <c r="BA81" i="56"/>
  <c r="AR81" i="56"/>
  <c r="AM81" i="56"/>
  <c r="AD81" i="56" s="1"/>
  <c r="BA80" i="56"/>
  <c r="AR80" i="56"/>
  <c r="AM80" i="56"/>
  <c r="AD80" i="56" s="1"/>
  <c r="Z80" i="56"/>
  <c r="W80" i="56"/>
  <c r="N80" i="56"/>
  <c r="H80" i="56" s="1"/>
  <c r="J80" i="56" s="1"/>
  <c r="AR78" i="56"/>
  <c r="BA78" i="56" s="1"/>
  <c r="AD78" i="56" s="1"/>
  <c r="AM78" i="56"/>
  <c r="Z78" i="56"/>
  <c r="W78" i="56"/>
  <c r="M78" i="56"/>
  <c r="N78" i="56" s="1"/>
  <c r="H78" i="56" s="1"/>
  <c r="J78" i="56" s="1"/>
  <c r="AR77" i="56"/>
  <c r="BA77" i="56" s="1"/>
  <c r="AD77" i="56" s="1"/>
  <c r="AM77" i="56"/>
  <c r="Z77" i="56"/>
  <c r="W77" i="56"/>
  <c r="M77" i="56"/>
  <c r="N77" i="56" s="1"/>
  <c r="H77" i="56" s="1"/>
  <c r="J77" i="56" s="1"/>
  <c r="AR76" i="56"/>
  <c r="BA76" i="56" s="1"/>
  <c r="AD76" i="56" s="1"/>
  <c r="AM76" i="56"/>
  <c r="W76" i="56"/>
  <c r="N76" i="56"/>
  <c r="H76" i="56" s="1"/>
  <c r="J76" i="56" s="1"/>
  <c r="M76" i="56"/>
  <c r="BA74" i="56"/>
  <c r="AR74" i="56"/>
  <c r="AM74" i="56"/>
  <c r="AD74" i="56" s="1"/>
  <c r="BA73" i="56"/>
  <c r="AR73" i="56"/>
  <c r="AM73" i="56"/>
  <c r="AD73" i="56" s="1"/>
  <c r="W73" i="56"/>
  <c r="M73" i="56"/>
  <c r="N73" i="56" s="1"/>
  <c r="H73" i="56" s="1"/>
  <c r="J73" i="56" s="1"/>
  <c r="AR72" i="56"/>
  <c r="BA72" i="56" s="1"/>
  <c r="AD72" i="56" s="1"/>
  <c r="AM72" i="56"/>
  <c r="W72" i="56"/>
  <c r="N72" i="56"/>
  <c r="H72" i="56" s="1"/>
  <c r="J72" i="56" s="1"/>
  <c r="M72" i="56"/>
  <c r="W70" i="56"/>
  <c r="M70" i="56"/>
  <c r="N70" i="56" s="1"/>
  <c r="H70" i="56" s="1"/>
  <c r="J70" i="56" s="1"/>
  <c r="AR69" i="56"/>
  <c r="BA69" i="56" s="1"/>
  <c r="AD69" i="56" s="1"/>
  <c r="AM69" i="56"/>
  <c r="W69" i="56"/>
  <c r="N69" i="56"/>
  <c r="H69" i="56" s="1"/>
  <c r="J69" i="56" s="1"/>
  <c r="AR68" i="56"/>
  <c r="BA68" i="56" s="1"/>
  <c r="AD68" i="56" s="1"/>
  <c r="AM68" i="56"/>
  <c r="W68" i="56"/>
  <c r="O68" i="56"/>
  <c r="U68" i="56" s="1"/>
  <c r="M68" i="56"/>
  <c r="N68" i="56" s="1"/>
  <c r="H68" i="56" s="1"/>
  <c r="J68" i="56" s="1"/>
  <c r="AR67" i="56"/>
  <c r="BA67" i="56" s="1"/>
  <c r="AD67" i="56" s="1"/>
  <c r="AM67" i="56"/>
  <c r="Z67" i="56"/>
  <c r="W67" i="56"/>
  <c r="M67" i="56"/>
  <c r="N67" i="56" s="1"/>
  <c r="H67" i="56" s="1"/>
  <c r="J67" i="56" s="1"/>
  <c r="AR65" i="56"/>
  <c r="BA65" i="56" s="1"/>
  <c r="AD65" i="56" s="1"/>
  <c r="AM65" i="56"/>
  <c r="AR64" i="56"/>
  <c r="BA64" i="56" s="1"/>
  <c r="AD64" i="56" s="1"/>
  <c r="AM64" i="56"/>
  <c r="AR63" i="56"/>
  <c r="BA63" i="56" s="1"/>
  <c r="AD63" i="56" s="1"/>
  <c r="AM63" i="56"/>
  <c r="AR62" i="56"/>
  <c r="BA62" i="56" s="1"/>
  <c r="AD62" i="56" s="1"/>
  <c r="AM62" i="56"/>
  <c r="Z62" i="56"/>
  <c r="W62" i="56"/>
  <c r="N62" i="56"/>
  <c r="H62" i="56" s="1"/>
  <c r="J62" i="56" s="1"/>
  <c r="BA60" i="56"/>
  <c r="AR60" i="56"/>
  <c r="AM60" i="56"/>
  <c r="AD60" i="56" s="1"/>
  <c r="BA59" i="56"/>
  <c r="AR59" i="56"/>
  <c r="AM59" i="56"/>
  <c r="AD59" i="56" s="1"/>
  <c r="BA58" i="56"/>
  <c r="AR58" i="56"/>
  <c r="AM58" i="56"/>
  <c r="AD58" i="56" s="1"/>
  <c r="BA57" i="56"/>
  <c r="AR57" i="56"/>
  <c r="AM57" i="56"/>
  <c r="AD57" i="56" s="1"/>
  <c r="W57" i="56"/>
  <c r="S57" i="56"/>
  <c r="N57" i="56"/>
  <c r="H57" i="56" s="1"/>
  <c r="J57" i="56" s="1"/>
  <c r="M57" i="56"/>
  <c r="BA56" i="56"/>
  <c r="AR56" i="56"/>
  <c r="AM56" i="56"/>
  <c r="AD56" i="56" s="1"/>
  <c r="W56" i="56"/>
  <c r="M56" i="56"/>
  <c r="N56" i="56" s="1"/>
  <c r="H56" i="56" s="1"/>
  <c r="J56" i="56" s="1"/>
  <c r="AR54" i="56"/>
  <c r="BA54" i="56" s="1"/>
  <c r="AD54" i="56" s="1"/>
  <c r="AM54" i="56"/>
  <c r="AR53" i="56"/>
  <c r="BA53" i="56" s="1"/>
  <c r="AD53" i="56" s="1"/>
  <c r="AM53" i="56"/>
  <c r="Z53" i="56"/>
  <c r="W53" i="56"/>
  <c r="O53" i="56"/>
  <c r="T53" i="56" s="1"/>
  <c r="N53" i="56"/>
  <c r="H53" i="56" s="1"/>
  <c r="BA52" i="56"/>
  <c r="AR52" i="56"/>
  <c r="AM52" i="56"/>
  <c r="AD52" i="56" s="1"/>
  <c r="W52" i="56"/>
  <c r="N52" i="56"/>
  <c r="J52" i="56"/>
  <c r="AR50" i="56"/>
  <c r="BA50" i="56" s="1"/>
  <c r="AD50" i="56" s="1"/>
  <c r="AM50" i="56"/>
  <c r="AR49" i="56"/>
  <c r="BA49" i="56" s="1"/>
  <c r="AD49" i="56" s="1"/>
  <c r="AM49" i="56"/>
  <c r="AR48" i="56"/>
  <c r="BA48" i="56" s="1"/>
  <c r="AD48" i="56" s="1"/>
  <c r="AM48" i="56"/>
  <c r="N48" i="56"/>
  <c r="J48" i="56"/>
  <c r="AR46" i="56"/>
  <c r="BA46" i="56" s="1"/>
  <c r="AD46" i="56" s="1"/>
  <c r="AM46" i="56"/>
  <c r="AR45" i="56"/>
  <c r="BA45" i="56" s="1"/>
  <c r="AD45" i="56" s="1"/>
  <c r="AM45" i="56"/>
  <c r="AR44" i="56"/>
  <c r="BA44" i="56" s="1"/>
  <c r="AD44" i="56" s="1"/>
  <c r="AM44" i="56"/>
  <c r="AR43" i="56"/>
  <c r="BA43" i="56" s="1"/>
  <c r="AD43" i="56" s="1"/>
  <c r="AM43" i="56"/>
  <c r="Z43" i="56"/>
  <c r="W43" i="56"/>
  <c r="S43" i="56"/>
  <c r="S143" i="56" s="1"/>
  <c r="N43" i="56"/>
  <c r="J43" i="56"/>
  <c r="BA41" i="56"/>
  <c r="AR41" i="56"/>
  <c r="AM41" i="56"/>
  <c r="AD41" i="56" s="1"/>
  <c r="BA40" i="56"/>
  <c r="AR40" i="56"/>
  <c r="AM40" i="56"/>
  <c r="AD40" i="56" s="1"/>
  <c r="BA39" i="56"/>
  <c r="AR39" i="56"/>
  <c r="AM39" i="56"/>
  <c r="AD39" i="56" s="1"/>
  <c r="BA38" i="56"/>
  <c r="AR38" i="56"/>
  <c r="AM38" i="56"/>
  <c r="AD38" i="56" s="1"/>
  <c r="W38" i="56"/>
  <c r="N38" i="56"/>
  <c r="J38" i="56"/>
  <c r="AR36" i="56"/>
  <c r="BA36" i="56" s="1"/>
  <c r="AD36" i="56" s="1"/>
  <c r="AM36" i="56"/>
  <c r="AR35" i="56"/>
  <c r="BA35" i="56" s="1"/>
  <c r="AD35" i="56" s="1"/>
  <c r="AM35" i="56"/>
  <c r="W35" i="56"/>
  <c r="BA34" i="56"/>
  <c r="AR34" i="56"/>
  <c r="AM34" i="56"/>
  <c r="AD34" i="56" s="1"/>
  <c r="W34" i="56"/>
  <c r="M34" i="56"/>
  <c r="N34" i="56" s="1"/>
  <c r="H34" i="56" s="1"/>
  <c r="J34" i="56" s="1"/>
  <c r="AR32" i="56"/>
  <c r="BA32" i="56" s="1"/>
  <c r="AD32" i="56" s="1"/>
  <c r="AM32" i="56"/>
  <c r="W32" i="56"/>
  <c r="N32" i="56"/>
  <c r="H32" i="56" s="1"/>
  <c r="J32" i="56" s="1"/>
  <c r="M32" i="56"/>
  <c r="BA31" i="56"/>
  <c r="AR31" i="56"/>
  <c r="AM31" i="56"/>
  <c r="AD31" i="56" s="1"/>
  <c r="Z31" i="56"/>
  <c r="W31" i="56"/>
  <c r="N31" i="56"/>
  <c r="H31" i="56" s="1"/>
  <c r="J31" i="56" s="1"/>
  <c r="M31" i="56"/>
  <c r="BA30" i="56"/>
  <c r="AR30" i="56"/>
  <c r="AM30" i="56"/>
  <c r="AD30" i="56" s="1"/>
  <c r="Z30" i="56"/>
  <c r="W30" i="56"/>
  <c r="N30" i="56"/>
  <c r="H30" i="56" s="1"/>
  <c r="J30" i="56" s="1"/>
  <c r="M30" i="56"/>
  <c r="BA28" i="56"/>
  <c r="AR28" i="56"/>
  <c r="AM28" i="56"/>
  <c r="AD28" i="56" s="1"/>
  <c r="BA27" i="56"/>
  <c r="AR27" i="56"/>
  <c r="AM27" i="56"/>
  <c r="AD27" i="56" s="1"/>
  <c r="BA26" i="56"/>
  <c r="AR26" i="56"/>
  <c r="AM26" i="56"/>
  <c r="AD26" i="56" s="1"/>
  <c r="BA25" i="56"/>
  <c r="AR25" i="56"/>
  <c r="AM25" i="56"/>
  <c r="AD25" i="56" s="1"/>
  <c r="Q25" i="56"/>
  <c r="N25" i="56"/>
  <c r="H25" i="56" s="1"/>
  <c r="J25" i="56" s="1"/>
  <c r="Z23" i="56"/>
  <c r="W23" i="56"/>
  <c r="BA22" i="56"/>
  <c r="AR22" i="56"/>
  <c r="AM22" i="56"/>
  <c r="AD22" i="56" s="1"/>
  <c r="Z22" i="56"/>
  <c r="W22" i="56"/>
  <c r="N22" i="56"/>
  <c r="H22" i="56"/>
  <c r="J22" i="56" s="1"/>
  <c r="AR21" i="56"/>
  <c r="BA21" i="56" s="1"/>
  <c r="AD21" i="56" s="1"/>
  <c r="AM21" i="56"/>
  <c r="Z21" i="56"/>
  <c r="W21" i="56"/>
  <c r="N21" i="56"/>
  <c r="H21" i="56" s="1"/>
  <c r="J21" i="56" s="1"/>
  <c r="BA20" i="56"/>
  <c r="AR20" i="56"/>
  <c r="AM20" i="56"/>
  <c r="AD20" i="56" s="1"/>
  <c r="Z20" i="56"/>
  <c r="W20" i="56"/>
  <c r="N20" i="56"/>
  <c r="H20" i="56" s="1"/>
  <c r="J20" i="56" s="1"/>
  <c r="AR18" i="56"/>
  <c r="BA18" i="56" s="1"/>
  <c r="AD18" i="56" s="1"/>
  <c r="AM18" i="56"/>
  <c r="AR17" i="56"/>
  <c r="BA17" i="56" s="1"/>
  <c r="AD17" i="56" s="1"/>
  <c r="AM17" i="56"/>
  <c r="W17" i="56"/>
  <c r="Q17" i="56"/>
  <c r="N17" i="56"/>
  <c r="J17" i="56"/>
  <c r="H17" i="56"/>
  <c r="BA16" i="56"/>
  <c r="AR16" i="56"/>
  <c r="AM16" i="56"/>
  <c r="AD16" i="56" s="1"/>
  <c r="Z16" i="56"/>
  <c r="W16" i="56"/>
  <c r="Q16" i="56"/>
  <c r="Q143" i="56" s="1"/>
  <c r="Q144" i="56" s="1"/>
  <c r="N16" i="56"/>
  <c r="H16" i="56" s="1"/>
  <c r="J16" i="56" s="1"/>
  <c r="BA14" i="56"/>
  <c r="AR14" i="56"/>
  <c r="AM14" i="56"/>
  <c r="AD14" i="56" s="1"/>
  <c r="BA13" i="56"/>
  <c r="AR13" i="56"/>
  <c r="AM13" i="56"/>
  <c r="AD13" i="56" s="1"/>
  <c r="BA12" i="56"/>
  <c r="AR12" i="56"/>
  <c r="AM12" i="56"/>
  <c r="AD12" i="56" s="1"/>
  <c r="BA11" i="56"/>
  <c r="AR11" i="56"/>
  <c r="AM11" i="56"/>
  <c r="AD11" i="56" s="1"/>
  <c r="Z11" i="56"/>
  <c r="N11" i="56"/>
  <c r="H11" i="56" s="1"/>
  <c r="J11" i="56" s="1"/>
  <c r="BA9" i="56"/>
  <c r="AR9" i="56"/>
  <c r="AM9" i="56"/>
  <c r="AD9" i="56" s="1"/>
  <c r="BA8" i="56"/>
  <c r="AR8" i="56"/>
  <c r="AM8" i="56"/>
  <c r="AD8" i="56" s="1"/>
  <c r="BA7" i="56"/>
  <c r="AR7" i="56"/>
  <c r="AM7" i="56"/>
  <c r="AD7" i="56" s="1"/>
  <c r="BA6" i="56"/>
  <c r="BA143" i="56" s="1"/>
  <c r="AR6" i="56"/>
  <c r="AR143" i="56" s="1"/>
  <c r="AM6" i="56"/>
  <c r="AD6" i="56" s="1"/>
  <c r="AD143" i="56" s="1"/>
  <c r="I9" i="53" s="1"/>
  <c r="Z6" i="56"/>
  <c r="W6" i="56"/>
  <c r="N6" i="56"/>
  <c r="H6" i="56" s="1"/>
  <c r="J6" i="56" s="1"/>
  <c r="A6" i="56"/>
  <c r="G61" i="47"/>
  <c r="E61" i="47"/>
  <c r="I60" i="47"/>
  <c r="F60" i="47"/>
  <c r="E60" i="47"/>
  <c r="H60" i="47" s="1"/>
  <c r="I58" i="47"/>
  <c r="F58" i="47"/>
  <c r="E58" i="47"/>
  <c r="G58" i="47" s="1"/>
  <c r="H58" i="47" s="1"/>
  <c r="E56" i="47"/>
  <c r="G56" i="47" s="1"/>
  <c r="I55" i="47"/>
  <c r="G55" i="47"/>
  <c r="F55" i="47"/>
  <c r="E55" i="47"/>
  <c r="H55" i="47" s="1"/>
  <c r="I53" i="47"/>
  <c r="F53" i="47"/>
  <c r="E53" i="47"/>
  <c r="G53" i="47" s="1"/>
  <c r="H53" i="47" s="1"/>
  <c r="I52" i="47"/>
  <c r="G52" i="47"/>
  <c r="H52" i="47" s="1"/>
  <c r="E52" i="47"/>
  <c r="I51" i="47"/>
  <c r="F51" i="47"/>
  <c r="E51" i="47"/>
  <c r="G51" i="47" s="1"/>
  <c r="H51" i="47" s="1"/>
  <c r="I49" i="47"/>
  <c r="G49" i="47"/>
  <c r="H49" i="47" s="1"/>
  <c r="F49" i="47"/>
  <c r="E49" i="47"/>
  <c r="I48" i="47"/>
  <c r="G48" i="47"/>
  <c r="H48" i="47" s="1"/>
  <c r="E48" i="47"/>
  <c r="I46" i="47"/>
  <c r="H46" i="47"/>
  <c r="G46" i="47"/>
  <c r="E46" i="47"/>
  <c r="I45" i="47"/>
  <c r="G45" i="47"/>
  <c r="H45" i="47" s="1"/>
  <c r="E45" i="47"/>
  <c r="I44" i="47"/>
  <c r="H44" i="47"/>
  <c r="V68" i="55" s="1"/>
  <c r="G44" i="47"/>
  <c r="E44" i="47"/>
  <c r="I43" i="47"/>
  <c r="G43" i="47"/>
  <c r="H43" i="47" s="1"/>
  <c r="E43" i="47"/>
  <c r="I41" i="47"/>
  <c r="H41" i="47"/>
  <c r="O62" i="56" s="1"/>
  <c r="G41" i="47"/>
  <c r="E41" i="47"/>
  <c r="G39" i="47"/>
  <c r="E39" i="47"/>
  <c r="I38" i="47"/>
  <c r="G38" i="47"/>
  <c r="E38" i="47"/>
  <c r="H38" i="47" s="1"/>
  <c r="I37" i="47"/>
  <c r="F37" i="47"/>
  <c r="E37" i="47"/>
  <c r="G37" i="47" s="1"/>
  <c r="H37" i="47" s="1"/>
  <c r="I35" i="47"/>
  <c r="H35" i="47"/>
  <c r="G35" i="47"/>
  <c r="E35" i="47"/>
  <c r="I34" i="47"/>
  <c r="F34" i="47"/>
  <c r="G34" i="47" s="1"/>
  <c r="H34" i="47" s="1"/>
  <c r="E34" i="47"/>
  <c r="I32" i="47"/>
  <c r="F32" i="47"/>
  <c r="E32" i="47"/>
  <c r="G32" i="47" s="1"/>
  <c r="H32" i="47" s="1"/>
  <c r="I30" i="47"/>
  <c r="E30" i="47"/>
  <c r="G30" i="47" s="1"/>
  <c r="H30" i="47" s="1"/>
  <c r="I28" i="47"/>
  <c r="F28" i="47"/>
  <c r="E28" i="47"/>
  <c r="G28" i="47" s="1"/>
  <c r="H28" i="47" s="1"/>
  <c r="E26" i="47"/>
  <c r="G26" i="47" s="1"/>
  <c r="H26" i="47" s="1"/>
  <c r="I25" i="47"/>
  <c r="F25" i="47"/>
  <c r="E25" i="47"/>
  <c r="G25" i="47" s="1"/>
  <c r="H25" i="47" s="1"/>
  <c r="I23" i="47"/>
  <c r="E23" i="47"/>
  <c r="H23" i="47" s="1"/>
  <c r="I22" i="47"/>
  <c r="F22" i="47"/>
  <c r="E22" i="47"/>
  <c r="G22" i="47" s="1"/>
  <c r="H22" i="47" s="1"/>
  <c r="I21" i="47"/>
  <c r="G21" i="47"/>
  <c r="H21" i="47" s="1"/>
  <c r="F21" i="47"/>
  <c r="E21" i="47"/>
  <c r="G19" i="47"/>
  <c r="E19" i="47"/>
  <c r="I18" i="47"/>
  <c r="E18" i="47"/>
  <c r="H18" i="47" s="1"/>
  <c r="E16" i="47"/>
  <c r="G16" i="47" s="1"/>
  <c r="H16" i="47" s="1"/>
  <c r="I15" i="47"/>
  <c r="E15" i="47"/>
  <c r="G15" i="47" s="1"/>
  <c r="H15" i="47" s="1"/>
  <c r="I14" i="47"/>
  <c r="E14" i="47"/>
  <c r="G14" i="47" s="1"/>
  <c r="H14" i="47" s="1"/>
  <c r="I13" i="47"/>
  <c r="F13" i="47"/>
  <c r="E13" i="47"/>
  <c r="G13" i="47" s="1"/>
  <c r="H13" i="47" s="1"/>
  <c r="I11" i="47"/>
  <c r="F11" i="47"/>
  <c r="E11" i="47"/>
  <c r="G11" i="47" s="1"/>
  <c r="H11" i="47" s="1"/>
  <c r="I10" i="47"/>
  <c r="G10" i="47"/>
  <c r="H10" i="47" s="1"/>
  <c r="E10" i="47"/>
  <c r="E8" i="47"/>
  <c r="G8" i="47" s="1"/>
  <c r="I7" i="47"/>
  <c r="H7" i="47"/>
  <c r="O11" i="56" s="1"/>
  <c r="E7" i="47"/>
  <c r="G7" i="47" s="1"/>
  <c r="G5" i="47"/>
  <c r="E5" i="47"/>
  <c r="I4" i="47"/>
  <c r="E4" i="47"/>
  <c r="H4" i="47" s="1"/>
  <c r="B1" i="47"/>
  <c r="A4" i="47" s="1"/>
  <c r="Q40" i="45"/>
  <c r="M40" i="45"/>
  <c r="I40" i="45"/>
  <c r="E40" i="45"/>
  <c r="AK37" i="45"/>
  <c r="AC37" i="45"/>
  <c r="Y37" i="45"/>
  <c r="U37" i="45"/>
  <c r="P37" i="45"/>
  <c r="L37" i="45"/>
  <c r="H37" i="45"/>
  <c r="D37" i="45"/>
  <c r="AF37" i="48"/>
  <c r="AK36" i="45"/>
  <c r="AC36" i="45"/>
  <c r="Y36" i="45"/>
  <c r="U36" i="45"/>
  <c r="P36" i="45"/>
  <c r="L36" i="45"/>
  <c r="H36" i="45"/>
  <c r="D36" i="45"/>
  <c r="AK35" i="45"/>
  <c r="AC35" i="45"/>
  <c r="Y35" i="45"/>
  <c r="U35" i="45"/>
  <c r="P35" i="45"/>
  <c r="L35" i="45"/>
  <c r="H35" i="45"/>
  <c r="D35" i="45"/>
  <c r="AK34" i="45"/>
  <c r="AC34" i="45"/>
  <c r="Y34" i="45"/>
  <c r="U34" i="45"/>
  <c r="P34" i="45"/>
  <c r="L34" i="45"/>
  <c r="H34" i="45"/>
  <c r="D34" i="45"/>
  <c r="AF34" i="48"/>
  <c r="AK33" i="45"/>
  <c r="AC33" i="45"/>
  <c r="Y33" i="45"/>
  <c r="U33" i="45"/>
  <c r="P33" i="45"/>
  <c r="L33" i="45"/>
  <c r="H33" i="45"/>
  <c r="D33" i="45"/>
  <c r="AF33" i="48"/>
  <c r="AH33" i="48" s="1"/>
  <c r="AK32" i="45"/>
  <c r="AC32" i="45"/>
  <c r="Y32" i="45"/>
  <c r="U32" i="45"/>
  <c r="P32" i="45"/>
  <c r="L32" i="45"/>
  <c r="H32" i="45"/>
  <c r="D32" i="45"/>
  <c r="AF32" i="48"/>
  <c r="AH32" i="48" s="1"/>
  <c r="AK31" i="45"/>
  <c r="AC31" i="45"/>
  <c r="Y31" i="45"/>
  <c r="U31" i="45"/>
  <c r="P31" i="45"/>
  <c r="L31" i="45"/>
  <c r="H31" i="45"/>
  <c r="D31" i="45"/>
  <c r="AK30" i="45"/>
  <c r="AC30" i="45"/>
  <c r="Y30" i="45"/>
  <c r="U30" i="45"/>
  <c r="P30" i="45"/>
  <c r="L30" i="45"/>
  <c r="H30" i="45"/>
  <c r="D30" i="45"/>
  <c r="AF30" i="48"/>
  <c r="AH30" i="48" s="1"/>
  <c r="AK29" i="45"/>
  <c r="AC29" i="45"/>
  <c r="Y29" i="45"/>
  <c r="U29" i="45"/>
  <c r="P29" i="45"/>
  <c r="L29" i="45"/>
  <c r="H29" i="45"/>
  <c r="D29" i="45"/>
  <c r="AF29" i="48"/>
  <c r="AK28" i="45"/>
  <c r="AC28" i="45"/>
  <c r="Y28" i="45"/>
  <c r="U28" i="45"/>
  <c r="P28" i="45"/>
  <c r="L28" i="45"/>
  <c r="H28" i="45"/>
  <c r="D28" i="45"/>
  <c r="AF28" i="48"/>
  <c r="AH28" i="48" s="1"/>
  <c r="AK27" i="45"/>
  <c r="AC27" i="45"/>
  <c r="Y27" i="45"/>
  <c r="U27" i="45"/>
  <c r="P27" i="45"/>
  <c r="L27" i="45"/>
  <c r="H27" i="45"/>
  <c r="D27" i="45"/>
  <c r="AX26" i="45"/>
  <c r="AF27" i="48"/>
  <c r="AK26" i="45"/>
  <c r="AC26" i="45"/>
  <c r="Y26" i="45"/>
  <c r="U26" i="45"/>
  <c r="P26" i="45"/>
  <c r="L26" i="45"/>
  <c r="H26" i="45"/>
  <c r="D26" i="45"/>
  <c r="AK25" i="45"/>
  <c r="AC25" i="45"/>
  <c r="Y25" i="45"/>
  <c r="U25" i="45"/>
  <c r="P25" i="45"/>
  <c r="L25" i="45"/>
  <c r="H25" i="45"/>
  <c r="D25" i="45"/>
  <c r="AX24" i="45"/>
  <c r="AW24" i="45"/>
  <c r="AK24" i="45"/>
  <c r="AC24" i="45"/>
  <c r="Y24" i="45"/>
  <c r="U24" i="45"/>
  <c r="P24" i="45"/>
  <c r="L24" i="45"/>
  <c r="H24" i="45"/>
  <c r="D24" i="45"/>
  <c r="AF24" i="48"/>
  <c r="AK23" i="45"/>
  <c r="AC23" i="45"/>
  <c r="Y23" i="45"/>
  <c r="U23" i="45"/>
  <c r="P23" i="45"/>
  <c r="L23" i="45"/>
  <c r="H23" i="45"/>
  <c r="D23" i="45"/>
  <c r="AX22" i="45"/>
  <c r="AW22" i="45"/>
  <c r="AF23" i="48"/>
  <c r="AK22" i="45"/>
  <c r="AC22" i="45"/>
  <c r="Y22" i="45"/>
  <c r="U22" i="45"/>
  <c r="P22" i="45"/>
  <c r="L22" i="45"/>
  <c r="H22" i="45"/>
  <c r="D22" i="45"/>
  <c r="AX21" i="45"/>
  <c r="AW21" i="45"/>
  <c r="AF22" i="48"/>
  <c r="AK21" i="45"/>
  <c r="AC21" i="45"/>
  <c r="Y21" i="45"/>
  <c r="U21" i="45"/>
  <c r="P21" i="45"/>
  <c r="L21" i="45"/>
  <c r="H21" i="45"/>
  <c r="D21" i="45"/>
  <c r="AX20" i="45"/>
  <c r="AW20" i="45"/>
  <c r="AF21" i="48"/>
  <c r="AK20" i="45"/>
  <c r="AC20" i="45"/>
  <c r="Y20" i="45"/>
  <c r="U20" i="45"/>
  <c r="P20" i="45"/>
  <c r="L20" i="45"/>
  <c r="H20" i="45"/>
  <c r="D20" i="45"/>
  <c r="AX19" i="45"/>
  <c r="AW19" i="45"/>
  <c r="AF20" i="48"/>
  <c r="AK19" i="45"/>
  <c r="AC19" i="45"/>
  <c r="Y19" i="45"/>
  <c r="U19" i="45"/>
  <c r="P19" i="45"/>
  <c r="L19" i="45"/>
  <c r="H19" i="45"/>
  <c r="D19" i="45"/>
  <c r="AX18" i="45"/>
  <c r="AW18" i="45"/>
  <c r="AF19" i="48"/>
  <c r="AJ19" i="48" s="1"/>
  <c r="AK18" i="45"/>
  <c r="AC18" i="45"/>
  <c r="Y18" i="45"/>
  <c r="U18" i="45"/>
  <c r="P18" i="45"/>
  <c r="L18" i="45"/>
  <c r="H18" i="45"/>
  <c r="D18" i="45"/>
  <c r="AX17" i="45"/>
  <c r="AW17" i="45"/>
  <c r="AK17" i="45"/>
  <c r="AC17" i="45"/>
  <c r="Y17" i="45"/>
  <c r="U17" i="45"/>
  <c r="P17" i="45"/>
  <c r="L17" i="45"/>
  <c r="H17" i="45"/>
  <c r="D17" i="45"/>
  <c r="AX16" i="45"/>
  <c r="AW16" i="45"/>
  <c r="AF17" i="48"/>
  <c r="AK16" i="45"/>
  <c r="AC16" i="45"/>
  <c r="Y16" i="45"/>
  <c r="U16" i="45"/>
  <c r="P16" i="45"/>
  <c r="L16" i="45"/>
  <c r="H16" i="45"/>
  <c r="D16" i="45"/>
  <c r="AX15" i="45"/>
  <c r="AW15" i="45"/>
  <c r="AF16" i="48"/>
  <c r="AK15" i="45"/>
  <c r="AC15" i="45"/>
  <c r="Y15" i="45"/>
  <c r="U15" i="45"/>
  <c r="P15" i="45"/>
  <c r="L15" i="45"/>
  <c r="H15" i="45"/>
  <c r="D15" i="45"/>
  <c r="AX14" i="45"/>
  <c r="AW14" i="45"/>
  <c r="AF15" i="48"/>
  <c r="AK14" i="45"/>
  <c r="AC14" i="45"/>
  <c r="Y14" i="45"/>
  <c r="U14" i="45"/>
  <c r="P14" i="45"/>
  <c r="L14" i="45"/>
  <c r="H14" i="45"/>
  <c r="D14" i="45"/>
  <c r="AX13" i="45"/>
  <c r="AW13" i="45"/>
  <c r="AF14" i="48"/>
  <c r="AK13" i="45"/>
  <c r="AC13" i="45"/>
  <c r="Y13" i="45"/>
  <c r="U13" i="45"/>
  <c r="P13" i="45"/>
  <c r="L13" i="45"/>
  <c r="H13" i="45"/>
  <c r="D13" i="45"/>
  <c r="AX12" i="45"/>
  <c r="AW12" i="45"/>
  <c r="AF13" i="48"/>
  <c r="AK12" i="45"/>
  <c r="AC12" i="45"/>
  <c r="Y12" i="45"/>
  <c r="U12" i="45"/>
  <c r="P12" i="45"/>
  <c r="L12" i="45"/>
  <c r="H12" i="45"/>
  <c r="D12" i="45"/>
  <c r="AX11" i="45"/>
  <c r="AW11" i="45"/>
  <c r="AF12" i="48"/>
  <c r="AK11" i="45"/>
  <c r="AC11" i="45"/>
  <c r="Y11" i="45"/>
  <c r="U11" i="45"/>
  <c r="P11" i="45"/>
  <c r="L11" i="45"/>
  <c r="H11" i="45"/>
  <c r="D11" i="45"/>
  <c r="AK10" i="45"/>
  <c r="AC10" i="45"/>
  <c r="Y10" i="45"/>
  <c r="U10" i="45"/>
  <c r="P10" i="45"/>
  <c r="L10" i="45"/>
  <c r="H10" i="45"/>
  <c r="D10" i="45"/>
  <c r="AF10" i="48"/>
  <c r="AK9" i="45"/>
  <c r="AC9" i="45"/>
  <c r="Y9" i="45"/>
  <c r="U9" i="45"/>
  <c r="P9" i="45"/>
  <c r="L9" i="45"/>
  <c r="H9" i="45"/>
  <c r="D9" i="45"/>
  <c r="AK8" i="45"/>
  <c r="AC8" i="45"/>
  <c r="Y8" i="45"/>
  <c r="X8" i="45" s="1"/>
  <c r="U8" i="45"/>
  <c r="T8" i="45" s="1"/>
  <c r="P8" i="45"/>
  <c r="L8" i="45"/>
  <c r="H8" i="45"/>
  <c r="D8" i="45"/>
  <c r="A8" i="45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T41" i="48"/>
  <c r="AF38" i="48"/>
  <c r="AH38" i="48" s="1"/>
  <c r="P38" i="48"/>
  <c r="D39" i="1" s="1"/>
  <c r="D39" i="2" s="1"/>
  <c r="H38" i="48"/>
  <c r="G38" i="48"/>
  <c r="E38" i="48"/>
  <c r="A38" i="48"/>
  <c r="P37" i="48"/>
  <c r="D38" i="1" s="1"/>
  <c r="D38" i="2" s="1"/>
  <c r="E37" i="48"/>
  <c r="D37" i="48"/>
  <c r="A37" i="48"/>
  <c r="AF36" i="48"/>
  <c r="AH36" i="48" s="1"/>
  <c r="R36" i="48"/>
  <c r="P36" i="48"/>
  <c r="D37" i="1" s="1"/>
  <c r="D37" i="2" s="1"/>
  <c r="E36" i="48"/>
  <c r="D36" i="48"/>
  <c r="A36" i="48"/>
  <c r="AF35" i="48"/>
  <c r="P35" i="48"/>
  <c r="D36" i="1" s="1"/>
  <c r="D36" i="2" s="1"/>
  <c r="E35" i="48"/>
  <c r="D35" i="48"/>
  <c r="A35" i="48"/>
  <c r="P34" i="48"/>
  <c r="D35" i="1" s="1"/>
  <c r="D35" i="2" s="1"/>
  <c r="H34" i="48"/>
  <c r="G34" i="48"/>
  <c r="E34" i="48"/>
  <c r="F34" i="48" s="1"/>
  <c r="D34" i="48"/>
  <c r="A34" i="48"/>
  <c r="P33" i="48"/>
  <c r="D34" i="1" s="1"/>
  <c r="D34" i="2" s="1"/>
  <c r="E33" i="48"/>
  <c r="F33" i="48" s="1"/>
  <c r="D33" i="48"/>
  <c r="A33" i="48"/>
  <c r="P32" i="48"/>
  <c r="D33" i="1" s="1"/>
  <c r="D33" i="2" s="1"/>
  <c r="E32" i="48"/>
  <c r="D32" i="48"/>
  <c r="F32" i="48" s="1"/>
  <c r="A32" i="48"/>
  <c r="AF31" i="48"/>
  <c r="AH31" i="48" s="1"/>
  <c r="P31" i="48"/>
  <c r="D32" i="1" s="1"/>
  <c r="D32" i="2" s="1"/>
  <c r="G31" i="48"/>
  <c r="E31" i="48"/>
  <c r="F31" i="48" s="1"/>
  <c r="D31" i="48"/>
  <c r="A31" i="48"/>
  <c r="P30" i="48"/>
  <c r="D31" i="1" s="1"/>
  <c r="D31" i="2" s="1"/>
  <c r="E30" i="48"/>
  <c r="F30" i="48" s="1"/>
  <c r="D30" i="48"/>
  <c r="A30" i="48"/>
  <c r="P29" i="48"/>
  <c r="D30" i="1" s="1"/>
  <c r="D30" i="2" s="1"/>
  <c r="E29" i="48"/>
  <c r="F29" i="48" s="1"/>
  <c r="D29" i="48"/>
  <c r="A29" i="48"/>
  <c r="V28" i="48"/>
  <c r="P28" i="48"/>
  <c r="D29" i="1" s="1"/>
  <c r="D29" i="2" s="1"/>
  <c r="F28" i="48"/>
  <c r="E28" i="48"/>
  <c r="D28" i="48"/>
  <c r="A28" i="48"/>
  <c r="V27" i="48"/>
  <c r="R27" i="48"/>
  <c r="P27" i="48"/>
  <c r="D28" i="1" s="1"/>
  <c r="D28" i="2" s="1"/>
  <c r="F27" i="48"/>
  <c r="E27" i="48"/>
  <c r="D27" i="48"/>
  <c r="A27" i="48"/>
  <c r="AF26" i="48"/>
  <c r="V26" i="48"/>
  <c r="P26" i="48"/>
  <c r="D27" i="1" s="1"/>
  <c r="D27" i="2" s="1"/>
  <c r="E26" i="48"/>
  <c r="F26" i="48" s="1"/>
  <c r="D26" i="48"/>
  <c r="A26" i="48"/>
  <c r="AF25" i="48"/>
  <c r="V25" i="48"/>
  <c r="P25" i="48"/>
  <c r="D26" i="1" s="1"/>
  <c r="D26" i="2" s="1"/>
  <c r="F25" i="48"/>
  <c r="E25" i="48"/>
  <c r="D25" i="48"/>
  <c r="A25" i="48"/>
  <c r="P24" i="48"/>
  <c r="D25" i="1" s="1"/>
  <c r="D25" i="2" s="1"/>
  <c r="E24" i="48"/>
  <c r="D24" i="48"/>
  <c r="F24" i="48" s="1"/>
  <c r="A24" i="48"/>
  <c r="V23" i="48"/>
  <c r="P23" i="48"/>
  <c r="D24" i="1" s="1"/>
  <c r="D24" i="2" s="1"/>
  <c r="E23" i="48"/>
  <c r="F23" i="48" s="1"/>
  <c r="D23" i="48"/>
  <c r="A23" i="48"/>
  <c r="V22" i="48"/>
  <c r="R22" i="48"/>
  <c r="P22" i="48"/>
  <c r="D23" i="1" s="1"/>
  <c r="D23" i="2" s="1"/>
  <c r="F22" i="48"/>
  <c r="E22" i="48"/>
  <c r="D22" i="48"/>
  <c r="A22" i="48"/>
  <c r="V21" i="48"/>
  <c r="R21" i="48"/>
  <c r="C20" i="45" s="1"/>
  <c r="P21" i="48"/>
  <c r="D22" i="1" s="1"/>
  <c r="D22" i="2" s="1"/>
  <c r="E21" i="48"/>
  <c r="F21" i="48" s="1"/>
  <c r="D21" i="48"/>
  <c r="A21" i="48"/>
  <c r="V20" i="48"/>
  <c r="P20" i="48"/>
  <c r="D21" i="1" s="1"/>
  <c r="D21" i="2" s="1"/>
  <c r="E20" i="48"/>
  <c r="F20" i="48" s="1"/>
  <c r="D20" i="48"/>
  <c r="A20" i="48"/>
  <c r="X19" i="48"/>
  <c r="R19" i="48"/>
  <c r="P19" i="48"/>
  <c r="D20" i="1" s="1"/>
  <c r="D20" i="2" s="1"/>
  <c r="I19" i="48"/>
  <c r="E19" i="48"/>
  <c r="D19" i="48"/>
  <c r="F19" i="48" s="1"/>
  <c r="A19" i="48"/>
  <c r="AF18" i="48"/>
  <c r="V18" i="48"/>
  <c r="P18" i="48"/>
  <c r="D19" i="1" s="1"/>
  <c r="D19" i="2" s="1"/>
  <c r="E18" i="48"/>
  <c r="F18" i="48" s="1"/>
  <c r="D18" i="48"/>
  <c r="A18" i="48"/>
  <c r="X17" i="48"/>
  <c r="R17" i="48"/>
  <c r="C16" i="45" s="1"/>
  <c r="P17" i="48"/>
  <c r="D18" i="1" s="1"/>
  <c r="D18" i="2" s="1"/>
  <c r="F17" i="48"/>
  <c r="E17" i="48"/>
  <c r="D17" i="48"/>
  <c r="A17" i="48"/>
  <c r="R16" i="48"/>
  <c r="C15" i="45" s="1"/>
  <c r="P16" i="48"/>
  <c r="D17" i="1" s="1"/>
  <c r="D17" i="2" s="1"/>
  <c r="F16" i="48"/>
  <c r="E16" i="48"/>
  <c r="D16" i="48"/>
  <c r="A16" i="48"/>
  <c r="V15" i="48"/>
  <c r="P15" i="48"/>
  <c r="D16" i="1" s="1"/>
  <c r="D16" i="2" s="1"/>
  <c r="F15" i="48"/>
  <c r="E15" i="48"/>
  <c r="D15" i="48"/>
  <c r="A15" i="48"/>
  <c r="V14" i="48"/>
  <c r="P14" i="48"/>
  <c r="D15" i="1" s="1"/>
  <c r="D15" i="2" s="1"/>
  <c r="E14" i="48"/>
  <c r="F14" i="48" s="1"/>
  <c r="D14" i="48"/>
  <c r="A14" i="48"/>
  <c r="V13" i="48"/>
  <c r="P13" i="48"/>
  <c r="D14" i="1" s="1"/>
  <c r="D14" i="2" s="1"/>
  <c r="E13" i="48"/>
  <c r="F13" i="48" s="1"/>
  <c r="D13" i="48"/>
  <c r="A13" i="48"/>
  <c r="P12" i="48"/>
  <c r="E12" i="48"/>
  <c r="D12" i="48"/>
  <c r="F12" i="48" s="1"/>
  <c r="A12" i="48"/>
  <c r="AF11" i="48"/>
  <c r="V11" i="48"/>
  <c r="R11" i="48"/>
  <c r="I11" i="48" s="1"/>
  <c r="P11" i="48"/>
  <c r="D12" i="1" s="1"/>
  <c r="D12" i="2" s="1"/>
  <c r="E11" i="48"/>
  <c r="D11" i="48"/>
  <c r="A11" i="48"/>
  <c r="U10" i="48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P10" i="48"/>
  <c r="F10" i="48"/>
  <c r="E10" i="48"/>
  <c r="D10" i="48"/>
  <c r="A10" i="48"/>
  <c r="U9" i="48"/>
  <c r="R9" i="48"/>
  <c r="I9" i="48" s="1"/>
  <c r="P9" i="48"/>
  <c r="V9" i="48" s="1"/>
  <c r="E9" i="48"/>
  <c r="F9" i="48" s="1"/>
  <c r="D9" i="48"/>
  <c r="D33" i="21" l="1"/>
  <c r="D15" i="21"/>
  <c r="E33" i="21"/>
  <c r="E15" i="21"/>
  <c r="D34" i="21"/>
  <c r="E35" i="21" s="1"/>
  <c r="C15" i="29"/>
  <c r="C33" i="29"/>
  <c r="D33" i="29"/>
  <c r="D15" i="29"/>
  <c r="D24" i="29"/>
  <c r="E24" i="29"/>
  <c r="D34" i="29"/>
  <c r="D24" i="21"/>
  <c r="E24" i="21"/>
  <c r="D35" i="21"/>
  <c r="C35" i="21"/>
  <c r="V27" i="21"/>
  <c r="W27" i="21" s="1"/>
  <c r="C15" i="21"/>
  <c r="KT39" i="1"/>
  <c r="AN39" i="2"/>
  <c r="AZ39" i="2"/>
  <c r="AJ39" i="2"/>
  <c r="T39" i="2"/>
  <c r="BP39" i="2"/>
  <c r="AV39" i="2"/>
  <c r="BD39" i="2"/>
  <c r="AF39" i="2"/>
  <c r="P39" i="2"/>
  <c r="BL39" i="2"/>
  <c r="AR39" i="2"/>
  <c r="L39" i="2"/>
  <c r="BT39" i="2"/>
  <c r="BH39" i="2"/>
  <c r="AB39" i="2"/>
  <c r="H39" i="2"/>
  <c r="X39" i="2"/>
  <c r="I51" i="4"/>
  <c r="R38" i="48"/>
  <c r="C33" i="4"/>
  <c r="D33" i="4"/>
  <c r="D15" i="4"/>
  <c r="C24" i="4"/>
  <c r="D24" i="4"/>
  <c r="J43" i="33"/>
  <c r="I45" i="33"/>
  <c r="I45" i="43"/>
  <c r="K53" i="56"/>
  <c r="AC53" i="56" s="1"/>
  <c r="J53" i="56"/>
  <c r="AM143" i="56"/>
  <c r="AD49" i="55"/>
  <c r="AD73" i="55"/>
  <c r="AD77" i="55"/>
  <c r="AD81" i="55"/>
  <c r="AD14" i="55"/>
  <c r="AD20" i="55"/>
  <c r="AD40" i="55"/>
  <c r="AD63" i="55"/>
  <c r="AD69" i="55"/>
  <c r="AD50" i="55"/>
  <c r="AD82" i="55"/>
  <c r="AD11" i="55"/>
  <c r="AD143" i="55" s="1"/>
  <c r="T9" i="53" s="1"/>
  <c r="AD41" i="55"/>
  <c r="AD64" i="55"/>
  <c r="AD78" i="55"/>
  <c r="BA143" i="55"/>
  <c r="R145" i="55" s="1"/>
  <c r="AD12" i="55"/>
  <c r="AD38" i="55"/>
  <c r="AD72" i="55"/>
  <c r="AD76" i="55"/>
  <c r="Q17" i="55"/>
  <c r="Q143" i="55" s="1"/>
  <c r="F38" i="48"/>
  <c r="D35" i="4"/>
  <c r="E35" i="4"/>
  <c r="C35" i="4"/>
  <c r="E15" i="4"/>
  <c r="C52" i="4"/>
  <c r="C53" i="4" s="1"/>
  <c r="KT38" i="1"/>
  <c r="Y42" i="1"/>
  <c r="AQ42" i="1"/>
  <c r="BC42" i="1"/>
  <c r="BU42" i="1"/>
  <c r="CE42" i="1"/>
  <c r="CW42" i="1"/>
  <c r="DE42" i="1"/>
  <c r="DU42" i="1"/>
  <c r="EY42" i="1"/>
  <c r="FW42" i="1"/>
  <c r="JO42" i="1"/>
  <c r="KM42" i="1"/>
  <c r="Z42" i="1"/>
  <c r="AH42" i="1"/>
  <c r="AR42" i="1"/>
  <c r="BD42" i="1"/>
  <c r="BL42" i="1"/>
  <c r="BV42" i="1"/>
  <c r="CG42" i="1"/>
  <c r="CP42" i="1"/>
  <c r="DN42" i="1"/>
  <c r="EJ42" i="1"/>
  <c r="ER42" i="1"/>
  <c r="FH42" i="1"/>
  <c r="FP42" i="1"/>
  <c r="GF42" i="1"/>
  <c r="GN42" i="1"/>
  <c r="HD42" i="1"/>
  <c r="HL42" i="1"/>
  <c r="IB42" i="1"/>
  <c r="IJ42" i="1"/>
  <c r="IZ42" i="1"/>
  <c r="JH42" i="1"/>
  <c r="JX42" i="1"/>
  <c r="M42" i="1"/>
  <c r="CQ42" i="1"/>
  <c r="CY42" i="1"/>
  <c r="DO42" i="1"/>
  <c r="DW42" i="1"/>
  <c r="ES42" i="1"/>
  <c r="FA42" i="1"/>
  <c r="FQ42" i="1"/>
  <c r="FY42" i="1"/>
  <c r="GO42" i="1"/>
  <c r="GW42" i="1"/>
  <c r="HM42" i="1"/>
  <c r="HU42" i="1"/>
  <c r="IK42" i="1"/>
  <c r="IS42" i="1"/>
  <c r="JI42" i="1"/>
  <c r="JQ42" i="1"/>
  <c r="KG42" i="1"/>
  <c r="KO42" i="1"/>
  <c r="N42" i="1"/>
  <c r="AB42" i="1"/>
  <c r="AT42" i="1"/>
  <c r="BF42" i="1"/>
  <c r="BP42" i="1"/>
  <c r="BX42" i="1"/>
  <c r="CJ42" i="1"/>
  <c r="DH42" i="1"/>
  <c r="EL42" i="1"/>
  <c r="FJ42" i="1"/>
  <c r="GH42" i="1"/>
  <c r="HF42" i="1"/>
  <c r="ID42" i="1"/>
  <c r="JB42" i="1"/>
  <c r="JZ42" i="1"/>
  <c r="Q42" i="1"/>
  <c r="AK42" i="1"/>
  <c r="CS42" i="1"/>
  <c r="DQ42" i="1"/>
  <c r="EA42" i="1"/>
  <c r="EU42" i="1"/>
  <c r="FS42" i="1"/>
  <c r="GQ42" i="1"/>
  <c r="HO42" i="1"/>
  <c r="IM42" i="1"/>
  <c r="JK42" i="1"/>
  <c r="KI42" i="1"/>
  <c r="AX42" i="1"/>
  <c r="BR42" i="1"/>
  <c r="CT42" i="1"/>
  <c r="DB42" i="1"/>
  <c r="DR42" i="1"/>
  <c r="EC42" i="1"/>
  <c r="FD42" i="1"/>
  <c r="GB42" i="1"/>
  <c r="GZ42" i="1"/>
  <c r="HX42" i="1"/>
  <c r="IV42" i="1"/>
  <c r="JT42" i="1"/>
  <c r="KR42" i="1"/>
  <c r="G42" i="1"/>
  <c r="AE42" i="1"/>
  <c r="AO42" i="1"/>
  <c r="BA42" i="1"/>
  <c r="BI42" i="1"/>
  <c r="CA42" i="1"/>
  <c r="CM42" i="1"/>
  <c r="DK42" i="1"/>
  <c r="EG42" i="1"/>
  <c r="EO42" i="1"/>
  <c r="FM42" i="1"/>
  <c r="GK42" i="1"/>
  <c r="HI42" i="1"/>
  <c r="IG42" i="1"/>
  <c r="JE42" i="1"/>
  <c r="KC42" i="1"/>
  <c r="GT42" i="1"/>
  <c r="HR42" i="1"/>
  <c r="X38" i="2"/>
  <c r="T38" i="2"/>
  <c r="AJ38" i="2"/>
  <c r="AZ38" i="2"/>
  <c r="AN38" i="2"/>
  <c r="BD38" i="2"/>
  <c r="BT38" i="2"/>
  <c r="H38" i="2"/>
  <c r="L38" i="2"/>
  <c r="AR38" i="2"/>
  <c r="BL38" i="2"/>
  <c r="P38" i="2"/>
  <c r="AF38" i="2"/>
  <c r="AV38" i="2"/>
  <c r="C15" i="37"/>
  <c r="D34" i="37"/>
  <c r="E33" i="37"/>
  <c r="C33" i="37"/>
  <c r="D15" i="37"/>
  <c r="E24" i="37"/>
  <c r="C34" i="37"/>
  <c r="E35" i="37" s="1"/>
  <c r="E15" i="37"/>
  <c r="C24" i="37"/>
  <c r="D24" i="37"/>
  <c r="G37" i="48"/>
  <c r="F37" i="48"/>
  <c r="F34" i="37"/>
  <c r="KT37" i="1"/>
  <c r="P37" i="2"/>
  <c r="AJ37" i="2"/>
  <c r="T37" i="2"/>
  <c r="X37" i="2"/>
  <c r="AF37" i="2"/>
  <c r="AV37" i="2"/>
  <c r="BP37" i="2"/>
  <c r="AZ37" i="2"/>
  <c r="AN37" i="2"/>
  <c r="BD37" i="2"/>
  <c r="BT37" i="2"/>
  <c r="H37" i="2"/>
  <c r="L37" i="2"/>
  <c r="AR37" i="2"/>
  <c r="C34" i="6"/>
  <c r="C15" i="6"/>
  <c r="C35" i="45"/>
  <c r="AE35" i="45" s="1"/>
  <c r="AN36" i="48"/>
  <c r="J36" i="48"/>
  <c r="G36" i="48"/>
  <c r="H36" i="48"/>
  <c r="F36" i="48"/>
  <c r="E34" i="6"/>
  <c r="C24" i="6"/>
  <c r="D24" i="6"/>
  <c r="D15" i="6"/>
  <c r="E24" i="6"/>
  <c r="C33" i="6"/>
  <c r="D33" i="6"/>
  <c r="E33" i="6"/>
  <c r="E35" i="6"/>
  <c r="C52" i="6"/>
  <c r="C53" i="6" s="1"/>
  <c r="F34" i="6"/>
  <c r="KT36" i="1"/>
  <c r="C35" i="6"/>
  <c r="D35" i="6"/>
  <c r="AF36" i="2"/>
  <c r="P36" i="2"/>
  <c r="AV36" i="2"/>
  <c r="BL36" i="2"/>
  <c r="AR36" i="2"/>
  <c r="L36" i="2"/>
  <c r="BH36" i="2"/>
  <c r="AB36" i="2"/>
  <c r="H36" i="2"/>
  <c r="BT36" i="2"/>
  <c r="BD36" i="2"/>
  <c r="AN36" i="2"/>
  <c r="BP36" i="2"/>
  <c r="AZ36" i="2"/>
  <c r="AJ36" i="2"/>
  <c r="T36" i="2"/>
  <c r="X36" i="2"/>
  <c r="E33" i="7"/>
  <c r="D33" i="7"/>
  <c r="C33" i="7"/>
  <c r="C24" i="7"/>
  <c r="D15" i="7"/>
  <c r="E24" i="7"/>
  <c r="C34" i="7"/>
  <c r="E15" i="7"/>
  <c r="G35" i="48"/>
  <c r="H35" i="48"/>
  <c r="F35" i="48"/>
  <c r="F34" i="7"/>
  <c r="AG39" i="51"/>
  <c r="AH37" i="51" s="1"/>
  <c r="KT35" i="1"/>
  <c r="KT34" i="1"/>
  <c r="KT33" i="1"/>
  <c r="D15" i="9"/>
  <c r="C33" i="8"/>
  <c r="D33" i="8"/>
  <c r="C24" i="8"/>
  <c r="D24" i="8"/>
  <c r="D15" i="8"/>
  <c r="E24" i="8"/>
  <c r="C34" i="8"/>
  <c r="E35" i="8" s="1"/>
  <c r="E15" i="8"/>
  <c r="I40" i="8"/>
  <c r="I45" i="8" s="1"/>
  <c r="W117" i="56"/>
  <c r="C33" i="9"/>
  <c r="D33" i="9"/>
  <c r="C24" i="9"/>
  <c r="D24" i="9"/>
  <c r="C34" i="9"/>
  <c r="D35" i="9" s="1"/>
  <c r="E15" i="9"/>
  <c r="E35" i="9"/>
  <c r="C35" i="9"/>
  <c r="X34" i="2"/>
  <c r="AZ35" i="2"/>
  <c r="AJ35" i="2"/>
  <c r="T35" i="2"/>
  <c r="BP35" i="2"/>
  <c r="AV35" i="2"/>
  <c r="AF35" i="2"/>
  <c r="P35" i="2"/>
  <c r="BD35" i="2"/>
  <c r="BL35" i="2"/>
  <c r="AR35" i="2"/>
  <c r="L35" i="2"/>
  <c r="BT35" i="2"/>
  <c r="BH35" i="2"/>
  <c r="AB35" i="2"/>
  <c r="AN35" i="2"/>
  <c r="H35" i="2"/>
  <c r="X35" i="2"/>
  <c r="L34" i="2"/>
  <c r="AR34" i="2"/>
  <c r="BL34" i="2"/>
  <c r="P34" i="2"/>
  <c r="AF34" i="2"/>
  <c r="AV34" i="2"/>
  <c r="BP34" i="2"/>
  <c r="T34" i="2"/>
  <c r="AJ34" i="2"/>
  <c r="AZ34" i="2"/>
  <c r="AB34" i="2"/>
  <c r="AN34" i="2"/>
  <c r="BD34" i="2"/>
  <c r="BT34" i="2"/>
  <c r="BH34" i="2"/>
  <c r="I44" i="8"/>
  <c r="V33" i="48"/>
  <c r="G33" i="48"/>
  <c r="H33" i="48"/>
  <c r="F34" i="8"/>
  <c r="F34" i="9"/>
  <c r="C33" i="10"/>
  <c r="D33" i="10"/>
  <c r="C24" i="10"/>
  <c r="D24" i="10"/>
  <c r="D15" i="10"/>
  <c r="E24" i="10"/>
  <c r="C34" i="10"/>
  <c r="C35" i="10" s="1"/>
  <c r="E15" i="10"/>
  <c r="AZ33" i="2"/>
  <c r="AJ33" i="2"/>
  <c r="T33" i="2"/>
  <c r="BP33" i="2"/>
  <c r="AV33" i="2"/>
  <c r="AF33" i="2"/>
  <c r="P33" i="2"/>
  <c r="X33" i="2"/>
  <c r="BL33" i="2"/>
  <c r="AR33" i="2"/>
  <c r="L33" i="2"/>
  <c r="H33" i="2"/>
  <c r="BH33" i="2"/>
  <c r="AB33" i="2"/>
  <c r="BT33" i="2"/>
  <c r="BD33" i="2"/>
  <c r="AN33" i="2"/>
  <c r="C52" i="10"/>
  <c r="C53" i="10" s="1"/>
  <c r="G32" i="48"/>
  <c r="H32" i="48"/>
  <c r="F34" i="10"/>
  <c r="KT32" i="1"/>
  <c r="KT31" i="1"/>
  <c r="KT30" i="1"/>
  <c r="E33" i="11"/>
  <c r="C33" i="11"/>
  <c r="D24" i="11"/>
  <c r="D15" i="11"/>
  <c r="C15" i="11"/>
  <c r="C24" i="11"/>
  <c r="W105" i="56"/>
  <c r="X105" i="56" s="1"/>
  <c r="E35" i="11"/>
  <c r="D35" i="11"/>
  <c r="C35" i="11"/>
  <c r="BL32" i="2"/>
  <c r="AR32" i="2"/>
  <c r="L32" i="2"/>
  <c r="BH32" i="2"/>
  <c r="AB32" i="2"/>
  <c r="AV32" i="2"/>
  <c r="H32" i="2"/>
  <c r="BT32" i="2"/>
  <c r="BD32" i="2"/>
  <c r="AN32" i="2"/>
  <c r="BP32" i="2"/>
  <c r="AZ32" i="2"/>
  <c r="AJ32" i="2"/>
  <c r="T32" i="2"/>
  <c r="AF32" i="2"/>
  <c r="P32" i="2"/>
  <c r="X32" i="2"/>
  <c r="I40" i="11"/>
  <c r="R31" i="48" s="1"/>
  <c r="I31" i="48" s="1"/>
  <c r="H31" i="48"/>
  <c r="V31" i="48"/>
  <c r="C52" i="11"/>
  <c r="C53" i="11" s="1"/>
  <c r="F34" i="11"/>
  <c r="C33" i="12"/>
  <c r="D33" i="12"/>
  <c r="C24" i="12"/>
  <c r="E24" i="12"/>
  <c r="C34" i="12"/>
  <c r="D35" i="12" s="1"/>
  <c r="D15" i="12"/>
  <c r="E35" i="12"/>
  <c r="I40" i="12"/>
  <c r="I45" i="12" s="1"/>
  <c r="W100" i="56"/>
  <c r="BW31" i="2"/>
  <c r="AB31" i="2" s="1"/>
  <c r="H31" i="2"/>
  <c r="BP31" i="2"/>
  <c r="BF145" i="56"/>
  <c r="R145" i="56"/>
  <c r="C35" i="12"/>
  <c r="V30" i="48"/>
  <c r="G30" i="48"/>
  <c r="H30" i="48"/>
  <c r="F34" i="12"/>
  <c r="C52" i="12"/>
  <c r="C53" i="12" s="1"/>
  <c r="T9" i="45"/>
  <c r="T10" i="45" s="1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T22" i="45" s="1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X9" i="45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X22" i="45" s="1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BG42" i="2"/>
  <c r="BW30" i="2"/>
  <c r="AB30" i="2"/>
  <c r="AV30" i="2"/>
  <c r="T30" i="2"/>
  <c r="AJ30" i="2"/>
  <c r="BP30" i="2"/>
  <c r="AZ30" i="2"/>
  <c r="C33" i="13"/>
  <c r="D33" i="13"/>
  <c r="D24" i="13"/>
  <c r="D15" i="13"/>
  <c r="E24" i="13"/>
  <c r="C34" i="13"/>
  <c r="C35" i="13" s="1"/>
  <c r="E15" i="13"/>
  <c r="BB145" i="56"/>
  <c r="BC145" i="56"/>
  <c r="BD145" i="56"/>
  <c r="BE145" i="56"/>
  <c r="V29" i="48"/>
  <c r="G29" i="48"/>
  <c r="H29" i="48"/>
  <c r="F34" i="13"/>
  <c r="C52" i="13"/>
  <c r="C53" i="13" s="1"/>
  <c r="KT29" i="1"/>
  <c r="KT28" i="1"/>
  <c r="V42" i="1"/>
  <c r="KT27" i="1"/>
  <c r="KV41" i="1"/>
  <c r="EF42" i="1"/>
  <c r="ED42" i="1"/>
  <c r="DZ42" i="1"/>
  <c r="CH42" i="1"/>
  <c r="CD42" i="1"/>
  <c r="BO42" i="1"/>
  <c r="KT26" i="1"/>
  <c r="AZ42" i="1"/>
  <c r="AW42" i="1"/>
  <c r="AN42" i="1"/>
  <c r="S42" i="1"/>
  <c r="P42" i="1"/>
  <c r="KV42" i="1"/>
  <c r="J42" i="1"/>
  <c r="K42" i="1"/>
  <c r="AC40" i="45"/>
  <c r="D33" i="14"/>
  <c r="E33" i="14"/>
  <c r="C34" i="14"/>
  <c r="E35" i="14" s="1"/>
  <c r="C24" i="14"/>
  <c r="D15" i="14"/>
  <c r="D24" i="14"/>
  <c r="E15" i="14"/>
  <c r="E24" i="14"/>
  <c r="D35" i="14"/>
  <c r="W92" i="56"/>
  <c r="O17" i="56"/>
  <c r="C17" i="56" s="1"/>
  <c r="O22" i="56"/>
  <c r="O34" i="56"/>
  <c r="T34" i="56" s="1"/>
  <c r="V67" i="55"/>
  <c r="O67" i="56"/>
  <c r="O77" i="56"/>
  <c r="T77" i="55"/>
  <c r="O30" i="56"/>
  <c r="O48" i="56"/>
  <c r="U53" i="55"/>
  <c r="T53" i="55"/>
  <c r="K11" i="56"/>
  <c r="V11" i="56"/>
  <c r="C11" i="56"/>
  <c r="N10" i="48" s="1"/>
  <c r="U11" i="56"/>
  <c r="T11" i="56"/>
  <c r="P11" i="56"/>
  <c r="C73" i="55"/>
  <c r="O73" i="56"/>
  <c r="O78" i="56"/>
  <c r="O84" i="56"/>
  <c r="O20" i="56"/>
  <c r="K20" i="56" s="1"/>
  <c r="T20" i="55"/>
  <c r="O31" i="56"/>
  <c r="O56" i="56"/>
  <c r="U70" i="55"/>
  <c r="K70" i="55"/>
  <c r="C70" i="55"/>
  <c r="O25" i="56"/>
  <c r="P25" i="56" s="1"/>
  <c r="O38" i="56"/>
  <c r="O76" i="56"/>
  <c r="K76" i="56" s="1"/>
  <c r="O6" i="56"/>
  <c r="U6" i="55"/>
  <c r="AA6" i="55" s="1"/>
  <c r="C52" i="55"/>
  <c r="O52" i="56"/>
  <c r="C62" i="56"/>
  <c r="N21" i="48" s="1"/>
  <c r="K62" i="56"/>
  <c r="X62" i="56" s="1"/>
  <c r="T62" i="56"/>
  <c r="O80" i="56"/>
  <c r="K80" i="55"/>
  <c r="K88" i="55"/>
  <c r="O88" i="56"/>
  <c r="O16" i="56"/>
  <c r="O21" i="56"/>
  <c r="V32" i="55"/>
  <c r="O32" i="56"/>
  <c r="P32" i="56" s="1"/>
  <c r="O57" i="56"/>
  <c r="K72" i="55"/>
  <c r="O72" i="56"/>
  <c r="T26" i="25"/>
  <c r="U26" i="25" s="1"/>
  <c r="W26" i="25" s="1"/>
  <c r="O43" i="56"/>
  <c r="T43" i="56" s="1"/>
  <c r="O69" i="56"/>
  <c r="C69" i="55"/>
  <c r="K11" i="55"/>
  <c r="G4" i="47"/>
  <c r="P62" i="55"/>
  <c r="K6" i="47"/>
  <c r="K7" i="47" s="1"/>
  <c r="P53" i="56"/>
  <c r="P68" i="56"/>
  <c r="O70" i="56"/>
  <c r="U70" i="56" s="1"/>
  <c r="G60" i="47"/>
  <c r="U53" i="56"/>
  <c r="C68" i="56"/>
  <c r="T68" i="56"/>
  <c r="C62" i="55"/>
  <c r="T62" i="55"/>
  <c r="C53" i="56"/>
  <c r="V53" i="56"/>
  <c r="V68" i="56"/>
  <c r="G18" i="47"/>
  <c r="G23" i="47"/>
  <c r="K68" i="56"/>
  <c r="BW29" i="2"/>
  <c r="BD29" i="2" s="1"/>
  <c r="BI29" i="2"/>
  <c r="BI30" i="2" s="1"/>
  <c r="BI31" i="2" s="1"/>
  <c r="BI32" i="2" s="1"/>
  <c r="BI33" i="2" s="1"/>
  <c r="BI34" i="2" s="1"/>
  <c r="BI35" i="2" s="1"/>
  <c r="BI36" i="2" s="1"/>
  <c r="BI37" i="2" s="1"/>
  <c r="BI38" i="2" s="1"/>
  <c r="BI39" i="2" s="1"/>
  <c r="M31" i="2"/>
  <c r="BL29" i="2"/>
  <c r="AZ29" i="2"/>
  <c r="T29" i="2"/>
  <c r="W42" i="2"/>
  <c r="Y29" i="2"/>
  <c r="D40" i="54"/>
  <c r="S145" i="55"/>
  <c r="G10" i="48"/>
  <c r="E10" i="1"/>
  <c r="S9" i="48"/>
  <c r="C8" i="45"/>
  <c r="X9" i="48"/>
  <c r="AC11" i="56"/>
  <c r="L10" i="48"/>
  <c r="H10" i="48" s="1"/>
  <c r="O16" i="45"/>
  <c r="AE16" i="45"/>
  <c r="K16" i="45"/>
  <c r="S16" i="45"/>
  <c r="G16" i="45"/>
  <c r="D13" i="1"/>
  <c r="D13" i="2" s="1"/>
  <c r="V12" i="48"/>
  <c r="B11" i="45"/>
  <c r="F11" i="48"/>
  <c r="S15" i="45"/>
  <c r="G15" i="45"/>
  <c r="O15" i="45"/>
  <c r="W15" i="45"/>
  <c r="K15" i="45"/>
  <c r="AS15" i="45"/>
  <c r="G20" i="45"/>
  <c r="O20" i="45"/>
  <c r="K20" i="45"/>
  <c r="S20" i="45"/>
  <c r="D10" i="1"/>
  <c r="B8" i="45"/>
  <c r="P41" i="48"/>
  <c r="O35" i="45"/>
  <c r="K35" i="45"/>
  <c r="S35" i="45"/>
  <c r="Q9" i="48"/>
  <c r="D11" i="1"/>
  <c r="D11" i="2" s="1"/>
  <c r="B9" i="45"/>
  <c r="V10" i="48"/>
  <c r="E23" i="1"/>
  <c r="E28" i="1"/>
  <c r="B13" i="45"/>
  <c r="AS16" i="45"/>
  <c r="B19" i="45"/>
  <c r="Z19" i="45"/>
  <c r="AS26" i="45"/>
  <c r="B28" i="45"/>
  <c r="B29" i="45"/>
  <c r="Z29" i="45" s="1"/>
  <c r="T2" i="53"/>
  <c r="AJ11" i="48"/>
  <c r="X16" i="48"/>
  <c r="V19" i="48"/>
  <c r="V24" i="48"/>
  <c r="G28" i="48"/>
  <c r="V34" i="48"/>
  <c r="V35" i="48"/>
  <c r="V36" i="48"/>
  <c r="J38" i="48"/>
  <c r="AN38" i="48"/>
  <c r="AL8" i="45"/>
  <c r="AR9" i="45"/>
  <c r="AD11" i="45"/>
  <c r="B12" i="45"/>
  <c r="AL12" i="45" s="1"/>
  <c r="B14" i="45"/>
  <c r="Z14" i="45" s="1"/>
  <c r="B26" i="45"/>
  <c r="Z26" i="45" s="1"/>
  <c r="B31" i="45"/>
  <c r="AL31" i="45" s="1"/>
  <c r="B36" i="45"/>
  <c r="C22" i="56"/>
  <c r="U22" i="56"/>
  <c r="AC68" i="56"/>
  <c r="V76" i="56"/>
  <c r="U76" i="56"/>
  <c r="P76" i="56"/>
  <c r="E12" i="1"/>
  <c r="V17" i="48"/>
  <c r="G21" i="48"/>
  <c r="X21" i="48"/>
  <c r="H28" i="48"/>
  <c r="V37" i="48"/>
  <c r="V38" i="48"/>
  <c r="AD14" i="45"/>
  <c r="B15" i="45"/>
  <c r="AA15" i="45"/>
  <c r="W16" i="45"/>
  <c r="AA20" i="45"/>
  <c r="B21" i="45"/>
  <c r="AR21" i="45"/>
  <c r="C26" i="45"/>
  <c r="B30" i="45"/>
  <c r="Z30" i="45" s="1"/>
  <c r="Z37" i="45"/>
  <c r="K17" i="56"/>
  <c r="P20" i="56"/>
  <c r="V22" i="56"/>
  <c r="P34" i="56"/>
  <c r="K38" i="56"/>
  <c r="X38" i="56" s="1"/>
  <c r="T76" i="56"/>
  <c r="I16" i="48"/>
  <c r="AJ16" i="48"/>
  <c r="X36" i="48"/>
  <c r="B10" i="45"/>
  <c r="AE15" i="45"/>
  <c r="B20" i="45"/>
  <c r="C21" i="45"/>
  <c r="AM21" i="45" s="1"/>
  <c r="B25" i="45"/>
  <c r="B27" i="45"/>
  <c r="AA35" i="45"/>
  <c r="B37" i="45"/>
  <c r="C32" i="56"/>
  <c r="T32" i="56"/>
  <c r="C34" i="56"/>
  <c r="N15" i="48" s="1"/>
  <c r="G15" i="48" s="1"/>
  <c r="P62" i="56"/>
  <c r="V62" i="56"/>
  <c r="C76" i="56"/>
  <c r="E17" i="1"/>
  <c r="I21" i="48"/>
  <c r="X38" i="48"/>
  <c r="C10" i="45"/>
  <c r="AM10" i="45" s="1"/>
  <c r="AL11" i="45"/>
  <c r="B16" i="45"/>
  <c r="Z16" i="45" s="1"/>
  <c r="B17" i="45"/>
  <c r="B33" i="45"/>
  <c r="AL33" i="45" s="1"/>
  <c r="B35" i="45"/>
  <c r="U20" i="56"/>
  <c r="K22" i="56"/>
  <c r="C25" i="56"/>
  <c r="N13" i="48" s="1"/>
  <c r="G13" i="48" s="1"/>
  <c r="U32" i="56"/>
  <c r="U34" i="56"/>
  <c r="AA34" i="56" s="1"/>
  <c r="E22" i="1"/>
  <c r="X22" i="48"/>
  <c r="X27" i="48"/>
  <c r="AR13" i="45"/>
  <c r="AL14" i="45"/>
  <c r="AM15" i="45"/>
  <c r="B18" i="45"/>
  <c r="Z18" i="45" s="1"/>
  <c r="AE21" i="45"/>
  <c r="V22" i="45"/>
  <c r="AD33" i="45"/>
  <c r="B34" i="45"/>
  <c r="V34" i="45" s="1"/>
  <c r="P17" i="56"/>
  <c r="U25" i="56"/>
  <c r="U30" i="56"/>
  <c r="P38" i="56"/>
  <c r="P52" i="56"/>
  <c r="P56" i="56"/>
  <c r="U62" i="56"/>
  <c r="AA62" i="56" s="1"/>
  <c r="V70" i="56"/>
  <c r="T70" i="56"/>
  <c r="C70" i="56"/>
  <c r="P70" i="56"/>
  <c r="K70" i="56"/>
  <c r="K52" i="55"/>
  <c r="V52" i="55"/>
  <c r="U52" i="55"/>
  <c r="AA52" i="55" s="1"/>
  <c r="T52" i="55"/>
  <c r="P52" i="55"/>
  <c r="I17" i="48"/>
  <c r="E20" i="1"/>
  <c r="E37" i="1"/>
  <c r="AR10" i="45"/>
  <c r="V11" i="45"/>
  <c r="AR14" i="45"/>
  <c r="C18" i="45"/>
  <c r="AM18" i="45" s="1"/>
  <c r="AR20" i="45"/>
  <c r="B24" i="45"/>
  <c r="AD24" i="45" s="1"/>
  <c r="AR27" i="45"/>
  <c r="B32" i="45"/>
  <c r="Z143" i="56"/>
  <c r="I2" i="53" s="1"/>
  <c r="AC76" i="56"/>
  <c r="X11" i="48"/>
  <c r="V16" i="48"/>
  <c r="E18" i="1"/>
  <c r="I22" i="48"/>
  <c r="I27" i="48"/>
  <c r="AJ27" i="48"/>
  <c r="V32" i="48"/>
  <c r="I36" i="48"/>
  <c r="H37" i="48"/>
  <c r="E39" i="1"/>
  <c r="AJ38" i="48"/>
  <c r="Z11" i="45"/>
  <c r="V14" i="45"/>
  <c r="AL16" i="45"/>
  <c r="AE18" i="45"/>
  <c r="B22" i="45"/>
  <c r="AD22" i="45" s="1"/>
  <c r="B23" i="45"/>
  <c r="AD23" i="45"/>
  <c r="AR30" i="45"/>
  <c r="AR35" i="45"/>
  <c r="U56" i="56"/>
  <c r="V17" i="55"/>
  <c r="K38" i="55"/>
  <c r="V38" i="55"/>
  <c r="C38" i="55"/>
  <c r="U38" i="55"/>
  <c r="AA38" i="55" s="1"/>
  <c r="T38" i="55"/>
  <c r="P38" i="55"/>
  <c r="K69" i="56"/>
  <c r="V73" i="56"/>
  <c r="V84" i="56"/>
  <c r="V6" i="55"/>
  <c r="V11" i="55"/>
  <c r="U16" i="55"/>
  <c r="V31" i="55"/>
  <c r="C32" i="55"/>
  <c r="T32" i="55"/>
  <c r="T34" i="55"/>
  <c r="V53" i="55"/>
  <c r="C57" i="55"/>
  <c r="K62" i="55"/>
  <c r="V62" i="55"/>
  <c r="C67" i="55"/>
  <c r="T67" i="55"/>
  <c r="K68" i="55"/>
  <c r="V70" i="55"/>
  <c r="U73" i="55"/>
  <c r="C77" i="55"/>
  <c r="C84" i="55"/>
  <c r="U84" i="55"/>
  <c r="AA84" i="55" s="1"/>
  <c r="A11" i="2"/>
  <c r="A12" i="1"/>
  <c r="K84" i="56"/>
  <c r="K6" i="55"/>
  <c r="K16" i="55"/>
  <c r="V20" i="55"/>
  <c r="U25" i="55"/>
  <c r="AA25" i="55" s="1"/>
  <c r="V34" i="55"/>
  <c r="K53" i="55"/>
  <c r="AC53" i="55" s="1"/>
  <c r="U57" i="55"/>
  <c r="P72" i="55"/>
  <c r="K73" i="55"/>
  <c r="V77" i="55"/>
  <c r="P80" i="55"/>
  <c r="P88" i="55"/>
  <c r="C72" i="55"/>
  <c r="T72" i="55"/>
  <c r="AC72" i="55" s="1"/>
  <c r="T80" i="55"/>
  <c r="AC80" i="55" s="1"/>
  <c r="T88" i="55"/>
  <c r="AC88" i="55" s="1"/>
  <c r="K20" i="55"/>
  <c r="P22" i="55"/>
  <c r="P68" i="55"/>
  <c r="P69" i="55"/>
  <c r="U72" i="55"/>
  <c r="C80" i="55"/>
  <c r="U80" i="55"/>
  <c r="AA80" i="55" s="1"/>
  <c r="C88" i="55"/>
  <c r="U88" i="55"/>
  <c r="AA88" i="55" s="1"/>
  <c r="C69" i="56"/>
  <c r="P73" i="56"/>
  <c r="P84" i="56"/>
  <c r="P6" i="55"/>
  <c r="P16" i="55"/>
  <c r="T22" i="55"/>
  <c r="P53" i="55"/>
  <c r="C68" i="55"/>
  <c r="T68" i="55"/>
  <c r="T69" i="55"/>
  <c r="P70" i="55"/>
  <c r="V80" i="55"/>
  <c r="V88" i="55"/>
  <c r="C22" i="55"/>
  <c r="U22" i="55"/>
  <c r="U68" i="55"/>
  <c r="U69" i="55"/>
  <c r="T70" i="55"/>
  <c r="AC70" i="55" s="1"/>
  <c r="C84" i="56"/>
  <c r="N26" i="48" s="1"/>
  <c r="G26" i="48" s="1"/>
  <c r="C11" i="55"/>
  <c r="C16" i="55"/>
  <c r="C53" i="55"/>
  <c r="M40" i="54"/>
  <c r="K34" i="17"/>
  <c r="I40" i="17" s="1"/>
  <c r="M9" i="17"/>
  <c r="M9" i="16" s="1"/>
  <c r="M9" i="15" s="1"/>
  <c r="M9" i="14" s="1"/>
  <c r="AA92" i="56"/>
  <c r="AB92" i="56" s="1"/>
  <c r="X92" i="56"/>
  <c r="D41" i="26"/>
  <c r="E41" i="28"/>
  <c r="D39" i="27"/>
  <c r="E39" i="29"/>
  <c r="I44" i="15"/>
  <c r="I51" i="22"/>
  <c r="I44" i="14"/>
  <c r="J32" i="25"/>
  <c r="I51" i="25"/>
  <c r="I45" i="25"/>
  <c r="I51" i="26"/>
  <c r="I45" i="26"/>
  <c r="M16" i="20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I44" i="20"/>
  <c r="I45" i="20"/>
  <c r="K34" i="21"/>
  <c r="I40" i="21" s="1"/>
  <c r="I45" i="27"/>
  <c r="J57" i="12"/>
  <c r="K34" i="16"/>
  <c r="M17" i="19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J26" i="25"/>
  <c r="J26" i="24"/>
  <c r="J26" i="23" s="1"/>
  <c r="J26" i="21" s="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I40" i="14"/>
  <c r="I45" i="14" s="1"/>
  <c r="J29" i="25"/>
  <c r="J29" i="24"/>
  <c r="J29" i="23" s="1"/>
  <c r="J29" i="21" s="1"/>
  <c r="J29" i="22" s="1"/>
  <c r="J29" i="20" s="1"/>
  <c r="J29" i="19" s="1"/>
  <c r="J29" i="18" s="1"/>
  <c r="J29" i="17" s="1"/>
  <c r="J29" i="16" s="1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K34" i="18"/>
  <c r="I40" i="18" s="1"/>
  <c r="M12" i="26"/>
  <c r="M12" i="25" s="1"/>
  <c r="K34" i="19"/>
  <c r="I40" i="19" s="1"/>
  <c r="I45" i="19" s="1"/>
  <c r="E50" i="25"/>
  <c r="M11" i="28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K34" i="28"/>
  <c r="I40" i="28" s="1"/>
  <c r="D47" i="25"/>
  <c r="E47" i="26"/>
  <c r="D43" i="26"/>
  <c r="E43" i="28"/>
  <c r="D49" i="26"/>
  <c r="E49" i="28"/>
  <c r="D51" i="28"/>
  <c r="E51" i="27"/>
  <c r="I44" i="19"/>
  <c r="I45" i="23"/>
  <c r="K34" i="9"/>
  <c r="M13" i="2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E48" i="25"/>
  <c r="D48" i="24"/>
  <c r="D45" i="25"/>
  <c r="E45" i="26"/>
  <c r="J39" i="29"/>
  <c r="J37" i="27"/>
  <c r="D42" i="28"/>
  <c r="E42" i="27"/>
  <c r="I51" i="31"/>
  <c r="I45" i="31"/>
  <c r="I45" i="6"/>
  <c r="I51" i="6"/>
  <c r="M12" i="24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D46" i="26"/>
  <c r="E46" i="28"/>
  <c r="E50" i="24"/>
  <c r="D50" i="23"/>
  <c r="I45" i="28"/>
  <c r="K34" i="24"/>
  <c r="M8" i="30"/>
  <c r="M8" i="29" s="1"/>
  <c r="M8" i="27" s="1"/>
  <c r="M8" i="28" s="1"/>
  <c r="M8" i="26" s="1"/>
  <c r="M8" i="25" s="1"/>
  <c r="M8" i="24" s="1"/>
  <c r="M8" i="23" s="1"/>
  <c r="M8" i="21" s="1"/>
  <c r="M8" i="22" s="1"/>
  <c r="M8" i="20" s="1"/>
  <c r="M8" i="19" s="1"/>
  <c r="M8" i="18" s="1"/>
  <c r="M8" i="17" s="1"/>
  <c r="M8" i="16" s="1"/>
  <c r="M8" i="15" s="1"/>
  <c r="M8" i="14" s="1"/>
  <c r="M8" i="13" s="1"/>
  <c r="M8" i="12" s="1"/>
  <c r="M8" i="11" s="1"/>
  <c r="M8" i="10" s="1"/>
  <c r="M8" i="9" s="1"/>
  <c r="M8" i="8" s="1"/>
  <c r="M8" i="7" s="1"/>
  <c r="M8" i="6" s="1"/>
  <c r="M8" i="37" s="1"/>
  <c r="M8" i="4" s="1"/>
  <c r="M8" i="43" s="1"/>
  <c r="K34" i="29"/>
  <c r="I45" i="30"/>
  <c r="E38" i="32"/>
  <c r="E52" i="32" s="1"/>
  <c r="E53" i="32" s="1"/>
  <c r="D52" i="32"/>
  <c r="D53" i="32" s="1"/>
  <c r="D38" i="31"/>
  <c r="D40" i="28"/>
  <c r="K34" i="27"/>
  <c r="I40" i="27" s="1"/>
  <c r="E45" i="28"/>
  <c r="E47" i="28"/>
  <c r="D44" i="27"/>
  <c r="E50" i="27"/>
  <c r="M7" i="30"/>
  <c r="J49" i="26"/>
  <c r="K34" i="37"/>
  <c r="I40" i="37" s="1"/>
  <c r="I45" i="37" s="1"/>
  <c r="K34" i="30"/>
  <c r="I40" i="30" s="1"/>
  <c r="K34" i="32"/>
  <c r="I45" i="4"/>
  <c r="I44" i="30"/>
  <c r="J50" i="30"/>
  <c r="I44" i="32"/>
  <c r="I44" i="10"/>
  <c r="I44" i="4"/>
  <c r="M7" i="31"/>
  <c r="M34" i="31" s="1"/>
  <c r="I44" i="11"/>
  <c r="J43" i="31"/>
  <c r="J43" i="32"/>
  <c r="S145" i="56"/>
  <c r="R144" i="56"/>
  <c r="S144" i="56"/>
  <c r="AE8" i="45"/>
  <c r="AM8" i="45"/>
  <c r="AJ22" i="48"/>
  <c r="AD15" i="45"/>
  <c r="V32" i="45"/>
  <c r="AL37" i="45"/>
  <c r="V17" i="45"/>
  <c r="AH35" i="48"/>
  <c r="AL17" i="45"/>
  <c r="AL18" i="45"/>
  <c r="AR19" i="45"/>
  <c r="AS20" i="45"/>
  <c r="AD21" i="45"/>
  <c r="AD25" i="45"/>
  <c r="W26" i="45"/>
  <c r="AS35" i="45"/>
  <c r="AA8" i="45"/>
  <c r="V15" i="45"/>
  <c r="AM16" i="45"/>
  <c r="AA18" i="45"/>
  <c r="AD19" i="45"/>
  <c r="AD32" i="45"/>
  <c r="AD37" i="45"/>
  <c r="AB8" i="45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J8" i="45"/>
  <c r="AJ9" i="45" s="1"/>
  <c r="AJ10" i="45" s="1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J22" i="45" s="1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Z23" i="45"/>
  <c r="AM26" i="45"/>
  <c r="AA16" i="45"/>
  <c r="AR16" i="45"/>
  <c r="AR17" i="45"/>
  <c r="AD8" i="45"/>
  <c r="Z15" i="45"/>
  <c r="V25" i="45"/>
  <c r="AL25" i="45"/>
  <c r="Z28" i="45"/>
  <c r="AL30" i="45"/>
  <c r="AL32" i="45"/>
  <c r="V37" i="45"/>
  <c r="C52" i="24"/>
  <c r="C53" i="24" s="1"/>
  <c r="AH29" i="48"/>
  <c r="AH37" i="48"/>
  <c r="AF9" i="48"/>
  <c r="AS8" i="45"/>
  <c r="AR8" i="45"/>
  <c r="Z10" i="45"/>
  <c r="V16" i="45"/>
  <c r="AD35" i="45"/>
  <c r="AJ17" i="48"/>
  <c r="AJ21" i="48"/>
  <c r="AH34" i="48"/>
  <c r="AJ36" i="48"/>
  <c r="W20" i="45"/>
  <c r="V20" i="45"/>
  <c r="V27" i="45"/>
  <c r="AR29" i="45"/>
  <c r="U40" i="45"/>
  <c r="AK40" i="45"/>
  <c r="AM35" i="45"/>
  <c r="AL35" i="45"/>
  <c r="AE20" i="45"/>
  <c r="AD20" i="45"/>
  <c r="AD27" i="45"/>
  <c r="V9" i="45"/>
  <c r="AD9" i="45"/>
  <c r="AL9" i="45"/>
  <c r="AR11" i="45"/>
  <c r="V13" i="45"/>
  <c r="AD13" i="45"/>
  <c r="AL13" i="45"/>
  <c r="AS18" i="45"/>
  <c r="AR18" i="45"/>
  <c r="AR24" i="45"/>
  <c r="AH10" i="48"/>
  <c r="V10" i="45"/>
  <c r="AD10" i="45"/>
  <c r="AL10" i="45"/>
  <c r="AL15" i="45"/>
  <c r="AM20" i="45"/>
  <c r="AL20" i="45"/>
  <c r="AL27" i="45"/>
  <c r="W35" i="45"/>
  <c r="V35" i="45"/>
  <c r="Y40" i="45"/>
  <c r="AR37" i="45"/>
  <c r="V28" i="45"/>
  <c r="AD28" i="45"/>
  <c r="AL28" i="45"/>
  <c r="Z32" i="45"/>
  <c r="AL36" i="45"/>
  <c r="Z20" i="45"/>
  <c r="W21" i="45"/>
  <c r="AR22" i="45"/>
  <c r="Z27" i="45"/>
  <c r="V31" i="45"/>
  <c r="AD31" i="45"/>
  <c r="AR33" i="45"/>
  <c r="Z35" i="45"/>
  <c r="D35" i="29" l="1"/>
  <c r="C35" i="29"/>
  <c r="J56" i="29"/>
  <c r="J56" i="27" s="1"/>
  <c r="E35" i="29"/>
  <c r="C37" i="45"/>
  <c r="I38" i="48"/>
  <c r="J45" i="33"/>
  <c r="J44" i="33"/>
  <c r="AA105" i="56"/>
  <c r="AB105" i="56" s="1"/>
  <c r="Q144" i="55"/>
  <c r="AX147" i="55" s="1"/>
  <c r="BC145" i="55"/>
  <c r="BB145" i="55"/>
  <c r="BD145" i="55"/>
  <c r="R144" i="55"/>
  <c r="BE145" i="55"/>
  <c r="S144" i="55"/>
  <c r="BF145" i="55"/>
  <c r="P17" i="55"/>
  <c r="C17" i="55"/>
  <c r="T17" i="55"/>
  <c r="U17" i="55"/>
  <c r="AA72" i="55"/>
  <c r="AA16" i="55"/>
  <c r="K17" i="55"/>
  <c r="AC17" i="55" s="1"/>
  <c r="KU42" i="1"/>
  <c r="AL27" i="48"/>
  <c r="AN27" i="48" s="1"/>
  <c r="AL25" i="48"/>
  <c r="D35" i="37"/>
  <c r="C35" i="37"/>
  <c r="G35" i="45"/>
  <c r="E35" i="7"/>
  <c r="K34" i="7"/>
  <c r="D35" i="7"/>
  <c r="C35" i="7"/>
  <c r="AR34" i="45"/>
  <c r="AD34" i="45"/>
  <c r="AL34" i="45"/>
  <c r="AH18" i="51"/>
  <c r="AH22" i="51"/>
  <c r="AH26" i="51"/>
  <c r="AH30" i="51"/>
  <c r="AH7" i="51"/>
  <c r="AH6" i="51"/>
  <c r="AH11" i="51"/>
  <c r="AH10" i="51"/>
  <c r="AH15" i="51"/>
  <c r="AH14" i="51"/>
  <c r="AH27" i="51"/>
  <c r="AH31" i="51"/>
  <c r="AH35" i="51"/>
  <c r="AH8" i="51"/>
  <c r="AH34" i="51"/>
  <c r="AH12" i="51"/>
  <c r="AH16" i="51"/>
  <c r="AH19" i="51"/>
  <c r="AH28" i="51"/>
  <c r="AH23" i="51"/>
  <c r="AH32" i="51"/>
  <c r="AH36" i="51"/>
  <c r="AH9" i="51"/>
  <c r="AH13" i="51"/>
  <c r="AH17" i="51"/>
  <c r="AH20" i="51"/>
  <c r="AH21" i="51"/>
  <c r="AH24" i="51"/>
  <c r="AH25" i="51"/>
  <c r="AH29" i="51"/>
  <c r="AH33" i="51"/>
  <c r="D35" i="8"/>
  <c r="C35" i="8"/>
  <c r="AA117" i="56"/>
  <c r="AB117" i="56" s="1"/>
  <c r="X117" i="56"/>
  <c r="I51" i="8"/>
  <c r="R34" i="48"/>
  <c r="I40" i="9"/>
  <c r="I45" i="9" s="1"/>
  <c r="W113" i="56"/>
  <c r="I46" i="43"/>
  <c r="I47" i="43" s="1"/>
  <c r="K34" i="10"/>
  <c r="E35" i="10"/>
  <c r="D35" i="10"/>
  <c r="AR31" i="45"/>
  <c r="Z31" i="45"/>
  <c r="I51" i="11"/>
  <c r="E32" i="1"/>
  <c r="I45" i="11"/>
  <c r="C30" i="45"/>
  <c r="AE30" i="45" s="1"/>
  <c r="AJ31" i="48"/>
  <c r="AB105" i="55"/>
  <c r="X31" i="48"/>
  <c r="J31" i="48"/>
  <c r="AN31" i="48"/>
  <c r="AS30" i="45"/>
  <c r="AA100" i="56"/>
  <c r="AB100" i="56" s="1"/>
  <c r="X100" i="56"/>
  <c r="AB100" i="55"/>
  <c r="I51" i="12"/>
  <c r="R30" i="48"/>
  <c r="AR31" i="2"/>
  <c r="AJ31" i="2"/>
  <c r="L31" i="2"/>
  <c r="AZ31" i="2"/>
  <c r="BH31" i="2"/>
  <c r="AN31" i="2"/>
  <c r="P31" i="2"/>
  <c r="AF31" i="2"/>
  <c r="BD31" i="2"/>
  <c r="BL31" i="2"/>
  <c r="BW42" i="2"/>
  <c r="BD42" i="2" s="1"/>
  <c r="X31" i="2"/>
  <c r="BT31" i="2"/>
  <c r="AV31" i="2"/>
  <c r="T31" i="2"/>
  <c r="V29" i="45"/>
  <c r="AD29" i="45"/>
  <c r="AN30" i="2"/>
  <c r="BT30" i="2"/>
  <c r="AF30" i="2"/>
  <c r="H30" i="2"/>
  <c r="X30" i="2"/>
  <c r="AR30" i="2"/>
  <c r="BL30" i="2"/>
  <c r="P30" i="2"/>
  <c r="BD30" i="2"/>
  <c r="L30" i="2"/>
  <c r="BH30" i="2"/>
  <c r="E35" i="13"/>
  <c r="K9" i="13"/>
  <c r="K34" i="13" s="1"/>
  <c r="D35" i="13"/>
  <c r="I40" i="13"/>
  <c r="W96" i="56"/>
  <c r="KT42" i="1"/>
  <c r="C35" i="14"/>
  <c r="AB92" i="55"/>
  <c r="P21" i="55"/>
  <c r="K21" i="55"/>
  <c r="V21" i="55"/>
  <c r="U21" i="55"/>
  <c r="C21" i="55"/>
  <c r="T21" i="55"/>
  <c r="V72" i="55"/>
  <c r="P11" i="55"/>
  <c r="AC70" i="56"/>
  <c r="C20" i="56"/>
  <c r="K72" i="56"/>
  <c r="V72" i="56"/>
  <c r="U72" i="56"/>
  <c r="C72" i="56"/>
  <c r="T72" i="56"/>
  <c r="P72" i="56"/>
  <c r="K16" i="56"/>
  <c r="T16" i="56"/>
  <c r="P16" i="56"/>
  <c r="V16" i="56"/>
  <c r="U16" i="56"/>
  <c r="C16" i="56"/>
  <c r="N11" i="48" s="1"/>
  <c r="U31" i="55"/>
  <c r="P31" i="55"/>
  <c r="K31" i="55"/>
  <c r="AC31" i="55" s="1"/>
  <c r="T31" i="55"/>
  <c r="C31" i="55"/>
  <c r="U73" i="56"/>
  <c r="C73" i="56"/>
  <c r="T73" i="56"/>
  <c r="K73" i="56"/>
  <c r="AC73" i="56" s="1"/>
  <c r="U67" i="56"/>
  <c r="K67" i="56"/>
  <c r="V67" i="56"/>
  <c r="P67" i="56"/>
  <c r="T67" i="56"/>
  <c r="C67" i="56"/>
  <c r="N22" i="48" s="1"/>
  <c r="G22" i="48" s="1"/>
  <c r="U11" i="55"/>
  <c r="AA11" i="55" s="1"/>
  <c r="T11" i="55"/>
  <c r="T16" i="55"/>
  <c r="AC16" i="55" s="1"/>
  <c r="V16" i="55"/>
  <c r="U52" i="56"/>
  <c r="AA52" i="56" s="1"/>
  <c r="V52" i="56"/>
  <c r="T52" i="56"/>
  <c r="C52" i="56"/>
  <c r="N19" i="48" s="1"/>
  <c r="G19" i="48" s="1"/>
  <c r="P25" i="55"/>
  <c r="C25" i="55"/>
  <c r="V25" i="55"/>
  <c r="T25" i="55"/>
  <c r="K31" i="56"/>
  <c r="V31" i="56"/>
  <c r="U31" i="56"/>
  <c r="T31" i="56"/>
  <c r="C31" i="56"/>
  <c r="P31" i="56"/>
  <c r="T73" i="55"/>
  <c r="V73" i="55"/>
  <c r="P73" i="55"/>
  <c r="P67" i="55"/>
  <c r="U67" i="55"/>
  <c r="AA67" i="55" s="1"/>
  <c r="K67" i="55"/>
  <c r="AA30" i="56"/>
  <c r="U57" i="56"/>
  <c r="T57" i="56"/>
  <c r="C57" i="56"/>
  <c r="P57" i="56"/>
  <c r="V57" i="56"/>
  <c r="K57" i="56"/>
  <c r="T88" i="56"/>
  <c r="K88" i="56"/>
  <c r="V88" i="56"/>
  <c r="C88" i="56"/>
  <c r="N27" i="48" s="1"/>
  <c r="G27" i="48" s="1"/>
  <c r="P88" i="56"/>
  <c r="U88" i="56"/>
  <c r="AA88" i="56" s="1"/>
  <c r="K25" i="56"/>
  <c r="L13" i="48" s="1"/>
  <c r="V25" i="56"/>
  <c r="P20" i="55"/>
  <c r="U20" i="55"/>
  <c r="AA20" i="55" s="1"/>
  <c r="C20" i="55"/>
  <c r="P48" i="55"/>
  <c r="V48" i="55"/>
  <c r="U48" i="55"/>
  <c r="AA48" i="55" s="1"/>
  <c r="T48" i="55"/>
  <c r="K48" i="55"/>
  <c r="C48" i="55"/>
  <c r="P34" i="55"/>
  <c r="K34" i="55"/>
  <c r="U34" i="55"/>
  <c r="AA34" i="55" s="1"/>
  <c r="V69" i="55"/>
  <c r="K69" i="55"/>
  <c r="AC69" i="55" s="1"/>
  <c r="P57" i="55"/>
  <c r="V57" i="55"/>
  <c r="K57" i="55"/>
  <c r="T57" i="55"/>
  <c r="U48" i="56"/>
  <c r="C48" i="56"/>
  <c r="N18" i="48" s="1"/>
  <c r="G18" i="48" s="1"/>
  <c r="V48" i="56"/>
  <c r="T48" i="56"/>
  <c r="P48" i="56"/>
  <c r="K48" i="56"/>
  <c r="V34" i="56"/>
  <c r="K34" i="56"/>
  <c r="AA56" i="56"/>
  <c r="C6" i="55"/>
  <c r="T6" i="55"/>
  <c r="K25" i="55"/>
  <c r="C34" i="55"/>
  <c r="V20" i="56"/>
  <c r="T25" i="56"/>
  <c r="AC25" i="56" s="1"/>
  <c r="T20" i="56"/>
  <c r="K52" i="56"/>
  <c r="U69" i="56"/>
  <c r="P69" i="56"/>
  <c r="V69" i="56"/>
  <c r="T69" i="56"/>
  <c r="V32" i="56"/>
  <c r="K32" i="56"/>
  <c r="U6" i="56"/>
  <c r="K6" i="56"/>
  <c r="C6" i="56"/>
  <c r="N9" i="48" s="1"/>
  <c r="V6" i="56"/>
  <c r="T6" i="56"/>
  <c r="P6" i="56"/>
  <c r="U84" i="56"/>
  <c r="T84" i="56"/>
  <c r="K30" i="56"/>
  <c r="V30" i="56"/>
  <c r="C30" i="56"/>
  <c r="N14" i="48" s="1"/>
  <c r="G14" i="48" s="1"/>
  <c r="T30" i="56"/>
  <c r="P30" i="56"/>
  <c r="P22" i="56"/>
  <c r="T22" i="56"/>
  <c r="AC22" i="56" s="1"/>
  <c r="AC67" i="55"/>
  <c r="V43" i="56"/>
  <c r="K43" i="56"/>
  <c r="C43" i="56"/>
  <c r="N17" i="48" s="1"/>
  <c r="G17" i="48" s="1"/>
  <c r="U43" i="56"/>
  <c r="AA43" i="56" s="1"/>
  <c r="P43" i="56"/>
  <c r="P32" i="55"/>
  <c r="U32" i="55"/>
  <c r="K32" i="55"/>
  <c r="C80" i="56"/>
  <c r="N25" i="48" s="1"/>
  <c r="G25" i="48" s="1"/>
  <c r="K80" i="56"/>
  <c r="U80" i="56"/>
  <c r="AA80" i="56" s="1"/>
  <c r="V80" i="56"/>
  <c r="T80" i="56"/>
  <c r="P80" i="56"/>
  <c r="K76" i="55"/>
  <c r="T76" i="55"/>
  <c r="V76" i="55"/>
  <c r="U76" i="55"/>
  <c r="C76" i="55"/>
  <c r="P76" i="55"/>
  <c r="T84" i="55"/>
  <c r="K84" i="55"/>
  <c r="V84" i="55"/>
  <c r="P84" i="55"/>
  <c r="P30" i="55"/>
  <c r="U30" i="55"/>
  <c r="AA30" i="55" s="1"/>
  <c r="C30" i="55"/>
  <c r="T30" i="55"/>
  <c r="K30" i="55"/>
  <c r="V30" i="55"/>
  <c r="V22" i="55"/>
  <c r="K22" i="55"/>
  <c r="AC22" i="55" s="1"/>
  <c r="P43" i="55"/>
  <c r="T43" i="55"/>
  <c r="K43" i="55"/>
  <c r="V43" i="55"/>
  <c r="C43" i="55"/>
  <c r="U43" i="55"/>
  <c r="AA43" i="55" s="1"/>
  <c r="T21" i="56"/>
  <c r="U21" i="56"/>
  <c r="AA20" i="56" s="1"/>
  <c r="K21" i="56"/>
  <c r="V21" i="56"/>
  <c r="C21" i="56"/>
  <c r="P21" i="56"/>
  <c r="K56" i="55"/>
  <c r="T56" i="55"/>
  <c r="V56" i="55"/>
  <c r="U56" i="55"/>
  <c r="AA56" i="55" s="1"/>
  <c r="C56" i="55"/>
  <c r="P56" i="55"/>
  <c r="P78" i="55"/>
  <c r="V78" i="55"/>
  <c r="K78" i="55"/>
  <c r="AC78" i="55" s="1"/>
  <c r="U78" i="55"/>
  <c r="T78" i="55"/>
  <c r="C78" i="55"/>
  <c r="P77" i="55"/>
  <c r="K77" i="55"/>
  <c r="AC77" i="55" s="1"/>
  <c r="U77" i="55"/>
  <c r="AC62" i="56"/>
  <c r="AB62" i="56" s="1"/>
  <c r="L21" i="48"/>
  <c r="U38" i="56"/>
  <c r="AA38" i="56" s="1"/>
  <c r="V38" i="56"/>
  <c r="C38" i="56"/>
  <c r="N16" i="48" s="1"/>
  <c r="G16" i="48" s="1"/>
  <c r="T38" i="56"/>
  <c r="AC38" i="56" s="1"/>
  <c r="AB38" i="56" s="1"/>
  <c r="V56" i="56"/>
  <c r="T56" i="56"/>
  <c r="K56" i="56"/>
  <c r="C56" i="56"/>
  <c r="N20" i="48" s="1"/>
  <c r="G20" i="48" s="1"/>
  <c r="U78" i="56"/>
  <c r="K78" i="56"/>
  <c r="V78" i="56"/>
  <c r="T78" i="56"/>
  <c r="AC78" i="56" s="1"/>
  <c r="C78" i="56"/>
  <c r="P78" i="56"/>
  <c r="T77" i="56"/>
  <c r="K77" i="56"/>
  <c r="X76" i="56" s="1"/>
  <c r="V77" i="56"/>
  <c r="U77" i="56"/>
  <c r="C77" i="56"/>
  <c r="P77" i="56"/>
  <c r="T17" i="56"/>
  <c r="V17" i="56"/>
  <c r="U17" i="56"/>
  <c r="X29" i="2"/>
  <c r="BH29" i="2"/>
  <c r="H29" i="2"/>
  <c r="BT29" i="2"/>
  <c r="AB29" i="2"/>
  <c r="AR29" i="2"/>
  <c r="AV29" i="2"/>
  <c r="BP29" i="2"/>
  <c r="AN29" i="2"/>
  <c r="P29" i="2"/>
  <c r="BX29" i="2"/>
  <c r="N29" i="2" s="1"/>
  <c r="L29" i="2"/>
  <c r="AJ29" i="2"/>
  <c r="AF29" i="2"/>
  <c r="Y30" i="2"/>
  <c r="Z29" i="2"/>
  <c r="BF29" i="2"/>
  <c r="R29" i="2"/>
  <c r="BN29" i="2"/>
  <c r="AT29" i="2"/>
  <c r="BR29" i="2"/>
  <c r="BV29" i="2"/>
  <c r="J29" i="2"/>
  <c r="BB29" i="2"/>
  <c r="BJ29" i="2"/>
  <c r="AD29" i="2"/>
  <c r="AP29" i="2"/>
  <c r="V29" i="2"/>
  <c r="BX30" i="2"/>
  <c r="AX29" i="2"/>
  <c r="M32" i="2"/>
  <c r="D47" i="24"/>
  <c r="E47" i="25"/>
  <c r="J36" i="45"/>
  <c r="R36" i="45"/>
  <c r="F36" i="45"/>
  <c r="N36" i="45"/>
  <c r="Z36" i="45"/>
  <c r="AR36" i="45"/>
  <c r="AD36" i="45"/>
  <c r="AD12" i="45"/>
  <c r="I51" i="37"/>
  <c r="R37" i="48"/>
  <c r="D50" i="21"/>
  <c r="E50" i="23"/>
  <c r="E48" i="24"/>
  <c r="D48" i="23"/>
  <c r="I51" i="28"/>
  <c r="R15" i="48"/>
  <c r="I51" i="21"/>
  <c r="I45" i="21"/>
  <c r="R20" i="48"/>
  <c r="AC20" i="55"/>
  <c r="AL12" i="48"/>
  <c r="J23" i="45"/>
  <c r="AR23" i="45"/>
  <c r="R23" i="45"/>
  <c r="F23" i="45"/>
  <c r="N23" i="45"/>
  <c r="E37" i="2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IS37" i="1"/>
  <c r="HR37" i="1"/>
  <c r="GB37" i="1"/>
  <c r="FA37" i="1"/>
  <c r="DZ37" i="1"/>
  <c r="CJ37" i="1"/>
  <c r="BI37" i="1"/>
  <c r="AH37" i="1"/>
  <c r="JE37" i="1"/>
  <c r="ID37" i="1"/>
  <c r="GN37" i="1"/>
  <c r="FM37" i="1"/>
  <c r="EL37" i="1"/>
  <c r="CV37" i="1"/>
  <c r="BU37" i="1"/>
  <c r="AT37" i="1"/>
  <c r="IP37" i="1"/>
  <c r="GZ37" i="1"/>
  <c r="FY37" i="1"/>
  <c r="EX37" i="1"/>
  <c r="DH37" i="1"/>
  <c r="CG37" i="1"/>
  <c r="BF37" i="1"/>
  <c r="P37" i="1"/>
  <c r="JB37" i="1"/>
  <c r="HL37" i="1"/>
  <c r="GK37" i="1"/>
  <c r="FJ37" i="1"/>
  <c r="DT37" i="1"/>
  <c r="CS37" i="1"/>
  <c r="BR37" i="1"/>
  <c r="AB37" i="1"/>
  <c r="HX37" i="1"/>
  <c r="GW37" i="1"/>
  <c r="FV37" i="1"/>
  <c r="EF37" i="1"/>
  <c r="DE37" i="1"/>
  <c r="CD37" i="1"/>
  <c r="AN37" i="1"/>
  <c r="M37" i="1"/>
  <c r="IJ37" i="1"/>
  <c r="HI37" i="1"/>
  <c r="GH37" i="1"/>
  <c r="ER37" i="1"/>
  <c r="DQ37" i="1"/>
  <c r="CP37" i="1"/>
  <c r="AZ37" i="1"/>
  <c r="Y37" i="1"/>
  <c r="HF37" i="1"/>
  <c r="FP37" i="1"/>
  <c r="EC37" i="1"/>
  <c r="AW37" i="1"/>
  <c r="J37" i="1"/>
  <c r="JH37" i="1"/>
  <c r="HU37" i="1"/>
  <c r="EO37" i="1"/>
  <c r="DB37" i="1"/>
  <c r="BL37" i="1"/>
  <c r="V37" i="1"/>
  <c r="IG37" i="1"/>
  <c r="GT37" i="1"/>
  <c r="FD37" i="1"/>
  <c r="IV37" i="1"/>
  <c r="AK37" i="1"/>
  <c r="BX37" i="1"/>
  <c r="DN37" i="1"/>
  <c r="E20" i="2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CV20" i="1"/>
  <c r="CJ20" i="1"/>
  <c r="BX20" i="1"/>
  <c r="BL20" i="1"/>
  <c r="AZ20" i="1"/>
  <c r="AN20" i="1"/>
  <c r="AB20" i="1"/>
  <c r="P20" i="1"/>
  <c r="JE20" i="1"/>
  <c r="IS20" i="1"/>
  <c r="IG20" i="1"/>
  <c r="HU20" i="1"/>
  <c r="HI20" i="1"/>
  <c r="GW20" i="1"/>
  <c r="GK20" i="1"/>
  <c r="FY20" i="1"/>
  <c r="FM20" i="1"/>
  <c r="FA20" i="1"/>
  <c r="EO20" i="1"/>
  <c r="EC20" i="1"/>
  <c r="DQ20" i="1"/>
  <c r="DE20" i="1"/>
  <c r="CS20" i="1"/>
  <c r="CG20" i="1"/>
  <c r="BU20" i="1"/>
  <c r="BI20" i="1"/>
  <c r="AW20" i="1"/>
  <c r="AK20" i="1"/>
  <c r="Y20" i="1"/>
  <c r="M20" i="1"/>
  <c r="JB20" i="1"/>
  <c r="IP20" i="1"/>
  <c r="ID20" i="1"/>
  <c r="HR20" i="1"/>
  <c r="HF20" i="1"/>
  <c r="GT20" i="1"/>
  <c r="GH20" i="1"/>
  <c r="FV20" i="1"/>
  <c r="FJ20" i="1"/>
  <c r="EX20" i="1"/>
  <c r="EL20" i="1"/>
  <c r="DZ20" i="1"/>
  <c r="DN20" i="1"/>
  <c r="DB20" i="1"/>
  <c r="CP20" i="1"/>
  <c r="CD20" i="1"/>
  <c r="BR20" i="1"/>
  <c r="BF20" i="1"/>
  <c r="AT20" i="1"/>
  <c r="AH20" i="1"/>
  <c r="V20" i="1"/>
  <c r="J20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F35" i="45"/>
  <c r="N35" i="45"/>
  <c r="J35" i="45"/>
  <c r="R35" i="45"/>
  <c r="F17" i="45"/>
  <c r="N17" i="45"/>
  <c r="Z17" i="45"/>
  <c r="J17" i="45"/>
  <c r="R17" i="45"/>
  <c r="AC17" i="56"/>
  <c r="L11" i="48"/>
  <c r="R30" i="45"/>
  <c r="F30" i="45"/>
  <c r="AD30" i="45"/>
  <c r="N30" i="45"/>
  <c r="V30" i="45"/>
  <c r="J30" i="45"/>
  <c r="R21" i="45"/>
  <c r="F21" i="45"/>
  <c r="Z21" i="45"/>
  <c r="N21" i="45"/>
  <c r="AL21" i="45"/>
  <c r="V21" i="45"/>
  <c r="J21" i="45"/>
  <c r="E12" i="2"/>
  <c r="DH12" i="1"/>
  <c r="CV12" i="1"/>
  <c r="CJ12" i="1"/>
  <c r="BX12" i="1"/>
  <c r="BL12" i="1"/>
  <c r="AZ12" i="1"/>
  <c r="AN12" i="1"/>
  <c r="AB12" i="1"/>
  <c r="JB12" i="1"/>
  <c r="IP12" i="1"/>
  <c r="ID12" i="1"/>
  <c r="HR12" i="1"/>
  <c r="HF12" i="1"/>
  <c r="GT12" i="1"/>
  <c r="GH12" i="1"/>
  <c r="FV12" i="1"/>
  <c r="FJ12" i="1"/>
  <c r="EX12" i="1"/>
  <c r="EL12" i="1"/>
  <c r="DZ12" i="1"/>
  <c r="DN12" i="1"/>
  <c r="CY12" i="1"/>
  <c r="BI12" i="1"/>
  <c r="AH12" i="1"/>
  <c r="IY12" i="1"/>
  <c r="IM12" i="1"/>
  <c r="IA12" i="1"/>
  <c r="HO12" i="1"/>
  <c r="HC12" i="1"/>
  <c r="GQ12" i="1"/>
  <c r="GE12" i="1"/>
  <c r="FS12" i="1"/>
  <c r="FG12" i="1"/>
  <c r="EU12" i="1"/>
  <c r="EI12" i="1"/>
  <c r="DW12" i="1"/>
  <c r="DK12" i="1"/>
  <c r="CG12" i="1"/>
  <c r="BF12" i="1"/>
  <c r="AE12" i="1"/>
  <c r="JH12" i="1"/>
  <c r="IV12" i="1"/>
  <c r="IJ12" i="1"/>
  <c r="HX12" i="1"/>
  <c r="HL12" i="1"/>
  <c r="GZ12" i="1"/>
  <c r="GN12" i="1"/>
  <c r="GB12" i="1"/>
  <c r="FP12" i="1"/>
  <c r="FD12" i="1"/>
  <c r="ER12" i="1"/>
  <c r="EF12" i="1"/>
  <c r="DT12" i="1"/>
  <c r="DE12" i="1"/>
  <c r="CD12" i="1"/>
  <c r="BC12" i="1"/>
  <c r="JE12" i="1"/>
  <c r="IS12" i="1"/>
  <c r="IG12" i="1"/>
  <c r="HU12" i="1"/>
  <c r="HI12" i="1"/>
  <c r="GW12" i="1"/>
  <c r="GK12" i="1"/>
  <c r="FY12" i="1"/>
  <c r="FM12" i="1"/>
  <c r="FA12" i="1"/>
  <c r="EO12" i="1"/>
  <c r="EC12" i="1"/>
  <c r="DQ12" i="1"/>
  <c r="DB12" i="1"/>
  <c r="CA12" i="1"/>
  <c r="AK12" i="1"/>
  <c r="BO12" i="1"/>
  <c r="P12" i="1"/>
  <c r="CS12" i="1"/>
  <c r="AT12" i="1"/>
  <c r="Y12" i="1"/>
  <c r="M12" i="1"/>
  <c r="CP12" i="1"/>
  <c r="AQ12" i="1"/>
  <c r="BU12" i="1"/>
  <c r="V12" i="1"/>
  <c r="J12" i="1"/>
  <c r="CM12" i="1"/>
  <c r="BR12" i="1"/>
  <c r="S12" i="1"/>
  <c r="G12" i="1"/>
  <c r="AW12" i="1"/>
  <c r="N12" i="54"/>
  <c r="X20" i="56"/>
  <c r="G10" i="45"/>
  <c r="O10" i="45"/>
  <c r="K10" i="45"/>
  <c r="S10" i="45"/>
  <c r="D40" i="26"/>
  <c r="E40" i="28"/>
  <c r="I40" i="29"/>
  <c r="W25" i="56"/>
  <c r="X25" i="56" s="1"/>
  <c r="D51" i="26"/>
  <c r="E51" i="28"/>
  <c r="AB80" i="55"/>
  <c r="AC73" i="55"/>
  <c r="AB72" i="55" s="1"/>
  <c r="AL23" i="48"/>
  <c r="AC69" i="56"/>
  <c r="L22" i="48"/>
  <c r="O18" i="45"/>
  <c r="W18" i="45"/>
  <c r="K18" i="45"/>
  <c r="S18" i="45"/>
  <c r="G18" i="45"/>
  <c r="N34" i="45"/>
  <c r="Z34" i="45"/>
  <c r="J34" i="45"/>
  <c r="R34" i="45"/>
  <c r="F34" i="45"/>
  <c r="AD16" i="45"/>
  <c r="R27" i="45"/>
  <c r="F27" i="45"/>
  <c r="N27" i="45"/>
  <c r="J27" i="45"/>
  <c r="L19" i="48"/>
  <c r="AL23" i="45"/>
  <c r="W10" i="45"/>
  <c r="J13" i="45"/>
  <c r="R13" i="45"/>
  <c r="F13" i="45"/>
  <c r="N13" i="45"/>
  <c r="Z13" i="45"/>
  <c r="AB88" i="55"/>
  <c r="J26" i="45"/>
  <c r="R26" i="45"/>
  <c r="F26" i="45"/>
  <c r="N26" i="45"/>
  <c r="AS10" i="45"/>
  <c r="J44" i="32"/>
  <c r="J49" i="25"/>
  <c r="J50" i="26"/>
  <c r="D38" i="30"/>
  <c r="E38" i="31"/>
  <c r="E52" i="31" s="1"/>
  <c r="E53" i="31" s="1"/>
  <c r="D52" i="31"/>
  <c r="D53" i="31" s="1"/>
  <c r="E42" i="28"/>
  <c r="D42" i="26"/>
  <c r="E39" i="27"/>
  <c r="D39" i="28"/>
  <c r="I51" i="17"/>
  <c r="I45" i="17"/>
  <c r="R25" i="48"/>
  <c r="AL11" i="48"/>
  <c r="AN11" i="48" s="1"/>
  <c r="AC38" i="55"/>
  <c r="AL16" i="48"/>
  <c r="AN16" i="48" s="1"/>
  <c r="J22" i="45"/>
  <c r="R22" i="45"/>
  <c r="F22" i="45"/>
  <c r="N22" i="45"/>
  <c r="N24" i="45"/>
  <c r="AL24" i="45"/>
  <c r="V24" i="45"/>
  <c r="J24" i="45"/>
  <c r="R24" i="45"/>
  <c r="F24" i="45"/>
  <c r="AA25" i="56"/>
  <c r="N18" i="45"/>
  <c r="V18" i="45"/>
  <c r="J18" i="45"/>
  <c r="R18" i="45"/>
  <c r="AD18" i="45"/>
  <c r="F18" i="45"/>
  <c r="F33" i="45"/>
  <c r="N33" i="45"/>
  <c r="J33" i="45"/>
  <c r="R33" i="45"/>
  <c r="F16" i="45"/>
  <c r="N16" i="45"/>
  <c r="J16" i="45"/>
  <c r="R16" i="45"/>
  <c r="L16" i="48"/>
  <c r="AD26" i="45"/>
  <c r="F9" i="45"/>
  <c r="N9" i="45"/>
  <c r="Z9" i="45"/>
  <c r="J9" i="45"/>
  <c r="R9" i="45"/>
  <c r="V41" i="48"/>
  <c r="D45" i="24"/>
  <c r="E45" i="25"/>
  <c r="AC68" i="55"/>
  <c r="AL22" i="48"/>
  <c r="AN22" i="48" s="1"/>
  <c r="J12" i="45"/>
  <c r="R12" i="45"/>
  <c r="F12" i="45"/>
  <c r="N12" i="45"/>
  <c r="J44" i="31"/>
  <c r="M34" i="30"/>
  <c r="M7" i="29"/>
  <c r="J37" i="28"/>
  <c r="J39" i="27"/>
  <c r="E49" i="26"/>
  <c r="D49" i="25"/>
  <c r="I40" i="16"/>
  <c r="W84" i="56"/>
  <c r="AC11" i="55"/>
  <c r="AL10" i="48"/>
  <c r="AC62" i="55"/>
  <c r="AB62" i="55" s="1"/>
  <c r="AL21" i="48"/>
  <c r="AN21" i="48" s="1"/>
  <c r="AD17" i="45"/>
  <c r="Z33" i="45"/>
  <c r="AR25" i="45"/>
  <c r="R25" i="45"/>
  <c r="F25" i="45"/>
  <c r="N25" i="45"/>
  <c r="J25" i="45"/>
  <c r="E32" i="2"/>
  <c r="JB32" i="1"/>
  <c r="IP32" i="1"/>
  <c r="ID32" i="1"/>
  <c r="HR32" i="1"/>
  <c r="HF32" i="1"/>
  <c r="GT32" i="1"/>
  <c r="GH32" i="1"/>
  <c r="FV32" i="1"/>
  <c r="FJ32" i="1"/>
  <c r="EX32" i="1"/>
  <c r="EL32" i="1"/>
  <c r="DZ32" i="1"/>
  <c r="DN32" i="1"/>
  <c r="DB32" i="1"/>
  <c r="CP32" i="1"/>
  <c r="CD32" i="1"/>
  <c r="BR32" i="1"/>
  <c r="BF32" i="1"/>
  <c r="AT32" i="1"/>
  <c r="AH32" i="1"/>
  <c r="V32" i="1"/>
  <c r="J32" i="1"/>
  <c r="IY32" i="1"/>
  <c r="IM32" i="1"/>
  <c r="IA32" i="1"/>
  <c r="HO32" i="1"/>
  <c r="HC32" i="1"/>
  <c r="GQ32" i="1"/>
  <c r="GE32" i="1"/>
  <c r="FS32" i="1"/>
  <c r="FG32" i="1"/>
  <c r="EU32" i="1"/>
  <c r="EI32" i="1"/>
  <c r="DW32" i="1"/>
  <c r="DK32" i="1"/>
  <c r="CY32" i="1"/>
  <c r="CM32" i="1"/>
  <c r="CA32" i="1"/>
  <c r="BO32" i="1"/>
  <c r="BC32" i="1"/>
  <c r="AQ32" i="1"/>
  <c r="AE32" i="1"/>
  <c r="S32" i="1"/>
  <c r="G32" i="1"/>
  <c r="JH32" i="1"/>
  <c r="IV32" i="1"/>
  <c r="IJ32" i="1"/>
  <c r="HX32" i="1"/>
  <c r="HL32" i="1"/>
  <c r="GZ32" i="1"/>
  <c r="GN32" i="1"/>
  <c r="HI32" i="1"/>
  <c r="FY32" i="1"/>
  <c r="ER32" i="1"/>
  <c r="EC32" i="1"/>
  <c r="CV32" i="1"/>
  <c r="CG32" i="1"/>
  <c r="AZ32" i="1"/>
  <c r="AK32" i="1"/>
  <c r="IS32" i="1"/>
  <c r="GK32" i="1"/>
  <c r="FD32" i="1"/>
  <c r="EO32" i="1"/>
  <c r="DH32" i="1"/>
  <c r="CS32" i="1"/>
  <c r="BL32" i="1"/>
  <c r="AW32" i="1"/>
  <c r="P32" i="1"/>
  <c r="HU32" i="1"/>
  <c r="JE32" i="1"/>
  <c r="FP32" i="1"/>
  <c r="FA32" i="1"/>
  <c r="DT32" i="1"/>
  <c r="DE32" i="1"/>
  <c r="BX32" i="1"/>
  <c r="BI32" i="1"/>
  <c r="AB32" i="1"/>
  <c r="M32" i="1"/>
  <c r="GW32" i="1"/>
  <c r="IG32" i="1"/>
  <c r="CJ32" i="1"/>
  <c r="Y32" i="1"/>
  <c r="FM32" i="1"/>
  <c r="AN32" i="1"/>
  <c r="GB32" i="1"/>
  <c r="DQ32" i="1"/>
  <c r="EF32" i="1"/>
  <c r="BU32" i="1"/>
  <c r="S26" i="45"/>
  <c r="G26" i="45"/>
  <c r="AE26" i="45"/>
  <c r="O26" i="45"/>
  <c r="AA26" i="45"/>
  <c r="K26" i="45"/>
  <c r="B40" i="45"/>
  <c r="AL40" i="45" s="1"/>
  <c r="R8" i="45"/>
  <c r="Z8" i="45"/>
  <c r="F8" i="45"/>
  <c r="N8" i="45"/>
  <c r="V8" i="45"/>
  <c r="J8" i="45"/>
  <c r="L12" i="48"/>
  <c r="J11" i="45"/>
  <c r="R11" i="45"/>
  <c r="F11" i="45"/>
  <c r="N11" i="45"/>
  <c r="AA10" i="45"/>
  <c r="AR12" i="45"/>
  <c r="J43" i="30"/>
  <c r="I40" i="32"/>
  <c r="W11" i="56"/>
  <c r="I40" i="24"/>
  <c r="W48" i="56"/>
  <c r="E46" i="26"/>
  <c r="D46" i="25"/>
  <c r="I51" i="19"/>
  <c r="R23" i="48"/>
  <c r="J57" i="11"/>
  <c r="E41" i="26"/>
  <c r="D41" i="25"/>
  <c r="AC6" i="55"/>
  <c r="AL9" i="48"/>
  <c r="AL26" i="45"/>
  <c r="E18" i="2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AB6" i="55"/>
  <c r="N32" i="45"/>
  <c r="J32" i="45"/>
  <c r="AR32" i="45"/>
  <c r="R32" i="45"/>
  <c r="F32" i="45"/>
  <c r="Z22" i="45"/>
  <c r="AE10" i="45"/>
  <c r="Z25" i="45"/>
  <c r="J31" i="45"/>
  <c r="R31" i="45"/>
  <c r="F31" i="45"/>
  <c r="N31" i="45"/>
  <c r="AL29" i="45"/>
  <c r="J29" i="45"/>
  <c r="R29" i="45"/>
  <c r="F29" i="45"/>
  <c r="N29" i="45"/>
  <c r="E28" i="2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E28" i="1"/>
  <c r="IS28" i="1"/>
  <c r="IG28" i="1"/>
  <c r="HU28" i="1"/>
  <c r="HI28" i="1"/>
  <c r="GW28" i="1"/>
  <c r="GK28" i="1"/>
  <c r="FY28" i="1"/>
  <c r="FM28" i="1"/>
  <c r="FA28" i="1"/>
  <c r="EO28" i="1"/>
  <c r="EC28" i="1"/>
  <c r="DQ28" i="1"/>
  <c r="DE28" i="1"/>
  <c r="CS28" i="1"/>
  <c r="CG28" i="1"/>
  <c r="BU28" i="1"/>
  <c r="BI28" i="1"/>
  <c r="AW28" i="1"/>
  <c r="AK28" i="1"/>
  <c r="Y28" i="1"/>
  <c r="M28" i="1"/>
  <c r="JB28" i="1"/>
  <c r="IP28" i="1"/>
  <c r="ID28" i="1"/>
  <c r="HR28" i="1"/>
  <c r="HF28" i="1"/>
  <c r="GT28" i="1"/>
  <c r="GH28" i="1"/>
  <c r="FV28" i="1"/>
  <c r="FJ28" i="1"/>
  <c r="EX28" i="1"/>
  <c r="EL28" i="1"/>
  <c r="DZ28" i="1"/>
  <c r="DN28" i="1"/>
  <c r="DB28" i="1"/>
  <c r="CP28" i="1"/>
  <c r="CD28" i="1"/>
  <c r="BR28" i="1"/>
  <c r="BF28" i="1"/>
  <c r="AT28" i="1"/>
  <c r="AH28" i="1"/>
  <c r="V28" i="1"/>
  <c r="J28" i="1"/>
  <c r="IY28" i="1"/>
  <c r="IM28" i="1"/>
  <c r="IA28" i="1"/>
  <c r="HO28" i="1"/>
  <c r="HC28" i="1"/>
  <c r="GQ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Q10" i="48"/>
  <c r="W9" i="48"/>
  <c r="D10" i="2"/>
  <c r="D42" i="2" s="1"/>
  <c r="D41" i="1"/>
  <c r="AC20" i="56"/>
  <c r="H13" i="48"/>
  <c r="AH13" i="48"/>
  <c r="S8" i="45"/>
  <c r="G8" i="45"/>
  <c r="O8" i="45"/>
  <c r="W8" i="45"/>
  <c r="K8" i="45"/>
  <c r="X52" i="56"/>
  <c r="A12" i="2"/>
  <c r="A13" i="1"/>
  <c r="E10" i="2"/>
  <c r="CY10" i="1"/>
  <c r="CM10" i="1"/>
  <c r="CA10" i="1"/>
  <c r="BO10" i="1"/>
  <c r="BC10" i="1"/>
  <c r="AQ10" i="1"/>
  <c r="AE10" i="1"/>
  <c r="S10" i="1"/>
  <c r="G10" i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DH10" i="1"/>
  <c r="CV10" i="1"/>
  <c r="CJ10" i="1"/>
  <c r="BX10" i="1"/>
  <c r="BL10" i="1"/>
  <c r="AZ10" i="1"/>
  <c r="AN10" i="1"/>
  <c r="AB10" i="1"/>
  <c r="P10" i="1"/>
  <c r="JH10" i="1"/>
  <c r="IV10" i="1"/>
  <c r="IJ10" i="1"/>
  <c r="HX10" i="1"/>
  <c r="HL10" i="1"/>
  <c r="GZ10" i="1"/>
  <c r="GN10" i="1"/>
  <c r="GB10" i="1"/>
  <c r="FP10" i="1"/>
  <c r="FD10" i="1"/>
  <c r="ER10" i="1"/>
  <c r="EF10" i="1"/>
  <c r="DT10" i="1"/>
  <c r="DE10" i="1"/>
  <c r="CS10" i="1"/>
  <c r="CG10" i="1"/>
  <c r="BU10" i="1"/>
  <c r="BI10" i="1"/>
  <c r="AW10" i="1"/>
  <c r="AK10" i="1"/>
  <c r="Y10" i="1"/>
  <c r="M10" i="1"/>
  <c r="JE10" i="1"/>
  <c r="IS10" i="1"/>
  <c r="IG10" i="1"/>
  <c r="HU10" i="1"/>
  <c r="HI10" i="1"/>
  <c r="GW10" i="1"/>
  <c r="GK10" i="1"/>
  <c r="FY10" i="1"/>
  <c r="FM10" i="1"/>
  <c r="FA10" i="1"/>
  <c r="EO10" i="1"/>
  <c r="EC10" i="1"/>
  <c r="DQ10" i="1"/>
  <c r="DB10" i="1"/>
  <c r="CP10" i="1"/>
  <c r="CD10" i="1"/>
  <c r="BR10" i="1"/>
  <c r="BF10" i="1"/>
  <c r="AT10" i="1"/>
  <c r="AH10" i="1"/>
  <c r="V10" i="1"/>
  <c r="J10" i="1"/>
  <c r="JB10" i="1"/>
  <c r="IP10" i="1"/>
  <c r="ID10" i="1"/>
  <c r="HR10" i="1"/>
  <c r="HF10" i="1"/>
  <c r="GT10" i="1"/>
  <c r="GH10" i="1"/>
  <c r="FV10" i="1"/>
  <c r="FJ10" i="1"/>
  <c r="EX10" i="1"/>
  <c r="EL10" i="1"/>
  <c r="DZ10" i="1"/>
  <c r="DN10" i="1"/>
  <c r="AR26" i="45"/>
  <c r="Z12" i="45"/>
  <c r="V12" i="45"/>
  <c r="I51" i="30"/>
  <c r="R12" i="48"/>
  <c r="I51" i="27"/>
  <c r="R14" i="48"/>
  <c r="I51" i="9"/>
  <c r="R33" i="48"/>
  <c r="E43" i="26"/>
  <c r="D43" i="25"/>
  <c r="I51" i="14"/>
  <c r="R28" i="48"/>
  <c r="AC84" i="56"/>
  <c r="L26" i="48"/>
  <c r="V26" i="45"/>
  <c r="E39" i="2"/>
  <c r="IY39" i="1"/>
  <c r="IM39" i="1"/>
  <c r="IA39" i="1"/>
  <c r="HO39" i="1"/>
  <c r="HC39" i="1"/>
  <c r="GQ39" i="1"/>
  <c r="GE39" i="1"/>
  <c r="FS39" i="1"/>
  <c r="FG39" i="1"/>
  <c r="EU39" i="1"/>
  <c r="EI39" i="1"/>
  <c r="DW39" i="1"/>
  <c r="DK39" i="1"/>
  <c r="CY39" i="1"/>
  <c r="CM39" i="1"/>
  <c r="CA39" i="1"/>
  <c r="BO39" i="1"/>
  <c r="BC39" i="1"/>
  <c r="AQ39" i="1"/>
  <c r="AE39" i="1"/>
  <c r="S39" i="1"/>
  <c r="G39" i="1"/>
  <c r="JH39" i="1"/>
  <c r="IV39" i="1"/>
  <c r="IJ39" i="1"/>
  <c r="HX39" i="1"/>
  <c r="HL39" i="1"/>
  <c r="GZ39" i="1"/>
  <c r="GN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JB39" i="1"/>
  <c r="HU39" i="1"/>
  <c r="HF39" i="1"/>
  <c r="FY39" i="1"/>
  <c r="FJ39" i="1"/>
  <c r="EC39" i="1"/>
  <c r="DN39" i="1"/>
  <c r="CG39" i="1"/>
  <c r="BR39" i="1"/>
  <c r="AK39" i="1"/>
  <c r="V39" i="1"/>
  <c r="IG39" i="1"/>
  <c r="HR39" i="1"/>
  <c r="GK39" i="1"/>
  <c r="FV39" i="1"/>
  <c r="EO39" i="1"/>
  <c r="DZ39" i="1"/>
  <c r="CS39" i="1"/>
  <c r="CD39" i="1"/>
  <c r="AW39" i="1"/>
  <c r="AH39" i="1"/>
  <c r="IS39" i="1"/>
  <c r="ID39" i="1"/>
  <c r="GW39" i="1"/>
  <c r="GH39" i="1"/>
  <c r="FA39" i="1"/>
  <c r="EL39" i="1"/>
  <c r="DE39" i="1"/>
  <c r="CP39" i="1"/>
  <c r="BI39" i="1"/>
  <c r="AT39" i="1"/>
  <c r="M39" i="1"/>
  <c r="HI39" i="1"/>
  <c r="EX39" i="1"/>
  <c r="Y39" i="1"/>
  <c r="FM39" i="1"/>
  <c r="DB39" i="1"/>
  <c r="IP39" i="1"/>
  <c r="DQ39" i="1"/>
  <c r="BF39" i="1"/>
  <c r="GT39" i="1"/>
  <c r="JE39" i="1"/>
  <c r="J39" i="1"/>
  <c r="BU39" i="1"/>
  <c r="AC52" i="55"/>
  <c r="AB52" i="55" s="1"/>
  <c r="AL19" i="48"/>
  <c r="AN19" i="48" s="1"/>
  <c r="S21" i="45"/>
  <c r="G21" i="45"/>
  <c r="AA21" i="45"/>
  <c r="O21" i="45"/>
  <c r="AS21" i="45"/>
  <c r="K21" i="45"/>
  <c r="R10" i="45"/>
  <c r="F10" i="45"/>
  <c r="N10" i="45"/>
  <c r="J10" i="45"/>
  <c r="J14" i="45"/>
  <c r="R14" i="45"/>
  <c r="F14" i="45"/>
  <c r="N14" i="45"/>
  <c r="V19" i="45"/>
  <c r="AL19" i="45"/>
  <c r="J19" i="45"/>
  <c r="R19" i="45"/>
  <c r="F19" i="45"/>
  <c r="N19" i="45"/>
  <c r="J56" i="28"/>
  <c r="AB38" i="55"/>
  <c r="V36" i="45"/>
  <c r="E44" i="27"/>
  <c r="D44" i="28"/>
  <c r="I51" i="18"/>
  <c r="I45" i="18"/>
  <c r="R24" i="48"/>
  <c r="AC25" i="55"/>
  <c r="Z24" i="45"/>
  <c r="V23" i="45"/>
  <c r="E22" i="2"/>
  <c r="IY22" i="1"/>
  <c r="IM22" i="1"/>
  <c r="IA22" i="1"/>
  <c r="HO22" i="1"/>
  <c r="HC22" i="1"/>
  <c r="GQ22" i="1"/>
  <c r="GE22" i="1"/>
  <c r="FS22" i="1"/>
  <c r="FG22" i="1"/>
  <c r="EU22" i="1"/>
  <c r="EI22" i="1"/>
  <c r="DW22" i="1"/>
  <c r="DK22" i="1"/>
  <c r="CY22" i="1"/>
  <c r="CM22" i="1"/>
  <c r="CA22" i="1"/>
  <c r="BO22" i="1"/>
  <c r="BC22" i="1"/>
  <c r="AQ22" i="1"/>
  <c r="AE22" i="1"/>
  <c r="S22" i="1"/>
  <c r="G22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E17" i="2"/>
  <c r="JE17" i="1"/>
  <c r="IS17" i="1"/>
  <c r="IG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JB17" i="1"/>
  <c r="IP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IY17" i="1"/>
  <c r="IM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HL17" i="1"/>
  <c r="DT17" i="1"/>
  <c r="AB17" i="1"/>
  <c r="IV17" i="1"/>
  <c r="FD17" i="1"/>
  <c r="BL17" i="1"/>
  <c r="GN17" i="1"/>
  <c r="CV17" i="1"/>
  <c r="HX17" i="1"/>
  <c r="EF17" i="1"/>
  <c r="AN17" i="1"/>
  <c r="JH17" i="1"/>
  <c r="FP17" i="1"/>
  <c r="BX17" i="1"/>
  <c r="GZ17" i="1"/>
  <c r="DH17" i="1"/>
  <c r="P17" i="1"/>
  <c r="IJ17" i="1"/>
  <c r="ER17" i="1"/>
  <c r="AZ17" i="1"/>
  <c r="GB17" i="1"/>
  <c r="CJ17" i="1"/>
  <c r="R37" i="45"/>
  <c r="F37" i="45"/>
  <c r="N37" i="45"/>
  <c r="J37" i="45"/>
  <c r="S30" i="45"/>
  <c r="G30" i="45"/>
  <c r="O30" i="45"/>
  <c r="K30" i="45"/>
  <c r="R20" i="45"/>
  <c r="F20" i="45"/>
  <c r="N20" i="45"/>
  <c r="J20" i="45"/>
  <c r="V33" i="45"/>
  <c r="AL22" i="45"/>
  <c r="AR15" i="45"/>
  <c r="R15" i="45"/>
  <c r="F15" i="45"/>
  <c r="N15" i="45"/>
  <c r="J15" i="45"/>
  <c r="J28" i="45"/>
  <c r="AR28" i="45"/>
  <c r="R28" i="45"/>
  <c r="F28" i="45"/>
  <c r="N28" i="45"/>
  <c r="E23" i="2"/>
  <c r="JB23" i="1"/>
  <c r="IP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IY23" i="1"/>
  <c r="IM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IS23" i="1"/>
  <c r="FA23" i="1"/>
  <c r="BI23" i="1"/>
  <c r="GK23" i="1"/>
  <c r="CS23" i="1"/>
  <c r="HU23" i="1"/>
  <c r="EC23" i="1"/>
  <c r="AK23" i="1"/>
  <c r="JE23" i="1"/>
  <c r="FM23" i="1"/>
  <c r="BU23" i="1"/>
  <c r="GW23" i="1"/>
  <c r="DE23" i="1"/>
  <c r="M23" i="1"/>
  <c r="IG23" i="1"/>
  <c r="EO23" i="1"/>
  <c r="AW23" i="1"/>
  <c r="FY23" i="1"/>
  <c r="CG23" i="1"/>
  <c r="HI23" i="1"/>
  <c r="DQ23" i="1"/>
  <c r="Y23" i="1"/>
  <c r="Y9" i="48"/>
  <c r="E12" i="54"/>
  <c r="AG9" i="48"/>
  <c r="AF41" i="48"/>
  <c r="AJ9" i="48"/>
  <c r="G37" i="45" l="1"/>
  <c r="AE37" i="45"/>
  <c r="AM37" i="45"/>
  <c r="AS37" i="45"/>
  <c r="O37" i="45"/>
  <c r="AA37" i="45"/>
  <c r="W37" i="45"/>
  <c r="K37" i="45"/>
  <c r="S37" i="45"/>
  <c r="N24" i="48"/>
  <c r="G24" i="48" s="1"/>
  <c r="C143" i="55"/>
  <c r="AA76" i="55"/>
  <c r="I48" i="43"/>
  <c r="AA76" i="56"/>
  <c r="U143" i="55"/>
  <c r="AA16" i="56"/>
  <c r="AA72" i="56"/>
  <c r="P143" i="56"/>
  <c r="O143" i="56" s="1"/>
  <c r="K143" i="55"/>
  <c r="X152" i="55" s="1"/>
  <c r="AC52" i="56"/>
  <c r="AB52" i="56" s="1"/>
  <c r="V143" i="56"/>
  <c r="I10" i="53" s="1"/>
  <c r="E29" i="54" s="1"/>
  <c r="T143" i="55"/>
  <c r="V143" i="55"/>
  <c r="T10" i="53" s="1"/>
  <c r="AC31" i="56"/>
  <c r="AC21" i="55"/>
  <c r="AC67" i="56"/>
  <c r="P143" i="55"/>
  <c r="O143" i="55" s="1"/>
  <c r="I40" i="7"/>
  <c r="AH39" i="51"/>
  <c r="C33" i="45"/>
  <c r="J34" i="48"/>
  <c r="E35" i="1"/>
  <c r="I34" i="48"/>
  <c r="AJ34" i="48"/>
  <c r="AN34" i="48"/>
  <c r="X34" i="48"/>
  <c r="AA113" i="56"/>
  <c r="AB113" i="56" s="1"/>
  <c r="X113" i="56"/>
  <c r="I40" i="10"/>
  <c r="W109" i="56"/>
  <c r="W30" i="45"/>
  <c r="AM30" i="45"/>
  <c r="AA30" i="45"/>
  <c r="AV42" i="2"/>
  <c r="BL42" i="2"/>
  <c r="H42" i="2"/>
  <c r="AB42" i="2"/>
  <c r="AF42" i="2"/>
  <c r="BT42" i="2"/>
  <c r="AJ42" i="2"/>
  <c r="AR42" i="2"/>
  <c r="AZ42" i="2"/>
  <c r="BH42" i="2"/>
  <c r="X42" i="2"/>
  <c r="BP42" i="2"/>
  <c r="BX42" i="2"/>
  <c r="AN42" i="2"/>
  <c r="C29" i="45"/>
  <c r="I30" i="48"/>
  <c r="AN30" i="48"/>
  <c r="X30" i="48"/>
  <c r="J30" i="48"/>
  <c r="AJ30" i="48"/>
  <c r="E31" i="1"/>
  <c r="M9" i="13"/>
  <c r="M9" i="12" s="1"/>
  <c r="M9" i="11" s="1"/>
  <c r="M9" i="10" s="1"/>
  <c r="M9" i="9" s="1"/>
  <c r="M9" i="8" s="1"/>
  <c r="M9" i="7" s="1"/>
  <c r="M9" i="6" s="1"/>
  <c r="M9" i="37" s="1"/>
  <c r="M9" i="4" s="1"/>
  <c r="M9" i="43" s="1"/>
  <c r="AB96" i="55"/>
  <c r="AA96" i="56"/>
  <c r="AB96" i="56" s="1"/>
  <c r="X96" i="56"/>
  <c r="I45" i="13"/>
  <c r="R29" i="48"/>
  <c r="I51" i="13"/>
  <c r="Z40" i="45"/>
  <c r="V40" i="45"/>
  <c r="AB20" i="56"/>
  <c r="AC21" i="56"/>
  <c r="X80" i="56"/>
  <c r="L25" i="48"/>
  <c r="AC80" i="56"/>
  <c r="AB80" i="56" s="1"/>
  <c r="L17" i="48"/>
  <c r="X43" i="56"/>
  <c r="L15" i="48"/>
  <c r="X34" i="56"/>
  <c r="AL15" i="48"/>
  <c r="AC34" i="55"/>
  <c r="AB34" i="55" s="1"/>
  <c r="N12" i="48"/>
  <c r="G12" i="48" s="1"/>
  <c r="H21" i="48"/>
  <c r="J21" i="48"/>
  <c r="AH21" i="48"/>
  <c r="AC56" i="55"/>
  <c r="AB56" i="55" s="1"/>
  <c r="AL20" i="48"/>
  <c r="AN20" i="48" s="1"/>
  <c r="AC88" i="56"/>
  <c r="L27" i="48"/>
  <c r="X88" i="56"/>
  <c r="X16" i="56"/>
  <c r="AC16" i="56"/>
  <c r="AB16" i="56" s="1"/>
  <c r="AC77" i="56"/>
  <c r="AB76" i="56" s="1"/>
  <c r="AC56" i="56"/>
  <c r="L20" i="48"/>
  <c r="J20" i="48" s="1"/>
  <c r="X56" i="56"/>
  <c r="L24" i="48"/>
  <c r="O9" i="48"/>
  <c r="O10" i="48" s="1"/>
  <c r="O11" i="48" s="1"/>
  <c r="G9" i="48"/>
  <c r="AC48" i="56"/>
  <c r="L18" i="48"/>
  <c r="AA67" i="56"/>
  <c r="AB67" i="56" s="1"/>
  <c r="AB67" i="55"/>
  <c r="AC76" i="55"/>
  <c r="AL24" i="48"/>
  <c r="L9" i="48"/>
  <c r="X6" i="56"/>
  <c r="AC6" i="56"/>
  <c r="AC48" i="55"/>
  <c r="AL18" i="48"/>
  <c r="AC43" i="56"/>
  <c r="AB43" i="56" s="1"/>
  <c r="AL13" i="48"/>
  <c r="AB16" i="55"/>
  <c r="C143" i="56"/>
  <c r="AC43" i="55"/>
  <c r="AB43" i="55" s="1"/>
  <c r="AL17" i="48"/>
  <c r="AN17" i="48" s="1"/>
  <c r="AL26" i="48"/>
  <c r="AC84" i="55"/>
  <c r="AB84" i="55" s="1"/>
  <c r="L14" i="48"/>
  <c r="AC30" i="56"/>
  <c r="AB30" i="56" s="1"/>
  <c r="X30" i="56"/>
  <c r="AA6" i="56"/>
  <c r="U143" i="56"/>
  <c r="T143" i="56"/>
  <c r="N23" i="48"/>
  <c r="G23" i="48" s="1"/>
  <c r="AC34" i="56"/>
  <c r="AB34" i="56" s="1"/>
  <c r="AB20" i="55"/>
  <c r="AC30" i="55"/>
  <c r="AL14" i="48"/>
  <c r="AN14" i="48" s="1"/>
  <c r="AB88" i="56"/>
  <c r="N41" i="48"/>
  <c r="G41" i="48" s="1"/>
  <c r="G11" i="48"/>
  <c r="K143" i="56"/>
  <c r="X67" i="56"/>
  <c r="AB56" i="56"/>
  <c r="AB25" i="56"/>
  <c r="AC72" i="56"/>
  <c r="AB72" i="56" s="1"/>
  <c r="L23" i="48"/>
  <c r="J23" i="48" s="1"/>
  <c r="X72" i="56"/>
  <c r="AH29" i="2"/>
  <c r="AL29" i="2"/>
  <c r="Y31" i="2"/>
  <c r="Z30" i="2"/>
  <c r="BV30" i="2"/>
  <c r="BB30" i="2"/>
  <c r="AH30" i="2"/>
  <c r="BF30" i="2"/>
  <c r="BJ30" i="2"/>
  <c r="R30" i="2"/>
  <c r="AP30" i="2"/>
  <c r="V30" i="2"/>
  <c r="AL30" i="2"/>
  <c r="BR30" i="2"/>
  <c r="AX30" i="2"/>
  <c r="AD30" i="2"/>
  <c r="J30" i="2"/>
  <c r="BX31" i="2"/>
  <c r="BN30" i="2"/>
  <c r="AT30" i="2"/>
  <c r="N30" i="2"/>
  <c r="M33" i="2"/>
  <c r="BY17" i="2"/>
  <c r="E25" i="1"/>
  <c r="J24" i="48"/>
  <c r="I24" i="48"/>
  <c r="X24" i="48"/>
  <c r="C23" i="45"/>
  <c r="AN24" i="48"/>
  <c r="AJ24" i="48"/>
  <c r="H26" i="48"/>
  <c r="AH26" i="48"/>
  <c r="E34" i="1"/>
  <c r="C32" i="45"/>
  <c r="AN33" i="48"/>
  <c r="J33" i="48"/>
  <c r="I33" i="48"/>
  <c r="AJ33" i="48"/>
  <c r="X33" i="48"/>
  <c r="E24" i="1"/>
  <c r="AN23" i="48"/>
  <c r="I23" i="48"/>
  <c r="C22" i="45"/>
  <c r="X23" i="48"/>
  <c r="AJ23" i="48"/>
  <c r="X11" i="56"/>
  <c r="W143" i="56"/>
  <c r="AA11" i="56"/>
  <c r="M34" i="29"/>
  <c r="M7" i="27"/>
  <c r="D42" i="25"/>
  <c r="E42" i="26"/>
  <c r="BY12" i="2"/>
  <c r="E16" i="1"/>
  <c r="I15" i="48"/>
  <c r="X15" i="48"/>
  <c r="AN15" i="48"/>
  <c r="C14" i="45"/>
  <c r="J15" i="48"/>
  <c r="AJ15" i="48"/>
  <c r="BY22" i="2"/>
  <c r="AM9" i="48"/>
  <c r="AN9" i="48"/>
  <c r="X84" i="56"/>
  <c r="AA84" i="56"/>
  <c r="AB84" i="56" s="1"/>
  <c r="BY20" i="2"/>
  <c r="AB25" i="55"/>
  <c r="J56" i="26"/>
  <c r="I51" i="32"/>
  <c r="J40" i="32"/>
  <c r="R10" i="48"/>
  <c r="I45" i="32"/>
  <c r="BY32" i="2"/>
  <c r="E26" i="1"/>
  <c r="C24" i="45"/>
  <c r="X25" i="48"/>
  <c r="AN25" i="48"/>
  <c r="J25" i="48"/>
  <c r="I25" i="48"/>
  <c r="AJ25" i="48"/>
  <c r="I51" i="29"/>
  <c r="I45" i="29"/>
  <c r="R13" i="48"/>
  <c r="BY37" i="2"/>
  <c r="BY23" i="2"/>
  <c r="E29" i="1"/>
  <c r="X28" i="48"/>
  <c r="C27" i="45"/>
  <c r="AN28" i="48"/>
  <c r="J28" i="48"/>
  <c r="I28" i="48"/>
  <c r="AJ28" i="48"/>
  <c r="E15" i="1"/>
  <c r="J14" i="48"/>
  <c r="I14" i="48"/>
  <c r="X14" i="48"/>
  <c r="C13" i="45"/>
  <c r="AJ14" i="48"/>
  <c r="E46" i="25"/>
  <c r="D46" i="24"/>
  <c r="J44" i="30"/>
  <c r="J43" i="29"/>
  <c r="I51" i="16"/>
  <c r="R26" i="48"/>
  <c r="I45" i="16"/>
  <c r="J16" i="48"/>
  <c r="H16" i="48"/>
  <c r="AH16" i="48"/>
  <c r="D48" i="21"/>
  <c r="E48" i="23"/>
  <c r="E47" i="24"/>
  <c r="D47" i="23"/>
  <c r="D44" i="26"/>
  <c r="E44" i="28"/>
  <c r="E41" i="25"/>
  <c r="D41" i="24"/>
  <c r="E49" i="25"/>
  <c r="D49" i="24"/>
  <c r="E45" i="24"/>
  <c r="D45" i="23"/>
  <c r="E38" i="30"/>
  <c r="E52" i="30" s="1"/>
  <c r="E53" i="30" s="1"/>
  <c r="D38" i="29"/>
  <c r="D52" i="30"/>
  <c r="D53" i="30" s="1"/>
  <c r="E40" i="26"/>
  <c r="D40" i="25"/>
  <c r="E21" i="1"/>
  <c r="X20" i="48"/>
  <c r="C19" i="45"/>
  <c r="I20" i="48"/>
  <c r="AJ20" i="48"/>
  <c r="X48" i="56"/>
  <c r="AA48" i="56"/>
  <c r="AB48" i="56" s="1"/>
  <c r="H12" i="48"/>
  <c r="AH12" i="48"/>
  <c r="N40" i="45"/>
  <c r="J40" i="45"/>
  <c r="R40" i="45"/>
  <c r="F40" i="45"/>
  <c r="AD40" i="45"/>
  <c r="BY39" i="2"/>
  <c r="E43" i="25"/>
  <c r="D43" i="24"/>
  <c r="E13" i="1"/>
  <c r="J12" i="48"/>
  <c r="X12" i="48"/>
  <c r="C11" i="45"/>
  <c r="AN12" i="48"/>
  <c r="I12" i="48"/>
  <c r="AJ12" i="48"/>
  <c r="BY10" i="2"/>
  <c r="F10" i="2"/>
  <c r="BZ10" i="2" s="1"/>
  <c r="Q11" i="48"/>
  <c r="W10" i="48"/>
  <c r="BY18" i="2"/>
  <c r="J57" i="10"/>
  <c r="AB48" i="55"/>
  <c r="E39" i="28"/>
  <c r="D39" i="26"/>
  <c r="AH11" i="48"/>
  <c r="J11" i="48"/>
  <c r="H11" i="48"/>
  <c r="E50" i="21"/>
  <c r="D50" i="22"/>
  <c r="A13" i="2"/>
  <c r="A14" i="1"/>
  <c r="BY28" i="2"/>
  <c r="I51" i="24"/>
  <c r="R18" i="48"/>
  <c r="I45" i="24"/>
  <c r="J39" i="28"/>
  <c r="J37" i="26"/>
  <c r="J49" i="24"/>
  <c r="J50" i="25"/>
  <c r="AH19" i="48"/>
  <c r="J19" i="48"/>
  <c r="H19" i="48"/>
  <c r="H22" i="48"/>
  <c r="J22" i="48"/>
  <c r="AH22" i="48"/>
  <c r="E51" i="26"/>
  <c r="D51" i="25"/>
  <c r="E38" i="1"/>
  <c r="X37" i="48"/>
  <c r="C36" i="45"/>
  <c r="J37" i="48"/>
  <c r="AN37" i="48"/>
  <c r="I37" i="48"/>
  <c r="AJ37" i="48"/>
  <c r="AK9" i="48"/>
  <c r="AG10" i="48"/>
  <c r="AH41" i="48"/>
  <c r="X151" i="55" l="1"/>
  <c r="T8" i="53"/>
  <c r="U2" i="53" s="1"/>
  <c r="O12" i="54" s="1"/>
  <c r="P12" i="54" s="1"/>
  <c r="V144" i="55"/>
  <c r="V144" i="56"/>
  <c r="AH144" i="56" s="1"/>
  <c r="X158" i="56" s="1"/>
  <c r="E11" i="54"/>
  <c r="E26" i="54"/>
  <c r="E16" i="54"/>
  <c r="E5" i="54"/>
  <c r="E25" i="54"/>
  <c r="E36" i="54"/>
  <c r="E27" i="54"/>
  <c r="E31" i="54"/>
  <c r="E19" i="54"/>
  <c r="E10" i="54"/>
  <c r="E21" i="54"/>
  <c r="E24" i="54"/>
  <c r="E7" i="54"/>
  <c r="E9" i="54"/>
  <c r="E28" i="54"/>
  <c r="E18" i="54"/>
  <c r="E20" i="54"/>
  <c r="E23" i="54"/>
  <c r="E32" i="54"/>
  <c r="E4" i="54"/>
  <c r="E37" i="54"/>
  <c r="E39" i="54"/>
  <c r="E17" i="54"/>
  <c r="E34" i="54"/>
  <c r="E30" i="54"/>
  <c r="E8" i="54"/>
  <c r="E38" i="54"/>
  <c r="E35" i="54"/>
  <c r="E22" i="54"/>
  <c r="E33" i="54"/>
  <c r="E6" i="54"/>
  <c r="AB6" i="56"/>
  <c r="AB30" i="55"/>
  <c r="AL41" i="48"/>
  <c r="AB76" i="55"/>
  <c r="X121" i="56"/>
  <c r="AA121" i="56"/>
  <c r="AB121" i="56" s="1"/>
  <c r="R35" i="48"/>
  <c r="I51" i="7"/>
  <c r="I45" i="7"/>
  <c r="HO35" i="1"/>
  <c r="DW35" i="1"/>
  <c r="AE35" i="1"/>
  <c r="DB35" i="1"/>
  <c r="EO35" i="1"/>
  <c r="FA35" i="1"/>
  <c r="FM35" i="1"/>
  <c r="EX35" i="1"/>
  <c r="FJ35" i="1"/>
  <c r="HI35" i="1"/>
  <c r="ER35" i="1"/>
  <c r="HC35" i="1"/>
  <c r="DK35" i="1"/>
  <c r="S35" i="1"/>
  <c r="BL35" i="1"/>
  <c r="DN35" i="1"/>
  <c r="DZ35" i="1"/>
  <c r="EL35" i="1"/>
  <c r="DH35" i="1"/>
  <c r="DT35" i="1"/>
  <c r="FV35" i="1"/>
  <c r="DE35" i="1"/>
  <c r="GQ35" i="1"/>
  <c r="CY35" i="1"/>
  <c r="G35" i="1"/>
  <c r="AK35" i="1"/>
  <c r="BX35" i="1"/>
  <c r="CJ35" i="1"/>
  <c r="CV35" i="1"/>
  <c r="CG35" i="1"/>
  <c r="CS35" i="1"/>
  <c r="EF35" i="1"/>
  <c r="IJ35" i="1"/>
  <c r="GE35" i="1"/>
  <c r="CM35" i="1"/>
  <c r="IV35" i="1"/>
  <c r="J35" i="1"/>
  <c r="AW35" i="1"/>
  <c r="BI35" i="1"/>
  <c r="BU35" i="1"/>
  <c r="BF35" i="1"/>
  <c r="BR35" i="1"/>
  <c r="CP35" i="1"/>
  <c r="GW35" i="1"/>
  <c r="E35" i="2"/>
  <c r="BY35" i="2" s="1"/>
  <c r="FS35" i="1"/>
  <c r="CA35" i="1"/>
  <c r="HU35" i="1"/>
  <c r="JH35" i="1"/>
  <c r="V35" i="1"/>
  <c r="AH35" i="1"/>
  <c r="AT35" i="1"/>
  <c r="P35" i="1"/>
  <c r="AB35" i="1"/>
  <c r="AZ35" i="1"/>
  <c r="Y35" i="1"/>
  <c r="IY35" i="1"/>
  <c r="FG35" i="1"/>
  <c r="BO35" i="1"/>
  <c r="GT35" i="1"/>
  <c r="IG35" i="1"/>
  <c r="IS35" i="1"/>
  <c r="JE35" i="1"/>
  <c r="IP35" i="1"/>
  <c r="JB35" i="1"/>
  <c r="DQ35" i="1"/>
  <c r="M35" i="1"/>
  <c r="IM35" i="1"/>
  <c r="EU35" i="1"/>
  <c r="BC35" i="1"/>
  <c r="FD35" i="1"/>
  <c r="HF35" i="1"/>
  <c r="HR35" i="1"/>
  <c r="ID35" i="1"/>
  <c r="GZ35" i="1"/>
  <c r="HL35" i="1"/>
  <c r="CD35" i="1"/>
  <c r="HX35" i="1"/>
  <c r="IA35" i="1"/>
  <c r="EI35" i="1"/>
  <c r="AQ35" i="1"/>
  <c r="EC35" i="1"/>
  <c r="FP35" i="1"/>
  <c r="GB35" i="1"/>
  <c r="GN35" i="1"/>
  <c r="FY35" i="1"/>
  <c r="GK35" i="1"/>
  <c r="AN35" i="1"/>
  <c r="GH35" i="1"/>
  <c r="G33" i="45"/>
  <c r="AS33" i="45"/>
  <c r="W33" i="45"/>
  <c r="O33" i="45"/>
  <c r="AE33" i="45"/>
  <c r="AA33" i="45"/>
  <c r="K33" i="45"/>
  <c r="AM33" i="45"/>
  <c r="S33" i="45"/>
  <c r="AA109" i="56"/>
  <c r="AB109" i="56" s="1"/>
  <c r="X109" i="56"/>
  <c r="R32" i="48"/>
  <c r="I51" i="10"/>
  <c r="I45" i="10"/>
  <c r="AB109" i="55"/>
  <c r="HR31" i="1"/>
  <c r="DZ31" i="1"/>
  <c r="AH31" i="1"/>
  <c r="GQ31" i="1"/>
  <c r="CY31" i="1"/>
  <c r="G31" i="1"/>
  <c r="HF31" i="1"/>
  <c r="DN31" i="1"/>
  <c r="V31" i="1"/>
  <c r="GE31" i="1"/>
  <c r="CM31" i="1"/>
  <c r="IY31" i="1"/>
  <c r="FD31" i="1"/>
  <c r="BL31" i="1"/>
  <c r="AW31" i="1"/>
  <c r="BI31" i="1"/>
  <c r="M31" i="1"/>
  <c r="GT31" i="1"/>
  <c r="DB31" i="1"/>
  <c r="J31" i="1"/>
  <c r="E31" i="2"/>
  <c r="BY31" i="2" s="1"/>
  <c r="GH31" i="1"/>
  <c r="CP31" i="1"/>
  <c r="JB31" i="1"/>
  <c r="FG31" i="1"/>
  <c r="BO31" i="1"/>
  <c r="HX31" i="1"/>
  <c r="EF31" i="1"/>
  <c r="AN31" i="1"/>
  <c r="CG31" i="1"/>
  <c r="CS31" i="1"/>
  <c r="BU31" i="1"/>
  <c r="EC31" i="1"/>
  <c r="FS31" i="1"/>
  <c r="FY31" i="1"/>
  <c r="JH31" i="1"/>
  <c r="FV31" i="1"/>
  <c r="CD31" i="1"/>
  <c r="IM31" i="1"/>
  <c r="EU31" i="1"/>
  <c r="BC31" i="1"/>
  <c r="HL31" i="1"/>
  <c r="DT31" i="1"/>
  <c r="AB31" i="1"/>
  <c r="HI31" i="1"/>
  <c r="HU31" i="1"/>
  <c r="DQ31" i="1"/>
  <c r="CA31" i="1"/>
  <c r="AZ31" i="1"/>
  <c r="FM31" i="1"/>
  <c r="IV31" i="1"/>
  <c r="FJ31" i="1"/>
  <c r="BR31" i="1"/>
  <c r="IA31" i="1"/>
  <c r="EI31" i="1"/>
  <c r="AQ31" i="1"/>
  <c r="GZ31" i="1"/>
  <c r="DH31" i="1"/>
  <c r="P31" i="1"/>
  <c r="IP31" i="1"/>
  <c r="EX31" i="1"/>
  <c r="BF31" i="1"/>
  <c r="HO31" i="1"/>
  <c r="DW31" i="1"/>
  <c r="AE31" i="1"/>
  <c r="GN31" i="1"/>
  <c r="CV31" i="1"/>
  <c r="JE31" i="1"/>
  <c r="Y31" i="1"/>
  <c r="AK31" i="1"/>
  <c r="BX31" i="1"/>
  <c r="FA31" i="1"/>
  <c r="ER31" i="1"/>
  <c r="ID31" i="1"/>
  <c r="EL31" i="1"/>
  <c r="AT31" i="1"/>
  <c r="HC31" i="1"/>
  <c r="DK31" i="1"/>
  <c r="S31" i="1"/>
  <c r="GB31" i="1"/>
  <c r="CJ31" i="1"/>
  <c r="IG31" i="1"/>
  <c r="IS31" i="1"/>
  <c r="GW31" i="1"/>
  <c r="FP31" i="1"/>
  <c r="EO31" i="1"/>
  <c r="DE31" i="1"/>
  <c r="IJ31" i="1"/>
  <c r="GK31" i="1"/>
  <c r="K29" i="45"/>
  <c r="S29" i="45"/>
  <c r="G29" i="45"/>
  <c r="AS29" i="45"/>
  <c r="AE29" i="45"/>
  <c r="O29" i="45"/>
  <c r="AA29" i="45"/>
  <c r="AM29" i="45"/>
  <c r="W29" i="45"/>
  <c r="C28" i="45"/>
  <c r="AN29" i="48"/>
  <c r="I29" i="48"/>
  <c r="J29" i="48"/>
  <c r="X29" i="48"/>
  <c r="AJ29" i="48"/>
  <c r="E30" i="1"/>
  <c r="Z144" i="56"/>
  <c r="X152" i="56" s="1"/>
  <c r="AH38" i="51"/>
  <c r="H18" i="48"/>
  <c r="AH18" i="48"/>
  <c r="AH3" i="51"/>
  <c r="M9" i="48"/>
  <c r="H9" i="48"/>
  <c r="J9" i="48"/>
  <c r="AH9" i="48"/>
  <c r="AC143" i="56"/>
  <c r="I5" i="53" s="1"/>
  <c r="AH4" i="51"/>
  <c r="O12" i="48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H15" i="48"/>
  <c r="AH15" i="48"/>
  <c r="Y144" i="56"/>
  <c r="X151" i="56" s="1"/>
  <c r="H14" i="48"/>
  <c r="AH14" i="48"/>
  <c r="H24" i="48"/>
  <c r="AH24" i="48"/>
  <c r="AC143" i="55"/>
  <c r="T5" i="53" s="1"/>
  <c r="I8" i="53"/>
  <c r="J27" i="48"/>
  <c r="H27" i="48"/>
  <c r="AH27" i="48"/>
  <c r="H17" i="48"/>
  <c r="AH17" i="48"/>
  <c r="J17" i="48"/>
  <c r="L41" i="48"/>
  <c r="H41" i="48" s="1"/>
  <c r="H23" i="48"/>
  <c r="AH23" i="48"/>
  <c r="H20" i="48"/>
  <c r="AH20" i="48"/>
  <c r="H25" i="48"/>
  <c r="AH25" i="48"/>
  <c r="BB31" i="2"/>
  <c r="AH31" i="2"/>
  <c r="BJ31" i="2"/>
  <c r="BN31" i="2"/>
  <c r="AP31" i="2"/>
  <c r="V31" i="2"/>
  <c r="AT31" i="2"/>
  <c r="BR31" i="2"/>
  <c r="AX31" i="2"/>
  <c r="AD31" i="2"/>
  <c r="J31" i="2"/>
  <c r="BX32" i="2"/>
  <c r="BF31" i="2"/>
  <c r="AL31" i="2"/>
  <c r="R31" i="2"/>
  <c r="BV31" i="2"/>
  <c r="N31" i="2"/>
  <c r="M34" i="2"/>
  <c r="Y32" i="2"/>
  <c r="Z31" i="2"/>
  <c r="AB11" i="55"/>
  <c r="E51" i="25"/>
  <c r="D51" i="24"/>
  <c r="E19" i="1"/>
  <c r="C17" i="45"/>
  <c r="AN18" i="48"/>
  <c r="J18" i="48"/>
  <c r="I18" i="48"/>
  <c r="X18" i="48"/>
  <c r="AJ18" i="48"/>
  <c r="J57" i="9"/>
  <c r="D45" i="21"/>
  <c r="E45" i="23"/>
  <c r="AT144" i="55"/>
  <c r="X168" i="55" s="1"/>
  <c r="AL144" i="55"/>
  <c r="X162" i="55" s="1"/>
  <c r="BA144" i="55"/>
  <c r="AS144" i="55"/>
  <c r="X167" i="55" s="1"/>
  <c r="AK144" i="55"/>
  <c r="X161" i="55" s="1"/>
  <c r="AZ144" i="55"/>
  <c r="X173" i="55" s="1"/>
  <c r="AR144" i="55"/>
  <c r="AJ144" i="55"/>
  <c r="X160" i="55" s="1"/>
  <c r="AY144" i="55"/>
  <c r="AQ144" i="55"/>
  <c r="X166" i="55" s="1"/>
  <c r="AI144" i="55"/>
  <c r="X159" i="55" s="1"/>
  <c r="AX144" i="55"/>
  <c r="AP144" i="55"/>
  <c r="X165" i="55" s="1"/>
  <c r="AH144" i="55"/>
  <c r="X158" i="55" s="1"/>
  <c r="AW144" i="55"/>
  <c r="X170" i="55" s="1"/>
  <c r="AO144" i="55"/>
  <c r="X164" i="55" s="1"/>
  <c r="AG144" i="55"/>
  <c r="X157" i="55" s="1"/>
  <c r="AV144" i="55"/>
  <c r="X171" i="55" s="1"/>
  <c r="AN144" i="55"/>
  <c r="X163" i="55" s="1"/>
  <c r="AF144" i="55"/>
  <c r="X156" i="55" s="1"/>
  <c r="AU144" i="55"/>
  <c r="X169" i="55" s="1"/>
  <c r="AM144" i="55"/>
  <c r="G27" i="45"/>
  <c r="O27" i="45"/>
  <c r="K27" i="45"/>
  <c r="S27" i="45"/>
  <c r="W27" i="45"/>
  <c r="AS27" i="45"/>
  <c r="AM27" i="45"/>
  <c r="AA27" i="45"/>
  <c r="AE27" i="45"/>
  <c r="K23" i="45"/>
  <c r="AS23" i="45"/>
  <c r="S23" i="45"/>
  <c r="G23" i="45"/>
  <c r="O23" i="45"/>
  <c r="W23" i="45"/>
  <c r="AM23" i="45"/>
  <c r="AE23" i="45"/>
  <c r="AA23" i="45"/>
  <c r="N32" i="54"/>
  <c r="N4" i="54"/>
  <c r="N26" i="54"/>
  <c r="N11" i="54"/>
  <c r="N8" i="54"/>
  <c r="N19" i="54"/>
  <c r="N35" i="54"/>
  <c r="N27" i="54"/>
  <c r="N25" i="54"/>
  <c r="N33" i="54"/>
  <c r="N23" i="54"/>
  <c r="N6" i="54"/>
  <c r="N18" i="54"/>
  <c r="N5" i="54"/>
  <c r="N38" i="54"/>
  <c r="N28" i="54"/>
  <c r="N24" i="54"/>
  <c r="N7" i="54"/>
  <c r="N20" i="54"/>
  <c r="N30" i="54"/>
  <c r="N9" i="54"/>
  <c r="N10" i="54"/>
  <c r="N22" i="54"/>
  <c r="N16" i="54"/>
  <c r="N37" i="54"/>
  <c r="N34" i="54"/>
  <c r="N17" i="54"/>
  <c r="N21" i="54"/>
  <c r="N31" i="54"/>
  <c r="N39" i="54"/>
  <c r="N36" i="54"/>
  <c r="N29" i="54"/>
  <c r="J49" i="23"/>
  <c r="J50" i="24"/>
  <c r="AF144" i="56"/>
  <c r="X156" i="56" s="1"/>
  <c r="AZ144" i="56"/>
  <c r="X173" i="56" s="1"/>
  <c r="AW144" i="56"/>
  <c r="X170" i="56" s="1"/>
  <c r="AM144" i="56"/>
  <c r="AJ144" i="56"/>
  <c r="X160" i="56" s="1"/>
  <c r="AO144" i="56"/>
  <c r="X164" i="56" s="1"/>
  <c r="AT144" i="56"/>
  <c r="X168" i="56" s="1"/>
  <c r="AQ144" i="56"/>
  <c r="X166" i="56" s="1"/>
  <c r="BA144" i="56"/>
  <c r="AI144" i="56"/>
  <c r="X159" i="56" s="1"/>
  <c r="AV144" i="56"/>
  <c r="X171" i="56" s="1"/>
  <c r="AS144" i="56"/>
  <c r="X167" i="56" s="1"/>
  <c r="AP144" i="56"/>
  <c r="X165" i="56" s="1"/>
  <c r="E49" i="24"/>
  <c r="D49" i="23"/>
  <c r="D47" i="21"/>
  <c r="E47" i="23"/>
  <c r="E15" i="2"/>
  <c r="JE15" i="1"/>
  <c r="IS15" i="1"/>
  <c r="IG15" i="1"/>
  <c r="HU15" i="1"/>
  <c r="HI15" i="1"/>
  <c r="GW15" i="1"/>
  <c r="GK15" i="1"/>
  <c r="FY15" i="1"/>
  <c r="FM15" i="1"/>
  <c r="FA15" i="1"/>
  <c r="EO15" i="1"/>
  <c r="EC15" i="1"/>
  <c r="DQ15" i="1"/>
  <c r="DE15" i="1"/>
  <c r="CS15" i="1"/>
  <c r="CG15" i="1"/>
  <c r="BU15" i="1"/>
  <c r="BI15" i="1"/>
  <c r="AW15" i="1"/>
  <c r="AK15" i="1"/>
  <c r="Y15" i="1"/>
  <c r="M15" i="1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CM15" i="1"/>
  <c r="CA15" i="1"/>
  <c r="BO15" i="1"/>
  <c r="BC15" i="1"/>
  <c r="AQ15" i="1"/>
  <c r="AE15" i="1"/>
  <c r="S15" i="1"/>
  <c r="HR15" i="1"/>
  <c r="FV15" i="1"/>
  <c r="DZ15" i="1"/>
  <c r="CD15" i="1"/>
  <c r="AH15" i="1"/>
  <c r="IV15" i="1"/>
  <c r="GZ15" i="1"/>
  <c r="FD15" i="1"/>
  <c r="DH15" i="1"/>
  <c r="BL15" i="1"/>
  <c r="P15" i="1"/>
  <c r="ID15" i="1"/>
  <c r="GH15" i="1"/>
  <c r="EL15" i="1"/>
  <c r="CP15" i="1"/>
  <c r="AT15" i="1"/>
  <c r="JH15" i="1"/>
  <c r="HL15" i="1"/>
  <c r="FP15" i="1"/>
  <c r="DT15" i="1"/>
  <c r="BX15" i="1"/>
  <c r="AB15" i="1"/>
  <c r="IP15" i="1"/>
  <c r="GT15" i="1"/>
  <c r="EX15" i="1"/>
  <c r="DB15" i="1"/>
  <c r="BF15" i="1"/>
  <c r="J15" i="1"/>
  <c r="HX15" i="1"/>
  <c r="GB15" i="1"/>
  <c r="EF15" i="1"/>
  <c r="CJ15" i="1"/>
  <c r="AN15" i="1"/>
  <c r="JB15" i="1"/>
  <c r="HF15" i="1"/>
  <c r="FJ15" i="1"/>
  <c r="DN15" i="1"/>
  <c r="BR15" i="1"/>
  <c r="V15" i="1"/>
  <c r="G15" i="1"/>
  <c r="IJ15" i="1"/>
  <c r="GN15" i="1"/>
  <c r="ER15" i="1"/>
  <c r="CV15" i="1"/>
  <c r="AZ15" i="1"/>
  <c r="E29" i="2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IV29" i="1"/>
  <c r="IJ29" i="1"/>
  <c r="HX29" i="1"/>
  <c r="HL29" i="1"/>
  <c r="GZ29" i="1"/>
  <c r="GN29" i="1"/>
  <c r="GB29" i="1"/>
  <c r="FP29" i="1"/>
  <c r="FD29" i="1"/>
  <c r="ER29" i="1"/>
  <c r="EF29" i="1"/>
  <c r="DT29" i="1"/>
  <c r="DH29" i="1"/>
  <c r="CV29" i="1"/>
  <c r="CJ29" i="1"/>
  <c r="BX29" i="1"/>
  <c r="BL29" i="1"/>
  <c r="AZ29" i="1"/>
  <c r="AN29" i="1"/>
  <c r="AB29" i="1"/>
  <c r="P29" i="1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GT29" i="1"/>
  <c r="DB29" i="1"/>
  <c r="J29" i="1"/>
  <c r="ID29" i="1"/>
  <c r="EL29" i="1"/>
  <c r="AT29" i="1"/>
  <c r="FV29" i="1"/>
  <c r="CD29" i="1"/>
  <c r="HF29" i="1"/>
  <c r="DN29" i="1"/>
  <c r="V29" i="1"/>
  <c r="IP29" i="1"/>
  <c r="EX29" i="1"/>
  <c r="BF29" i="1"/>
  <c r="GH29" i="1"/>
  <c r="CP29" i="1"/>
  <c r="JB29" i="1"/>
  <c r="FJ29" i="1"/>
  <c r="BR29" i="1"/>
  <c r="HR29" i="1"/>
  <c r="DZ29" i="1"/>
  <c r="AH29" i="1"/>
  <c r="E14" i="1"/>
  <c r="X13" i="48"/>
  <c r="AN13" i="48"/>
  <c r="C12" i="45"/>
  <c r="J13" i="48"/>
  <c r="I13" i="48"/>
  <c r="AJ13" i="48"/>
  <c r="X146" i="55"/>
  <c r="O41" i="54"/>
  <c r="P41" i="54" s="1"/>
  <c r="Q41" i="54" s="1"/>
  <c r="X148" i="55"/>
  <c r="X148" i="56"/>
  <c r="X143" i="56"/>
  <c r="F41" i="54" s="1"/>
  <c r="G41" i="54" s="1"/>
  <c r="H41" i="54" s="1"/>
  <c r="X146" i="56"/>
  <c r="E24" i="2"/>
  <c r="IY24" i="1"/>
  <c r="IM24" i="1"/>
  <c r="IA24" i="1"/>
  <c r="JH24" i="1"/>
  <c r="IV24" i="1"/>
  <c r="IJ24" i="1"/>
  <c r="HX24" i="1"/>
  <c r="IG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S24" i="1"/>
  <c r="ID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JE24" i="1"/>
  <c r="IP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B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IY34" i="1"/>
  <c r="IM34" i="1"/>
  <c r="IA34" i="1"/>
  <c r="HO34" i="1"/>
  <c r="HC34" i="1"/>
  <c r="GQ34" i="1"/>
  <c r="GE34" i="1"/>
  <c r="FS34" i="1"/>
  <c r="FG34" i="1"/>
  <c r="EU34" i="1"/>
  <c r="EI34" i="1"/>
  <c r="E34" i="2"/>
  <c r="IJ34" i="1"/>
  <c r="HI34" i="1"/>
  <c r="GH34" i="1"/>
  <c r="ER34" i="1"/>
  <c r="IV34" i="1"/>
  <c r="HU34" i="1"/>
  <c r="GT34" i="1"/>
  <c r="FD34" i="1"/>
  <c r="EC34" i="1"/>
  <c r="DQ34" i="1"/>
  <c r="DE34" i="1"/>
  <c r="CS34" i="1"/>
  <c r="CG34" i="1"/>
  <c r="BU34" i="1"/>
  <c r="BI34" i="1"/>
  <c r="AW34" i="1"/>
  <c r="AK34" i="1"/>
  <c r="Y34" i="1"/>
  <c r="M34" i="1"/>
  <c r="JH34" i="1"/>
  <c r="IG34" i="1"/>
  <c r="HF34" i="1"/>
  <c r="FP34" i="1"/>
  <c r="EO34" i="1"/>
  <c r="IS34" i="1"/>
  <c r="HR34" i="1"/>
  <c r="GB34" i="1"/>
  <c r="FA34" i="1"/>
  <c r="DZ34" i="1"/>
  <c r="DN34" i="1"/>
  <c r="DB34" i="1"/>
  <c r="CP34" i="1"/>
  <c r="CD34" i="1"/>
  <c r="BR34" i="1"/>
  <c r="BF34" i="1"/>
  <c r="AT34" i="1"/>
  <c r="AH34" i="1"/>
  <c r="V34" i="1"/>
  <c r="J34" i="1"/>
  <c r="JE34" i="1"/>
  <c r="ID34" i="1"/>
  <c r="GN34" i="1"/>
  <c r="FM34" i="1"/>
  <c r="EL34" i="1"/>
  <c r="IP34" i="1"/>
  <c r="GZ34" i="1"/>
  <c r="FY34" i="1"/>
  <c r="EX34" i="1"/>
  <c r="DW34" i="1"/>
  <c r="DK34" i="1"/>
  <c r="CY34" i="1"/>
  <c r="CM34" i="1"/>
  <c r="CA34" i="1"/>
  <c r="BO34" i="1"/>
  <c r="BC34" i="1"/>
  <c r="AQ34" i="1"/>
  <c r="AE34" i="1"/>
  <c r="S34" i="1"/>
  <c r="G34" i="1"/>
  <c r="BX34" i="1"/>
  <c r="HX34" i="1"/>
  <c r="GK34" i="1"/>
  <c r="DH34" i="1"/>
  <c r="P34" i="1"/>
  <c r="AZ34" i="1"/>
  <c r="CJ34" i="1"/>
  <c r="GW34" i="1"/>
  <c r="FJ34" i="1"/>
  <c r="DT34" i="1"/>
  <c r="AB34" i="1"/>
  <c r="BL34" i="1"/>
  <c r="FV34" i="1"/>
  <c r="EF34" i="1"/>
  <c r="AN34" i="1"/>
  <c r="HL34" i="1"/>
  <c r="JB34" i="1"/>
  <c r="CV34" i="1"/>
  <c r="E40" i="25"/>
  <c r="D40" i="24"/>
  <c r="E27" i="1"/>
  <c r="AN26" i="48"/>
  <c r="J26" i="48"/>
  <c r="C25" i="45"/>
  <c r="I26" i="48"/>
  <c r="X26" i="48"/>
  <c r="AJ26" i="48"/>
  <c r="J56" i="25"/>
  <c r="S14" i="45"/>
  <c r="G14" i="45"/>
  <c r="AE14" i="45"/>
  <c r="O14" i="45"/>
  <c r="AA14" i="45"/>
  <c r="K14" i="45"/>
  <c r="AM14" i="45"/>
  <c r="W14" i="45"/>
  <c r="AS14" i="45"/>
  <c r="K32" i="45"/>
  <c r="S32" i="45"/>
  <c r="G32" i="45"/>
  <c r="O32" i="45"/>
  <c r="W32" i="45"/>
  <c r="AA32" i="45"/>
  <c r="AE32" i="45"/>
  <c r="AM32" i="45"/>
  <c r="AS32" i="45"/>
  <c r="S36" i="45"/>
  <c r="G36" i="45"/>
  <c r="O36" i="45"/>
  <c r="AA36" i="45"/>
  <c r="AS36" i="45"/>
  <c r="K36" i="45"/>
  <c r="W36" i="45"/>
  <c r="AE36" i="45"/>
  <c r="AM36" i="45"/>
  <c r="E39" i="26"/>
  <c r="D39" i="25"/>
  <c r="K11" i="45"/>
  <c r="S11" i="45"/>
  <c r="G11" i="45"/>
  <c r="AE11" i="45"/>
  <c r="O11" i="45"/>
  <c r="AA11" i="45"/>
  <c r="W11" i="45"/>
  <c r="AM11" i="45"/>
  <c r="AS11" i="45"/>
  <c r="E41" i="24"/>
  <c r="D41" i="23"/>
  <c r="E11" i="1"/>
  <c r="J10" i="48"/>
  <c r="I10" i="48"/>
  <c r="C9" i="45"/>
  <c r="AN10" i="48"/>
  <c r="X10" i="48"/>
  <c r="AJ10" i="48"/>
  <c r="R41" i="48"/>
  <c r="S10" i="48"/>
  <c r="E25" i="2"/>
  <c r="IY25" i="1"/>
  <c r="IS25" i="1"/>
  <c r="IG25" i="1"/>
  <c r="HU25" i="1"/>
  <c r="HI25" i="1"/>
  <c r="GW25" i="1"/>
  <c r="GK25" i="1"/>
  <c r="FY25" i="1"/>
  <c r="FM25" i="1"/>
  <c r="FA25" i="1"/>
  <c r="EO25" i="1"/>
  <c r="EC25" i="1"/>
  <c r="DQ25" i="1"/>
  <c r="DE25" i="1"/>
  <c r="CS25" i="1"/>
  <c r="CG25" i="1"/>
  <c r="BU25" i="1"/>
  <c r="BI25" i="1"/>
  <c r="AW25" i="1"/>
  <c r="AK25" i="1"/>
  <c r="Y25" i="1"/>
  <c r="M25" i="1"/>
  <c r="JE25" i="1"/>
  <c r="IP25" i="1"/>
  <c r="ID25" i="1"/>
  <c r="HR25" i="1"/>
  <c r="HF25" i="1"/>
  <c r="GT25" i="1"/>
  <c r="GH25" i="1"/>
  <c r="FV25" i="1"/>
  <c r="FJ25" i="1"/>
  <c r="EX25" i="1"/>
  <c r="EL25" i="1"/>
  <c r="DZ25" i="1"/>
  <c r="DN25" i="1"/>
  <c r="DB25" i="1"/>
  <c r="CP25" i="1"/>
  <c r="CD25" i="1"/>
  <c r="BR25" i="1"/>
  <c r="BF25" i="1"/>
  <c r="AT25" i="1"/>
  <c r="AH25" i="1"/>
  <c r="V25" i="1"/>
  <c r="J25" i="1"/>
  <c r="JB25" i="1"/>
  <c r="IM25" i="1"/>
  <c r="IA25" i="1"/>
  <c r="HO25" i="1"/>
  <c r="HC25" i="1"/>
  <c r="GQ25" i="1"/>
  <c r="GE25" i="1"/>
  <c r="FS25" i="1"/>
  <c r="FG25" i="1"/>
  <c r="EU25" i="1"/>
  <c r="EI25" i="1"/>
  <c r="DW25" i="1"/>
  <c r="DK25" i="1"/>
  <c r="CY25" i="1"/>
  <c r="CM25" i="1"/>
  <c r="CA25" i="1"/>
  <c r="BO25" i="1"/>
  <c r="BC25" i="1"/>
  <c r="AQ25" i="1"/>
  <c r="AE25" i="1"/>
  <c r="S25" i="1"/>
  <c r="G25" i="1"/>
  <c r="JH25" i="1"/>
  <c r="GN25" i="1"/>
  <c r="CV25" i="1"/>
  <c r="HX25" i="1"/>
  <c r="EF25" i="1"/>
  <c r="AN25" i="1"/>
  <c r="FP25" i="1"/>
  <c r="BX25" i="1"/>
  <c r="GZ25" i="1"/>
  <c r="DH25" i="1"/>
  <c r="P25" i="1"/>
  <c r="IJ25" i="1"/>
  <c r="ER25" i="1"/>
  <c r="AZ25" i="1"/>
  <c r="GB25" i="1"/>
  <c r="CJ25" i="1"/>
  <c r="HL25" i="1"/>
  <c r="DT25" i="1"/>
  <c r="AB25" i="1"/>
  <c r="IV25" i="1"/>
  <c r="FD25" i="1"/>
  <c r="BL25" i="1"/>
  <c r="E46" i="24"/>
  <c r="D46" i="23"/>
  <c r="AB11" i="56"/>
  <c r="J39" i="26"/>
  <c r="J37" i="25"/>
  <c r="A14" i="2"/>
  <c r="A15" i="1"/>
  <c r="W11" i="48"/>
  <c r="Q12" i="48"/>
  <c r="K19" i="45"/>
  <c r="S19" i="45"/>
  <c r="G19" i="45"/>
  <c r="O19" i="45"/>
  <c r="AA19" i="45"/>
  <c r="W19" i="45"/>
  <c r="AS19" i="45"/>
  <c r="AE19" i="45"/>
  <c r="AM19" i="45"/>
  <c r="E48" i="21"/>
  <c r="D48" i="22"/>
  <c r="K13" i="45"/>
  <c r="S13" i="45"/>
  <c r="G13" i="45"/>
  <c r="O13" i="45"/>
  <c r="AE13" i="45"/>
  <c r="AS13" i="45"/>
  <c r="W13" i="45"/>
  <c r="AM13" i="45"/>
  <c r="AA13" i="45"/>
  <c r="K56" i="32"/>
  <c r="J51" i="32"/>
  <c r="J41" i="32"/>
  <c r="J40" i="31"/>
  <c r="K57" i="32"/>
  <c r="J45" i="32"/>
  <c r="AM10" i="48"/>
  <c r="AM11" i="48" s="1"/>
  <c r="AM12" i="48" s="1"/>
  <c r="AM13" i="48" s="1"/>
  <c r="AM14" i="48" s="1"/>
  <c r="AM15" i="48" s="1"/>
  <c r="AM16" i="48" s="1"/>
  <c r="AM17" i="48" s="1"/>
  <c r="AM18" i="48" s="1"/>
  <c r="AM19" i="48" s="1"/>
  <c r="AM20" i="48" s="1"/>
  <c r="AM21" i="48" s="1"/>
  <c r="AM22" i="48" s="1"/>
  <c r="AM23" i="48" s="1"/>
  <c r="AM24" i="48" s="1"/>
  <c r="AM25" i="48" s="1"/>
  <c r="AM26" i="48" s="1"/>
  <c r="AM27" i="48" s="1"/>
  <c r="AM28" i="48" s="1"/>
  <c r="AM29" i="48" s="1"/>
  <c r="AM30" i="48" s="1"/>
  <c r="AM31" i="48" s="1"/>
  <c r="AM32" i="48" s="1"/>
  <c r="AM33" i="48" s="1"/>
  <c r="AM34" i="48" s="1"/>
  <c r="AM35" i="48" s="1"/>
  <c r="AM36" i="48" s="1"/>
  <c r="AM37" i="48" s="1"/>
  <c r="AM38" i="48" s="1"/>
  <c r="AO9" i="48"/>
  <c r="E21" i="2"/>
  <c r="IY21" i="1"/>
  <c r="IM21" i="1"/>
  <c r="IA21" i="1"/>
  <c r="HO21" i="1"/>
  <c r="HC21" i="1"/>
  <c r="GQ21" i="1"/>
  <c r="GE21" i="1"/>
  <c r="FS21" i="1"/>
  <c r="FG21" i="1"/>
  <c r="EU21" i="1"/>
  <c r="EI21" i="1"/>
  <c r="DW21" i="1"/>
  <c r="DK21" i="1"/>
  <c r="CY21" i="1"/>
  <c r="CM21" i="1"/>
  <c r="CA21" i="1"/>
  <c r="BO21" i="1"/>
  <c r="BC21" i="1"/>
  <c r="AQ21" i="1"/>
  <c r="AE21" i="1"/>
  <c r="S21" i="1"/>
  <c r="G21" i="1"/>
  <c r="JH21" i="1"/>
  <c r="IV21" i="1"/>
  <c r="IJ21" i="1"/>
  <c r="HX21" i="1"/>
  <c r="HL21" i="1"/>
  <c r="GZ21" i="1"/>
  <c r="GN21" i="1"/>
  <c r="GB21" i="1"/>
  <c r="FP21" i="1"/>
  <c r="FD21" i="1"/>
  <c r="ER21" i="1"/>
  <c r="EF21" i="1"/>
  <c r="DT21" i="1"/>
  <c r="DH21" i="1"/>
  <c r="CV21" i="1"/>
  <c r="CJ21" i="1"/>
  <c r="BX21" i="1"/>
  <c r="BL21" i="1"/>
  <c r="AZ21" i="1"/>
  <c r="AN21" i="1"/>
  <c r="AB21" i="1"/>
  <c r="P21" i="1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FV21" i="1"/>
  <c r="CD21" i="1"/>
  <c r="HF21" i="1"/>
  <c r="DN21" i="1"/>
  <c r="V21" i="1"/>
  <c r="IP21" i="1"/>
  <c r="EX21" i="1"/>
  <c r="BF21" i="1"/>
  <c r="GH21" i="1"/>
  <c r="CP21" i="1"/>
  <c r="HR21" i="1"/>
  <c r="DZ21" i="1"/>
  <c r="AH21" i="1"/>
  <c r="JB21" i="1"/>
  <c r="FJ21" i="1"/>
  <c r="BR21" i="1"/>
  <c r="GT21" i="1"/>
  <c r="DB21" i="1"/>
  <c r="J21" i="1"/>
  <c r="ID21" i="1"/>
  <c r="EL21" i="1"/>
  <c r="AT21" i="1"/>
  <c r="E38" i="2"/>
  <c r="IY38" i="1"/>
  <c r="IM38" i="1"/>
  <c r="IA38" i="1"/>
  <c r="HO38" i="1"/>
  <c r="HC38" i="1"/>
  <c r="GQ38" i="1"/>
  <c r="GE38" i="1"/>
  <c r="FS38" i="1"/>
  <c r="FG38" i="1"/>
  <c r="EU38" i="1"/>
  <c r="EI38" i="1"/>
  <c r="DW38" i="1"/>
  <c r="DK38" i="1"/>
  <c r="CY38" i="1"/>
  <c r="CM38" i="1"/>
  <c r="CA38" i="1"/>
  <c r="BO38" i="1"/>
  <c r="BC38" i="1"/>
  <c r="AQ38" i="1"/>
  <c r="AE38" i="1"/>
  <c r="S38" i="1"/>
  <c r="G38" i="1"/>
  <c r="JH38" i="1"/>
  <c r="IV38" i="1"/>
  <c r="IJ38" i="1"/>
  <c r="HX38" i="1"/>
  <c r="HL38" i="1"/>
  <c r="GZ38" i="1"/>
  <c r="GN38" i="1"/>
  <c r="GB38" i="1"/>
  <c r="FP38" i="1"/>
  <c r="JE38" i="1"/>
  <c r="IP38" i="1"/>
  <c r="HI38" i="1"/>
  <c r="GT38" i="1"/>
  <c r="FM38" i="1"/>
  <c r="EL38" i="1"/>
  <c r="CV38" i="1"/>
  <c r="BU38" i="1"/>
  <c r="AT38" i="1"/>
  <c r="EX38" i="1"/>
  <c r="DH38" i="1"/>
  <c r="CG38" i="1"/>
  <c r="BF38" i="1"/>
  <c r="P38" i="1"/>
  <c r="JB38" i="1"/>
  <c r="HU38" i="1"/>
  <c r="HF38" i="1"/>
  <c r="FY38" i="1"/>
  <c r="FJ38" i="1"/>
  <c r="DT38" i="1"/>
  <c r="CS38" i="1"/>
  <c r="BR38" i="1"/>
  <c r="AB38" i="1"/>
  <c r="EF38" i="1"/>
  <c r="DE38" i="1"/>
  <c r="CD38" i="1"/>
  <c r="AN38" i="1"/>
  <c r="M38" i="1"/>
  <c r="IG38" i="1"/>
  <c r="HR38" i="1"/>
  <c r="GK38" i="1"/>
  <c r="FV38" i="1"/>
  <c r="ER38" i="1"/>
  <c r="DQ38" i="1"/>
  <c r="CP38" i="1"/>
  <c r="AZ38" i="1"/>
  <c r="Y38" i="1"/>
  <c r="FD38" i="1"/>
  <c r="EC38" i="1"/>
  <c r="DB38" i="1"/>
  <c r="BL38" i="1"/>
  <c r="AK38" i="1"/>
  <c r="J38" i="1"/>
  <c r="AH38" i="1"/>
  <c r="ID38" i="1"/>
  <c r="DZ38" i="1"/>
  <c r="CJ38" i="1"/>
  <c r="AW38" i="1"/>
  <c r="IS38" i="1"/>
  <c r="GH38" i="1"/>
  <c r="EO38" i="1"/>
  <c r="GW38" i="1"/>
  <c r="BI38" i="1"/>
  <c r="V38" i="1"/>
  <c r="FA38" i="1"/>
  <c r="DN38" i="1"/>
  <c r="BX38" i="1"/>
  <c r="D52" i="29"/>
  <c r="D53" i="29" s="1"/>
  <c r="D38" i="27"/>
  <c r="E38" i="29"/>
  <c r="E52" i="29" s="1"/>
  <c r="E53" i="29" s="1"/>
  <c r="J44" i="29"/>
  <c r="J43" i="27"/>
  <c r="AM24" i="45"/>
  <c r="W24" i="45"/>
  <c r="K24" i="45"/>
  <c r="S24" i="45"/>
  <c r="G24" i="45"/>
  <c r="AE24" i="45"/>
  <c r="O24" i="45"/>
  <c r="AA24" i="45"/>
  <c r="AS24" i="45"/>
  <c r="E42" i="25"/>
  <c r="D42" i="24"/>
  <c r="K22" i="45"/>
  <c r="S22" i="45"/>
  <c r="G22" i="45"/>
  <c r="O22" i="45"/>
  <c r="AE22" i="45"/>
  <c r="AM22" i="45"/>
  <c r="AS22" i="45"/>
  <c r="W22" i="45"/>
  <c r="AA22" i="45"/>
  <c r="E43" i="24"/>
  <c r="D43" i="23"/>
  <c r="D50" i="20"/>
  <c r="E50" i="22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E13" i="2"/>
  <c r="HX13" i="1"/>
  <c r="GW13" i="1"/>
  <c r="FV13" i="1"/>
  <c r="EF13" i="1"/>
  <c r="IV13" i="1"/>
  <c r="HU13" i="1"/>
  <c r="GT13" i="1"/>
  <c r="FD13" i="1"/>
  <c r="EC13" i="1"/>
  <c r="IS13" i="1"/>
  <c r="HR13" i="1"/>
  <c r="GB13" i="1"/>
  <c r="FA13" i="1"/>
  <c r="DZ13" i="1"/>
  <c r="IP13" i="1"/>
  <c r="GZ13" i="1"/>
  <c r="FY13" i="1"/>
  <c r="EX13" i="1"/>
  <c r="IG13" i="1"/>
  <c r="GH13" i="1"/>
  <c r="HL13" i="1"/>
  <c r="FM13" i="1"/>
  <c r="DN13" i="1"/>
  <c r="CY13" i="1"/>
  <c r="CM13" i="1"/>
  <c r="CA13" i="1"/>
  <c r="BO13" i="1"/>
  <c r="BC13" i="1"/>
  <c r="AQ13" i="1"/>
  <c r="AE13" i="1"/>
  <c r="S13" i="1"/>
  <c r="G13" i="1"/>
  <c r="ID13" i="1"/>
  <c r="ER13" i="1"/>
  <c r="JH13" i="1"/>
  <c r="HI13" i="1"/>
  <c r="FJ13" i="1"/>
  <c r="DH13" i="1"/>
  <c r="CV13" i="1"/>
  <c r="CJ13" i="1"/>
  <c r="BX13" i="1"/>
  <c r="BL13" i="1"/>
  <c r="AZ13" i="1"/>
  <c r="AN13" i="1"/>
  <c r="AB13" i="1"/>
  <c r="P13" i="1"/>
  <c r="GN13" i="1"/>
  <c r="EO13" i="1"/>
  <c r="JE13" i="1"/>
  <c r="HF13" i="1"/>
  <c r="DT13" i="1"/>
  <c r="DE13" i="1"/>
  <c r="CS13" i="1"/>
  <c r="CG13" i="1"/>
  <c r="BU13" i="1"/>
  <c r="BI13" i="1"/>
  <c r="AW13" i="1"/>
  <c r="AK13" i="1"/>
  <c r="Y13" i="1"/>
  <c r="M13" i="1"/>
  <c r="IJ13" i="1"/>
  <c r="GK13" i="1"/>
  <c r="EL13" i="1"/>
  <c r="JB13" i="1"/>
  <c r="FP13" i="1"/>
  <c r="DQ13" i="1"/>
  <c r="DB13" i="1"/>
  <c r="CP13" i="1"/>
  <c r="CD13" i="1"/>
  <c r="BR13" i="1"/>
  <c r="BF13" i="1"/>
  <c r="AT13" i="1"/>
  <c r="AH13" i="1"/>
  <c r="V13" i="1"/>
  <c r="J13" i="1"/>
  <c r="E44" i="26"/>
  <c r="D44" i="25"/>
  <c r="E26" i="2"/>
  <c r="JE26" i="1"/>
  <c r="JB26" i="1"/>
  <c r="IP26" i="1"/>
  <c r="ID26" i="1"/>
  <c r="HR26" i="1"/>
  <c r="HF26" i="1"/>
  <c r="GT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IY26" i="1"/>
  <c r="IM26" i="1"/>
  <c r="IA26" i="1"/>
  <c r="HO26" i="1"/>
  <c r="HC26" i="1"/>
  <c r="GQ26" i="1"/>
  <c r="GE26" i="1"/>
  <c r="FS26" i="1"/>
  <c r="FG26" i="1"/>
  <c r="EU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JH26" i="1"/>
  <c r="IV26" i="1"/>
  <c r="IJ26" i="1"/>
  <c r="HX26" i="1"/>
  <c r="HL26" i="1"/>
  <c r="GZ26" i="1"/>
  <c r="GN26" i="1"/>
  <c r="GB26" i="1"/>
  <c r="FP26" i="1"/>
  <c r="FD26" i="1"/>
  <c r="ER26" i="1"/>
  <c r="EF26" i="1"/>
  <c r="DT26" i="1"/>
  <c r="DH26" i="1"/>
  <c r="CV26" i="1"/>
  <c r="CJ26" i="1"/>
  <c r="BX26" i="1"/>
  <c r="BL26" i="1"/>
  <c r="AZ26" i="1"/>
  <c r="AN26" i="1"/>
  <c r="AB26" i="1"/>
  <c r="P26" i="1"/>
  <c r="IS26" i="1"/>
  <c r="FA26" i="1"/>
  <c r="BI26" i="1"/>
  <c r="GK26" i="1"/>
  <c r="CS26" i="1"/>
  <c r="HU26" i="1"/>
  <c r="EC26" i="1"/>
  <c r="AK26" i="1"/>
  <c r="FM26" i="1"/>
  <c r="BU26" i="1"/>
  <c r="GW26" i="1"/>
  <c r="DE26" i="1"/>
  <c r="M26" i="1"/>
  <c r="IG26" i="1"/>
  <c r="EO26" i="1"/>
  <c r="AW26" i="1"/>
  <c r="HI26" i="1"/>
  <c r="DQ26" i="1"/>
  <c r="Y26" i="1"/>
  <c r="FY26" i="1"/>
  <c r="CG26" i="1"/>
  <c r="E16" i="2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JH16" i="1"/>
  <c r="EL16" i="1"/>
  <c r="CP16" i="1"/>
  <c r="AT16" i="1"/>
  <c r="GZ16" i="1"/>
  <c r="FP16" i="1"/>
  <c r="DT16" i="1"/>
  <c r="BX16" i="1"/>
  <c r="AB16" i="1"/>
  <c r="IJ16" i="1"/>
  <c r="EX16" i="1"/>
  <c r="DB16" i="1"/>
  <c r="BF16" i="1"/>
  <c r="J16" i="1"/>
  <c r="GB16" i="1"/>
  <c r="EF16" i="1"/>
  <c r="CJ16" i="1"/>
  <c r="AN16" i="1"/>
  <c r="HL16" i="1"/>
  <c r="FJ16" i="1"/>
  <c r="DN16" i="1"/>
  <c r="BR16" i="1"/>
  <c r="V16" i="1"/>
  <c r="IV16" i="1"/>
  <c r="ER16" i="1"/>
  <c r="CV16" i="1"/>
  <c r="AZ16" i="1"/>
  <c r="GN16" i="1"/>
  <c r="FV16" i="1"/>
  <c r="DZ16" i="1"/>
  <c r="CD16" i="1"/>
  <c r="AH16" i="1"/>
  <c r="HX16" i="1"/>
  <c r="FD16" i="1"/>
  <c r="DH16" i="1"/>
  <c r="BL16" i="1"/>
  <c r="P16" i="1"/>
  <c r="M34" i="27"/>
  <c r="M7" i="28"/>
  <c r="AK10" i="48"/>
  <c r="AG11" i="48"/>
  <c r="AS40" i="45"/>
  <c r="AR40" i="45"/>
  <c r="T11" i="53" l="1"/>
  <c r="AC144" i="55"/>
  <c r="X153" i="55" s="1"/>
  <c r="AK144" i="56"/>
  <c r="X161" i="56" s="1"/>
  <c r="AL144" i="56"/>
  <c r="X162" i="56" s="1"/>
  <c r="AR144" i="56"/>
  <c r="AN144" i="56"/>
  <c r="X163" i="56" s="1"/>
  <c r="AG144" i="56"/>
  <c r="X157" i="56" s="1"/>
  <c r="AU144" i="56"/>
  <c r="X169" i="56" s="1"/>
  <c r="AX144" i="56"/>
  <c r="AY144" i="56"/>
  <c r="AA143" i="56"/>
  <c r="I3" i="53" s="1"/>
  <c r="AB143" i="56"/>
  <c r="AB144" i="56" s="1"/>
  <c r="X155" i="56" s="1"/>
  <c r="I35" i="48"/>
  <c r="E36" i="1"/>
  <c r="AN35" i="48"/>
  <c r="AJ35" i="48"/>
  <c r="C34" i="45"/>
  <c r="X35" i="48"/>
  <c r="J35" i="48"/>
  <c r="AA143" i="55"/>
  <c r="AA144" i="55" s="1"/>
  <c r="X154" i="55" s="1"/>
  <c r="J32" i="48"/>
  <c r="AJ32" i="48"/>
  <c r="C31" i="45"/>
  <c r="AN32" i="48"/>
  <c r="I32" i="48"/>
  <c r="E33" i="1"/>
  <c r="E41" i="1" s="1"/>
  <c r="X32" i="48"/>
  <c r="AB143" i="55"/>
  <c r="T4" i="53" s="1"/>
  <c r="AC144" i="56"/>
  <c r="X153" i="56" s="1"/>
  <c r="AI3" i="51"/>
  <c r="IY30" i="1"/>
  <c r="FG30" i="1"/>
  <c r="GZ30" i="1"/>
  <c r="ID30" i="1"/>
  <c r="CM30" i="1"/>
  <c r="JE30" i="1"/>
  <c r="CV30" i="1"/>
  <c r="JB30" i="1"/>
  <c r="CS30" i="1"/>
  <c r="IG30" i="1"/>
  <c r="CP30" i="1"/>
  <c r="IM30" i="1"/>
  <c r="EU30" i="1"/>
  <c r="GN30" i="1"/>
  <c r="GW30" i="1"/>
  <c r="CA30" i="1"/>
  <c r="IP30" i="1"/>
  <c r="CJ30" i="1"/>
  <c r="HU30" i="1"/>
  <c r="CG30" i="1"/>
  <c r="HR30" i="1"/>
  <c r="CD30" i="1"/>
  <c r="IA30" i="1"/>
  <c r="EI30" i="1"/>
  <c r="GB30" i="1"/>
  <c r="GH30" i="1"/>
  <c r="BO30" i="1"/>
  <c r="HI30" i="1"/>
  <c r="BX30" i="1"/>
  <c r="HF30" i="1"/>
  <c r="BU30" i="1"/>
  <c r="GK30" i="1"/>
  <c r="BR30" i="1"/>
  <c r="HO30" i="1"/>
  <c r="JH30" i="1"/>
  <c r="FP30" i="1"/>
  <c r="FA30" i="1"/>
  <c r="BC30" i="1"/>
  <c r="GT30" i="1"/>
  <c r="BL30" i="1"/>
  <c r="FY30" i="1"/>
  <c r="BI30" i="1"/>
  <c r="FV30" i="1"/>
  <c r="BF30" i="1"/>
  <c r="HC30" i="1"/>
  <c r="IV30" i="1"/>
  <c r="FD30" i="1"/>
  <c r="EL30" i="1"/>
  <c r="AQ30" i="1"/>
  <c r="FM30" i="1"/>
  <c r="AZ30" i="1"/>
  <c r="FJ30" i="1"/>
  <c r="AW30" i="1"/>
  <c r="EO30" i="1"/>
  <c r="AT30" i="1"/>
  <c r="GQ30" i="1"/>
  <c r="IJ30" i="1"/>
  <c r="ER30" i="1"/>
  <c r="DW30" i="1"/>
  <c r="AE30" i="1"/>
  <c r="EX30" i="1"/>
  <c r="AN30" i="1"/>
  <c r="EC30" i="1"/>
  <c r="AK30" i="1"/>
  <c r="DZ30" i="1"/>
  <c r="AH30" i="1"/>
  <c r="GE30" i="1"/>
  <c r="HX30" i="1"/>
  <c r="EF30" i="1"/>
  <c r="DK30" i="1"/>
  <c r="S30" i="1"/>
  <c r="DT30" i="1"/>
  <c r="AB30" i="1"/>
  <c r="DQ30" i="1"/>
  <c r="Y30" i="1"/>
  <c r="DN30" i="1"/>
  <c r="V30" i="1"/>
  <c r="E30" i="2"/>
  <c r="BY30" i="2" s="1"/>
  <c r="FS30" i="1"/>
  <c r="HL30" i="1"/>
  <c r="IS30" i="1"/>
  <c r="CY30" i="1"/>
  <c r="G30" i="1"/>
  <c r="DH30" i="1"/>
  <c r="P30" i="1"/>
  <c r="DE30" i="1"/>
  <c r="M30" i="1"/>
  <c r="DB30" i="1"/>
  <c r="J30" i="1"/>
  <c r="G28" i="45"/>
  <c r="O28" i="45"/>
  <c r="K28" i="45"/>
  <c r="AE28" i="45"/>
  <c r="AS28" i="45"/>
  <c r="AM28" i="45"/>
  <c r="W28" i="45"/>
  <c r="AA28" i="45"/>
  <c r="S28" i="45"/>
  <c r="M10" i="48"/>
  <c r="K9" i="48"/>
  <c r="AI9" i="48"/>
  <c r="J2" i="53"/>
  <c r="F12" i="54"/>
  <c r="G12" i="54" s="1"/>
  <c r="I11" i="53"/>
  <c r="Y33" i="2"/>
  <c r="Z32" i="2"/>
  <c r="BJ32" i="2"/>
  <c r="AP32" i="2"/>
  <c r="V32" i="2"/>
  <c r="BR32" i="2"/>
  <c r="AX32" i="2"/>
  <c r="AD32" i="2"/>
  <c r="J32" i="2"/>
  <c r="BX33" i="2"/>
  <c r="BF32" i="2"/>
  <c r="AL32" i="2"/>
  <c r="R32" i="2"/>
  <c r="BV32" i="2"/>
  <c r="BN32" i="2"/>
  <c r="AT32" i="2"/>
  <c r="BB32" i="2"/>
  <c r="AH32" i="2"/>
  <c r="N32" i="2"/>
  <c r="M35" i="2"/>
  <c r="D52" i="27"/>
  <c r="D53" i="27" s="1"/>
  <c r="E38" i="27"/>
  <c r="E52" i="27" s="1"/>
  <c r="E53" i="27" s="1"/>
  <c r="D38" i="28"/>
  <c r="J41" i="31"/>
  <c r="K57" i="31"/>
  <c r="K56" i="31"/>
  <c r="J51" i="31"/>
  <c r="J40" i="30"/>
  <c r="J45" i="31"/>
  <c r="J39" i="25"/>
  <c r="J37" i="24"/>
  <c r="J41" i="48"/>
  <c r="X41" i="48"/>
  <c r="I41" i="48"/>
  <c r="AN41" i="48"/>
  <c r="AJ41" i="48"/>
  <c r="G25" i="45"/>
  <c r="O25" i="45"/>
  <c r="K25" i="45"/>
  <c r="S25" i="45"/>
  <c r="AM25" i="45"/>
  <c r="AA25" i="45"/>
  <c r="AE25" i="45"/>
  <c r="AS25" i="45"/>
  <c r="W25" i="45"/>
  <c r="BY24" i="2"/>
  <c r="E15" i="54"/>
  <c r="F15" i="54" s="1"/>
  <c r="G15" i="54" s="1"/>
  <c r="J5" i="53"/>
  <c r="E14" i="2"/>
  <c r="CY14" i="1"/>
  <c r="CM14" i="1"/>
  <c r="CA14" i="1"/>
  <c r="BO14" i="1"/>
  <c r="BC14" i="1"/>
  <c r="AQ14" i="1"/>
  <c r="AE14" i="1"/>
  <c r="S14" i="1"/>
  <c r="G14" i="1"/>
  <c r="DB14" i="1"/>
  <c r="BL14" i="1"/>
  <c r="AK14" i="1"/>
  <c r="J14" i="1"/>
  <c r="CJ14" i="1"/>
  <c r="BI14" i="1"/>
  <c r="AH14" i="1"/>
  <c r="DH14" i="1"/>
  <c r="CG14" i="1"/>
  <c r="BF14" i="1"/>
  <c r="P14" i="1"/>
  <c r="DE14" i="1"/>
  <c r="CD14" i="1"/>
  <c r="AN14" i="1"/>
  <c r="M14" i="1"/>
  <c r="JE14" i="1"/>
  <c r="IS14" i="1"/>
  <c r="IG14" i="1"/>
  <c r="HU14" i="1"/>
  <c r="HI14" i="1"/>
  <c r="GW14" i="1"/>
  <c r="GK14" i="1"/>
  <c r="FY14" i="1"/>
  <c r="FM14" i="1"/>
  <c r="FA14" i="1"/>
  <c r="EO14" i="1"/>
  <c r="EC14" i="1"/>
  <c r="DQ14" i="1"/>
  <c r="BR14" i="1"/>
  <c r="CV14" i="1"/>
  <c r="AW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AB14" i="1"/>
  <c r="CS14" i="1"/>
  <c r="AT14" i="1"/>
  <c r="IY14" i="1"/>
  <c r="IM14" i="1"/>
  <c r="IA14" i="1"/>
  <c r="HO14" i="1"/>
  <c r="HC14" i="1"/>
  <c r="GQ14" i="1"/>
  <c r="GE14" i="1"/>
  <c r="FS14" i="1"/>
  <c r="FG14" i="1"/>
  <c r="EU14" i="1"/>
  <c r="EI14" i="1"/>
  <c r="DW14" i="1"/>
  <c r="DK14" i="1"/>
  <c r="BX14" i="1"/>
  <c r="Y14" i="1"/>
  <c r="CP14" i="1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BU14" i="1"/>
  <c r="V14" i="1"/>
  <c r="AZ14" i="1"/>
  <c r="E45" i="21"/>
  <c r="D45" i="22"/>
  <c r="AE17" i="45"/>
  <c r="O17" i="45"/>
  <c r="K17" i="45"/>
  <c r="S17" i="45"/>
  <c r="G17" i="45"/>
  <c r="AM17" i="45"/>
  <c r="AA17" i="45"/>
  <c r="AS17" i="45"/>
  <c r="W17" i="45"/>
  <c r="M7" i="26"/>
  <c r="M34" i="28"/>
  <c r="BY13" i="2"/>
  <c r="E43" i="23"/>
  <c r="D43" i="21"/>
  <c r="BY38" i="2"/>
  <c r="J56" i="24"/>
  <c r="BY29" i="2"/>
  <c r="J57" i="8"/>
  <c r="BY16" i="2"/>
  <c r="BY21" i="2"/>
  <c r="E27" i="2"/>
  <c r="JH27" i="1"/>
  <c r="IV27" i="1"/>
  <c r="IJ27" i="1"/>
  <c r="HX27" i="1"/>
  <c r="HL27" i="1"/>
  <c r="GZ27" i="1"/>
  <c r="GN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Y27" i="1"/>
  <c r="FG27" i="1"/>
  <c r="BO27" i="1"/>
  <c r="M27" i="1"/>
  <c r="GQ27" i="1"/>
  <c r="CY27" i="1"/>
  <c r="IA27" i="1"/>
  <c r="EI27" i="1"/>
  <c r="AQ27" i="1"/>
  <c r="Y27" i="1"/>
  <c r="FS27" i="1"/>
  <c r="CA27" i="1"/>
  <c r="G27" i="1"/>
  <c r="HC27" i="1"/>
  <c r="DK27" i="1"/>
  <c r="IM27" i="1"/>
  <c r="EU27" i="1"/>
  <c r="BC27" i="1"/>
  <c r="S27" i="1"/>
  <c r="HO27" i="1"/>
  <c r="DW27" i="1"/>
  <c r="AE27" i="1"/>
  <c r="CM27" i="1"/>
  <c r="GE27" i="1"/>
  <c r="BY15" i="2"/>
  <c r="X172" i="55"/>
  <c r="E51" i="24"/>
  <c r="D51" i="23"/>
  <c r="E50" i="20"/>
  <c r="D50" i="19"/>
  <c r="BY26" i="2"/>
  <c r="J44" i="27"/>
  <c r="J43" i="28"/>
  <c r="W12" i="48"/>
  <c r="Q13" i="48"/>
  <c r="E46" i="23"/>
  <c r="D46" i="21"/>
  <c r="O9" i="45"/>
  <c r="K9" i="45"/>
  <c r="S9" i="45"/>
  <c r="G9" i="45"/>
  <c r="AA9" i="45"/>
  <c r="W9" i="45"/>
  <c r="AS9" i="45"/>
  <c r="AM9" i="45"/>
  <c r="AE9" i="45"/>
  <c r="C40" i="45"/>
  <c r="N15" i="54"/>
  <c r="U5" i="53"/>
  <c r="O15" i="54" s="1"/>
  <c r="P15" i="54" s="1"/>
  <c r="BY34" i="2"/>
  <c r="D41" i="21"/>
  <c r="E41" i="23"/>
  <c r="E44" i="25"/>
  <c r="D44" i="24"/>
  <c r="D40" i="23"/>
  <c r="E40" i="24"/>
  <c r="S12" i="45"/>
  <c r="G12" i="45"/>
  <c r="O12" i="45"/>
  <c r="K12" i="45"/>
  <c r="W12" i="45"/>
  <c r="AS12" i="45"/>
  <c r="AM12" i="45"/>
  <c r="AA12" i="45"/>
  <c r="AE12" i="45"/>
  <c r="E47" i="21"/>
  <c r="D47" i="22"/>
  <c r="E19" i="2"/>
  <c r="JH19" i="1"/>
  <c r="IV19" i="1"/>
  <c r="IJ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E19" i="1"/>
  <c r="IS19" i="1"/>
  <c r="IG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JB19" i="1"/>
  <c r="IP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IA19" i="1"/>
  <c r="EI19" i="1"/>
  <c r="AQ19" i="1"/>
  <c r="FS19" i="1"/>
  <c r="CA19" i="1"/>
  <c r="HC19" i="1"/>
  <c r="DK19" i="1"/>
  <c r="S19" i="1"/>
  <c r="IM19" i="1"/>
  <c r="EU19" i="1"/>
  <c r="BC19" i="1"/>
  <c r="GE19" i="1"/>
  <c r="CM19" i="1"/>
  <c r="HO19" i="1"/>
  <c r="DW19" i="1"/>
  <c r="AE19" i="1"/>
  <c r="IY19" i="1"/>
  <c r="FG19" i="1"/>
  <c r="BO19" i="1"/>
  <c r="GQ19" i="1"/>
  <c r="CY19" i="1"/>
  <c r="G19" i="1"/>
  <c r="A15" i="2"/>
  <c r="A16" i="1"/>
  <c r="BY25" i="2"/>
  <c r="E39" i="25"/>
  <c r="D39" i="24"/>
  <c r="E49" i="23"/>
  <c r="D49" i="21"/>
  <c r="D42" i="23"/>
  <c r="E42" i="24"/>
  <c r="D48" i="20"/>
  <c r="E48" i="22"/>
  <c r="S11" i="48"/>
  <c r="AO10" i="48"/>
  <c r="Y10" i="48"/>
  <c r="K10" i="48"/>
  <c r="E11" i="2"/>
  <c r="CY11" i="1"/>
  <c r="CM11" i="1"/>
  <c r="CA11" i="1"/>
  <c r="BO11" i="1"/>
  <c r="BC11" i="1"/>
  <c r="DH11" i="1"/>
  <c r="CV11" i="1"/>
  <c r="CJ11" i="1"/>
  <c r="BX11" i="1"/>
  <c r="BL11" i="1"/>
  <c r="AZ11" i="1"/>
  <c r="DE11" i="1"/>
  <c r="DB11" i="1"/>
  <c r="CP11" i="1"/>
  <c r="CD11" i="1"/>
  <c r="BR11" i="1"/>
  <c r="BF11" i="1"/>
  <c r="AT11" i="1"/>
  <c r="JE11" i="1"/>
  <c r="IS11" i="1"/>
  <c r="IG11" i="1"/>
  <c r="HU11" i="1"/>
  <c r="HI11" i="1"/>
  <c r="GW11" i="1"/>
  <c r="GK11" i="1"/>
  <c r="FY11" i="1"/>
  <c r="FM11" i="1"/>
  <c r="FA11" i="1"/>
  <c r="EO11" i="1"/>
  <c r="EC11" i="1"/>
  <c r="DQ11" i="1"/>
  <c r="BI11" i="1"/>
  <c r="AQ11" i="1"/>
  <c r="AE11" i="1"/>
  <c r="S11" i="1"/>
  <c r="G11" i="1"/>
  <c r="JB11" i="1"/>
  <c r="IP11" i="1"/>
  <c r="ID11" i="1"/>
  <c r="HR11" i="1"/>
  <c r="HF11" i="1"/>
  <c r="GT11" i="1"/>
  <c r="GH11" i="1"/>
  <c r="FV11" i="1"/>
  <c r="FJ11" i="1"/>
  <c r="EX11" i="1"/>
  <c r="EL11" i="1"/>
  <c r="DZ11" i="1"/>
  <c r="DN11" i="1"/>
  <c r="CS11" i="1"/>
  <c r="AN11" i="1"/>
  <c r="AB11" i="1"/>
  <c r="P11" i="1"/>
  <c r="IY11" i="1"/>
  <c r="IM11" i="1"/>
  <c r="IA11" i="1"/>
  <c r="HO11" i="1"/>
  <c r="HC11" i="1"/>
  <c r="GQ11" i="1"/>
  <c r="GE11" i="1"/>
  <c r="FS11" i="1"/>
  <c r="FG11" i="1"/>
  <c r="EU11" i="1"/>
  <c r="EI11" i="1"/>
  <c r="DW11" i="1"/>
  <c r="DK11" i="1"/>
  <c r="BU11" i="1"/>
  <c r="AK11" i="1"/>
  <c r="Y11" i="1"/>
  <c r="M11" i="1"/>
  <c r="JH11" i="1"/>
  <c r="IV11" i="1"/>
  <c r="IJ11" i="1"/>
  <c r="HX11" i="1"/>
  <c r="HL11" i="1"/>
  <c r="GZ11" i="1"/>
  <c r="GN11" i="1"/>
  <c r="GB11" i="1"/>
  <c r="FP11" i="1"/>
  <c r="FD11" i="1"/>
  <c r="ER11" i="1"/>
  <c r="EF11" i="1"/>
  <c r="DT11" i="1"/>
  <c r="AW11" i="1"/>
  <c r="CG11" i="1"/>
  <c r="AH11" i="1"/>
  <c r="V11" i="1"/>
  <c r="J11" i="1"/>
  <c r="J49" i="21"/>
  <c r="J50" i="23"/>
  <c r="O4" i="54"/>
  <c r="O17" i="54"/>
  <c r="O28" i="54"/>
  <c r="O34" i="54"/>
  <c r="O26" i="54"/>
  <c r="O5" i="54"/>
  <c r="P5" i="54" s="1"/>
  <c r="O20" i="54"/>
  <c r="O39" i="54"/>
  <c r="O38" i="54"/>
  <c r="O29" i="54"/>
  <c r="O33" i="54"/>
  <c r="O22" i="54"/>
  <c r="O9" i="54"/>
  <c r="P9" i="54" s="1"/>
  <c r="O32" i="54"/>
  <c r="O16" i="54"/>
  <c r="O35" i="54"/>
  <c r="O31" i="54"/>
  <c r="O10" i="54"/>
  <c r="P10" i="54" s="1"/>
  <c r="O27" i="54"/>
  <c r="O8" i="54"/>
  <c r="P8" i="54" s="1"/>
  <c r="O6" i="54"/>
  <c r="P6" i="54" s="1"/>
  <c r="O36" i="54"/>
  <c r="O18" i="54"/>
  <c r="P18" i="54" s="1"/>
  <c r="O37" i="54"/>
  <c r="O11" i="54"/>
  <c r="P11" i="54" s="1"/>
  <c r="O21" i="54"/>
  <c r="O7" i="54"/>
  <c r="P7" i="54" s="1"/>
  <c r="O25" i="54"/>
  <c r="O23" i="54"/>
  <c r="O19" i="54"/>
  <c r="O24" i="54"/>
  <c r="O30" i="54"/>
  <c r="AK11" i="48"/>
  <c r="AG12" i="48"/>
  <c r="X172" i="56" l="1"/>
  <c r="I4" i="53"/>
  <c r="E14" i="54" s="1"/>
  <c r="F14" i="54" s="1"/>
  <c r="G14" i="54" s="1"/>
  <c r="AA144" i="56"/>
  <c r="X154" i="56" s="1"/>
  <c r="X174" i="56" s="1"/>
  <c r="X176" i="56" s="1"/>
  <c r="AB144" i="55"/>
  <c r="X155" i="55" s="1"/>
  <c r="X174" i="55" s="1"/>
  <c r="X176" i="55" s="1"/>
  <c r="T3" i="53"/>
  <c r="U3" i="53" s="1"/>
  <c r="O13" i="54" s="1"/>
  <c r="P13" i="54" s="1"/>
  <c r="Q12" i="54" s="1"/>
  <c r="W34" i="45"/>
  <c r="S34" i="45"/>
  <c r="G34" i="45"/>
  <c r="AA34" i="45"/>
  <c r="AE34" i="45"/>
  <c r="O34" i="45"/>
  <c r="AM34" i="45"/>
  <c r="AS34" i="45"/>
  <c r="K34" i="45"/>
  <c r="JB36" i="1"/>
  <c r="IM36" i="1"/>
  <c r="EU36" i="1"/>
  <c r="BC36" i="1"/>
  <c r="FP36" i="1"/>
  <c r="GB36" i="1"/>
  <c r="GN36" i="1"/>
  <c r="GZ36" i="1"/>
  <c r="HL36" i="1"/>
  <c r="GW36" i="1"/>
  <c r="GH36" i="1"/>
  <c r="DQ36" i="1"/>
  <c r="CY36" i="1"/>
  <c r="IA36" i="1"/>
  <c r="EI36" i="1"/>
  <c r="AQ36" i="1"/>
  <c r="EO36" i="1"/>
  <c r="FA36" i="1"/>
  <c r="FM36" i="1"/>
  <c r="FY36" i="1"/>
  <c r="GK36" i="1"/>
  <c r="FV36" i="1"/>
  <c r="ER36" i="1"/>
  <c r="AK36" i="1"/>
  <c r="GQ36" i="1"/>
  <c r="AW36" i="1"/>
  <c r="BU36" i="1"/>
  <c r="CG36" i="1"/>
  <c r="Y36" i="1"/>
  <c r="HO36" i="1"/>
  <c r="DW36" i="1"/>
  <c r="AE36" i="1"/>
  <c r="DN36" i="1"/>
  <c r="DZ36" i="1"/>
  <c r="EL36" i="1"/>
  <c r="EX36" i="1"/>
  <c r="FJ36" i="1"/>
  <c r="EF36" i="1"/>
  <c r="DB36" i="1"/>
  <c r="IV36" i="1"/>
  <c r="G36" i="1"/>
  <c r="BI36" i="1"/>
  <c r="CS36" i="1"/>
  <c r="J36" i="1"/>
  <c r="HC36" i="1"/>
  <c r="DK36" i="1"/>
  <c r="S36" i="1"/>
  <c r="BX36" i="1"/>
  <c r="CJ36" i="1"/>
  <c r="CV36" i="1"/>
  <c r="DH36" i="1"/>
  <c r="DT36" i="1"/>
  <c r="DE36" i="1"/>
  <c r="BL36" i="1"/>
  <c r="HI36" i="1"/>
  <c r="CD36" i="1"/>
  <c r="GE36" i="1"/>
  <c r="CM36" i="1"/>
  <c r="JH36" i="1"/>
  <c r="V36" i="1"/>
  <c r="AH36" i="1"/>
  <c r="AT36" i="1"/>
  <c r="BF36" i="1"/>
  <c r="BR36" i="1"/>
  <c r="AN36" i="1"/>
  <c r="IJ36" i="1"/>
  <c r="AZ36" i="1"/>
  <c r="IY36" i="1"/>
  <c r="BO36" i="1"/>
  <c r="ID36" i="1"/>
  <c r="HX36" i="1"/>
  <c r="FD36" i="1"/>
  <c r="FS36" i="1"/>
  <c r="CA36" i="1"/>
  <c r="IG36" i="1"/>
  <c r="IS36" i="1"/>
  <c r="JE36" i="1"/>
  <c r="E36" i="2"/>
  <c r="BY36" i="2" s="1"/>
  <c r="P36" i="1"/>
  <c r="AB36" i="1"/>
  <c r="M36" i="1"/>
  <c r="GT36" i="1"/>
  <c r="CP36" i="1"/>
  <c r="FG36" i="1"/>
  <c r="HF36" i="1"/>
  <c r="HR36" i="1"/>
  <c r="IP36" i="1"/>
  <c r="HU36" i="1"/>
  <c r="EC36" i="1"/>
  <c r="HU33" i="1"/>
  <c r="EC33" i="1"/>
  <c r="E33" i="2"/>
  <c r="BY33" i="2" s="1"/>
  <c r="FV33" i="1"/>
  <c r="CD33" i="1"/>
  <c r="IM33" i="1"/>
  <c r="EU33" i="1"/>
  <c r="BC33" i="1"/>
  <c r="FD33" i="1"/>
  <c r="AN33" i="1"/>
  <c r="GB33" i="1"/>
  <c r="ER33" i="1"/>
  <c r="HI33" i="1"/>
  <c r="DQ33" i="1"/>
  <c r="JB33" i="1"/>
  <c r="FJ33" i="1"/>
  <c r="BR33" i="1"/>
  <c r="IA33" i="1"/>
  <c r="EI33" i="1"/>
  <c r="AQ33" i="1"/>
  <c r="BL33" i="1"/>
  <c r="Y33" i="1"/>
  <c r="CJ33" i="1"/>
  <c r="GW33" i="1"/>
  <c r="DE33" i="1"/>
  <c r="IP33" i="1"/>
  <c r="EX33" i="1"/>
  <c r="BF33" i="1"/>
  <c r="HO33" i="1"/>
  <c r="DW33" i="1"/>
  <c r="AE33" i="1"/>
  <c r="AB33" i="1"/>
  <c r="JH33" i="1"/>
  <c r="P33" i="1"/>
  <c r="FP33" i="1"/>
  <c r="GK33" i="1"/>
  <c r="CS33" i="1"/>
  <c r="ID33" i="1"/>
  <c r="EL33" i="1"/>
  <c r="AT33" i="1"/>
  <c r="HC33" i="1"/>
  <c r="DK33" i="1"/>
  <c r="S33" i="1"/>
  <c r="M33" i="1"/>
  <c r="FY33" i="1"/>
  <c r="CG33" i="1"/>
  <c r="HR33" i="1"/>
  <c r="DZ33" i="1"/>
  <c r="AH33" i="1"/>
  <c r="GQ33" i="1"/>
  <c r="CY33" i="1"/>
  <c r="G33" i="1"/>
  <c r="GN33" i="1"/>
  <c r="BX33" i="1"/>
  <c r="AZ33" i="1"/>
  <c r="CA33" i="1"/>
  <c r="JE33" i="1"/>
  <c r="FM33" i="1"/>
  <c r="BU33" i="1"/>
  <c r="HF33" i="1"/>
  <c r="DN33" i="1"/>
  <c r="V33" i="1"/>
  <c r="GE33" i="1"/>
  <c r="CM33" i="1"/>
  <c r="HL33" i="1"/>
  <c r="CV33" i="1"/>
  <c r="GZ33" i="1"/>
  <c r="IJ33" i="1"/>
  <c r="IS33" i="1"/>
  <c r="FA33" i="1"/>
  <c r="BI33" i="1"/>
  <c r="GT33" i="1"/>
  <c r="DB33" i="1"/>
  <c r="J33" i="1"/>
  <c r="FS33" i="1"/>
  <c r="DT33" i="1"/>
  <c r="HX33" i="1"/>
  <c r="DH33" i="1"/>
  <c r="IG33" i="1"/>
  <c r="EO33" i="1"/>
  <c r="AW33" i="1"/>
  <c r="GH33" i="1"/>
  <c r="CP33" i="1"/>
  <c r="IY33" i="1"/>
  <c r="FG33" i="1"/>
  <c r="BO33" i="1"/>
  <c r="IV33" i="1"/>
  <c r="EF33" i="1"/>
  <c r="AK33" i="1"/>
  <c r="S31" i="45"/>
  <c r="G31" i="45"/>
  <c r="AE31" i="45"/>
  <c r="K31" i="45"/>
  <c r="O31" i="45"/>
  <c r="AS31" i="45"/>
  <c r="W31" i="45"/>
  <c r="AA31" i="45"/>
  <c r="AM31" i="45"/>
  <c r="P31" i="54"/>
  <c r="M11" i="48"/>
  <c r="AI10" i="48"/>
  <c r="F9" i="54"/>
  <c r="G9" i="54" s="1"/>
  <c r="F5" i="54"/>
  <c r="G5" i="54" s="1"/>
  <c r="F28" i="54"/>
  <c r="F4" i="54"/>
  <c r="G4" i="54" s="1"/>
  <c r="F29" i="54"/>
  <c r="F34" i="54"/>
  <c r="F37" i="54"/>
  <c r="F30" i="54"/>
  <c r="F23" i="54"/>
  <c r="F16" i="54"/>
  <c r="F19" i="54"/>
  <c r="F38" i="54"/>
  <c r="F31" i="54"/>
  <c r="F24" i="54"/>
  <c r="F10" i="54"/>
  <c r="G10" i="54" s="1"/>
  <c r="F8" i="54"/>
  <c r="G8" i="54" s="1"/>
  <c r="F6" i="54"/>
  <c r="G6" i="54" s="1"/>
  <c r="F36" i="54"/>
  <c r="F21" i="54"/>
  <c r="F17" i="54"/>
  <c r="F22" i="54"/>
  <c r="F35" i="54"/>
  <c r="F25" i="54"/>
  <c r="F33" i="54"/>
  <c r="F39" i="54"/>
  <c r="F26" i="54"/>
  <c r="F18" i="54"/>
  <c r="G18" i="54" s="1"/>
  <c r="F32" i="54"/>
  <c r="F27" i="54"/>
  <c r="F20" i="54"/>
  <c r="F7" i="54"/>
  <c r="G7" i="54" s="1"/>
  <c r="F11" i="54"/>
  <c r="G11" i="54" s="1"/>
  <c r="M36" i="2"/>
  <c r="AP33" i="2"/>
  <c r="V33" i="2"/>
  <c r="BR33" i="2"/>
  <c r="AX33" i="2"/>
  <c r="AD33" i="2"/>
  <c r="J33" i="2"/>
  <c r="BX34" i="2"/>
  <c r="BB33" i="2"/>
  <c r="BF33" i="2"/>
  <c r="AL33" i="2"/>
  <c r="R33" i="2"/>
  <c r="AH33" i="2"/>
  <c r="BN33" i="2"/>
  <c r="AT33" i="2"/>
  <c r="BV33" i="2"/>
  <c r="BJ33" i="2"/>
  <c r="N33" i="2"/>
  <c r="Y34" i="2"/>
  <c r="Z33" i="2"/>
  <c r="P38" i="54"/>
  <c r="Q38" i="54" s="1"/>
  <c r="F11" i="2"/>
  <c r="BY11" i="2"/>
  <c r="E42" i="2"/>
  <c r="BY42" i="2" s="1"/>
  <c r="D49" i="22"/>
  <c r="E49" i="21"/>
  <c r="BY19" i="2"/>
  <c r="E50" i="19"/>
  <c r="D50" i="18"/>
  <c r="BY27" i="2"/>
  <c r="P33" i="54"/>
  <c r="E42" i="23"/>
  <c r="D42" i="21"/>
  <c r="E40" i="23"/>
  <c r="D40" i="21"/>
  <c r="W13" i="48"/>
  <c r="Q14" i="48"/>
  <c r="E43" i="21"/>
  <c r="D43" i="22"/>
  <c r="E46" i="21"/>
  <c r="D46" i="22"/>
  <c r="E39" i="24"/>
  <c r="D39" i="23"/>
  <c r="N13" i="54"/>
  <c r="E51" i="23"/>
  <c r="D51" i="21"/>
  <c r="E45" i="22"/>
  <c r="D45" i="20"/>
  <c r="J39" i="24"/>
  <c r="J37" i="23"/>
  <c r="D38" i="26"/>
  <c r="D52" i="28"/>
  <c r="D53" i="28" s="1"/>
  <c r="E38" i="28"/>
  <c r="E52" i="28" s="1"/>
  <c r="E53" i="28" s="1"/>
  <c r="E48" i="20"/>
  <c r="D48" i="19"/>
  <c r="J57" i="7"/>
  <c r="P4" i="54"/>
  <c r="E47" i="22"/>
  <c r="D47" i="20"/>
  <c r="D44" i="23"/>
  <c r="E44" i="24"/>
  <c r="K40" i="45"/>
  <c r="S40" i="45"/>
  <c r="G40" i="45"/>
  <c r="O40" i="45"/>
  <c r="AE40" i="45"/>
  <c r="AA40" i="45"/>
  <c r="AM40" i="45"/>
  <c r="W40" i="45"/>
  <c r="J44" i="28"/>
  <c r="J43" i="26"/>
  <c r="S12" i="48"/>
  <c r="AO11" i="48"/>
  <c r="Y11" i="48"/>
  <c r="J56" i="23"/>
  <c r="P16" i="54"/>
  <c r="BY14" i="2"/>
  <c r="J41" i="30"/>
  <c r="K57" i="30"/>
  <c r="J51" i="30"/>
  <c r="K56" i="30"/>
  <c r="J45" i="30"/>
  <c r="J40" i="29"/>
  <c r="N14" i="54"/>
  <c r="U4" i="53"/>
  <c r="O14" i="54" s="1"/>
  <c r="P14" i="54" s="1"/>
  <c r="P24" i="54"/>
  <c r="P19" i="54"/>
  <c r="P36" i="54"/>
  <c r="J50" i="21"/>
  <c r="J49" i="22"/>
  <c r="A16" i="2"/>
  <c r="A17" i="1"/>
  <c r="E41" i="21"/>
  <c r="D41" i="22"/>
  <c r="E13" i="54"/>
  <c r="J3" i="53"/>
  <c r="M7" i="25"/>
  <c r="M34" i="26"/>
  <c r="AK12" i="48"/>
  <c r="AG13" i="48"/>
  <c r="J4" i="53" l="1"/>
  <c r="G36" i="54"/>
  <c r="G38" i="54"/>
  <c r="H38" i="54" s="1"/>
  <c r="H4" i="54"/>
  <c r="G24" i="54"/>
  <c r="G31" i="54"/>
  <c r="G19" i="54"/>
  <c r="G16" i="54"/>
  <c r="G33" i="54"/>
  <c r="M12" i="48"/>
  <c r="AI11" i="48"/>
  <c r="K11" i="48"/>
  <c r="Y35" i="2"/>
  <c r="Z34" i="2"/>
  <c r="BX35" i="2"/>
  <c r="BR34" i="2"/>
  <c r="AX34" i="2"/>
  <c r="AD34" i="2"/>
  <c r="J34" i="2"/>
  <c r="BF34" i="2"/>
  <c r="AL34" i="2"/>
  <c r="R34" i="2"/>
  <c r="BN34" i="2"/>
  <c r="AT34" i="2"/>
  <c r="BV34" i="2"/>
  <c r="BB34" i="2"/>
  <c r="AH34" i="2"/>
  <c r="BJ34" i="2"/>
  <c r="AP34" i="2"/>
  <c r="V34" i="2"/>
  <c r="N34" i="2"/>
  <c r="M37" i="2"/>
  <c r="Q14" i="54"/>
  <c r="Q24" i="54"/>
  <c r="A17" i="2"/>
  <c r="A18" i="1"/>
  <c r="S13" i="48"/>
  <c r="AO12" i="48"/>
  <c r="Y12" i="48"/>
  <c r="D44" i="21"/>
  <c r="E44" i="23"/>
  <c r="E51" i="21"/>
  <c r="D51" i="22"/>
  <c r="D43" i="20"/>
  <c r="E43" i="22"/>
  <c r="E42" i="21"/>
  <c r="D42" i="22"/>
  <c r="D47" i="19"/>
  <c r="E47" i="20"/>
  <c r="K57" i="29"/>
  <c r="J41" i="29"/>
  <c r="J51" i="29"/>
  <c r="K56" i="29"/>
  <c r="J40" i="27"/>
  <c r="J45" i="29"/>
  <c r="J44" i="26"/>
  <c r="J43" i="25"/>
  <c r="M34" i="25"/>
  <c r="M7" i="24"/>
  <c r="J50" i="22"/>
  <c r="J49" i="20"/>
  <c r="P40" i="54"/>
  <c r="P42" i="54" s="1"/>
  <c r="Q4" i="54"/>
  <c r="E38" i="26"/>
  <c r="E52" i="26" s="1"/>
  <c r="E53" i="26" s="1"/>
  <c r="D52" i="26"/>
  <c r="D53" i="26" s="1"/>
  <c r="D38" i="25"/>
  <c r="N40" i="54"/>
  <c r="D49" i="20"/>
  <c r="E49" i="22"/>
  <c r="J56" i="21"/>
  <c r="O40" i="54"/>
  <c r="O42" i="54" s="1"/>
  <c r="J37" i="21"/>
  <c r="J39" i="23"/>
  <c r="D39" i="21"/>
  <c r="E39" i="23"/>
  <c r="Q15" i="48"/>
  <c r="W14" i="48"/>
  <c r="J57" i="6"/>
  <c r="D50" i="17"/>
  <c r="E50" i="18"/>
  <c r="D48" i="18"/>
  <c r="E48" i="19"/>
  <c r="E40" i="54"/>
  <c r="F13" i="54"/>
  <c r="D41" i="20"/>
  <c r="E41" i="22"/>
  <c r="D45" i="19"/>
  <c r="E45" i="20"/>
  <c r="D46" i="20"/>
  <c r="E46" i="22"/>
  <c r="D40" i="22"/>
  <c r="E40" i="21"/>
  <c r="BZ11" i="2"/>
  <c r="F12" i="2"/>
  <c r="AK13" i="48"/>
  <c r="AG14" i="48"/>
  <c r="H24" i="54" l="1"/>
  <c r="H14" i="54"/>
  <c r="M13" i="48"/>
  <c r="K13" i="48" s="1"/>
  <c r="AI12" i="48"/>
  <c r="K12" i="48"/>
  <c r="Q40" i="54"/>
  <c r="Q42" i="54" s="1"/>
  <c r="R11" i="53" s="1"/>
  <c r="M38" i="2"/>
  <c r="BF35" i="2"/>
  <c r="AL35" i="2"/>
  <c r="R35" i="2"/>
  <c r="BN35" i="2"/>
  <c r="AT35" i="2"/>
  <c r="BR35" i="2"/>
  <c r="J35" i="2"/>
  <c r="BV35" i="2"/>
  <c r="AX35" i="2"/>
  <c r="BB35" i="2"/>
  <c r="AH35" i="2"/>
  <c r="AD35" i="2"/>
  <c r="BJ35" i="2"/>
  <c r="AP35" i="2"/>
  <c r="V35" i="2"/>
  <c r="BX36" i="2"/>
  <c r="N35" i="2"/>
  <c r="Y36" i="2"/>
  <c r="Z35" i="2"/>
  <c r="D40" i="20"/>
  <c r="E40" i="22"/>
  <c r="J56" i="22"/>
  <c r="E47" i="19"/>
  <c r="D47" i="18"/>
  <c r="E44" i="21"/>
  <c r="D44" i="22"/>
  <c r="W15" i="48"/>
  <c r="Q16" i="48"/>
  <c r="J50" i="20"/>
  <c r="J49" i="19"/>
  <c r="E42" i="22"/>
  <c r="D42" i="20"/>
  <c r="E46" i="20"/>
  <c r="D46" i="19"/>
  <c r="E48" i="18"/>
  <c r="D48" i="17"/>
  <c r="D49" i="19"/>
  <c r="E49" i="20"/>
  <c r="J41" i="27"/>
  <c r="J51" i="27"/>
  <c r="K57" i="27"/>
  <c r="J40" i="28"/>
  <c r="K56" i="27"/>
  <c r="J45" i="27"/>
  <c r="D39" i="22"/>
  <c r="E39" i="21"/>
  <c r="Y13" i="48"/>
  <c r="S14" i="48"/>
  <c r="AO13" i="48"/>
  <c r="E45" i="19"/>
  <c r="D45" i="18"/>
  <c r="E50" i="17"/>
  <c r="D50" i="16"/>
  <c r="E38" i="25"/>
  <c r="E52" i="25" s="1"/>
  <c r="E53" i="25" s="1"/>
  <c r="D52" i="25"/>
  <c r="D53" i="25" s="1"/>
  <c r="D38" i="24"/>
  <c r="M34" i="24"/>
  <c r="M7" i="23"/>
  <c r="D43" i="19"/>
  <c r="E43" i="20"/>
  <c r="BZ12" i="2"/>
  <c r="F13" i="2"/>
  <c r="J57" i="37"/>
  <c r="J37" i="22"/>
  <c r="J39" i="21"/>
  <c r="E51" i="22"/>
  <c r="D51" i="20"/>
  <c r="D41" i="19"/>
  <c r="E41" i="20"/>
  <c r="A18" i="2"/>
  <c r="A19" i="1"/>
  <c r="G13" i="54"/>
  <c r="F40" i="54"/>
  <c r="F42" i="54" s="1"/>
  <c r="J44" i="25"/>
  <c r="J43" i="24"/>
  <c r="AK14" i="48"/>
  <c r="AG15" i="48"/>
  <c r="M14" i="48" l="1"/>
  <c r="AI13" i="48"/>
  <c r="Y37" i="2"/>
  <c r="Z36" i="2"/>
  <c r="BN36" i="2"/>
  <c r="AT36" i="2"/>
  <c r="BV36" i="2"/>
  <c r="BB36" i="2"/>
  <c r="AH36" i="2"/>
  <c r="BJ36" i="2"/>
  <c r="BX37" i="2"/>
  <c r="AP36" i="2"/>
  <c r="V36" i="2"/>
  <c r="BR36" i="2"/>
  <c r="AX36" i="2"/>
  <c r="AD36" i="2"/>
  <c r="J36" i="2"/>
  <c r="BF36" i="2"/>
  <c r="AL36" i="2"/>
  <c r="R36" i="2"/>
  <c r="N36" i="2"/>
  <c r="M39" i="2"/>
  <c r="K14" i="48"/>
  <c r="Y14" i="48"/>
  <c r="S15" i="48"/>
  <c r="AO14" i="48"/>
  <c r="D44" i="20"/>
  <c r="E44" i="22"/>
  <c r="E42" i="20"/>
  <c r="D42" i="19"/>
  <c r="D41" i="18"/>
  <c r="E41" i="19"/>
  <c r="E50" i="16"/>
  <c r="D50" i="15"/>
  <c r="E47" i="18"/>
  <c r="D47" i="17"/>
  <c r="BZ13" i="2"/>
  <c r="F14" i="2"/>
  <c r="D51" i="19"/>
  <c r="E51" i="20"/>
  <c r="E43" i="19"/>
  <c r="D43" i="18"/>
  <c r="E45" i="18"/>
  <c r="D45" i="17"/>
  <c r="D39" i="20"/>
  <c r="E39" i="22"/>
  <c r="E49" i="19"/>
  <c r="D49" i="18"/>
  <c r="J49" i="18"/>
  <c r="J50" i="19"/>
  <c r="J56" i="20"/>
  <c r="J44" i="24"/>
  <c r="J43" i="23"/>
  <c r="H12" i="54"/>
  <c r="H40" i="54" s="1"/>
  <c r="H42" i="54" s="1"/>
  <c r="G11" i="53" s="1"/>
  <c r="G40" i="54"/>
  <c r="G42" i="54" s="1"/>
  <c r="M34" i="23"/>
  <c r="M7" i="21"/>
  <c r="E48" i="17"/>
  <c r="D48" i="16"/>
  <c r="J37" i="20"/>
  <c r="J39" i="22"/>
  <c r="Q17" i="48"/>
  <c r="W16" i="48"/>
  <c r="A19" i="2"/>
  <c r="A20" i="1"/>
  <c r="J57" i="4"/>
  <c r="E38" i="24"/>
  <c r="E52" i="24" s="1"/>
  <c r="E53" i="24" s="1"/>
  <c r="D38" i="23"/>
  <c r="D52" i="24"/>
  <c r="D53" i="24" s="1"/>
  <c r="J41" i="28"/>
  <c r="K57" i="28"/>
  <c r="J40" i="26"/>
  <c r="J51" i="28"/>
  <c r="K56" i="28"/>
  <c r="J45" i="28"/>
  <c r="E46" i="19"/>
  <c r="D46" i="18"/>
  <c r="E40" i="20"/>
  <c r="D40" i="19"/>
  <c r="AK15" i="48"/>
  <c r="AG16" i="48"/>
  <c r="M15" i="48" l="1"/>
  <c r="AI14" i="48"/>
  <c r="BV37" i="2"/>
  <c r="BB37" i="2"/>
  <c r="AH37" i="2"/>
  <c r="BF37" i="2"/>
  <c r="BJ37" i="2"/>
  <c r="AP37" i="2"/>
  <c r="V37" i="2"/>
  <c r="BR37" i="2"/>
  <c r="AX37" i="2"/>
  <c r="AD37" i="2"/>
  <c r="J37" i="2"/>
  <c r="R37" i="2"/>
  <c r="BX38" i="2"/>
  <c r="AL37" i="2"/>
  <c r="BN37" i="2"/>
  <c r="AT37" i="2"/>
  <c r="N37" i="2"/>
  <c r="Y38" i="2"/>
  <c r="Z37" i="2"/>
  <c r="J41" i="26"/>
  <c r="K57" i="26"/>
  <c r="J40" i="25"/>
  <c r="J51" i="26"/>
  <c r="K56" i="26"/>
  <c r="J45" i="26"/>
  <c r="A20" i="2"/>
  <c r="A21" i="1"/>
  <c r="E39" i="20"/>
  <c r="D39" i="19"/>
  <c r="D40" i="18"/>
  <c r="E40" i="19"/>
  <c r="M7" i="22"/>
  <c r="M34" i="21"/>
  <c r="J56" i="19"/>
  <c r="E45" i="17"/>
  <c r="D45" i="16"/>
  <c r="D47" i="16"/>
  <c r="E47" i="17"/>
  <c r="E44" i="20"/>
  <c r="D44" i="19"/>
  <c r="E46" i="18"/>
  <c r="D46" i="17"/>
  <c r="E43" i="18"/>
  <c r="D43" i="17"/>
  <c r="E50" i="15"/>
  <c r="D50" i="14"/>
  <c r="E38" i="23"/>
  <c r="E52" i="23" s="1"/>
  <c r="E53" i="23" s="1"/>
  <c r="D38" i="21"/>
  <c r="D52" i="23"/>
  <c r="D53" i="23" s="1"/>
  <c r="W17" i="48"/>
  <c r="Q18" i="48"/>
  <c r="J50" i="18"/>
  <c r="J49" i="17"/>
  <c r="Y15" i="48"/>
  <c r="S16" i="48"/>
  <c r="AO15" i="48"/>
  <c r="K15" i="48"/>
  <c r="J43" i="21"/>
  <c r="J44" i="23"/>
  <c r="E49" i="18"/>
  <c r="D49" i="17"/>
  <c r="J57" i="43"/>
  <c r="J37" i="19"/>
  <c r="J39" i="20"/>
  <c r="E51" i="19"/>
  <c r="D51" i="18"/>
  <c r="E41" i="18"/>
  <c r="D41" i="17"/>
  <c r="E48" i="16"/>
  <c r="D48" i="15"/>
  <c r="BZ14" i="2"/>
  <c r="F15" i="2"/>
  <c r="E42" i="19"/>
  <c r="D42" i="18"/>
  <c r="AG17" i="48"/>
  <c r="M16" i="48" l="1"/>
  <c r="AI15" i="48"/>
  <c r="Y39" i="2"/>
  <c r="Z38" i="2"/>
  <c r="BB38" i="2"/>
  <c r="AH38" i="2"/>
  <c r="BJ38" i="2"/>
  <c r="AT38" i="2"/>
  <c r="AP38" i="2"/>
  <c r="V38" i="2"/>
  <c r="BX39" i="2"/>
  <c r="BR38" i="2"/>
  <c r="AX38" i="2"/>
  <c r="AD38" i="2"/>
  <c r="J38" i="2"/>
  <c r="BF38" i="2"/>
  <c r="AL38" i="2"/>
  <c r="R38" i="2"/>
  <c r="BN38" i="2"/>
  <c r="BV38" i="2"/>
  <c r="N38" i="2"/>
  <c r="AO16" i="48"/>
  <c r="K16" i="48"/>
  <c r="Y16" i="48"/>
  <c r="S17" i="48"/>
  <c r="J56" i="18"/>
  <c r="A21" i="2"/>
  <c r="A22" i="1"/>
  <c r="E49" i="17"/>
  <c r="D49" i="16"/>
  <c r="D38" i="22"/>
  <c r="E38" i="21"/>
  <c r="E52" i="21" s="1"/>
  <c r="E53" i="21" s="1"/>
  <c r="D52" i="21"/>
  <c r="D53" i="21" s="1"/>
  <c r="D44" i="18"/>
  <c r="E44" i="19"/>
  <c r="E42" i="18"/>
  <c r="D42" i="17"/>
  <c r="E51" i="18"/>
  <c r="D51" i="17"/>
  <c r="D50" i="13"/>
  <c r="E50" i="14"/>
  <c r="M34" i="22"/>
  <c r="M7" i="20"/>
  <c r="J44" i="21"/>
  <c r="J43" i="22"/>
  <c r="J50" i="17"/>
  <c r="J49" i="16"/>
  <c r="BZ15" i="2"/>
  <c r="F16" i="2"/>
  <c r="E43" i="17"/>
  <c r="D43" i="16"/>
  <c r="E47" i="16"/>
  <c r="D47" i="15"/>
  <c r="E40" i="18"/>
  <c r="D40" i="17"/>
  <c r="J41" i="25"/>
  <c r="K57" i="25"/>
  <c r="J51" i="25"/>
  <c r="J40" i="24"/>
  <c r="K56" i="25"/>
  <c r="J45" i="25"/>
  <c r="J39" i="19"/>
  <c r="J37" i="18"/>
  <c r="W18" i="48"/>
  <c r="Q19" i="48"/>
  <c r="D45" i="15"/>
  <c r="E45" i="16"/>
  <c r="E39" i="19"/>
  <c r="D39" i="18"/>
  <c r="E41" i="17"/>
  <c r="D41" i="16"/>
  <c r="AK16" i="48"/>
  <c r="E48" i="15"/>
  <c r="D48" i="14"/>
  <c r="E46" i="17"/>
  <c r="D46" i="16"/>
  <c r="AK17" i="48"/>
  <c r="AG18" i="48"/>
  <c r="M17" i="48" l="1"/>
  <c r="AI16" i="48"/>
  <c r="AP39" i="2"/>
  <c r="V39" i="2"/>
  <c r="BR39" i="2"/>
  <c r="AX39" i="2"/>
  <c r="AD39" i="2"/>
  <c r="J39" i="2"/>
  <c r="BB39" i="2"/>
  <c r="BF39" i="2"/>
  <c r="AL39" i="2"/>
  <c r="R39" i="2"/>
  <c r="BN39" i="2"/>
  <c r="AT39" i="2"/>
  <c r="AH39" i="2"/>
  <c r="BV39" i="2"/>
  <c r="BJ39" i="2"/>
  <c r="N39" i="2"/>
  <c r="Z39" i="2"/>
  <c r="D41" i="15"/>
  <c r="E41" i="16"/>
  <c r="J37" i="17"/>
  <c r="J39" i="18"/>
  <c r="E40" i="17"/>
  <c r="D40" i="16"/>
  <c r="E44" i="18"/>
  <c r="D44" i="17"/>
  <c r="J56" i="17"/>
  <c r="D39" i="17"/>
  <c r="E39" i="18"/>
  <c r="E47" i="15"/>
  <c r="D47" i="14"/>
  <c r="J49" i="15"/>
  <c r="J50" i="16"/>
  <c r="E50" i="13"/>
  <c r="D50" i="12"/>
  <c r="E46" i="16"/>
  <c r="D46" i="15"/>
  <c r="D51" i="16"/>
  <c r="E51" i="17"/>
  <c r="Y17" i="48"/>
  <c r="S18" i="48"/>
  <c r="AO17" i="48"/>
  <c r="K17" i="48"/>
  <c r="J41" i="24"/>
  <c r="K57" i="24"/>
  <c r="J40" i="23"/>
  <c r="J51" i="24"/>
  <c r="K56" i="24"/>
  <c r="J45" i="24"/>
  <c r="E43" i="16"/>
  <c r="D43" i="15"/>
  <c r="J44" i="22"/>
  <c r="J43" i="20"/>
  <c r="D38" i="20"/>
  <c r="E38" i="22"/>
  <c r="E52" i="22" s="1"/>
  <c r="E53" i="22" s="1"/>
  <c r="D52" i="22"/>
  <c r="D53" i="22" s="1"/>
  <c r="D48" i="13"/>
  <c r="E48" i="14"/>
  <c r="E45" i="15"/>
  <c r="D45" i="14"/>
  <c r="E42" i="17"/>
  <c r="D42" i="16"/>
  <c r="E49" i="16"/>
  <c r="D49" i="15"/>
  <c r="W19" i="48"/>
  <c r="Q20" i="48"/>
  <c r="BZ16" i="2"/>
  <c r="F17" i="2"/>
  <c r="M34" i="20"/>
  <c r="M7" i="19"/>
  <c r="A22" i="2"/>
  <c r="A23" i="1"/>
  <c r="AK18" i="48"/>
  <c r="AG19" i="48"/>
  <c r="M18" i="48" l="1"/>
  <c r="AI17" i="48"/>
  <c r="J44" i="20"/>
  <c r="J43" i="19"/>
  <c r="J41" i="23"/>
  <c r="K57" i="23"/>
  <c r="J40" i="21"/>
  <c r="J51" i="23"/>
  <c r="K56" i="23"/>
  <c r="J45" i="23"/>
  <c r="BZ17" i="2"/>
  <c r="F18" i="2"/>
  <c r="D45" i="13"/>
  <c r="E45" i="14"/>
  <c r="E51" i="16"/>
  <c r="D51" i="15"/>
  <c r="D47" i="13"/>
  <c r="E47" i="14"/>
  <c r="E46" i="15"/>
  <c r="D46" i="14"/>
  <c r="D40" i="15"/>
  <c r="E40" i="16"/>
  <c r="W20" i="48"/>
  <c r="Q21" i="48"/>
  <c r="E43" i="15"/>
  <c r="D43" i="14"/>
  <c r="E48" i="13"/>
  <c r="D48" i="12"/>
  <c r="E50" i="12"/>
  <c r="D50" i="11"/>
  <c r="E39" i="17"/>
  <c r="D39" i="16"/>
  <c r="A23" i="2"/>
  <c r="A24" i="1"/>
  <c r="E49" i="15"/>
  <c r="D49" i="14"/>
  <c r="S19" i="48"/>
  <c r="AO18" i="48"/>
  <c r="K18" i="48"/>
  <c r="Y18" i="48"/>
  <c r="J56" i="16"/>
  <c r="J39" i="17"/>
  <c r="J37" i="16"/>
  <c r="M7" i="18"/>
  <c r="M34" i="19"/>
  <c r="E42" i="16"/>
  <c r="D42" i="15"/>
  <c r="E38" i="20"/>
  <c r="E52" i="20" s="1"/>
  <c r="E53" i="20" s="1"/>
  <c r="D38" i="19"/>
  <c r="D52" i="20"/>
  <c r="D53" i="20" s="1"/>
  <c r="J49" i="14"/>
  <c r="J50" i="15"/>
  <c r="E44" i="17"/>
  <c r="D44" i="16"/>
  <c r="E41" i="15"/>
  <c r="D41" i="14"/>
  <c r="AK19" i="48"/>
  <c r="AG20" i="48"/>
  <c r="M19" i="48" l="1"/>
  <c r="AI18" i="48"/>
  <c r="D39" i="15"/>
  <c r="E39" i="16"/>
  <c r="E47" i="13"/>
  <c r="D47" i="12"/>
  <c r="Q22" i="48"/>
  <c r="W21" i="48"/>
  <c r="E51" i="15"/>
  <c r="D51" i="14"/>
  <c r="J49" i="13"/>
  <c r="J50" i="14"/>
  <c r="M7" i="17"/>
  <c r="M34" i="18"/>
  <c r="K19" i="48"/>
  <c r="Y19" i="48"/>
  <c r="S20" i="48"/>
  <c r="AO19" i="48"/>
  <c r="E50" i="11"/>
  <c r="D50" i="10"/>
  <c r="J41" i="21"/>
  <c r="K57" i="21"/>
  <c r="J40" i="22"/>
  <c r="J51" i="21"/>
  <c r="K56" i="21"/>
  <c r="J45" i="21"/>
  <c r="J37" i="15"/>
  <c r="J39" i="16"/>
  <c r="D49" i="13"/>
  <c r="E49" i="14"/>
  <c r="E48" i="12"/>
  <c r="D48" i="11"/>
  <c r="E40" i="15"/>
  <c r="D40" i="14"/>
  <c r="E45" i="13"/>
  <c r="D45" i="12"/>
  <c r="E41" i="14"/>
  <c r="D41" i="13"/>
  <c r="D38" i="18"/>
  <c r="E38" i="19"/>
  <c r="E52" i="19" s="1"/>
  <c r="E53" i="19" s="1"/>
  <c r="D52" i="19"/>
  <c r="D53" i="19" s="1"/>
  <c r="J56" i="15"/>
  <c r="D46" i="13"/>
  <c r="E46" i="14"/>
  <c r="BZ18" i="2"/>
  <c r="F19" i="2"/>
  <c r="J44" i="19"/>
  <c r="J43" i="18"/>
  <c r="A24" i="2"/>
  <c r="A25" i="1"/>
  <c r="E44" i="16"/>
  <c r="D44" i="15"/>
  <c r="E42" i="15"/>
  <c r="D42" i="14"/>
  <c r="D43" i="13"/>
  <c r="E43" i="14"/>
  <c r="AG21" i="48"/>
  <c r="AK20" i="48" l="1"/>
  <c r="M20" i="48"/>
  <c r="AI19" i="48"/>
  <c r="BZ19" i="2"/>
  <c r="F20" i="2"/>
  <c r="D38" i="17"/>
  <c r="E38" i="18"/>
  <c r="E52" i="18" s="1"/>
  <c r="E53" i="18" s="1"/>
  <c r="D52" i="18"/>
  <c r="D53" i="18" s="1"/>
  <c r="D51" i="13"/>
  <c r="E51" i="14"/>
  <c r="E42" i="14"/>
  <c r="D42" i="13"/>
  <c r="E44" i="15"/>
  <c r="D44" i="14"/>
  <c r="E41" i="13"/>
  <c r="D41" i="12"/>
  <c r="K57" i="22"/>
  <c r="J41" i="22"/>
  <c r="J40" i="20"/>
  <c r="J51" i="22"/>
  <c r="K56" i="22"/>
  <c r="J45" i="22"/>
  <c r="E49" i="13"/>
  <c r="D49" i="12"/>
  <c r="A25" i="2"/>
  <c r="A26" i="1"/>
  <c r="E46" i="13"/>
  <c r="D46" i="12"/>
  <c r="D45" i="11"/>
  <c r="E45" i="12"/>
  <c r="W22" i="48"/>
  <c r="Q23" i="48"/>
  <c r="J56" i="14"/>
  <c r="D50" i="9"/>
  <c r="E50" i="10"/>
  <c r="M34" i="17"/>
  <c r="M7" i="16"/>
  <c r="E47" i="12"/>
  <c r="D47" i="11"/>
  <c r="E40" i="14"/>
  <c r="D40" i="13"/>
  <c r="J39" i="15"/>
  <c r="J37" i="14"/>
  <c r="E43" i="13"/>
  <c r="D43" i="12"/>
  <c r="J44" i="18"/>
  <c r="J43" i="17"/>
  <c r="E48" i="11"/>
  <c r="D48" i="10"/>
  <c r="S21" i="48"/>
  <c r="AO20" i="48"/>
  <c r="K20" i="48"/>
  <c r="Y20" i="48"/>
  <c r="J50" i="13"/>
  <c r="J49" i="12"/>
  <c r="E39" i="15"/>
  <c r="D39" i="14"/>
  <c r="AG22" i="48"/>
  <c r="AK21" i="48"/>
  <c r="M21" i="48" l="1"/>
  <c r="AI20" i="48"/>
  <c r="E50" i="9"/>
  <c r="D50" i="8"/>
  <c r="J41" i="20"/>
  <c r="K57" i="20"/>
  <c r="J40" i="19"/>
  <c r="J51" i="20"/>
  <c r="K56" i="20"/>
  <c r="J45" i="20"/>
  <c r="D40" i="12"/>
  <c r="E40" i="13"/>
  <c r="J56" i="13"/>
  <c r="A26" i="2"/>
  <c r="A27" i="1"/>
  <c r="E51" i="13"/>
  <c r="D51" i="12"/>
  <c r="J44" i="17"/>
  <c r="J43" i="16"/>
  <c r="E47" i="11"/>
  <c r="D47" i="10"/>
  <c r="W23" i="48"/>
  <c r="Q24" i="48"/>
  <c r="E49" i="12"/>
  <c r="D49" i="11"/>
  <c r="D41" i="11"/>
  <c r="E41" i="12"/>
  <c r="J50" i="12"/>
  <c r="J49" i="11"/>
  <c r="K21" i="48"/>
  <c r="Y21" i="48"/>
  <c r="S22" i="48"/>
  <c r="AO21" i="48"/>
  <c r="D43" i="11"/>
  <c r="E43" i="12"/>
  <c r="M34" i="16"/>
  <c r="M7" i="15"/>
  <c r="D44" i="13"/>
  <c r="E44" i="14"/>
  <c r="D38" i="16"/>
  <c r="E38" i="17"/>
  <c r="E52" i="17" s="1"/>
  <c r="E53" i="17" s="1"/>
  <c r="D52" i="17"/>
  <c r="D53" i="17" s="1"/>
  <c r="E45" i="11"/>
  <c r="D45" i="10"/>
  <c r="BZ20" i="2"/>
  <c r="F21" i="2"/>
  <c r="D39" i="13"/>
  <c r="E39" i="14"/>
  <c r="D48" i="9"/>
  <c r="E48" i="10"/>
  <c r="J37" i="13"/>
  <c r="J39" i="14"/>
  <c r="E46" i="12"/>
  <c r="D46" i="11"/>
  <c r="E42" i="13"/>
  <c r="D42" i="12"/>
  <c r="AG23" i="48"/>
  <c r="AK22" i="48" l="1"/>
  <c r="M22" i="48"/>
  <c r="AI21" i="48"/>
  <c r="M34" i="15"/>
  <c r="M7" i="14"/>
  <c r="W24" i="48"/>
  <c r="Q25" i="48"/>
  <c r="D45" i="9"/>
  <c r="E45" i="10"/>
  <c r="J50" i="11"/>
  <c r="J49" i="10"/>
  <c r="J37" i="12"/>
  <c r="J39" i="13"/>
  <c r="D47" i="9"/>
  <c r="E47" i="10"/>
  <c r="A27" i="2"/>
  <c r="A28" i="1"/>
  <c r="D43" i="10"/>
  <c r="E43" i="11"/>
  <c r="J41" i="19"/>
  <c r="K57" i="19"/>
  <c r="J40" i="18"/>
  <c r="J51" i="19"/>
  <c r="K56" i="19"/>
  <c r="J45" i="19"/>
  <c r="D48" i="8"/>
  <c r="E48" i="9"/>
  <c r="J44" i="16"/>
  <c r="J43" i="15"/>
  <c r="E42" i="12"/>
  <c r="D42" i="11"/>
  <c r="E38" i="16"/>
  <c r="E52" i="16" s="1"/>
  <c r="E53" i="16" s="1"/>
  <c r="D38" i="15"/>
  <c r="D52" i="16"/>
  <c r="D53" i="16" s="1"/>
  <c r="Y22" i="48"/>
  <c r="S23" i="48"/>
  <c r="AO22" i="48"/>
  <c r="K22" i="48"/>
  <c r="E41" i="11"/>
  <c r="D41" i="10"/>
  <c r="J56" i="12"/>
  <c r="E39" i="13"/>
  <c r="D39" i="12"/>
  <c r="E49" i="11"/>
  <c r="D49" i="10"/>
  <c r="E50" i="8"/>
  <c r="D50" i="7"/>
  <c r="E46" i="11"/>
  <c r="D46" i="10"/>
  <c r="BZ21" i="2"/>
  <c r="F22" i="2"/>
  <c r="E44" i="13"/>
  <c r="D44" i="12"/>
  <c r="E51" i="12"/>
  <c r="D51" i="11"/>
  <c r="E40" i="12"/>
  <c r="D40" i="11"/>
  <c r="AG24" i="48"/>
  <c r="AK23" i="48" l="1"/>
  <c r="M23" i="48"/>
  <c r="AI22" i="48"/>
  <c r="E38" i="15"/>
  <c r="E52" i="15" s="1"/>
  <c r="E53" i="15" s="1"/>
  <c r="D38" i="14"/>
  <c r="D52" i="15"/>
  <c r="D53" i="15" s="1"/>
  <c r="A28" i="2"/>
  <c r="A29" i="1"/>
  <c r="E48" i="8"/>
  <c r="D48" i="7"/>
  <c r="E49" i="10"/>
  <c r="D49" i="9"/>
  <c r="E42" i="11"/>
  <c r="D42" i="10"/>
  <c r="BZ22" i="2"/>
  <c r="F23" i="2"/>
  <c r="E45" i="9"/>
  <c r="D45" i="8"/>
  <c r="E43" i="10"/>
  <c r="D43" i="9"/>
  <c r="E39" i="12"/>
  <c r="D39" i="11"/>
  <c r="S24" i="48"/>
  <c r="AO23" i="48"/>
  <c r="K23" i="48"/>
  <c r="Y23" i="48"/>
  <c r="J44" i="15"/>
  <c r="J43" i="14"/>
  <c r="J41" i="18"/>
  <c r="K57" i="18"/>
  <c r="J40" i="17"/>
  <c r="J51" i="18"/>
  <c r="K56" i="18"/>
  <c r="J45" i="18"/>
  <c r="E47" i="9"/>
  <c r="D47" i="8"/>
  <c r="W25" i="48"/>
  <c r="Q26" i="48"/>
  <c r="E46" i="10"/>
  <c r="D46" i="9"/>
  <c r="E41" i="10"/>
  <c r="D41" i="9"/>
  <c r="E44" i="12"/>
  <c r="D44" i="11"/>
  <c r="J56" i="11"/>
  <c r="J37" i="11"/>
  <c r="J39" i="12"/>
  <c r="M34" i="14"/>
  <c r="M7" i="13"/>
  <c r="D40" i="10"/>
  <c r="E40" i="11"/>
  <c r="E51" i="11"/>
  <c r="D51" i="10"/>
  <c r="E50" i="7"/>
  <c r="D50" i="6"/>
  <c r="J50" i="10"/>
  <c r="J49" i="9"/>
  <c r="AG25" i="48"/>
  <c r="AK24" i="48" l="1"/>
  <c r="M24" i="48"/>
  <c r="AI23" i="48"/>
  <c r="J39" i="11"/>
  <c r="J37" i="10"/>
  <c r="E46" i="9"/>
  <c r="D46" i="8"/>
  <c r="D45" i="7"/>
  <c r="E45" i="8"/>
  <c r="D48" i="6"/>
  <c r="E48" i="7"/>
  <c r="D51" i="9"/>
  <c r="E51" i="10"/>
  <c r="J56" i="10"/>
  <c r="J41" i="17"/>
  <c r="K57" i="17"/>
  <c r="J40" i="16"/>
  <c r="J51" i="17"/>
  <c r="K56" i="17"/>
  <c r="J45" i="17"/>
  <c r="Q27" i="48"/>
  <c r="W26" i="48"/>
  <c r="K24" i="48"/>
  <c r="Y24" i="48"/>
  <c r="S25" i="48"/>
  <c r="AO24" i="48"/>
  <c r="BZ23" i="2"/>
  <c r="F24" i="2"/>
  <c r="A29" i="2"/>
  <c r="A30" i="1"/>
  <c r="E50" i="6"/>
  <c r="D50" i="37"/>
  <c r="J49" i="8"/>
  <c r="J50" i="9"/>
  <c r="E40" i="10"/>
  <c r="D40" i="9"/>
  <c r="E44" i="11"/>
  <c r="D44" i="10"/>
  <c r="E47" i="8"/>
  <c r="D47" i="7"/>
  <c r="J43" i="13"/>
  <c r="J44" i="14"/>
  <c r="E39" i="11"/>
  <c r="D39" i="10"/>
  <c r="E42" i="10"/>
  <c r="D42" i="9"/>
  <c r="M34" i="13"/>
  <c r="M7" i="12"/>
  <c r="D38" i="13"/>
  <c r="E38" i="14"/>
  <c r="E52" i="14" s="1"/>
  <c r="E53" i="14" s="1"/>
  <c r="D52" i="14"/>
  <c r="D53" i="14" s="1"/>
  <c r="E41" i="9"/>
  <c r="D41" i="8"/>
  <c r="E43" i="9"/>
  <c r="D43" i="8"/>
  <c r="E49" i="9"/>
  <c r="D49" i="8"/>
  <c r="AG26" i="48"/>
  <c r="AK25" i="48"/>
  <c r="M25" i="48" l="1"/>
  <c r="AI24" i="48"/>
  <c r="E42" i="9"/>
  <c r="D42" i="8"/>
  <c r="E50" i="37"/>
  <c r="D50" i="4"/>
  <c r="Y25" i="48"/>
  <c r="S26" i="48"/>
  <c r="AO25" i="48"/>
  <c r="K25" i="48"/>
  <c r="D44" i="9"/>
  <c r="E44" i="10"/>
  <c r="E39" i="10"/>
  <c r="D39" i="9"/>
  <c r="D40" i="8"/>
  <c r="E40" i="9"/>
  <c r="A30" i="2"/>
  <c r="A31" i="1"/>
  <c r="D45" i="6"/>
  <c r="E45" i="7"/>
  <c r="E41" i="8"/>
  <c r="D41" i="7"/>
  <c r="J56" i="9"/>
  <c r="D46" i="7"/>
  <c r="E46" i="8"/>
  <c r="E48" i="6"/>
  <c r="D48" i="37"/>
  <c r="E49" i="8"/>
  <c r="D49" i="7"/>
  <c r="E38" i="13"/>
  <c r="E52" i="13" s="1"/>
  <c r="E53" i="13" s="1"/>
  <c r="D38" i="12"/>
  <c r="D52" i="13"/>
  <c r="D53" i="13" s="1"/>
  <c r="BZ24" i="2"/>
  <c r="F25" i="2"/>
  <c r="W27" i="48"/>
  <c r="Q28" i="48"/>
  <c r="M7" i="11"/>
  <c r="M34" i="12"/>
  <c r="J44" i="13"/>
  <c r="J43" i="12"/>
  <c r="J50" i="8"/>
  <c r="J49" i="7"/>
  <c r="J39" i="10"/>
  <c r="J37" i="9"/>
  <c r="K57" i="16"/>
  <c r="J41" i="16"/>
  <c r="J40" i="15"/>
  <c r="J51" i="16"/>
  <c r="K56" i="16"/>
  <c r="J45" i="16"/>
  <c r="D43" i="7"/>
  <c r="E43" i="8"/>
  <c r="D47" i="6"/>
  <c r="E47" i="7"/>
  <c r="E51" i="9"/>
  <c r="D51" i="8"/>
  <c r="AG27" i="48"/>
  <c r="AK26" i="48" l="1"/>
  <c r="M26" i="48"/>
  <c r="AI25" i="48"/>
  <c r="E38" i="12"/>
  <c r="E52" i="12" s="1"/>
  <c r="E53" i="12" s="1"/>
  <c r="D38" i="11"/>
  <c r="D52" i="12"/>
  <c r="D53" i="12" s="1"/>
  <c r="J56" i="8"/>
  <c r="K26" i="48"/>
  <c r="Y26" i="48"/>
  <c r="S27" i="48"/>
  <c r="AO26" i="48"/>
  <c r="E47" i="6"/>
  <c r="D47" i="37"/>
  <c r="D49" i="6"/>
  <c r="E49" i="7"/>
  <c r="E40" i="8"/>
  <c r="D40" i="7"/>
  <c r="J37" i="8"/>
  <c r="J39" i="9"/>
  <c r="J50" i="7"/>
  <c r="J49" i="6"/>
  <c r="W28" i="48"/>
  <c r="Q29" i="48"/>
  <c r="E41" i="7"/>
  <c r="D41" i="6"/>
  <c r="D39" i="8"/>
  <c r="E39" i="9"/>
  <c r="M7" i="10"/>
  <c r="M34" i="11"/>
  <c r="D48" i="4"/>
  <c r="E48" i="37"/>
  <c r="E50" i="4"/>
  <c r="D50" i="43"/>
  <c r="E50" i="43" s="1"/>
  <c r="E51" i="8"/>
  <c r="D51" i="7"/>
  <c r="BZ25" i="2"/>
  <c r="F26" i="2"/>
  <c r="K57" i="15"/>
  <c r="J41" i="15"/>
  <c r="J40" i="14"/>
  <c r="J51" i="15"/>
  <c r="K56" i="15"/>
  <c r="J45" i="15"/>
  <c r="J44" i="12"/>
  <c r="J43" i="11"/>
  <c r="E45" i="6"/>
  <c r="D45" i="37"/>
  <c r="D44" i="8"/>
  <c r="E44" i="9"/>
  <c r="D42" i="7"/>
  <c r="E42" i="8"/>
  <c r="E43" i="7"/>
  <c r="D43" i="6"/>
  <c r="E46" i="7"/>
  <c r="D46" i="6"/>
  <c r="A31" i="2"/>
  <c r="A32" i="1"/>
  <c r="AK27" i="48"/>
  <c r="AG28" i="48"/>
  <c r="M27" i="48" l="1"/>
  <c r="AI26" i="48"/>
  <c r="W29" i="48"/>
  <c r="Q30" i="48"/>
  <c r="J44" i="11"/>
  <c r="J43" i="10"/>
  <c r="D48" i="43"/>
  <c r="E48" i="43" s="1"/>
  <c r="E48" i="4"/>
  <c r="E43" i="6"/>
  <c r="D43" i="37"/>
  <c r="BZ26" i="2"/>
  <c r="F27" i="2"/>
  <c r="J49" i="37"/>
  <c r="J50" i="6"/>
  <c r="E49" i="6"/>
  <c r="D49" i="37"/>
  <c r="M34" i="10"/>
  <c r="M7" i="9"/>
  <c r="E47" i="37"/>
  <c r="D47" i="4"/>
  <c r="J56" i="7"/>
  <c r="D42" i="6"/>
  <c r="E42" i="7"/>
  <c r="D51" i="6"/>
  <c r="E51" i="7"/>
  <c r="A32" i="2"/>
  <c r="A33" i="1"/>
  <c r="D39" i="7"/>
  <c r="E39" i="8"/>
  <c r="E44" i="8"/>
  <c r="D44" i="7"/>
  <c r="E41" i="6"/>
  <c r="D41" i="37"/>
  <c r="J39" i="8"/>
  <c r="J37" i="7"/>
  <c r="Y27" i="48"/>
  <c r="AO27" i="48"/>
  <c r="S28" i="48"/>
  <c r="K27" i="48"/>
  <c r="E38" i="11"/>
  <c r="E52" i="11" s="1"/>
  <c r="E53" i="11" s="1"/>
  <c r="D38" i="10"/>
  <c r="D52" i="11"/>
  <c r="D53" i="11" s="1"/>
  <c r="E46" i="6"/>
  <c r="D46" i="37"/>
  <c r="E45" i="37"/>
  <c r="D45" i="4"/>
  <c r="K57" i="14"/>
  <c r="J41" i="14"/>
  <c r="J40" i="13"/>
  <c r="J51" i="14"/>
  <c r="K56" i="14"/>
  <c r="J45" i="14"/>
  <c r="E40" i="7"/>
  <c r="D40" i="6"/>
  <c r="AG29" i="48"/>
  <c r="AK28" i="48" l="1"/>
  <c r="M28" i="48"/>
  <c r="AI27" i="48"/>
  <c r="E42" i="6"/>
  <c r="D42" i="37"/>
  <c r="E39" i="7"/>
  <c r="D39" i="6"/>
  <c r="J56" i="6"/>
  <c r="J49" i="4"/>
  <c r="J50" i="37"/>
  <c r="J43" i="9"/>
  <c r="J44" i="10"/>
  <c r="J37" i="6"/>
  <c r="J39" i="7"/>
  <c r="A33" i="2"/>
  <c r="A34" i="1"/>
  <c r="D47" i="43"/>
  <c r="E47" i="43" s="1"/>
  <c r="E47" i="4"/>
  <c r="D38" i="9"/>
  <c r="E38" i="10"/>
  <c r="E52" i="10" s="1"/>
  <c r="E53" i="10" s="1"/>
  <c r="D52" i="10"/>
  <c r="D53" i="10" s="1"/>
  <c r="BZ27" i="2"/>
  <c r="F28" i="2"/>
  <c r="D41" i="4"/>
  <c r="E41" i="37"/>
  <c r="M34" i="9"/>
  <c r="M7" i="8"/>
  <c r="E46" i="37"/>
  <c r="D46" i="4"/>
  <c r="J41" i="13"/>
  <c r="J40" i="12"/>
  <c r="K57" i="13"/>
  <c r="J51" i="13"/>
  <c r="K56" i="13"/>
  <c r="J45" i="13"/>
  <c r="E51" i="6"/>
  <c r="D51" i="37"/>
  <c r="D43" i="4"/>
  <c r="E43" i="37"/>
  <c r="W30" i="48"/>
  <c r="Q31" i="48"/>
  <c r="E40" i="6"/>
  <c r="D40" i="37"/>
  <c r="D45" i="43"/>
  <c r="E45" i="43" s="1"/>
  <c r="E45" i="4"/>
  <c r="AO28" i="48"/>
  <c r="K28" i="48"/>
  <c r="S29" i="48"/>
  <c r="Y28" i="48"/>
  <c r="D44" i="6"/>
  <c r="E44" i="7"/>
  <c r="E49" i="37"/>
  <c r="D49" i="4"/>
  <c r="AG30" i="48"/>
  <c r="AK29" i="48" l="1"/>
  <c r="M29" i="48"/>
  <c r="AI28" i="48"/>
  <c r="J41" i="12"/>
  <c r="J40" i="11"/>
  <c r="K57" i="12"/>
  <c r="J51" i="12"/>
  <c r="K56" i="12"/>
  <c r="J45" i="12"/>
  <c r="BZ28" i="2"/>
  <c r="F29" i="2"/>
  <c r="D49" i="43"/>
  <c r="E49" i="43" s="1"/>
  <c r="E49" i="4"/>
  <c r="D43" i="43"/>
  <c r="E43" i="43" s="1"/>
  <c r="E43" i="4"/>
  <c r="J56" i="37"/>
  <c r="E51" i="37"/>
  <c r="D51" i="4"/>
  <c r="D46" i="43"/>
  <c r="E46" i="43" s="1"/>
  <c r="E46" i="4"/>
  <c r="J37" i="37"/>
  <c r="J39" i="6"/>
  <c r="D39" i="37"/>
  <c r="E39" i="6"/>
  <c r="E44" i="6"/>
  <c r="D44" i="37"/>
  <c r="D40" i="4"/>
  <c r="E40" i="37"/>
  <c r="M7" i="7"/>
  <c r="M34" i="8"/>
  <c r="E38" i="9"/>
  <c r="E52" i="9" s="1"/>
  <c r="E53" i="9" s="1"/>
  <c r="D38" i="8"/>
  <c r="D52" i="9"/>
  <c r="D53" i="9" s="1"/>
  <c r="J43" i="8"/>
  <c r="J44" i="9"/>
  <c r="E42" i="37"/>
  <c r="D42" i="4"/>
  <c r="K29" i="48"/>
  <c r="AO29" i="48"/>
  <c r="S30" i="48"/>
  <c r="Y29" i="48"/>
  <c r="W31" i="48"/>
  <c r="Q32" i="48"/>
  <c r="D41" i="43"/>
  <c r="E41" i="43" s="1"/>
  <c r="E41" i="4"/>
  <c r="A34" i="2"/>
  <c r="A35" i="1"/>
  <c r="J49" i="43"/>
  <c r="J50" i="4"/>
  <c r="AG31" i="48"/>
  <c r="AK30" i="48" l="1"/>
  <c r="M30" i="48"/>
  <c r="K30" i="48" s="1"/>
  <c r="AI29" i="48"/>
  <c r="D44" i="4"/>
  <c r="E44" i="37"/>
  <c r="D51" i="43"/>
  <c r="E51" i="43" s="1"/>
  <c r="E51" i="4"/>
  <c r="BZ29" i="2"/>
  <c r="F30" i="2"/>
  <c r="A35" i="2"/>
  <c r="A36" i="1"/>
  <c r="D38" i="7"/>
  <c r="E38" i="8"/>
  <c r="E52" i="8" s="1"/>
  <c r="E53" i="8" s="1"/>
  <c r="D52" i="8"/>
  <c r="D53" i="8" s="1"/>
  <c r="J56" i="4"/>
  <c r="E39" i="37"/>
  <c r="D39" i="4"/>
  <c r="D42" i="43"/>
  <c r="E42" i="43" s="1"/>
  <c r="E42" i="4"/>
  <c r="M34" i="7"/>
  <c r="M7" i="6"/>
  <c r="J37" i="4"/>
  <c r="J39" i="37"/>
  <c r="Q33" i="48"/>
  <c r="W32" i="48"/>
  <c r="J41" i="11"/>
  <c r="J40" i="10"/>
  <c r="K57" i="11"/>
  <c r="J51" i="11"/>
  <c r="K56" i="11"/>
  <c r="J45" i="11"/>
  <c r="J50" i="43"/>
  <c r="AO30" i="48"/>
  <c r="S31" i="48"/>
  <c r="Y30" i="48"/>
  <c r="J44" i="8"/>
  <c r="J43" i="7"/>
  <c r="E40" i="4"/>
  <c r="D40" i="43"/>
  <c r="E40" i="43" s="1"/>
  <c r="AG32" i="48"/>
  <c r="AK31" i="48" l="1"/>
  <c r="M31" i="48"/>
  <c r="AI30" i="48"/>
  <c r="A36" i="2"/>
  <c r="A37" i="1"/>
  <c r="D39" i="43"/>
  <c r="E39" i="43" s="1"/>
  <c r="E39" i="4"/>
  <c r="Q34" i="48"/>
  <c r="W33" i="48"/>
  <c r="BZ30" i="2"/>
  <c r="F31" i="2"/>
  <c r="J56" i="43"/>
  <c r="AO31" i="48"/>
  <c r="K31" i="48"/>
  <c r="S32" i="48"/>
  <c r="Y31" i="48"/>
  <c r="J37" i="43"/>
  <c r="J39" i="43" s="1"/>
  <c r="J39" i="4"/>
  <c r="J43" i="6"/>
  <c r="J44" i="7"/>
  <c r="M34" i="6"/>
  <c r="M7" i="37"/>
  <c r="J41" i="10"/>
  <c r="J40" i="9"/>
  <c r="K57" i="10"/>
  <c r="J51" i="10"/>
  <c r="K56" i="10"/>
  <c r="J45" i="10"/>
  <c r="D38" i="6"/>
  <c r="E38" i="7"/>
  <c r="E52" i="7" s="1"/>
  <c r="E53" i="7" s="1"/>
  <c r="D52" i="7"/>
  <c r="D53" i="7" s="1"/>
  <c r="D44" i="43"/>
  <c r="E44" i="43" s="1"/>
  <c r="E44" i="4"/>
  <c r="AG33" i="48"/>
  <c r="AK32" i="48" l="1"/>
  <c r="M32" i="48"/>
  <c r="K32" i="48" s="1"/>
  <c r="AI31" i="48"/>
  <c r="BZ31" i="2"/>
  <c r="F32" i="2"/>
  <c r="M34" i="37"/>
  <c r="M7" i="4"/>
  <c r="AO32" i="48"/>
  <c r="S33" i="48"/>
  <c r="Y32" i="48"/>
  <c r="J41" i="9"/>
  <c r="J40" i="8"/>
  <c r="K57" i="9"/>
  <c r="J51" i="9"/>
  <c r="K56" i="9"/>
  <c r="J45" i="9"/>
  <c r="Q35" i="48"/>
  <c r="W34" i="48"/>
  <c r="E38" i="6"/>
  <c r="E52" i="6" s="1"/>
  <c r="E53" i="6" s="1"/>
  <c r="D38" i="37"/>
  <c r="D52" i="6"/>
  <c r="D53" i="6" s="1"/>
  <c r="J44" i="6"/>
  <c r="J43" i="37"/>
  <c r="A37" i="2"/>
  <c r="A38" i="1"/>
  <c r="Z145" i="56"/>
  <c r="AK33" i="48"/>
  <c r="AG34" i="48"/>
  <c r="M33" i="48" l="1"/>
  <c r="AI32" i="48"/>
  <c r="Q36" i="48"/>
  <c r="W35" i="48"/>
  <c r="S34" i="48"/>
  <c r="Y33" i="48"/>
  <c r="AO33" i="48"/>
  <c r="K33" i="48"/>
  <c r="M7" i="43"/>
  <c r="M34" i="43" s="1"/>
  <c r="W145" i="56" s="1"/>
  <c r="M34" i="4"/>
  <c r="E38" i="37"/>
  <c r="E52" i="37" s="1"/>
  <c r="E53" i="37" s="1"/>
  <c r="D38" i="4"/>
  <c r="D52" i="37"/>
  <c r="D53" i="37" s="1"/>
  <c r="J41" i="8"/>
  <c r="J40" i="7"/>
  <c r="K57" i="8"/>
  <c r="J51" i="8"/>
  <c r="K56" i="8"/>
  <c r="J45" i="8"/>
  <c r="J44" i="37"/>
  <c r="J43" i="4"/>
  <c r="BZ32" i="2"/>
  <c r="F33" i="2"/>
  <c r="A38" i="2"/>
  <c r="A39" i="1"/>
  <c r="AG35" i="48"/>
  <c r="M34" i="48" l="1"/>
  <c r="AI33" i="48"/>
  <c r="J41" i="7"/>
  <c r="J40" i="6"/>
  <c r="K57" i="7"/>
  <c r="J51" i="7"/>
  <c r="K56" i="7"/>
  <c r="J45" i="7"/>
  <c r="S35" i="48"/>
  <c r="Y34" i="48"/>
  <c r="K34" i="48"/>
  <c r="AO34" i="48"/>
  <c r="D38" i="43"/>
  <c r="E38" i="4"/>
  <c r="E52" i="4" s="1"/>
  <c r="E53" i="4" s="1"/>
  <c r="D52" i="4"/>
  <c r="D53" i="4" s="1"/>
  <c r="BZ33" i="2"/>
  <c r="F34" i="2"/>
  <c r="AK34" i="48"/>
  <c r="J44" i="4"/>
  <c r="J43" i="43"/>
  <c r="A39" i="2"/>
  <c r="Q37" i="48"/>
  <c r="W36" i="48"/>
  <c r="AG36" i="48"/>
  <c r="M35" i="48" l="1"/>
  <c r="AI34" i="48"/>
  <c r="BZ34" i="2"/>
  <c r="F35" i="2"/>
  <c r="S36" i="48"/>
  <c r="Y35" i="48"/>
  <c r="K35" i="48"/>
  <c r="AO35" i="48"/>
  <c r="J44" i="43"/>
  <c r="E38" i="43"/>
  <c r="E52" i="43" s="1"/>
  <c r="E53" i="43" s="1"/>
  <c r="D52" i="43"/>
  <c r="D53" i="43" s="1"/>
  <c r="Q38" i="48"/>
  <c r="W37" i="48"/>
  <c r="AK35" i="48"/>
  <c r="J41" i="6"/>
  <c r="J40" i="37"/>
  <c r="K57" i="6"/>
  <c r="J51" i="6"/>
  <c r="K56" i="6"/>
  <c r="J45" i="6"/>
  <c r="AG37" i="48"/>
  <c r="AK36" i="48" l="1"/>
  <c r="M36" i="48"/>
  <c r="AI35" i="48"/>
  <c r="J40" i="4"/>
  <c r="J41" i="37"/>
  <c r="K57" i="37"/>
  <c r="J51" i="37"/>
  <c r="K56" i="37"/>
  <c r="J45" i="37"/>
  <c r="W38" i="48"/>
  <c r="Y36" i="48"/>
  <c r="AO36" i="48"/>
  <c r="K36" i="48"/>
  <c r="S37" i="48"/>
  <c r="BZ35" i="2"/>
  <c r="F36" i="2"/>
  <c r="AG38" i="48"/>
  <c r="M37" i="48" l="1"/>
  <c r="AI36" i="48"/>
  <c r="Y37" i="48"/>
  <c r="K37" i="48"/>
  <c r="AO37" i="48"/>
  <c r="S38" i="48"/>
  <c r="AK37" i="48"/>
  <c r="BZ36" i="2"/>
  <c r="F37" i="2"/>
  <c r="J40" i="43"/>
  <c r="J41" i="4"/>
  <c r="K57" i="4"/>
  <c r="J51" i="4"/>
  <c r="K56" i="4"/>
  <c r="J45" i="4"/>
  <c r="AK38" i="48" l="1"/>
  <c r="M38" i="48"/>
  <c r="AI37" i="48"/>
  <c r="BZ37" i="2"/>
  <c r="F38" i="2"/>
  <c r="Y38" i="48"/>
  <c r="AO38" i="48"/>
  <c r="K38" i="48"/>
  <c r="J41" i="43"/>
  <c r="K57" i="43"/>
  <c r="J51" i="43"/>
  <c r="K56" i="43"/>
  <c r="J45" i="43"/>
  <c r="AI38" i="48" l="1"/>
  <c r="BZ38" i="2"/>
  <c r="F39" i="2"/>
  <c r="BZ39" i="2" s="1"/>
  <c r="AG26" i="45" l="1"/>
  <c r="AG11" i="45" l="1"/>
  <c r="AG15" i="45"/>
  <c r="AG14" i="45"/>
  <c r="AG21" i="45"/>
  <c r="AG35" i="45"/>
  <c r="AG32" i="45"/>
  <c r="AG13" i="45"/>
  <c r="AG12" i="45"/>
  <c r="AG23" i="45"/>
  <c r="AG34" i="45"/>
  <c r="AG36" i="45"/>
  <c r="AG16" i="45"/>
  <c r="AG20" i="45"/>
  <c r="AG19" i="45"/>
  <c r="AG17" i="45"/>
  <c r="AG37" i="45"/>
  <c r="AG25" i="45"/>
  <c r="AG18" i="45"/>
  <c r="AG30" i="45"/>
  <c r="AG33" i="45"/>
  <c r="AG10" i="45"/>
  <c r="AG9" i="45"/>
  <c r="AG22" i="45"/>
  <c r="AG24" i="45"/>
  <c r="AG27" i="45"/>
  <c r="AG28" i="45"/>
  <c r="AG29" i="45"/>
  <c r="AN26" i="45"/>
  <c r="AI26" i="45"/>
  <c r="AH26" i="45"/>
  <c r="AG31" i="45"/>
  <c r="AG8" i="45"/>
  <c r="AN8" i="45" l="1"/>
  <c r="AI8" i="45"/>
  <c r="AF8" i="45"/>
  <c r="AF9" i="45" s="1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F22" i="45" s="1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G40" i="45"/>
  <c r="AH8" i="45"/>
  <c r="AO26" i="45"/>
  <c r="I46" i="15"/>
  <c r="AP26" i="45"/>
  <c r="AN12" i="45"/>
  <c r="AH12" i="45"/>
  <c r="AI12" i="45"/>
  <c r="AH21" i="45"/>
  <c r="AN21" i="45"/>
  <c r="AI21" i="45"/>
  <c r="AH30" i="45"/>
  <c r="AN30" i="45"/>
  <c r="AI30" i="45"/>
  <c r="AN13" i="45"/>
  <c r="AH13" i="45"/>
  <c r="AI13" i="45"/>
  <c r="AN14" i="45"/>
  <c r="AH14" i="45"/>
  <c r="AI14" i="45"/>
  <c r="AN28" i="45"/>
  <c r="AH28" i="45"/>
  <c r="AI28" i="45"/>
  <c r="AN9" i="45"/>
  <c r="AH9" i="45"/>
  <c r="AI9" i="45"/>
  <c r="AN18" i="45"/>
  <c r="AH18" i="45"/>
  <c r="AI18" i="45"/>
  <c r="AH19" i="45"/>
  <c r="AN19" i="45"/>
  <c r="AI19" i="45"/>
  <c r="AN34" i="45"/>
  <c r="AH34" i="45"/>
  <c r="AI34" i="45"/>
  <c r="AN17" i="45"/>
  <c r="AH17" i="45"/>
  <c r="AI17" i="45"/>
  <c r="AN31" i="45"/>
  <c r="AH31" i="45"/>
  <c r="AI31" i="45"/>
  <c r="AN32" i="45"/>
  <c r="AH32" i="45"/>
  <c r="AI32" i="45"/>
  <c r="AH15" i="45"/>
  <c r="AI15" i="45"/>
  <c r="AN15" i="45"/>
  <c r="AH27" i="45"/>
  <c r="AN27" i="45"/>
  <c r="AI27" i="45"/>
  <c r="AH10" i="45"/>
  <c r="AN10" i="45"/>
  <c r="AI10" i="45"/>
  <c r="AH25" i="45"/>
  <c r="AN25" i="45"/>
  <c r="AI25" i="45"/>
  <c r="AN20" i="45"/>
  <c r="AI20" i="45"/>
  <c r="AH20" i="45"/>
  <c r="AN29" i="45"/>
  <c r="AH29" i="45"/>
  <c r="AI29" i="45"/>
  <c r="AH22" i="45"/>
  <c r="AN22" i="45"/>
  <c r="AI22" i="45"/>
  <c r="AH23" i="45"/>
  <c r="AN23" i="45"/>
  <c r="AI23" i="45"/>
  <c r="AN35" i="45"/>
  <c r="AH35" i="45"/>
  <c r="AI35" i="45"/>
  <c r="AN11" i="45"/>
  <c r="AH11" i="45"/>
  <c r="AI11" i="45"/>
  <c r="AN36" i="45"/>
  <c r="AH36" i="45"/>
  <c r="AI36" i="45"/>
  <c r="AN24" i="45"/>
  <c r="AH24" i="45"/>
  <c r="AI24" i="45"/>
  <c r="AN33" i="45"/>
  <c r="AH33" i="45"/>
  <c r="AI33" i="45"/>
  <c r="AN37" i="45"/>
  <c r="AH37" i="45"/>
  <c r="AI37" i="45"/>
  <c r="AN16" i="45"/>
  <c r="AH16" i="45"/>
  <c r="AI16" i="45"/>
  <c r="I46" i="4" l="1"/>
  <c r="AO37" i="45"/>
  <c r="AP37" i="45"/>
  <c r="AO28" i="45"/>
  <c r="I46" i="13"/>
  <c r="AP28" i="45"/>
  <c r="AO30" i="45"/>
  <c r="I46" i="11"/>
  <c r="AP30" i="45"/>
  <c r="I46" i="37"/>
  <c r="AO36" i="45"/>
  <c r="AP36" i="45"/>
  <c r="AO18" i="45"/>
  <c r="I46" i="23"/>
  <c r="AP18" i="45"/>
  <c r="AO29" i="45"/>
  <c r="I46" i="12"/>
  <c r="AP29" i="45"/>
  <c r="AO33" i="45"/>
  <c r="I46" i="8"/>
  <c r="AP33" i="45"/>
  <c r="AO32" i="45"/>
  <c r="I46" i="9"/>
  <c r="AP32" i="45"/>
  <c r="I46" i="28"/>
  <c r="AO14" i="45"/>
  <c r="AP14" i="45"/>
  <c r="AP21" i="45"/>
  <c r="AO21" i="45"/>
  <c r="I46" i="20"/>
  <c r="AO23" i="45"/>
  <c r="I46" i="18"/>
  <c r="AP23" i="45"/>
  <c r="I46" i="30"/>
  <c r="AO11" i="45"/>
  <c r="AP11" i="45"/>
  <c r="AO20" i="45"/>
  <c r="AP20" i="45"/>
  <c r="I46" i="22"/>
  <c r="I46" i="14"/>
  <c r="AO27" i="45"/>
  <c r="AP27" i="45"/>
  <c r="I46" i="7"/>
  <c r="AO34" i="45"/>
  <c r="AP34" i="45"/>
  <c r="AN40" i="45"/>
  <c r="AH40" i="45"/>
  <c r="AI40" i="45"/>
  <c r="AP10" i="45"/>
  <c r="AO10" i="45"/>
  <c r="I46" i="31"/>
  <c r="I46" i="24"/>
  <c r="AO17" i="45"/>
  <c r="AP17" i="45"/>
  <c r="AO22" i="45"/>
  <c r="I46" i="19"/>
  <c r="AP22" i="45"/>
  <c r="I46" i="32"/>
  <c r="AO9" i="45"/>
  <c r="AP9" i="45"/>
  <c r="I47" i="15"/>
  <c r="Z27" i="48"/>
  <c r="I48" i="15"/>
  <c r="AO16" i="45"/>
  <c r="I46" i="25"/>
  <c r="AP16" i="45"/>
  <c r="I46" i="17"/>
  <c r="AO24" i="45"/>
  <c r="AP24" i="45"/>
  <c r="AO25" i="45"/>
  <c r="I46" i="16"/>
  <c r="AP25" i="45"/>
  <c r="I46" i="26"/>
  <c r="AP15" i="45"/>
  <c r="AO15" i="45"/>
  <c r="I46" i="10"/>
  <c r="AO31" i="45"/>
  <c r="AP31" i="45"/>
  <c r="AO19" i="45"/>
  <c r="I46" i="21"/>
  <c r="AP19" i="45"/>
  <c r="AO13" i="45"/>
  <c r="I46" i="27"/>
  <c r="AP13" i="45"/>
  <c r="AO35" i="45"/>
  <c r="I46" i="6"/>
  <c r="AP35" i="45"/>
  <c r="I46" i="29"/>
  <c r="AO12" i="45"/>
  <c r="AP12" i="45"/>
  <c r="AO8" i="45"/>
  <c r="I46" i="33"/>
  <c r="AP8" i="45"/>
  <c r="Z26" i="48" l="1"/>
  <c r="I47" i="16"/>
  <c r="I48" i="16"/>
  <c r="I47" i="19"/>
  <c r="I48" i="19"/>
  <c r="Z23" i="48"/>
  <c r="I48" i="14"/>
  <c r="I47" i="14"/>
  <c r="Z28" i="48"/>
  <c r="I48" i="18"/>
  <c r="Z24" i="48"/>
  <c r="I47" i="18"/>
  <c r="I47" i="11"/>
  <c r="Z31" i="48"/>
  <c r="I48" i="11"/>
  <c r="I47" i="6"/>
  <c r="I48" i="6"/>
  <c r="Z36" i="48"/>
  <c r="I47" i="9"/>
  <c r="I48" i="9"/>
  <c r="Z33" i="48"/>
  <c r="AD27" i="48"/>
  <c r="AB27" i="48"/>
  <c r="AN42" i="45"/>
  <c r="AO40" i="45"/>
  <c r="AP40" i="45"/>
  <c r="I48" i="20"/>
  <c r="Z22" i="48"/>
  <c r="I47" i="20"/>
  <c r="I47" i="23"/>
  <c r="Z19" i="48"/>
  <c r="I48" i="23"/>
  <c r="I47" i="22"/>
  <c r="Z21" i="48"/>
  <c r="I48" i="22"/>
  <c r="Z9" i="48"/>
  <c r="J46" i="33"/>
  <c r="J46" i="32" s="1"/>
  <c r="I47" i="33"/>
  <c r="I48" i="33"/>
  <c r="I48" i="10"/>
  <c r="I47" i="10"/>
  <c r="Z32" i="48"/>
  <c r="I47" i="13"/>
  <c r="I48" i="13"/>
  <c r="Z29" i="48"/>
  <c r="Z14" i="48"/>
  <c r="I48" i="27"/>
  <c r="I47" i="27"/>
  <c r="I48" i="24"/>
  <c r="I47" i="24"/>
  <c r="Z18" i="48"/>
  <c r="Z34" i="48"/>
  <c r="I47" i="8"/>
  <c r="I48" i="8"/>
  <c r="I48" i="17"/>
  <c r="Z25" i="48"/>
  <c r="I47" i="17"/>
  <c r="I48" i="31"/>
  <c r="I47" i="31"/>
  <c r="Z11" i="48"/>
  <c r="I47" i="7"/>
  <c r="Z35" i="48"/>
  <c r="I48" i="7"/>
  <c r="Z16" i="48"/>
  <c r="I47" i="26"/>
  <c r="I48" i="26"/>
  <c r="I48" i="25"/>
  <c r="I47" i="25"/>
  <c r="Z17" i="48"/>
  <c r="I47" i="32"/>
  <c r="I48" i="32"/>
  <c r="Z10" i="48"/>
  <c r="I47" i="30"/>
  <c r="Z12" i="48"/>
  <c r="I48" i="30"/>
  <c r="I48" i="37"/>
  <c r="Z37" i="48"/>
  <c r="I47" i="37"/>
  <c r="I47" i="29"/>
  <c r="I48" i="29"/>
  <c r="Z13" i="48"/>
  <c r="I47" i="21"/>
  <c r="Z20" i="48"/>
  <c r="I48" i="21"/>
  <c r="Z15" i="48"/>
  <c r="I47" i="28"/>
  <c r="I48" i="28"/>
  <c r="I47" i="12"/>
  <c r="Z30" i="48"/>
  <c r="I48" i="12"/>
  <c r="I47" i="4"/>
  <c r="Z38" i="48"/>
  <c r="I48" i="4"/>
  <c r="AD38" i="48" l="1"/>
  <c r="AB38" i="48"/>
  <c r="AD12" i="48"/>
  <c r="AB12" i="48"/>
  <c r="AB35" i="48"/>
  <c r="AD35" i="48"/>
  <c r="AD25" i="48"/>
  <c r="AB25" i="48"/>
  <c r="J47" i="33"/>
  <c r="J48" i="33"/>
  <c r="AB19" i="48"/>
  <c r="AD19" i="48"/>
  <c r="AA9" i="48"/>
  <c r="AD9" i="48"/>
  <c r="Z41" i="48"/>
  <c r="AB9" i="48"/>
  <c r="AD36" i="48"/>
  <c r="AB36" i="48"/>
  <c r="J47" i="32"/>
  <c r="J48" i="32"/>
  <c r="J46" i="31"/>
  <c r="AB24" i="48"/>
  <c r="AD24" i="48"/>
  <c r="AB15" i="48"/>
  <c r="AD15" i="48"/>
  <c r="AD23" i="48"/>
  <c r="AB23" i="48"/>
  <c r="AD10" i="48"/>
  <c r="AB10" i="48"/>
  <c r="AA10" i="48"/>
  <c r="AD11" i="48"/>
  <c r="AB11" i="48"/>
  <c r="AB32" i="48"/>
  <c r="AD32" i="48"/>
  <c r="AD20" i="48"/>
  <c r="AB20" i="48"/>
  <c r="AD37" i="48"/>
  <c r="AB37" i="48"/>
  <c r="AB21" i="48"/>
  <c r="AD21" i="48"/>
  <c r="AB22" i="48"/>
  <c r="AD22" i="48"/>
  <c r="AD16" i="48"/>
  <c r="AB16" i="48"/>
  <c r="AD34" i="48"/>
  <c r="AB34" i="48"/>
  <c r="AD14" i="48"/>
  <c r="AB14" i="48"/>
  <c r="AB33" i="48"/>
  <c r="AD33" i="48"/>
  <c r="AB28" i="48"/>
  <c r="AD28" i="48"/>
  <c r="AB30" i="48"/>
  <c r="AD30" i="48"/>
  <c r="AD31" i="48"/>
  <c r="AB31" i="48"/>
  <c r="AD13" i="48"/>
  <c r="AB13" i="48"/>
  <c r="AD17" i="48"/>
  <c r="AB17" i="48"/>
  <c r="AD18" i="48"/>
  <c r="AB18" i="48"/>
  <c r="AD29" i="48"/>
  <c r="AB29" i="48"/>
  <c r="AB26" i="48"/>
  <c r="AD26" i="48"/>
  <c r="AE10" i="48" l="1"/>
  <c r="AC10" i="48"/>
  <c r="AB41" i="48"/>
  <c r="AD41" i="48"/>
  <c r="J48" i="31"/>
  <c r="J47" i="31"/>
  <c r="J46" i="30"/>
  <c r="AA11" i="48"/>
  <c r="AE9" i="48"/>
  <c r="AC9" i="48"/>
  <c r="AC11" i="48" l="1"/>
  <c r="AE11" i="48"/>
  <c r="AA12" i="48"/>
  <c r="J47" i="30"/>
  <c r="J48" i="30"/>
  <c r="J46" i="29"/>
  <c r="J48" i="29" l="1"/>
  <c r="J47" i="29"/>
  <c r="J46" i="27"/>
  <c r="AC12" i="48"/>
  <c r="AE12" i="48"/>
  <c r="AA13" i="48"/>
  <c r="AC13" i="48" l="1"/>
  <c r="AE13" i="48"/>
  <c r="AA14" i="48"/>
  <c r="J47" i="27"/>
  <c r="J48" i="27"/>
  <c r="J46" i="28"/>
  <c r="AC14" i="48" l="1"/>
  <c r="AE14" i="48"/>
  <c r="AA15" i="48"/>
  <c r="J47" i="28"/>
  <c r="J48" i="28"/>
  <c r="J46" i="26"/>
  <c r="J47" i="26" l="1"/>
  <c r="J48" i="26"/>
  <c r="J46" i="25"/>
  <c r="AC15" i="48"/>
  <c r="AE15" i="48"/>
  <c r="AA16" i="48"/>
  <c r="AE16" i="48" l="1"/>
  <c r="AC16" i="48"/>
  <c r="AA17" i="48"/>
  <c r="J48" i="25"/>
  <c r="J47" i="25"/>
  <c r="J46" i="24"/>
  <c r="J47" i="24" l="1"/>
  <c r="J48" i="24"/>
  <c r="J46" i="23"/>
  <c r="AE17" i="48"/>
  <c r="AC17" i="48"/>
  <c r="AA18" i="48"/>
  <c r="AE18" i="48" l="1"/>
  <c r="AC18" i="48"/>
  <c r="AA19" i="48"/>
  <c r="J47" i="23"/>
  <c r="J48" i="23"/>
  <c r="J46" i="21"/>
  <c r="J48" i="21" l="1"/>
  <c r="J47" i="21"/>
  <c r="J46" i="22"/>
  <c r="AC19" i="48"/>
  <c r="AE19" i="48"/>
  <c r="AA20" i="48"/>
  <c r="AC20" i="48" l="1"/>
  <c r="AE20" i="48"/>
  <c r="AA21" i="48"/>
  <c r="J48" i="22"/>
  <c r="J47" i="22"/>
  <c r="J46" i="20"/>
  <c r="J48" i="20" l="1"/>
  <c r="J47" i="20"/>
  <c r="J46" i="19"/>
  <c r="AE21" i="48"/>
  <c r="AC21" i="48"/>
  <c r="AA22" i="48"/>
  <c r="AC22" i="48" l="1"/>
  <c r="AE22" i="48"/>
  <c r="AA23" i="48"/>
  <c r="J47" i="19"/>
  <c r="J48" i="19"/>
  <c r="J46" i="18"/>
  <c r="J48" i="18" l="1"/>
  <c r="J47" i="18"/>
  <c r="J46" i="17"/>
  <c r="AC23" i="48"/>
  <c r="AE23" i="48"/>
  <c r="AA24" i="48"/>
  <c r="AE24" i="48" l="1"/>
  <c r="AC24" i="48"/>
  <c r="AA25" i="48"/>
  <c r="J47" i="17"/>
  <c r="J48" i="17"/>
  <c r="J46" i="16"/>
  <c r="J47" i="16" l="1"/>
  <c r="J48" i="16"/>
  <c r="J46" i="15"/>
  <c r="AE25" i="48"/>
  <c r="AC25" i="48"/>
  <c r="AA26" i="48"/>
  <c r="AE26" i="48" l="1"/>
  <c r="AC26" i="48"/>
  <c r="AA27" i="48"/>
  <c r="J47" i="15"/>
  <c r="J48" i="15"/>
  <c r="J46" i="14"/>
  <c r="J47" i="14" l="1"/>
  <c r="J48" i="14"/>
  <c r="J46" i="13"/>
  <c r="AC27" i="48"/>
  <c r="AE27" i="48"/>
  <c r="AA28" i="48"/>
  <c r="AE28" i="48" l="1"/>
  <c r="AC28" i="48"/>
  <c r="AA29" i="48"/>
  <c r="J48" i="13"/>
  <c r="J47" i="13"/>
  <c r="J46" i="12"/>
  <c r="J48" i="12" l="1"/>
  <c r="J47" i="12"/>
  <c r="J46" i="11"/>
  <c r="AE29" i="48"/>
  <c r="AC29" i="48"/>
  <c r="AA30" i="48"/>
  <c r="AE30" i="48" l="1"/>
  <c r="AC30" i="48"/>
  <c r="AA31" i="48"/>
  <c r="J47" i="11"/>
  <c r="J48" i="11"/>
  <c r="J46" i="10"/>
  <c r="J47" i="10" l="1"/>
  <c r="J48" i="10"/>
  <c r="J46" i="9"/>
  <c r="AE31" i="48"/>
  <c r="AC31" i="48"/>
  <c r="AA32" i="48"/>
  <c r="AC32" i="48" l="1"/>
  <c r="AE32" i="48"/>
  <c r="AA33" i="48"/>
  <c r="J47" i="9"/>
  <c r="J48" i="9"/>
  <c r="J46" i="8"/>
  <c r="AE33" i="48" l="1"/>
  <c r="AC33" i="48"/>
  <c r="AA34" i="48"/>
  <c r="J47" i="8"/>
  <c r="J48" i="8"/>
  <c r="J46" i="7"/>
  <c r="J47" i="7" l="1"/>
  <c r="J48" i="7"/>
  <c r="J46" i="6"/>
  <c r="AE34" i="48"/>
  <c r="AC34" i="48"/>
  <c r="AA35" i="48"/>
  <c r="J48" i="6" l="1"/>
  <c r="J47" i="6"/>
  <c r="J46" i="37"/>
  <c r="AC35" i="48"/>
  <c r="AE35" i="48"/>
  <c r="AA36" i="48"/>
  <c r="AC36" i="48" l="1"/>
  <c r="AE36" i="48"/>
  <c r="AA37" i="48"/>
  <c r="J48" i="37"/>
  <c r="J47" i="37"/>
  <c r="J46" i="4"/>
  <c r="J47" i="4" l="1"/>
  <c r="J48" i="4"/>
  <c r="J46" i="43"/>
  <c r="AE37" i="48"/>
  <c r="AC37" i="48"/>
  <c r="AA38" i="48"/>
  <c r="J47" i="43" l="1"/>
  <c r="J48" i="43"/>
  <c r="AE38" i="48"/>
  <c r="AC38" i="48"/>
</calcChain>
</file>

<file path=xl/comments1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6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6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</commentList>
</comments>
</file>

<file path=xl/sharedStrings.xml><?xml version="1.0" encoding="utf-8"?>
<sst xmlns="http://schemas.openxmlformats.org/spreadsheetml/2006/main" count="5942" uniqueCount="777">
  <si>
    <t xml:space="preserve">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</si>
  <si>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</si>
  <si>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</si>
  <si>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</si>
  <si>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</si>
  <si>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</si>
  <si>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</si>
  <si>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</si>
  <si>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</si>
  <si>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</si>
  <si>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</si>
  <si>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</si>
  <si>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</si>
  <si>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</si>
  <si>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</si>
  <si>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</si>
  <si>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</si>
  <si>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</si>
  <si>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</si>
  <si>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</si>
  <si>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</si>
  <si>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</si>
  <si>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</si>
  <si>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</si>
  <si>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</si>
  <si>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</si>
  <si>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</si>
  <si>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</si>
  <si>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</si>
  <si>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</si>
  <si>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</si>
  <si>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</si>
  <si>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</si>
  <si>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</si>
  <si>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</si>
  <si>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</si>
  <si>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</si>
  <si>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</si>
  <si>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</si>
  <si>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</si>
  <si>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</si>
  <si>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</si>
  <si>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</si>
  <si>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</si>
  <si>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</si>
  <si>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</si>
  <si>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</si>
  <si>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</si>
  <si>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</si>
  <si>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</si>
  <si>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</si>
  <si>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</si>
  <si>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</si>
  <si>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</si>
  <si>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</si>
  <si>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</si>
  <si>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</si>
  <si>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</si>
  <si>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</si>
  <si>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</si>
  <si>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</si>
  <si>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</si>
  <si>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</si>
  <si>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</si>
  <si>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</si>
  <si>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</si>
  <si>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</si>
  <si>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</si>
  <si>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</si>
  <si>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</si>
  <si>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</si>
  <si>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</si>
  <si>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</si>
  <si>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</si>
  <si>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</si>
  <si>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</si>
  <si>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</si>
  <si>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</si>
  <si>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</si>
  <si>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</si>
  <si>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</si>
  <si>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</si>
  <si>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</si>
  <si>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</si>
  <si>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</si>
  <si>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</si>
  <si>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</si>
  <si>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</si>
  <si>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</si>
  <si>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</si>
  <si>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</si>
  <si>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</si>
  <si>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</si>
  <si>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</si>
  <si>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</si>
  <si>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</si>
  <si>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</si>
  <si>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</si>
  <si>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</si>
  <si>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</si>
  <si>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</si>
  <si>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</si>
  <si>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</si>
  <si>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</si>
  <si>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</si>
  <si>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</si>
  <si>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</si>
  <si>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</si>
  <si>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</si>
  <si>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</si>
  <si>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</si>
  <si>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</si>
  <si>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</si>
  <si>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</si>
  <si>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</si>
  <si>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</si>
  <si>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</si>
  <si>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</si>
  <si>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</si>
  <si>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</si>
  <si>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</si>
  <si>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</si>
  <si>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</si>
  <si>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</si>
  <si>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</si>
  <si>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</si>
  <si>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</si>
  <si>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</si>
  <si>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</si>
  <si>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</si>
  <si>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</si>
  <si>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</si>
  <si>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</si>
  <si>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</si>
  <si>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</si>
  <si>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</si>
  <si>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</si>
  <si>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</si>
  <si>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</si>
  <si>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</si>
  <si>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</si>
  <si>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</si>
  <si>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</si>
  <si>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</si>
  <si>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</si>
  <si>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</si>
  <si>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</si>
  <si>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</si>
  <si>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</si>
  <si>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</si>
  <si>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</si>
  <si>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</si>
  <si>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</si>
  <si>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</si>
  <si>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</si>
  <si>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</si>
  <si>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</si>
  <si>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</si>
  <si>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</si>
  <si>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</si>
  <si>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</si>
  <si>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</si>
  <si>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</si>
  <si>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</si>
  <si>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</si>
  <si>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</si>
  <si>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</si>
  <si>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</si>
  <si>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</si>
  <si>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</si>
  <si>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</si>
  <si>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</si>
  <si>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</si>
  <si>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</si>
  <si>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</si>
  <si>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</si>
  <si>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</si>
  <si>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</si>
  <si>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</si>
  <si>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</si>
  <si>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</si>
  <si>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</si>
  <si>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</si>
  <si>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</si>
  <si>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</si>
  <si>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</si>
  <si>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</si>
  <si>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</si>
  <si>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</si>
  <si>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</si>
  <si>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</si>
  <si>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</si>
  <si>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Baklog</t>
  </si>
  <si>
    <t>Sisa spool popereel</t>
  </si>
  <si>
    <t>Pending</t>
  </si>
  <si>
    <t>Ngelokor</t>
  </si>
  <si>
    <t>Keriput</t>
  </si>
  <si>
    <t>Potongan jelek</t>
  </si>
  <si>
    <t>Hole</t>
  </si>
  <si>
    <t>Kertas sobek pinggir</t>
  </si>
  <si>
    <t>Joint</t>
  </si>
  <si>
    <t>Jumbo gandeng</t>
  </si>
  <si>
    <t>Formasi jelek</t>
  </si>
  <si>
    <t>MDT &lt; std</t>
  </si>
  <si>
    <t>Lembab</t>
  </si>
  <si>
    <t>Diameter &lt; std</t>
  </si>
  <si>
    <t>Bw &lt; std</t>
  </si>
  <si>
    <t>Bulky &lt; std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</si>
  <si>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</si>
  <si>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</si>
  <si>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</si>
  <si>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</si>
  <si>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</si>
  <si>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</si>
  <si>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</si>
  <si>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PAPER MACHINE 16 DAILY REPORT 1</t>
  </si>
  <si>
    <t>PM 16</t>
  </si>
  <si>
    <t>TISSUE MACHINE 16</t>
  </si>
  <si>
    <t>Total PM16</t>
  </si>
  <si>
    <t>Nyoman Mariasa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</si>
  <si>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</si>
  <si>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</si>
  <si>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</si>
  <si>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</si>
  <si>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</si>
  <si>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</si>
  <si>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Sheet Breaks</t>
  </si>
  <si>
    <t>Loss Time Process</t>
  </si>
  <si>
    <t>Change Blade</t>
  </si>
  <si>
    <t>Estimasi RBP &amp; Backlog</t>
  </si>
  <si>
    <t>Change Spool</t>
  </si>
  <si>
    <t>Estimasi Basic Weight</t>
  </si>
  <si>
    <t>Loss Time Mekanik</t>
  </si>
  <si>
    <t>Loss Speed</t>
  </si>
  <si>
    <t>Scheduled Shut Down</t>
  </si>
  <si>
    <t>Theory with Available Time (ton)</t>
  </si>
  <si>
    <t>Total LT/DT (mins)</t>
  </si>
  <si>
    <t>Total LT/DT (ton)</t>
  </si>
  <si>
    <t>LT/DT Percentage</t>
  </si>
  <si>
    <t>Down Time EID</t>
  </si>
  <si>
    <t>Down Time Mekanik</t>
  </si>
  <si>
    <t>Sinergy</t>
  </si>
  <si>
    <t>PM 16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</si>
  <si>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</si>
  <si>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</si>
  <si>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</si>
  <si>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</si>
  <si>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</si>
  <si>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</si>
  <si>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</si>
  <si>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</si>
  <si>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</si>
  <si>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</si>
  <si>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Reject Broke Plant</t>
  </si>
  <si>
    <t>Basic Weight Estimation</t>
  </si>
  <si>
    <t>Down Time Process</t>
  </si>
  <si>
    <t>Loss Time Change Grade</t>
  </si>
  <si>
    <t>Change Grade</t>
  </si>
  <si>
    <t>Maintenance</t>
  </si>
  <si>
    <t>Loss Time EID</t>
  </si>
  <si>
    <t>Tonase</t>
  </si>
  <si>
    <t>Prosentase</t>
  </si>
  <si>
    <t>Total Prosentase</t>
  </si>
  <si>
    <t>Gripis</t>
  </si>
  <si>
    <t>Warisan</t>
  </si>
  <si>
    <t>Dirt</t>
  </si>
  <si>
    <t>PULP AND BROKE DAILY REPORT PM 16</t>
  </si>
  <si>
    <t>CHEMICAL DAILY REPORT PM 16</t>
  </si>
  <si>
    <t>Marketing</t>
  </si>
  <si>
    <t>Loss time</t>
  </si>
  <si>
    <t>Down Time</t>
  </si>
  <si>
    <t>SINERGY</t>
  </si>
  <si>
    <t>Backlog</t>
  </si>
  <si>
    <t>awal bulan produksi MG mengikuti real speed karea usia felt sudah 7minggu</t>
  </si>
  <si>
    <t>NB : info pak hartono untuk napkin + towel speed 1600mpm, gsm tinggi 92ton(&gt;17)</t>
  </si>
  <si>
    <t>Loss Time Marketing</t>
  </si>
  <si>
    <t>VP OW</t>
  </si>
  <si>
    <t>MCC</t>
  </si>
  <si>
    <t>Drive Panel</t>
  </si>
  <si>
    <t>Aux Panel</t>
  </si>
  <si>
    <t>Stock Prep</t>
  </si>
  <si>
    <t>Pulper</t>
  </si>
  <si>
    <t>Kehilangan Effisiensi PM 16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</si>
  <si>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</si>
  <si>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</si>
  <si>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</si>
  <si>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</si>
  <si>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</si>
  <si>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</si>
  <si>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</si>
  <si>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</si>
  <si>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</si>
  <si>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</si>
  <si>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</si>
  <si>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</si>
  <si>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</si>
  <si>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</si>
  <si>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</si>
  <si>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</si>
  <si>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</si>
  <si>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</si>
  <si>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</si>
  <si>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</si>
  <si>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</si>
  <si>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</si>
  <si>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</si>
  <si>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</si>
  <si>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</si>
  <si>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</si>
  <si>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</si>
  <si>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</si>
  <si>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</si>
  <si>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</si>
  <si>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</si>
  <si>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</si>
  <si>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</si>
  <si>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</si>
  <si>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</si>
  <si>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</si>
  <si>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</si>
  <si>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</si>
  <si>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</si>
  <si>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</si>
  <si>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</si>
  <si>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</si>
  <si>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</si>
  <si>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</si>
  <si>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</si>
  <si>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</si>
  <si>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</si>
  <si>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</si>
  <si>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</si>
  <si>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</si>
  <si>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</si>
  <si>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</si>
  <si>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</si>
  <si>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</si>
  <si>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</si>
  <si>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</si>
  <si>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</si>
  <si>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</si>
  <si>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</si>
  <si>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</si>
  <si>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</si>
  <si>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</si>
  <si>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</si>
  <si>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</si>
  <si>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</si>
  <si>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16 Running Time</t>
  </si>
  <si>
    <t>Running</t>
  </si>
  <si>
    <t>Down Time PLN</t>
  </si>
  <si>
    <t xml:space="preserve">Kapasitas Running (ton) </t>
  </si>
  <si>
    <t>Eff FG vs Target  Running(%)</t>
  </si>
  <si>
    <t>Dimas Selgi</t>
  </si>
  <si>
    <t>NBKP KORAB/SCA</t>
  </si>
  <si>
    <t>Chest Akhir</t>
  </si>
  <si>
    <t xml:space="preserve">Sisa spool seset </t>
  </si>
  <si>
    <t>Sisa spool rewinder</t>
  </si>
  <si>
    <t>Setting potongan</t>
  </si>
  <si>
    <t>Seset cek QC</t>
  </si>
  <si>
    <t>Gelombang</t>
  </si>
  <si>
    <t>Soping</t>
  </si>
  <si>
    <t>Potongan Serabut</t>
  </si>
  <si>
    <t>Setting slitter</t>
  </si>
  <si>
    <t>Crushing</t>
  </si>
  <si>
    <t>Thickness kurang</t>
  </si>
  <si>
    <t>Potongan lari-lari</t>
  </si>
  <si>
    <t>Reject roll</t>
  </si>
  <si>
    <t>Warna kehijauan</t>
  </si>
  <si>
    <t>Putra Radian RAP</t>
  </si>
  <si>
    <t>Gulungan lari-lari</t>
  </si>
  <si>
    <t>NBKP Catalyst/Crafton</t>
  </si>
  <si>
    <t>.06.24</t>
  </si>
  <si>
    <t>.01.23</t>
  </si>
  <si>
    <t>0</t>
  </si>
  <si>
    <t>- Change Spool (9x)</t>
  </si>
  <si>
    <t>12</t>
  </si>
  <si>
    <t>LBKP TEL PELITA/TEL PRIME</t>
  </si>
  <si>
    <t>LBKP SUZANO</t>
  </si>
  <si>
    <t>F 12.5 VP OW</t>
  </si>
  <si>
    <t>F 13 VP OW</t>
  </si>
  <si>
    <t>F13 HB</t>
  </si>
  <si>
    <t>SS</t>
  </si>
  <si>
    <t>PHP PM</t>
  </si>
  <si>
    <t xml:space="preserve">PM16 Efficiency Running Report </t>
  </si>
  <si>
    <t>- Sheet Breaks (0x)</t>
  </si>
  <si>
    <t>Steam, &amp; gangguan sinergy (X)</t>
  </si>
  <si>
    <t>Freq, Trip PLN (X)</t>
  </si>
  <si>
    <t>Cleaning Holes (X)</t>
  </si>
  <si>
    <t>Per hari</t>
  </si>
  <si>
    <t>LISTRIK WPL</t>
  </si>
  <si>
    <t>POWER WPL (kWh)</t>
  </si>
  <si>
    <t>RR Facial</t>
  </si>
  <si>
    <t>RR Toilet</t>
  </si>
  <si>
    <t>Total BB Recycle</t>
  </si>
  <si>
    <t>CAKRAWALA</t>
  </si>
  <si>
    <t>EBKP GHN/Cakrawala</t>
  </si>
  <si>
    <t>EBKP SUZANO</t>
  </si>
  <si>
    <t>NBKP MERCER</t>
  </si>
  <si>
    <t>- Change Blade (0x)</t>
  </si>
  <si>
    <t>- Change Spool (7x)</t>
  </si>
  <si>
    <t>- Awal shift PM16 produksi N 12 Speed 1400 mpm/-18%</t>
  </si>
  <si>
    <t>N 12 VP OW</t>
  </si>
  <si>
    <t>Napkin</t>
  </si>
  <si>
    <t>APRIL</t>
  </si>
  <si>
    <t xml:space="preserve">- 08.00 sheetbreak, cleaning area PM </t>
  </si>
  <si>
    <t xml:space="preserve">- 12.42 Change Blade </t>
  </si>
  <si>
    <t>- 16:02 Kertas berosot sisi center
- 16:11 Stock Off (cleaning blade dan hood) 
- Kertas banyak yang menyangkut di doctor blade</t>
  </si>
  <si>
    <t>- 17:10 Start up
- 17:18 Stock on
- 17: 30 coba untuk sambung kertas
- 17:31 Kertas berosot 1 deckle</t>
  </si>
  <si>
    <t>- Stock off, cleaning pm
- 17:50 Start up lagi
- 17:51 Stock on 
- 18:02 On Reel</t>
  </si>
  <si>
    <t>- Speed masih 1300 mpm
- 19:20 JR turun oke
- 19:25 Speed Up 1400 Mpm</t>
  </si>
  <si>
    <t>- 00.00 white spot hilang, muncul hole acak</t>
  </si>
  <si>
    <t>- 00.20 change new blade</t>
  </si>
  <si>
    <t>- Awal shift tissue white spot</t>
  </si>
  <si>
    <t>DT</t>
  </si>
  <si>
    <t>1376/1129</t>
  </si>
  <si>
    <t>1400/1148</t>
  </si>
  <si>
    <t>1393/1142</t>
  </si>
  <si>
    <t>- Change Spool (8x)</t>
  </si>
  <si>
    <t>- Change Blade (1x)</t>
  </si>
  <si>
    <t>- Change Blade (2x)</t>
  </si>
  <si>
    <t>- Change Spool (22x)</t>
  </si>
  <si>
    <t>- 16:02 Kertas berosot sisi center, Stock off</t>
  </si>
  <si>
    <t>Kertas berosot sisi center, Stock off</t>
  </si>
  <si>
    <t>EBKP ELDORADO</t>
  </si>
  <si>
    <t>N 12</t>
  </si>
  <si>
    <t>140*2</t>
  </si>
  <si>
    <t>70*4</t>
  </si>
  <si>
    <t>AMICOAT TC 6218</t>
  </si>
  <si>
    <t>SODIUM HYPOCHLORID</t>
  </si>
  <si>
    <t>CHEMZYME CL</t>
  </si>
  <si>
    <t>Abd Syuhud</t>
  </si>
  <si>
    <t>Putra Radian</t>
  </si>
  <si>
    <t>- 09.11 Sheet break cleaning PM</t>
  </si>
  <si>
    <t xml:space="preserve">- 11.12 Sheet break, Ganti blade (kertas lolos), stock off cleaning doctor blade </t>
  </si>
  <si>
    <t>- 11.28 Stock on</t>
  </si>
  <si>
    <t>- 16:00 Jr turun hole center</t>
  </si>
  <si>
    <t>- 17:00 Jr turun sudah tidak hole</t>
  </si>
  <si>
    <t>- 15:30  Change blade (geripis DS)</t>
  </si>
  <si>
    <t>- 02:27 stock off kertas tiba tiba brosot ,cleaning PM, cleaning Hood dan ganti blade</t>
  </si>
  <si>
    <t>- Awal shift PM16 produksi N 11 Speed 1400 mpm/-18%</t>
  </si>
  <si>
    <t xml:space="preserve">- 16:00 S/d 17:45 Tail cutter perbaikan eid (ganti motor) </t>
  </si>
  <si>
    <t>- 02.33 ganti blade (kertas kasar) dan cleaning PM</t>
  </si>
  <si>
    <t>- Change Spool (23x)</t>
  </si>
  <si>
    <t>- 08.20 Change grade Napkin 11 gsm 1400/-18%</t>
  </si>
  <si>
    <t>- Change Spool (10x)</t>
  </si>
  <si>
    <t>- Change Spool (27x)</t>
  </si>
  <si>
    <t>12/11</t>
  </si>
  <si>
    <t>N 11 VP OW</t>
  </si>
  <si>
    <t>N 11</t>
  </si>
  <si>
    <t>- 07.17 Sheet break, cleaning PM</t>
  </si>
  <si>
    <t>- 17:00 Change grade ke Napkin 16,5 gsm (Fg Morcon) speed 1000/-15%</t>
  </si>
  <si>
    <t>- Awal shift PM16 produksi N 17 Speed 1000 mpm/-15%</t>
  </si>
  <si>
    <t>- 02:00 setting stabilizer secondary arm
- 02.58 ganti blade dan cleaning PM</t>
  </si>
  <si>
    <t>- Awal jumbo kriput DS -&gt; coba turun speed 980 Mpm kriput masih ada. -&gt; setting dosing pump coating release masih keriput.</t>
  </si>
  <si>
    <t>- coba ukur diameter jumbo besar DS -&gt; keriput hilang saat mulai setting stabilizer dan pressure secondary arm</t>
  </si>
  <si>
    <t>- NOTE : Popereel hunting saat change spool, speed popereel tidak bisa setpoint ( creep harus d kendori dahulu saat ganti spool agar popereel tidak hunting )</t>
  </si>
  <si>
    <t>- Awal shift PM16 produksi N 17 Speed 980 mpm/-15%</t>
  </si>
  <si>
    <t>- Reject : 1.850 kg/10.1% (keriput, kondensat penuh) *med pump separator steam macet</t>
  </si>
  <si>
    <t>- dari Awal shift flush tank separator steam banjir kertas rawan bagian DS keriput</t>
  </si>
  <si>
    <t>- Awal shift PM16 produksi N 17 (FG Morcon) Speed 980 mpm/-15%</t>
  </si>
  <si>
    <t>- 15.52 tissue brosot, shower chemical buntu, stock off, cleaning PM
- 16.24 change new blade, PM kembali jalan normal</t>
  </si>
  <si>
    <t>- 16.32 PM stop, flicker PLN</t>
  </si>
  <si>
    <t>- 17.08 Start up</t>
  </si>
  <si>
    <t>- 17.32 On reel</t>
  </si>
  <si>
    <t>- 03.01 ganti blade</t>
  </si>
  <si>
    <t>1100/924</t>
  </si>
  <si>
    <t>981/833</t>
  </si>
  <si>
    <t>1160/968</t>
  </si>
  <si>
    <t>- Change Spool (21x)</t>
  </si>
  <si>
    <t>N 16,5 VP OW</t>
  </si>
  <si>
    <t>980/833</t>
  </si>
  <si>
    <t>- Change Spool (5x)</t>
  </si>
  <si>
    <t>- Change Spool (6x)</t>
  </si>
  <si>
    <t>- Sheet Breaks (4x)</t>
  </si>
  <si>
    <t>N 17 VP OW</t>
  </si>
  <si>
    <t>- Change Spool (18x)</t>
  </si>
  <si>
    <t>PM stop, flicker PLN</t>
  </si>
  <si>
    <t>11/16,5/17</t>
  </si>
  <si>
    <t>17</t>
  </si>
  <si>
    <t>N 16,5</t>
  </si>
  <si>
    <t>90*3</t>
  </si>
  <si>
    <t>N 17</t>
  </si>
  <si>
    <t>60*3+90</t>
  </si>
  <si>
    <t>- Awal shift PM16 produksi N 17 Speed 980 mpm/-16,5%</t>
  </si>
  <si>
    <t>- 10:00 Change blade</t>
  </si>
  <si>
    <t>- 22.15 cleaning PM</t>
  </si>
  <si>
    <t>- 03.05 cleaning PM</t>
  </si>
  <si>
    <t>- 06.02 kertas brosot  ganti blade - &gt; sambung</t>
  </si>
  <si>
    <t>- 16.10 change grade ke N17,5 Speed 980 mpm/-16,5%</t>
  </si>
  <si>
    <t>- Awal shift PM16 produksi N 17,5 Speed 980 mpm/-16,5%</t>
  </si>
  <si>
    <t>- 23:24 Spped popereel hunting dan d atas set point 866-900Mpm (set point 832 Mpm)</t>
  </si>
  <si>
    <t>- 04.31 ganti blade steel dan change grade  ke Towel 17 (Northwood) Gsm speed 980/-20%</t>
  </si>
  <si>
    <t>980/807</t>
  </si>
  <si>
    <t>980/818</t>
  </si>
  <si>
    <t>980/814</t>
  </si>
  <si>
    <t>- Sheet Breaks (1x)</t>
  </si>
  <si>
    <t>Towel</t>
  </si>
  <si>
    <t>- Change Spool (20x)</t>
  </si>
  <si>
    <t>17/17,5/17</t>
  </si>
  <si>
    <t>Napkin/Towel</t>
  </si>
  <si>
    <t>NBKP UPM Conifer</t>
  </si>
  <si>
    <t>N 17,5 VP OW</t>
  </si>
  <si>
    <t>TW 17 VP OW</t>
  </si>
  <si>
    <t>N 17,5</t>
  </si>
  <si>
    <t>TW 17</t>
  </si>
  <si>
    <t>86*3+22</t>
  </si>
  <si>
    <t>- Awal shift PM16 produksi TW 17 Speed 980 mpm/-20%</t>
  </si>
  <si>
    <t>- 10:10 Change blade, berosot DS</t>
  </si>
  <si>
    <t>- 00.30 ganti blade steel</t>
  </si>
  <si>
    <t>- 06.06 ganti blade steel dan cleaning pm</t>
  </si>
  <si>
    <t>980/784</t>
  </si>
  <si>
    <t>256+24</t>
  </si>
  <si>
    <t>- Awal shift PM16 produksi TW 17 Speed 980 mpm/-21%</t>
  </si>
  <si>
    <t xml:space="preserve">- 07.48 Cleaning </t>
  </si>
  <si>
    <t>- 13.47 kertas putus, ( Mbrosot ) ganti Blade, lanjut Sambung.</t>
  </si>
  <si>
    <t>- 13.38 Kertas putus², ada kotoran Pada Hood, Ganti Blade &amp; Cleaning Hood</t>
  </si>
  <si>
    <t>- 15.50 PM Trip (EID Listrik mati)
- ⁠Cleaning pm dan uhlebox
- ⁠Listrik On (Flushing stock prep)</t>
  </si>
  <si>
    <t>- 17.02 PM Start up</t>
  </si>
  <si>
    <t>- 17.45 Stock on</t>
  </si>
  <si>
    <t>- 17.56 On Reel</t>
  </si>
  <si>
    <t>- Awal shift jalan Towel 17 gsm (256x1) (24x1) ∅132 2ply</t>
  </si>
  <si>
    <t>- 01.21 - 01.37 perbaiki potongan top nyerabut</t>
  </si>
  <si>
    <t>980/774</t>
  </si>
  <si>
    <t>- Change Spool (19x)</t>
  </si>
  <si>
    <t>- 15.50 PM Trip (EID Listrik mati)</t>
  </si>
  <si>
    <t>PM Trip (EID Listrik mati)</t>
  </si>
  <si>
    <t>- 07:30 Change blade, geripis DS dan Fs</t>
  </si>
  <si>
    <t>- 04.15 Cleaning dan Ganti blade</t>
  </si>
  <si>
    <t>- Reject : 2.280 kg/ 12.7% (Keriput, dan thickness rendah steam drop 02.30)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</si>
  <si>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</si>
  <si>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</si>
  <si>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</si>
  <si>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</si>
  <si>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</si>
  <si>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</si>
  <si>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</si>
  <si>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</si>
  <si>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>LT</t>
  </si>
  <si>
    <t>Reject Keriput, dan thickness rendah steam drop</t>
  </si>
  <si>
    <t>- 20.30 ganti blade steel dan cleaning PM</t>
  </si>
  <si>
    <t>- Change Spool (24x)</t>
  </si>
  <si>
    <t>- 07:37 Change blade, kertas berosot ketika cleaning</t>
  </si>
  <si>
    <t>- 18.14 ganti blade steel dan cleaning PM</t>
  </si>
  <si>
    <t>- Reject  EID : 970 kg/5.5% (potongan roll, thickness under 0.55)</t>
  </si>
  <si>
    <t>- 23.50 Sheet break, cleaning PM</t>
  </si>
  <si>
    <t>- 23.45-01.50 speed pope rell hunting 908 - 929 mpm reel ratio -12%-13% bw dan thiknes tidak stabil (setiap ganti tambor harus turun speed pope reel dulu untuk stabil)</t>
  </si>
  <si>
    <t>- 18.22 Pm brosot</t>
  </si>
  <si>
    <t>- 19.00 cleaning PM, ganti blade dan change grade Napkin 11 ( speed 1370 mpm)</t>
  </si>
  <si>
    <t>- speed popereel hunting saat change spool</t>
  </si>
  <si>
    <t>- Awal shift PM16 produksi Napkin 11 speed 1370/-20%</t>
  </si>
  <si>
    <t>- Reject : 300 kg/1.8 % (Reject EID, Sensor diameter rewinder error potongan bergelombang)</t>
  </si>
  <si>
    <t>- 23.50 Sheet break, Cleaning PM</t>
  </si>
  <si>
    <t>- 22.35 change grade Napkin 15.5 speed 1050/-18% dan ganti blade ceramic</t>
  </si>
  <si>
    <t>- Awal shift PM16 produksi TW 17 Speed 1000 mpm/-20%</t>
  </si>
  <si>
    <t>- Awal shift PM16 produksi Napkin 15,5 Speed 1050 mpm/-18%</t>
  </si>
  <si>
    <t>N 15,5</t>
  </si>
  <si>
    <t>1050/861</t>
  </si>
  <si>
    <t>1002/803</t>
  </si>
  <si>
    <t>1010/816</t>
  </si>
  <si>
    <t>N 15,5 VP OW</t>
  </si>
  <si>
    <t>- Flicker</t>
  </si>
  <si>
    <t>1370/1096</t>
  </si>
  <si>
    <t>1177/936</t>
  </si>
  <si>
    <t>- Sheet Breaks (2x)</t>
  </si>
  <si>
    <t>- Sheet Breaks (5x)</t>
  </si>
  <si>
    <t>- Sheet Breaks (7x)</t>
  </si>
  <si>
    <t>1050/819</t>
  </si>
  <si>
    <t>1210/957</t>
  </si>
  <si>
    <t>Listrik Flicker</t>
  </si>
  <si>
    <t>Reject EID, Sensor diameter rewinder error potongan bergelombang</t>
  </si>
  <si>
    <t>17/15,5</t>
  </si>
  <si>
    <t>15,5/11</t>
  </si>
  <si>
    <t>114+162</t>
  </si>
  <si>
    <t>286*1</t>
  </si>
  <si>
    <t>- Awal shift PM 16 Stop 
- 15.55 Buka header steam</t>
  </si>
  <si>
    <t>- 16.00 Heating up yankee
- 17.10 Stock On (New blade ceramic) 
- 17.10 - 18.00 Kertas lolos (brosot)</t>
  </si>
  <si>
    <t xml:space="preserve">- 19.29 Sheet Break, Kertas lolos (Cleaning blade) </t>
  </si>
  <si>
    <t>- 20.42 Sheet Break, Kertas lolos (Cleaning blade)</t>
  </si>
  <si>
    <t>- Awal shift PM16 produksi Napkin 11 speed 1235/-20%</t>
  </si>
  <si>
    <t>- 18.18 On reel speed 1235/-20%
- 18.40 Kertas lolos (Ganti blade)</t>
  </si>
  <si>
    <t>- 01.35 Sheet break, cleaning PM dan Ganti blade, Speed up 1300 mpm</t>
  </si>
  <si>
    <t>- 02.25 Jumbo turun, hole jalur sudah hilang</t>
  </si>
  <si>
    <t>- Awal shift hole jalur sisi FS</t>
  </si>
  <si>
    <t>1235/988</t>
  </si>
  <si>
    <t>- Sheet Breaks (3x)</t>
  </si>
  <si>
    <t>- 07.29 Tissue brosot, change new blade, cleaning PM
- 09.44 Stock off</t>
  </si>
  <si>
    <t>1221/976</t>
  </si>
  <si>
    <t>- Change Spool (3x)</t>
  </si>
  <si>
    <t>- Change Blade (3x)</t>
  </si>
  <si>
    <t>- Change Spool (16x)</t>
  </si>
  <si>
    <t>- 10.00 PM Stop (PLN)</t>
  </si>
  <si>
    <t>- 10.15 - 15.00 Cleaning PM, cleaning hood, ganti nozzle shower chemical</t>
  </si>
  <si>
    <t>PM Stop (PLN)</t>
  </si>
  <si>
    <t>Towel/Napkin</t>
  </si>
  <si>
    <t>11</t>
  </si>
  <si>
    <t>13.52 change new blade, cleaning PM</t>
  </si>
  <si>
    <t>- Awal shift PM16 produksi T 16 speed 1220/-25%</t>
  </si>
  <si>
    <t>07.15 change grade ke T14 speed 1230/-25%</t>
  </si>
  <si>
    <t>- 18.41 cleaning PM</t>
  </si>
  <si>
    <t>- 15.30 change grade ke T18 Speed 1000 mpm/-25%</t>
  </si>
  <si>
    <t>11.30 change grade ke T16 speed 1180/-25%</t>
  </si>
  <si>
    <t>- Awal shift PM16 produksi Napkin 11 speed 1360/-20%</t>
  </si>
  <si>
    <t>1212/911</t>
  </si>
  <si>
    <t>1013/760</t>
  </si>
  <si>
    <t>1000/750</t>
  </si>
  <si>
    <t>T 16</t>
  </si>
  <si>
    <t>T 14</t>
  </si>
  <si>
    <t>T 18</t>
  </si>
  <si>
    <t>1075/807</t>
  </si>
  <si>
    <t>Toilet</t>
  </si>
  <si>
    <t>- Change Spool (25x)</t>
  </si>
  <si>
    <t>11/14/16/18</t>
  </si>
  <si>
    <t>Napkin/Toilet</t>
  </si>
  <si>
    <t>T 14 VP OW</t>
  </si>
  <si>
    <t>T 16 VP OW</t>
  </si>
  <si>
    <t>T 18 VP OW</t>
  </si>
  <si>
    <t>276*1</t>
  </si>
  <si>
    <t>133*2</t>
  </si>
  <si>
    <t>- 10.40 change new blade, cleaning PM</t>
  </si>
  <si>
    <t>- 12.22 change grade ke T16 gsm Speed 1180 mpm / -25%</t>
  </si>
  <si>
    <t>- 21.26 cleaning PM</t>
  </si>
  <si>
    <t>- 23:30 Cleaning pm, ganti filter tc,</t>
  </si>
  <si>
    <t>- 03:07 Cleaning pm</t>
  </si>
  <si>
    <t>- 05:44 Cleaning pm</t>
  </si>
  <si>
    <t>1059/794</t>
  </si>
  <si>
    <t>1180/885</t>
  </si>
  <si>
    <t>1139/854</t>
  </si>
  <si>
    <t>- Change Spool (11x)</t>
  </si>
  <si>
    <t>- Change Spool (29x)</t>
  </si>
  <si>
    <t>18/16</t>
  </si>
  <si>
    <t>- 00:04 Jr turun WS hilang, (Pin hole masih ada) speed turun 1250 &amp; cleaning roll felt wire.</t>
  </si>
  <si>
    <t>- 00:48 Jr turun pinhole tinggal bagian fs. ( setting temperatur, speed turun 1200 Mpm, MAP On, ganti blade ceramic</t>
  </si>
  <si>
    <t>- 01:31  JR turun pin hole hilang
- Speed naik bertahap ke 1350 Mpm</t>
  </si>
  <si>
    <t>- 20.18 Sheet break, kertas lolos /brosot, turun speed 35 mpm</t>
  </si>
  <si>
    <t>- 21:23 Awal shift JR turun WS &amp; pinhole.</t>
  </si>
  <si>
    <t>- Awal shift PM16 produksi F 13 Speed 1350 mpm/-25%</t>
  </si>
  <si>
    <t xml:space="preserve">- 16.18 Change grade F13 speed 1350/-25% dan cleaning PM </t>
  </si>
  <si>
    <t>- 11.50 change grade ke T15 gsm speed 1200/-25%</t>
  </si>
  <si>
    <t>- 10.30 change new blade, cleaning PM</t>
  </si>
  <si>
    <t>1187/890</t>
  </si>
  <si>
    <t>1325/994</t>
  </si>
  <si>
    <t>1249/936</t>
  </si>
  <si>
    <t>T 15</t>
  </si>
  <si>
    <t>F 13</t>
  </si>
  <si>
    <t>1336/1002</t>
  </si>
  <si>
    <t>- Awal shift PM16 produksi T15 Speed 1200 mpm/-25%</t>
  </si>
  <si>
    <t>- Awal shift PM16 produksi T16 Speed 1180 mpm/-25%</t>
  </si>
  <si>
    <t>- Awal shift PM16 produksi T18 Speed 1000 mpm/-25%</t>
  </si>
  <si>
    <t>Facial</t>
  </si>
  <si>
    <t>T 15 VP OW</t>
  </si>
  <si>
    <t>16/15/13</t>
  </si>
  <si>
    <t>Toilet/Facial</t>
  </si>
  <si>
    <t>129,5+140</t>
  </si>
  <si>
    <t>- Awal shift PM16 produksi 1. Facial 13 gsm (AHS)
     Deckle : 2695 mm
Speed Awal : 1350 mpm / -25%</t>
  </si>
  <si>
    <t>Awal shift tissue pin hole FS
- setting coating release
- ⁠setting temp yankee
08.35 Jr turun pin hole fs mendingan
08.40 change new blade, cleaning PM &amp; Hood
09.45 Tissue brosot, change new blade.
- reposisi jarak nuzzle coating release antara yankee dan nuzzle (jarak nuzzle dan yanke cuma bisa 17cm) support pipa nuzzle tidak cukup untuk jarak 14cm antara yankee dan nuzzle.</t>
  </si>
  <si>
    <t>- Awal shift PM16 produksi .F13 (AHS ) 
- Deckle : 2695 Mm
Speed Awal : 1350 Mpm/25%</t>
  </si>
  <si>
    <t>01:07 &amp; 04 : 20 Cleaning pm</t>
  </si>
  <si>
    <t>- 18.04 Sheet break, cleaning PM
- 22.27 Indikasi hole jalur sisi FS, Ganti blade dan cleaning PM</t>
  </si>
  <si>
    <t>1350/1012,5</t>
  </si>
  <si>
    <t>13</t>
  </si>
  <si>
    <t>- Change Blade (4x)</t>
  </si>
  <si>
    <t>- 11.45 ganti blade ceramic dan cleaning pm</t>
  </si>
  <si>
    <t>- 00 : 15 Cleaning pm dan hood</t>
  </si>
  <si>
    <t>- 03 : 15 Cleaning pm</t>
  </si>
  <si>
    <t>- 05 : 15 Cleaning pm dan hood</t>
  </si>
  <si>
    <t>- 10.24 ganti blade dan cleaning PM</t>
  </si>
  <si>
    <t>- 17.37 Sheet break, Cleaning PM</t>
  </si>
  <si>
    <t>- 00 : 26 Cleaning pm, hood</t>
  </si>
  <si>
    <t xml:space="preserve">- 00 : 26 Change blade ceramic (kertas kasar) </t>
  </si>
  <si>
    <t>- 04 : 30 Cleaning pm</t>
  </si>
  <si>
    <t>1350/1012</t>
  </si>
  <si>
    <t>- 10.20 ganti blade dan cleaning PM</t>
  </si>
  <si>
    <t>- 23.48 sheet break, cleaning PM, cleaning hood</t>
  </si>
  <si>
    <t>- 03.56 Indikasi kasar, change new blade</t>
  </si>
  <si>
    <t>- Change Spool (26x)</t>
  </si>
  <si>
    <t>- 08.54 cleaning PM</t>
  </si>
  <si>
    <t>- 12.18 ganti blade</t>
  </si>
  <si>
    <t>- 23.37 Cleaning PM, cleaning hood</t>
  </si>
  <si>
    <t>- Reject Rw : 285 kg/ 1.7 % (MED/chuck tidak bisa putar)</t>
  </si>
  <si>
    <t>- 16 : 25 Cleaning pm</t>
  </si>
  <si>
    <t>- 19 : 55 Cleaning pm</t>
  </si>
  <si>
    <t>- 00.07 cleaning PM, change new blade</t>
  </si>
  <si>
    <t>Reject Rewinder MED/chuck tidak bisa putar</t>
  </si>
  <si>
    <t>- 08.33 ganti blade ceramic, Cleaning PM, cleaning hood</t>
  </si>
  <si>
    <t>- 15 : 30 Cleaning pm</t>
  </si>
  <si>
    <t>- 20 : 50 Cleaning pm</t>
  </si>
  <si>
    <t>- 00.00 Cleaning filter Hood</t>
  </si>
  <si>
    <t>- 00.40 cleaning PM, cleaning hood</t>
  </si>
  <si>
    <t>= Pemakaian daily tiap chemical PM 16</t>
  </si>
  <si>
    <t>- 08.40 Sheet break, Cleaning dan Ganti blade</t>
  </si>
  <si>
    <t>- 19:00 Cleaning pm dan hood</t>
  </si>
  <si>
    <t>- 10:16  Cleaning pm</t>
  </si>
  <si>
    <t>- 01.25 cleaning PM, cleaning hood</t>
  </si>
  <si>
    <t>- 05.03 change new blade ceramic</t>
  </si>
  <si>
    <t>- 10.27 Sheet break, cleaning PM dan ganti blade</t>
  </si>
  <si>
    <t>- 11.01 Sheet break, kertas lolos</t>
  </si>
  <si>
    <t>-15:16  Cleaning pm</t>
  </si>
  <si>
    <t>-19:37  Cleaning pm dan hood</t>
  </si>
  <si>
    <t>- 12:21  Cleaning pm dan change blade ceramic (gripis fs dan ds)</t>
  </si>
  <si>
    <t>- 01.28 cleaning PM &amp; hood</t>
  </si>
  <si>
    <t>- 06.22 change new blade ceramic</t>
  </si>
  <si>
    <t xml:space="preserve">- 08:10 Cleaning pm, hood
- 10:02 Sheatbreak, kertas berosot fs(cleaning blade) </t>
  </si>
  <si>
    <t>- 11:45 Cleaning pm, ganti filter tc</t>
  </si>
  <si>
    <t>- Sheatbreak, Kertas berosot Fs(cleaning blade)</t>
  </si>
  <si>
    <t xml:space="preserve">- 19.07 Sheet break, Cleaning PM </t>
  </si>
  <si>
    <t xml:space="preserve">- 19.50 Sheet break, Ganti Blade </t>
  </si>
  <si>
    <t>- 00.51 Cleaning PM</t>
  </si>
  <si>
    <t>- 08.41 Cleaning PM dan ganti blade</t>
  </si>
  <si>
    <t>- 16:50 Cleaning pm, hood</t>
  </si>
  <si>
    <t>- 19:10  Cleaning pm</t>
  </si>
  <si>
    <t>- 21:50  Cleaning pm</t>
  </si>
  <si>
    <t>- 23.13 change grade ke f12gsm dan ganti blade, cleaning pm</t>
  </si>
  <si>
    <t>- 00.40 stock off kertas brosot , cleaning PM , change blade</t>
  </si>
  <si>
    <t>- 04.15 pm stop cek felt bagian sisi fs ada hole bolong</t>
  </si>
  <si>
    <t>- 01:15 Onreel</t>
  </si>
  <si>
    <t>- 04.15 pm stop kertas brosot, cek felt bagian sisi fs ada hole bolong</t>
  </si>
  <si>
    <t>F 12 VP OW</t>
  </si>
  <si>
    <t>F 12</t>
  </si>
  <si>
    <t>13/12</t>
  </si>
  <si>
    <t>- 15.40 start up</t>
  </si>
  <si>
    <t xml:space="preserve">- 17.38 ganti blade </t>
  </si>
  <si>
    <t>- 22.19 ganti blade (kertas bagian fs nyelilit)</t>
  </si>
  <si>
    <t>- Awal shift stop (MED Cek strecher roll)</t>
  </si>
  <si>
    <t>- 04.07 steam drop, PM stop nunggu steam stabil ,cleaning PM ,bilas felt pakai solar</t>
  </si>
  <si>
    <t>- 05.47 start up 
- 06.00 on reel</t>
  </si>
  <si>
    <t>- Awal shift PM16 produksi F 14 Speed 1280 mpm/-25%</t>
  </si>
  <si>
    <t>- 06.20 change grade ke T 15 speed 1200/-25%</t>
  </si>
  <si>
    <t>- 16.00 on reel  F 14 Speed 1280 mpm/-25%</t>
  </si>
  <si>
    <t>- Pasang felt (Progress 90%)
- Ganti scrapper breast roll bersama MED 
- Cleaning HE Hood
- Cleaning area PM</t>
  </si>
  <si>
    <t>- Awal shift PM16 STOP, Ganti Felt</t>
  </si>
  <si>
    <t>Planned Shut</t>
  </si>
  <si>
    <t>- 01.30 change grade ke F 13 speed 1280/-25%</t>
  </si>
  <si>
    <t>1270/953</t>
  </si>
  <si>
    <t>1275/956</t>
  </si>
  <si>
    <t>- Change Spool (0x)</t>
  </si>
  <si>
    <t>PM 16 STOP, Ganti Felt</t>
  </si>
  <si>
    <t>Steam drop, PM stop nunggu steam stabil.</t>
  </si>
  <si>
    <t>Facial/Toilet</t>
  </si>
  <si>
    <t>14/13/15</t>
  </si>
  <si>
    <t>F 14 VP OW</t>
  </si>
  <si>
    <t>1280/960</t>
  </si>
  <si>
    <t>F 14</t>
  </si>
  <si>
    <t>136,5*2</t>
  </si>
  <si>
    <t>- Awal shift PM16 produksi T 15 speed 1200/-25%</t>
  </si>
  <si>
    <t>- 07.30 Steam drop 
- 07.40 PM stop :
- Cleaning PM 
- Karcher wire</t>
  </si>
  <si>
    <t>- 11.15 On Reel
- 13.57 Sheet break, Cleaning dan Ganti Blade</t>
  </si>
  <si>
    <t>- Cleaning felt menggunakan sikat
- 10.45 Start Up</t>
  </si>
  <si>
    <t>- 15.10 cleaning PM &amp; change new blade ceramic</t>
  </si>
  <si>
    <t>- 05.00 kertas nyelilit ganti blade ,cleaning</t>
  </si>
  <si>
    <t>- 07:00 PM Stop -&gt; Sinergi padam</t>
  </si>
  <si>
    <t>1200/900</t>
  </si>
  <si>
    <t>- 04.10 ganti grade Toilet 16 gsm speed 1170/-25%</t>
  </si>
  <si>
    <t>1189/892</t>
  </si>
  <si>
    <t>1195/896</t>
  </si>
  <si>
    <t>- Change Spool (13x)</t>
  </si>
  <si>
    <t>- Change Spool (30x)</t>
  </si>
  <si>
    <t xml:space="preserve">- 07.30 Steam drop </t>
  </si>
  <si>
    <t>15/16</t>
  </si>
  <si>
    <t>- Awal shift pm stop
- Steam Drop 3 bar
- Cleaning pm, hood, filter tc</t>
  </si>
  <si>
    <t>- Awal shift PM16 produksi F 12 speed 1240/-25%</t>
  </si>
  <si>
    <t>- 16.34 change grade ke T14 speed 1300 mpm / -25%</t>
  </si>
  <si>
    <t>- Awal shift PM16 produksi T 14 speed 1300/-25%</t>
  </si>
  <si>
    <t>- 02.17 kertas brosot sisi fs ganti blade</t>
  </si>
  <si>
    <t>- 06.06 change grade ke T19 gsm speed 980/-25%</t>
  </si>
  <si>
    <t>- 01.50 change grade ke T18 gsm speed 980/-25%</t>
  </si>
  <si>
    <t>- Drain Couch pit
- 08:40 PM Start Up
- 08:50 Stock On
- 09:10 On Reel F 12 speed 1200/-25%</t>
  </si>
  <si>
    <t>1200/980</t>
  </si>
  <si>
    <t>1093/820</t>
  </si>
  <si>
    <t>1288/966</t>
  </si>
  <si>
    <t>1193/894</t>
  </si>
  <si>
    <t>- Awal shift pm stop, steam drop</t>
  </si>
  <si>
    <t>12/14/18/19</t>
  </si>
  <si>
    <t>T 19 VP OW</t>
  </si>
  <si>
    <t>130+140</t>
  </si>
  <si>
    <t>272*1</t>
  </si>
  <si>
    <t>T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</si>
</sst>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#,##0.000"/>
    <numFmt numFmtId="171" formatCode="_(* #,##0.0_);_(* \(#,##0.0\);_(* &quot;-&quot;??_);_(@_)"/>
    <numFmt numFmtId="172" formatCode="[$-409]d\-mmm\-yy;@"/>
    <numFmt numFmtId="173" formatCode="_(* #,##0.000_);_(* \(#,##0.000\);_(* &quot;-&quot;??_);_(@_)"/>
    <numFmt numFmtId="174" formatCode="#,##0.000_);\(#,##0.000\)"/>
    <numFmt numFmtId="175" formatCode="0.0"/>
    <numFmt numFmtId="176" formatCode="0_);[Red]\(0\)"/>
    <numFmt numFmtId="177" formatCode="_(* #,##0.00_);_(* \(#,##0.00\);_(* &quot;-&quot;_);_(@_)"/>
    <numFmt numFmtId="178" formatCode="_(* #,##0.0_);_(* \(#,##0.0\);_(* &quot;-&quot;_);_(@_)"/>
    <numFmt numFmtId="179" formatCode="[$-409]mmm\-yy;@"/>
    <numFmt numFmtId="180" formatCode="_(* #,##0.000_);_(* \(#,##0.000\);_(* &quot;-&quot;_);_(@_)"/>
    <numFmt numFmtId="181" formatCode="0.000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6" tint="-0.499984740745262"/>
      <name val="Arial"/>
      <family val="2"/>
    </font>
    <font>
      <b/>
      <sz val="10"/>
      <color theme="5" tint="-0.499984740745262"/>
      <name val="Arial"/>
      <family val="2"/>
    </font>
    <font>
      <b/>
      <sz val="10"/>
      <color theme="9" tint="-0.499984740745262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8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9" fillId="3" borderId="0" applyNumberFormat="0" applyBorder="0" applyAlignment="0" applyProtection="0"/>
    <xf numFmtId="0" fontId="12" fillId="20" borderId="1" applyNumberFormat="0" applyAlignment="0" applyProtection="0"/>
    <xf numFmtId="0" fontId="17" fillId="21" borderId="2" applyNumberFormat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8" fillId="0" borderId="6" applyNumberFormat="0" applyFill="0" applyAlignment="0" applyProtection="0"/>
    <xf numFmtId="0" fontId="3" fillId="22" borderId="0" applyNumberFormat="0" applyBorder="0" applyAlignment="0" applyProtection="0"/>
    <xf numFmtId="0" fontId="47" fillId="0" borderId="0"/>
    <xf numFmtId="0" fontId="4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23" borderId="7" applyNumberFormat="0" applyFont="0" applyAlignment="0" applyProtection="0"/>
    <xf numFmtId="0" fontId="13" fillId="20" borderId="8" applyNumberFormat="0" applyAlignment="0" applyProtection="0"/>
    <xf numFmtId="9" fontId="45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45" fillId="0" borderId="0"/>
    <xf numFmtId="164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38">
    <xf numFmtId="0" fontId="0" fillId="0" borderId="0" xfId="0"/>
    <xf numFmtId="0" fontId="0" fillId="0" borderId="0" xfId="0" applyAlignment="1">
      <alignment horizontal="center"/>
    </xf>
    <xf numFmtId="0" fontId="28" fillId="0" borderId="11" xfId="0" applyFont="1" applyBorder="1" applyAlignment="1">
      <alignment horizontal="center" vertical="center" wrapText="1"/>
    </xf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8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8" fillId="0" borderId="18" xfId="0" applyFont="1" applyBorder="1"/>
    <xf numFmtId="165" fontId="28" fillId="0" borderId="18" xfId="28" applyFon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8" fillId="0" borderId="11" xfId="0" applyNumberFormat="1" applyFont="1" applyBorder="1"/>
    <xf numFmtId="165" fontId="28" fillId="0" borderId="0" xfId="0" applyNumberFormat="1" applyFont="1"/>
    <xf numFmtId="165" fontId="28" fillId="0" borderId="18" xfId="28" applyFont="1" applyFill="1" applyBorder="1"/>
    <xf numFmtId="0" fontId="28" fillId="0" borderId="0" xfId="0" applyFont="1"/>
    <xf numFmtId="0" fontId="28" fillId="0" borderId="18" xfId="28" applyNumberFormat="1" applyFont="1" applyBorder="1"/>
    <xf numFmtId="0" fontId="27" fillId="24" borderId="11" xfId="0" quotePrefix="1" applyFont="1" applyFill="1" applyBorder="1"/>
    <xf numFmtId="0" fontId="41" fillId="0" borderId="0" xfId="0" applyFont="1"/>
    <xf numFmtId="0" fontId="42" fillId="0" borderId="0" xfId="0" applyFont="1" applyAlignment="1">
      <alignment horizontal="center" vertical="center" wrapText="1"/>
    </xf>
    <xf numFmtId="164" fontId="42" fillId="0" borderId="0" xfId="29" applyFont="1" applyFill="1" applyBorder="1" applyAlignment="1">
      <alignment horizontal="center" vertical="center" wrapText="1"/>
    </xf>
    <xf numFmtId="176" fontId="42" fillId="0" borderId="0" xfId="0" applyNumberFormat="1" applyFont="1" applyAlignment="1">
      <alignment horizontal="center" vertical="center" wrapText="1"/>
    </xf>
    <xf numFmtId="177" fontId="42" fillId="0" borderId="0" xfId="29" applyNumberFormat="1" applyFont="1" applyFill="1" applyBorder="1" applyAlignment="1">
      <alignment horizontal="center" vertical="center" wrapText="1"/>
    </xf>
    <xf numFmtId="166" fontId="42" fillId="0" borderId="0" xfId="50" applyNumberFormat="1" applyFont="1" applyFill="1" applyBorder="1" applyAlignment="1">
      <alignment horizontal="center" vertical="center" wrapText="1"/>
    </xf>
    <xf numFmtId="0" fontId="43" fillId="0" borderId="0" xfId="0" applyFont="1"/>
    <xf numFmtId="177" fontId="42" fillId="0" borderId="11" xfId="29" applyNumberFormat="1" applyFont="1" applyFill="1" applyBorder="1" applyAlignment="1">
      <alignment horizontal="center"/>
    </xf>
    <xf numFmtId="0" fontId="42" fillId="0" borderId="0" xfId="0" applyFont="1"/>
    <xf numFmtId="0" fontId="43" fillId="25" borderId="14" xfId="0" applyFont="1" applyFill="1" applyBorder="1" applyAlignment="1">
      <alignment horizontal="center" vertical="center" wrapText="1"/>
    </xf>
    <xf numFmtId="176" fontId="43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2" fillId="0" borderId="11" xfId="0" applyFont="1" applyBorder="1"/>
    <xf numFmtId="164" fontId="42" fillId="0" borderId="11" xfId="29" applyFont="1" applyFill="1" applyBorder="1" applyAlignment="1">
      <alignment vertical="center"/>
    </xf>
    <xf numFmtId="176" fontId="42" fillId="0" borderId="11" xfId="0" applyNumberFormat="1" applyFont="1" applyBorder="1"/>
    <xf numFmtId="164" fontId="42" fillId="0" borderId="11" xfId="29" applyFont="1" applyFill="1" applyBorder="1" applyAlignment="1">
      <alignment horizontal="center"/>
    </xf>
    <xf numFmtId="177" fontId="42" fillId="0" borderId="11" xfId="29" applyNumberFormat="1" applyFont="1" applyFill="1" applyBorder="1" applyAlignment="1">
      <alignment vertical="center"/>
    </xf>
    <xf numFmtId="166" fontId="42" fillId="0" borderId="11" xfId="50" applyNumberFormat="1" applyFont="1" applyFill="1" applyBorder="1" applyAlignment="1">
      <alignment vertical="center"/>
    </xf>
    <xf numFmtId="0" fontId="42" fillId="0" borderId="11" xfId="0" applyFont="1" applyBorder="1" applyAlignment="1">
      <alignment wrapText="1"/>
    </xf>
    <xf numFmtId="172" fontId="39" fillId="0" borderId="11" xfId="44" applyNumberFormat="1" applyFont="1" applyBorder="1" applyAlignment="1">
      <alignment horizontal="center"/>
    </xf>
    <xf numFmtId="0" fontId="39" fillId="0" borderId="11" xfId="44" applyFont="1" applyBorder="1" applyAlignment="1">
      <alignment horizontal="center"/>
    </xf>
    <xf numFmtId="0" fontId="39" fillId="0" borderId="11" xfId="31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 wrapText="1"/>
    </xf>
    <xf numFmtId="9" fontId="42" fillId="0" borderId="11" xfId="0" applyNumberFormat="1" applyFont="1" applyBorder="1" applyAlignment="1">
      <alignment horizontal="center" vertical="center" wrapText="1"/>
    </xf>
    <xf numFmtId="9" fontId="42" fillId="0" borderId="11" xfId="29" applyNumberFormat="1" applyFont="1" applyFill="1" applyBorder="1" applyAlignment="1">
      <alignment vertical="center"/>
    </xf>
    <xf numFmtId="9" fontId="42" fillId="0" borderId="11" xfId="50" applyFont="1" applyFill="1" applyBorder="1" applyAlignment="1">
      <alignment vertical="center"/>
    </xf>
    <xf numFmtId="164" fontId="39" fillId="0" borderId="11" xfId="29" applyFont="1" applyFill="1" applyBorder="1" applyAlignment="1">
      <alignment horizontal="center"/>
    </xf>
    <xf numFmtId="177" fontId="39" fillId="0" borderId="11" xfId="29" applyNumberFormat="1" applyFont="1" applyFill="1" applyBorder="1" applyAlignment="1">
      <alignment horizontal="center"/>
    </xf>
    <xf numFmtId="177" fontId="42" fillId="0" borderId="11" xfId="29" applyNumberFormat="1" applyFont="1" applyBorder="1" applyAlignment="1">
      <alignment vertical="center"/>
    </xf>
    <xf numFmtId="2" fontId="42" fillId="0" borderId="11" xfId="0" applyNumberFormat="1" applyFont="1" applyBorder="1"/>
    <xf numFmtId="2" fontId="39" fillId="0" borderId="11" xfId="46" applyNumberFormat="1" applyFont="1" applyBorder="1"/>
    <xf numFmtId="177" fontId="43" fillId="0" borderId="11" xfId="29" applyNumberFormat="1" applyFont="1" applyFill="1" applyBorder="1" applyAlignment="1">
      <alignment vertical="center"/>
    </xf>
    <xf numFmtId="2" fontId="36" fillId="0" borderId="11" xfId="46" applyNumberFormat="1" applyFont="1" applyBorder="1"/>
    <xf numFmtId="177" fontId="42" fillId="0" borderId="0" xfId="29" applyNumberFormat="1" applyFont="1" applyFill="1" applyBorder="1" applyAlignment="1">
      <alignment vertical="center"/>
    </xf>
    <xf numFmtId="0" fontId="42" fillId="0" borderId="0" xfId="0" applyFont="1" applyAlignment="1">
      <alignment horizontal="center"/>
    </xf>
    <xf numFmtId="176" fontId="42" fillId="0" borderId="0" xfId="0" applyNumberFormat="1" applyFont="1"/>
    <xf numFmtId="172" fontId="39" fillId="0" borderId="11" xfId="43" applyNumberFormat="1" applyFont="1" applyBorder="1" applyAlignment="1">
      <alignment horizontal="center"/>
    </xf>
    <xf numFmtId="0" fontId="39" fillId="0" borderId="11" xfId="43" applyFont="1" applyBorder="1" applyAlignment="1">
      <alignment horizontal="center"/>
    </xf>
    <xf numFmtId="0" fontId="39" fillId="0" borderId="11" xfId="30" applyNumberFormat="1" applyFont="1" applyFill="1" applyBorder="1" applyAlignment="1">
      <alignment horizontal="center"/>
    </xf>
    <xf numFmtId="164" fontId="43" fillId="0" borderId="11" xfId="29" applyFont="1" applyFill="1" applyBorder="1" applyAlignment="1">
      <alignment vertical="center"/>
    </xf>
    <xf numFmtId="9" fontId="43" fillId="25" borderId="11" xfId="29" applyNumberFormat="1" applyFont="1" applyFill="1" applyBorder="1" applyAlignment="1">
      <alignment vertical="center"/>
    </xf>
    <xf numFmtId="177" fontId="43" fillId="25" borderId="11" xfId="29" applyNumberFormat="1" applyFont="1" applyFill="1" applyBorder="1" applyAlignment="1">
      <alignment vertical="center"/>
    </xf>
    <xf numFmtId="176" fontId="43" fillId="0" borderId="11" xfId="0" applyNumberFormat="1" applyFont="1" applyBorder="1"/>
    <xf numFmtId="0" fontId="43" fillId="0" borderId="11" xfId="0" applyFont="1" applyBorder="1"/>
    <xf numFmtId="164" fontId="43" fillId="25" borderId="11" xfId="29" applyFont="1" applyFill="1" applyBorder="1" applyAlignment="1">
      <alignment horizontal="center"/>
    </xf>
    <xf numFmtId="0" fontId="42" fillId="0" borderId="11" xfId="47" applyFont="1" applyBorder="1"/>
    <xf numFmtId="10" fontId="43" fillId="25" borderId="11" xfId="50" applyNumberFormat="1" applyFont="1" applyFill="1" applyBorder="1" applyAlignment="1">
      <alignment vertical="center"/>
    </xf>
    <xf numFmtId="166" fontId="43" fillId="25" borderId="11" xfId="50" applyNumberFormat="1" applyFont="1" applyFill="1" applyBorder="1" applyAlignment="1">
      <alignment vertical="center"/>
    </xf>
    <xf numFmtId="165" fontId="43" fillId="0" borderId="11" xfId="0" applyNumberFormat="1" applyFont="1" applyBorder="1" applyAlignment="1">
      <alignment horizontal="right"/>
    </xf>
    <xf numFmtId="172" fontId="39" fillId="0" borderId="0" xfId="43" applyNumberFormat="1" applyFont="1" applyAlignment="1">
      <alignment horizontal="center"/>
    </xf>
    <xf numFmtId="0" fontId="39" fillId="0" borderId="0" xfId="43" applyFont="1" applyAlignment="1">
      <alignment horizontal="center"/>
    </xf>
    <xf numFmtId="0" fontId="39" fillId="0" borderId="0" xfId="30" applyNumberFormat="1" applyFont="1" applyFill="1" applyBorder="1" applyAlignment="1">
      <alignment horizontal="center"/>
    </xf>
    <xf numFmtId="164" fontId="42" fillId="0" borderId="0" xfId="29" applyFont="1" applyFill="1" applyBorder="1" applyAlignment="1">
      <alignment vertical="center"/>
    </xf>
    <xf numFmtId="164" fontId="42" fillId="0" borderId="0" xfId="29" applyFont="1" applyFill="1" applyBorder="1" applyAlignment="1">
      <alignment horizontal="center"/>
    </xf>
    <xf numFmtId="177" fontId="42" fillId="0" borderId="0" xfId="29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right"/>
    </xf>
    <xf numFmtId="177" fontId="43" fillId="0" borderId="0" xfId="29" applyNumberFormat="1" applyFont="1" applyFill="1" applyBorder="1" applyAlignment="1">
      <alignment horizontal="right"/>
    </xf>
    <xf numFmtId="166" fontId="43" fillId="0" borderId="0" xfId="50" applyNumberFormat="1" applyFont="1" applyFill="1" applyBorder="1" applyAlignment="1">
      <alignment vertical="center"/>
    </xf>
    <xf numFmtId="0" fontId="42" fillId="0" borderId="0" xfId="0" applyFont="1" applyAlignment="1">
      <alignment wrapText="1"/>
    </xf>
    <xf numFmtId="0" fontId="43" fillId="0" borderId="0" xfId="50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horizontal="center" vertical="center" wrapText="1"/>
    </xf>
    <xf numFmtId="165" fontId="43" fillId="0" borderId="14" xfId="0" applyNumberFormat="1" applyFont="1" applyBorder="1" applyAlignment="1">
      <alignment horizontal="center" vertical="center" wrapText="1"/>
    </xf>
    <xf numFmtId="165" fontId="42" fillId="0" borderId="11" xfId="29" applyNumberFormat="1" applyFont="1" applyFill="1" applyBorder="1" applyAlignment="1">
      <alignment vertical="center"/>
    </xf>
    <xf numFmtId="165" fontId="42" fillId="0" borderId="0" xfId="0" applyNumberFormat="1" applyFont="1"/>
    <xf numFmtId="165" fontId="43" fillId="25" borderId="11" xfId="29" applyNumberFormat="1" applyFont="1" applyFill="1" applyBorder="1" applyAlignment="1">
      <alignment vertical="center"/>
    </xf>
    <xf numFmtId="165" fontId="43" fillId="0" borderId="11" xfId="29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2" fillId="0" borderId="0" xfId="0" applyNumberFormat="1" applyFont="1"/>
    <xf numFmtId="15" fontId="43" fillId="0" borderId="0" xfId="0" applyNumberFormat="1" applyFont="1"/>
    <xf numFmtId="17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7" fillId="24" borderId="32" xfId="28" applyFont="1" applyFill="1" applyBorder="1" applyAlignment="1" applyProtection="1">
      <alignment horizontal="center" vertical="center"/>
    </xf>
    <xf numFmtId="165" fontId="27" fillId="24" borderId="33" xfId="28" applyFont="1" applyFill="1" applyBorder="1" applyAlignment="1" applyProtection="1">
      <alignment horizontal="center" vertical="center"/>
    </xf>
    <xf numFmtId="165" fontId="27" fillId="24" borderId="34" xfId="28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 vertical="center"/>
    </xf>
    <xf numFmtId="166" fontId="27" fillId="24" borderId="36" xfId="50" applyNumberFormat="1" applyFont="1" applyFill="1" applyBorder="1" applyAlignment="1" applyProtection="1">
      <alignment horizontal="center" vertical="center"/>
    </xf>
    <xf numFmtId="166" fontId="27" fillId="24" borderId="29" xfId="50" applyNumberFormat="1" applyFont="1" applyFill="1" applyBorder="1" applyAlignment="1" applyProtection="1">
      <alignment horizontal="center" vertical="center"/>
    </xf>
    <xf numFmtId="166" fontId="27" fillId="24" borderId="37" xfId="50" applyNumberFormat="1" applyFont="1" applyFill="1" applyBorder="1" applyAlignment="1" applyProtection="1">
      <alignment horizontal="center" vertical="center"/>
    </xf>
    <xf numFmtId="165" fontId="27" fillId="24" borderId="38" xfId="28" applyFont="1" applyFill="1" applyBorder="1" applyAlignment="1" applyProtection="1">
      <alignment horizontal="center" vertical="center"/>
    </xf>
    <xf numFmtId="165" fontId="27" fillId="24" borderId="38" xfId="28" applyFont="1" applyFill="1" applyBorder="1" applyAlignment="1" applyProtection="1">
      <alignment horizontal="center"/>
    </xf>
    <xf numFmtId="165" fontId="27" fillId="24" borderId="39" xfId="28" applyFont="1" applyFill="1" applyBorder="1" applyAlignment="1" applyProtection="1">
      <alignment horizontal="center"/>
    </xf>
    <xf numFmtId="166" fontId="27" fillId="24" borderId="40" xfId="50" applyNumberFormat="1" applyFont="1" applyFill="1" applyBorder="1" applyAlignment="1" applyProtection="1">
      <alignment horizontal="center" vertical="center"/>
    </xf>
    <xf numFmtId="165" fontId="23" fillId="24" borderId="0" xfId="28" applyFont="1" applyFill="1" applyProtection="1"/>
    <xf numFmtId="165" fontId="27" fillId="24" borderId="15" xfId="28" applyFont="1" applyFill="1" applyBorder="1" applyAlignment="1" applyProtection="1">
      <alignment horizontal="center" vertical="center"/>
    </xf>
    <xf numFmtId="165" fontId="27" fillId="24" borderId="41" xfId="28" applyFont="1" applyFill="1" applyBorder="1" applyAlignment="1" applyProtection="1">
      <alignment horizontal="center" vertical="center"/>
    </xf>
    <xf numFmtId="166" fontId="27" fillId="24" borderId="35" xfId="50" applyNumberFormat="1" applyFont="1" applyFill="1" applyBorder="1" applyAlignment="1" applyProtection="1">
      <alignment horizontal="center" vertical="center"/>
    </xf>
    <xf numFmtId="166" fontId="27" fillId="24" borderId="15" xfId="50" applyNumberFormat="1" applyFont="1" applyFill="1" applyBorder="1" applyAlignment="1" applyProtection="1">
      <alignment horizontal="center" vertical="center"/>
    </xf>
    <xf numFmtId="166" fontId="27" fillId="24" borderId="34" xfId="50" applyNumberFormat="1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/>
    </xf>
    <xf numFmtId="165" fontId="27" fillId="24" borderId="42" xfId="28" applyFont="1" applyFill="1" applyBorder="1" applyAlignment="1" applyProtection="1">
      <alignment horizontal="center"/>
    </xf>
    <xf numFmtId="165" fontId="27" fillId="24" borderId="11" xfId="28" applyFont="1" applyFill="1" applyBorder="1" applyAlignment="1" applyProtection="1">
      <alignment horizontal="center"/>
    </xf>
    <xf numFmtId="165" fontId="27" fillId="24" borderId="43" xfId="28" applyFont="1" applyFill="1" applyBorder="1" applyAlignment="1" applyProtection="1">
      <alignment horizontal="center"/>
    </xf>
    <xf numFmtId="165" fontId="27" fillId="24" borderId="37" xfId="28" applyFont="1" applyFill="1" applyBorder="1" applyAlignment="1" applyProtection="1">
      <alignment horizontal="center"/>
    </xf>
    <xf numFmtId="0" fontId="27" fillId="24" borderId="44" xfId="0" applyFont="1" applyFill="1" applyBorder="1" applyAlignment="1">
      <alignment horizontal="left"/>
    </xf>
    <xf numFmtId="0" fontId="27" fillId="24" borderId="45" xfId="0" applyFont="1" applyFill="1" applyBorder="1" applyAlignment="1">
      <alignment horizontal="left"/>
    </xf>
    <xf numFmtId="0" fontId="27" fillId="24" borderId="46" xfId="0" applyFont="1" applyFill="1" applyBorder="1" applyAlignment="1">
      <alignment horizontal="left"/>
    </xf>
    <xf numFmtId="165" fontId="27" fillId="24" borderId="26" xfId="0" applyNumberFormat="1" applyFont="1" applyFill="1" applyBorder="1" applyAlignment="1">
      <alignment horizontal="left"/>
    </xf>
    <xf numFmtId="165" fontId="27" fillId="24" borderId="21" xfId="28" applyFont="1" applyFill="1" applyBorder="1" applyAlignment="1" applyProtection="1">
      <alignment horizontal="right" vertical="center"/>
    </xf>
    <xf numFmtId="0" fontId="27" fillId="24" borderId="47" xfId="0" applyFont="1" applyFill="1" applyBorder="1" applyAlignment="1">
      <alignment horizontal="center"/>
    </xf>
    <xf numFmtId="165" fontId="27" fillId="24" borderId="17" xfId="28" applyFont="1" applyFill="1" applyBorder="1" applyAlignment="1" applyProtection="1">
      <alignment horizontal="right" vertical="center"/>
    </xf>
    <xf numFmtId="0" fontId="27" fillId="24" borderId="48" xfId="0" applyFont="1" applyFill="1" applyBorder="1" applyAlignment="1">
      <alignment horizontal="center"/>
    </xf>
    <xf numFmtId="165" fontId="27" fillId="0" borderId="11" xfId="28" applyFont="1" applyFill="1" applyBorder="1" applyAlignment="1" applyProtection="1">
      <alignment horizontal="right"/>
    </xf>
    <xf numFmtId="0" fontId="27" fillId="24" borderId="49" xfId="0" applyFont="1" applyFill="1" applyBorder="1" applyAlignment="1">
      <alignment horizontal="center"/>
    </xf>
    <xf numFmtId="165" fontId="27" fillId="24" borderId="11" xfId="28" applyFont="1" applyFill="1" applyBorder="1" applyAlignment="1" applyProtection="1">
      <alignment horizontal="right" vertical="center"/>
    </xf>
    <xf numFmtId="165" fontId="23" fillId="20" borderId="11" xfId="28" applyFont="1" applyFill="1" applyBorder="1" applyAlignment="1" applyProtection="1">
      <alignment horizontal="right"/>
    </xf>
    <xf numFmtId="165" fontId="27" fillId="24" borderId="11" xfId="28" applyFont="1" applyFill="1" applyBorder="1" applyAlignment="1" applyProtection="1">
      <alignment horizontal="right"/>
    </xf>
    <xf numFmtId="174" fontId="27" fillId="24" borderId="11" xfId="28" applyNumberFormat="1" applyFont="1" applyFill="1" applyBorder="1" applyAlignment="1" applyProtection="1">
      <alignment horizontal="right"/>
    </xf>
    <xf numFmtId="39" fontId="27" fillId="24" borderId="11" xfId="28" applyNumberFormat="1" applyFont="1" applyFill="1" applyBorder="1" applyAlignment="1" applyProtection="1">
      <alignment horizontal="right"/>
    </xf>
    <xf numFmtId="165" fontId="27" fillId="24" borderId="14" xfId="28" applyFont="1" applyFill="1" applyBorder="1" applyAlignment="1" applyProtection="1">
      <alignment horizontal="right"/>
    </xf>
    <xf numFmtId="0" fontId="27" fillId="24" borderId="50" xfId="0" applyFont="1" applyFill="1" applyBorder="1" applyAlignment="1">
      <alignment horizontal="center"/>
    </xf>
    <xf numFmtId="165" fontId="27" fillId="24" borderId="23" xfId="0" applyNumberFormat="1" applyFont="1" applyFill="1" applyBorder="1" applyAlignment="1">
      <alignment horizontal="right"/>
    </xf>
    <xf numFmtId="0" fontId="27" fillId="24" borderId="24" xfId="0" applyFont="1" applyFill="1" applyBorder="1" applyAlignment="1">
      <alignment horizontal="center"/>
    </xf>
    <xf numFmtId="165" fontId="27" fillId="24" borderId="11" xfId="28" applyFont="1" applyFill="1" applyBorder="1" applyProtection="1"/>
    <xf numFmtId="165" fontId="27" fillId="24" borderId="14" xfId="28" applyFont="1" applyFill="1" applyBorder="1" applyProtection="1"/>
    <xf numFmtId="165" fontId="23" fillId="20" borderId="11" xfId="28" applyFont="1" applyFill="1" applyBorder="1" applyProtection="1"/>
    <xf numFmtId="165" fontId="27" fillId="24" borderId="49" xfId="28" applyFont="1" applyFill="1" applyBorder="1" applyAlignment="1" applyProtection="1">
      <alignment horizontal="center"/>
    </xf>
    <xf numFmtId="165" fontId="27" fillId="24" borderId="21" xfId="28" applyFont="1" applyFill="1" applyBorder="1" applyAlignment="1" applyProtection="1">
      <alignment horizontal="center"/>
    </xf>
    <xf numFmtId="165" fontId="27" fillId="24" borderId="47" xfId="28" applyFont="1" applyFill="1" applyBorder="1" applyAlignment="1" applyProtection="1">
      <alignment horizontal="center"/>
    </xf>
    <xf numFmtId="166" fontId="27" fillId="24" borderId="23" xfId="50" applyNumberFormat="1" applyFont="1" applyFill="1" applyBorder="1" applyProtection="1"/>
    <xf numFmtId="166" fontId="27" fillId="24" borderId="24" xfId="50" applyNumberFormat="1" applyFont="1" applyFill="1" applyBorder="1" applyProtection="1"/>
    <xf numFmtId="0" fontId="20" fillId="0" borderId="0" xfId="0" applyFont="1"/>
    <xf numFmtId="0" fontId="23" fillId="24" borderId="0" xfId="0" applyFont="1" applyFill="1"/>
    <xf numFmtId="0" fontId="21" fillId="0" borderId="0" xfId="0" applyFont="1"/>
    <xf numFmtId="0" fontId="22" fillId="0" borderId="0" xfId="0" applyFont="1"/>
    <xf numFmtId="0" fontId="24" fillId="24" borderId="0" xfId="0" applyFont="1" applyFill="1"/>
    <xf numFmtId="165" fontId="25" fillId="24" borderId="0" xfId="28" applyFont="1" applyFill="1" applyAlignment="1" applyProtection="1">
      <alignment horizontal="right"/>
    </xf>
    <xf numFmtId="0" fontId="26" fillId="24" borderId="0" xfId="0" applyFont="1" applyFill="1"/>
    <xf numFmtId="165" fontId="23" fillId="24" borderId="0" xfId="0" applyNumberFormat="1" applyFont="1" applyFill="1"/>
    <xf numFmtId="0" fontId="27" fillId="24" borderId="32" xfId="0" applyFont="1" applyFill="1" applyBorder="1" applyAlignment="1">
      <alignment horizontal="center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41" xfId="0" applyFont="1" applyFill="1" applyBorder="1" applyAlignment="1">
      <alignment horizontal="center" vertical="center"/>
    </xf>
    <xf numFmtId="0" fontId="27" fillId="24" borderId="51" xfId="0" applyFont="1" applyFill="1" applyBorder="1" applyAlignment="1">
      <alignment horizontal="center"/>
    </xf>
    <xf numFmtId="0" fontId="27" fillId="24" borderId="41" xfId="0" applyFont="1" applyFill="1" applyBorder="1" applyAlignment="1">
      <alignment horizontal="center" wrapText="1"/>
    </xf>
    <xf numFmtId="0" fontId="27" fillId="24" borderId="32" xfId="0" applyFont="1" applyFill="1" applyBorder="1" applyAlignment="1">
      <alignment horizontal="center"/>
    </xf>
    <xf numFmtId="0" fontId="27" fillId="24" borderId="15" xfId="0" applyFont="1" applyFill="1" applyBorder="1" applyAlignment="1">
      <alignment horizontal="center"/>
    </xf>
    <xf numFmtId="0" fontId="27" fillId="24" borderId="34" xfId="0" applyFont="1" applyFill="1" applyBorder="1" applyAlignment="1">
      <alignment horizontal="center"/>
    </xf>
    <xf numFmtId="165" fontId="27" fillId="24" borderId="11" xfId="0" applyNumberFormat="1" applyFont="1" applyFill="1" applyBorder="1" applyAlignment="1">
      <alignment horizontal="center"/>
    </xf>
    <xf numFmtId="0" fontId="27" fillId="24" borderId="52" xfId="0" applyFont="1" applyFill="1" applyBorder="1" applyAlignment="1">
      <alignment horizontal="left" vertical="center"/>
    </xf>
    <xf numFmtId="0" fontId="27" fillId="24" borderId="53" xfId="0" quotePrefix="1" applyFont="1" applyFill="1" applyBorder="1"/>
    <xf numFmtId="0" fontId="27" fillId="24" borderId="34" xfId="0" applyFont="1" applyFill="1" applyBorder="1" applyAlignment="1">
      <alignment vertical="center" wrapText="1"/>
    </xf>
    <xf numFmtId="0" fontId="27" fillId="24" borderId="40" xfId="0" applyFont="1" applyFill="1" applyBorder="1" applyAlignment="1">
      <alignment vertical="center" wrapText="1"/>
    </xf>
    <xf numFmtId="0" fontId="27" fillId="24" borderId="53" xfId="0" applyFont="1" applyFill="1" applyBorder="1" applyAlignment="1">
      <alignment horizontal="center"/>
    </xf>
    <xf numFmtId="0" fontId="27" fillId="24" borderId="53" xfId="0" applyFont="1" applyFill="1" applyBorder="1"/>
    <xf numFmtId="0" fontId="27" fillId="24" borderId="55" xfId="0" applyFont="1" applyFill="1" applyBorder="1" applyAlignment="1">
      <alignment horizontal="center" vertical="center"/>
    </xf>
    <xf numFmtId="0" fontId="27" fillId="24" borderId="45" xfId="0" applyFont="1" applyFill="1" applyBorder="1" applyAlignment="1">
      <alignment horizontal="left" vertical="center"/>
    </xf>
    <xf numFmtId="0" fontId="27" fillId="24" borderId="28" xfId="0" applyFont="1" applyFill="1" applyBorder="1" applyAlignment="1">
      <alignment horizontal="center"/>
    </xf>
    <xf numFmtId="0" fontId="27" fillId="24" borderId="0" xfId="0" applyFont="1" applyFill="1"/>
    <xf numFmtId="0" fontId="27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horizontal="center"/>
    </xf>
    <xf numFmtId="0" fontId="27" fillId="24" borderId="36" xfId="0" applyFont="1" applyFill="1" applyBorder="1" applyAlignment="1">
      <alignment horizontal="center"/>
    </xf>
    <xf numFmtId="0" fontId="27" fillId="24" borderId="40" xfId="0" applyFont="1" applyFill="1" applyBorder="1" applyAlignment="1">
      <alignment horizontal="center"/>
    </xf>
    <xf numFmtId="0" fontId="23" fillId="24" borderId="32" xfId="0" applyFont="1" applyFill="1" applyBorder="1"/>
    <xf numFmtId="0" fontId="23" fillId="24" borderId="41" xfId="0" applyFont="1" applyFill="1" applyBorder="1"/>
    <xf numFmtId="0" fontId="27" fillId="24" borderId="15" xfId="0" applyFont="1" applyFill="1" applyBorder="1"/>
    <xf numFmtId="0" fontId="27" fillId="24" borderId="41" xfId="0" applyFont="1" applyFill="1" applyBorder="1" applyAlignment="1">
      <alignment horizontal="center"/>
    </xf>
    <xf numFmtId="165" fontId="23" fillId="24" borderId="0" xfId="28" applyFont="1" applyFill="1" applyBorder="1" applyProtection="1"/>
    <xf numFmtId="0" fontId="23" fillId="24" borderId="56" xfId="0" applyFont="1" applyFill="1" applyBorder="1" applyAlignment="1">
      <alignment horizontal="center"/>
    </xf>
    <xf numFmtId="0" fontId="23" fillId="24" borderId="10" xfId="0" applyFont="1" applyFill="1" applyBorder="1" applyAlignment="1">
      <alignment horizontal="center"/>
    </xf>
    <xf numFmtId="0" fontId="27" fillId="24" borderId="10" xfId="0" applyFont="1" applyFill="1" applyBorder="1" applyAlignment="1">
      <alignment horizontal="center"/>
    </xf>
    <xf numFmtId="165" fontId="27" fillId="24" borderId="0" xfId="28" applyFont="1" applyFill="1" applyBorder="1" applyProtection="1"/>
    <xf numFmtId="0" fontId="27" fillId="24" borderId="12" xfId="0" applyFont="1" applyFill="1" applyBorder="1" applyAlignment="1">
      <alignment horizontal="center"/>
    </xf>
    <xf numFmtId="0" fontId="27" fillId="24" borderId="57" xfId="0" applyFont="1" applyFill="1" applyBorder="1" applyAlignment="1">
      <alignment horizontal="center"/>
    </xf>
    <xf numFmtId="165" fontId="27" fillId="24" borderId="23" xfId="0" applyNumberFormat="1" applyFont="1" applyFill="1" applyBorder="1"/>
    <xf numFmtId="2" fontId="23" fillId="24" borderId="0" xfId="0" applyNumberFormat="1" applyFont="1" applyFill="1"/>
    <xf numFmtId="0" fontId="27" fillId="24" borderId="58" xfId="0" applyFont="1" applyFill="1" applyBorder="1"/>
    <xf numFmtId="0" fontId="27" fillId="24" borderId="59" xfId="0" applyFont="1" applyFill="1" applyBorder="1" applyAlignment="1">
      <alignment horizontal="left"/>
    </xf>
    <xf numFmtId="0" fontId="23" fillId="24" borderId="59" xfId="0" applyFont="1" applyFill="1" applyBorder="1"/>
    <xf numFmtId="165" fontId="23" fillId="24" borderId="59" xfId="28" applyFont="1" applyFill="1" applyBorder="1" applyProtection="1"/>
    <xf numFmtId="0" fontId="23" fillId="24" borderId="31" xfId="0" applyFont="1" applyFill="1" applyBorder="1"/>
    <xf numFmtId="0" fontId="23" fillId="24" borderId="11" xfId="0" applyFont="1" applyFill="1" applyBorder="1"/>
    <xf numFmtId="165" fontId="23" fillId="24" borderId="11" xfId="0" applyNumberFormat="1" applyFont="1" applyFill="1" applyBorder="1"/>
    <xf numFmtId="166" fontId="23" fillId="24" borderId="11" xfId="50" applyNumberFormat="1" applyFont="1" applyFill="1" applyBorder="1" applyProtection="1"/>
    <xf numFmtId="0" fontId="27" fillId="24" borderId="28" xfId="0" applyFont="1" applyFill="1" applyBorder="1"/>
    <xf numFmtId="0" fontId="27" fillId="24" borderId="0" xfId="0" applyFont="1" applyFill="1" applyAlignment="1">
      <alignment horizontal="left"/>
    </xf>
    <xf numFmtId="0" fontId="23" fillId="24" borderId="60" xfId="0" applyFont="1" applyFill="1" applyBorder="1"/>
    <xf numFmtId="0" fontId="23" fillId="24" borderId="28" xfId="0" applyFont="1" applyFill="1" applyBorder="1"/>
    <xf numFmtId="0" fontId="23" fillId="24" borderId="30" xfId="0" applyFont="1" applyFill="1" applyBorder="1"/>
    <xf numFmtId="0" fontId="27" fillId="24" borderId="61" xfId="0" applyFont="1" applyFill="1" applyBorder="1"/>
    <xf numFmtId="165" fontId="27" fillId="24" borderId="61" xfId="28" applyFont="1" applyFill="1" applyBorder="1" applyProtection="1"/>
    <xf numFmtId="0" fontId="23" fillId="24" borderId="16" xfId="0" applyFont="1" applyFill="1" applyBorder="1"/>
    <xf numFmtId="0" fontId="27" fillId="24" borderId="15" xfId="0" applyFont="1" applyFill="1" applyBorder="1" applyAlignment="1">
      <alignment horizontal="center" wrapText="1"/>
    </xf>
    <xf numFmtId="2" fontId="42" fillId="0" borderId="11" xfId="50" applyNumberFormat="1" applyFont="1" applyFill="1" applyBorder="1" applyAlignment="1">
      <alignment vertical="center"/>
    </xf>
    <xf numFmtId="165" fontId="27" fillId="24" borderId="17" xfId="0" applyNumberFormat="1" applyFont="1" applyFill="1" applyBorder="1" applyAlignment="1">
      <alignment horizontal="left"/>
    </xf>
    <xf numFmtId="0" fontId="27" fillId="24" borderId="14" xfId="0" applyFont="1" applyFill="1" applyBorder="1" applyAlignment="1">
      <alignment horizontal="left"/>
    </xf>
    <xf numFmtId="165" fontId="27" fillId="24" borderId="10" xfId="0" applyNumberFormat="1" applyFont="1" applyFill="1" applyBorder="1" applyAlignment="1">
      <alignment horizontal="left"/>
    </xf>
    <xf numFmtId="0" fontId="27" fillId="24" borderId="62" xfId="0" applyFont="1" applyFill="1" applyBorder="1" applyAlignment="1" applyProtection="1">
      <alignment horizontal="left" vertical="center"/>
      <protection locked="0"/>
    </xf>
    <xf numFmtId="165" fontId="27" fillId="24" borderId="60" xfId="28" applyFont="1" applyFill="1" applyBorder="1" applyAlignment="1" applyProtection="1">
      <alignment horizontal="center" vertical="center"/>
      <protection locked="0"/>
    </xf>
    <xf numFmtId="165" fontId="27" fillId="24" borderId="62" xfId="28" applyFont="1" applyFill="1" applyBorder="1" applyAlignment="1" applyProtection="1">
      <alignment horizontal="center" vertical="center"/>
      <protection locked="0"/>
    </xf>
    <xf numFmtId="165" fontId="27" fillId="24" borderId="42" xfId="28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protection locked="0"/>
    </xf>
    <xf numFmtId="165" fontId="27" fillId="24" borderId="43" xfId="28" applyFont="1" applyFill="1" applyBorder="1" applyAlignment="1" applyProtection="1">
      <alignment horizontal="center"/>
      <protection locked="0"/>
    </xf>
    <xf numFmtId="165" fontId="27" fillId="24" borderId="54" xfId="50" applyNumberFormat="1" applyFont="1" applyFill="1" applyBorder="1" applyAlignment="1" applyProtection="1">
      <alignment horizontal="center" vertical="center"/>
      <protection locked="0"/>
    </xf>
    <xf numFmtId="165" fontId="27" fillId="24" borderId="64" xfId="50" applyNumberFormat="1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alignment horizontal="center" vertical="center"/>
      <protection locked="0"/>
    </xf>
    <xf numFmtId="165" fontId="27" fillId="24" borderId="0" xfId="28" applyFont="1" applyFill="1" applyBorder="1" applyAlignment="1" applyProtection="1">
      <alignment horizontal="center" vertical="center"/>
      <protection locked="0"/>
    </xf>
    <xf numFmtId="165" fontId="23" fillId="24" borderId="43" xfId="28" applyFont="1" applyFill="1" applyBorder="1" applyProtection="1">
      <protection locked="0"/>
    </xf>
    <xf numFmtId="165" fontId="27" fillId="24" borderId="10" xfId="28" applyFont="1" applyFill="1" applyBorder="1" applyAlignment="1" applyProtection="1">
      <alignment horizontal="center"/>
      <protection locked="0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165" fontId="27" fillId="24" borderId="27" xfId="28" applyFont="1" applyFill="1" applyBorder="1" applyAlignment="1" applyProtection="1">
      <alignment horizontal="center"/>
      <protection locked="0"/>
    </xf>
    <xf numFmtId="0" fontId="27" fillId="24" borderId="14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46" fillId="24" borderId="14" xfId="0" quotePrefix="1" applyFont="1" applyFill="1" applyBorder="1" applyAlignment="1" applyProtection="1">
      <alignment wrapText="1"/>
      <protection locked="0"/>
    </xf>
    <xf numFmtId="2" fontId="27" fillId="24" borderId="0" xfId="0" applyNumberFormat="1" applyFont="1" applyFill="1" applyAlignment="1" applyProtection="1">
      <alignment horizontal="right"/>
      <protection locked="0"/>
    </xf>
    <xf numFmtId="165" fontId="27" fillId="24" borderId="12" xfId="28" applyFont="1" applyFill="1" applyBorder="1" applyAlignment="1" applyProtection="1">
      <alignment horizontal="center"/>
      <protection locked="0"/>
    </xf>
    <xf numFmtId="0" fontId="27" fillId="24" borderId="11" xfId="0" applyFont="1" applyFill="1" applyBorder="1" applyAlignment="1" applyProtection="1">
      <alignment horizontal="center"/>
      <protection locked="0"/>
    </xf>
    <xf numFmtId="165" fontId="27" fillId="24" borderId="2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right"/>
      <protection locked="0"/>
    </xf>
    <xf numFmtId="165" fontId="27" fillId="24" borderId="23" xfId="0" applyNumberFormat="1" applyFont="1" applyFill="1" applyBorder="1" applyAlignment="1" applyProtection="1">
      <alignment horizontal="left"/>
      <protection locked="0"/>
    </xf>
    <xf numFmtId="165" fontId="27" fillId="24" borderId="63" xfId="0" applyNumberFormat="1" applyFont="1" applyFill="1" applyBorder="1" applyAlignment="1" applyProtection="1">
      <alignment horizontal="left"/>
      <protection locked="0"/>
    </xf>
    <xf numFmtId="165" fontId="27" fillId="24" borderId="14" xfId="0" applyNumberFormat="1" applyFont="1" applyFill="1" applyBorder="1" applyAlignment="1" applyProtection="1">
      <alignment horizontal="left"/>
      <protection locked="0"/>
    </xf>
    <xf numFmtId="165" fontId="27" fillId="24" borderId="54" xfId="28" applyFont="1" applyFill="1" applyBorder="1" applyAlignment="1" applyProtection="1">
      <alignment horizontal="center"/>
      <protection locked="0"/>
    </xf>
    <xf numFmtId="165" fontId="27" fillId="24" borderId="11" xfId="28" applyFont="1" applyFill="1" applyBorder="1" applyAlignment="1" applyProtection="1">
      <alignment horizontal="center"/>
      <protection locked="0"/>
    </xf>
    <xf numFmtId="49" fontId="27" fillId="0" borderId="11" xfId="28" applyNumberFormat="1" applyFont="1" applyFill="1" applyBorder="1" applyAlignment="1" applyProtection="1">
      <alignment horizontal="center"/>
      <protection locked="0"/>
    </xf>
    <xf numFmtId="168" fontId="39" fillId="0" borderId="11" xfId="0" applyNumberFormat="1" applyFont="1" applyBorder="1" applyAlignment="1">
      <alignment horizontal="center"/>
    </xf>
    <xf numFmtId="177" fontId="42" fillId="0" borderId="17" xfId="29" applyNumberFormat="1" applyFont="1" applyBorder="1" applyAlignment="1">
      <alignment vertical="center"/>
    </xf>
    <xf numFmtId="177" fontId="42" fillId="0" borderId="17" xfId="29" applyNumberFormat="1" applyFont="1" applyFill="1" applyBorder="1" applyAlignment="1">
      <alignment vertical="center"/>
    </xf>
    <xf numFmtId="0" fontId="27" fillId="24" borderId="10" xfId="0" applyFont="1" applyFill="1" applyBorder="1" applyAlignment="1" applyProtection="1">
      <alignment horizontal="left"/>
      <protection locked="0"/>
    </xf>
    <xf numFmtId="0" fontId="27" fillId="24" borderId="25" xfId="0" applyFont="1" applyFill="1" applyBorder="1" applyAlignment="1" applyProtection="1">
      <alignment horizontal="left"/>
      <protection locked="0"/>
    </xf>
    <xf numFmtId="0" fontId="27" fillId="24" borderId="57" xfId="0" applyFont="1" applyFill="1" applyBorder="1" applyAlignment="1" applyProtection="1">
      <alignment horizontal="left"/>
      <protection locked="0"/>
    </xf>
    <xf numFmtId="165" fontId="34" fillId="0" borderId="0" xfId="28" applyFont="1" applyBorder="1" applyAlignment="1" applyProtection="1">
      <alignment horizontal="center"/>
    </xf>
    <xf numFmtId="0" fontId="29" fillId="0" borderId="0" xfId="0" applyFont="1"/>
    <xf numFmtId="0" fontId="0" fillId="0" borderId="65" xfId="0" applyBorder="1"/>
    <xf numFmtId="165" fontId="0" fillId="0" borderId="65" xfId="0" applyNumberFormat="1" applyBorder="1"/>
    <xf numFmtId="0" fontId="50" fillId="0" borderId="0" xfId="41" applyFont="1"/>
    <xf numFmtId="0" fontId="51" fillId="0" borderId="0" xfId="41" applyFont="1"/>
    <xf numFmtId="0" fontId="51" fillId="0" borderId="0" xfId="41" applyFont="1" applyAlignment="1">
      <alignment horizontal="center"/>
    </xf>
    <xf numFmtId="2" fontId="51" fillId="0" borderId="0" xfId="41" applyNumberFormat="1" applyFont="1" applyAlignment="1">
      <alignment horizontal="center"/>
    </xf>
    <xf numFmtId="0" fontId="47" fillId="0" borderId="0" xfId="41"/>
    <xf numFmtId="0" fontId="47" fillId="0" borderId="0" xfId="41" applyAlignment="1">
      <alignment horizontal="center"/>
    </xf>
    <xf numFmtId="2" fontId="47" fillId="0" borderId="0" xfId="41" applyNumberFormat="1" applyAlignment="1">
      <alignment horizontal="center"/>
    </xf>
    <xf numFmtId="2" fontId="47" fillId="0" borderId="0" xfId="41" applyNumberFormat="1"/>
    <xf numFmtId="0" fontId="52" fillId="0" borderId="0" xfId="41" applyFont="1"/>
    <xf numFmtId="16" fontId="47" fillId="0" borderId="10" xfId="41" applyNumberFormat="1" applyBorder="1"/>
    <xf numFmtId="0" fontId="47" fillId="0" borderId="11" xfId="41" applyBorder="1"/>
    <xf numFmtId="2" fontId="47" fillId="0" borderId="11" xfId="41" applyNumberFormat="1" applyBorder="1" applyAlignment="1">
      <alignment horizontal="center"/>
    </xf>
    <xf numFmtId="165" fontId="47" fillId="11" borderId="11" xfId="28" applyFont="1" applyFill="1" applyBorder="1" applyAlignment="1" applyProtection="1">
      <alignment horizontal="center"/>
    </xf>
    <xf numFmtId="0" fontId="53" fillId="0" borderId="0" xfId="41" applyFont="1"/>
    <xf numFmtId="165" fontId="53" fillId="0" borderId="23" xfId="28" applyFont="1" applyBorder="1" applyProtection="1"/>
    <xf numFmtId="0" fontId="47" fillId="0" borderId="0" xfId="42" applyAlignment="1">
      <alignment horizontal="center"/>
    </xf>
    <xf numFmtId="39" fontId="47" fillId="0" borderId="0" xfId="42" quotePrefix="1" applyNumberFormat="1" applyAlignment="1">
      <alignment horizontal="left"/>
    </xf>
    <xf numFmtId="0" fontId="47" fillId="0" borderId="0" xfId="41" quotePrefix="1"/>
    <xf numFmtId="39" fontId="47" fillId="0" borderId="0" xfId="42" applyNumberFormat="1"/>
    <xf numFmtId="39" fontId="47" fillId="0" borderId="0" xfId="42" quotePrefix="1" applyNumberFormat="1"/>
    <xf numFmtId="169" fontId="30" fillId="0" borderId="0" xfId="0" applyNumberFormat="1" applyFont="1"/>
    <xf numFmtId="0" fontId="31" fillId="0" borderId="0" xfId="0" applyFont="1" applyAlignment="1">
      <alignment horizontal="center"/>
    </xf>
    <xf numFmtId="0" fontId="31" fillId="0" borderId="0" xfId="0" applyFont="1"/>
    <xf numFmtId="170" fontId="31" fillId="0" borderId="0" xfId="0" applyNumberFormat="1" applyFont="1"/>
    <xf numFmtId="4" fontId="31" fillId="0" borderId="0" xfId="0" applyNumberFormat="1" applyFont="1"/>
    <xf numFmtId="168" fontId="31" fillId="0" borderId="0" xfId="0" applyNumberFormat="1" applyFont="1"/>
    <xf numFmtId="2" fontId="31" fillId="0" borderId="0" xfId="0" applyNumberFormat="1" applyFont="1"/>
    <xf numFmtId="170" fontId="31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168" fontId="31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170" fontId="33" fillId="0" borderId="0" xfId="0" applyNumberFormat="1" applyFont="1" applyAlignment="1">
      <alignment horizontal="center"/>
    </xf>
    <xf numFmtId="168" fontId="33" fillId="0" borderId="0" xfId="0" applyNumberFormat="1" applyFont="1" applyAlignment="1">
      <alignment horizontal="center"/>
    </xf>
    <xf numFmtId="171" fontId="36" fillId="0" borderId="0" xfId="28" applyNumberFormat="1" applyFont="1" applyBorder="1" applyAlignment="1" applyProtection="1">
      <alignment horizontal="right"/>
    </xf>
    <xf numFmtId="0" fontId="31" fillId="0" borderId="11" xfId="0" applyFont="1" applyBorder="1" applyAlignment="1">
      <alignment horizontal="center"/>
    </xf>
    <xf numFmtId="169" fontId="35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3" fontId="31" fillId="0" borderId="17" xfId="28" applyNumberFormat="1" applyFont="1" applyBorder="1" applyProtection="1"/>
    <xf numFmtId="167" fontId="31" fillId="0" borderId="17" xfId="28" applyNumberFormat="1" applyFont="1" applyBorder="1" applyProtection="1"/>
    <xf numFmtId="171" fontId="31" fillId="0" borderId="17" xfId="28" applyNumberFormat="1" applyFont="1" applyBorder="1" applyProtection="1"/>
    <xf numFmtId="173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1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8" fillId="0" borderId="11" xfId="28" applyNumberFormat="1" applyFont="1" applyBorder="1" applyProtection="1"/>
    <xf numFmtId="175" fontId="0" fillId="0" borderId="11" xfId="0" applyNumberFormat="1" applyBorder="1"/>
    <xf numFmtId="171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8" fillId="0" borderId="11" xfId="0" applyNumberFormat="1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165" fontId="28" fillId="0" borderId="11" xfId="28" applyFont="1" applyBorder="1" applyProtection="1"/>
    <xf numFmtId="173" fontId="28" fillId="0" borderId="17" xfId="28" applyNumberFormat="1" applyFont="1" applyBorder="1" applyProtection="1"/>
    <xf numFmtId="0" fontId="28" fillId="0" borderId="11" xfId="0" applyFont="1" applyBorder="1"/>
    <xf numFmtId="171" fontId="28" fillId="0" borderId="11" xfId="28" applyNumberFormat="1" applyFont="1" applyBorder="1" applyProtection="1"/>
    <xf numFmtId="38" fontId="28" fillId="0" borderId="11" xfId="28" applyNumberFormat="1" applyFont="1" applyBorder="1" applyProtection="1"/>
    <xf numFmtId="165" fontId="28" fillId="0" borderId="17" xfId="28" applyFont="1" applyBorder="1" applyProtection="1"/>
    <xf numFmtId="176" fontId="0" fillId="0" borderId="0" xfId="0" applyNumberFormat="1"/>
    <xf numFmtId="173" fontId="31" fillId="0" borderId="0" xfId="28" applyNumberFormat="1" applyFont="1" applyBorder="1" applyProtection="1"/>
    <xf numFmtId="173" fontId="0" fillId="0" borderId="0" xfId="0" applyNumberFormat="1"/>
    <xf numFmtId="165" fontId="23" fillId="24" borderId="0" xfId="28" applyFont="1" applyFill="1" applyBorder="1" applyProtection="1">
      <protection locked="0"/>
    </xf>
    <xf numFmtId="0" fontId="23" fillId="24" borderId="0" xfId="0" applyFont="1" applyFill="1" applyProtection="1">
      <protection locked="0"/>
    </xf>
    <xf numFmtId="165" fontId="23" fillId="24" borderId="0" xfId="0" applyNumberFormat="1" applyFont="1" applyFill="1" applyProtection="1">
      <protection locked="0"/>
    </xf>
    <xf numFmtId="0" fontId="27" fillId="24" borderId="0" xfId="0" applyFont="1" applyFill="1" applyProtection="1">
      <protection locked="0"/>
    </xf>
    <xf numFmtId="165" fontId="46" fillId="24" borderId="10" xfId="0" applyNumberFormat="1" applyFont="1" applyFill="1" applyBorder="1" applyAlignment="1">
      <alignment horizontal="left"/>
    </xf>
    <xf numFmtId="16" fontId="23" fillId="24" borderId="0" xfId="28" applyNumberFormat="1" applyFont="1" applyFill="1" applyBorder="1" applyProtection="1">
      <protection locked="0"/>
    </xf>
    <xf numFmtId="172" fontId="47" fillId="0" borderId="67" xfId="0" applyNumberFormat="1" applyFont="1" applyBorder="1"/>
    <xf numFmtId="164" fontId="42" fillId="0" borderId="11" xfId="29" applyFont="1" applyFill="1" applyBorder="1"/>
    <xf numFmtId="164" fontId="42" fillId="0" borderId="0" xfId="29" applyFont="1" applyFill="1"/>
    <xf numFmtId="164" fontId="43" fillId="25" borderId="11" xfId="29" applyFont="1" applyFill="1" applyBorder="1" applyAlignment="1">
      <alignment vertical="center"/>
    </xf>
    <xf numFmtId="177" fontId="43" fillId="0" borderId="0" xfId="29" applyNumberFormat="1" applyFont="1" applyFill="1" applyBorder="1" applyAlignment="1">
      <alignment vertical="center"/>
    </xf>
    <xf numFmtId="177" fontId="27" fillId="24" borderId="21" xfId="29" applyNumberFormat="1" applyFont="1" applyFill="1" applyBorder="1" applyAlignment="1" applyProtection="1">
      <alignment horizontal="right" vertical="center"/>
    </xf>
    <xf numFmtId="177" fontId="27" fillId="24" borderId="17" xfId="29" applyNumberFormat="1" applyFont="1" applyFill="1" applyBorder="1" applyAlignment="1" applyProtection="1">
      <alignment horizontal="right" vertical="center"/>
    </xf>
    <xf numFmtId="177" fontId="27" fillId="0" borderId="11" xfId="29" applyNumberFormat="1" applyFont="1" applyFill="1" applyBorder="1" applyAlignment="1" applyProtection="1">
      <alignment horizontal="right"/>
    </xf>
    <xf numFmtId="177" fontId="27" fillId="24" borderId="11" xfId="29" applyNumberFormat="1" applyFont="1" applyFill="1" applyBorder="1" applyAlignment="1" applyProtection="1">
      <alignment horizontal="right" vertical="center"/>
    </xf>
    <xf numFmtId="177" fontId="23" fillId="20" borderId="11" xfId="29" applyNumberFormat="1" applyFont="1" applyFill="1" applyBorder="1" applyAlignment="1" applyProtection="1">
      <alignment horizontal="right"/>
    </xf>
    <xf numFmtId="177" fontId="27" fillId="24" borderId="11" xfId="29" applyNumberFormat="1" applyFont="1" applyFill="1" applyBorder="1" applyAlignment="1" applyProtection="1">
      <alignment horizontal="right"/>
    </xf>
    <xf numFmtId="177" fontId="27" fillId="24" borderId="14" xfId="29" applyNumberFormat="1" applyFont="1" applyFill="1" applyBorder="1" applyAlignment="1" applyProtection="1">
      <alignment horizontal="right"/>
    </xf>
    <xf numFmtId="177" fontId="27" fillId="24" borderId="23" xfId="29" applyNumberFormat="1" applyFont="1" applyFill="1" applyBorder="1" applyAlignment="1" applyProtection="1">
      <alignment horizontal="right"/>
    </xf>
    <xf numFmtId="10" fontId="42" fillId="0" borderId="0" xfId="50" applyNumberFormat="1" applyFont="1" applyFill="1" applyBorder="1"/>
    <xf numFmtId="10" fontId="43" fillId="0" borderId="11" xfId="50" applyNumberFormat="1" applyFont="1" applyFill="1" applyBorder="1"/>
    <xf numFmtId="10" fontId="42" fillId="0" borderId="0" xfId="50" applyNumberFormat="1" applyFont="1" applyFill="1" applyBorder="1" applyAlignment="1">
      <alignment vertical="center"/>
    </xf>
    <xf numFmtId="10" fontId="43" fillId="27" borderId="0" xfId="50" applyNumberFormat="1" applyFont="1" applyFill="1" applyBorder="1"/>
    <xf numFmtId="10" fontId="43" fillId="0" borderId="11" xfId="50" applyNumberFormat="1" applyFont="1" applyFill="1" applyBorder="1" applyAlignment="1">
      <alignment vertical="center"/>
    </xf>
    <xf numFmtId="0" fontId="42" fillId="28" borderId="0" xfId="0" applyFont="1" applyFill="1"/>
    <xf numFmtId="0" fontId="49" fillId="28" borderId="0" xfId="0" applyFont="1" applyFill="1"/>
    <xf numFmtId="177" fontId="42" fillId="28" borderId="0" xfId="29" applyNumberFormat="1" applyFont="1" applyFill="1" applyBorder="1" applyAlignment="1">
      <alignment vertical="center"/>
    </xf>
    <xf numFmtId="0" fontId="42" fillId="28" borderId="0" xfId="0" applyFont="1" applyFill="1" applyAlignment="1">
      <alignment horizontal="right"/>
    </xf>
    <xf numFmtId="166" fontId="42" fillId="28" borderId="0" xfId="0" applyNumberFormat="1" applyFont="1" applyFill="1" applyAlignment="1">
      <alignment horizontal="right"/>
    </xf>
    <xf numFmtId="166" fontId="42" fillId="28" borderId="0" xfId="0" applyNumberFormat="1" applyFont="1" applyFill="1"/>
    <xf numFmtId="10" fontId="42" fillId="28" borderId="0" xfId="0" applyNumberFormat="1" applyFont="1" applyFill="1"/>
    <xf numFmtId="10" fontId="42" fillId="28" borderId="0" xfId="0" applyNumberFormat="1" applyFont="1" applyFill="1" applyAlignment="1">
      <alignment horizontal="right"/>
    </xf>
    <xf numFmtId="165" fontId="43" fillId="28" borderId="0" xfId="0" applyNumberFormat="1" applyFont="1" applyFill="1" applyAlignment="1">
      <alignment horizontal="right"/>
    </xf>
    <xf numFmtId="166" fontId="43" fillId="28" borderId="0" xfId="50" applyNumberFormat="1" applyFont="1" applyFill="1" applyBorder="1" applyAlignment="1">
      <alignment vertical="center"/>
    </xf>
    <xf numFmtId="177" fontId="43" fillId="25" borderId="13" xfId="29" applyNumberFormat="1" applyFont="1" applyFill="1" applyBorder="1" applyAlignment="1">
      <alignment vertical="center"/>
    </xf>
    <xf numFmtId="177" fontId="43" fillId="25" borderId="19" xfId="29" applyNumberFormat="1" applyFont="1" applyFill="1" applyBorder="1" applyAlignment="1">
      <alignment vertical="center"/>
    </xf>
    <xf numFmtId="166" fontId="43" fillId="25" borderId="19" xfId="50" applyNumberFormat="1" applyFont="1" applyFill="1" applyBorder="1" applyAlignment="1">
      <alignment vertical="center"/>
    </xf>
    <xf numFmtId="165" fontId="43" fillId="0" borderId="17" xfId="0" applyNumberFormat="1" applyFont="1" applyBorder="1" applyAlignment="1">
      <alignment horizontal="right"/>
    </xf>
    <xf numFmtId="0" fontId="42" fillId="0" borderId="17" xfId="0" applyFont="1" applyBorder="1"/>
    <xf numFmtId="177" fontId="43" fillId="4" borderId="11" xfId="29" applyNumberFormat="1" applyFont="1" applyFill="1" applyBorder="1" applyAlignment="1">
      <alignment horizontal="center"/>
    </xf>
    <xf numFmtId="167" fontId="33" fillId="30" borderId="11" xfId="28" applyNumberFormat="1" applyFont="1" applyFill="1" applyBorder="1" applyAlignment="1" applyProtection="1">
      <alignment horizontal="center"/>
    </xf>
    <xf numFmtId="168" fontId="37" fillId="30" borderId="13" xfId="0" applyNumberFormat="1" applyFont="1" applyFill="1" applyBorder="1" applyAlignment="1">
      <alignment horizontal="center" vertical="center" wrapText="1"/>
    </xf>
    <xf numFmtId="167" fontId="33" fillId="31" borderId="11" xfId="28" applyNumberFormat="1" applyFont="1" applyFill="1" applyBorder="1" applyAlignment="1" applyProtection="1">
      <alignment horizontal="center"/>
    </xf>
    <xf numFmtId="168" fontId="37" fillId="31" borderId="13" xfId="0" applyNumberFormat="1" applyFont="1" applyFill="1" applyBorder="1" applyAlignment="1">
      <alignment horizontal="center" vertical="center" wrapText="1"/>
    </xf>
    <xf numFmtId="167" fontId="33" fillId="32" borderId="13" xfId="28" applyNumberFormat="1" applyFont="1" applyFill="1" applyBorder="1" applyAlignment="1" applyProtection="1">
      <alignment horizontal="center"/>
    </xf>
    <xf numFmtId="168" fontId="37" fillId="32" borderId="13" xfId="0" applyNumberFormat="1" applyFont="1" applyFill="1" applyBorder="1" applyAlignment="1">
      <alignment horizontal="center" vertical="center" wrapText="1"/>
    </xf>
    <xf numFmtId="167" fontId="33" fillId="33" borderId="11" xfId="28" applyNumberFormat="1" applyFont="1" applyFill="1" applyBorder="1" applyAlignment="1" applyProtection="1">
      <alignment horizontal="center"/>
    </xf>
    <xf numFmtId="168" fontId="37" fillId="33" borderId="13" xfId="0" applyNumberFormat="1" applyFont="1" applyFill="1" applyBorder="1" applyAlignment="1">
      <alignment horizontal="center" vertical="center" wrapText="1"/>
    </xf>
    <xf numFmtId="167" fontId="33" fillId="34" borderId="11" xfId="28" applyNumberFormat="1" applyFont="1" applyFill="1" applyBorder="1" applyAlignment="1" applyProtection="1">
      <alignment horizontal="center"/>
    </xf>
    <xf numFmtId="167" fontId="33" fillId="35" borderId="11" xfId="28" applyNumberFormat="1" applyFont="1" applyFill="1" applyBorder="1" applyAlignment="1" applyProtection="1">
      <alignment horizontal="center"/>
    </xf>
    <xf numFmtId="168" fontId="37" fillId="35" borderId="13" xfId="0" applyNumberFormat="1" applyFont="1" applyFill="1" applyBorder="1" applyAlignment="1">
      <alignment horizontal="center" vertical="center" wrapText="1"/>
    </xf>
    <xf numFmtId="167" fontId="33" fillId="36" borderId="11" xfId="28" applyNumberFormat="1" applyFont="1" applyFill="1" applyBorder="1" applyAlignment="1" applyProtection="1">
      <alignment horizontal="center"/>
    </xf>
    <xf numFmtId="167" fontId="33" fillId="27" borderId="11" xfId="28" applyNumberFormat="1" applyFont="1" applyFill="1" applyBorder="1" applyAlignment="1" applyProtection="1">
      <alignment horizontal="center"/>
    </xf>
    <xf numFmtId="167" fontId="33" fillId="37" borderId="11" xfId="28" applyNumberFormat="1" applyFont="1" applyFill="1" applyBorder="1" applyAlignment="1" applyProtection="1">
      <alignment horizontal="center"/>
    </xf>
    <xf numFmtId="167" fontId="33" fillId="27" borderId="17" xfId="28" applyNumberFormat="1" applyFont="1" applyFill="1" applyBorder="1" applyAlignment="1" applyProtection="1">
      <alignment horizontal="center"/>
    </xf>
    <xf numFmtId="0" fontId="28" fillId="27" borderId="11" xfId="0" applyFont="1" applyFill="1" applyBorder="1"/>
    <xf numFmtId="172" fontId="45" fillId="0" borderId="55" xfId="0" applyNumberFormat="1" applyFont="1" applyBorder="1" applyAlignment="1">
      <alignment horizontal="center" vertical="center"/>
    </xf>
    <xf numFmtId="0" fontId="28" fillId="0" borderId="11" xfId="28" applyNumberFormat="1" applyFont="1" applyBorder="1" applyProtection="1"/>
    <xf numFmtId="0" fontId="45" fillId="0" borderId="0" xfId="0" applyFont="1"/>
    <xf numFmtId="177" fontId="54" fillId="0" borderId="0" xfId="29" applyNumberFormat="1" applyFont="1" applyProtection="1"/>
    <xf numFmtId="9" fontId="0" fillId="0" borderId="0" xfId="50" applyFont="1" applyProtection="1"/>
    <xf numFmtId="10" fontId="42" fillId="0" borderId="11" xfId="50" applyNumberFormat="1" applyFont="1" applyFill="1" applyBorder="1" applyAlignment="1">
      <alignment vertical="center"/>
    </xf>
    <xf numFmtId="16" fontId="47" fillId="0" borderId="11" xfId="41" applyNumberFormat="1" applyBorder="1"/>
    <xf numFmtId="0" fontId="0" fillId="0" borderId="17" xfId="28" applyNumberFormat="1" applyFont="1" applyBorder="1" applyProtection="1"/>
    <xf numFmtId="2" fontId="39" fillId="0" borderId="11" xfId="45" applyNumberFormat="1" applyFont="1" applyBorder="1" applyAlignment="1">
      <alignment horizontal="center"/>
    </xf>
    <xf numFmtId="2" fontId="42" fillId="0" borderId="0" xfId="0" applyNumberFormat="1" applyFont="1"/>
    <xf numFmtId="0" fontId="0" fillId="0" borderId="11" xfId="0" applyBorder="1" applyAlignment="1" applyProtection="1">
      <alignment horizontal="center" vertical="center"/>
      <protection locked="0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5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8" fillId="0" borderId="66" xfId="0" applyNumberFormat="1" applyFont="1" applyBorder="1" applyAlignment="1">
      <alignment vertical="center"/>
    </xf>
    <xf numFmtId="0" fontId="28" fillId="0" borderId="66" xfId="0" applyFont="1" applyBorder="1" applyAlignment="1">
      <alignment horizontal="center" vertical="center"/>
    </xf>
    <xf numFmtId="4" fontId="28" fillId="0" borderId="66" xfId="0" applyNumberFormat="1" applyFont="1" applyBorder="1" applyAlignment="1">
      <alignment vertical="center"/>
    </xf>
    <xf numFmtId="170" fontId="28" fillId="0" borderId="66" xfId="0" applyNumberFormat="1" applyFont="1" applyBorder="1" applyAlignment="1">
      <alignment vertical="center"/>
    </xf>
    <xf numFmtId="168" fontId="28" fillId="0" borderId="66" xfId="0" applyNumberFormat="1" applyFont="1" applyBorder="1" applyAlignment="1">
      <alignment vertical="center"/>
    </xf>
    <xf numFmtId="2" fontId="28" fillId="0" borderId="66" xfId="0" applyNumberFormat="1" applyFont="1" applyBorder="1" applyAlignment="1">
      <alignment vertical="center" wrapText="1"/>
    </xf>
    <xf numFmtId="4" fontId="28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8" fillId="0" borderId="66" xfId="50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5" fillId="0" borderId="11" xfId="50" applyNumberFormat="1" applyFont="1" applyFill="1" applyBorder="1" applyAlignment="1" applyProtection="1">
      <alignment horizontal="center" vertical="center"/>
      <protection locked="0"/>
    </xf>
    <xf numFmtId="10" fontId="45" fillId="27" borderId="11" xfId="50" applyNumberFormat="1" applyFont="1" applyFill="1" applyBorder="1" applyAlignment="1" applyProtection="1">
      <alignment horizontal="center" vertical="center"/>
      <protection locked="0"/>
    </xf>
    <xf numFmtId="2" fontId="39" fillId="0" borderId="11" xfId="44" applyNumberFormat="1" applyFont="1" applyBorder="1" applyAlignment="1">
      <alignment horizontal="center"/>
    </xf>
    <xf numFmtId="165" fontId="43" fillId="33" borderId="11" xfId="29" applyNumberFormat="1" applyFont="1" applyFill="1" applyBorder="1" applyAlignment="1">
      <alignment vertical="center"/>
    </xf>
    <xf numFmtId="0" fontId="45" fillId="0" borderId="11" xfId="0" applyFont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horizontal="center" vertical="center" wrapText="1"/>
    </xf>
    <xf numFmtId="10" fontId="45" fillId="27" borderId="62" xfId="50" applyNumberFormat="1" applyFont="1" applyFill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vertical="center" wrapText="1"/>
    </xf>
    <xf numFmtId="0" fontId="39" fillId="0" borderId="11" xfId="55" applyFont="1" applyBorder="1" applyAlignment="1">
      <alignment horizontal="left"/>
    </xf>
    <xf numFmtId="0" fontId="45" fillId="0" borderId="11" xfId="0" applyFont="1" applyBorder="1"/>
    <xf numFmtId="0" fontId="39" fillId="0" borderId="19" xfId="55" applyFont="1" applyBorder="1" applyAlignment="1">
      <alignment horizontal="left"/>
    </xf>
    <xf numFmtId="0" fontId="31" fillId="0" borderId="11" xfId="55" applyFont="1" applyBorder="1" applyAlignment="1">
      <alignment horizontal="left"/>
    </xf>
    <xf numFmtId="0" fontId="55" fillId="0" borderId="0" xfId="0" applyFont="1"/>
    <xf numFmtId="0" fontId="27" fillId="24" borderId="14" xfId="0" quotePrefix="1" applyFont="1" applyFill="1" applyBorder="1" applyAlignment="1" applyProtection="1">
      <alignment wrapText="1"/>
      <protection locked="0"/>
    </xf>
    <xf numFmtId="177" fontId="43" fillId="0" borderId="17" xfId="29" applyNumberFormat="1" applyFont="1" applyFill="1" applyBorder="1" applyAlignment="1">
      <alignment vertical="center" wrapText="1"/>
    </xf>
    <xf numFmtId="0" fontId="55" fillId="0" borderId="0" xfId="56" applyFont="1"/>
    <xf numFmtId="14" fontId="55" fillId="27" borderId="0" xfId="56" applyNumberFormat="1" applyFont="1" applyFill="1" applyAlignment="1">
      <alignment horizontal="center" vertical="center"/>
    </xf>
    <xf numFmtId="2" fontId="55" fillId="27" borderId="0" xfId="56" applyNumberFormat="1" applyFont="1" applyFill="1" applyAlignment="1">
      <alignment horizontal="center" vertical="center" wrapText="1"/>
    </xf>
    <xf numFmtId="0" fontId="55" fillId="27" borderId="0" xfId="56" applyFont="1" applyFill="1" applyAlignment="1">
      <alignment horizontal="center" vertical="center"/>
    </xf>
    <xf numFmtId="0" fontId="45" fillId="0" borderId="0" xfId="56"/>
    <xf numFmtId="0" fontId="55" fillId="27" borderId="11" xfId="56" applyFont="1" applyFill="1" applyBorder="1" applyAlignment="1">
      <alignment horizontal="center" vertical="center"/>
    </xf>
    <xf numFmtId="0" fontId="55" fillId="27" borderId="11" xfId="56" applyFont="1" applyFill="1" applyBorder="1" applyAlignment="1">
      <alignment horizontal="center" vertical="center" wrapText="1"/>
    </xf>
    <xf numFmtId="2" fontId="45" fillId="0" borderId="0" xfId="56" applyNumberFormat="1"/>
    <xf numFmtId="0" fontId="45" fillId="0" borderId="0" xfId="56" quotePrefix="1"/>
    <xf numFmtId="0" fontId="45" fillId="0" borderId="11" xfId="56" applyBorder="1"/>
    <xf numFmtId="2" fontId="45" fillId="0" borderId="11" xfId="56" applyNumberFormat="1" applyBorder="1" applyAlignment="1">
      <alignment horizontal="center"/>
    </xf>
    <xf numFmtId="10" fontId="0" fillId="0" borderId="11" xfId="50" applyNumberFormat="1" applyFont="1" applyBorder="1" applyAlignment="1">
      <alignment horizontal="center"/>
    </xf>
    <xf numFmtId="2" fontId="45" fillId="0" borderId="0" xfId="56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45" fillId="27" borderId="11" xfId="56" applyFill="1" applyBorder="1"/>
    <xf numFmtId="2" fontId="45" fillId="0" borderId="11" xfId="56" applyNumberFormat="1" applyBorder="1"/>
    <xf numFmtId="10" fontId="0" fillId="0" borderId="11" xfId="50" applyNumberFormat="1" applyFont="1" applyBorder="1"/>
    <xf numFmtId="14" fontId="45" fillId="0" borderId="0" xfId="56" applyNumberFormat="1" applyAlignment="1">
      <alignment horizontal="center"/>
    </xf>
    <xf numFmtId="9" fontId="55" fillId="27" borderId="11" xfId="50" applyFont="1" applyFill="1" applyBorder="1" applyAlignment="1">
      <alignment horizontal="center" vertical="center" wrapText="1"/>
    </xf>
    <xf numFmtId="2" fontId="55" fillId="38" borderId="11" xfId="0" applyNumberFormat="1" applyFont="1" applyFill="1" applyBorder="1" applyAlignment="1">
      <alignment horizontal="center"/>
    </xf>
    <xf numFmtId="10" fontId="55" fillId="38" borderId="11" xfId="50" applyNumberFormat="1" applyFont="1" applyFill="1" applyBorder="1" applyAlignment="1">
      <alignment horizontal="center"/>
    </xf>
    <xf numFmtId="0" fontId="28" fillId="38" borderId="11" xfId="0" applyFont="1" applyFill="1" applyBorder="1"/>
    <xf numFmtId="0" fontId="39" fillId="39" borderId="11" xfId="55" applyFont="1" applyFill="1" applyBorder="1" applyAlignment="1">
      <alignment horizontal="left"/>
    </xf>
    <xf numFmtId="0" fontId="0" fillId="40" borderId="11" xfId="0" applyFill="1" applyBorder="1"/>
    <xf numFmtId="0" fontId="45" fillId="40" borderId="11" xfId="0" applyFont="1" applyFill="1" applyBorder="1"/>
    <xf numFmtId="10" fontId="0" fillId="39" borderId="17" xfId="50" applyNumberFormat="1" applyFont="1" applyFill="1" applyBorder="1"/>
    <xf numFmtId="10" fontId="0" fillId="0" borderId="17" xfId="50" applyNumberFormat="1" applyFont="1" applyBorder="1"/>
    <xf numFmtId="0" fontId="59" fillId="0" borderId="11" xfId="55" applyFont="1" applyBorder="1" applyAlignment="1">
      <alignment horizontal="left"/>
    </xf>
    <xf numFmtId="10" fontId="58" fillId="27" borderId="11" xfId="50" applyNumberFormat="1" applyFont="1" applyFill="1" applyBorder="1"/>
    <xf numFmtId="10" fontId="28" fillId="0" borderId="11" xfId="0" applyNumberFormat="1" applyFont="1" applyBorder="1"/>
    <xf numFmtId="176" fontId="42" fillId="0" borderId="11" xfId="0" applyNumberFormat="1" applyFont="1" applyBorder="1" applyAlignment="1">
      <alignment horizontal="center" vertical="center" wrapText="1"/>
    </xf>
    <xf numFmtId="0" fontId="22" fillId="0" borderId="0" xfId="41" applyFont="1"/>
    <xf numFmtId="177" fontId="42" fillId="0" borderId="19" xfId="29" applyNumberFormat="1" applyFont="1" applyFill="1" applyBorder="1" applyAlignment="1">
      <alignment vertical="center"/>
    </xf>
    <xf numFmtId="180" fontId="43" fillId="25" borderId="11" xfId="29" applyNumberFormat="1" applyFont="1" applyFill="1" applyBorder="1" applyAlignment="1">
      <alignment vertical="center"/>
    </xf>
    <xf numFmtId="10" fontId="43" fillId="29" borderId="11" xfId="50" applyNumberFormat="1" applyFont="1" applyFill="1" applyBorder="1" applyAlignment="1">
      <alignment vertical="center"/>
    </xf>
    <xf numFmtId="10" fontId="43" fillId="4" borderId="11" xfId="50" applyNumberFormat="1" applyFont="1" applyFill="1" applyBorder="1" applyAlignment="1">
      <alignment vertical="center"/>
    </xf>
    <xf numFmtId="10" fontId="43" fillId="25" borderId="11" xfId="50" applyNumberFormat="1" applyFont="1" applyFill="1" applyBorder="1"/>
    <xf numFmtId="178" fontId="43" fillId="0" borderId="11" xfId="29" applyNumberFormat="1" applyFont="1" applyFill="1" applyBorder="1" applyAlignment="1">
      <alignment vertical="center"/>
    </xf>
    <xf numFmtId="166" fontId="43" fillId="0" borderId="0" xfId="51" applyNumberFormat="1" applyFont="1" applyFill="1" applyBorder="1" applyAlignment="1">
      <alignment vertical="center"/>
    </xf>
    <xf numFmtId="165" fontId="27" fillId="24" borderId="10" xfId="28" applyFont="1" applyFill="1" applyBorder="1" applyAlignment="1" applyProtection="1">
      <alignment horizontal="center" vertical="center"/>
      <protection locked="0"/>
    </xf>
    <xf numFmtId="0" fontId="27" fillId="24" borderId="14" xfId="0" applyFont="1" applyFill="1" applyBorder="1" applyAlignment="1" applyProtection="1">
      <alignment horizontal="center" vertical="center"/>
      <protection locked="0"/>
    </xf>
    <xf numFmtId="167" fontId="33" fillId="30" borderId="13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2" fontId="0" fillId="0" borderId="70" xfId="0" applyNumberFormat="1" applyBorder="1" applyAlignment="1">
      <alignment vertical="center"/>
    </xf>
    <xf numFmtId="10" fontId="45" fillId="0" borderId="0" xfId="56" applyNumberFormat="1"/>
    <xf numFmtId="177" fontId="43" fillId="41" borderId="11" xfId="57" applyNumberFormat="1" applyFont="1" applyFill="1" applyBorder="1" applyAlignment="1">
      <alignment horizontal="center" vertical="center" wrapText="1"/>
    </xf>
    <xf numFmtId="177" fontId="43" fillId="26" borderId="14" xfId="57" applyNumberFormat="1" applyFont="1" applyFill="1" applyBorder="1" applyAlignment="1">
      <alignment horizontal="center" vertical="center" wrapText="1"/>
    </xf>
    <xf numFmtId="177" fontId="43" fillId="26" borderId="11" xfId="57" applyNumberFormat="1" applyFont="1" applyFill="1" applyBorder="1" applyAlignment="1">
      <alignment horizontal="center" vertical="center" wrapText="1"/>
    </xf>
    <xf numFmtId="177" fontId="43" fillId="41" borderId="14" xfId="57" applyNumberFormat="1" applyFont="1" applyFill="1" applyBorder="1" applyAlignment="1">
      <alignment horizontal="center" vertical="center" wrapText="1"/>
    </xf>
    <xf numFmtId="10" fontId="43" fillId="28" borderId="0" xfId="0" applyNumberFormat="1" applyFont="1" applyFill="1"/>
    <xf numFmtId="2" fontId="0" fillId="0" borderId="0" xfId="28" applyNumberFormat="1" applyFont="1" applyAlignment="1"/>
    <xf numFmtId="2" fontId="28" fillId="0" borderId="20" xfId="28" applyNumberFormat="1" applyFont="1" applyFill="1" applyBorder="1" applyAlignment="1" applyProtection="1">
      <alignment horizontal="center" vertical="center"/>
    </xf>
    <xf numFmtId="2" fontId="28" fillId="0" borderId="11" xfId="28" applyNumberFormat="1" applyFont="1" applyFill="1" applyBorder="1" applyAlignment="1" applyProtection="1">
      <alignment horizontal="center" vertical="center"/>
    </xf>
    <xf numFmtId="2" fontId="28" fillId="0" borderId="14" xfId="28" applyNumberFormat="1" applyFont="1" applyBorder="1" applyAlignment="1">
      <alignment horizontal="center" vertical="center"/>
    </xf>
    <xf numFmtId="2" fontId="28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4" xfId="28" applyNumberFormat="1" applyFont="1" applyBorder="1" applyAlignment="1"/>
    <xf numFmtId="2" fontId="0" fillId="0" borderId="84" xfId="28" applyNumberFormat="1" applyFont="1" applyBorder="1" applyAlignment="1" applyProtection="1">
      <alignment horizontal="center" vertical="center"/>
      <protection hidden="1"/>
    </xf>
    <xf numFmtId="0" fontId="43" fillId="0" borderId="14" xfId="0" applyFont="1" applyBorder="1" applyAlignment="1">
      <alignment horizontal="center" vertical="center" wrapText="1"/>
    </xf>
    <xf numFmtId="177" fontId="43" fillId="4" borderId="14" xfId="29" applyNumberFormat="1" applyFont="1" applyFill="1" applyBorder="1" applyAlignment="1">
      <alignment horizontal="center" vertical="center" wrapText="1"/>
    </xf>
    <xf numFmtId="177" fontId="43" fillId="0" borderId="17" xfId="29" applyNumberFormat="1" applyFont="1" applyFill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5" fillId="27" borderId="11" xfId="56" applyFont="1" applyFill="1" applyBorder="1" applyAlignment="1">
      <alignment horizontal="center" vertical="center"/>
    </xf>
    <xf numFmtId="0" fontId="27" fillId="24" borderId="39" xfId="0" applyFont="1" applyFill="1" applyBorder="1" applyAlignment="1">
      <alignment horizontal="left" vertical="center"/>
    </xf>
    <xf numFmtId="165" fontId="27" fillId="24" borderId="45" xfId="50" applyNumberFormat="1" applyFont="1" applyFill="1" applyBorder="1" applyAlignment="1" applyProtection="1">
      <alignment horizontal="center" vertical="center"/>
      <protection locked="0"/>
    </xf>
    <xf numFmtId="0" fontId="27" fillId="24" borderId="54" xfId="0" applyFont="1" applyFill="1" applyBorder="1" applyAlignment="1" applyProtection="1">
      <alignment horizontal="left" vertical="center"/>
      <protection locked="0"/>
    </xf>
    <xf numFmtId="165" fontId="27" fillId="24" borderId="11" xfId="28" applyNumberFormat="1" applyFont="1" applyFill="1" applyBorder="1" applyAlignment="1" applyProtection="1">
      <alignment horizontal="center"/>
      <protection locked="0"/>
    </xf>
    <xf numFmtId="16" fontId="47" fillId="0" borderId="25" xfId="41" applyNumberFormat="1" applyBorder="1"/>
    <xf numFmtId="0" fontId="47" fillId="0" borderId="17" xfId="41" applyBorder="1"/>
    <xf numFmtId="16" fontId="47" fillId="0" borderId="17" xfId="41" applyNumberFormat="1" applyBorder="1"/>
    <xf numFmtId="2" fontId="47" fillId="0" borderId="17" xfId="41" applyNumberFormat="1" applyBorder="1" applyAlignment="1">
      <alignment horizontal="center"/>
    </xf>
    <xf numFmtId="2" fontId="28" fillId="0" borderId="31" xfId="28" applyNumberFormat="1" applyFont="1" applyBorder="1" applyAlignment="1">
      <alignment horizontal="center" vertical="center"/>
    </xf>
    <xf numFmtId="165" fontId="47" fillId="11" borderId="17" xfId="28" applyFont="1" applyFill="1" applyBorder="1" applyAlignment="1" applyProtection="1">
      <alignment horizontal="center"/>
    </xf>
    <xf numFmtId="2" fontId="28" fillId="27" borderId="0" xfId="41" applyNumberFormat="1" applyFont="1" applyFill="1"/>
    <xf numFmtId="0" fontId="0" fillId="0" borderId="0" xfId="0" applyFill="1" applyBorder="1"/>
    <xf numFmtId="0" fontId="45" fillId="0" borderId="0" xfId="0" applyFont="1" applyFill="1" applyBorder="1"/>
    <xf numFmtId="0" fontId="45" fillId="0" borderId="0" xfId="0" applyFont="1" applyBorder="1"/>
    <xf numFmtId="0" fontId="0" fillId="0" borderId="0" xfId="0" applyBorder="1"/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" fontId="47" fillId="0" borderId="39" xfId="0" applyNumberFormat="1" applyFont="1" applyBorder="1" applyAlignment="1">
      <alignment horizontal="center" vertical="center"/>
    </xf>
    <xf numFmtId="165" fontId="28" fillId="0" borderId="11" xfId="28" applyNumberFormat="1" applyFont="1" applyBorder="1" applyProtection="1"/>
    <xf numFmtId="172" fontId="28" fillId="27" borderId="0" xfId="0" applyNumberFormat="1" applyFont="1" applyFill="1" applyAlignment="1">
      <alignment vertical="center"/>
    </xf>
    <xf numFmtId="179" fontId="28" fillId="27" borderId="0" xfId="0" applyNumberFormat="1" applyFont="1" applyFill="1" applyAlignment="1">
      <alignment horizontal="right" vertical="center"/>
    </xf>
    <xf numFmtId="0" fontId="27" fillId="24" borderId="0" xfId="0" applyFont="1" applyFill="1" applyAlignment="1">
      <alignment horizontal="right"/>
    </xf>
    <xf numFmtId="0" fontId="62" fillId="24" borderId="0" xfId="0" applyFont="1" applyFill="1" applyAlignment="1">
      <alignment horizontal="right"/>
    </xf>
    <xf numFmtId="0" fontId="23" fillId="24" borderId="0" xfId="0" applyFont="1" applyFill="1" applyAlignment="1">
      <alignment horizontal="right"/>
    </xf>
    <xf numFmtId="2" fontId="23" fillId="24" borderId="0" xfId="28" applyNumberFormat="1" applyFont="1" applyFill="1" applyBorder="1" applyProtection="1">
      <protection locked="0"/>
    </xf>
    <xf numFmtId="175" fontId="23" fillId="24" borderId="0" xfId="0" applyNumberFormat="1" applyFont="1" applyFill="1"/>
    <xf numFmtId="175" fontId="27" fillId="24" borderId="0" xfId="0" applyNumberFormat="1" applyFont="1" applyFill="1"/>
    <xf numFmtId="0" fontId="62" fillId="24" borderId="0" xfId="0" applyFont="1" applyFill="1"/>
    <xf numFmtId="0" fontId="45" fillId="24" borderId="0" xfId="0" applyFont="1" applyFill="1" applyAlignment="1">
      <alignment horizontal="right"/>
    </xf>
    <xf numFmtId="0" fontId="45" fillId="24" borderId="0" xfId="0" applyFont="1" applyFill="1"/>
    <xf numFmtId="0" fontId="63" fillId="24" borderId="0" xfId="0" applyFont="1" applyFill="1" applyAlignment="1">
      <alignment horizontal="right"/>
    </xf>
    <xf numFmtId="0" fontId="63" fillId="24" borderId="0" xfId="0" applyFont="1" applyFill="1"/>
    <xf numFmtId="175" fontId="63" fillId="24" borderId="0" xfId="0" applyNumberFormat="1" applyFont="1" applyFill="1"/>
    <xf numFmtId="0" fontId="39" fillId="0" borderId="11" xfId="44" applyFont="1" applyFill="1" applyBorder="1" applyAlignment="1">
      <alignment horizontal="center"/>
    </xf>
    <xf numFmtId="2" fontId="39" fillId="0" borderId="11" xfId="44" applyNumberFormat="1" applyFont="1" applyFill="1" applyBorder="1" applyAlignment="1">
      <alignment horizontal="center"/>
    </xf>
    <xf numFmtId="176" fontId="42" fillId="0" borderId="11" xfId="0" applyNumberFormat="1" applyFont="1" applyFill="1" applyBorder="1" applyAlignment="1">
      <alignment horizontal="center" vertical="center" wrapText="1"/>
    </xf>
    <xf numFmtId="9" fontId="42" fillId="0" borderId="11" xfId="0" applyNumberFormat="1" applyFont="1" applyFill="1" applyBorder="1" applyAlignment="1">
      <alignment horizontal="center" vertical="center" wrapText="1"/>
    </xf>
    <xf numFmtId="176" fontId="42" fillId="0" borderId="11" xfId="0" applyNumberFormat="1" applyFont="1" applyFill="1" applyBorder="1"/>
    <xf numFmtId="2" fontId="39" fillId="0" borderId="11" xfId="45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2" fontId="55" fillId="27" borderId="11" xfId="0" applyNumberFormat="1" applyFont="1" applyFill="1" applyBorder="1" applyAlignment="1">
      <alignment horizontal="center" vertical="center" wrapText="1"/>
    </xf>
    <xf numFmtId="0" fontId="55" fillId="27" borderId="11" xfId="0" applyFont="1" applyFill="1" applyBorder="1" applyAlignment="1">
      <alignment horizontal="center" vertical="center" wrapText="1"/>
    </xf>
    <xf numFmtId="0" fontId="55" fillId="0" borderId="11" xfId="0" applyFont="1" applyBorder="1" applyAlignment="1">
      <alignment horizontal="left" vertical="center"/>
    </xf>
    <xf numFmtId="0" fontId="0" fillId="0" borderId="11" xfId="0" applyBorder="1" applyAlignment="1">
      <alignment vertical="top" wrapText="1"/>
    </xf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 vertical="center"/>
    </xf>
    <xf numFmtId="10" fontId="2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5" fillId="0" borderId="11" xfId="0" applyFont="1" applyBorder="1" applyAlignment="1">
      <alignment vertical="top" wrapText="1"/>
    </xf>
    <xf numFmtId="0" fontId="45" fillId="0" borderId="11" xfId="0" applyFont="1" applyBorder="1" applyAlignment="1">
      <alignment wrapText="1"/>
    </xf>
    <xf numFmtId="0" fontId="55" fillId="0" borderId="60" xfId="0" applyFont="1" applyBorder="1" applyAlignment="1">
      <alignment vertical="center"/>
    </xf>
    <xf numFmtId="10" fontId="55" fillId="0" borderId="11" xfId="50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0" fontId="28" fillId="24" borderId="85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0" fillId="0" borderId="83" xfId="0" applyBorder="1"/>
    <xf numFmtId="10" fontId="27" fillId="24" borderId="36" xfId="50" applyNumberFormat="1" applyFont="1" applyFill="1" applyBorder="1" applyAlignment="1" applyProtection="1">
      <alignment horizontal="center" vertical="center"/>
    </xf>
    <xf numFmtId="0" fontId="28" fillId="24" borderId="0" xfId="0" applyFont="1" applyFill="1"/>
    <xf numFmtId="0" fontId="64" fillId="24" borderId="0" xfId="0" applyFont="1" applyFill="1"/>
    <xf numFmtId="1" fontId="45" fillId="27" borderId="39" xfId="0" applyNumberFormat="1" applyFont="1" applyFill="1" applyBorder="1" applyAlignment="1">
      <alignment horizontal="center" vertical="center"/>
    </xf>
    <xf numFmtId="0" fontId="43" fillId="0" borderId="14" xfId="0" applyFont="1" applyBorder="1" applyAlignment="1">
      <alignment horizontal="center" vertical="center" wrapText="1"/>
    </xf>
    <xf numFmtId="177" fontId="43" fillId="0" borderId="17" xfId="29" applyNumberFormat="1" applyFont="1" applyFill="1" applyBorder="1" applyAlignment="1">
      <alignment horizontal="center" vertical="center" wrapText="1"/>
    </xf>
    <xf numFmtId="177" fontId="43" fillId="0" borderId="13" xfId="29" applyNumberFormat="1" applyFont="1" applyFill="1" applyBorder="1" applyAlignment="1">
      <alignment horizontal="right"/>
    </xf>
    <xf numFmtId="177" fontId="43" fillId="0" borderId="19" xfId="29" applyNumberFormat="1" applyFont="1" applyFill="1" applyBorder="1" applyAlignment="1">
      <alignment horizontal="right"/>
    </xf>
    <xf numFmtId="177" fontId="43" fillId="4" borderId="14" xfId="29" applyNumberFormat="1" applyFont="1" applyFill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center"/>
    </xf>
    <xf numFmtId="2" fontId="0" fillId="0" borderId="11" xfId="28" applyNumberFormat="1" applyFont="1" applyBorder="1" applyAlignment="1">
      <alignment horizontal="center" vertical="center"/>
    </xf>
    <xf numFmtId="167" fontId="33" fillId="33" borderId="17" xfId="28" applyNumberFormat="1" applyFont="1" applyFill="1" applyBorder="1" applyAlignment="1" applyProtection="1">
      <alignment horizontal="center"/>
    </xf>
    <xf numFmtId="0" fontId="28" fillId="33" borderId="11" xfId="0" applyFont="1" applyFill="1" applyBorder="1"/>
    <xf numFmtId="0" fontId="23" fillId="24" borderId="0" xfId="0" applyFont="1" applyFill="1" applyAlignment="1">
      <alignment vertical="center"/>
    </xf>
    <xf numFmtId="0" fontId="45" fillId="0" borderId="45" xfId="0" applyFont="1" applyBorder="1"/>
    <xf numFmtId="0" fontId="0" fillId="0" borderId="45" xfId="0" applyFill="1" applyBorder="1"/>
    <xf numFmtId="0" fontId="45" fillId="0" borderId="45" xfId="0" applyFont="1" applyFill="1" applyBorder="1"/>
    <xf numFmtId="0" fontId="0" fillId="0" borderId="45" xfId="0" applyBorder="1"/>
    <xf numFmtId="2" fontId="0" fillId="0" borderId="64" xfId="0" applyNumberFormat="1" applyBorder="1" applyAlignment="1">
      <alignment vertical="center"/>
    </xf>
    <xf numFmtId="0" fontId="0" fillId="0" borderId="68" xfId="0" applyBorder="1"/>
    <xf numFmtId="0" fontId="45" fillId="0" borderId="26" xfId="0" applyFont="1" applyBorder="1"/>
    <xf numFmtId="0" fontId="0" fillId="0" borderId="26" xfId="0" applyFill="1" applyBorder="1"/>
    <xf numFmtId="0" fontId="45" fillId="0" borderId="26" xfId="0" applyFont="1" applyFill="1" applyBorder="1"/>
    <xf numFmtId="0" fontId="0" fillId="0" borderId="26" xfId="0" applyBorder="1"/>
    <xf numFmtId="2" fontId="0" fillId="0" borderId="40" xfId="0" applyNumberFormat="1" applyBorder="1" applyAlignment="1">
      <alignment vertical="center"/>
    </xf>
    <xf numFmtId="1" fontId="0" fillId="0" borderId="0" xfId="0" applyNumberFormat="1"/>
    <xf numFmtId="172" fontId="47" fillId="0" borderId="83" xfId="0" applyNumberFormat="1" applyFont="1" applyBorder="1"/>
    <xf numFmtId="0" fontId="23" fillId="24" borderId="15" xfId="0" applyFont="1" applyFill="1" applyBorder="1"/>
    <xf numFmtId="0" fontId="23" fillId="24" borderId="15" xfId="0" applyFont="1" applyFill="1" applyBorder="1" applyAlignment="1">
      <alignment horizontal="center" wrapText="1"/>
    </xf>
    <xf numFmtId="0" fontId="23" fillId="24" borderId="56" xfId="0" applyFont="1" applyFill="1" applyBorder="1"/>
    <xf numFmtId="9" fontId="23" fillId="0" borderId="21" xfId="50" applyFont="1" applyFill="1" applyBorder="1" applyAlignment="1">
      <alignment vertical="center"/>
    </xf>
    <xf numFmtId="0" fontId="23" fillId="24" borderId="21" xfId="0" applyFont="1" applyFill="1" applyBorder="1"/>
    <xf numFmtId="2" fontId="23" fillId="24" borderId="21" xfId="0" applyNumberFormat="1" applyFont="1" applyFill="1" applyBorder="1"/>
    <xf numFmtId="165" fontId="23" fillId="0" borderId="11" xfId="29" applyNumberFormat="1" applyFont="1" applyFill="1" applyBorder="1" applyAlignment="1">
      <alignment vertical="center"/>
    </xf>
    <xf numFmtId="165" fontId="23" fillId="24" borderId="21" xfId="0" applyNumberFormat="1" applyFont="1" applyFill="1" applyBorder="1"/>
    <xf numFmtId="10" fontId="42" fillId="0" borderId="13" xfId="50" applyNumberFormat="1" applyFont="1" applyFill="1" applyBorder="1" applyAlignment="1">
      <alignment vertical="center"/>
    </xf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2" fontId="0" fillId="0" borderId="11" xfId="28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181" fontId="23" fillId="24" borderId="0" xfId="0" applyNumberFormat="1" applyFont="1" applyFill="1"/>
    <xf numFmtId="168" fontId="0" fillId="0" borderId="11" xfId="0" applyNumberFormat="1" applyFill="1" applyBorder="1" applyAlignment="1">
      <alignment vertical="center" wrapText="1"/>
    </xf>
    <xf numFmtId="15" fontId="0" fillId="0" borderId="11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165" fontId="0" fillId="0" borderId="17" xfId="28" applyFont="1" applyFill="1" applyBorder="1" applyProtection="1"/>
    <xf numFmtId="165" fontId="0" fillId="0" borderId="11" xfId="28" applyFont="1" applyFill="1" applyBorder="1" applyProtection="1"/>
    <xf numFmtId="0" fontId="0" fillId="0" borderId="17" xfId="28" applyNumberFormat="1" applyFont="1" applyFill="1" applyBorder="1" applyProtection="1"/>
    <xf numFmtId="2" fontId="0" fillId="0" borderId="17" xfId="28" applyNumberFormat="1" applyFont="1" applyFill="1" applyBorder="1" applyProtection="1"/>
    <xf numFmtId="175" fontId="0" fillId="0" borderId="11" xfId="0" applyNumberFormat="1" applyFill="1" applyBorder="1"/>
    <xf numFmtId="171" fontId="0" fillId="0" borderId="11" xfId="0" applyNumberFormat="1" applyFill="1" applyBorder="1"/>
    <xf numFmtId="2" fontId="0" fillId="0" borderId="11" xfId="0" applyNumberFormat="1" applyFill="1" applyBorder="1"/>
    <xf numFmtId="1" fontId="43" fillId="0" borderId="0" xfId="50" applyNumberFormat="1" applyFont="1" applyFill="1" applyBorder="1" applyAlignment="1">
      <alignment vertical="center"/>
    </xf>
    <xf numFmtId="0" fontId="45" fillId="0" borderId="0" xfId="41" quotePrefix="1" applyFont="1"/>
    <xf numFmtId="173" fontId="27" fillId="24" borderId="11" xfId="28" applyNumberFormat="1" applyFont="1" applyFill="1" applyBorder="1" applyAlignment="1" applyProtection="1">
      <alignment horizontal="center"/>
      <protection locked="0"/>
    </xf>
    <xf numFmtId="2" fontId="45" fillId="0" borderId="70" xfId="0" applyNumberFormat="1" applyFont="1" applyBorder="1" applyAlignment="1">
      <alignment vertical="center"/>
    </xf>
    <xf numFmtId="173" fontId="23" fillId="24" borderId="0" xfId="0" applyNumberFormat="1" applyFont="1" applyFill="1"/>
    <xf numFmtId="180" fontId="42" fillId="0" borderId="0" xfId="29" applyNumberFormat="1" applyFont="1" applyFill="1" applyBorder="1" applyAlignment="1">
      <alignment horizontal="center" vertical="center" wrapText="1"/>
    </xf>
    <xf numFmtId="180" fontId="42" fillId="0" borderId="11" xfId="29" applyNumberFormat="1" applyFont="1" applyFill="1" applyBorder="1" applyAlignment="1">
      <alignment vertical="center"/>
    </xf>
    <xf numFmtId="180" fontId="42" fillId="0" borderId="11" xfId="0" applyNumberFormat="1" applyFont="1" applyBorder="1"/>
    <xf numFmtId="180" fontId="42" fillId="0" borderId="0" xfId="0" applyNumberFormat="1" applyFont="1"/>
    <xf numFmtId="180" fontId="43" fillId="25" borderId="11" xfId="50" applyNumberFormat="1" applyFont="1" applyFill="1" applyBorder="1" applyAlignment="1">
      <alignment vertical="center"/>
    </xf>
    <xf numFmtId="180" fontId="42" fillId="0" borderId="0" xfId="29" applyNumberFormat="1" applyFont="1" applyFill="1" applyBorder="1" applyAlignment="1">
      <alignment vertical="center"/>
    </xf>
    <xf numFmtId="180" fontId="42" fillId="28" borderId="0" xfId="29" applyNumberFormat="1" applyFont="1" applyFill="1" applyBorder="1" applyAlignment="1">
      <alignment vertical="center"/>
    </xf>
    <xf numFmtId="180" fontId="42" fillId="28" borderId="0" xfId="0" applyNumberFormat="1" applyFont="1" applyFill="1"/>
    <xf numFmtId="181" fontId="42" fillId="0" borderId="11" xfId="50" applyNumberFormat="1" applyFont="1" applyFill="1" applyBorder="1" applyAlignment="1">
      <alignment vertical="center"/>
    </xf>
    <xf numFmtId="0" fontId="45" fillId="0" borderId="0" xfId="56" quotePrefix="1" applyAlignment="1">
      <alignment wrapText="1"/>
    </xf>
    <xf numFmtId="169" fontId="35" fillId="0" borderId="0" xfId="0" applyNumberFormat="1" applyFont="1" applyAlignment="1">
      <alignment horizontal="center" vertical="center"/>
    </xf>
    <xf numFmtId="168" fontId="38" fillId="0" borderId="11" xfId="0" applyNumberFormat="1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71" xfId="0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8" fillId="0" borderId="73" xfId="0" applyFont="1" applyBorder="1" applyAlignment="1">
      <alignment horizontal="center" vertical="center" wrapText="1"/>
    </xf>
    <xf numFmtId="170" fontId="38" fillId="0" borderId="11" xfId="0" applyNumberFormat="1" applyFont="1" applyBorder="1" applyAlignment="1">
      <alignment horizontal="center" vertical="center" wrapText="1"/>
    </xf>
    <xf numFmtId="0" fontId="38" fillId="27" borderId="58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38" fillId="27" borderId="28" xfId="0" applyFont="1" applyFill="1" applyBorder="1" applyAlignment="1">
      <alignment horizontal="center" vertical="center" wrapText="1"/>
    </xf>
    <xf numFmtId="0" fontId="38" fillId="27" borderId="60" xfId="0" applyFont="1" applyFill="1" applyBorder="1" applyAlignment="1">
      <alignment horizontal="center"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4" fontId="38" fillId="0" borderId="11" xfId="0" applyNumberFormat="1" applyFont="1" applyBorder="1" applyAlignment="1">
      <alignment horizontal="center" vertical="center" wrapText="1"/>
    </xf>
    <xf numFmtId="167" fontId="33" fillId="33" borderId="86" xfId="28" applyNumberFormat="1" applyFont="1" applyFill="1" applyBorder="1" applyAlignment="1" applyProtection="1">
      <alignment horizontal="center" vertical="center"/>
    </xf>
    <xf numFmtId="167" fontId="33" fillId="33" borderId="87" xfId="28" applyNumberFormat="1" applyFont="1" applyFill="1" applyBorder="1" applyAlignment="1" applyProtection="1">
      <alignment horizontal="center" vertical="center"/>
    </xf>
    <xf numFmtId="167" fontId="33" fillId="33" borderId="88" xfId="28" applyNumberFormat="1" applyFont="1" applyFill="1" applyBorder="1" applyAlignment="1" applyProtection="1">
      <alignment horizontal="center" vertical="center"/>
    </xf>
    <xf numFmtId="167" fontId="33" fillId="33" borderId="30" xfId="28" applyNumberFormat="1" applyFont="1" applyFill="1" applyBorder="1" applyAlignment="1" applyProtection="1">
      <alignment horizontal="center" vertical="center"/>
    </xf>
    <xf numFmtId="167" fontId="33" fillId="33" borderId="61" xfId="28" applyNumberFormat="1" applyFont="1" applyFill="1" applyBorder="1" applyAlignment="1" applyProtection="1">
      <alignment horizontal="center" vertical="center"/>
    </xf>
    <xf numFmtId="167" fontId="33" fillId="33" borderId="16" xfId="28" applyNumberFormat="1" applyFont="1" applyFill="1" applyBorder="1" applyAlignment="1" applyProtection="1">
      <alignment horizontal="center" vertical="center"/>
    </xf>
    <xf numFmtId="169" fontId="35" fillId="0" borderId="0" xfId="0" applyNumberFormat="1" applyFont="1" applyAlignment="1">
      <alignment horizontal="center" vertical="justify" wrapText="1"/>
    </xf>
    <xf numFmtId="167" fontId="33" fillId="0" borderId="13" xfId="28" applyNumberFormat="1" applyFont="1" applyFill="1" applyBorder="1" applyAlignment="1" applyProtection="1">
      <alignment horizontal="center"/>
    </xf>
    <xf numFmtId="167" fontId="33" fillId="0" borderId="20" xfId="28" applyNumberFormat="1" applyFont="1" applyFill="1" applyBorder="1" applyAlignment="1" applyProtection="1">
      <alignment horizontal="center"/>
    </xf>
    <xf numFmtId="167" fontId="33" fillId="27" borderId="58" xfId="28" applyNumberFormat="1" applyFont="1" applyFill="1" applyBorder="1" applyAlignment="1" applyProtection="1">
      <alignment horizontal="center"/>
    </xf>
    <xf numFmtId="167" fontId="33" fillId="27" borderId="59" xfId="28" applyNumberFormat="1" applyFont="1" applyFill="1" applyBorder="1" applyAlignment="1" applyProtection="1">
      <alignment horizontal="center"/>
    </xf>
    <xf numFmtId="167" fontId="33" fillId="27" borderId="31" xfId="28" applyNumberFormat="1" applyFont="1" applyFill="1" applyBorder="1" applyAlignment="1" applyProtection="1">
      <alignment horizontal="center"/>
    </xf>
    <xf numFmtId="167" fontId="33" fillId="27" borderId="30" xfId="28" applyNumberFormat="1" applyFont="1" applyFill="1" applyBorder="1" applyAlignment="1" applyProtection="1">
      <alignment horizontal="center"/>
    </xf>
    <xf numFmtId="167" fontId="33" fillId="27" borderId="61" xfId="28" applyNumberFormat="1" applyFont="1" applyFill="1" applyBorder="1" applyAlignment="1" applyProtection="1">
      <alignment horizontal="center"/>
    </xf>
    <xf numFmtId="167" fontId="33" fillId="27" borderId="16" xfId="28" applyNumberFormat="1" applyFont="1" applyFill="1" applyBorder="1" applyAlignment="1" applyProtection="1">
      <alignment horizontal="center"/>
    </xf>
    <xf numFmtId="0" fontId="40" fillId="4" borderId="14" xfId="0" applyFont="1" applyFill="1" applyBorder="1" applyAlignment="1">
      <alignment horizontal="center" vertical="center"/>
    </xf>
    <xf numFmtId="0" fontId="40" fillId="4" borderId="62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 wrapText="1"/>
    </xf>
    <xf numFmtId="0" fontId="33" fillId="4" borderId="62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167" fontId="33" fillId="30" borderId="13" xfId="28" applyNumberFormat="1" applyFont="1" applyFill="1" applyBorder="1" applyAlignment="1" applyProtection="1">
      <alignment horizontal="center"/>
    </xf>
    <xf numFmtId="167" fontId="33" fillId="30" borderId="20" xfId="28" applyNumberFormat="1" applyFont="1" applyFill="1" applyBorder="1" applyAlignment="1" applyProtection="1">
      <alignment horizontal="center"/>
    </xf>
    <xf numFmtId="167" fontId="33" fillId="30" borderId="19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33" fillId="34" borderId="20" xfId="28" applyNumberFormat="1" applyFont="1" applyFill="1" applyBorder="1" applyAlignment="1" applyProtection="1">
      <alignment horizontal="center"/>
    </xf>
    <xf numFmtId="167" fontId="33" fillId="34" borderId="19" xfId="28" applyNumberFormat="1" applyFont="1" applyFill="1" applyBorder="1" applyAlignment="1" applyProtection="1">
      <alignment horizontal="center"/>
    </xf>
    <xf numFmtId="167" fontId="33" fillId="36" borderId="13" xfId="28" applyNumberFormat="1" applyFont="1" applyFill="1" applyBorder="1" applyAlignment="1" applyProtection="1">
      <alignment horizontal="center"/>
    </xf>
    <xf numFmtId="167" fontId="33" fillId="36" borderId="20" xfId="28" applyNumberFormat="1" applyFont="1" applyFill="1" applyBorder="1" applyAlignment="1" applyProtection="1">
      <alignment horizontal="center"/>
    </xf>
    <xf numFmtId="167" fontId="33" fillId="36" borderId="19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1" borderId="20" xfId="28" applyNumberFormat="1" applyFont="1" applyFill="1" applyBorder="1" applyAlignment="1" applyProtection="1">
      <alignment horizontal="center"/>
    </xf>
    <xf numFmtId="167" fontId="33" fillId="31" borderId="19" xfId="28" applyNumberFormat="1" applyFont="1" applyFill="1" applyBorder="1" applyAlignment="1" applyProtection="1">
      <alignment horizont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3" borderId="20" xfId="28" applyNumberFormat="1" applyFont="1" applyFill="1" applyBorder="1" applyAlignment="1" applyProtection="1">
      <alignment horizontal="center"/>
    </xf>
    <xf numFmtId="167" fontId="33" fillId="33" borderId="19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33" fillId="35" borderId="20" xfId="28" applyNumberFormat="1" applyFont="1" applyFill="1" applyBorder="1" applyAlignment="1" applyProtection="1">
      <alignment horizontal="center"/>
    </xf>
    <xf numFmtId="167" fontId="33" fillId="35" borderId="19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7" fontId="33" fillId="27" borderId="13" xfId="28" applyNumberFormat="1" applyFont="1" applyFill="1" applyBorder="1" applyAlignment="1" applyProtection="1">
      <alignment horizontal="center"/>
    </xf>
    <xf numFmtId="167" fontId="33" fillId="27" borderId="20" xfId="28" applyNumberFormat="1" applyFont="1" applyFill="1" applyBorder="1" applyAlignment="1" applyProtection="1">
      <alignment horizontal="center"/>
    </xf>
    <xf numFmtId="167" fontId="33" fillId="27" borderId="19" xfId="28" applyNumberFormat="1" applyFont="1" applyFill="1" applyBorder="1" applyAlignment="1" applyProtection="1">
      <alignment horizontal="center"/>
    </xf>
    <xf numFmtId="167" fontId="33" fillId="37" borderId="13" xfId="28" applyNumberFormat="1" applyFont="1" applyFill="1" applyBorder="1" applyAlignment="1" applyProtection="1">
      <alignment horizontal="center"/>
    </xf>
    <xf numFmtId="167" fontId="33" fillId="37" borderId="20" xfId="28" applyNumberFormat="1" applyFont="1" applyFill="1" applyBorder="1" applyAlignment="1" applyProtection="1">
      <alignment horizontal="center"/>
    </xf>
    <xf numFmtId="167" fontId="33" fillId="37" borderId="19" xfId="28" applyNumberFormat="1" applyFont="1" applyFill="1" applyBorder="1" applyAlignment="1" applyProtection="1">
      <alignment horizontal="center"/>
    </xf>
    <xf numFmtId="0" fontId="43" fillId="0" borderId="14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166" fontId="43" fillId="25" borderId="14" xfId="50" applyNumberFormat="1" applyFont="1" applyFill="1" applyBorder="1" applyAlignment="1">
      <alignment horizontal="center" vertical="center" wrapText="1"/>
    </xf>
    <xf numFmtId="166" fontId="43" fillId="25" borderId="62" xfId="50" applyNumberFormat="1" applyFont="1" applyFill="1" applyBorder="1" applyAlignment="1">
      <alignment horizontal="center" vertical="center" wrapText="1"/>
    </xf>
    <xf numFmtId="164" fontId="43" fillId="0" borderId="58" xfId="29" applyFont="1" applyFill="1" applyBorder="1" applyAlignment="1">
      <alignment horizontal="center" vertical="center"/>
    </xf>
    <xf numFmtId="164" fontId="43" fillId="0" borderId="59" xfId="29" applyFont="1" applyFill="1" applyBorder="1" applyAlignment="1">
      <alignment horizontal="center" vertical="center"/>
    </xf>
    <xf numFmtId="164" fontId="43" fillId="0" borderId="31" xfId="29" applyFont="1" applyFill="1" applyBorder="1" applyAlignment="1">
      <alignment horizontal="center" vertical="center"/>
    </xf>
    <xf numFmtId="164" fontId="43" fillId="0" borderId="30" xfId="29" applyFont="1" applyFill="1" applyBorder="1" applyAlignment="1">
      <alignment horizontal="center" vertical="center"/>
    </xf>
    <xf numFmtId="164" fontId="43" fillId="0" borderId="61" xfId="29" applyFont="1" applyFill="1" applyBorder="1" applyAlignment="1">
      <alignment horizontal="center" vertical="center"/>
    </xf>
    <xf numFmtId="164" fontId="43" fillId="0" borderId="16" xfId="29" applyFont="1" applyFill="1" applyBorder="1" applyAlignment="1">
      <alignment horizontal="center" vertical="center"/>
    </xf>
    <xf numFmtId="176" fontId="43" fillId="0" borderId="58" xfId="0" applyNumberFormat="1" applyFont="1" applyBorder="1" applyAlignment="1">
      <alignment horizontal="center" vertical="center"/>
    </xf>
    <xf numFmtId="176" fontId="43" fillId="0" borderId="59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176" fontId="43" fillId="0" borderId="30" xfId="0" applyNumberFormat="1" applyFont="1" applyBorder="1" applyAlignment="1">
      <alignment horizontal="center" vertical="center"/>
    </xf>
    <xf numFmtId="176" fontId="43" fillId="0" borderId="61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164" fontId="43" fillId="0" borderId="14" xfId="29" applyFont="1" applyFill="1" applyBorder="1" applyAlignment="1">
      <alignment horizontal="center" vertical="center" wrapText="1"/>
    </xf>
    <xf numFmtId="164" fontId="43" fillId="0" borderId="62" xfId="29" applyFont="1" applyFill="1" applyBorder="1" applyAlignment="1">
      <alignment horizontal="center" vertical="center" wrapText="1"/>
    </xf>
    <xf numFmtId="177" fontId="43" fillId="0" borderId="14" xfId="29" applyNumberFormat="1" applyFont="1" applyFill="1" applyBorder="1" applyAlignment="1">
      <alignment horizontal="center" vertical="center" wrapText="1"/>
    </xf>
    <xf numFmtId="177" fontId="43" fillId="0" borderId="62" xfId="29" applyNumberFormat="1" applyFont="1" applyFill="1" applyBorder="1" applyAlignment="1">
      <alignment horizontal="center" vertical="center" wrapText="1"/>
    </xf>
    <xf numFmtId="177" fontId="43" fillId="0" borderId="17" xfId="29" applyNumberFormat="1" applyFont="1" applyFill="1" applyBorder="1" applyAlignment="1">
      <alignment horizontal="center" vertical="center" wrapText="1"/>
    </xf>
    <xf numFmtId="177" fontId="43" fillId="25" borderId="14" xfId="29" applyNumberFormat="1" applyFont="1" applyFill="1" applyBorder="1" applyAlignment="1">
      <alignment horizontal="center" vertical="center" wrapText="1"/>
    </xf>
    <xf numFmtId="177" fontId="43" fillId="25" borderId="62" xfId="29" applyNumberFormat="1" applyFont="1" applyFill="1" applyBorder="1" applyAlignment="1">
      <alignment horizontal="center" vertical="center" wrapText="1"/>
    </xf>
    <xf numFmtId="177" fontId="43" fillId="4" borderId="58" xfId="29" applyNumberFormat="1" applyFont="1" applyFill="1" applyBorder="1" applyAlignment="1">
      <alignment horizontal="center" vertical="center" wrapText="1"/>
    </xf>
    <xf numFmtId="177" fontId="43" fillId="4" borderId="31" xfId="29" applyNumberFormat="1" applyFont="1" applyFill="1" applyBorder="1" applyAlignment="1">
      <alignment horizontal="center" vertical="center" wrapText="1"/>
    </xf>
    <xf numFmtId="177" fontId="43" fillId="4" borderId="30" xfId="29" applyNumberFormat="1" applyFont="1" applyFill="1" applyBorder="1" applyAlignment="1">
      <alignment horizontal="center" vertical="center" wrapText="1"/>
    </xf>
    <xf numFmtId="177" fontId="43" fillId="4" borderId="16" xfId="29" applyNumberFormat="1" applyFont="1" applyFill="1" applyBorder="1" applyAlignment="1">
      <alignment horizontal="center" vertical="center" wrapText="1"/>
    </xf>
    <xf numFmtId="177" fontId="43" fillId="0" borderId="11" xfId="29" applyNumberFormat="1" applyFont="1" applyFill="1" applyBorder="1" applyAlignment="1">
      <alignment horizontal="center" vertical="center" wrapText="1"/>
    </xf>
    <xf numFmtId="177" fontId="43" fillId="25" borderId="11" xfId="29" applyNumberFormat="1" applyFont="1" applyFill="1" applyBorder="1" applyAlignment="1">
      <alignment horizontal="center" vertical="center" wrapText="1"/>
    </xf>
    <xf numFmtId="166" fontId="43" fillId="25" borderId="17" xfId="50" applyNumberFormat="1" applyFont="1" applyFill="1" applyBorder="1" applyAlignment="1">
      <alignment horizontal="center" vertical="center" wrapText="1"/>
    </xf>
    <xf numFmtId="180" fontId="43" fillId="25" borderId="14" xfId="29" applyNumberFormat="1" applyFont="1" applyFill="1" applyBorder="1" applyAlignment="1">
      <alignment horizontal="center" vertical="center" wrapText="1"/>
    </xf>
    <xf numFmtId="180" fontId="43" fillId="25" borderId="62" xfId="29" applyNumberFormat="1" applyFont="1" applyFill="1" applyBorder="1" applyAlignment="1">
      <alignment horizontal="center" vertical="center" wrapText="1"/>
    </xf>
    <xf numFmtId="0" fontId="49" fillId="22" borderId="11" xfId="0" applyFont="1" applyFill="1" applyBorder="1" applyAlignment="1">
      <alignment horizontal="center"/>
    </xf>
    <xf numFmtId="177" fontId="43" fillId="22" borderId="14" xfId="29" applyNumberFormat="1" applyFont="1" applyFill="1" applyBorder="1" applyAlignment="1">
      <alignment horizontal="center" vertical="center" wrapText="1"/>
    </xf>
    <xf numFmtId="177" fontId="43" fillId="22" borderId="62" xfId="29" applyNumberFormat="1" applyFont="1" applyFill="1" applyBorder="1" applyAlignment="1">
      <alignment horizontal="center" vertical="center" wrapText="1"/>
    </xf>
    <xf numFmtId="177" fontId="43" fillId="22" borderId="17" xfId="29" applyNumberFormat="1" applyFont="1" applyFill="1" applyBorder="1" applyAlignment="1">
      <alignment horizontal="center" vertical="center" wrapText="1"/>
    </xf>
    <xf numFmtId="177" fontId="44" fillId="25" borderId="11" xfId="29" applyNumberFormat="1" applyFont="1" applyFill="1" applyBorder="1" applyAlignment="1">
      <alignment horizontal="center"/>
    </xf>
    <xf numFmtId="177" fontId="43" fillId="4" borderId="11" xfId="29" applyNumberFormat="1" applyFont="1" applyFill="1" applyBorder="1" applyAlignment="1">
      <alignment horizontal="center" vertical="center" wrapText="1"/>
    </xf>
    <xf numFmtId="177" fontId="43" fillId="4" borderId="14" xfId="29" applyNumberFormat="1" applyFont="1" applyFill="1" applyBorder="1" applyAlignment="1">
      <alignment horizontal="center" vertical="center" wrapText="1"/>
    </xf>
    <xf numFmtId="177" fontId="43" fillId="41" borderId="85" xfId="57" applyNumberFormat="1" applyFont="1" applyFill="1" applyBorder="1" applyAlignment="1">
      <alignment horizontal="center" vertical="center" wrapText="1"/>
    </xf>
    <xf numFmtId="177" fontId="43" fillId="41" borderId="62" xfId="57" applyNumberFormat="1" applyFont="1" applyFill="1" applyBorder="1" applyAlignment="1">
      <alignment horizontal="center" vertical="center" wrapText="1"/>
    </xf>
    <xf numFmtId="177" fontId="43" fillId="41" borderId="17" xfId="57" applyNumberFormat="1" applyFont="1" applyFill="1" applyBorder="1" applyAlignment="1">
      <alignment horizontal="center" vertical="center" wrapText="1"/>
    </xf>
    <xf numFmtId="177" fontId="43" fillId="26" borderId="85" xfId="57" applyNumberFormat="1" applyFont="1" applyFill="1" applyBorder="1" applyAlignment="1">
      <alignment horizontal="center" vertical="center" wrapText="1"/>
    </xf>
    <xf numFmtId="177" fontId="43" fillId="26" borderId="62" xfId="57" applyNumberFormat="1" applyFont="1" applyFill="1" applyBorder="1" applyAlignment="1">
      <alignment horizontal="center" vertical="center" wrapText="1"/>
    </xf>
    <xf numFmtId="177" fontId="43" fillId="26" borderId="17" xfId="57" applyNumberFormat="1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85" xfId="0" applyFont="1" applyBorder="1" applyAlignment="1">
      <alignment horizontal="center" vertical="center" wrapText="1"/>
    </xf>
    <xf numFmtId="177" fontId="43" fillId="0" borderId="13" xfId="29" applyNumberFormat="1" applyFont="1" applyFill="1" applyBorder="1" applyAlignment="1">
      <alignment horizontal="center" vertical="center" wrapText="1"/>
    </xf>
    <xf numFmtId="177" fontId="43" fillId="0" borderId="20" xfId="29" applyNumberFormat="1" applyFont="1" applyFill="1" applyBorder="1" applyAlignment="1">
      <alignment horizontal="center" vertical="center" wrapText="1"/>
    </xf>
    <xf numFmtId="177" fontId="43" fillId="0" borderId="19" xfId="29" applyNumberFormat="1" applyFont="1" applyFill="1" applyBorder="1" applyAlignment="1">
      <alignment horizontal="center" vertical="center" wrapText="1"/>
    </xf>
    <xf numFmtId="177" fontId="43" fillId="41" borderId="58" xfId="57" applyNumberFormat="1" applyFont="1" applyFill="1" applyBorder="1" applyAlignment="1">
      <alignment horizontal="center" vertical="center" wrapText="1"/>
    </xf>
    <xf numFmtId="177" fontId="43" fillId="41" borderId="31" xfId="57" applyNumberFormat="1" applyFont="1" applyFill="1" applyBorder="1" applyAlignment="1">
      <alignment horizontal="center" vertical="center" wrapText="1"/>
    </xf>
    <xf numFmtId="177" fontId="43" fillId="26" borderId="13" xfId="57" applyNumberFormat="1" applyFont="1" applyFill="1" applyBorder="1" applyAlignment="1">
      <alignment horizontal="center" vertical="center" wrapText="1"/>
    </xf>
    <xf numFmtId="177" fontId="43" fillId="26" borderId="19" xfId="57" applyNumberFormat="1" applyFont="1" applyFill="1" applyBorder="1" applyAlignment="1">
      <alignment horizontal="center" vertical="center" wrapText="1"/>
    </xf>
    <xf numFmtId="177" fontId="43" fillId="26" borderId="14" xfId="29" applyNumberFormat="1" applyFont="1" applyFill="1" applyBorder="1" applyAlignment="1">
      <alignment horizontal="center" vertical="center" wrapText="1"/>
    </xf>
    <xf numFmtId="177" fontId="43" fillId="26" borderId="62" xfId="29" applyNumberFormat="1" applyFont="1" applyFill="1" applyBorder="1" applyAlignment="1">
      <alignment horizontal="center" vertical="center" wrapText="1"/>
    </xf>
    <xf numFmtId="177" fontId="43" fillId="26" borderId="17" xfId="29" applyNumberFormat="1" applyFont="1" applyFill="1" applyBorder="1" applyAlignment="1">
      <alignment horizontal="center" vertical="center" wrapText="1"/>
    </xf>
    <xf numFmtId="177" fontId="43" fillId="0" borderId="13" xfId="29" applyNumberFormat="1" applyFont="1" applyFill="1" applyBorder="1" applyAlignment="1">
      <alignment horizontal="right"/>
    </xf>
    <xf numFmtId="177" fontId="43" fillId="0" borderId="19" xfId="29" applyNumberFormat="1" applyFont="1" applyFill="1" applyBorder="1" applyAlignment="1">
      <alignment horizontal="right"/>
    </xf>
    <xf numFmtId="2" fontId="28" fillId="0" borderId="13" xfId="28" applyNumberFormat="1" applyFont="1" applyBorder="1" applyAlignment="1">
      <alignment horizontal="center" vertical="center"/>
    </xf>
    <xf numFmtId="2" fontId="28" fillId="0" borderId="19" xfId="28" applyNumberFormat="1" applyFont="1" applyBorder="1" applyAlignment="1">
      <alignment horizontal="center" vertical="center"/>
    </xf>
    <xf numFmtId="2" fontId="28" fillId="0" borderId="11" xfId="28" applyNumberFormat="1" applyFont="1" applyBorder="1" applyAlignment="1">
      <alignment horizontal="center" vertical="center"/>
    </xf>
    <xf numFmtId="2" fontId="28" fillId="0" borderId="20" xfId="28" applyNumberFormat="1" applyFont="1" applyBorder="1" applyAlignment="1">
      <alignment horizontal="center" vertical="center"/>
    </xf>
    <xf numFmtId="2" fontId="28" fillId="0" borderId="30" xfId="28" applyNumberFormat="1" applyFont="1" applyBorder="1" applyAlignment="1">
      <alignment horizontal="center" vertical="center"/>
    </xf>
    <xf numFmtId="2" fontId="28" fillId="0" borderId="61" xfId="28" applyNumberFormat="1" applyFont="1" applyBorder="1" applyAlignment="1">
      <alignment horizontal="center" vertical="center"/>
    </xf>
    <xf numFmtId="2" fontId="28" fillId="0" borderId="16" xfId="28" applyNumberFormat="1" applyFont="1" applyBorder="1" applyAlignment="1">
      <alignment horizontal="center" vertical="center"/>
    </xf>
    <xf numFmtId="0" fontId="53" fillId="0" borderId="76" xfId="41" applyFont="1" applyBorder="1" applyAlignment="1">
      <alignment horizontal="center"/>
    </xf>
    <xf numFmtId="0" fontId="53" fillId="0" borderId="77" xfId="41" applyFont="1" applyBorder="1" applyAlignment="1">
      <alignment horizontal="center"/>
    </xf>
    <xf numFmtId="0" fontId="53" fillId="0" borderId="22" xfId="41" applyFont="1" applyBorder="1" applyAlignment="1">
      <alignment horizontal="center"/>
    </xf>
    <xf numFmtId="2" fontId="0" fillId="33" borderId="13" xfId="28" applyNumberFormat="1" applyFont="1" applyFill="1" applyBorder="1" applyAlignment="1">
      <alignment horizontal="center"/>
    </xf>
    <xf numFmtId="2" fontId="0" fillId="33" borderId="20" xfId="28" applyNumberFormat="1" applyFont="1" applyFill="1" applyBorder="1" applyAlignment="1">
      <alignment horizontal="center"/>
    </xf>
    <xf numFmtId="2" fontId="0" fillId="33" borderId="19" xfId="28" applyNumberFormat="1" applyFont="1" applyFill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0" fillId="27" borderId="20" xfId="28" applyNumberFormat="1" applyFont="1" applyFill="1" applyBorder="1" applyAlignment="1">
      <alignment horizontal="center"/>
    </xf>
    <xf numFmtId="2" fontId="0" fillId="27" borderId="19" xfId="28" applyNumberFormat="1" applyFont="1" applyFill="1" applyBorder="1" applyAlignment="1">
      <alignment horizontal="center"/>
    </xf>
    <xf numFmtId="0" fontId="53" fillId="0" borderId="67" xfId="41" applyFont="1" applyBorder="1" applyAlignment="1">
      <alignment horizontal="center" vertical="center"/>
    </xf>
    <xf numFmtId="0" fontId="53" fillId="0" borderId="83" xfId="41" applyFont="1" applyBorder="1" applyAlignment="1">
      <alignment horizontal="center" vertical="center"/>
    </xf>
    <xf numFmtId="0" fontId="53" fillId="0" borderId="68" xfId="4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 wrapText="1"/>
    </xf>
    <xf numFmtId="0" fontId="28" fillId="0" borderId="68" xfId="0" applyFont="1" applyBorder="1" applyAlignment="1">
      <alignment horizontal="center" vertical="center" wrapText="1"/>
    </xf>
    <xf numFmtId="0" fontId="53" fillId="11" borderId="67" xfId="41" applyFont="1" applyFill="1" applyBorder="1" applyAlignment="1">
      <alignment horizontal="center" vertical="center" wrapText="1"/>
    </xf>
    <xf numFmtId="0" fontId="53" fillId="11" borderId="83" xfId="41" applyFont="1" applyFill="1" applyBorder="1" applyAlignment="1">
      <alignment horizontal="center" vertical="center" wrapText="1"/>
    </xf>
    <xf numFmtId="0" fontId="53" fillId="11" borderId="68" xfId="41" applyFont="1" applyFill="1" applyBorder="1" applyAlignment="1">
      <alignment horizontal="center" vertical="center" wrapText="1"/>
    </xf>
    <xf numFmtId="0" fontId="28" fillId="45" borderId="79" xfId="0" applyFont="1" applyFill="1" applyBorder="1" applyAlignment="1">
      <alignment horizontal="center" vertical="center" wrapText="1"/>
    </xf>
    <xf numFmtId="0" fontId="28" fillId="45" borderId="80" xfId="0" applyFont="1" applyFill="1" applyBorder="1" applyAlignment="1">
      <alignment horizontal="center" vertical="center" wrapText="1"/>
    </xf>
    <xf numFmtId="0" fontId="28" fillId="45" borderId="81" xfId="0" applyFont="1" applyFill="1" applyBorder="1" applyAlignment="1">
      <alignment horizontal="center" vertical="center" wrapText="1"/>
    </xf>
    <xf numFmtId="0" fontId="28" fillId="0" borderId="79" xfId="0" applyFont="1" applyBorder="1" applyAlignment="1">
      <alignment horizontal="center" vertical="center" wrapText="1"/>
    </xf>
    <xf numFmtId="0" fontId="28" fillId="0" borderId="80" xfId="0" applyFont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0" fontId="28" fillId="43" borderId="80" xfId="0" applyFont="1" applyFill="1" applyBorder="1" applyAlignment="1">
      <alignment horizontal="center" vertical="center" wrapText="1"/>
    </xf>
    <xf numFmtId="0" fontId="28" fillId="43" borderId="81" xfId="0" applyFont="1" applyFill="1" applyBorder="1" applyAlignment="1">
      <alignment horizontal="center" vertical="center" wrapText="1"/>
    </xf>
    <xf numFmtId="0" fontId="28" fillId="42" borderId="79" xfId="0" applyFont="1" applyFill="1" applyBorder="1" applyAlignment="1">
      <alignment horizontal="center" vertical="center" wrapText="1"/>
    </xf>
    <xf numFmtId="0" fontId="28" fillId="42" borderId="80" xfId="0" applyFont="1" applyFill="1" applyBorder="1" applyAlignment="1">
      <alignment horizontal="center" vertical="center" wrapText="1"/>
    </xf>
    <xf numFmtId="0" fontId="28" fillId="42" borderId="81" xfId="0" applyFont="1" applyFill="1" applyBorder="1" applyAlignment="1">
      <alignment horizontal="center" vertical="center" wrapText="1"/>
    </xf>
    <xf numFmtId="0" fontId="28" fillId="0" borderId="82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82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27" borderId="79" xfId="0" applyFont="1" applyFill="1" applyBorder="1" applyAlignment="1">
      <alignment horizontal="center" vertical="center" wrapText="1"/>
    </xf>
    <xf numFmtId="0" fontId="28" fillId="27" borderId="80" xfId="0" applyFont="1" applyFill="1" applyBorder="1" applyAlignment="1">
      <alignment horizontal="center" vertical="center" wrapText="1"/>
    </xf>
    <xf numFmtId="0" fontId="28" fillId="27" borderId="81" xfId="0" applyFont="1" applyFill="1" applyBorder="1" applyAlignment="1">
      <alignment horizontal="center" vertical="center" wrapText="1"/>
    </xf>
    <xf numFmtId="0" fontId="28" fillId="44" borderId="79" xfId="0" applyFont="1" applyFill="1" applyBorder="1" applyAlignment="1">
      <alignment horizontal="center" vertical="center" wrapText="1"/>
    </xf>
    <xf numFmtId="0" fontId="28" fillId="44" borderId="80" xfId="0" applyFont="1" applyFill="1" applyBorder="1" applyAlignment="1">
      <alignment horizontal="center" vertical="center" wrapText="1"/>
    </xf>
    <xf numFmtId="0" fontId="28" fillId="44" borderId="81" xfId="0" applyFont="1" applyFill="1" applyBorder="1" applyAlignment="1">
      <alignment horizontal="center" vertical="center" wrapText="1"/>
    </xf>
    <xf numFmtId="0" fontId="28" fillId="33" borderId="79" xfId="0" applyFont="1" applyFill="1" applyBorder="1" applyAlignment="1">
      <alignment horizontal="center" vertical="center" wrapText="1"/>
    </xf>
    <xf numFmtId="0" fontId="28" fillId="33" borderId="80" xfId="0" applyFont="1" applyFill="1" applyBorder="1" applyAlignment="1">
      <alignment horizontal="center" vertical="center" wrapText="1"/>
    </xf>
    <xf numFmtId="0" fontId="28" fillId="33" borderId="81" xfId="0" applyFont="1" applyFill="1" applyBorder="1" applyAlignment="1">
      <alignment horizontal="center" vertical="center" wrapText="1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0" fontId="55" fillId="27" borderId="11" xfId="0" applyFont="1" applyFill="1" applyBorder="1" applyAlignment="1">
      <alignment horizontal="center" vertical="top" wrapText="1"/>
    </xf>
    <xf numFmtId="0" fontId="55" fillId="27" borderId="11" xfId="0" applyFont="1" applyFill="1" applyBorder="1" applyAlignment="1">
      <alignment horizontal="center" vertical="center"/>
    </xf>
    <xf numFmtId="0" fontId="55" fillId="27" borderId="85" xfId="0" applyFont="1" applyFill="1" applyBorder="1" applyAlignment="1">
      <alignment horizontal="center" vertical="center" wrapText="1"/>
    </xf>
    <xf numFmtId="0" fontId="55" fillId="27" borderId="17" xfId="0" applyFont="1" applyFill="1" applyBorder="1" applyAlignment="1">
      <alignment horizontal="center" vertical="center" wrapText="1"/>
    </xf>
    <xf numFmtId="0" fontId="55" fillId="0" borderId="11" xfId="0" applyFont="1" applyBorder="1" applyAlignment="1">
      <alignment horizontal="center" vertical="center"/>
    </xf>
    <xf numFmtId="10" fontId="55" fillId="0" borderId="11" xfId="0" applyNumberFormat="1" applyFont="1" applyBorder="1" applyAlignment="1">
      <alignment horizontal="center" vertical="center"/>
    </xf>
    <xf numFmtId="0" fontId="55" fillId="0" borderId="85" xfId="0" applyFont="1" applyBorder="1" applyAlignment="1">
      <alignment horizontal="left" vertical="center"/>
    </xf>
    <xf numFmtId="0" fontId="55" fillId="0" borderId="17" xfId="0" applyFont="1" applyBorder="1" applyAlignment="1">
      <alignment horizontal="left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5" fillId="0" borderId="85" xfId="0" applyFont="1" applyBorder="1" applyAlignment="1">
      <alignment horizontal="center" vertical="center"/>
    </xf>
    <xf numFmtId="0" fontId="55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5" fillId="0" borderId="11" xfId="0" applyFont="1" applyBorder="1" applyAlignment="1">
      <alignment horizontal="left" vertical="center"/>
    </xf>
    <xf numFmtId="10" fontId="2" fillId="0" borderId="11" xfId="50" applyNumberFormat="1" applyFont="1" applyFill="1" applyBorder="1" applyAlignment="1">
      <alignment horizontal="center" vertical="center"/>
    </xf>
    <xf numFmtId="0" fontId="55" fillId="0" borderId="62" xfId="0" applyFont="1" applyBorder="1" applyAlignment="1">
      <alignment horizontal="left" vertical="center"/>
    </xf>
    <xf numFmtId="10" fontId="2" fillId="0" borderId="85" xfId="50" applyNumberFormat="1" applyFont="1" applyFill="1" applyBorder="1" applyAlignment="1">
      <alignment horizontal="center" vertical="center"/>
    </xf>
    <xf numFmtId="10" fontId="2" fillId="0" borderId="62" xfId="50" applyNumberFormat="1" applyFont="1" applyFill="1" applyBorder="1" applyAlignment="1">
      <alignment horizontal="center" vertical="center"/>
    </xf>
    <xf numFmtId="10" fontId="2" fillId="0" borderId="17" xfId="50" applyNumberFormat="1" applyFont="1" applyFill="1" applyBorder="1" applyAlignment="1">
      <alignment horizontal="center" vertical="center"/>
    </xf>
    <xf numFmtId="0" fontId="55" fillId="27" borderId="11" xfId="0" applyFont="1" applyFill="1" applyBorder="1" applyAlignment="1">
      <alignment horizontal="center"/>
    </xf>
    <xf numFmtId="10" fontId="55" fillId="0" borderId="85" xfId="50" applyNumberFormat="1" applyFont="1" applyFill="1" applyBorder="1" applyAlignment="1">
      <alignment horizontal="center" vertical="center"/>
    </xf>
    <xf numFmtId="10" fontId="55" fillId="0" borderId="17" xfId="50" applyNumberFormat="1" applyFont="1" applyFill="1" applyBorder="1" applyAlignment="1">
      <alignment horizontal="center" vertical="center"/>
    </xf>
    <xf numFmtId="0" fontId="23" fillId="24" borderId="76" xfId="0" applyFont="1" applyFill="1" applyBorder="1" applyAlignment="1">
      <alignment horizontal="center"/>
    </xf>
    <xf numFmtId="0" fontId="23" fillId="24" borderId="22" xfId="0" applyFont="1" applyFill="1" applyBorder="1" applyAlignment="1">
      <alignment horizontal="center"/>
    </xf>
    <xf numFmtId="0" fontId="27" fillId="24" borderId="27" xfId="0" applyFont="1" applyFill="1" applyBorder="1" applyAlignment="1">
      <alignment horizontal="center"/>
    </xf>
    <xf numFmtId="0" fontId="27" fillId="24" borderId="19" xfId="0" applyFont="1" applyFill="1" applyBorder="1" applyAlignment="1">
      <alignment horizontal="center"/>
    </xf>
    <xf numFmtId="0" fontId="27" fillId="24" borderId="76" xfId="0" applyFont="1" applyFill="1" applyBorder="1" applyAlignment="1">
      <alignment horizontal="center"/>
    </xf>
    <xf numFmtId="0" fontId="27" fillId="24" borderId="22" xfId="0" applyFont="1" applyFill="1" applyBorder="1" applyAlignment="1">
      <alignment horizontal="center"/>
    </xf>
    <xf numFmtId="0" fontId="27" fillId="24" borderId="75" xfId="0" applyFont="1" applyFill="1" applyBorder="1" applyAlignment="1">
      <alignment horizontal="center"/>
    </xf>
    <xf numFmtId="0" fontId="27" fillId="24" borderId="74" xfId="0" applyFont="1" applyFill="1" applyBorder="1" applyAlignment="1">
      <alignment horizontal="center"/>
    </xf>
    <xf numFmtId="0" fontId="27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78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27" fillId="24" borderId="55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69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36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69" xfId="0" applyFont="1" applyFill="1" applyBorder="1" applyAlignment="1">
      <alignment horizontal="center"/>
    </xf>
    <xf numFmtId="0" fontId="27" fillId="24" borderId="70" xfId="0" applyFont="1" applyFill="1" applyBorder="1" applyAlignment="1">
      <alignment horizontal="center"/>
    </xf>
    <xf numFmtId="0" fontId="27" fillId="24" borderId="35" xfId="0" applyFont="1" applyFill="1" applyBorder="1" applyAlignment="1">
      <alignment horizontal="center"/>
    </xf>
    <xf numFmtId="0" fontId="27" fillId="24" borderId="33" xfId="0" applyFont="1" applyFill="1" applyBorder="1" applyAlignment="1">
      <alignment horizontal="center"/>
    </xf>
    <xf numFmtId="0" fontId="46" fillId="24" borderId="27" xfId="0" applyFont="1" applyFill="1" applyBorder="1" applyAlignment="1">
      <alignment horizontal="center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7"/>
    <cellStyle name="Comma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 5" xfId="59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 2" xfId="60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79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36.936999999999998</c:v>
                </c:pt>
                <c:pt idx="1">
                  <c:v>53.685000000000002</c:v>
                </c:pt>
                <c:pt idx="2">
                  <c:v>56.16</c:v>
                </c:pt>
                <c:pt idx="3">
                  <c:v>45.530999999999999</c:v>
                </c:pt>
                <c:pt idx="4">
                  <c:v>37.146999999999998</c:v>
                </c:pt>
                <c:pt idx="5">
                  <c:v>42.652000000000001</c:v>
                </c:pt>
                <c:pt idx="6">
                  <c:v>60.290999999999997</c:v>
                </c:pt>
                <c:pt idx="7">
                  <c:v>46.26</c:v>
                </c:pt>
                <c:pt idx="8">
                  <c:v>49.106000000000002</c:v>
                </c:pt>
                <c:pt idx="9">
                  <c:v>56.877000000000002</c:v>
                </c:pt>
                <c:pt idx="10">
                  <c:v>43.755000000000003</c:v>
                </c:pt>
                <c:pt idx="11">
                  <c:v>49.295000000000002</c:v>
                </c:pt>
                <c:pt idx="12">
                  <c:v>18.167000000000002</c:v>
                </c:pt>
                <c:pt idx="13">
                  <c:v>54.055999999999997</c:v>
                </c:pt>
                <c:pt idx="14">
                  <c:v>50.665999999999997</c:v>
                </c:pt>
                <c:pt idx="15">
                  <c:v>40.222000000000001</c:v>
                </c:pt>
                <c:pt idx="16">
                  <c:v>41.671999999999997</c:v>
                </c:pt>
                <c:pt idx="17">
                  <c:v>51.387999999999998</c:v>
                </c:pt>
                <c:pt idx="18">
                  <c:v>54.652000000000001</c:v>
                </c:pt>
                <c:pt idx="19">
                  <c:v>44.97</c:v>
                </c:pt>
                <c:pt idx="20">
                  <c:v>51.795999999999999</c:v>
                </c:pt>
                <c:pt idx="21">
                  <c:v>48.822000000000003</c:v>
                </c:pt>
                <c:pt idx="22">
                  <c:v>47.997</c:v>
                </c:pt>
                <c:pt idx="23">
                  <c:v>53.771000000000001</c:v>
                </c:pt>
                <c:pt idx="24">
                  <c:v>43.970999999999997</c:v>
                </c:pt>
                <c:pt idx="25">
                  <c:v>45.142000000000003</c:v>
                </c:pt>
                <c:pt idx="26">
                  <c:v>50.276000000000003</c:v>
                </c:pt>
                <c:pt idx="27">
                  <c:v>23.103999999999999</c:v>
                </c:pt>
                <c:pt idx="28">
                  <c:v>40.548000000000002</c:v>
                </c:pt>
                <c:pt idx="29">
                  <c:v>39.274999999999999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87744"/>
        <c:axId val="27508928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9D9-4AE7-A2BC-243B616CE85F}"/>
              </c:ext>
            </c:extLst>
          </c:dPt>
          <c:cat>
            <c:numRef>
              <c:f>Report1!$A$9:$A$39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0.66499435987131972</c:v>
                </c:pt>
                <c:pt idx="1">
                  <c:v>0.96651656089264981</c:v>
                </c:pt>
                <c:pt idx="2">
                  <c:v>1.0974484167977767</c:v>
                </c:pt>
                <c:pt idx="3">
                  <c:v>0.85554476436593652</c:v>
                </c:pt>
                <c:pt idx="4">
                  <c:v>0.67468890243097956</c:v>
                </c:pt>
                <c:pt idx="5">
                  <c:v>0.76259501421272791</c:v>
                </c:pt>
                <c:pt idx="6">
                  <c:v>1.1219331482593038</c:v>
                </c:pt>
                <c:pt idx="7">
                  <c:v>0.86083540559080773</c:v>
                </c:pt>
                <c:pt idx="8">
                  <c:v>0.9137955777549116</c:v>
                </c:pt>
                <c:pt idx="9">
                  <c:v>1.0584032720230951</c:v>
                </c:pt>
                <c:pt idx="10">
                  <c:v>0.81268286908475418</c:v>
                </c:pt>
                <c:pt idx="11">
                  <c:v>0.99683971035605357</c:v>
                </c:pt>
                <c:pt idx="12">
                  <c:v>0.37373128442927717</c:v>
                </c:pt>
                <c:pt idx="13">
                  <c:v>1.0080822156168618</c:v>
                </c:pt>
                <c:pt idx="14">
                  <c:v>0.90977081719246977</c:v>
                </c:pt>
                <c:pt idx="15">
                  <c:v>0.76458268864379975</c:v>
                </c:pt>
                <c:pt idx="16">
                  <c:v>0.8131617384883596</c:v>
                </c:pt>
                <c:pt idx="17">
                  <c:v>1.0060094716179373</c:v>
                </c:pt>
                <c:pt idx="18">
                  <c:v>1.0552248565192892</c:v>
                </c:pt>
                <c:pt idx="19">
                  <c:v>0.88036595973103915</c:v>
                </c:pt>
                <c:pt idx="20">
                  <c:v>1.0139967811925483</c:v>
                </c:pt>
                <c:pt idx="21">
                  <c:v>0.9557755589501622</c:v>
                </c:pt>
                <c:pt idx="22">
                  <c:v>0.93962474914855865</c:v>
                </c:pt>
                <c:pt idx="23">
                  <c:v>1.0526608410206295</c:v>
                </c:pt>
                <c:pt idx="24">
                  <c:v>0.86080879731673376</c:v>
                </c:pt>
                <c:pt idx="25">
                  <c:v>0.88373315886543413</c:v>
                </c:pt>
                <c:pt idx="26">
                  <c:v>0.98523372841485601</c:v>
                </c:pt>
                <c:pt idx="27">
                  <c:v>0.4267926946479671</c:v>
                </c:pt>
                <c:pt idx="28">
                  <c:v>0.75217360140008027</c:v>
                </c:pt>
                <c:pt idx="29">
                  <c:v>0.73780096681363549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9D9-4AE7-A2BC-243B616CE85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0.66499435987131972</c:v>
                </c:pt>
                <c:pt idx="1">
                  <c:v>0.81575546038198476</c:v>
                </c:pt>
                <c:pt idx="2">
                  <c:v>0.90459365107412826</c:v>
                </c:pt>
                <c:pt idx="3">
                  <c:v>0.89247976896733694</c:v>
                </c:pt>
                <c:pt idx="4">
                  <c:v>0.84815678475867595</c:v>
                </c:pt>
                <c:pt idx="5">
                  <c:v>0.83349852733492558</c:v>
                </c:pt>
                <c:pt idx="6">
                  <c:v>0.87426577953758322</c:v>
                </c:pt>
                <c:pt idx="7">
                  <c:v>0.87260260722126737</c:v>
                </c:pt>
                <c:pt idx="8">
                  <c:v>0.8771417000907743</c:v>
                </c:pt>
                <c:pt idx="9">
                  <c:v>0.89513264664878411</c:v>
                </c:pt>
                <c:pt idx="10">
                  <c:v>0.88767526177684164</c:v>
                </c:pt>
                <c:pt idx="11">
                  <c:v>0.89604845086606999</c:v>
                </c:pt>
                <c:pt idx="12">
                  <c:v>0.85942820580249957</c:v>
                </c:pt>
                <c:pt idx="13">
                  <c:v>0.8700999272328982</c:v>
                </c:pt>
                <c:pt idx="14">
                  <c:v>0.87285248586676989</c:v>
                </c:pt>
                <c:pt idx="15">
                  <c:v>0.86619276542317447</c:v>
                </c:pt>
                <c:pt idx="16">
                  <c:v>0.86319475218325747</c:v>
                </c:pt>
                <c:pt idx="17">
                  <c:v>0.87081309976728094</c:v>
                </c:pt>
                <c:pt idx="18">
                  <c:v>0.880275505152602</c:v>
                </c:pt>
                <c:pt idx="19">
                  <c:v>0.8802798622950837</c:v>
                </c:pt>
                <c:pt idx="20">
                  <c:v>0.88642492181081955</c:v>
                </c:pt>
                <c:pt idx="21">
                  <c:v>0.88947195287323189</c:v>
                </c:pt>
                <c:pt idx="22">
                  <c:v>0.89158275466994019</c:v>
                </c:pt>
                <c:pt idx="23">
                  <c:v>0.89808831354115959</c:v>
                </c:pt>
                <c:pt idx="24">
                  <c:v>0.89664113122711309</c:v>
                </c:pt>
                <c:pt idx="25">
                  <c:v>0.89615877176924541</c:v>
                </c:pt>
                <c:pt idx="26">
                  <c:v>0.89936439633157828</c:v>
                </c:pt>
                <c:pt idx="27">
                  <c:v>0.88198630995041005</c:v>
                </c:pt>
                <c:pt idx="28">
                  <c:v>0.8774005309236117</c:v>
                </c:pt>
                <c:pt idx="29">
                  <c:v>0.87269494091770761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133824"/>
        <c:axId val="283131904"/>
      </c:lineChart>
      <c:dateAx>
        <c:axId val="27508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275089280"/>
        <c:crosses val="autoZero"/>
        <c:auto val="1"/>
        <c:lblOffset val="100"/>
        <c:baseTimeUnit val="days"/>
      </c:dateAx>
      <c:valAx>
        <c:axId val="27508928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275087744"/>
        <c:crosses val="autoZero"/>
        <c:crossBetween val="between"/>
      </c:valAx>
      <c:valAx>
        <c:axId val="2831319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83133824"/>
        <c:crosses val="max"/>
        <c:crossBetween val="between"/>
      </c:valAx>
      <c:dateAx>
        <c:axId val="28313382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283131904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</xdr:row>
      <xdr:rowOff>76200</xdr:rowOff>
    </xdr:from>
    <xdr:to>
      <xdr:col>17</xdr:col>
      <xdr:colOff>457199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Apr 13"/>
      <sheetName val="DailyApr"/>
      <sheetName val="Mei"/>
      <sheetName val="DailyM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7">
          <cell r="D7">
            <v>0</v>
          </cell>
          <cell r="AT7">
            <v>6273.0099999994409</v>
          </cell>
          <cell r="AU7">
            <v>19110.000000000582</v>
          </cell>
          <cell r="AV7">
            <v>9924.0099999996219</v>
          </cell>
          <cell r="AW7">
            <v>12011.666335946824</v>
          </cell>
          <cell r="AX7">
            <v>1742.4000000000233</v>
          </cell>
          <cell r="BS7">
            <v>0</v>
          </cell>
        </row>
        <row r="8">
          <cell r="AT8">
            <v>6755.2100000003411</v>
          </cell>
          <cell r="AU8">
            <v>18739.999999999782</v>
          </cell>
          <cell r="AV8">
            <v>10816.210000000603</v>
          </cell>
          <cell r="AW8">
            <v>18595.319103981707</v>
          </cell>
          <cell r="AX8">
            <v>1844.7999999999884</v>
          </cell>
          <cell r="BS8">
            <v>0</v>
          </cell>
        </row>
        <row r="9">
          <cell r="AT9">
            <v>6601.1100000000679</v>
          </cell>
          <cell r="AU9">
            <v>20000</v>
          </cell>
          <cell r="AV9">
            <v>9901.1099999994549</v>
          </cell>
          <cell r="AW9">
            <v>15681.113786936239</v>
          </cell>
          <cell r="AX9">
            <v>1970</v>
          </cell>
          <cell r="BS9">
            <v>0</v>
          </cell>
        </row>
        <row r="10">
          <cell r="AT10">
            <v>5663.6899999999087</v>
          </cell>
          <cell r="AU10">
            <v>14000</v>
          </cell>
          <cell r="AV10">
            <v>9813.69</v>
          </cell>
          <cell r="AW10">
            <v>14421.653634774268</v>
          </cell>
          <cell r="AX10">
            <v>1970</v>
          </cell>
          <cell r="BS10">
            <v>0</v>
          </cell>
        </row>
        <row r="11">
          <cell r="AT11">
            <v>7407.440000000046</v>
          </cell>
          <cell r="AU11">
            <v>8000</v>
          </cell>
          <cell r="AV11">
            <v>10457.44</v>
          </cell>
          <cell r="AW11">
            <v>16266.002727570181</v>
          </cell>
          <cell r="AX11">
            <v>1870</v>
          </cell>
          <cell r="BS11">
            <v>0</v>
          </cell>
        </row>
        <row r="12">
          <cell r="AT12">
            <v>5920.45</v>
          </cell>
          <cell r="AU12">
            <v>9000</v>
          </cell>
          <cell r="AV12">
            <v>10420.450000000001</v>
          </cell>
          <cell r="AW12">
            <v>16124.525646184802</v>
          </cell>
          <cell r="AX12">
            <v>1730</v>
          </cell>
          <cell r="BS12">
            <v>0</v>
          </cell>
        </row>
        <row r="13">
          <cell r="AT13">
            <v>6941.1500000000451</v>
          </cell>
          <cell r="AU13">
            <v>10000</v>
          </cell>
          <cell r="AV13">
            <v>10091.150000000363</v>
          </cell>
          <cell r="AW13">
            <v>20921.935455524748</v>
          </cell>
          <cell r="AX13">
            <v>1890</v>
          </cell>
          <cell r="BS13">
            <v>0</v>
          </cell>
        </row>
        <row r="14">
          <cell r="AT14">
            <v>5886.46</v>
          </cell>
          <cell r="AU14">
            <v>8000</v>
          </cell>
          <cell r="AV14">
            <v>10486.459999999453</v>
          </cell>
          <cell r="AW14">
            <v>19859.19455379908</v>
          </cell>
          <cell r="AX14">
            <v>1480</v>
          </cell>
          <cell r="BS14">
            <v>0</v>
          </cell>
        </row>
        <row r="15">
          <cell r="AT15">
            <v>6727.3899999999549</v>
          </cell>
          <cell r="AU15">
            <v>10000</v>
          </cell>
          <cell r="AV15">
            <v>9877.390000000727</v>
          </cell>
          <cell r="AW15">
            <v>20445.928928316425</v>
          </cell>
          <cell r="AX15">
            <v>1900</v>
          </cell>
          <cell r="BS15">
            <v>0</v>
          </cell>
        </row>
        <row r="16">
          <cell r="AT16">
            <v>5850.5700000000452</v>
          </cell>
          <cell r="AU16">
            <v>9000</v>
          </cell>
          <cell r="AV16">
            <v>10500.569999999454</v>
          </cell>
          <cell r="AW16">
            <v>21011.903086058694</v>
          </cell>
          <cell r="AX16">
            <v>2200</v>
          </cell>
          <cell r="BS16">
            <v>0</v>
          </cell>
        </row>
        <row r="17">
          <cell r="AT17">
            <v>5969.8299999999317</v>
          </cell>
          <cell r="AU17">
            <v>10000</v>
          </cell>
          <cell r="AV17">
            <v>10219.829999999818</v>
          </cell>
          <cell r="AW17">
            <v>18015.413856899169</v>
          </cell>
          <cell r="AX17">
            <v>2160</v>
          </cell>
          <cell r="BS17">
            <v>0</v>
          </cell>
        </row>
        <row r="18">
          <cell r="AT18">
            <v>7402.0800000000227</v>
          </cell>
          <cell r="AU18">
            <v>14000</v>
          </cell>
          <cell r="AV18">
            <v>10552.08</v>
          </cell>
          <cell r="AW18">
            <v>17309.462431761789</v>
          </cell>
          <cell r="AX18">
            <v>2200</v>
          </cell>
          <cell r="BS18">
            <v>0</v>
          </cell>
        </row>
        <row r="19">
          <cell r="AT19">
            <v>4804.57</v>
          </cell>
          <cell r="AU19">
            <v>12000</v>
          </cell>
          <cell r="AV19">
            <v>6404.5700000003635</v>
          </cell>
          <cell r="AW19">
            <v>11912.340290305858</v>
          </cell>
          <cell r="AX19">
            <v>1410</v>
          </cell>
          <cell r="BS19">
            <v>0</v>
          </cell>
        </row>
        <row r="20">
          <cell r="AT20">
            <v>5761.1700000000455</v>
          </cell>
          <cell r="AU20">
            <v>11000</v>
          </cell>
          <cell r="AV20">
            <v>10511.169999999818</v>
          </cell>
          <cell r="AW20">
            <v>10387.374548418902</v>
          </cell>
          <cell r="AX20">
            <v>1850</v>
          </cell>
          <cell r="BS20">
            <v>0</v>
          </cell>
        </row>
        <row r="21">
          <cell r="AT21">
            <v>5796.18</v>
          </cell>
          <cell r="AU21">
            <v>11000</v>
          </cell>
          <cell r="AV21">
            <v>9796.18</v>
          </cell>
          <cell r="AW21">
            <v>11684.213499645484</v>
          </cell>
          <cell r="AX21">
            <v>1900</v>
          </cell>
          <cell r="BS21">
            <v>0</v>
          </cell>
        </row>
        <row r="22">
          <cell r="AT22">
            <v>6903.17</v>
          </cell>
          <cell r="AU22">
            <v>15000</v>
          </cell>
          <cell r="AV22">
            <v>11203.170000000182</v>
          </cell>
          <cell r="AW22">
            <v>11441.768962936912</v>
          </cell>
          <cell r="AX22">
            <v>1920</v>
          </cell>
          <cell r="BS22">
            <v>0</v>
          </cell>
        </row>
        <row r="23">
          <cell r="AT23">
            <v>5894.9199999999773</v>
          </cell>
          <cell r="AU23">
            <v>20000</v>
          </cell>
          <cell r="AV23">
            <v>9494.92</v>
          </cell>
          <cell r="AW23">
            <v>11519.352611495731</v>
          </cell>
          <cell r="AX23">
            <v>1930</v>
          </cell>
          <cell r="BS23">
            <v>0</v>
          </cell>
        </row>
        <row r="24">
          <cell r="AT24">
            <v>4516.8900000000003</v>
          </cell>
          <cell r="AU24">
            <v>18000</v>
          </cell>
          <cell r="AV24">
            <v>8516.89</v>
          </cell>
          <cell r="AW24">
            <v>10993.006938472945</v>
          </cell>
          <cell r="AX24">
            <v>2100</v>
          </cell>
          <cell r="BS24">
            <v>0</v>
          </cell>
        </row>
        <row r="25">
          <cell r="AT25">
            <v>6812.2299999999314</v>
          </cell>
          <cell r="AU25">
            <v>18000</v>
          </cell>
          <cell r="AV25">
            <v>10562.229999999818</v>
          </cell>
          <cell r="AW25">
            <v>8081.6215897168286</v>
          </cell>
          <cell r="AX25">
            <v>2010</v>
          </cell>
          <cell r="BS25">
            <v>0</v>
          </cell>
        </row>
        <row r="26">
          <cell r="AT26">
            <v>4692.0900000000911</v>
          </cell>
          <cell r="AU26">
            <v>17280.000000000655</v>
          </cell>
          <cell r="AV26">
            <v>8976.0900000001966</v>
          </cell>
          <cell r="AW26">
            <v>12826.202108829111</v>
          </cell>
          <cell r="AX26">
            <v>1971</v>
          </cell>
          <cell r="BS26">
            <v>0</v>
          </cell>
        </row>
        <row r="27">
          <cell r="AT27">
            <v>7273.6699999998318</v>
          </cell>
          <cell r="AU27">
            <v>18209.999999999127</v>
          </cell>
          <cell r="AV27">
            <v>10264.670000000386</v>
          </cell>
          <cell r="AW27">
            <v>11202.316506071598</v>
          </cell>
          <cell r="AX27">
            <v>1875.7999999999884</v>
          </cell>
          <cell r="BS27">
            <v>0</v>
          </cell>
        </row>
        <row r="28">
          <cell r="AT28">
            <v>5353.0999999994683</v>
          </cell>
          <cell r="AU28">
            <v>18190.000000000509</v>
          </cell>
          <cell r="AV28">
            <v>9287.0999999993237</v>
          </cell>
          <cell r="AW28">
            <v>9907.4147170354536</v>
          </cell>
          <cell r="AX28">
            <v>1703.2000000000116</v>
          </cell>
          <cell r="BS28">
            <v>0</v>
          </cell>
        </row>
        <row r="29">
          <cell r="AT29">
            <v>4972.220000000555</v>
          </cell>
          <cell r="AU29">
            <v>18159.999999999854</v>
          </cell>
          <cell r="AV29">
            <v>9630.2200000006833</v>
          </cell>
          <cell r="AW29">
            <v>10091.031476038936</v>
          </cell>
          <cell r="AX29">
            <v>1731</v>
          </cell>
          <cell r="BS29">
            <v>0</v>
          </cell>
        </row>
        <row r="30">
          <cell r="AT30">
            <v>5513.8099999995684</v>
          </cell>
          <cell r="AU30">
            <v>18510.000000000218</v>
          </cell>
          <cell r="AV30">
            <v>10258.809999999345</v>
          </cell>
          <cell r="AW30">
            <v>10382.938187729129</v>
          </cell>
          <cell r="AX30">
            <v>1884.7999999999884</v>
          </cell>
          <cell r="BS30">
            <v>0</v>
          </cell>
        </row>
        <row r="31">
          <cell r="AT31">
            <v>5853.7000000003409</v>
          </cell>
          <cell r="AU31">
            <v>18079.999999999927</v>
          </cell>
          <cell r="AV31">
            <v>10405.70000000059</v>
          </cell>
          <cell r="AW31">
            <v>10811.116892462753</v>
          </cell>
          <cell r="AX31">
            <v>1993.2999999999884</v>
          </cell>
          <cell r="BS31">
            <v>0</v>
          </cell>
        </row>
        <row r="32">
          <cell r="AT32">
            <v>6349.6100000001907</v>
          </cell>
          <cell r="AU32">
            <v>18569.999999999709</v>
          </cell>
          <cell r="AV32">
            <v>10735.609999999477</v>
          </cell>
          <cell r="AW32">
            <v>11442.718109398125</v>
          </cell>
          <cell r="AX32">
            <v>1880.9000000000233</v>
          </cell>
          <cell r="BS32">
            <v>0</v>
          </cell>
        </row>
        <row r="33">
          <cell r="AT33">
            <v>5405.8499999999776</v>
          </cell>
          <cell r="AU33">
            <v>16000</v>
          </cell>
          <cell r="AV33">
            <v>8905.8500000005461</v>
          </cell>
          <cell r="AW33">
            <v>9715.1307172507004</v>
          </cell>
          <cell r="AX33">
            <v>2030</v>
          </cell>
          <cell r="BS33">
            <v>0</v>
          </cell>
        </row>
        <row r="34">
          <cell r="AT34">
            <v>4017.0599999999777</v>
          </cell>
          <cell r="AU34">
            <v>8000</v>
          </cell>
          <cell r="AV34">
            <v>5917.0599999992728</v>
          </cell>
          <cell r="AW34">
            <v>6180.5283238185411</v>
          </cell>
          <cell r="AX34">
            <v>1420</v>
          </cell>
          <cell r="BS34">
            <v>0</v>
          </cell>
        </row>
        <row r="35">
          <cell r="AT35">
            <v>6173.8700000000454</v>
          </cell>
          <cell r="AU35">
            <v>12000</v>
          </cell>
          <cell r="AV35">
            <v>8623.8700000005465</v>
          </cell>
          <cell r="AW35">
            <v>10892.868257482474</v>
          </cell>
          <cell r="AX35">
            <v>1760</v>
          </cell>
          <cell r="BS35">
            <v>0</v>
          </cell>
        </row>
        <row r="36">
          <cell r="AT36">
            <v>7063.0900000000456</v>
          </cell>
          <cell r="AU36">
            <v>13000</v>
          </cell>
          <cell r="AV36">
            <v>8913.090000000182</v>
          </cell>
          <cell r="AW36">
            <v>11944.103904864432</v>
          </cell>
          <cell r="AX36">
            <v>1160</v>
          </cell>
          <cell r="BS36">
            <v>0</v>
          </cell>
        </row>
        <row r="38">
          <cell r="AY38">
            <v>1360440.5471897284</v>
          </cell>
          <cell r="BS38">
            <v>0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52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140625" customWidth="1"/>
    <col min="12" max="25" width="9.42578125" customWidth="1"/>
    <col min="26" max="34" width="9.140625" customWidth="1"/>
    <col min="35" max="35" width="9.28515625" customWidth="1"/>
    <col min="36" max="36" width="10.28515625" customWidth="1"/>
    <col min="37" max="51" width="9.140625" customWidth="1"/>
    <col min="52" max="52" width="12.85546875" customWidth="1"/>
    <col min="53" max="71" width="9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52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140625" customWidth="1"/>
    <col min="12" max="25" width="9.42578125" customWidth="1"/>
    <col min="26" max="34" width="9.140625" customWidth="1"/>
    <col min="35" max="35" width="9.28515625" customWidth="1"/>
    <col min="36" max="36" width="10.28515625" customWidth="1"/>
    <col min="37" max="51" width="9.140625" customWidth="1"/>
    <col min="52" max="52" width="12.85546875" customWidth="1"/>
    <col min="53" max="71" width="9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52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140625" customWidth="1"/>
    <col min="12" max="25" width="9.42578125" customWidth="1"/>
    <col min="26" max="34" width="9.140625" customWidth="1"/>
    <col min="35" max="35" width="9.28515625" customWidth="1"/>
    <col min="36" max="36" width="10.28515625" customWidth="1"/>
    <col min="37" max="51" width="9.140625" customWidth="1"/>
    <col min="52" max="52" width="12.85546875" customWidth="1"/>
    <col min="53" max="71" width="9.1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M152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140625" customWidth="1"/>
    <col min="12" max="25" width="9.42578125" customWidth="1"/>
    <col min="26" max="27" width="9.85546875" customWidth="1"/>
    <col min="28" max="36" width="9.140625" customWidth="1"/>
    <col min="37" max="37" width="9.28515625" customWidth="1"/>
    <col min="38" max="38" width="10.28515625" customWidth="1"/>
    <col min="39" max="53" width="9.140625" customWidth="1"/>
    <col min="54" max="54" width="12.85546875" customWidth="1"/>
    <col min="55" max="73" width="9.140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536"/>
  <sheetViews>
    <sheetView zoomScaleNormal="100" workbookViewId="0">
      <pane xSplit="3" ySplit="8" topLeftCell="X30" activePane="bottomRight" state="frozen"/>
      <selection pane="topRight" activeCell="E1" sqref="E1"/>
      <selection pane="bottomLeft" activeCell="A9" sqref="A9"/>
      <selection pane="bottomRight" activeCell="AL41" sqref="AL41"/>
    </sheetView>
  </sheetViews>
  <sheetFormatPr defaultColWidth="9.140625" defaultRowHeight="12.75"/>
  <cols>
    <col min="1" max="1" width="7.5703125" style="274" customWidth="1"/>
    <col min="2" max="2" width="12" style="273" customWidth="1"/>
    <col min="3" max="3" width="12.28515625" style="273" bestFit="1" customWidth="1"/>
    <col min="4" max="4" width="8.28515625" style="273" customWidth="1"/>
    <col min="5" max="5" width="8" style="273" customWidth="1"/>
    <col min="6" max="6" width="6.85546875" style="273" customWidth="1"/>
    <col min="7" max="11" width="8.7109375" style="273" customWidth="1"/>
    <col min="12" max="12" width="8.7109375" style="275" customWidth="1"/>
    <col min="13" max="15" width="8.7109375" style="276" customWidth="1"/>
    <col min="16" max="16" width="8.7109375" style="275" customWidth="1"/>
    <col min="17" max="17" width="8.7109375" style="276" customWidth="1"/>
    <col min="18" max="18" width="8.7109375" style="275" customWidth="1"/>
    <col min="19" max="19" width="8.7109375" style="277" customWidth="1"/>
    <col min="20" max="21" width="7.7109375" style="277" customWidth="1"/>
    <col min="22" max="23" width="7.7109375" style="278" customWidth="1"/>
    <col min="24" max="24" width="7.7109375" style="277" customWidth="1"/>
    <col min="25" max="25" width="7.7109375" style="278" customWidth="1"/>
    <col min="26" max="26" width="10.85546875" style="277" customWidth="1"/>
    <col min="27" max="27" width="11.140625" style="277" customWidth="1"/>
    <col min="28" max="31" width="7.5703125" style="278" customWidth="1"/>
    <col min="32" max="32" width="10.85546875" style="277" customWidth="1"/>
    <col min="33" max="33" width="11.140625" style="277" customWidth="1"/>
    <col min="34" max="37" width="7.5703125" style="278" customWidth="1"/>
    <col min="38" max="38" width="8.7109375" style="275" customWidth="1"/>
    <col min="39" max="39" width="8.7109375" style="276" customWidth="1"/>
    <col min="40" max="41" width="8.7109375" style="273" customWidth="1"/>
  </cols>
  <sheetData>
    <row r="1" spans="1:41" ht="12.75" customHeight="1">
      <c r="A1" s="272"/>
    </row>
    <row r="2" spans="1:41">
      <c r="A2" s="272"/>
    </row>
    <row r="3" spans="1:41" ht="12.75" customHeight="1">
      <c r="A3" s="624" t="s">
        <v>215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567"/>
      <c r="AG3" s="567"/>
      <c r="AH3" s="567"/>
      <c r="AI3" s="567"/>
      <c r="AJ3" s="567"/>
      <c r="AK3" s="567"/>
      <c r="AL3"/>
      <c r="AM3"/>
      <c r="AN3"/>
      <c r="AO3"/>
    </row>
    <row r="4" spans="1:41" ht="12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  <c r="N4" s="624"/>
      <c r="O4" s="624"/>
      <c r="P4" s="624"/>
      <c r="Q4" s="624"/>
      <c r="R4" s="624"/>
      <c r="S4" s="624"/>
      <c r="T4" s="624"/>
      <c r="U4" s="624"/>
      <c r="V4" s="624"/>
      <c r="W4" s="624"/>
      <c r="X4" s="624"/>
      <c r="Y4" s="624"/>
      <c r="Z4" s="624"/>
      <c r="AA4" s="624"/>
      <c r="AB4" s="624"/>
      <c r="AC4" s="624"/>
      <c r="AD4" s="624"/>
      <c r="AE4" s="624"/>
      <c r="AF4" s="567"/>
      <c r="AG4" s="567"/>
      <c r="AH4" s="567"/>
      <c r="AI4" s="567"/>
      <c r="AJ4" s="567"/>
      <c r="AK4" s="567"/>
      <c r="AL4"/>
      <c r="AM4"/>
      <c r="AN4"/>
      <c r="AO4"/>
    </row>
    <row r="5" spans="1:41">
      <c r="H5" s="275"/>
      <c r="I5" s="276"/>
      <c r="J5" s="276"/>
      <c r="K5" s="276"/>
      <c r="AN5" s="276"/>
      <c r="AO5" s="276"/>
    </row>
    <row r="6" spans="1:41" ht="22.7" customHeight="1">
      <c r="A6" s="627" t="s">
        <v>7</v>
      </c>
      <c r="B6" s="626" t="s">
        <v>8</v>
      </c>
      <c r="C6" s="626" t="s">
        <v>5</v>
      </c>
      <c r="D6" s="626" t="s">
        <v>186</v>
      </c>
      <c r="E6" s="626" t="s">
        <v>187</v>
      </c>
      <c r="F6" s="626" t="s">
        <v>183</v>
      </c>
      <c r="G6" s="626" t="s">
        <v>182</v>
      </c>
      <c r="H6" s="626" t="s">
        <v>184</v>
      </c>
      <c r="I6" s="626" t="s">
        <v>185</v>
      </c>
      <c r="J6" s="631" t="s">
        <v>189</v>
      </c>
      <c r="K6" s="632"/>
      <c r="L6" s="630" t="s">
        <v>188</v>
      </c>
      <c r="M6" s="630"/>
      <c r="N6" s="630" t="s">
        <v>190</v>
      </c>
      <c r="O6" s="630"/>
      <c r="P6" s="636" t="s">
        <v>29</v>
      </c>
      <c r="Q6" s="636"/>
      <c r="R6" s="625" t="s">
        <v>22</v>
      </c>
      <c r="S6" s="625"/>
      <c r="T6" s="625" t="s">
        <v>30</v>
      </c>
      <c r="U6" s="625"/>
      <c r="V6" s="625"/>
      <c r="W6" s="625"/>
      <c r="X6" s="625"/>
      <c r="Y6" s="625"/>
      <c r="Z6" s="625" t="s">
        <v>31</v>
      </c>
      <c r="AA6" s="625"/>
      <c r="AB6" s="625"/>
      <c r="AC6" s="625"/>
      <c r="AD6" s="625"/>
      <c r="AE6" s="625"/>
      <c r="AF6" s="625" t="s">
        <v>391</v>
      </c>
      <c r="AG6" s="625"/>
      <c r="AH6" s="625"/>
      <c r="AI6" s="625"/>
      <c r="AJ6" s="625"/>
      <c r="AK6" s="625"/>
      <c r="AL6" s="630" t="s">
        <v>351</v>
      </c>
      <c r="AM6" s="630"/>
      <c r="AN6" s="631" t="s">
        <v>352</v>
      </c>
      <c r="AO6" s="632"/>
    </row>
    <row r="7" spans="1:41" ht="22.7" customHeight="1">
      <c r="A7" s="628"/>
      <c r="B7" s="626"/>
      <c r="C7" s="626"/>
      <c r="D7" s="626"/>
      <c r="E7" s="626"/>
      <c r="F7" s="626"/>
      <c r="G7" s="626"/>
      <c r="H7" s="626"/>
      <c r="I7" s="626"/>
      <c r="J7" s="633"/>
      <c r="K7" s="634"/>
      <c r="L7" s="630"/>
      <c r="M7" s="630"/>
      <c r="N7" s="630"/>
      <c r="O7" s="630"/>
      <c r="P7" s="636"/>
      <c r="Q7" s="636"/>
      <c r="R7" s="625"/>
      <c r="S7" s="625"/>
      <c r="T7" s="625" t="s">
        <v>34</v>
      </c>
      <c r="U7" s="625"/>
      <c r="V7" s="635" t="s">
        <v>32</v>
      </c>
      <c r="W7" s="635"/>
      <c r="X7" s="625" t="s">
        <v>33</v>
      </c>
      <c r="Y7" s="625"/>
      <c r="Z7" s="625" t="s">
        <v>34</v>
      </c>
      <c r="AA7" s="625"/>
      <c r="AB7" s="625" t="s">
        <v>25</v>
      </c>
      <c r="AC7" s="625"/>
      <c r="AD7" s="625" t="s">
        <v>26</v>
      </c>
      <c r="AE7" s="625"/>
      <c r="AF7" s="625" t="s">
        <v>34</v>
      </c>
      <c r="AG7" s="625"/>
      <c r="AH7" s="625" t="s">
        <v>25</v>
      </c>
      <c r="AI7" s="625"/>
      <c r="AJ7" s="625" t="s">
        <v>26</v>
      </c>
      <c r="AK7" s="625"/>
      <c r="AL7" s="630"/>
      <c r="AM7" s="630"/>
      <c r="AN7" s="633"/>
      <c r="AO7" s="634"/>
    </row>
    <row r="8" spans="1:41" s="1" customFormat="1">
      <c r="A8" s="629"/>
      <c r="B8" s="626"/>
      <c r="C8" s="626"/>
      <c r="D8" s="626"/>
      <c r="E8" s="626"/>
      <c r="F8" s="626"/>
      <c r="G8" s="626"/>
      <c r="H8" s="626"/>
      <c r="I8" s="626"/>
      <c r="J8" s="421" t="s">
        <v>35</v>
      </c>
      <c r="K8" s="419" t="s">
        <v>36</v>
      </c>
      <c r="L8" s="279" t="s">
        <v>35</v>
      </c>
      <c r="M8" s="280" t="s">
        <v>36</v>
      </c>
      <c r="N8" s="279" t="s">
        <v>35</v>
      </c>
      <c r="O8" s="280" t="s">
        <v>36</v>
      </c>
      <c r="P8" s="279" t="s">
        <v>35</v>
      </c>
      <c r="Q8" s="280" t="s">
        <v>36</v>
      </c>
      <c r="R8" s="279" t="s">
        <v>35</v>
      </c>
      <c r="S8" s="281" t="s">
        <v>36</v>
      </c>
      <c r="T8" s="282" t="s">
        <v>35</v>
      </c>
      <c r="U8" s="281" t="s">
        <v>36</v>
      </c>
      <c r="V8" s="283" t="s">
        <v>35</v>
      </c>
      <c r="W8" s="284" t="s">
        <v>36</v>
      </c>
      <c r="X8" s="282" t="s">
        <v>35</v>
      </c>
      <c r="Y8" s="284" t="s">
        <v>36</v>
      </c>
      <c r="Z8" s="282" t="s">
        <v>35</v>
      </c>
      <c r="AA8" s="281" t="s">
        <v>36</v>
      </c>
      <c r="AB8" s="283" t="s">
        <v>35</v>
      </c>
      <c r="AC8" s="284" t="s">
        <v>36</v>
      </c>
      <c r="AD8" s="283" t="s">
        <v>35</v>
      </c>
      <c r="AE8" s="284" t="s">
        <v>36</v>
      </c>
      <c r="AF8" s="282" t="s">
        <v>35</v>
      </c>
      <c r="AG8" s="281" t="s">
        <v>36</v>
      </c>
      <c r="AH8" s="283" t="s">
        <v>35</v>
      </c>
      <c r="AI8" s="284" t="s">
        <v>36</v>
      </c>
      <c r="AJ8" s="283" t="s">
        <v>35</v>
      </c>
      <c r="AK8" s="284" t="s">
        <v>36</v>
      </c>
      <c r="AL8" s="279" t="s">
        <v>35</v>
      </c>
      <c r="AM8" s="280" t="s">
        <v>36</v>
      </c>
      <c r="AN8" s="421" t="s">
        <v>35</v>
      </c>
      <c r="AO8" s="419" t="s">
        <v>36</v>
      </c>
    </row>
    <row r="9" spans="1:41" s="394" customFormat="1" ht="12.75" customHeight="1">
      <c r="A9" s="408">
        <v>46113</v>
      </c>
      <c r="B9" s="418" t="s">
        <v>403</v>
      </c>
      <c r="C9" s="395" t="s">
        <v>376</v>
      </c>
      <c r="D9" s="387">
        <f>+'1'!F42</f>
        <v>1393.7121212121212</v>
      </c>
      <c r="E9" s="387">
        <f>+'1'!G42</f>
        <v>1142.8439393939393</v>
      </c>
      <c r="F9" s="45">
        <f t="shared" ref="F9:F38" si="0">1-(E9/D9)</f>
        <v>0.18000000000000005</v>
      </c>
      <c r="G9" s="414">
        <f>+P9/N9</f>
        <v>0.69173976252377167</v>
      </c>
      <c r="H9" s="409">
        <f>+P9/L9</f>
        <v>0.68863292268126763</v>
      </c>
      <c r="I9" s="409">
        <f>+R9/P9</f>
        <v>0.96567320261437906</v>
      </c>
      <c r="J9" s="415">
        <f>+R9/L9</f>
        <v>0.66499435987131972</v>
      </c>
      <c r="K9" s="415">
        <f>+S9/M9</f>
        <v>0.66499435987131972</v>
      </c>
      <c r="L9" s="388">
        <f>+Efficiency1!K6</f>
        <v>55.544832</v>
      </c>
      <c r="M9" s="389">
        <f>L9</f>
        <v>55.544832</v>
      </c>
      <c r="N9" s="388">
        <f>+Efficiency1!C6</f>
        <v>55.295361163636358</v>
      </c>
      <c r="O9" s="389">
        <f>N9</f>
        <v>55.295361163636358</v>
      </c>
      <c r="P9" s="389">
        <f>'1'!I38</f>
        <v>38.25</v>
      </c>
      <c r="Q9" s="389">
        <f>P9</f>
        <v>38.25</v>
      </c>
      <c r="R9" s="389">
        <f>'1'!I40</f>
        <v>36.936999999999998</v>
      </c>
      <c r="S9" s="389">
        <f>R9</f>
        <v>36.936999999999998</v>
      </c>
      <c r="T9" s="391">
        <v>121.9</v>
      </c>
      <c r="U9" s="392">
        <f>T9</f>
        <v>121.9</v>
      </c>
      <c r="V9" s="393">
        <f t="shared" ref="V9:V38" si="1">T9/(P9)</f>
        <v>3.1869281045751636</v>
      </c>
      <c r="W9" s="393">
        <f t="shared" ref="W9:W38" si="2">U9/(Q9)</f>
        <v>3.1869281045751636</v>
      </c>
      <c r="X9" s="388">
        <f t="shared" ref="X9:X38" si="3">IF(AND(R9&gt;0,T9&gt;0),T9/(R9),0)</f>
        <v>3.3002138776836238</v>
      </c>
      <c r="Y9" s="393">
        <f t="shared" ref="Y9:Y38" si="4">IF(AND(S9&gt;0,U9&gt;0),U9/(S9),0)</f>
        <v>3.3002138776836238</v>
      </c>
      <c r="Z9" s="392">
        <f>'1'!I46</f>
        <v>49061.086335946493</v>
      </c>
      <c r="AA9" s="392">
        <f>Z9</f>
        <v>49061.086335946493</v>
      </c>
      <c r="AB9" s="393">
        <f t="shared" ref="AB9:AB38" si="5">IF(AND(L9&gt;0,Z9&gt;0),(Z9/(P9*1000)*1000),0)</f>
        <v>1282.6427800247448</v>
      </c>
      <c r="AC9" s="393">
        <f t="shared" ref="AC9:AC38" si="6">IF(AND(M9&gt;0,AA9&gt;0),(AA9/(Q9*1000)*1000),0)</f>
        <v>1282.6427800247448</v>
      </c>
      <c r="AD9" s="393">
        <f t="shared" ref="AD9:AD38" si="7">IF(AND(R9&gt;0,Z9&gt;0),(Z9/(R9*1000)*1000),0)</f>
        <v>1328.2368989345775</v>
      </c>
      <c r="AE9" s="393">
        <f t="shared" ref="AE9:AE38" si="8">IF(AND(S9&gt;0,AA9&gt;0),(AA9/(S9*1000)*1000),0)</f>
        <v>1328.2368989345775</v>
      </c>
      <c r="AF9" s="392">
        <f>+Listrik!AQ8</f>
        <v>0</v>
      </c>
      <c r="AG9" s="392">
        <f>AF9</f>
        <v>0</v>
      </c>
      <c r="AH9" s="393">
        <f t="shared" ref="AH9:AI38" si="9">IF(AND(L9&gt;0,AF9&gt;0),(AF9/(P9*1000)*1000),0)</f>
        <v>0</v>
      </c>
      <c r="AI9" s="393">
        <f t="shared" si="9"/>
        <v>0</v>
      </c>
      <c r="AJ9" s="393">
        <f t="shared" ref="AJ9:AK38" si="10">IF(AND(R9&gt;0,AF9&gt;0),(AF9/(R9*1000)*1000),0)</f>
        <v>0</v>
      </c>
      <c r="AK9" s="393">
        <f t="shared" si="10"/>
        <v>0</v>
      </c>
      <c r="AL9" s="388">
        <f>+Efficiency2!K6</f>
        <v>55.544832</v>
      </c>
      <c r="AM9" s="389">
        <f>AL9</f>
        <v>55.544832</v>
      </c>
      <c r="AN9" s="415">
        <f t="shared" ref="AN9:AN38" si="11">+R9/AL9</f>
        <v>0.66499435987131972</v>
      </c>
      <c r="AO9" s="415">
        <f t="shared" ref="AO9:AO38" si="12">+S9/AM9</f>
        <v>0.66499435987131972</v>
      </c>
    </row>
    <row r="10" spans="1:41" s="394" customFormat="1" ht="12.75" customHeight="1">
      <c r="A10" s="408">
        <f t="shared" ref="A10:A38" si="13">A9+1</f>
        <v>46114</v>
      </c>
      <c r="B10" s="418" t="s">
        <v>403</v>
      </c>
      <c r="C10" s="395" t="s">
        <v>376</v>
      </c>
      <c r="D10" s="387">
        <f>+'2'!F42</f>
        <v>1400</v>
      </c>
      <c r="E10" s="387">
        <f>+'2'!G42</f>
        <v>1148</v>
      </c>
      <c r="F10" s="45">
        <f t="shared" si="0"/>
        <v>0.18000000000000005</v>
      </c>
      <c r="G10" s="414">
        <f t="shared" ref="G10:G41" si="14">+P10/N10</f>
        <v>0.94487638381911043</v>
      </c>
      <c r="H10" s="409">
        <f t="shared" ref="H10:H41" si="15">+P10/L10</f>
        <v>0.94487638381911043</v>
      </c>
      <c r="I10" s="409">
        <f t="shared" ref="I10:I41" si="16">+R10/P10</f>
        <v>1.0229026541927861</v>
      </c>
      <c r="J10" s="415">
        <f t="shared" ref="J10:J41" si="17">+R10/L10</f>
        <v>0.96651656089264981</v>
      </c>
      <c r="K10" s="415">
        <f t="shared" ref="K10:K38" si="18">+S10/M10</f>
        <v>0.81575546038198476</v>
      </c>
      <c r="L10" s="388">
        <f>+Efficiency1!K11</f>
        <v>55.544832</v>
      </c>
      <c r="M10" s="389">
        <f t="shared" ref="M10:O38" si="19">M9+L10</f>
        <v>111.089664</v>
      </c>
      <c r="N10" s="388">
        <f>+Efficiency1!C11</f>
        <v>55.544832</v>
      </c>
      <c r="O10" s="389">
        <f t="shared" si="19"/>
        <v>110.84019316363636</v>
      </c>
      <c r="P10" s="389">
        <f>'2'!I38</f>
        <v>52.483000000000004</v>
      </c>
      <c r="Q10" s="389">
        <f t="shared" ref="Q10:Q38" si="20">Q9+P10</f>
        <v>90.733000000000004</v>
      </c>
      <c r="R10" s="389">
        <f>'2'!I40</f>
        <v>53.685000000000002</v>
      </c>
      <c r="S10" s="389">
        <f t="shared" ref="S10:S38" si="21">S9+R10</f>
        <v>90.622</v>
      </c>
      <c r="T10" s="391">
        <v>126.1</v>
      </c>
      <c r="U10" s="390">
        <f t="shared" ref="U10:U38" si="22">T10+U9</f>
        <v>248</v>
      </c>
      <c r="V10" s="393">
        <f t="shared" si="1"/>
        <v>2.402682773469504</v>
      </c>
      <c r="W10" s="393">
        <f t="shared" si="2"/>
        <v>2.7332943912358236</v>
      </c>
      <c r="X10" s="388">
        <f t="shared" si="3"/>
        <v>2.3488870261711834</v>
      </c>
      <c r="Y10" s="393">
        <f t="shared" si="4"/>
        <v>2.7366423164353026</v>
      </c>
      <c r="Z10" s="392">
        <f>'2'!I46</f>
        <v>56751.539103982417</v>
      </c>
      <c r="AA10" s="390">
        <f t="shared" ref="AA10:AA38" si="23">Z10+AA9</f>
        <v>105812.6254399289</v>
      </c>
      <c r="AB10" s="393">
        <f t="shared" si="5"/>
        <v>1081.3318427677993</v>
      </c>
      <c r="AC10" s="393">
        <f t="shared" si="6"/>
        <v>1166.1978049874785</v>
      </c>
      <c r="AD10" s="393">
        <f t="shared" si="7"/>
        <v>1057.1209668246702</v>
      </c>
      <c r="AE10" s="393">
        <f t="shared" si="8"/>
        <v>1167.6262435162421</v>
      </c>
      <c r="AF10" s="392">
        <f>+Listrik!AQ9</f>
        <v>0</v>
      </c>
      <c r="AG10" s="390">
        <f t="shared" ref="AG10:AG38" si="24">AF10+AG9</f>
        <v>0</v>
      </c>
      <c r="AH10" s="393">
        <f t="shared" si="9"/>
        <v>0</v>
      </c>
      <c r="AI10" s="393">
        <f t="shared" si="9"/>
        <v>0</v>
      </c>
      <c r="AJ10" s="393">
        <f t="shared" si="10"/>
        <v>0</v>
      </c>
      <c r="AK10" s="393">
        <f t="shared" si="10"/>
        <v>0</v>
      </c>
      <c r="AL10" s="388">
        <f>+Efficiency2!K11</f>
        <v>55.544832</v>
      </c>
      <c r="AM10" s="389">
        <f t="shared" ref="AM10:AM38" si="25">AM9+AL10</f>
        <v>111.089664</v>
      </c>
      <c r="AN10" s="415">
        <f t="shared" si="11"/>
        <v>0.96651656089264981</v>
      </c>
      <c r="AO10" s="415">
        <f t="shared" si="12"/>
        <v>0.81575546038198476</v>
      </c>
    </row>
    <row r="11" spans="1:41" s="394" customFormat="1" ht="12.75" customHeight="1">
      <c r="A11" s="408">
        <f t="shared" si="13"/>
        <v>46115</v>
      </c>
      <c r="B11" s="418" t="s">
        <v>403</v>
      </c>
      <c r="C11" s="395" t="s">
        <v>447</v>
      </c>
      <c r="D11" s="387">
        <f>+'3'!F42</f>
        <v>1400</v>
      </c>
      <c r="E11" s="387">
        <f>+'3'!G42</f>
        <v>1148</v>
      </c>
      <c r="F11" s="45">
        <f t="shared" si="0"/>
        <v>0.18000000000000005</v>
      </c>
      <c r="G11" s="414">
        <f t="shared" si="14"/>
        <v>0.98510456088306131</v>
      </c>
      <c r="H11" s="409">
        <f>+P11/L11</f>
        <v>0.98510456088306131</v>
      </c>
      <c r="I11" s="409">
        <f t="shared" si="16"/>
        <v>1.1140425700739918</v>
      </c>
      <c r="J11" s="415">
        <f t="shared" si="17"/>
        <v>1.0974484167977767</v>
      </c>
      <c r="K11" s="415">
        <f t="shared" si="18"/>
        <v>0.90459365107412826</v>
      </c>
      <c r="L11" s="388">
        <f>+SUM(Efficiency1!K16:K17)</f>
        <v>51.173248000000001</v>
      </c>
      <c r="M11" s="389">
        <f t="shared" si="19"/>
        <v>162.262912</v>
      </c>
      <c r="N11" s="388">
        <f>+SUM(Efficiency1!C16:C17)</f>
        <v>51.173248000000001</v>
      </c>
      <c r="O11" s="389">
        <f t="shared" si="19"/>
        <v>162.01344116363634</v>
      </c>
      <c r="P11" s="389">
        <f>'3'!I38</f>
        <v>50.410999999999994</v>
      </c>
      <c r="Q11" s="389">
        <f t="shared" si="20"/>
        <v>141.14400000000001</v>
      </c>
      <c r="R11" s="389">
        <f>'3'!I40</f>
        <v>56.16</v>
      </c>
      <c r="S11" s="389">
        <f t="shared" si="21"/>
        <v>146.78199999999998</v>
      </c>
      <c r="T11" s="391">
        <v>126.8</v>
      </c>
      <c r="U11" s="390">
        <f t="shared" si="22"/>
        <v>374.8</v>
      </c>
      <c r="V11" s="393">
        <f t="shared" si="1"/>
        <v>2.5153240364206226</v>
      </c>
      <c r="W11" s="393">
        <f t="shared" si="2"/>
        <v>2.6554440854729919</v>
      </c>
      <c r="X11" s="388">
        <f t="shared" si="3"/>
        <v>2.257834757834758</v>
      </c>
      <c r="Y11" s="393">
        <f t="shared" si="4"/>
        <v>2.5534466078947013</v>
      </c>
      <c r="Z11" s="392">
        <f>'3'!I46</f>
        <v>54153.333786935764</v>
      </c>
      <c r="AA11" s="390">
        <f t="shared" si="23"/>
        <v>159965.95922686468</v>
      </c>
      <c r="AB11" s="393">
        <f t="shared" si="5"/>
        <v>1074.2364521024335</v>
      </c>
      <c r="AC11" s="393">
        <f t="shared" si="6"/>
        <v>1133.3528823532329</v>
      </c>
      <c r="AD11" s="393">
        <f t="shared" si="7"/>
        <v>964.26876401238894</v>
      </c>
      <c r="AE11" s="393">
        <f t="shared" si="8"/>
        <v>1089.8199999105116</v>
      </c>
      <c r="AF11" s="392">
        <f>+Listrik!AQ10</f>
        <v>0</v>
      </c>
      <c r="AG11" s="390">
        <f t="shared" si="24"/>
        <v>0</v>
      </c>
      <c r="AH11" s="393">
        <f t="shared" si="9"/>
        <v>0</v>
      </c>
      <c r="AI11" s="393">
        <f t="shared" si="9"/>
        <v>0</v>
      </c>
      <c r="AJ11" s="393">
        <f t="shared" si="10"/>
        <v>0</v>
      </c>
      <c r="AK11" s="393">
        <f t="shared" si="10"/>
        <v>0</v>
      </c>
      <c r="AL11" s="388">
        <f>+SUM(Efficiency2!K16:K17)</f>
        <v>51.173248000000001</v>
      </c>
      <c r="AM11" s="389">
        <f t="shared" si="25"/>
        <v>162.262912</v>
      </c>
      <c r="AN11" s="415">
        <f t="shared" si="11"/>
        <v>1.0974484167977767</v>
      </c>
      <c r="AO11" s="415">
        <f t="shared" si="12"/>
        <v>0.90459365107412826</v>
      </c>
    </row>
    <row r="12" spans="1:41" s="394" customFormat="1" ht="12.75" customHeight="1">
      <c r="A12" s="408">
        <f t="shared" si="13"/>
        <v>46116</v>
      </c>
      <c r="B12" s="418" t="s">
        <v>403</v>
      </c>
      <c r="C12" s="395" t="s">
        <v>478</v>
      </c>
      <c r="D12" s="387">
        <f>+'4'!F42</f>
        <v>1160.3333333333333</v>
      </c>
      <c r="E12" s="387">
        <f>+'4'!G42</f>
        <v>968.7833333333333</v>
      </c>
      <c r="F12" s="45">
        <f t="shared" si="0"/>
        <v>0.16508187302499278</v>
      </c>
      <c r="G12" s="414">
        <f t="shared" si="14"/>
        <v>0.94752367151867334</v>
      </c>
      <c r="H12" s="409">
        <f t="shared" si="15"/>
        <v>0.94752367151867334</v>
      </c>
      <c r="I12" s="409">
        <f t="shared" si="16"/>
        <v>0.90292706143656043</v>
      </c>
      <c r="J12" s="415">
        <f t="shared" si="17"/>
        <v>0.85554476436593652</v>
      </c>
      <c r="K12" s="415">
        <f t="shared" si="18"/>
        <v>0.89247976896733694</v>
      </c>
      <c r="L12" s="388">
        <f>+SUM(Efficiency1!K20:K23)</f>
        <v>53.218723199999999</v>
      </c>
      <c r="M12" s="389">
        <f t="shared" si="19"/>
        <v>215.4816352</v>
      </c>
      <c r="N12" s="388">
        <f>+SUM(Efficiency1!C20:C23)</f>
        <v>53.218723199999999</v>
      </c>
      <c r="O12" s="389">
        <f t="shared" si="19"/>
        <v>215.23216436363634</v>
      </c>
      <c r="P12" s="389">
        <f>'4'!I38</f>
        <v>50.426000000000002</v>
      </c>
      <c r="Q12" s="389">
        <f t="shared" si="20"/>
        <v>191.57</v>
      </c>
      <c r="R12" s="389">
        <f>'4'!I40</f>
        <v>45.530999999999999</v>
      </c>
      <c r="S12" s="389">
        <f t="shared" si="21"/>
        <v>192.31299999999999</v>
      </c>
      <c r="T12" s="391">
        <v>123</v>
      </c>
      <c r="U12" s="390">
        <f t="shared" si="22"/>
        <v>497.8</v>
      </c>
      <c r="V12" s="393">
        <f t="shared" si="1"/>
        <v>2.4392178638004203</v>
      </c>
      <c r="W12" s="393">
        <f t="shared" si="2"/>
        <v>2.5985279532285852</v>
      </c>
      <c r="X12" s="388">
        <f t="shared" si="3"/>
        <v>2.701456150754431</v>
      </c>
      <c r="Y12" s="393">
        <f t="shared" si="4"/>
        <v>2.5884885577158072</v>
      </c>
      <c r="Z12" s="392">
        <f>'4'!I46</f>
        <v>45869.033634774176</v>
      </c>
      <c r="AA12" s="390">
        <f t="shared" si="23"/>
        <v>205834.99286163886</v>
      </c>
      <c r="AB12" s="393">
        <f t="shared" si="5"/>
        <v>909.63061981466262</v>
      </c>
      <c r="AC12" s="393">
        <f t="shared" si="6"/>
        <v>1074.463605270339</v>
      </c>
      <c r="AD12" s="393">
        <f t="shared" si="7"/>
        <v>1007.4242523725412</v>
      </c>
      <c r="AE12" s="393">
        <f t="shared" si="8"/>
        <v>1070.3124222576678</v>
      </c>
      <c r="AF12" s="392">
        <f>+Listrik!AQ11</f>
        <v>0</v>
      </c>
      <c r="AG12" s="390">
        <f t="shared" si="24"/>
        <v>0</v>
      </c>
      <c r="AH12" s="393">
        <f t="shared" si="9"/>
        <v>0</v>
      </c>
      <c r="AI12" s="393">
        <f t="shared" si="9"/>
        <v>0</v>
      </c>
      <c r="AJ12" s="393">
        <f t="shared" si="10"/>
        <v>0</v>
      </c>
      <c r="AK12" s="393">
        <f t="shared" si="10"/>
        <v>0</v>
      </c>
      <c r="AL12" s="388">
        <f>+SUM(Efficiency2!K20:K23)</f>
        <v>53.218723199999999</v>
      </c>
      <c r="AM12" s="389">
        <f t="shared" si="25"/>
        <v>215.4816352</v>
      </c>
      <c r="AN12" s="415">
        <f t="shared" si="11"/>
        <v>0.85554476436593652</v>
      </c>
      <c r="AO12" s="415">
        <f t="shared" si="12"/>
        <v>0.89247976896733694</v>
      </c>
    </row>
    <row r="13" spans="1:41" s="394" customFormat="1" ht="12.75" customHeight="1">
      <c r="A13" s="408">
        <f t="shared" si="13"/>
        <v>46117</v>
      </c>
      <c r="B13" s="418" t="s">
        <v>403</v>
      </c>
      <c r="C13" s="395" t="s">
        <v>479</v>
      </c>
      <c r="D13" s="387">
        <f>+'5'!F42</f>
        <v>980</v>
      </c>
      <c r="E13" s="387">
        <f>+'5'!G42</f>
        <v>833</v>
      </c>
      <c r="F13" s="45">
        <f t="shared" si="0"/>
        <v>0.15000000000000002</v>
      </c>
      <c r="G13" s="414">
        <f t="shared" si="14"/>
        <v>0.87618562312361392</v>
      </c>
      <c r="H13" s="409">
        <f t="shared" si="15"/>
        <v>0.87618562312361392</v>
      </c>
      <c r="I13" s="409">
        <f t="shared" si="16"/>
        <v>0.77002964283493291</v>
      </c>
      <c r="J13" s="415">
        <f t="shared" si="17"/>
        <v>0.67468890243097956</v>
      </c>
      <c r="K13" s="415">
        <f t="shared" si="18"/>
        <v>0.84815678475867595</v>
      </c>
      <c r="L13" s="388">
        <f>+Efficiency1!K25</f>
        <v>55.057968000000002</v>
      </c>
      <c r="M13" s="389">
        <f t="shared" si="19"/>
        <v>270.53960319999999</v>
      </c>
      <c r="N13" s="388">
        <f>+Efficiency1!C25</f>
        <v>55.057968000000002</v>
      </c>
      <c r="O13" s="389">
        <f t="shared" si="19"/>
        <v>270.29013236363636</v>
      </c>
      <c r="P13" s="389">
        <f>'5'!I38</f>
        <v>48.241</v>
      </c>
      <c r="Q13" s="389">
        <f t="shared" si="20"/>
        <v>239.81099999999998</v>
      </c>
      <c r="R13" s="389">
        <f>'5'!I40</f>
        <v>37.146999999999998</v>
      </c>
      <c r="S13" s="389">
        <f t="shared" si="21"/>
        <v>229.45999999999998</v>
      </c>
      <c r="T13" s="391">
        <v>117.8</v>
      </c>
      <c r="U13" s="390">
        <f t="shared" si="22"/>
        <v>615.6</v>
      </c>
      <c r="V13" s="393">
        <f t="shared" si="1"/>
        <v>2.4419062623079952</v>
      </c>
      <c r="W13" s="393">
        <f t="shared" si="2"/>
        <v>2.5670215294544456</v>
      </c>
      <c r="X13" s="388">
        <f t="shared" si="3"/>
        <v>3.1711847524699168</v>
      </c>
      <c r="Y13" s="393">
        <f t="shared" si="4"/>
        <v>2.6828205351695287</v>
      </c>
      <c r="Z13" s="392">
        <f>'5'!I46</f>
        <v>44000.882727570228</v>
      </c>
      <c r="AA13" s="390">
        <f t="shared" si="23"/>
        <v>249835.87558920908</v>
      </c>
      <c r="AB13" s="393">
        <f t="shared" si="5"/>
        <v>912.10552699094603</v>
      </c>
      <c r="AC13" s="393">
        <f t="shared" si="6"/>
        <v>1041.8032350026026</v>
      </c>
      <c r="AD13" s="393">
        <f t="shared" si="7"/>
        <v>1184.5070322655995</v>
      </c>
      <c r="AE13" s="393">
        <f t="shared" si="8"/>
        <v>1088.7992486237649</v>
      </c>
      <c r="AF13" s="392">
        <f>+Listrik!AQ12</f>
        <v>0</v>
      </c>
      <c r="AG13" s="390">
        <f t="shared" si="24"/>
        <v>0</v>
      </c>
      <c r="AH13" s="393">
        <f t="shared" si="9"/>
        <v>0</v>
      </c>
      <c r="AI13" s="393">
        <f t="shared" si="9"/>
        <v>0</v>
      </c>
      <c r="AJ13" s="393">
        <f t="shared" si="10"/>
        <v>0</v>
      </c>
      <c r="AK13" s="393">
        <f t="shared" si="10"/>
        <v>0</v>
      </c>
      <c r="AL13" s="388">
        <f>+Efficiency2!K25</f>
        <v>55.057968000000002</v>
      </c>
      <c r="AM13" s="389">
        <f t="shared" si="25"/>
        <v>270.53960319999999</v>
      </c>
      <c r="AN13" s="415">
        <f t="shared" si="11"/>
        <v>0.67468890243097956</v>
      </c>
      <c r="AO13" s="415">
        <f t="shared" si="12"/>
        <v>0.84815678475867595</v>
      </c>
    </row>
    <row r="14" spans="1:41" s="394" customFormat="1" ht="12.75" customHeight="1">
      <c r="A14" s="408">
        <f t="shared" si="13"/>
        <v>46118</v>
      </c>
      <c r="B14" s="418" t="s">
        <v>500</v>
      </c>
      <c r="C14" s="395" t="s">
        <v>499</v>
      </c>
      <c r="D14" s="387">
        <f>+'6'!F42</f>
        <v>980</v>
      </c>
      <c r="E14" s="387">
        <f>+'6'!G42</f>
        <v>814.75090277777781</v>
      </c>
      <c r="F14" s="45">
        <f t="shared" si="0"/>
        <v>0.16862152777777772</v>
      </c>
      <c r="G14" s="414">
        <f t="shared" si="14"/>
        <v>0.96634941686602072</v>
      </c>
      <c r="H14" s="409">
        <f t="shared" si="15"/>
        <v>0.96634941686602072</v>
      </c>
      <c r="I14" s="409">
        <f t="shared" si="16"/>
        <v>0.7891503848431024</v>
      </c>
      <c r="J14" s="415">
        <f t="shared" si="17"/>
        <v>0.76259501421272791</v>
      </c>
      <c r="K14" s="415">
        <f t="shared" si="18"/>
        <v>0.83349852733492558</v>
      </c>
      <c r="L14" s="388">
        <f>+SUM(Efficiency1!K30:K32)</f>
        <v>55.930079799999994</v>
      </c>
      <c r="M14" s="389">
        <f t="shared" si="19"/>
        <v>326.46968299999997</v>
      </c>
      <c r="N14" s="388">
        <f>+SUM(Efficiency1!C30:C32)</f>
        <v>55.930079799999994</v>
      </c>
      <c r="O14" s="389">
        <f t="shared" si="19"/>
        <v>326.22021216363635</v>
      </c>
      <c r="P14" s="389">
        <f>'6'!I38</f>
        <v>54.048000000000002</v>
      </c>
      <c r="Q14" s="389">
        <f t="shared" si="20"/>
        <v>293.85899999999998</v>
      </c>
      <c r="R14" s="389">
        <f>'6'!I40</f>
        <v>42.652000000000001</v>
      </c>
      <c r="S14" s="389">
        <f t="shared" si="21"/>
        <v>272.11199999999997</v>
      </c>
      <c r="T14" s="391">
        <v>119.1</v>
      </c>
      <c r="U14" s="390">
        <f t="shared" si="22"/>
        <v>734.7</v>
      </c>
      <c r="V14" s="393">
        <f t="shared" si="1"/>
        <v>2.2035968028419179</v>
      </c>
      <c r="W14" s="393">
        <f t="shared" si="2"/>
        <v>2.5001786571110638</v>
      </c>
      <c r="X14" s="388">
        <f t="shared" si="3"/>
        <v>2.7923661258557626</v>
      </c>
      <c r="Y14" s="393">
        <f t="shared" si="4"/>
        <v>2.6999911801023111</v>
      </c>
      <c r="Z14" s="392">
        <f>'6'!I46</f>
        <v>43195.425646184805</v>
      </c>
      <c r="AA14" s="390">
        <f t="shared" si="23"/>
        <v>293031.30123539391</v>
      </c>
      <c r="AB14" s="393">
        <f t="shared" si="5"/>
        <v>799.20488540158385</v>
      </c>
      <c r="AC14" s="393">
        <f t="shared" si="6"/>
        <v>997.18334723589851</v>
      </c>
      <c r="AD14" s="393">
        <f t="shared" si="7"/>
        <v>1012.7409182731128</v>
      </c>
      <c r="AE14" s="393">
        <f t="shared" si="8"/>
        <v>1076.8775402606059</v>
      </c>
      <c r="AF14" s="392">
        <f>+Listrik!AQ13</f>
        <v>0</v>
      </c>
      <c r="AG14" s="390">
        <f t="shared" si="24"/>
        <v>0</v>
      </c>
      <c r="AH14" s="393">
        <f t="shared" si="9"/>
        <v>0</v>
      </c>
      <c r="AI14" s="393">
        <f t="shared" si="9"/>
        <v>0</v>
      </c>
      <c r="AJ14" s="393">
        <f t="shared" si="10"/>
        <v>0</v>
      </c>
      <c r="AK14" s="393">
        <f t="shared" si="10"/>
        <v>0</v>
      </c>
      <c r="AL14" s="388">
        <f>+SUM(Efficiency2!K30:K32)</f>
        <v>55.930079799999994</v>
      </c>
      <c r="AM14" s="389">
        <f t="shared" si="25"/>
        <v>326.46968299999997</v>
      </c>
      <c r="AN14" s="415">
        <f t="shared" si="11"/>
        <v>0.76259501421272791</v>
      </c>
      <c r="AO14" s="415">
        <f t="shared" si="12"/>
        <v>0.83349852733492558</v>
      </c>
    </row>
    <row r="15" spans="1:41" s="394" customFormat="1" ht="12.75" customHeight="1">
      <c r="A15" s="408">
        <f t="shared" si="13"/>
        <v>46119</v>
      </c>
      <c r="B15" s="418" t="s">
        <v>497</v>
      </c>
      <c r="C15" s="395" t="s">
        <v>479</v>
      </c>
      <c r="D15" s="387">
        <f>+'7'!F42</f>
        <v>980</v>
      </c>
      <c r="E15" s="387">
        <f>+'7'!G42</f>
        <v>784</v>
      </c>
      <c r="F15" s="45">
        <f t="shared" si="0"/>
        <v>0.19999999999999996</v>
      </c>
      <c r="G15" s="414">
        <f t="shared" si="14"/>
        <v>0.97626476185712374</v>
      </c>
      <c r="H15" s="409">
        <f t="shared" si="15"/>
        <v>0.97626476185712374</v>
      </c>
      <c r="I15" s="409">
        <f t="shared" si="16"/>
        <v>1.1492099193717478</v>
      </c>
      <c r="J15" s="415">
        <f t="shared" si="17"/>
        <v>1.1219331482593038</v>
      </c>
      <c r="K15" s="415">
        <f t="shared" si="18"/>
        <v>0.87426577953758322</v>
      </c>
      <c r="L15" s="388">
        <f>+Efficiency1!K34</f>
        <v>53.738495999999998</v>
      </c>
      <c r="M15" s="389">
        <f t="shared" si="19"/>
        <v>380.20817899999997</v>
      </c>
      <c r="N15" s="388">
        <f>+Efficiency1!C34</f>
        <v>53.738495999999998</v>
      </c>
      <c r="O15" s="389">
        <f t="shared" si="19"/>
        <v>379.95870816363635</v>
      </c>
      <c r="P15" s="389">
        <f>'7'!I38</f>
        <v>52.462999999999994</v>
      </c>
      <c r="Q15" s="389">
        <f t="shared" si="20"/>
        <v>346.322</v>
      </c>
      <c r="R15" s="389">
        <f>'7'!I40</f>
        <v>60.290999999999997</v>
      </c>
      <c r="S15" s="389">
        <f t="shared" si="21"/>
        <v>332.40299999999996</v>
      </c>
      <c r="T15" s="391">
        <v>120.3</v>
      </c>
      <c r="U15" s="390">
        <f t="shared" si="22"/>
        <v>855</v>
      </c>
      <c r="V15" s="393">
        <f t="shared" si="1"/>
        <v>2.293044621924023</v>
      </c>
      <c r="W15" s="393">
        <f t="shared" si="2"/>
        <v>2.4688007114766028</v>
      </c>
      <c r="X15" s="388">
        <f t="shared" si="3"/>
        <v>1.9953226849778574</v>
      </c>
      <c r="Y15" s="393">
        <f t="shared" si="4"/>
        <v>2.5721789514535072</v>
      </c>
      <c r="Z15" s="392">
        <f>'7'!I46</f>
        <v>49844.235455525159</v>
      </c>
      <c r="AA15" s="390">
        <f t="shared" si="23"/>
        <v>342875.53669091908</v>
      </c>
      <c r="AB15" s="393">
        <f t="shared" si="5"/>
        <v>950.08359139822664</v>
      </c>
      <c r="AC15" s="393">
        <f t="shared" si="6"/>
        <v>990.04838471399182</v>
      </c>
      <c r="AD15" s="393">
        <f t="shared" si="7"/>
        <v>826.72762859340799</v>
      </c>
      <c r="AE15" s="393">
        <f t="shared" si="8"/>
        <v>1031.5055420405927</v>
      </c>
      <c r="AF15" s="392">
        <f>+Listrik!AQ14</f>
        <v>0</v>
      </c>
      <c r="AG15" s="390">
        <f t="shared" si="24"/>
        <v>0</v>
      </c>
      <c r="AH15" s="393">
        <f t="shared" si="9"/>
        <v>0</v>
      </c>
      <c r="AI15" s="393">
        <f t="shared" si="9"/>
        <v>0</v>
      </c>
      <c r="AJ15" s="393">
        <f t="shared" si="10"/>
        <v>0</v>
      </c>
      <c r="AK15" s="393">
        <f t="shared" si="10"/>
        <v>0</v>
      </c>
      <c r="AL15" s="388">
        <f>+Efficiency2!K34</f>
        <v>53.738495999999998</v>
      </c>
      <c r="AM15" s="389">
        <f t="shared" si="25"/>
        <v>380.20817899999997</v>
      </c>
      <c r="AN15" s="415">
        <f t="shared" si="11"/>
        <v>1.1219331482593038</v>
      </c>
      <c r="AO15" s="415">
        <f t="shared" si="12"/>
        <v>0.87426577953758322</v>
      </c>
    </row>
    <row r="16" spans="1:41" s="394" customFormat="1" ht="12.75" customHeight="1">
      <c r="A16" s="408">
        <f t="shared" si="13"/>
        <v>46120</v>
      </c>
      <c r="B16" s="418" t="s">
        <v>497</v>
      </c>
      <c r="C16" s="395" t="s">
        <v>479</v>
      </c>
      <c r="D16" s="387">
        <f>+'8'!F42</f>
        <v>980</v>
      </c>
      <c r="E16" s="387">
        <f>+'8'!G42</f>
        <v>774.2</v>
      </c>
      <c r="F16" s="45">
        <f t="shared" si="0"/>
        <v>0.20999999999999996</v>
      </c>
      <c r="G16" s="414">
        <f t="shared" si="14"/>
        <v>0.9131327335032865</v>
      </c>
      <c r="H16" s="409">
        <f t="shared" si="15"/>
        <v>0.90171857433449565</v>
      </c>
      <c r="I16" s="409">
        <f t="shared" si="16"/>
        <v>0.95466083331613605</v>
      </c>
      <c r="J16" s="415">
        <f t="shared" si="17"/>
        <v>0.86083540559080773</v>
      </c>
      <c r="K16" s="415">
        <f t="shared" si="18"/>
        <v>0.87260260722126737</v>
      </c>
      <c r="L16" s="388">
        <f>+Efficiency1!K38</f>
        <v>53.738495999999998</v>
      </c>
      <c r="M16" s="389">
        <f t="shared" si="19"/>
        <v>433.94667499999997</v>
      </c>
      <c r="N16" s="388">
        <f>+Efficiency1!C38</f>
        <v>53.066764800000009</v>
      </c>
      <c r="O16" s="389">
        <f t="shared" si="19"/>
        <v>433.02547296363633</v>
      </c>
      <c r="P16" s="389">
        <f>'8'!I38</f>
        <v>48.456999999999994</v>
      </c>
      <c r="Q16" s="389">
        <f t="shared" si="20"/>
        <v>394.779</v>
      </c>
      <c r="R16" s="389">
        <f>'8'!I40</f>
        <v>46.26</v>
      </c>
      <c r="S16" s="389">
        <f t="shared" si="21"/>
        <v>378.66299999999995</v>
      </c>
      <c r="T16" s="391">
        <v>112</v>
      </c>
      <c r="U16" s="390">
        <f t="shared" si="22"/>
        <v>967</v>
      </c>
      <c r="V16" s="393">
        <f t="shared" si="1"/>
        <v>2.311327568772314</v>
      </c>
      <c r="W16" s="393">
        <f t="shared" si="2"/>
        <v>2.4494717297525956</v>
      </c>
      <c r="X16" s="388">
        <f t="shared" si="3"/>
        <v>2.4210981409424992</v>
      </c>
      <c r="Y16" s="393">
        <f t="shared" si="4"/>
        <v>2.5537219110396316</v>
      </c>
      <c r="Z16" s="392">
        <f>'8'!I46</f>
        <v>45712.114553798529</v>
      </c>
      <c r="AA16" s="390">
        <f t="shared" si="23"/>
        <v>388587.65124471759</v>
      </c>
      <c r="AB16" s="393">
        <f t="shared" si="5"/>
        <v>943.3542017417202</v>
      </c>
      <c r="AC16" s="393">
        <f t="shared" si="6"/>
        <v>984.31692477238551</v>
      </c>
      <c r="AD16" s="393">
        <f t="shared" si="7"/>
        <v>988.15638897100143</v>
      </c>
      <c r="AE16" s="393">
        <f t="shared" si="8"/>
        <v>1026.2097201065794</v>
      </c>
      <c r="AF16" s="392">
        <f>+Listrik!AQ15</f>
        <v>0</v>
      </c>
      <c r="AG16" s="390">
        <f t="shared" si="24"/>
        <v>0</v>
      </c>
      <c r="AH16" s="393">
        <f t="shared" si="9"/>
        <v>0</v>
      </c>
      <c r="AI16" s="393">
        <f t="shared" si="9"/>
        <v>0</v>
      </c>
      <c r="AJ16" s="393">
        <f t="shared" si="10"/>
        <v>0</v>
      </c>
      <c r="AK16" s="393">
        <f t="shared" si="10"/>
        <v>0</v>
      </c>
      <c r="AL16" s="388">
        <f>+Efficiency2!K38</f>
        <v>53.738495999999998</v>
      </c>
      <c r="AM16" s="389">
        <f t="shared" si="25"/>
        <v>433.94667499999997</v>
      </c>
      <c r="AN16" s="415">
        <f t="shared" si="11"/>
        <v>0.86083540559080773</v>
      </c>
      <c r="AO16" s="415">
        <f t="shared" si="12"/>
        <v>0.87260260722126737</v>
      </c>
    </row>
    <row r="17" spans="1:41" s="394" customFormat="1" ht="12.75" customHeight="1">
      <c r="A17" s="408">
        <f t="shared" si="13"/>
        <v>46121</v>
      </c>
      <c r="B17" s="418" t="s">
        <v>497</v>
      </c>
      <c r="C17" s="395" t="s">
        <v>479</v>
      </c>
      <c r="D17" s="387">
        <f>+'9'!F42</f>
        <v>980</v>
      </c>
      <c r="E17" s="387">
        <f>+'9'!G42</f>
        <v>774.2</v>
      </c>
      <c r="F17" s="45">
        <f t="shared" si="0"/>
        <v>0.20999999999999996</v>
      </c>
      <c r="G17" s="414">
        <f t="shared" si="14"/>
        <v>1.0270458394328192</v>
      </c>
      <c r="H17" s="409">
        <f t="shared" si="15"/>
        <v>1.0142077664399092</v>
      </c>
      <c r="I17" s="409">
        <f t="shared" si="16"/>
        <v>0.90099445891893881</v>
      </c>
      <c r="J17" s="415">
        <f t="shared" si="17"/>
        <v>0.9137955777549116</v>
      </c>
      <c r="K17" s="415">
        <f t="shared" si="18"/>
        <v>0.8771417000907743</v>
      </c>
      <c r="L17" s="388">
        <f>+Efficiency1!K43</f>
        <v>53.738495999999998</v>
      </c>
      <c r="M17" s="389">
        <f t="shared" si="19"/>
        <v>487.68517099999997</v>
      </c>
      <c r="N17" s="388">
        <f>+Efficiency1!C43</f>
        <v>53.066764800000009</v>
      </c>
      <c r="O17" s="389">
        <f t="shared" si="19"/>
        <v>486.09223776363632</v>
      </c>
      <c r="P17" s="389">
        <f>'9'!I38</f>
        <v>54.501999999999995</v>
      </c>
      <c r="Q17" s="389">
        <f t="shared" si="20"/>
        <v>449.28100000000001</v>
      </c>
      <c r="R17" s="389">
        <f>'9'!I40</f>
        <v>49.106000000000002</v>
      </c>
      <c r="S17" s="389">
        <f t="shared" si="21"/>
        <v>427.76899999999995</v>
      </c>
      <c r="T17" s="391">
        <v>127.6</v>
      </c>
      <c r="U17" s="390">
        <f t="shared" si="22"/>
        <v>1094.5999999999999</v>
      </c>
      <c r="V17" s="393">
        <f t="shared" si="1"/>
        <v>2.3411984881288763</v>
      </c>
      <c r="W17" s="393">
        <f t="shared" si="2"/>
        <v>2.4363371698335783</v>
      </c>
      <c r="X17" s="388">
        <f t="shared" si="3"/>
        <v>2.5984604732619232</v>
      </c>
      <c r="Y17" s="393">
        <f t="shared" si="4"/>
        <v>2.5588577012359477</v>
      </c>
      <c r="Z17" s="392">
        <f>'9'!I46</f>
        <v>48950.708928317108</v>
      </c>
      <c r="AA17" s="390">
        <f t="shared" si="23"/>
        <v>437538.36017303471</v>
      </c>
      <c r="AB17" s="393">
        <f t="shared" si="5"/>
        <v>898.14518601734096</v>
      </c>
      <c r="AC17" s="393">
        <f t="shared" si="6"/>
        <v>973.86348448528804</v>
      </c>
      <c r="AD17" s="393">
        <f t="shared" si="7"/>
        <v>996.83763548888339</v>
      </c>
      <c r="AE17" s="393">
        <f t="shared" si="8"/>
        <v>1022.8379339621027</v>
      </c>
      <c r="AF17" s="392">
        <f>+Listrik!AQ16</f>
        <v>0</v>
      </c>
      <c r="AG17" s="390">
        <f t="shared" si="24"/>
        <v>0</v>
      </c>
      <c r="AH17" s="393">
        <f t="shared" si="9"/>
        <v>0</v>
      </c>
      <c r="AI17" s="393">
        <f t="shared" si="9"/>
        <v>0</v>
      </c>
      <c r="AJ17" s="393">
        <f t="shared" si="10"/>
        <v>0</v>
      </c>
      <c r="AK17" s="393">
        <f t="shared" si="10"/>
        <v>0</v>
      </c>
      <c r="AL17" s="388">
        <f>+Efficiency2!K43</f>
        <v>53.738495999999998</v>
      </c>
      <c r="AM17" s="389">
        <f t="shared" si="25"/>
        <v>487.68517099999997</v>
      </c>
      <c r="AN17" s="415">
        <f t="shared" si="11"/>
        <v>0.9137955777549116</v>
      </c>
      <c r="AO17" s="415">
        <f t="shared" si="12"/>
        <v>0.8771417000907743</v>
      </c>
    </row>
    <row r="18" spans="1:41" s="394" customFormat="1" ht="12.75" customHeight="1">
      <c r="A18" s="408">
        <f t="shared" si="13"/>
        <v>46122</v>
      </c>
      <c r="B18" s="418" t="s">
        <v>497</v>
      </c>
      <c r="C18" s="395" t="s">
        <v>479</v>
      </c>
      <c r="D18" s="387">
        <f>+'10'!F42</f>
        <v>980</v>
      </c>
      <c r="E18" s="387">
        <f>+'10'!G42</f>
        <v>774.2</v>
      </c>
      <c r="F18" s="45">
        <f t="shared" si="0"/>
        <v>0.20999999999999996</v>
      </c>
      <c r="G18" s="414">
        <f t="shared" si="14"/>
        <v>1.0068637159505149</v>
      </c>
      <c r="H18" s="409">
        <f t="shared" si="15"/>
        <v>0.99427791950113376</v>
      </c>
      <c r="I18" s="409">
        <f>+R18/P18</f>
        <v>1.064494394639816</v>
      </c>
      <c r="J18" s="415">
        <f t="shared" si="17"/>
        <v>1.0584032720230951</v>
      </c>
      <c r="K18" s="415">
        <f t="shared" si="18"/>
        <v>0.89513264664878411</v>
      </c>
      <c r="L18" s="388">
        <f>+Efficiency1!K48</f>
        <v>53.738495999999998</v>
      </c>
      <c r="M18" s="389">
        <f t="shared" si="19"/>
        <v>541.42366700000002</v>
      </c>
      <c r="N18" s="388">
        <f>+Efficiency1!C48</f>
        <v>53.066764800000009</v>
      </c>
      <c r="O18" s="389">
        <f t="shared" si="19"/>
        <v>539.15900256363636</v>
      </c>
      <c r="P18" s="389">
        <f>'10'!I38</f>
        <v>53.430999999999997</v>
      </c>
      <c r="Q18" s="389">
        <f t="shared" si="20"/>
        <v>502.71199999999999</v>
      </c>
      <c r="R18" s="389">
        <f>'10'!I40</f>
        <v>56.877000000000002</v>
      </c>
      <c r="S18" s="389">
        <f t="shared" si="21"/>
        <v>484.64599999999996</v>
      </c>
      <c r="T18" s="391">
        <v>127.2</v>
      </c>
      <c r="U18" s="390">
        <f t="shared" si="22"/>
        <v>1221.8</v>
      </c>
      <c r="V18" s="393">
        <f t="shared" si="1"/>
        <v>2.3806404521719604</v>
      </c>
      <c r="W18" s="393">
        <f t="shared" si="2"/>
        <v>2.4304174159359633</v>
      </c>
      <c r="X18" s="388">
        <f t="shared" si="3"/>
        <v>2.2364048736747719</v>
      </c>
      <c r="Y18" s="393">
        <f t="shared" si="4"/>
        <v>2.5210153390309631</v>
      </c>
      <c r="Z18" s="392">
        <f>'10'!I46</f>
        <v>48563.043086058191</v>
      </c>
      <c r="AA18" s="390">
        <f t="shared" si="23"/>
        <v>486101.40325909288</v>
      </c>
      <c r="AB18" s="393">
        <f t="shared" si="5"/>
        <v>908.892648201572</v>
      </c>
      <c r="AC18" s="393">
        <f t="shared" si="6"/>
        <v>966.9580261841628</v>
      </c>
      <c r="AD18" s="393">
        <f t="shared" si="7"/>
        <v>853.82567797278671</v>
      </c>
      <c r="AE18" s="393">
        <f t="shared" si="8"/>
        <v>1003.0030233595097</v>
      </c>
      <c r="AF18" s="392">
        <f>+Listrik!AQ17</f>
        <v>0</v>
      </c>
      <c r="AG18" s="390">
        <f t="shared" si="24"/>
        <v>0</v>
      </c>
      <c r="AH18" s="393">
        <f t="shared" si="9"/>
        <v>0</v>
      </c>
      <c r="AI18" s="393">
        <f t="shared" si="9"/>
        <v>0</v>
      </c>
      <c r="AJ18" s="393">
        <f t="shared" si="10"/>
        <v>0</v>
      </c>
      <c r="AK18" s="393">
        <f t="shared" si="10"/>
        <v>0</v>
      </c>
      <c r="AL18" s="388">
        <f>+Efficiency2!K48</f>
        <v>53.738495999999998</v>
      </c>
      <c r="AM18" s="389">
        <f t="shared" si="25"/>
        <v>541.42366700000002</v>
      </c>
      <c r="AN18" s="415">
        <f t="shared" si="11"/>
        <v>1.0584032720230951</v>
      </c>
      <c r="AO18" s="415">
        <f t="shared" si="12"/>
        <v>0.89513264664878411</v>
      </c>
    </row>
    <row r="19" spans="1:41" s="394" customFormat="1" ht="12.75" customHeight="1">
      <c r="A19" s="408">
        <f t="shared" si="13"/>
        <v>46123</v>
      </c>
      <c r="B19" s="418" t="s">
        <v>594</v>
      </c>
      <c r="C19" s="395" t="s">
        <v>571</v>
      </c>
      <c r="D19" s="387">
        <f>+'11'!F42</f>
        <v>1010.8680555555555</v>
      </c>
      <c r="E19" s="387">
        <f>+'11'!G42</f>
        <v>816.05902777777783</v>
      </c>
      <c r="F19" s="45">
        <f t="shared" si="0"/>
        <v>0.19271459485453224</v>
      </c>
      <c r="G19" s="414">
        <f t="shared" si="14"/>
        <v>0.95324700925692707</v>
      </c>
      <c r="H19" s="409">
        <f t="shared" si="15"/>
        <v>0.95324700925692707</v>
      </c>
      <c r="I19" s="409">
        <f t="shared" si="16"/>
        <v>0.85254174541628502</v>
      </c>
      <c r="J19" s="415">
        <f t="shared" si="17"/>
        <v>0.81268286908475418</v>
      </c>
      <c r="K19" s="415">
        <f t="shared" si="18"/>
        <v>0.88767526177684164</v>
      </c>
      <c r="L19" s="388">
        <f>+SUM(Efficiency1!K52:K53)</f>
        <v>53.840189899999999</v>
      </c>
      <c r="M19" s="389">
        <f t="shared" si="19"/>
        <v>595.26385690000006</v>
      </c>
      <c r="N19" s="388">
        <f>+SUM(Efficiency1!C52:C53)</f>
        <v>53.840189899999999</v>
      </c>
      <c r="O19" s="389">
        <f t="shared" si="19"/>
        <v>592.9991924636364</v>
      </c>
      <c r="P19" s="389">
        <f>'11'!I38</f>
        <v>51.323000000000008</v>
      </c>
      <c r="Q19" s="389">
        <f t="shared" si="20"/>
        <v>554.03499999999997</v>
      </c>
      <c r="R19" s="389">
        <f>'11'!I40</f>
        <v>43.755000000000003</v>
      </c>
      <c r="S19" s="389">
        <f t="shared" si="21"/>
        <v>528.40099999999995</v>
      </c>
      <c r="T19" s="391">
        <v>128.19999999999999</v>
      </c>
      <c r="U19" s="390">
        <f t="shared" si="22"/>
        <v>1350</v>
      </c>
      <c r="V19" s="393">
        <f t="shared" si="1"/>
        <v>2.4979054225201169</v>
      </c>
      <c r="W19" s="393">
        <f t="shared" si="2"/>
        <v>2.4366691635005009</v>
      </c>
      <c r="X19" s="388">
        <f t="shared" si="3"/>
        <v>2.9299508627585413</v>
      </c>
      <c r="Y19" s="393">
        <f t="shared" si="4"/>
        <v>2.5548778295271966</v>
      </c>
      <c r="Z19" s="392">
        <f>'11'!I46</f>
        <v>46365.073856898918</v>
      </c>
      <c r="AA19" s="390">
        <f t="shared" si="23"/>
        <v>532466.47711599176</v>
      </c>
      <c r="AB19" s="393">
        <f t="shared" si="5"/>
        <v>903.39757724409947</v>
      </c>
      <c r="AC19" s="393">
        <f t="shared" si="6"/>
        <v>961.07010769354235</v>
      </c>
      <c r="AD19" s="393">
        <f t="shared" si="7"/>
        <v>1059.6520136418449</v>
      </c>
      <c r="AE19" s="393">
        <f t="shared" si="8"/>
        <v>1007.6939239630351</v>
      </c>
      <c r="AF19" s="392">
        <f>+Listrik!AQ18</f>
        <v>0</v>
      </c>
      <c r="AG19" s="390">
        <f t="shared" si="24"/>
        <v>0</v>
      </c>
      <c r="AH19" s="393">
        <f t="shared" si="9"/>
        <v>0</v>
      </c>
      <c r="AI19" s="393">
        <f t="shared" si="9"/>
        <v>0</v>
      </c>
      <c r="AJ19" s="393">
        <f t="shared" si="10"/>
        <v>0</v>
      </c>
      <c r="AK19" s="393">
        <f t="shared" si="10"/>
        <v>0</v>
      </c>
      <c r="AL19" s="388">
        <f>+SUM(Efficiency2!K52:K53)</f>
        <v>53.840189899999999</v>
      </c>
      <c r="AM19" s="389">
        <f t="shared" si="25"/>
        <v>595.26385690000006</v>
      </c>
      <c r="AN19" s="415">
        <f t="shared" si="11"/>
        <v>0.81268286908475418</v>
      </c>
      <c r="AO19" s="415">
        <f t="shared" si="12"/>
        <v>0.88767526177684164</v>
      </c>
    </row>
    <row r="20" spans="1:41" s="394" customFormat="1" ht="12.75" customHeight="1">
      <c r="A20" s="408">
        <f t="shared" si="13"/>
        <v>46124</v>
      </c>
      <c r="B20" s="418" t="s">
        <v>403</v>
      </c>
      <c r="C20" s="395" t="s">
        <v>572</v>
      </c>
      <c r="D20" s="387">
        <f>+'12'!F42</f>
        <v>1177.0526315789473</v>
      </c>
      <c r="E20" s="387">
        <f>+'12'!G42</f>
        <v>936.79368421052629</v>
      </c>
      <c r="F20" s="45">
        <f t="shared" si="0"/>
        <v>0.20411912001430865</v>
      </c>
      <c r="G20" s="414">
        <f t="shared" si="14"/>
        <v>0.97544491547712664</v>
      </c>
      <c r="H20" s="409">
        <f t="shared" si="15"/>
        <v>0.97544491547712664</v>
      </c>
      <c r="I20" s="409">
        <f t="shared" si="16"/>
        <v>1.0219333706490867</v>
      </c>
      <c r="J20" s="415">
        <f t="shared" si="17"/>
        <v>0.99683971035605357</v>
      </c>
      <c r="K20" s="415">
        <f t="shared" si="18"/>
        <v>0.89604845086606999</v>
      </c>
      <c r="L20" s="388">
        <f>+SUM(Efficiency1!K56:K57)</f>
        <v>49.451280369230773</v>
      </c>
      <c r="M20" s="389">
        <f t="shared" si="19"/>
        <v>644.71513726923081</v>
      </c>
      <c r="N20" s="388">
        <f>+SUM(Efficiency1!C56:C57)</f>
        <v>49.451280369230773</v>
      </c>
      <c r="O20" s="389">
        <f t="shared" si="19"/>
        <v>642.45047283286715</v>
      </c>
      <c r="P20" s="389">
        <f>'12'!I38</f>
        <v>48.237000000000002</v>
      </c>
      <c r="Q20" s="389">
        <f t="shared" si="20"/>
        <v>602.27199999999993</v>
      </c>
      <c r="R20" s="389">
        <f>'12'!I40</f>
        <v>49.295000000000002</v>
      </c>
      <c r="S20" s="389">
        <f t="shared" si="21"/>
        <v>577.69599999999991</v>
      </c>
      <c r="T20" s="391">
        <v>129.6</v>
      </c>
      <c r="U20" s="390">
        <f t="shared" si="22"/>
        <v>1479.6</v>
      </c>
      <c r="V20" s="393">
        <f t="shared" si="1"/>
        <v>2.6867342496423903</v>
      </c>
      <c r="W20" s="393">
        <f t="shared" si="2"/>
        <v>2.4566973062005206</v>
      </c>
      <c r="X20" s="388">
        <f t="shared" si="3"/>
        <v>2.6290698853839132</v>
      </c>
      <c r="Y20" s="393">
        <f t="shared" si="4"/>
        <v>2.5612086633800479</v>
      </c>
      <c r="Z20" s="392">
        <f>'12'!I46</f>
        <v>51463.622431761818</v>
      </c>
      <c r="AA20" s="390">
        <f t="shared" si="23"/>
        <v>583930.09954775358</v>
      </c>
      <c r="AB20" s="393">
        <f t="shared" si="5"/>
        <v>1066.8910262197446</v>
      </c>
      <c r="AC20" s="393">
        <f t="shared" si="6"/>
        <v>969.54548700214139</v>
      </c>
      <c r="AD20" s="393">
        <f t="shared" si="7"/>
        <v>1043.9927463588967</v>
      </c>
      <c r="AE20" s="393">
        <f t="shared" si="8"/>
        <v>1010.7913150649368</v>
      </c>
      <c r="AF20" s="392">
        <f>+Listrik!AQ19</f>
        <v>0</v>
      </c>
      <c r="AG20" s="390">
        <f t="shared" si="24"/>
        <v>0</v>
      </c>
      <c r="AH20" s="393">
        <f t="shared" si="9"/>
        <v>0</v>
      </c>
      <c r="AI20" s="393">
        <f t="shared" si="9"/>
        <v>0</v>
      </c>
      <c r="AJ20" s="393">
        <f t="shared" si="10"/>
        <v>0</v>
      </c>
      <c r="AK20" s="393">
        <f t="shared" si="10"/>
        <v>0</v>
      </c>
      <c r="AL20" s="388">
        <f>+SUM(Efficiency2!K56:K57)</f>
        <v>49.451280369230773</v>
      </c>
      <c r="AM20" s="389">
        <f t="shared" si="25"/>
        <v>644.71513726923081</v>
      </c>
      <c r="AN20" s="415">
        <f t="shared" si="11"/>
        <v>0.99683971035605357</v>
      </c>
      <c r="AO20" s="415">
        <f t="shared" si="12"/>
        <v>0.89604845086606999</v>
      </c>
    </row>
    <row r="21" spans="1:41" s="394" customFormat="1" ht="12.75" customHeight="1">
      <c r="A21" s="408">
        <f t="shared" si="13"/>
        <v>46125</v>
      </c>
      <c r="B21" s="418" t="s">
        <v>403</v>
      </c>
      <c r="C21" s="395" t="s">
        <v>595</v>
      </c>
      <c r="D21" s="387">
        <f>+'13'!F42</f>
        <v>1221</v>
      </c>
      <c r="E21" s="387">
        <f>+'13'!G42</f>
        <v>976.8</v>
      </c>
      <c r="F21" s="45">
        <f t="shared" si="0"/>
        <v>0.20000000000000007</v>
      </c>
      <c r="G21" s="414">
        <f t="shared" si="14"/>
        <v>0.62705673501128045</v>
      </c>
      <c r="H21" s="409">
        <f t="shared" si="15"/>
        <v>0.55885859375822877</v>
      </c>
      <c r="I21" s="409">
        <f t="shared" si="16"/>
        <v>0.66874033718618864</v>
      </c>
      <c r="J21" s="415">
        <f t="shared" si="17"/>
        <v>0.37373128442927717</v>
      </c>
      <c r="K21" s="415">
        <f t="shared" si="18"/>
        <v>0.85942820580249957</v>
      </c>
      <c r="L21" s="388">
        <f>+Efficiency1!K62</f>
        <v>48.609791999999999</v>
      </c>
      <c r="M21" s="389">
        <f t="shared" si="19"/>
        <v>693.32492926923078</v>
      </c>
      <c r="N21" s="388">
        <f>+Efficiency1!C62</f>
        <v>43.323033600000002</v>
      </c>
      <c r="O21" s="389">
        <f t="shared" si="19"/>
        <v>685.77350643286718</v>
      </c>
      <c r="P21" s="389">
        <f>'13'!I38</f>
        <v>27.166</v>
      </c>
      <c r="Q21" s="389">
        <f t="shared" si="20"/>
        <v>629.43799999999999</v>
      </c>
      <c r="R21" s="389">
        <f>'13'!I40</f>
        <v>18.167000000000002</v>
      </c>
      <c r="S21" s="389">
        <f t="shared" si="21"/>
        <v>595.86299999999994</v>
      </c>
      <c r="T21" s="391">
        <v>82.8</v>
      </c>
      <c r="U21" s="390">
        <f t="shared" si="22"/>
        <v>1562.3999999999999</v>
      </c>
      <c r="V21" s="393">
        <f t="shared" si="1"/>
        <v>3.0479275565044541</v>
      </c>
      <c r="W21" s="393">
        <f t="shared" si="2"/>
        <v>2.4822142927500401</v>
      </c>
      <c r="X21" s="388">
        <f t="shared" si="3"/>
        <v>4.5577145373479384</v>
      </c>
      <c r="Y21" s="393">
        <f t="shared" si="4"/>
        <v>2.6220792363345264</v>
      </c>
      <c r="Z21" s="599">
        <f>'13'!I46</f>
        <v>36531.480290306223</v>
      </c>
      <c r="AA21" s="390">
        <f t="shared" si="23"/>
        <v>620461.57983805984</v>
      </c>
      <c r="AB21" s="393">
        <f t="shared" si="5"/>
        <v>1344.7500659024599</v>
      </c>
      <c r="AC21" s="393">
        <f t="shared" si="6"/>
        <v>985.73899230434108</v>
      </c>
      <c r="AD21" s="393">
        <f t="shared" si="7"/>
        <v>2010.8702752411639</v>
      </c>
      <c r="AE21" s="393">
        <f t="shared" si="8"/>
        <v>1041.282274345042</v>
      </c>
      <c r="AF21" s="392">
        <f>+Listrik!AQ20</f>
        <v>0</v>
      </c>
      <c r="AG21" s="390">
        <f t="shared" si="24"/>
        <v>0</v>
      </c>
      <c r="AH21" s="393">
        <f t="shared" si="9"/>
        <v>0</v>
      </c>
      <c r="AI21" s="393">
        <f t="shared" si="9"/>
        <v>0</v>
      </c>
      <c r="AJ21" s="393">
        <f t="shared" si="10"/>
        <v>0</v>
      </c>
      <c r="AK21" s="393">
        <f t="shared" si="10"/>
        <v>0</v>
      </c>
      <c r="AL21" s="388">
        <f>+Efficiency2!K62</f>
        <v>34.972044799999999</v>
      </c>
      <c r="AM21" s="389">
        <f t="shared" si="25"/>
        <v>679.68718206923086</v>
      </c>
      <c r="AN21" s="415">
        <f t="shared" si="11"/>
        <v>0.51947205557737364</v>
      </c>
      <c r="AO21" s="415">
        <f t="shared" si="12"/>
        <v>0.87667241007247232</v>
      </c>
    </row>
    <row r="22" spans="1:41" s="394" customFormat="1" ht="12.75" customHeight="1">
      <c r="A22" s="408">
        <f t="shared" si="13"/>
        <v>46126</v>
      </c>
      <c r="B22" s="418" t="s">
        <v>613</v>
      </c>
      <c r="C22" s="395" t="s">
        <v>612</v>
      </c>
      <c r="D22" s="387">
        <f>+'14'!F42</f>
        <v>1075.3125</v>
      </c>
      <c r="E22" s="387">
        <f>+'14'!G42</f>
        <v>807.19270833333337</v>
      </c>
      <c r="F22" s="45">
        <f t="shared" si="0"/>
        <v>0.24934127676063156</v>
      </c>
      <c r="G22" s="414">
        <f t="shared" si="14"/>
        <v>0.96735614111729806</v>
      </c>
      <c r="H22" s="409">
        <f t="shared" si="15"/>
        <v>0.96215009897737069</v>
      </c>
      <c r="I22" s="409">
        <f t="shared" si="16"/>
        <v>1.0477390343651272</v>
      </c>
      <c r="J22" s="415">
        <f t="shared" si="17"/>
        <v>1.0080822156168618</v>
      </c>
      <c r="K22" s="415">
        <f t="shared" si="18"/>
        <v>0.8700999272328982</v>
      </c>
      <c r="L22" s="388">
        <f>+SUM(Efficiency1!K67:K70)</f>
        <v>53.6226105</v>
      </c>
      <c r="M22" s="389">
        <f t="shared" si="19"/>
        <v>746.94753976923073</v>
      </c>
      <c r="N22" s="388">
        <f>+SUM(Efficiency1!C67:C70)</f>
        <v>53.334028500000002</v>
      </c>
      <c r="O22" s="389">
        <f t="shared" si="19"/>
        <v>739.10753493286722</v>
      </c>
      <c r="P22" s="389">
        <f>'14'!I38</f>
        <v>51.592999999999996</v>
      </c>
      <c r="Q22" s="389">
        <f t="shared" si="20"/>
        <v>681.03099999999995</v>
      </c>
      <c r="R22" s="389">
        <f>'14'!I40</f>
        <v>54.055999999999997</v>
      </c>
      <c r="S22" s="389">
        <f t="shared" si="21"/>
        <v>649.91899999999998</v>
      </c>
      <c r="T22" s="391">
        <v>123.4</v>
      </c>
      <c r="U22" s="390">
        <f t="shared" si="22"/>
        <v>1685.8</v>
      </c>
      <c r="V22" s="393">
        <f t="shared" si="1"/>
        <v>2.3917973368480223</v>
      </c>
      <c r="W22" s="393">
        <f t="shared" si="2"/>
        <v>2.4753645575605225</v>
      </c>
      <c r="X22" s="388">
        <f t="shared" si="3"/>
        <v>2.2828178185585322</v>
      </c>
      <c r="Y22" s="393">
        <f t="shared" si="4"/>
        <v>2.5938616966114241</v>
      </c>
      <c r="Z22" s="392">
        <f>'14'!I46</f>
        <v>39509.714548418764</v>
      </c>
      <c r="AA22" s="390">
        <f t="shared" si="23"/>
        <v>659971.29438647861</v>
      </c>
      <c r="AB22" s="393">
        <f t="shared" si="5"/>
        <v>765.79602946947762</v>
      </c>
      <c r="AC22" s="393">
        <f t="shared" si="6"/>
        <v>969.07672982063752</v>
      </c>
      <c r="AD22" s="393">
        <f t="shared" si="7"/>
        <v>730.90340662310871</v>
      </c>
      <c r="AE22" s="393">
        <f t="shared" si="8"/>
        <v>1015.4669957125097</v>
      </c>
      <c r="AF22" s="392">
        <f>+Listrik!AQ21</f>
        <v>0</v>
      </c>
      <c r="AG22" s="390">
        <f t="shared" si="24"/>
        <v>0</v>
      </c>
      <c r="AH22" s="393">
        <f t="shared" si="9"/>
        <v>0</v>
      </c>
      <c r="AI22" s="393">
        <f t="shared" si="9"/>
        <v>0</v>
      </c>
      <c r="AJ22" s="393">
        <f t="shared" si="10"/>
        <v>0</v>
      </c>
      <c r="AK22" s="393">
        <f t="shared" si="10"/>
        <v>0</v>
      </c>
      <c r="AL22" s="388">
        <f>+SUM(Efficiency2!K67:K70)</f>
        <v>53.6226105</v>
      </c>
      <c r="AM22" s="389">
        <f t="shared" si="25"/>
        <v>733.30979256923081</v>
      </c>
      <c r="AN22" s="415">
        <f t="shared" si="11"/>
        <v>1.0080822156168618</v>
      </c>
      <c r="AO22" s="415">
        <f t="shared" si="12"/>
        <v>0.88628163238204949</v>
      </c>
    </row>
    <row r="23" spans="1:41" s="394" customFormat="1" ht="12.75" customHeight="1">
      <c r="A23" s="408">
        <f t="shared" si="13"/>
        <v>46127</v>
      </c>
      <c r="B23" s="418" t="s">
        <v>610</v>
      </c>
      <c r="C23" s="395" t="s">
        <v>630</v>
      </c>
      <c r="D23" s="387">
        <f>+'15'!F42</f>
        <v>1139.75</v>
      </c>
      <c r="E23" s="387">
        <f>+'15'!G42</f>
        <v>854.8125</v>
      </c>
      <c r="F23" s="45">
        <f t="shared" si="0"/>
        <v>0.25</v>
      </c>
      <c r="G23" s="414">
        <f t="shared" si="14"/>
        <v>0.99540412211472329</v>
      </c>
      <c r="H23" s="409">
        <f t="shared" si="15"/>
        <v>0.99540412211472329</v>
      </c>
      <c r="I23" s="409">
        <f t="shared" si="16"/>
        <v>0.9139713177595381</v>
      </c>
      <c r="J23" s="415">
        <f t="shared" si="17"/>
        <v>0.90977081719246977</v>
      </c>
      <c r="K23" s="415">
        <f t="shared" si="18"/>
        <v>0.87285248586676989</v>
      </c>
      <c r="L23" s="388">
        <f>+SUM(Efficiency1!K72:K73)</f>
        <v>55.690948800000001</v>
      </c>
      <c r="M23" s="389">
        <f t="shared" si="19"/>
        <v>802.63848856923073</v>
      </c>
      <c r="N23" s="388">
        <f>+SUM(Efficiency1!C72:C73)</f>
        <v>55.690948800000001</v>
      </c>
      <c r="O23" s="389">
        <f t="shared" si="19"/>
        <v>794.79848373286723</v>
      </c>
      <c r="P23" s="389">
        <f>'15'!I38</f>
        <v>55.435000000000002</v>
      </c>
      <c r="Q23" s="389">
        <f t="shared" si="20"/>
        <v>736.46599999999989</v>
      </c>
      <c r="R23" s="389">
        <f>'15'!I40</f>
        <v>50.665999999999997</v>
      </c>
      <c r="S23" s="389">
        <f t="shared" si="21"/>
        <v>700.58500000000004</v>
      </c>
      <c r="T23" s="391">
        <v>125.8</v>
      </c>
      <c r="U23" s="390">
        <f t="shared" si="22"/>
        <v>1811.6</v>
      </c>
      <c r="V23" s="393">
        <f t="shared" si="1"/>
        <v>2.269324434021827</v>
      </c>
      <c r="W23" s="393">
        <f t="shared" si="2"/>
        <v>2.4598555805699109</v>
      </c>
      <c r="X23" s="388">
        <f t="shared" si="3"/>
        <v>2.4829274069395653</v>
      </c>
      <c r="Y23" s="393">
        <f t="shared" si="4"/>
        <v>2.585838977426008</v>
      </c>
      <c r="Z23" s="392">
        <f>'15'!I46</f>
        <v>40176.573499645485</v>
      </c>
      <c r="AA23" s="390">
        <f t="shared" si="23"/>
        <v>700147.86788612406</v>
      </c>
      <c r="AB23" s="393">
        <f t="shared" si="5"/>
        <v>724.75103273465288</v>
      </c>
      <c r="AC23" s="393">
        <f t="shared" si="6"/>
        <v>950.68593510918936</v>
      </c>
      <c r="AD23" s="393">
        <f t="shared" si="7"/>
        <v>792.96912129723057</v>
      </c>
      <c r="AE23" s="393">
        <f t="shared" si="8"/>
        <v>999.37604699804319</v>
      </c>
      <c r="AF23" s="392">
        <f>+Listrik!AQ22</f>
        <v>0</v>
      </c>
      <c r="AG23" s="390">
        <f t="shared" si="24"/>
        <v>0</v>
      </c>
      <c r="AH23" s="393">
        <f t="shared" si="9"/>
        <v>0</v>
      </c>
      <c r="AI23" s="393">
        <f t="shared" si="9"/>
        <v>0</v>
      </c>
      <c r="AJ23" s="393">
        <f t="shared" si="10"/>
        <v>0</v>
      </c>
      <c r="AK23" s="393">
        <f t="shared" si="10"/>
        <v>0</v>
      </c>
      <c r="AL23" s="388">
        <f>+SUM(Efficiency2!K72:K73)</f>
        <v>55.690948800000001</v>
      </c>
      <c r="AM23" s="389">
        <f t="shared" si="25"/>
        <v>789.00074136923081</v>
      </c>
      <c r="AN23" s="415">
        <f t="shared" si="11"/>
        <v>0.90977081719246977</v>
      </c>
      <c r="AO23" s="415">
        <f t="shared" si="12"/>
        <v>0.88793959658923238</v>
      </c>
    </row>
    <row r="24" spans="1:41" s="394" customFormat="1" ht="12.75" customHeight="1">
      <c r="A24" s="408">
        <f t="shared" si="13"/>
        <v>46128</v>
      </c>
      <c r="B24" s="418" t="s">
        <v>652</v>
      </c>
      <c r="C24" s="412" t="s">
        <v>651</v>
      </c>
      <c r="D24" s="387">
        <f>+'16'!F42</f>
        <v>1283.3680555555557</v>
      </c>
      <c r="E24" s="387">
        <f>+'16'!G42</f>
        <v>962.52604166666663</v>
      </c>
      <c r="F24" s="45">
        <f t="shared" si="0"/>
        <v>0.25000000000000011</v>
      </c>
      <c r="G24" s="414">
        <f t="shared" si="14"/>
        <v>0.93853483577871488</v>
      </c>
      <c r="H24" s="409">
        <f t="shared" si="15"/>
        <v>0.93522708215867689</v>
      </c>
      <c r="I24" s="409">
        <f t="shared" si="16"/>
        <v>0.81753694180776038</v>
      </c>
      <c r="J24" s="415">
        <f t="shared" si="17"/>
        <v>0.76458268864379975</v>
      </c>
      <c r="K24" s="415">
        <f t="shared" si="18"/>
        <v>0.86619276542317447</v>
      </c>
      <c r="L24" s="388">
        <f>+SUM(Efficiency1!K76:K78)</f>
        <v>52.606474875000004</v>
      </c>
      <c r="M24" s="389">
        <f t="shared" si="19"/>
        <v>855.24496344423073</v>
      </c>
      <c r="N24" s="388">
        <f>+SUM(Efficiency1!C76:C78)</f>
        <v>52.421069654999997</v>
      </c>
      <c r="O24" s="389">
        <f t="shared" si="19"/>
        <v>847.21955338786722</v>
      </c>
      <c r="P24" s="389">
        <f>'16'!I38</f>
        <v>49.198999999999998</v>
      </c>
      <c r="Q24" s="389">
        <f t="shared" si="20"/>
        <v>785.66499999999985</v>
      </c>
      <c r="R24" s="389">
        <f>'16'!I40</f>
        <v>40.222000000000001</v>
      </c>
      <c r="S24" s="389">
        <f t="shared" si="21"/>
        <v>740.80700000000002</v>
      </c>
      <c r="T24" s="391">
        <v>123.7</v>
      </c>
      <c r="U24" s="390">
        <f t="shared" si="22"/>
        <v>1935.3</v>
      </c>
      <c r="V24" s="393">
        <f t="shared" si="1"/>
        <v>2.5142787455029576</v>
      </c>
      <c r="W24" s="393">
        <f t="shared" si="2"/>
        <v>2.4632636047170235</v>
      </c>
      <c r="X24" s="388">
        <f t="shared" si="3"/>
        <v>3.0754313559743425</v>
      </c>
      <c r="Y24" s="393">
        <f t="shared" si="4"/>
        <v>2.612421318913023</v>
      </c>
      <c r="Z24" s="392">
        <f>'16'!I46</f>
        <v>46468.108962937091</v>
      </c>
      <c r="AA24" s="390">
        <f t="shared" si="23"/>
        <v>746615.9768490612</v>
      </c>
      <c r="AB24" s="393">
        <f t="shared" si="5"/>
        <v>944.49295642059985</v>
      </c>
      <c r="AC24" s="393">
        <f t="shared" si="6"/>
        <v>950.29812559941104</v>
      </c>
      <c r="AD24" s="393">
        <f t="shared" si="7"/>
        <v>1155.2908598015288</v>
      </c>
      <c r="AE24" s="393">
        <f t="shared" si="8"/>
        <v>1007.8414173314522</v>
      </c>
      <c r="AF24" s="392">
        <f>+Listrik!AQ23</f>
        <v>0</v>
      </c>
      <c r="AG24" s="390">
        <f t="shared" si="24"/>
        <v>0</v>
      </c>
      <c r="AH24" s="393">
        <f t="shared" si="9"/>
        <v>0</v>
      </c>
      <c r="AI24" s="393">
        <f t="shared" si="9"/>
        <v>0</v>
      </c>
      <c r="AJ24" s="393">
        <f t="shared" si="10"/>
        <v>0</v>
      </c>
      <c r="AK24" s="393">
        <f t="shared" si="10"/>
        <v>0</v>
      </c>
      <c r="AL24" s="388">
        <f>+SUM(Efficiency2!K76:K78)</f>
        <v>52.606474875000004</v>
      </c>
      <c r="AM24" s="389">
        <f t="shared" si="25"/>
        <v>841.60721624423081</v>
      </c>
      <c r="AN24" s="415">
        <f t="shared" si="11"/>
        <v>0.76458268864379975</v>
      </c>
      <c r="AO24" s="415">
        <f t="shared" si="12"/>
        <v>0.88022890690735356</v>
      </c>
    </row>
    <row r="25" spans="1:41" s="394" customFormat="1" ht="12.75" customHeight="1">
      <c r="A25" s="408">
        <f t="shared" si="13"/>
        <v>46129</v>
      </c>
      <c r="B25" s="418" t="s">
        <v>649</v>
      </c>
      <c r="C25" s="395" t="s">
        <v>660</v>
      </c>
      <c r="D25" s="387">
        <f>+'17'!F42</f>
        <v>1350</v>
      </c>
      <c r="E25" s="387">
        <f>+'17'!G42</f>
        <v>1012.5</v>
      </c>
      <c r="F25" s="45">
        <f t="shared" si="0"/>
        <v>0.25</v>
      </c>
      <c r="G25" s="414">
        <f t="shared" si="14"/>
        <v>0.93113965821624933</v>
      </c>
      <c r="H25" s="409">
        <f t="shared" si="15"/>
        <v>0.93113965821624933</v>
      </c>
      <c r="I25" s="409">
        <f t="shared" si="16"/>
        <v>0.8732972882350476</v>
      </c>
      <c r="J25" s="415">
        <f t="shared" si="17"/>
        <v>0.8131617384883596</v>
      </c>
      <c r="K25" s="415">
        <f t="shared" si="18"/>
        <v>0.86319475218325747</v>
      </c>
      <c r="L25" s="388">
        <f>+Efficiency1!K80</f>
        <v>51.246877499999997</v>
      </c>
      <c r="M25" s="389">
        <f t="shared" si="19"/>
        <v>906.49184094423072</v>
      </c>
      <c r="N25" s="388">
        <f>+Efficiency1!C80</f>
        <v>51.246877499999997</v>
      </c>
      <c r="O25" s="389">
        <f t="shared" si="19"/>
        <v>898.4664308878672</v>
      </c>
      <c r="P25" s="389">
        <f>'17'!I38</f>
        <v>47.717999999999996</v>
      </c>
      <c r="Q25" s="389">
        <f t="shared" si="20"/>
        <v>833.38299999999981</v>
      </c>
      <c r="R25" s="389">
        <f>'17'!I40</f>
        <v>41.671999999999997</v>
      </c>
      <c r="S25" s="389">
        <f t="shared" si="21"/>
        <v>782.47900000000004</v>
      </c>
      <c r="T25" s="391">
        <v>125.7</v>
      </c>
      <c r="U25" s="390">
        <f t="shared" si="22"/>
        <v>2061</v>
      </c>
      <c r="V25" s="393">
        <f t="shared" si="1"/>
        <v>2.6342260782094811</v>
      </c>
      <c r="W25" s="393">
        <f t="shared" si="2"/>
        <v>2.4730526060646789</v>
      </c>
      <c r="X25" s="388">
        <f t="shared" si="3"/>
        <v>3.0164138990209257</v>
      </c>
      <c r="Y25" s="393">
        <f t="shared" si="4"/>
        <v>2.6339365018102723</v>
      </c>
      <c r="Z25" s="392">
        <f>'17'!I46</f>
        <v>48839.192611495702</v>
      </c>
      <c r="AA25" s="390">
        <f t="shared" si="23"/>
        <v>795455.16946055694</v>
      </c>
      <c r="AB25" s="393">
        <f t="shared" si="5"/>
        <v>1023.4962196968795</v>
      </c>
      <c r="AC25" s="393">
        <f t="shared" si="6"/>
        <v>954.48931578944746</v>
      </c>
      <c r="AD25" s="393">
        <f t="shared" si="7"/>
        <v>1171.9906078780884</v>
      </c>
      <c r="AE25" s="393">
        <f t="shared" si="8"/>
        <v>1016.5834092168058</v>
      </c>
      <c r="AF25" s="392">
        <f>+Listrik!AQ24</f>
        <v>0</v>
      </c>
      <c r="AG25" s="390">
        <f t="shared" si="24"/>
        <v>0</v>
      </c>
      <c r="AH25" s="393">
        <f t="shared" si="9"/>
        <v>0</v>
      </c>
      <c r="AI25" s="393">
        <f t="shared" si="9"/>
        <v>0</v>
      </c>
      <c r="AJ25" s="393">
        <f t="shared" si="10"/>
        <v>0</v>
      </c>
      <c r="AK25" s="393">
        <f t="shared" si="10"/>
        <v>0</v>
      </c>
      <c r="AL25" s="388">
        <f>+SUM(Efficiency2!K80)</f>
        <v>51.246877499999997</v>
      </c>
      <c r="AM25" s="389">
        <f t="shared" si="25"/>
        <v>892.85409374423079</v>
      </c>
      <c r="AN25" s="415">
        <f t="shared" si="11"/>
        <v>0.8131617384883596</v>
      </c>
      <c r="AO25" s="415">
        <f t="shared" si="12"/>
        <v>0.87637947284156259</v>
      </c>
    </row>
    <row r="26" spans="1:41" s="394" customFormat="1" ht="12.75" customHeight="1">
      <c r="A26" s="408">
        <f t="shared" si="13"/>
        <v>46130</v>
      </c>
      <c r="B26" s="418" t="s">
        <v>649</v>
      </c>
      <c r="C26" s="395" t="s">
        <v>660</v>
      </c>
      <c r="D26" s="387">
        <f>+'18'!F42</f>
        <v>1350</v>
      </c>
      <c r="E26" s="387">
        <f>+'18'!G42</f>
        <v>1012.5</v>
      </c>
      <c r="F26" s="45">
        <f t="shared" si="0"/>
        <v>0.25</v>
      </c>
      <c r="G26" s="414">
        <f t="shared" si="14"/>
        <v>0.97049726679356307</v>
      </c>
      <c r="H26" s="409">
        <f t="shared" si="15"/>
        <v>0.97049726679356307</v>
      </c>
      <c r="I26" s="409">
        <f t="shared" si="16"/>
        <v>1.0365917618106266</v>
      </c>
      <c r="J26" s="415">
        <f t="shared" si="17"/>
        <v>1.0060094716179373</v>
      </c>
      <c r="K26" s="415">
        <f t="shared" si="18"/>
        <v>0.87081309976728094</v>
      </c>
      <c r="L26" s="388">
        <f>+Efficiency1!K84</f>
        <v>51.081029999999998</v>
      </c>
      <c r="M26" s="389">
        <f t="shared" si="19"/>
        <v>957.57287094423077</v>
      </c>
      <c r="N26" s="388">
        <f>+Efficiency1!C84</f>
        <v>51.081029999999998</v>
      </c>
      <c r="O26" s="389">
        <f t="shared" si="19"/>
        <v>949.54746088786715</v>
      </c>
      <c r="P26" s="389">
        <f>'18'!I38</f>
        <v>49.573999999999998</v>
      </c>
      <c r="Q26" s="389">
        <f t="shared" si="20"/>
        <v>882.95699999999977</v>
      </c>
      <c r="R26" s="389">
        <f>'18'!I40</f>
        <v>51.387999999999998</v>
      </c>
      <c r="S26" s="389">
        <f t="shared" si="21"/>
        <v>833.86700000000008</v>
      </c>
      <c r="T26" s="391">
        <v>122.2</v>
      </c>
      <c r="U26" s="390">
        <f t="shared" si="22"/>
        <v>2183.1999999999998</v>
      </c>
      <c r="V26" s="393">
        <f t="shared" si="1"/>
        <v>2.4650018154677857</v>
      </c>
      <c r="W26" s="393">
        <f t="shared" si="2"/>
        <v>2.4726005909687565</v>
      </c>
      <c r="X26" s="388">
        <f t="shared" si="3"/>
        <v>2.3779870786954156</v>
      </c>
      <c r="Y26" s="393">
        <f t="shared" si="4"/>
        <v>2.6181633282046173</v>
      </c>
      <c r="Z26" s="392">
        <f>'18'!I46</f>
        <v>44126.786938472942</v>
      </c>
      <c r="AA26" s="390">
        <f t="shared" si="23"/>
        <v>839581.95639902982</v>
      </c>
      <c r="AB26" s="393">
        <f t="shared" si="5"/>
        <v>890.11955739849407</v>
      </c>
      <c r="AC26" s="393">
        <f t="shared" si="6"/>
        <v>950.87524805741396</v>
      </c>
      <c r="AD26" s="393">
        <f t="shared" si="7"/>
        <v>858.69827466476499</v>
      </c>
      <c r="AE26" s="393">
        <f t="shared" si="8"/>
        <v>1006.8535586598699</v>
      </c>
      <c r="AF26" s="392">
        <f>+Listrik!AQ25</f>
        <v>0</v>
      </c>
      <c r="AG26" s="390">
        <f t="shared" si="24"/>
        <v>0</v>
      </c>
      <c r="AH26" s="393">
        <f t="shared" si="9"/>
        <v>0</v>
      </c>
      <c r="AI26" s="393">
        <f t="shared" si="9"/>
        <v>0</v>
      </c>
      <c r="AJ26" s="393">
        <f t="shared" si="10"/>
        <v>0</v>
      </c>
      <c r="AK26" s="393">
        <f t="shared" si="10"/>
        <v>0</v>
      </c>
      <c r="AL26" s="388">
        <f>+Efficiency2!K84</f>
        <v>51.081029999999998</v>
      </c>
      <c r="AM26" s="389">
        <f t="shared" si="25"/>
        <v>943.93512374423085</v>
      </c>
      <c r="AN26" s="415">
        <f t="shared" si="11"/>
        <v>1.0060094716179373</v>
      </c>
      <c r="AO26" s="415">
        <f t="shared" si="12"/>
        <v>0.88339439758568106</v>
      </c>
    </row>
    <row r="27" spans="1:41" s="394" customFormat="1" ht="12.75" customHeight="1">
      <c r="A27" s="408">
        <f t="shared" si="13"/>
        <v>46131</v>
      </c>
      <c r="B27" s="418" t="s">
        <v>649</v>
      </c>
      <c r="C27" s="395" t="s">
        <v>660</v>
      </c>
      <c r="D27" s="387">
        <f>+'19'!F42</f>
        <v>1350</v>
      </c>
      <c r="E27" s="387">
        <f>+'19'!G42</f>
        <v>1012.5</v>
      </c>
      <c r="F27" s="45">
        <f t="shared" si="0"/>
        <v>0.25</v>
      </c>
      <c r="G27" s="414">
        <f t="shared" si="14"/>
        <v>0.96160000602411921</v>
      </c>
      <c r="H27" s="409">
        <f t="shared" si="15"/>
        <v>0.96160000602411921</v>
      </c>
      <c r="I27" s="409">
        <f t="shared" si="16"/>
        <v>1.0973636126337769</v>
      </c>
      <c r="J27" s="415">
        <f t="shared" si="17"/>
        <v>1.0552248565192892</v>
      </c>
      <c r="K27" s="415">
        <f t="shared" si="18"/>
        <v>0.880275505152602</v>
      </c>
      <c r="L27" s="388">
        <f>+Efficiency1!K88</f>
        <v>51.791804999999997</v>
      </c>
      <c r="M27" s="389">
        <f t="shared" si="19"/>
        <v>1009.3646759442307</v>
      </c>
      <c r="N27" s="388">
        <f>+Efficiency1!C88</f>
        <v>51.791804999999997</v>
      </c>
      <c r="O27" s="389">
        <f t="shared" si="19"/>
        <v>1001.3392658878671</v>
      </c>
      <c r="P27" s="389">
        <f>'19'!I38</f>
        <v>49.803000000000004</v>
      </c>
      <c r="Q27" s="389">
        <f t="shared" si="20"/>
        <v>932.75999999999976</v>
      </c>
      <c r="R27" s="389">
        <f>'19'!I40</f>
        <v>54.652000000000001</v>
      </c>
      <c r="S27" s="389">
        <f t="shared" si="21"/>
        <v>888.51900000000012</v>
      </c>
      <c r="T27" s="391">
        <v>122.2</v>
      </c>
      <c r="U27" s="390">
        <f t="shared" si="22"/>
        <v>2305.3999999999996</v>
      </c>
      <c r="V27" s="393">
        <f t="shared" si="1"/>
        <v>2.453667449752023</v>
      </c>
      <c r="W27" s="393">
        <f t="shared" si="2"/>
        <v>2.4715896908100694</v>
      </c>
      <c r="X27" s="388">
        <f t="shared" si="3"/>
        <v>2.235965746907707</v>
      </c>
      <c r="Y27" s="393">
        <f t="shared" si="4"/>
        <v>2.5946547006873226</v>
      </c>
      <c r="Z27" s="392">
        <f>'19'!I46</f>
        <v>45466.081589716574</v>
      </c>
      <c r="AA27" s="390">
        <f t="shared" si="23"/>
        <v>885048.03798874642</v>
      </c>
      <c r="AB27" s="393">
        <f t="shared" si="5"/>
        <v>912.91853080570581</v>
      </c>
      <c r="AC27" s="393">
        <f t="shared" si="6"/>
        <v>948.84861913970008</v>
      </c>
      <c r="AD27" s="393">
        <f t="shared" si="7"/>
        <v>831.91981244449562</v>
      </c>
      <c r="AE27" s="393">
        <f t="shared" si="8"/>
        <v>996.09354216257191</v>
      </c>
      <c r="AF27" s="392">
        <f>+Listrik!AQ26</f>
        <v>0</v>
      </c>
      <c r="AG27" s="390">
        <f t="shared" si="24"/>
        <v>0</v>
      </c>
      <c r="AH27" s="393">
        <f t="shared" si="9"/>
        <v>0</v>
      </c>
      <c r="AI27" s="393">
        <f t="shared" si="9"/>
        <v>0</v>
      </c>
      <c r="AJ27" s="393">
        <f t="shared" si="10"/>
        <v>0</v>
      </c>
      <c r="AK27" s="393">
        <f t="shared" si="10"/>
        <v>0</v>
      </c>
      <c r="AL27" s="388">
        <f>+Efficiency2!K88</f>
        <v>51.791804999999997</v>
      </c>
      <c r="AM27" s="389">
        <f t="shared" si="25"/>
        <v>995.7269287442308</v>
      </c>
      <c r="AN27" s="415">
        <f t="shared" si="11"/>
        <v>1.0552248565192892</v>
      </c>
      <c r="AO27" s="415">
        <f t="shared" si="12"/>
        <v>0.89233199821216358</v>
      </c>
    </row>
    <row r="28" spans="1:41" s="394" customFormat="1" ht="12.75" customHeight="1">
      <c r="A28" s="408">
        <f t="shared" si="13"/>
        <v>46132</v>
      </c>
      <c r="B28" s="418" t="s">
        <v>649</v>
      </c>
      <c r="C28" s="395" t="s">
        <v>660</v>
      </c>
      <c r="D28" s="387">
        <f>+'20'!F42</f>
        <v>1350</v>
      </c>
      <c r="E28" s="387">
        <f>+'20'!G42</f>
        <v>1012.5</v>
      </c>
      <c r="F28" s="45">
        <f t="shared" si="0"/>
        <v>0.25</v>
      </c>
      <c r="G28" s="414">
        <f t="shared" si="14"/>
        <v>0.97178933157769143</v>
      </c>
      <c r="H28" s="409">
        <f t="shared" si="15"/>
        <v>0.97178933157769143</v>
      </c>
      <c r="I28" s="409">
        <f t="shared" si="16"/>
        <v>0.90592264302981462</v>
      </c>
      <c r="J28" s="415">
        <f t="shared" si="17"/>
        <v>0.88036595973103915</v>
      </c>
      <c r="K28" s="415">
        <f t="shared" si="18"/>
        <v>0.8802798622950837</v>
      </c>
      <c r="L28" s="388">
        <f>+Efficiency1!K92</f>
        <v>51.081029999999998</v>
      </c>
      <c r="M28" s="389">
        <f t="shared" si="19"/>
        <v>1060.4457059442307</v>
      </c>
      <c r="N28" s="388">
        <f>+Efficiency1!C92</f>
        <v>51.081029999999998</v>
      </c>
      <c r="O28" s="389">
        <f t="shared" si="19"/>
        <v>1052.420295887867</v>
      </c>
      <c r="P28" s="389">
        <f>'20'!I38</f>
        <v>49.64</v>
      </c>
      <c r="Q28" s="389">
        <f t="shared" si="20"/>
        <v>982.39999999999975</v>
      </c>
      <c r="R28" s="389">
        <f>'20'!I40</f>
        <v>44.97</v>
      </c>
      <c r="S28" s="389">
        <f t="shared" si="21"/>
        <v>933.48900000000015</v>
      </c>
      <c r="T28" s="391">
        <v>121.2</v>
      </c>
      <c r="U28" s="390">
        <f t="shared" si="22"/>
        <v>2426.5999999999995</v>
      </c>
      <c r="V28" s="393">
        <f t="shared" si="1"/>
        <v>2.4415793714746172</v>
      </c>
      <c r="W28" s="393">
        <f t="shared" si="2"/>
        <v>2.4700732899022801</v>
      </c>
      <c r="X28" s="388">
        <f t="shared" si="3"/>
        <v>2.695130086724483</v>
      </c>
      <c r="Y28" s="393">
        <f t="shared" si="4"/>
        <v>2.599495012796079</v>
      </c>
      <c r="Z28" s="392">
        <f>'20'!I46</f>
        <v>45745.382108830054</v>
      </c>
      <c r="AA28" s="390">
        <f t="shared" si="23"/>
        <v>930793.42009757645</v>
      </c>
      <c r="AB28" s="393">
        <f t="shared" si="5"/>
        <v>921.54274997643142</v>
      </c>
      <c r="AC28" s="393">
        <f t="shared" si="6"/>
        <v>947.4688722491619</v>
      </c>
      <c r="AD28" s="393">
        <f t="shared" si="7"/>
        <v>1017.2422083351136</v>
      </c>
      <c r="AE28" s="393">
        <f t="shared" si="8"/>
        <v>997.11236029302574</v>
      </c>
      <c r="AF28" s="392">
        <f>+Listrik!AQ27</f>
        <v>0</v>
      </c>
      <c r="AG28" s="390">
        <f t="shared" si="24"/>
        <v>0</v>
      </c>
      <c r="AH28" s="393">
        <f t="shared" si="9"/>
        <v>0</v>
      </c>
      <c r="AI28" s="393">
        <f t="shared" si="9"/>
        <v>0</v>
      </c>
      <c r="AJ28" s="393">
        <f t="shared" si="10"/>
        <v>0</v>
      </c>
      <c r="AK28" s="393">
        <f t="shared" si="10"/>
        <v>0</v>
      </c>
      <c r="AL28" s="388">
        <f>+Efficiency2!K92</f>
        <v>51.081029999999998</v>
      </c>
      <c r="AM28" s="389">
        <f t="shared" si="25"/>
        <v>1046.8079587442307</v>
      </c>
      <c r="AN28" s="415">
        <f t="shared" si="11"/>
        <v>0.88036595973103915</v>
      </c>
      <c r="AO28" s="415">
        <f t="shared" si="12"/>
        <v>0.89174809209497219</v>
      </c>
    </row>
    <row r="29" spans="1:41" s="394" customFormat="1" ht="12.75" customHeight="1">
      <c r="A29" s="408">
        <f t="shared" si="13"/>
        <v>46133</v>
      </c>
      <c r="B29" s="418" t="s">
        <v>649</v>
      </c>
      <c r="C29" s="395" t="s">
        <v>660</v>
      </c>
      <c r="D29" s="387">
        <f>+'21'!F42</f>
        <v>1350</v>
      </c>
      <c r="E29" s="387">
        <f>+'21'!G42</f>
        <v>1012.5</v>
      </c>
      <c r="F29" s="45">
        <f t="shared" si="0"/>
        <v>0.25</v>
      </c>
      <c r="G29" s="414">
        <f t="shared" si="14"/>
        <v>1.0123327583645043</v>
      </c>
      <c r="H29" s="409">
        <f t="shared" si="15"/>
        <v>1.0123327583645043</v>
      </c>
      <c r="I29" s="409">
        <f t="shared" si="16"/>
        <v>1.0016437508460483</v>
      </c>
      <c r="J29" s="415">
        <f t="shared" si="17"/>
        <v>1.0139967811925483</v>
      </c>
      <c r="K29" s="415">
        <f t="shared" si="18"/>
        <v>0.88642492181081955</v>
      </c>
      <c r="L29" s="388">
        <f>+Efficiency1!K96</f>
        <v>51.081029999999998</v>
      </c>
      <c r="M29" s="389">
        <f t="shared" si="19"/>
        <v>1111.5267359442307</v>
      </c>
      <c r="N29" s="388">
        <f>+Efficiency1!C96</f>
        <v>51.081029999999998</v>
      </c>
      <c r="O29" s="389">
        <f t="shared" si="19"/>
        <v>1103.5013258878671</v>
      </c>
      <c r="P29" s="389">
        <f>'21'!I38</f>
        <v>51.710999999999999</v>
      </c>
      <c r="Q29" s="389">
        <f t="shared" si="20"/>
        <v>1034.1109999999996</v>
      </c>
      <c r="R29" s="389">
        <f>'21'!I40</f>
        <v>51.795999999999999</v>
      </c>
      <c r="S29" s="389">
        <f t="shared" si="21"/>
        <v>985.2850000000002</v>
      </c>
      <c r="T29" s="391">
        <v>119</v>
      </c>
      <c r="U29" s="390">
        <f t="shared" si="22"/>
        <v>2545.5999999999995</v>
      </c>
      <c r="V29" s="393">
        <f t="shared" si="1"/>
        <v>2.3012511844675214</v>
      </c>
      <c r="W29" s="393">
        <f t="shared" si="2"/>
        <v>2.4616312948996772</v>
      </c>
      <c r="X29" s="388">
        <f t="shared" si="3"/>
        <v>2.2974747084716967</v>
      </c>
      <c r="Y29" s="393">
        <f t="shared" si="4"/>
        <v>2.5836179379570368</v>
      </c>
      <c r="Z29" s="392">
        <f>'21'!I46</f>
        <v>48826.456506070928</v>
      </c>
      <c r="AA29" s="390">
        <f t="shared" si="23"/>
        <v>979619.87660364737</v>
      </c>
      <c r="AB29" s="393">
        <f t="shared" si="5"/>
        <v>944.21799048695493</v>
      </c>
      <c r="AC29" s="393">
        <f t="shared" si="6"/>
        <v>947.30631102816596</v>
      </c>
      <c r="AD29" s="393">
        <f t="shared" si="7"/>
        <v>942.66847837807802</v>
      </c>
      <c r="AE29" s="393">
        <f t="shared" si="8"/>
        <v>994.25026931664149</v>
      </c>
      <c r="AF29" s="392">
        <f>+Listrik!AQ28</f>
        <v>0</v>
      </c>
      <c r="AG29" s="390">
        <f t="shared" si="24"/>
        <v>0</v>
      </c>
      <c r="AH29" s="393">
        <f t="shared" si="9"/>
        <v>0</v>
      </c>
      <c r="AI29" s="393">
        <f t="shared" si="9"/>
        <v>0</v>
      </c>
      <c r="AJ29" s="393">
        <f t="shared" si="10"/>
        <v>0</v>
      </c>
      <c r="AK29" s="393">
        <f t="shared" si="10"/>
        <v>0</v>
      </c>
      <c r="AL29" s="388">
        <f>+Efficiency2!K96</f>
        <v>51.081029999999998</v>
      </c>
      <c r="AM29" s="389">
        <f t="shared" si="25"/>
        <v>1097.8889887442308</v>
      </c>
      <c r="AN29" s="415">
        <f t="shared" si="11"/>
        <v>1.0139967811925483</v>
      </c>
      <c r="AO29" s="415">
        <f t="shared" si="12"/>
        <v>0.89743590663658313</v>
      </c>
    </row>
    <row r="30" spans="1:41" s="394" customFormat="1" ht="12.75" customHeight="1">
      <c r="A30" s="408">
        <f t="shared" si="13"/>
        <v>46134</v>
      </c>
      <c r="B30" s="418" t="s">
        <v>649</v>
      </c>
      <c r="C30" s="395" t="s">
        <v>660</v>
      </c>
      <c r="D30" s="387">
        <f>+'22'!F42</f>
        <v>1350</v>
      </c>
      <c r="E30" s="387">
        <f>+'22'!G42</f>
        <v>1012.5</v>
      </c>
      <c r="F30" s="45">
        <f t="shared" si="0"/>
        <v>0.25</v>
      </c>
      <c r="G30" s="414">
        <f t="shared" si="14"/>
        <v>0.97531314462531382</v>
      </c>
      <c r="H30" s="409">
        <f t="shared" si="15"/>
        <v>0.97531314462531382</v>
      </c>
      <c r="I30" s="409">
        <f t="shared" si="16"/>
        <v>0.9799678843837818</v>
      </c>
      <c r="J30" s="415">
        <f t="shared" si="17"/>
        <v>0.9557755589501622</v>
      </c>
      <c r="K30" s="415">
        <f t="shared" si="18"/>
        <v>0.88947195287323189</v>
      </c>
      <c r="L30" s="388">
        <f>+Efficiency1!K100</f>
        <v>51.081029999999998</v>
      </c>
      <c r="M30" s="389">
        <f t="shared" si="19"/>
        <v>1162.6077659442308</v>
      </c>
      <c r="N30" s="388">
        <f>+Efficiency1!C100</f>
        <v>51.081029999999998</v>
      </c>
      <c r="O30" s="389">
        <f t="shared" si="19"/>
        <v>1154.5823558878672</v>
      </c>
      <c r="P30" s="389">
        <f>'22'!I38</f>
        <v>49.819999999999993</v>
      </c>
      <c r="Q30" s="389">
        <f t="shared" si="20"/>
        <v>1083.9309999999996</v>
      </c>
      <c r="R30" s="389">
        <f>'22'!I40</f>
        <v>48.822000000000003</v>
      </c>
      <c r="S30" s="389">
        <f t="shared" si="21"/>
        <v>1034.1070000000002</v>
      </c>
      <c r="T30" s="391">
        <v>119.4</v>
      </c>
      <c r="U30" s="390">
        <f t="shared" si="22"/>
        <v>2664.9999999999995</v>
      </c>
      <c r="V30" s="393">
        <f t="shared" si="1"/>
        <v>2.3966278602970701</v>
      </c>
      <c r="W30" s="393">
        <f t="shared" si="2"/>
        <v>2.458643585246663</v>
      </c>
      <c r="X30" s="388">
        <f t="shared" si="3"/>
        <v>2.4456187784195649</v>
      </c>
      <c r="Y30" s="393">
        <f t="shared" si="4"/>
        <v>2.5771027562911759</v>
      </c>
      <c r="Z30" s="392">
        <f>'22'!I46</f>
        <v>44440.814717034766</v>
      </c>
      <c r="AA30" s="390">
        <f t="shared" si="23"/>
        <v>1024060.6913206822</v>
      </c>
      <c r="AB30" s="393">
        <f t="shared" si="5"/>
        <v>892.02759367793601</v>
      </c>
      <c r="AC30" s="393">
        <f t="shared" si="6"/>
        <v>944.76557208962811</v>
      </c>
      <c r="AD30" s="393">
        <f t="shared" si="7"/>
        <v>910.26206867876704</v>
      </c>
      <c r="AE30" s="393">
        <f t="shared" si="8"/>
        <v>990.28503947916602</v>
      </c>
      <c r="AF30" s="392">
        <f>+Listrik!AQ29</f>
        <v>0</v>
      </c>
      <c r="AG30" s="390">
        <f t="shared" si="24"/>
        <v>0</v>
      </c>
      <c r="AH30" s="393">
        <f t="shared" si="9"/>
        <v>0</v>
      </c>
      <c r="AI30" s="393">
        <f t="shared" si="9"/>
        <v>0</v>
      </c>
      <c r="AJ30" s="393">
        <f t="shared" si="10"/>
        <v>0</v>
      </c>
      <c r="AK30" s="393">
        <f t="shared" si="10"/>
        <v>0</v>
      </c>
      <c r="AL30" s="388">
        <f>+Efficiency2!K100</f>
        <v>51.081029999999998</v>
      </c>
      <c r="AM30" s="389">
        <f t="shared" si="25"/>
        <v>1148.9700187442309</v>
      </c>
      <c r="AN30" s="415">
        <f t="shared" si="11"/>
        <v>0.9557755589501622</v>
      </c>
      <c r="AO30" s="415">
        <f t="shared" si="12"/>
        <v>0.90002957703824993</v>
      </c>
    </row>
    <row r="31" spans="1:41" s="394" customFormat="1" ht="12.75" customHeight="1">
      <c r="A31" s="408">
        <f t="shared" si="13"/>
        <v>46135</v>
      </c>
      <c r="B31" s="418" t="s">
        <v>649</v>
      </c>
      <c r="C31" s="395" t="s">
        <v>660</v>
      </c>
      <c r="D31" s="387">
        <f>+'23'!F42</f>
        <v>1350</v>
      </c>
      <c r="E31" s="387">
        <f>+'23'!G42</f>
        <v>1012.5</v>
      </c>
      <c r="F31" s="45">
        <f t="shared" si="0"/>
        <v>0.25</v>
      </c>
      <c r="G31" s="414">
        <f t="shared" si="14"/>
        <v>1.0109819633629158</v>
      </c>
      <c r="H31" s="409">
        <f t="shared" si="15"/>
        <v>1.0109819633629158</v>
      </c>
      <c r="I31" s="409">
        <f t="shared" si="16"/>
        <v>0.92941791565005227</v>
      </c>
      <c r="J31" s="415">
        <f t="shared" si="17"/>
        <v>0.93962474914855865</v>
      </c>
      <c r="K31" s="415">
        <f t="shared" si="18"/>
        <v>0.89158275466994019</v>
      </c>
      <c r="L31" s="388">
        <f>+Efficiency1!K105</f>
        <v>51.081029999999998</v>
      </c>
      <c r="M31" s="389">
        <f t="shared" si="19"/>
        <v>1213.6887959442308</v>
      </c>
      <c r="N31" s="388">
        <f>+Efficiency1!C105</f>
        <v>51.081029999999998</v>
      </c>
      <c r="O31" s="389">
        <f t="shared" si="19"/>
        <v>1205.6633858878672</v>
      </c>
      <c r="P31" s="389">
        <f>'23'!I38</f>
        <v>51.642000000000003</v>
      </c>
      <c r="Q31" s="389">
        <f t="shared" si="20"/>
        <v>1135.5729999999996</v>
      </c>
      <c r="R31" s="389">
        <f>'23'!I40</f>
        <v>47.997</v>
      </c>
      <c r="S31" s="389">
        <f t="shared" si="21"/>
        <v>1082.1040000000003</v>
      </c>
      <c r="T31" s="391">
        <v>119.3</v>
      </c>
      <c r="U31" s="390">
        <f t="shared" si="22"/>
        <v>2784.2999999999997</v>
      </c>
      <c r="V31" s="393">
        <f t="shared" si="1"/>
        <v>2.3101351613028154</v>
      </c>
      <c r="W31" s="393">
        <f t="shared" si="2"/>
        <v>2.4518899269355652</v>
      </c>
      <c r="X31" s="388">
        <f t="shared" si="3"/>
        <v>2.485572014917599</v>
      </c>
      <c r="Y31" s="393">
        <f t="shared" si="4"/>
        <v>2.5730428868204895</v>
      </c>
      <c r="Z31" s="392">
        <f>'23'!I46</f>
        <v>44584.471476040031</v>
      </c>
      <c r="AA31" s="390">
        <f t="shared" si="23"/>
        <v>1068645.1627967223</v>
      </c>
      <c r="AB31" s="393">
        <f t="shared" si="5"/>
        <v>863.33742837303032</v>
      </c>
      <c r="AC31" s="393">
        <f t="shared" si="6"/>
        <v>941.0624969039618</v>
      </c>
      <c r="AD31" s="393">
        <f t="shared" si="7"/>
        <v>928.90121207658888</v>
      </c>
      <c r="AE31" s="393">
        <f t="shared" si="8"/>
        <v>987.56234409698334</v>
      </c>
      <c r="AF31" s="392">
        <f>+Listrik!AQ30</f>
        <v>0</v>
      </c>
      <c r="AG31" s="390">
        <f t="shared" si="24"/>
        <v>0</v>
      </c>
      <c r="AH31" s="393">
        <f t="shared" si="9"/>
        <v>0</v>
      </c>
      <c r="AI31" s="393">
        <f t="shared" si="9"/>
        <v>0</v>
      </c>
      <c r="AJ31" s="393">
        <f t="shared" si="10"/>
        <v>0</v>
      </c>
      <c r="AK31" s="393">
        <f t="shared" si="10"/>
        <v>0</v>
      </c>
      <c r="AL31" s="388">
        <f>+Efficiency2!K105</f>
        <v>51.081029999999998</v>
      </c>
      <c r="AM31" s="389">
        <f t="shared" si="25"/>
        <v>1200.0510487442309</v>
      </c>
      <c r="AN31" s="415">
        <f t="shared" si="11"/>
        <v>0.93962474914855865</v>
      </c>
      <c r="AO31" s="415">
        <f t="shared" si="12"/>
        <v>0.90171497381911048</v>
      </c>
    </row>
    <row r="32" spans="1:41" s="394" customFormat="1" ht="12.75" customHeight="1">
      <c r="A32" s="408">
        <f t="shared" si="13"/>
        <v>46136</v>
      </c>
      <c r="B32" s="418" t="s">
        <v>649</v>
      </c>
      <c r="C32" s="395" t="s">
        <v>660</v>
      </c>
      <c r="D32" s="387">
        <f>+'24'!F42</f>
        <v>1350</v>
      </c>
      <c r="E32" s="387">
        <f>+'24'!G42</f>
        <v>1012.5</v>
      </c>
      <c r="F32" s="45">
        <f t="shared" si="0"/>
        <v>0.25</v>
      </c>
      <c r="G32" s="414">
        <f t="shared" si="14"/>
        <v>0.96431101722107004</v>
      </c>
      <c r="H32" s="409">
        <f t="shared" si="15"/>
        <v>0.96431101722107004</v>
      </c>
      <c r="I32" s="409">
        <f t="shared" si="16"/>
        <v>1.0916196353891754</v>
      </c>
      <c r="J32" s="415">
        <f t="shared" si="17"/>
        <v>1.0526608410206295</v>
      </c>
      <c r="K32" s="415">
        <f t="shared" si="18"/>
        <v>0.89808831354115959</v>
      </c>
      <c r="L32" s="388">
        <f>+Efficiency1!K109</f>
        <v>51.081029999999998</v>
      </c>
      <c r="M32" s="389">
        <f t="shared" si="19"/>
        <v>1264.7698259442309</v>
      </c>
      <c r="N32" s="388">
        <f>+Efficiency1!C109</f>
        <v>51.081029999999998</v>
      </c>
      <c r="O32" s="389">
        <f t="shared" si="19"/>
        <v>1256.7444158878673</v>
      </c>
      <c r="P32" s="389">
        <f>'24'!I38</f>
        <v>49.257999999999996</v>
      </c>
      <c r="Q32" s="389">
        <f t="shared" si="20"/>
        <v>1184.8309999999997</v>
      </c>
      <c r="R32" s="389">
        <f>'24'!I40</f>
        <v>53.771000000000001</v>
      </c>
      <c r="S32" s="389">
        <f t="shared" si="21"/>
        <v>1135.8750000000002</v>
      </c>
      <c r="T32" s="391">
        <v>120</v>
      </c>
      <c r="U32" s="390">
        <f t="shared" si="22"/>
        <v>2904.2999999999997</v>
      </c>
      <c r="V32" s="393">
        <f t="shared" si="1"/>
        <v>2.4361525031466971</v>
      </c>
      <c r="W32" s="393">
        <f t="shared" si="2"/>
        <v>2.4512356614572042</v>
      </c>
      <c r="X32" s="388">
        <f t="shared" si="3"/>
        <v>2.2316862249167766</v>
      </c>
      <c r="Y32" s="393">
        <f t="shared" si="4"/>
        <v>2.556883459887751</v>
      </c>
      <c r="Z32" s="392">
        <f>+'24'!I46</f>
        <v>46550.358187728249</v>
      </c>
      <c r="AA32" s="390">
        <f t="shared" si="23"/>
        <v>1115195.5209844506</v>
      </c>
      <c r="AB32" s="393">
        <f t="shared" si="5"/>
        <v>945.03143017841273</v>
      </c>
      <c r="AC32" s="393">
        <f t="shared" si="6"/>
        <v>941.22750078656861</v>
      </c>
      <c r="AD32" s="393">
        <f t="shared" si="7"/>
        <v>865.71494277079182</v>
      </c>
      <c r="AE32" s="393">
        <f t="shared" si="8"/>
        <v>981.79422998520988</v>
      </c>
      <c r="AF32" s="392">
        <f>+Listrik!AQ31</f>
        <v>0</v>
      </c>
      <c r="AG32" s="390">
        <f t="shared" si="24"/>
        <v>0</v>
      </c>
      <c r="AH32" s="393">
        <f t="shared" si="9"/>
        <v>0</v>
      </c>
      <c r="AI32" s="393">
        <f t="shared" si="9"/>
        <v>0</v>
      </c>
      <c r="AJ32" s="393">
        <f t="shared" si="10"/>
        <v>0</v>
      </c>
      <c r="AK32" s="393">
        <f t="shared" si="10"/>
        <v>0</v>
      </c>
      <c r="AL32" s="388">
        <f>+Efficiency2!K109</f>
        <v>51.081029999999998</v>
      </c>
      <c r="AM32" s="389">
        <f t="shared" si="25"/>
        <v>1251.132078744231</v>
      </c>
      <c r="AN32" s="415">
        <f t="shared" si="11"/>
        <v>1.0526608410206295</v>
      </c>
      <c r="AO32" s="415">
        <f t="shared" si="12"/>
        <v>0.90787776870055559</v>
      </c>
    </row>
    <row r="33" spans="1:41" s="394" customFormat="1" ht="12.75" customHeight="1">
      <c r="A33" s="408">
        <f t="shared" si="13"/>
        <v>46137</v>
      </c>
      <c r="B33" s="418" t="s">
        <v>649</v>
      </c>
      <c r="C33" s="395" t="s">
        <v>660</v>
      </c>
      <c r="D33" s="387">
        <f>+'25'!F42</f>
        <v>1350</v>
      </c>
      <c r="E33" s="387">
        <f>+'25'!G42</f>
        <v>1012.5</v>
      </c>
      <c r="F33" s="45">
        <f t="shared" si="0"/>
        <v>0.25</v>
      </c>
      <c r="G33" s="414">
        <f t="shared" si="14"/>
        <v>0.95882953025810169</v>
      </c>
      <c r="H33" s="409">
        <f t="shared" si="15"/>
        <v>0.95882953025810169</v>
      </c>
      <c r="I33" s="409">
        <f t="shared" si="16"/>
        <v>0.89777042753889491</v>
      </c>
      <c r="J33" s="415">
        <f t="shared" si="17"/>
        <v>0.86080879731673376</v>
      </c>
      <c r="K33" s="415">
        <f t="shared" si="18"/>
        <v>0.89664113122711309</v>
      </c>
      <c r="L33" s="388">
        <f>+Efficiency1!K113</f>
        <v>51.081029999999998</v>
      </c>
      <c r="M33" s="389">
        <f t="shared" si="19"/>
        <v>1315.8508559442309</v>
      </c>
      <c r="N33" s="388">
        <f>+Efficiency1!C113</f>
        <v>51.081029999999998</v>
      </c>
      <c r="O33" s="389">
        <f t="shared" si="19"/>
        <v>1307.8254458878673</v>
      </c>
      <c r="P33" s="389">
        <f>'25'!I38</f>
        <v>48.978000000000002</v>
      </c>
      <c r="Q33" s="389">
        <f t="shared" si="20"/>
        <v>1233.8089999999997</v>
      </c>
      <c r="R33" s="389">
        <f>'25'!I40</f>
        <v>43.970999999999997</v>
      </c>
      <c r="S33" s="389">
        <f t="shared" si="21"/>
        <v>1179.8460000000002</v>
      </c>
      <c r="T33" s="391">
        <v>120.6</v>
      </c>
      <c r="U33" s="390">
        <f t="shared" si="22"/>
        <v>3024.8999999999996</v>
      </c>
      <c r="V33" s="393">
        <f t="shared" si="1"/>
        <v>2.4623300257258358</v>
      </c>
      <c r="W33" s="393">
        <f t="shared" si="2"/>
        <v>2.4516760697968651</v>
      </c>
      <c r="X33" s="388">
        <f t="shared" si="3"/>
        <v>2.7427167906119942</v>
      </c>
      <c r="Y33" s="393">
        <f t="shared" si="4"/>
        <v>2.5638091750957321</v>
      </c>
      <c r="Z33" s="392">
        <f>+'25'!I46</f>
        <v>47143.816892463597</v>
      </c>
      <c r="AA33" s="390">
        <f t="shared" si="23"/>
        <v>1162339.3378769141</v>
      </c>
      <c r="AB33" s="393">
        <f t="shared" si="5"/>
        <v>962.55087779132668</v>
      </c>
      <c r="AC33" s="393">
        <f t="shared" si="6"/>
        <v>942.07396596792069</v>
      </c>
      <c r="AD33" s="393">
        <f t="shared" si="7"/>
        <v>1072.1570328731118</v>
      </c>
      <c r="AE33" s="393">
        <f t="shared" si="8"/>
        <v>985.16190916180074</v>
      </c>
      <c r="AF33" s="392">
        <f>+Listrik!AQ32</f>
        <v>0</v>
      </c>
      <c r="AG33" s="390">
        <f t="shared" si="24"/>
        <v>0</v>
      </c>
      <c r="AH33" s="393">
        <f t="shared" si="9"/>
        <v>0</v>
      </c>
      <c r="AI33" s="393">
        <f t="shared" si="9"/>
        <v>0</v>
      </c>
      <c r="AJ33" s="393">
        <f t="shared" si="10"/>
        <v>0</v>
      </c>
      <c r="AK33" s="393">
        <f t="shared" si="10"/>
        <v>0</v>
      </c>
      <c r="AL33" s="388">
        <f>+Efficiency2!K113</f>
        <v>51.081029999999998</v>
      </c>
      <c r="AM33" s="389">
        <f t="shared" si="25"/>
        <v>1302.213108744231</v>
      </c>
      <c r="AN33" s="415">
        <f t="shared" si="11"/>
        <v>0.86080879731673376</v>
      </c>
      <c r="AO33" s="415">
        <f t="shared" si="12"/>
        <v>0.90603142609873311</v>
      </c>
    </row>
    <row r="34" spans="1:41" s="394" customFormat="1" ht="12.75" customHeight="1">
      <c r="A34" s="408">
        <f t="shared" si="13"/>
        <v>46138</v>
      </c>
      <c r="B34" s="418" t="s">
        <v>649</v>
      </c>
      <c r="C34" s="395" t="s">
        <v>660</v>
      </c>
      <c r="D34" s="387">
        <f>+'26'!F42</f>
        <v>1350</v>
      </c>
      <c r="E34" s="387">
        <f>+'26'!G42</f>
        <v>1012.5</v>
      </c>
      <c r="F34" s="45">
        <f t="shared" si="0"/>
        <v>0.25</v>
      </c>
      <c r="G34" s="414">
        <f t="shared" si="14"/>
        <v>1.0116475724941334</v>
      </c>
      <c r="H34" s="409">
        <f t="shared" si="15"/>
        <v>1.0116475724941334</v>
      </c>
      <c r="I34" s="409">
        <f t="shared" si="16"/>
        <v>0.87355832494775143</v>
      </c>
      <c r="J34" s="415">
        <f t="shared" si="17"/>
        <v>0.88373315886543413</v>
      </c>
      <c r="K34" s="415">
        <f t="shared" si="18"/>
        <v>0.89615877176924541</v>
      </c>
      <c r="L34" s="388">
        <f>+Efficiency1!K117</f>
        <v>51.081029999999998</v>
      </c>
      <c r="M34" s="389">
        <f t="shared" si="19"/>
        <v>1366.931885944231</v>
      </c>
      <c r="N34" s="388">
        <f>+Efficiency1!C117</f>
        <v>51.081029999999998</v>
      </c>
      <c r="O34" s="389">
        <f t="shared" si="19"/>
        <v>1358.9064758878674</v>
      </c>
      <c r="P34" s="389">
        <f>'26'!I38</f>
        <v>51.676000000000002</v>
      </c>
      <c r="Q34" s="389">
        <f t="shared" si="20"/>
        <v>1285.4849999999997</v>
      </c>
      <c r="R34" s="389">
        <f>'26'!I40</f>
        <v>45.142000000000003</v>
      </c>
      <c r="S34" s="389">
        <f t="shared" si="21"/>
        <v>1224.9880000000003</v>
      </c>
      <c r="T34" s="391">
        <v>121.2</v>
      </c>
      <c r="U34" s="390">
        <f t="shared" si="22"/>
        <v>3146.0999999999995</v>
      </c>
      <c r="V34" s="393">
        <f t="shared" si="1"/>
        <v>2.3453827695642078</v>
      </c>
      <c r="W34" s="393">
        <f t="shared" si="2"/>
        <v>2.4474031202231066</v>
      </c>
      <c r="X34" s="388">
        <f t="shared" si="3"/>
        <v>2.6848611049576889</v>
      </c>
      <c r="Y34" s="393">
        <f t="shared" si="4"/>
        <v>2.5682700565230014</v>
      </c>
      <c r="Z34" s="392">
        <f>'26'!I46</f>
        <v>48978.838109397526</v>
      </c>
      <c r="AA34" s="390">
        <f t="shared" si="23"/>
        <v>1211318.1759863116</v>
      </c>
      <c r="AB34" s="393">
        <f t="shared" si="5"/>
        <v>947.80629517372722</v>
      </c>
      <c r="AC34" s="393">
        <f t="shared" si="6"/>
        <v>942.30440338573521</v>
      </c>
      <c r="AD34" s="393">
        <f t="shared" si="7"/>
        <v>1084.9948630853203</v>
      </c>
      <c r="AE34" s="393">
        <f t="shared" si="8"/>
        <v>988.84085067470983</v>
      </c>
      <c r="AF34" s="392">
        <f>+Listrik!AQ33</f>
        <v>0</v>
      </c>
      <c r="AG34" s="390">
        <f t="shared" si="24"/>
        <v>0</v>
      </c>
      <c r="AH34" s="393">
        <f t="shared" si="9"/>
        <v>0</v>
      </c>
      <c r="AI34" s="393">
        <f t="shared" si="9"/>
        <v>0</v>
      </c>
      <c r="AJ34" s="393">
        <f t="shared" si="10"/>
        <v>0</v>
      </c>
      <c r="AK34" s="393">
        <f t="shared" si="10"/>
        <v>0</v>
      </c>
      <c r="AL34" s="388">
        <f>+Efficiency2!K117</f>
        <v>51.081029999999998</v>
      </c>
      <c r="AM34" s="389">
        <f t="shared" si="25"/>
        <v>1353.2941387442311</v>
      </c>
      <c r="AN34" s="415">
        <f t="shared" si="11"/>
        <v>0.88373315886543413</v>
      </c>
      <c r="AO34" s="415">
        <f t="shared" si="12"/>
        <v>0.9051897624685713</v>
      </c>
    </row>
    <row r="35" spans="1:41" s="394" customFormat="1" ht="12.75" customHeight="1">
      <c r="A35" s="408">
        <f t="shared" si="13"/>
        <v>46139</v>
      </c>
      <c r="B35" s="418" t="s">
        <v>649</v>
      </c>
      <c r="C35" s="395" t="s">
        <v>719</v>
      </c>
      <c r="D35" s="387">
        <f>+'27'!F42</f>
        <v>1350</v>
      </c>
      <c r="E35" s="387">
        <f>+'27'!G42</f>
        <v>1012.5</v>
      </c>
      <c r="F35" s="45">
        <f t="shared" si="0"/>
        <v>0.25</v>
      </c>
      <c r="G35" s="414">
        <f t="shared" si="14"/>
        <v>0.85035248716580958</v>
      </c>
      <c r="H35" s="409">
        <f t="shared" si="15"/>
        <v>0.84474640645196897</v>
      </c>
      <c r="I35" s="409">
        <f t="shared" si="16"/>
        <v>1.1663070962952653</v>
      </c>
      <c r="J35" s="415">
        <f t="shared" si="17"/>
        <v>0.98523372841485601</v>
      </c>
      <c r="K35" s="415">
        <f t="shared" si="18"/>
        <v>0.89936439633157828</v>
      </c>
      <c r="L35" s="388">
        <f>+SUM(Efficiency1!K121:K122)</f>
        <v>51.029515687499995</v>
      </c>
      <c r="M35" s="389">
        <f t="shared" si="19"/>
        <v>1417.961401631731</v>
      </c>
      <c r="N35" s="388">
        <f>+SUM(Efficiency1!C121:C122)</f>
        <v>50.693095687499998</v>
      </c>
      <c r="O35" s="389">
        <f t="shared" si="19"/>
        <v>1409.5995715753675</v>
      </c>
      <c r="P35" s="389">
        <f>'27'!I38</f>
        <v>43.106999999999999</v>
      </c>
      <c r="Q35" s="389">
        <f t="shared" si="20"/>
        <v>1328.5919999999996</v>
      </c>
      <c r="R35" s="389">
        <f>'27'!I40</f>
        <v>50.276000000000003</v>
      </c>
      <c r="S35" s="389">
        <f t="shared" si="21"/>
        <v>1275.2640000000004</v>
      </c>
      <c r="T35" s="391">
        <v>106.8</v>
      </c>
      <c r="U35" s="390">
        <f t="shared" si="22"/>
        <v>3252.8999999999996</v>
      </c>
      <c r="V35" s="393">
        <f t="shared" si="1"/>
        <v>2.4775558493980094</v>
      </c>
      <c r="W35" s="393">
        <f t="shared" si="2"/>
        <v>2.448381444416345</v>
      </c>
      <c r="X35" s="388">
        <f t="shared" si="3"/>
        <v>2.1242740074787174</v>
      </c>
      <c r="Y35" s="393">
        <f t="shared" si="4"/>
        <v>2.5507659590484786</v>
      </c>
      <c r="Z35" s="392">
        <f>'27'!I46</f>
        <v>42056.830717251221</v>
      </c>
      <c r="AA35" s="390">
        <f t="shared" si="23"/>
        <v>1253375.0067035628</v>
      </c>
      <c r="AB35" s="393">
        <f t="shared" si="5"/>
        <v>975.6380800624313</v>
      </c>
      <c r="AC35" s="393">
        <f t="shared" si="6"/>
        <v>943.38593541400462</v>
      </c>
      <c r="AD35" s="393">
        <f t="shared" si="7"/>
        <v>836.51902930327037</v>
      </c>
      <c r="AE35" s="393">
        <f t="shared" si="8"/>
        <v>982.83571613686445</v>
      </c>
      <c r="AF35" s="392">
        <f>+Listrik!AQ34</f>
        <v>0</v>
      </c>
      <c r="AG35" s="390">
        <f t="shared" si="24"/>
        <v>0</v>
      </c>
      <c r="AH35" s="393">
        <f t="shared" si="9"/>
        <v>0</v>
      </c>
      <c r="AI35" s="393">
        <f t="shared" si="9"/>
        <v>0</v>
      </c>
      <c r="AJ35" s="393">
        <f t="shared" si="10"/>
        <v>0</v>
      </c>
      <c r="AK35" s="393">
        <f t="shared" si="10"/>
        <v>0</v>
      </c>
      <c r="AL35" s="388">
        <f>+SUM(Efficiency2!K121:K122)</f>
        <v>51.029515687499995</v>
      </c>
      <c r="AM35" s="389">
        <f t="shared" si="25"/>
        <v>1404.323654431731</v>
      </c>
      <c r="AN35" s="415">
        <f t="shared" si="11"/>
        <v>0.98523372841485601</v>
      </c>
      <c r="AO35" s="415">
        <f t="shared" si="12"/>
        <v>0.90809835466030409</v>
      </c>
    </row>
    <row r="36" spans="1:41" s="394" customFormat="1" ht="12.75" customHeight="1">
      <c r="A36" s="408">
        <f t="shared" si="13"/>
        <v>46140</v>
      </c>
      <c r="B36" s="418" t="s">
        <v>738</v>
      </c>
      <c r="C36" s="395" t="s">
        <v>739</v>
      </c>
      <c r="D36" s="387">
        <f>+'28'!F42</f>
        <v>1275.8279009126468</v>
      </c>
      <c r="E36" s="387">
        <f>+'28'!G42</f>
        <v>956.87092568448497</v>
      </c>
      <c r="F36" s="45">
        <f t="shared" si="0"/>
        <v>0.25000000000000011</v>
      </c>
      <c r="G36" s="414">
        <f t="shared" si="14"/>
        <v>0.4769624566691667</v>
      </c>
      <c r="H36" s="409">
        <f t="shared" si="15"/>
        <v>0.44968033958688813</v>
      </c>
      <c r="I36" s="409">
        <f t="shared" si="16"/>
        <v>0.94910241137082529</v>
      </c>
      <c r="J36" s="415">
        <f t="shared" si="17"/>
        <v>0.4267926946479671</v>
      </c>
      <c r="K36" s="415">
        <f t="shared" si="18"/>
        <v>0.88198630995041005</v>
      </c>
      <c r="L36" s="388">
        <f>+SUM(Efficiency1!K126:K128)</f>
        <v>54.134010000000004</v>
      </c>
      <c r="M36" s="389">
        <f t="shared" si="19"/>
        <v>1472.0954116317309</v>
      </c>
      <c r="N36" s="388">
        <f>+SUM(Efficiency1!C126:C128)</f>
        <v>51.037560000000006</v>
      </c>
      <c r="O36" s="389">
        <f t="shared" si="19"/>
        <v>1460.6371315753674</v>
      </c>
      <c r="P36" s="389">
        <f>'28'!I38</f>
        <v>24.343</v>
      </c>
      <c r="Q36" s="389">
        <f t="shared" si="20"/>
        <v>1352.9349999999997</v>
      </c>
      <c r="R36" s="389">
        <f>'28'!I40</f>
        <v>23.103999999999999</v>
      </c>
      <c r="S36" s="389">
        <f t="shared" si="21"/>
        <v>1298.3680000000004</v>
      </c>
      <c r="T36" s="391">
        <v>82.3</v>
      </c>
      <c r="U36" s="390">
        <f t="shared" si="22"/>
        <v>3335.2</v>
      </c>
      <c r="V36" s="393">
        <f t="shared" si="1"/>
        <v>3.380848703939531</v>
      </c>
      <c r="W36" s="393">
        <f t="shared" si="2"/>
        <v>2.4651590800740615</v>
      </c>
      <c r="X36" s="388">
        <f t="shared" si="3"/>
        <v>3.5621537396121883</v>
      </c>
      <c r="Y36" s="393">
        <f t="shared" si="4"/>
        <v>2.5687632473998119</v>
      </c>
      <c r="Z36" s="392">
        <f>'28'!I46</f>
        <v>25534.64832381779</v>
      </c>
      <c r="AA36" s="390">
        <f t="shared" si="23"/>
        <v>1278909.6550273807</v>
      </c>
      <c r="AB36" s="393">
        <f t="shared" si="5"/>
        <v>1048.9524020793569</v>
      </c>
      <c r="AC36" s="393">
        <f t="shared" si="6"/>
        <v>945.28536480125126</v>
      </c>
      <c r="AD36" s="393">
        <f t="shared" si="7"/>
        <v>1105.2046539048558</v>
      </c>
      <c r="AE36" s="393">
        <f t="shared" si="8"/>
        <v>985.01322816595928</v>
      </c>
      <c r="AF36" s="392">
        <f>+Listrik!AQ35</f>
        <v>0</v>
      </c>
      <c r="AG36" s="390">
        <f t="shared" si="24"/>
        <v>0</v>
      </c>
      <c r="AH36" s="393">
        <f t="shared" si="9"/>
        <v>0</v>
      </c>
      <c r="AI36" s="393">
        <f t="shared" si="9"/>
        <v>0</v>
      </c>
      <c r="AJ36" s="393">
        <f t="shared" si="10"/>
        <v>0</v>
      </c>
      <c r="AK36" s="393">
        <f t="shared" si="10"/>
        <v>0</v>
      </c>
      <c r="AL36" s="388">
        <f>+SUM(Efficiency2!K126:K128)</f>
        <v>49.177831500000003</v>
      </c>
      <c r="AM36" s="389">
        <f t="shared" si="25"/>
        <v>1453.5014859317309</v>
      </c>
      <c r="AN36" s="415">
        <f t="shared" si="11"/>
        <v>0.46980518040938829</v>
      </c>
      <c r="AO36" s="415">
        <f t="shared" si="12"/>
        <v>0.89326912463919084</v>
      </c>
    </row>
    <row r="37" spans="1:41" s="394" customFormat="1" ht="12.75" customHeight="1">
      <c r="A37" s="408">
        <f t="shared" si="13"/>
        <v>46141</v>
      </c>
      <c r="B37" s="418" t="s">
        <v>610</v>
      </c>
      <c r="C37" s="395" t="s">
        <v>758</v>
      </c>
      <c r="D37" s="387">
        <f>+'29'!F42</f>
        <v>1195.8196721311476</v>
      </c>
      <c r="E37" s="387">
        <f>+'29'!G42</f>
        <v>896.86475409836066</v>
      </c>
      <c r="F37" s="45">
        <f t="shared" si="0"/>
        <v>0.25</v>
      </c>
      <c r="G37" s="414">
        <f t="shared" si="14"/>
        <v>0.8522519426142815</v>
      </c>
      <c r="H37" s="409">
        <f t="shared" si="15"/>
        <v>0.8522519426142815</v>
      </c>
      <c r="I37" s="409">
        <f t="shared" si="16"/>
        <v>0.88257188255011654</v>
      </c>
      <c r="J37" s="415">
        <f t="shared" si="17"/>
        <v>0.75217360140008027</v>
      </c>
      <c r="K37" s="415">
        <f t="shared" si="18"/>
        <v>0.8774005309236117</v>
      </c>
      <c r="L37" s="388">
        <f>+SUM(Efficiency1!K132:K133)</f>
        <v>53.907767999999997</v>
      </c>
      <c r="M37" s="389">
        <f t="shared" si="19"/>
        <v>1526.003179631731</v>
      </c>
      <c r="N37" s="388">
        <f>+SUM(Efficiency1!C132:C133)</f>
        <v>53.907767999999997</v>
      </c>
      <c r="O37" s="389">
        <f t="shared" si="19"/>
        <v>1514.5448995753675</v>
      </c>
      <c r="P37" s="389">
        <f>'29'!I38</f>
        <v>45.942999999999998</v>
      </c>
      <c r="Q37" s="389">
        <f t="shared" si="20"/>
        <v>1398.8779999999997</v>
      </c>
      <c r="R37" s="389">
        <f>'29'!I40</f>
        <v>40.548000000000002</v>
      </c>
      <c r="S37" s="389">
        <f t="shared" si="21"/>
        <v>1338.9160000000004</v>
      </c>
      <c r="T37" s="391">
        <v>111</v>
      </c>
      <c r="U37" s="390">
        <f t="shared" si="22"/>
        <v>3446.2</v>
      </c>
      <c r="V37" s="393">
        <f t="shared" si="1"/>
        <v>2.4160372635657228</v>
      </c>
      <c r="W37" s="393">
        <f t="shared" si="2"/>
        <v>2.46354578455019</v>
      </c>
      <c r="X37" s="388">
        <f t="shared" si="3"/>
        <v>2.7374963006806747</v>
      </c>
      <c r="Y37" s="393">
        <f t="shared" si="4"/>
        <v>2.5738731929411545</v>
      </c>
      <c r="Z37" s="392">
        <f>'29'!I46</f>
        <v>39450.608257483065</v>
      </c>
      <c r="AA37" s="390">
        <f t="shared" si="23"/>
        <v>1318360.2632848637</v>
      </c>
      <c r="AB37" s="393">
        <f t="shared" si="5"/>
        <v>858.68594252624041</v>
      </c>
      <c r="AC37" s="393">
        <f t="shared" si="6"/>
        <v>942.44120165222694</v>
      </c>
      <c r="AD37" s="393">
        <f t="shared" si="7"/>
        <v>972.93598346362501</v>
      </c>
      <c r="AE37" s="393">
        <f t="shared" si="8"/>
        <v>984.64747847128808</v>
      </c>
      <c r="AF37" s="392">
        <f>+Listrik!AQ36</f>
        <v>0</v>
      </c>
      <c r="AG37" s="390">
        <f t="shared" si="24"/>
        <v>0</v>
      </c>
      <c r="AH37" s="393">
        <f t="shared" si="9"/>
        <v>0</v>
      </c>
      <c r="AI37" s="393">
        <f t="shared" si="9"/>
        <v>0</v>
      </c>
      <c r="AJ37" s="393">
        <f t="shared" si="10"/>
        <v>0</v>
      </c>
      <c r="AK37" s="393">
        <f t="shared" si="10"/>
        <v>0</v>
      </c>
      <c r="AL37" s="388">
        <f>+SUM(Efficiency2!K132:K133)</f>
        <v>45.710567999999995</v>
      </c>
      <c r="AM37" s="389">
        <f t="shared" si="25"/>
        <v>1499.2120539317309</v>
      </c>
      <c r="AN37" s="415">
        <f t="shared" si="11"/>
        <v>0.88705964012523331</v>
      </c>
      <c r="AO37" s="415">
        <f t="shared" si="12"/>
        <v>0.89307979914425772</v>
      </c>
    </row>
    <row r="38" spans="1:41" s="394" customFormat="1" ht="12.75" customHeight="1">
      <c r="A38" s="408">
        <f t="shared" si="13"/>
        <v>46142</v>
      </c>
      <c r="B38" s="418" t="s">
        <v>738</v>
      </c>
      <c r="C38" s="412" t="s">
        <v>772</v>
      </c>
      <c r="D38" s="387">
        <f>+'30'!F42</f>
        <v>1193.2519083969466</v>
      </c>
      <c r="E38" s="387">
        <f>+'30'!G42</f>
        <v>894.93893129770993</v>
      </c>
      <c r="F38" s="45">
        <f t="shared" si="0"/>
        <v>0.25</v>
      </c>
      <c r="G38" s="414">
        <f t="shared" si="14"/>
        <v>0.90792110193547038</v>
      </c>
      <c r="H38" s="409">
        <f t="shared" si="15"/>
        <v>0.83450878036313514</v>
      </c>
      <c r="I38" s="409">
        <f t="shared" si="16"/>
        <v>0.88411408504603461</v>
      </c>
      <c r="J38" s="415">
        <f t="shared" si="17"/>
        <v>0.73780096681363549</v>
      </c>
      <c r="K38" s="415">
        <f t="shared" si="18"/>
        <v>0.87269494091770761</v>
      </c>
      <c r="L38" s="388">
        <f>+SUM(Efficiency1!K137:K140)</f>
        <v>53.232513599999997</v>
      </c>
      <c r="M38" s="389">
        <f t="shared" si="19"/>
        <v>1579.2356932317309</v>
      </c>
      <c r="N38" s="388">
        <f>+SUM(Efficiency1!C137:C140)</f>
        <v>48.928260291891888</v>
      </c>
      <c r="O38" s="389">
        <f t="shared" si="19"/>
        <v>1563.4731598672593</v>
      </c>
      <c r="P38" s="389">
        <f>'30'!I38</f>
        <v>44.423000000000002</v>
      </c>
      <c r="Q38" s="389">
        <f t="shared" si="20"/>
        <v>1443.3009999999997</v>
      </c>
      <c r="R38" s="389">
        <f>'30'!I40</f>
        <v>39.274999999999999</v>
      </c>
      <c r="S38" s="389">
        <f t="shared" si="21"/>
        <v>1378.1910000000005</v>
      </c>
      <c r="T38" s="391">
        <v>105</v>
      </c>
      <c r="U38" s="390">
        <f t="shared" si="22"/>
        <v>3551.2</v>
      </c>
      <c r="V38" s="393">
        <f t="shared" si="1"/>
        <v>2.3636404565202711</v>
      </c>
      <c r="W38" s="393">
        <f t="shared" si="2"/>
        <v>2.4604708234803416</v>
      </c>
      <c r="X38" s="388">
        <f t="shared" si="3"/>
        <v>2.6734563971992364</v>
      </c>
      <c r="Y38" s="393">
        <f t="shared" si="4"/>
        <v>2.5767110654473862</v>
      </c>
      <c r="Z38" s="392">
        <f>'30'!I46</f>
        <v>42080.283904864664</v>
      </c>
      <c r="AA38" s="390">
        <f t="shared" si="23"/>
        <v>1360440.5471897284</v>
      </c>
      <c r="AB38" s="393">
        <f t="shared" si="5"/>
        <v>947.26344247044688</v>
      </c>
      <c r="AC38" s="393">
        <f t="shared" si="6"/>
        <v>942.58962419462648</v>
      </c>
      <c r="AD38" s="393">
        <f t="shared" si="7"/>
        <v>1071.4267066801951</v>
      </c>
      <c r="AE38" s="393">
        <f t="shared" si="8"/>
        <v>987.12046965168679</v>
      </c>
      <c r="AF38" s="392">
        <f>+Listrik!AQ37</f>
        <v>0</v>
      </c>
      <c r="AG38" s="390">
        <f t="shared" si="24"/>
        <v>0</v>
      </c>
      <c r="AH38" s="393">
        <f t="shared" si="9"/>
        <v>0</v>
      </c>
      <c r="AI38" s="393">
        <f t="shared" si="9"/>
        <v>0</v>
      </c>
      <c r="AJ38" s="393">
        <f t="shared" si="10"/>
        <v>0</v>
      </c>
      <c r="AK38" s="393">
        <f t="shared" si="10"/>
        <v>0</v>
      </c>
      <c r="AL38" s="388">
        <f>+SUM(Efficiency2!K137:K140)</f>
        <v>48.809913599999994</v>
      </c>
      <c r="AM38" s="389">
        <f t="shared" si="25"/>
        <v>1548.021967531731</v>
      </c>
      <c r="AN38" s="415">
        <f t="shared" si="11"/>
        <v>0.80465211067286135</v>
      </c>
      <c r="AO38" s="415">
        <f t="shared" si="12"/>
        <v>0.89029162951574892</v>
      </c>
    </row>
    <row r="39" spans="1:41" s="394" customFormat="1" ht="12.75" customHeight="1">
      <c r="A39" s="408"/>
      <c r="B39" s="418"/>
      <c r="C39" s="386"/>
      <c r="D39" s="387"/>
      <c r="E39" s="387"/>
      <c r="F39" s="45"/>
      <c r="G39" s="414"/>
      <c r="H39" s="409"/>
      <c r="I39" s="409"/>
      <c r="J39" s="415"/>
      <c r="K39" s="415"/>
      <c r="L39" s="388"/>
      <c r="M39" s="389"/>
      <c r="N39" s="389"/>
      <c r="O39" s="389"/>
      <c r="P39" s="389"/>
      <c r="Q39" s="389"/>
      <c r="R39" s="389"/>
      <c r="S39" s="389"/>
      <c r="T39" s="391"/>
      <c r="U39" s="390"/>
      <c r="V39" s="393"/>
      <c r="W39" s="393"/>
      <c r="X39" s="388"/>
      <c r="Y39" s="393"/>
      <c r="Z39" s="392"/>
      <c r="AA39" s="390"/>
      <c r="AB39" s="393"/>
      <c r="AC39" s="393"/>
      <c r="AD39" s="393"/>
      <c r="AE39" s="393"/>
      <c r="AF39" s="392"/>
      <c r="AG39" s="390"/>
      <c r="AH39" s="393"/>
      <c r="AI39" s="393"/>
      <c r="AJ39" s="393"/>
      <c r="AK39" s="393"/>
      <c r="AL39" s="388"/>
      <c r="AM39" s="389"/>
      <c r="AN39" s="415"/>
      <c r="AO39" s="415"/>
    </row>
    <row r="40" spans="1:41" s="394" customFormat="1" ht="12.75" customHeight="1" thickBot="1">
      <c r="A40" s="408"/>
      <c r="B40" s="396"/>
      <c r="C40" s="396"/>
      <c r="D40" s="396"/>
      <c r="E40" s="396"/>
      <c r="F40" s="410"/>
      <c r="G40" s="414"/>
      <c r="H40" s="409"/>
      <c r="I40" s="409"/>
      <c r="J40" s="415"/>
      <c r="K40" s="420"/>
      <c r="L40" s="397"/>
      <c r="M40" s="398"/>
      <c r="N40" s="398"/>
      <c r="O40" s="398"/>
      <c r="P40" s="398"/>
      <c r="Q40" s="398"/>
      <c r="R40" s="398"/>
      <c r="S40" s="398"/>
      <c r="T40" s="399"/>
      <c r="U40" s="399"/>
      <c r="V40" s="400"/>
      <c r="W40" s="400"/>
      <c r="X40" s="397"/>
      <c r="Y40" s="400"/>
      <c r="Z40" s="399"/>
      <c r="AA40" s="399"/>
      <c r="AB40" s="400"/>
      <c r="AC40" s="400"/>
      <c r="AD40" s="400"/>
      <c r="AE40" s="400"/>
      <c r="AF40" s="399"/>
      <c r="AG40" s="399"/>
      <c r="AH40" s="400"/>
      <c r="AI40" s="400"/>
      <c r="AJ40" s="400"/>
      <c r="AK40" s="400"/>
      <c r="AL40" s="397"/>
      <c r="AM40" s="398"/>
      <c r="AN40" s="415"/>
      <c r="AO40" s="420"/>
    </row>
    <row r="41" spans="1:41" s="394" customFormat="1" ht="12.75" customHeight="1" thickTop="1" thickBot="1">
      <c r="A41" s="401"/>
      <c r="B41" s="402"/>
      <c r="C41" s="402"/>
      <c r="D41" s="402"/>
      <c r="E41" s="402"/>
      <c r="F41" s="411"/>
      <c r="G41" s="414">
        <f t="shared" si="14"/>
        <v>0.92313768924727668</v>
      </c>
      <c r="H41" s="409">
        <f t="shared" si="15"/>
        <v>0.91392374563574108</v>
      </c>
      <c r="I41" s="409">
        <f t="shared" si="16"/>
        <v>0.95488813490741065</v>
      </c>
      <c r="J41" s="415">
        <f t="shared" si="17"/>
        <v>0.87269494091770761</v>
      </c>
      <c r="K41" s="415"/>
      <c r="L41" s="403">
        <f>SUM(L9:L39)</f>
        <v>1579.2356932317309</v>
      </c>
      <c r="M41" s="404"/>
      <c r="N41" s="403">
        <f>SUM(N9:N39)</f>
        <v>1563.4731598672593</v>
      </c>
      <c r="O41" s="404"/>
      <c r="P41" s="403">
        <f>SUM(P9:P39)</f>
        <v>1443.3009999999997</v>
      </c>
      <c r="Q41" s="404"/>
      <c r="R41" s="403">
        <f>SUM(R9:R39)</f>
        <v>1378.1910000000005</v>
      </c>
      <c r="S41" s="404"/>
      <c r="T41" s="405">
        <f>SUM(T9:T40)</f>
        <v>3551.2</v>
      </c>
      <c r="U41" s="405"/>
      <c r="V41" s="406">
        <f>T41/P41</f>
        <v>2.4604708234803416</v>
      </c>
      <c r="W41" s="406"/>
      <c r="X41" s="407">
        <f>T41/R41</f>
        <v>2.5767110654473862</v>
      </c>
      <c r="Y41" s="406"/>
      <c r="Z41" s="405">
        <f>SUM(Z9:Z39)</f>
        <v>1360440.5471897284</v>
      </c>
      <c r="AA41" s="405"/>
      <c r="AB41" s="406">
        <f>Z41/P41</f>
        <v>942.58962419462648</v>
      </c>
      <c r="AC41" s="406"/>
      <c r="AD41" s="406">
        <f>Z41/R41</f>
        <v>987.12046965168679</v>
      </c>
      <c r="AE41" s="406"/>
      <c r="AF41" s="405">
        <f>SUM(AF9:AF39)</f>
        <v>0</v>
      </c>
      <c r="AG41" s="405"/>
      <c r="AH41" s="406">
        <f>AF41/P41</f>
        <v>0</v>
      </c>
      <c r="AI41" s="406"/>
      <c r="AJ41" s="406">
        <f>AF41/R41</f>
        <v>0</v>
      </c>
      <c r="AK41" s="406"/>
      <c r="AL41" s="403">
        <f>SUM(AL9:AL39)</f>
        <v>1548.021967531731</v>
      </c>
      <c r="AM41" s="404"/>
      <c r="AN41" s="415">
        <f>+R41/AL41</f>
        <v>0.89029162951574892</v>
      </c>
      <c r="AO41" s="415"/>
    </row>
    <row r="42" spans="1:41" ht="12.75" customHeight="1" thickTop="1">
      <c r="S42" s="276"/>
      <c r="T42" s="276"/>
      <c r="U42" s="276"/>
      <c r="X42" s="276"/>
      <c r="Z42" s="276"/>
      <c r="AA42" s="276"/>
      <c r="AF42" s="276"/>
      <c r="AG42" s="276"/>
    </row>
    <row r="43" spans="1:41" ht="12.75" customHeight="1">
      <c r="S43" s="276"/>
      <c r="T43" s="276"/>
      <c r="U43" s="276"/>
      <c r="X43" s="276"/>
      <c r="Z43" s="276"/>
      <c r="AA43" s="276"/>
      <c r="AF43" s="276"/>
      <c r="AG43" s="276"/>
    </row>
    <row r="44" spans="1:41">
      <c r="S44" s="276"/>
      <c r="T44" s="276"/>
      <c r="U44" s="276"/>
      <c r="X44" s="276"/>
      <c r="Z44" s="276"/>
      <c r="AA44" s="276"/>
      <c r="AF44" s="276"/>
      <c r="AG44" s="276"/>
    </row>
    <row r="45" spans="1:41">
      <c r="R45" s="285"/>
      <c r="S45" s="286"/>
    </row>
    <row r="46" spans="1:41">
      <c r="R46" s="287"/>
    </row>
    <row r="47" spans="1:41">
      <c r="R47" s="287"/>
    </row>
    <row r="48" spans="1:41">
      <c r="R48" s="287"/>
    </row>
    <row r="49" spans="18:41">
      <c r="R49" s="287"/>
      <c r="AN49"/>
      <c r="AO49"/>
    </row>
    <row r="50" spans="18:41">
      <c r="R50" s="287"/>
      <c r="AN50"/>
      <c r="AO50"/>
    </row>
    <row r="51" spans="18:41">
      <c r="R51" s="287"/>
      <c r="AN51"/>
      <c r="AO51"/>
    </row>
    <row r="52" spans="18:41">
      <c r="R52" s="287"/>
      <c r="AN52"/>
      <c r="AO52"/>
    </row>
    <row r="53" spans="18:41">
      <c r="R53" s="287"/>
      <c r="AN53"/>
      <c r="AO53"/>
    </row>
    <row r="54" spans="18:41">
      <c r="R54" s="287"/>
      <c r="AN54"/>
      <c r="AO54"/>
    </row>
    <row r="55" spans="18:41">
      <c r="R55" s="287"/>
      <c r="AN55"/>
      <c r="AO55"/>
    </row>
    <row r="56" spans="18:41">
      <c r="R56" s="287"/>
      <c r="AN56"/>
      <c r="AO56"/>
    </row>
    <row r="57" spans="18:41">
      <c r="R57" s="287"/>
      <c r="AN57"/>
      <c r="AO57"/>
    </row>
    <row r="58" spans="18:41">
      <c r="R58" s="287"/>
      <c r="AN58"/>
      <c r="AO58"/>
    </row>
    <row r="59" spans="18:41">
      <c r="R59" s="287"/>
      <c r="AN59"/>
      <c r="AO59"/>
    </row>
    <row r="60" spans="18:41">
      <c r="AN60"/>
      <c r="AO60"/>
    </row>
    <row r="65536" spans="3:39">
      <c r="C65536" s="288"/>
      <c r="AL65536"/>
      <c r="AM65536"/>
    </row>
  </sheetData>
  <mergeCells count="29">
    <mergeCell ref="AL6:AM7"/>
    <mergeCell ref="AN6:AO7"/>
    <mergeCell ref="T7:U7"/>
    <mergeCell ref="V7:W7"/>
    <mergeCell ref="J6:K7"/>
    <mergeCell ref="Z6:AE6"/>
    <mergeCell ref="X7:Y7"/>
    <mergeCell ref="T6:Y6"/>
    <mergeCell ref="P6:Q7"/>
    <mergeCell ref="R6:S7"/>
    <mergeCell ref="AF6:AK6"/>
    <mergeCell ref="AF7:AG7"/>
    <mergeCell ref="AH7:AI7"/>
    <mergeCell ref="AJ7:AK7"/>
    <mergeCell ref="A3:AE4"/>
    <mergeCell ref="Z7:AA7"/>
    <mergeCell ref="AB7:AC7"/>
    <mergeCell ref="AD7:AE7"/>
    <mergeCell ref="D6:D8"/>
    <mergeCell ref="A6:A8"/>
    <mergeCell ref="B6:B8"/>
    <mergeCell ref="C6:C8"/>
    <mergeCell ref="L6:M7"/>
    <mergeCell ref="H6:H8"/>
    <mergeCell ref="I6:I8"/>
    <mergeCell ref="E6:E8"/>
    <mergeCell ref="F6:F8"/>
    <mergeCell ref="G6:G8"/>
    <mergeCell ref="N6:O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2.75"/>
  <sheetData/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45"/>
  <sheetViews>
    <sheetView zoomScaleNormal="100" workbookViewId="0">
      <pane xSplit="3" ySplit="6" topLeftCell="AK32" activePane="bottomRight" state="frozen"/>
      <selection pane="topRight" activeCell="D1" sqref="D1"/>
      <selection pane="bottomLeft" activeCell="A7" sqref="A7"/>
      <selection pane="bottomRight" activeCell="B43" sqref="B43"/>
    </sheetView>
  </sheetViews>
  <sheetFormatPr defaultColWidth="9.140625" defaultRowHeight="12.75"/>
  <cols>
    <col min="1" max="3" width="10.85546875" customWidth="1"/>
    <col min="4" max="4" width="12.85546875" hidden="1" customWidth="1"/>
    <col min="5" max="5" width="13.28515625" hidden="1" customWidth="1"/>
    <col min="6" max="6" width="14.5703125" hidden="1" customWidth="1"/>
    <col min="7" max="7" width="15.5703125" hidden="1" customWidth="1"/>
    <col min="8" max="8" width="18.85546875" hidden="1" customWidth="1"/>
    <col min="9" max="9" width="12.85546875" hidden="1" customWidth="1"/>
    <col min="10" max="10" width="11.5703125" hidden="1" customWidth="1"/>
    <col min="11" max="11" width="12" hidden="1" customWidth="1"/>
    <col min="12" max="12" width="12.28515625" hidden="1" customWidth="1"/>
    <col min="13" max="13" width="13" hidden="1" customWidth="1"/>
    <col min="14" max="15" width="11" hidden="1" customWidth="1"/>
    <col min="16" max="16" width="13.5703125" hidden="1" customWidth="1"/>
    <col min="17" max="17" width="12.42578125" hidden="1" customWidth="1"/>
    <col min="18" max="19" width="13.140625" hidden="1" customWidth="1"/>
    <col min="20" max="20" width="13" bestFit="1" customWidth="1"/>
    <col min="21" max="21" width="13.7109375" bestFit="1" customWidth="1"/>
    <col min="22" max="39" width="13.5703125" customWidth="1"/>
    <col min="40" max="40" width="13.85546875" bestFit="1" customWidth="1"/>
    <col min="41" max="42" width="10.85546875" bestFit="1" customWidth="1"/>
    <col min="43" max="43" width="12.85546875" bestFit="1" customWidth="1"/>
    <col min="44" max="45" width="10.85546875" customWidth="1"/>
    <col min="48" max="48" width="39" bestFit="1" customWidth="1"/>
  </cols>
  <sheetData>
    <row r="2" spans="1:50" ht="24.75" customHeight="1">
      <c r="A2" s="643" t="s">
        <v>20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643"/>
      <c r="AA2" s="643"/>
      <c r="AB2" s="643"/>
      <c r="AC2" s="643"/>
      <c r="AD2" s="643"/>
      <c r="AE2" s="643"/>
      <c r="AF2" s="643"/>
      <c r="AG2" s="643"/>
      <c r="AH2" s="643"/>
      <c r="AI2" s="643"/>
      <c r="AJ2" s="643"/>
      <c r="AK2" s="643"/>
      <c r="AL2" s="643"/>
      <c r="AM2" s="643"/>
      <c r="AN2" s="643"/>
      <c r="AO2" s="289"/>
      <c r="AP2" s="289"/>
      <c r="AQ2" s="289"/>
      <c r="AR2" s="289"/>
      <c r="AS2" s="289"/>
      <c r="AT2" s="289"/>
      <c r="AU2" s="289"/>
      <c r="AV2" s="289"/>
    </row>
    <row r="3" spans="1:50" ht="12.75" customHeight="1">
      <c r="A3" s="289"/>
      <c r="B3" s="289"/>
      <c r="C3" s="289"/>
      <c r="D3" s="290"/>
      <c r="E3" s="291"/>
      <c r="F3" s="292"/>
      <c r="G3" s="293"/>
      <c r="H3" s="294"/>
      <c r="I3" s="295"/>
      <c r="J3" s="295"/>
      <c r="K3" s="295"/>
      <c r="L3" s="296"/>
      <c r="M3" s="295"/>
      <c r="N3" s="295"/>
      <c r="O3" s="295"/>
      <c r="P3" s="297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4"/>
      <c r="AP3" s="4"/>
      <c r="AQ3" s="512"/>
      <c r="AR3" s="512"/>
      <c r="AS3" s="512"/>
      <c r="AT3" s="289"/>
      <c r="AU3" s="289"/>
      <c r="AV3" s="289"/>
    </row>
    <row r="4" spans="1:50">
      <c r="A4" s="652" t="s">
        <v>7</v>
      </c>
      <c r="B4" s="655" t="s">
        <v>21</v>
      </c>
      <c r="C4" s="655" t="s">
        <v>22</v>
      </c>
      <c r="D4" s="644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45"/>
      <c r="Y4" s="645"/>
      <c r="Z4" s="645"/>
      <c r="AA4" s="645"/>
      <c r="AB4" s="645"/>
      <c r="AC4" s="645"/>
      <c r="AD4" s="645"/>
      <c r="AE4" s="645"/>
      <c r="AF4" s="645"/>
      <c r="AG4" s="645"/>
      <c r="AH4" s="645"/>
      <c r="AI4" s="645"/>
      <c r="AJ4" s="645"/>
      <c r="AK4" s="645"/>
      <c r="AL4" s="645"/>
      <c r="AM4" s="645"/>
      <c r="AN4" s="646" t="s">
        <v>218</v>
      </c>
      <c r="AO4" s="647"/>
      <c r="AP4" s="648"/>
      <c r="AQ4" s="637" t="s">
        <v>390</v>
      </c>
      <c r="AR4" s="638"/>
      <c r="AS4" s="639"/>
    </row>
    <row r="5" spans="1:50" ht="14.25" customHeight="1">
      <c r="A5" s="653"/>
      <c r="B5" s="656"/>
      <c r="C5" s="656"/>
      <c r="D5" s="658" t="s">
        <v>164</v>
      </c>
      <c r="E5" s="659"/>
      <c r="F5" s="659"/>
      <c r="G5" s="660"/>
      <c r="H5" s="667" t="s">
        <v>165</v>
      </c>
      <c r="I5" s="668"/>
      <c r="J5" s="668"/>
      <c r="K5" s="669"/>
      <c r="L5" s="670" t="s">
        <v>166</v>
      </c>
      <c r="M5" s="671"/>
      <c r="N5" s="671"/>
      <c r="O5" s="672"/>
      <c r="P5" s="673" t="s">
        <v>167</v>
      </c>
      <c r="Q5" s="674"/>
      <c r="R5" s="674"/>
      <c r="S5" s="675"/>
      <c r="T5" s="676" t="s">
        <v>277</v>
      </c>
      <c r="U5" s="676"/>
      <c r="V5" s="676"/>
      <c r="W5" s="676"/>
      <c r="X5" s="677" t="s">
        <v>278</v>
      </c>
      <c r="Y5" s="678"/>
      <c r="Z5" s="678"/>
      <c r="AA5" s="679"/>
      <c r="AB5" s="661" t="s">
        <v>279</v>
      </c>
      <c r="AC5" s="662"/>
      <c r="AD5" s="662"/>
      <c r="AE5" s="663"/>
      <c r="AF5" s="664" t="s">
        <v>280</v>
      </c>
      <c r="AG5" s="665"/>
      <c r="AH5" s="665"/>
      <c r="AI5" s="666"/>
      <c r="AJ5" s="680" t="s">
        <v>281</v>
      </c>
      <c r="AK5" s="681"/>
      <c r="AL5" s="681"/>
      <c r="AM5" s="682"/>
      <c r="AN5" s="649"/>
      <c r="AO5" s="650"/>
      <c r="AP5" s="651"/>
      <c r="AQ5" s="640"/>
      <c r="AR5" s="641"/>
      <c r="AS5" s="642"/>
    </row>
    <row r="6" spans="1:50" ht="14.25" customHeight="1">
      <c r="A6" s="654"/>
      <c r="B6" s="657"/>
      <c r="C6" s="657"/>
      <c r="D6" s="470" t="s">
        <v>23</v>
      </c>
      <c r="E6" s="360" t="s">
        <v>24</v>
      </c>
      <c r="F6" s="361" t="s">
        <v>25</v>
      </c>
      <c r="G6" s="361" t="s">
        <v>26</v>
      </c>
      <c r="H6" s="471" t="s">
        <v>23</v>
      </c>
      <c r="I6" s="362" t="s">
        <v>24</v>
      </c>
      <c r="J6" s="363" t="s">
        <v>25</v>
      </c>
      <c r="K6" s="363" t="s">
        <v>26</v>
      </c>
      <c r="L6" s="472" t="s">
        <v>23</v>
      </c>
      <c r="M6" s="366" t="s">
        <v>24</v>
      </c>
      <c r="N6" s="367" t="s">
        <v>25</v>
      </c>
      <c r="O6" s="367" t="s">
        <v>26</v>
      </c>
      <c r="P6" s="473" t="s">
        <v>23</v>
      </c>
      <c r="Q6" s="369" t="s">
        <v>24</v>
      </c>
      <c r="R6" s="370" t="s">
        <v>25</v>
      </c>
      <c r="S6" s="370" t="s">
        <v>26</v>
      </c>
      <c r="T6" s="364" t="s">
        <v>23</v>
      </c>
      <c r="U6" s="474" t="s">
        <v>24</v>
      </c>
      <c r="V6" s="365" t="s">
        <v>25</v>
      </c>
      <c r="W6" s="365" t="s">
        <v>26</v>
      </c>
      <c r="X6" s="372" t="s">
        <v>23</v>
      </c>
      <c r="Y6" s="372" t="s">
        <v>24</v>
      </c>
      <c r="Z6" s="372" t="s">
        <v>25</v>
      </c>
      <c r="AA6" s="372" t="s">
        <v>26</v>
      </c>
      <c r="AB6" s="368" t="s">
        <v>23</v>
      </c>
      <c r="AC6" s="368" t="s">
        <v>24</v>
      </c>
      <c r="AD6" s="368" t="s">
        <v>25</v>
      </c>
      <c r="AE6" s="368" t="s">
        <v>26</v>
      </c>
      <c r="AF6" s="371" t="s">
        <v>23</v>
      </c>
      <c r="AG6" s="371" t="s">
        <v>24</v>
      </c>
      <c r="AH6" s="371" t="s">
        <v>25</v>
      </c>
      <c r="AI6" s="371" t="s">
        <v>26</v>
      </c>
      <c r="AJ6" s="373" t="s">
        <v>23</v>
      </c>
      <c r="AK6" s="373" t="s">
        <v>24</v>
      </c>
      <c r="AL6" s="373" t="s">
        <v>25</v>
      </c>
      <c r="AM6" s="373" t="s">
        <v>26</v>
      </c>
      <c r="AN6" s="374" t="s">
        <v>24</v>
      </c>
      <c r="AO6" s="375" t="s">
        <v>25</v>
      </c>
      <c r="AP6" s="375" t="s">
        <v>26</v>
      </c>
      <c r="AQ6" s="569" t="s">
        <v>24</v>
      </c>
      <c r="AR6" s="570" t="s">
        <v>25</v>
      </c>
      <c r="AS6" s="570" t="s">
        <v>26</v>
      </c>
      <c r="AU6" s="378"/>
    </row>
    <row r="7" spans="1:50">
      <c r="A7" s="299"/>
      <c r="B7" s="300"/>
      <c r="C7" s="300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304"/>
      <c r="AO7" s="97"/>
      <c r="AP7" s="97"/>
      <c r="AQ7" s="304"/>
      <c r="AR7" s="97"/>
      <c r="AS7" s="97"/>
    </row>
    <row r="8" spans="1:50" ht="15">
      <c r="A8" s="299">
        <f>+Report1!A9</f>
        <v>46113</v>
      </c>
      <c r="B8" s="307">
        <f>+Report1!P9</f>
        <v>38.25</v>
      </c>
      <c r="C8" s="307">
        <f>+Report1!R9</f>
        <v>36.936999999999998</v>
      </c>
      <c r="D8" s="308">
        <f>+D7+E8</f>
        <v>0</v>
      </c>
      <c r="E8" s="308"/>
      <c r="F8" s="308">
        <f t="shared" ref="F8:F20" si="0">E8/B8</f>
        <v>0</v>
      </c>
      <c r="G8" s="308">
        <f t="shared" ref="G8:G20" si="1">E8/C8</f>
        <v>0</v>
      </c>
      <c r="H8" s="308">
        <f>+H7+I8</f>
        <v>0</v>
      </c>
      <c r="I8" s="308">
        <v>0</v>
      </c>
      <c r="J8" s="308">
        <f t="shared" ref="J8:J20" si="2">I8/B8</f>
        <v>0</v>
      </c>
      <c r="K8" s="308">
        <f t="shared" ref="K8:K20" si="3">I8/C8</f>
        <v>0</v>
      </c>
      <c r="L8" s="308">
        <f>+L7+M8</f>
        <v>0</v>
      </c>
      <c r="M8" s="308"/>
      <c r="N8" s="308">
        <f t="shared" ref="N8:N20" si="4">M8/B8</f>
        <v>0</v>
      </c>
      <c r="O8" s="308">
        <f t="shared" ref="O8:O20" si="5">M8/C8</f>
        <v>0</v>
      </c>
      <c r="P8" s="308">
        <f>+P7+Q8</f>
        <v>0</v>
      </c>
      <c r="Q8" s="308"/>
      <c r="R8" s="308">
        <f t="shared" ref="R8:R20" si="6">Q8/B8</f>
        <v>0</v>
      </c>
      <c r="S8" s="308">
        <f t="shared" ref="S8:S20" si="7">Q8/C8</f>
        <v>0</v>
      </c>
      <c r="T8" s="308">
        <f>+T7+U8</f>
        <v>6273.0099999994409</v>
      </c>
      <c r="U8" s="308">
        <f>+[1]DailyApr!$AT7</f>
        <v>6273.0099999994409</v>
      </c>
      <c r="V8" s="308">
        <f t="shared" ref="V8:V20" si="8">U8/B8</f>
        <v>164.00026143789387</v>
      </c>
      <c r="W8" s="308">
        <f t="shared" ref="W8:W20" si="9">U8/C8</f>
        <v>169.82998077806647</v>
      </c>
      <c r="X8" s="308">
        <f>+X7+Y8</f>
        <v>19110.000000000582</v>
      </c>
      <c r="Y8" s="308">
        <f>+[1]DailyApr!$AU7</f>
        <v>19110.000000000582</v>
      </c>
      <c r="Z8" s="308">
        <f>Y8/B8</f>
        <v>499.60784313727009</v>
      </c>
      <c r="AA8" s="308">
        <f>Y8/C8</f>
        <v>517.36740937273146</v>
      </c>
      <c r="AB8" s="308">
        <f>+AB7+AC8</f>
        <v>9924.0099999996219</v>
      </c>
      <c r="AC8" s="308">
        <f>+[1]DailyApr!$AV7</f>
        <v>9924.0099999996219</v>
      </c>
      <c r="AD8" s="308">
        <f>AC8/B8</f>
        <v>259.45124183005549</v>
      </c>
      <c r="AE8" s="383">
        <f>AC8/C8</f>
        <v>268.67395836152429</v>
      </c>
      <c r="AF8" s="308">
        <f>+AF7+AG8</f>
        <v>12011.666335946824</v>
      </c>
      <c r="AG8" s="308">
        <f>+[1]DailyApr!$AW7</f>
        <v>12011.666335946824</v>
      </c>
      <c r="AH8" s="308">
        <f>AG8/B8</f>
        <v>314.03049244305424</v>
      </c>
      <c r="AI8" s="413">
        <f>AG8/C8</f>
        <v>325.19333827725114</v>
      </c>
      <c r="AJ8" s="308">
        <f>+AJ7+AK8</f>
        <v>1742.4000000000233</v>
      </c>
      <c r="AK8" s="308">
        <f>+[1]DailyApr!$AX7</f>
        <v>1742.4000000000233</v>
      </c>
      <c r="AL8" s="308">
        <f>AK8/B8</f>
        <v>45.552941176471194</v>
      </c>
      <c r="AM8" s="413">
        <f>AK8/C8</f>
        <v>47.172212145004288</v>
      </c>
      <c r="AN8" s="308">
        <f>+E8+I8+M8+Q8+U8+Y8+AC8+AG8+AK8</f>
        <v>49061.086335946493</v>
      </c>
      <c r="AO8" s="5">
        <f t="shared" ref="AO8:AO20" si="10">AN8/B8</f>
        <v>1282.642780024745</v>
      </c>
      <c r="AP8" s="306">
        <f t="shared" ref="AP8:AP20" si="11">AN8/C8</f>
        <v>1328.2368989345778</v>
      </c>
      <c r="AQ8" s="308">
        <f>+[1]DailyApr!BS7</f>
        <v>0</v>
      </c>
      <c r="AR8" s="5">
        <f>AQ8/B8</f>
        <v>0</v>
      </c>
      <c r="AS8" s="306">
        <f>AQ8/C8</f>
        <v>0</v>
      </c>
      <c r="AW8" s="379" t="s">
        <v>175</v>
      </c>
      <c r="AX8" s="379" t="s">
        <v>176</v>
      </c>
    </row>
    <row r="9" spans="1:50" ht="15">
      <c r="A9" s="299">
        <f t="shared" ref="A9:A37" si="12">A8+1</f>
        <v>46114</v>
      </c>
      <c r="B9" s="307">
        <f>+Report1!P10</f>
        <v>52.483000000000004</v>
      </c>
      <c r="C9" s="307">
        <f>+Report1!R10</f>
        <v>53.685000000000002</v>
      </c>
      <c r="D9" s="308">
        <f t="shared" ref="D9:D20" si="13">+D8+E9</f>
        <v>0</v>
      </c>
      <c r="E9" s="308"/>
      <c r="F9" s="308">
        <f t="shared" si="0"/>
        <v>0</v>
      </c>
      <c r="G9" s="308">
        <f t="shared" si="1"/>
        <v>0</v>
      </c>
      <c r="H9" s="308">
        <f t="shared" ref="H9:H20" si="14">+H8+I9</f>
        <v>0</v>
      </c>
      <c r="I9" s="308"/>
      <c r="J9" s="308">
        <f t="shared" si="2"/>
        <v>0</v>
      </c>
      <c r="K9" s="308">
        <f t="shared" si="3"/>
        <v>0</v>
      </c>
      <c r="L9" s="308">
        <f t="shared" ref="L9:L20" si="15">+L8+M9</f>
        <v>0</v>
      </c>
      <c r="M9" s="308"/>
      <c r="N9" s="308">
        <f t="shared" si="4"/>
        <v>0</v>
      </c>
      <c r="O9" s="308">
        <f t="shared" si="5"/>
        <v>0</v>
      </c>
      <c r="P9" s="308">
        <f t="shared" ref="P9:P20" si="16">+P8+Q9</f>
        <v>0</v>
      </c>
      <c r="Q9" s="308"/>
      <c r="R9" s="308">
        <f t="shared" si="6"/>
        <v>0</v>
      </c>
      <c r="S9" s="308">
        <f t="shared" si="7"/>
        <v>0</v>
      </c>
      <c r="T9" s="308">
        <f t="shared" ref="T9:T20" si="17">+T8+U9</f>
        <v>13028.219999999783</v>
      </c>
      <c r="U9" s="308">
        <f>+[1]DailyApr!$AT8</f>
        <v>6755.2100000003411</v>
      </c>
      <c r="V9" s="308">
        <f t="shared" si="8"/>
        <v>128.71234494979976</v>
      </c>
      <c r="W9" s="308">
        <f t="shared" si="9"/>
        <v>125.83049268883936</v>
      </c>
      <c r="X9" s="308">
        <f t="shared" ref="X9:X20" si="18">+X8+Y9</f>
        <v>37850.000000000364</v>
      </c>
      <c r="Y9" s="308">
        <f>+[1]DailyApr!$AU8</f>
        <v>18739.999999999782</v>
      </c>
      <c r="Z9" s="308">
        <f t="shared" ref="Z9:Z20" si="19">Y9/B9</f>
        <v>357.06800297238686</v>
      </c>
      <c r="AA9" s="308">
        <f t="shared" ref="AA9:AA20" si="20">Y9/C9</f>
        <v>349.07329794169283</v>
      </c>
      <c r="AB9" s="308">
        <f t="shared" ref="AB9:AB20" si="21">+AB8+AC9</f>
        <v>20740.220000000227</v>
      </c>
      <c r="AC9" s="308">
        <f>+[1]DailyApr!$AV8</f>
        <v>10816.210000000603</v>
      </c>
      <c r="AD9" s="308">
        <f t="shared" ref="AD9:AD20" si="22">AC9/B9</f>
        <v>206.0897814530534</v>
      </c>
      <c r="AE9" s="383">
        <f t="shared" ref="AE9:AE20" si="23">AC9/C9</f>
        <v>201.4754586942461</v>
      </c>
      <c r="AF9" s="308">
        <f t="shared" ref="AF9:AF20" si="24">+AF8+AG9</f>
        <v>30606.985439928532</v>
      </c>
      <c r="AG9" s="308">
        <f>+[1]DailyApr!$AW8</f>
        <v>18595.319103981707</v>
      </c>
      <c r="AH9" s="308">
        <f t="shared" ref="AH9:AH20" si="25">AG9/B9</f>
        <v>354.3112837296211</v>
      </c>
      <c r="AI9" s="413">
        <f t="shared" ref="AI9:AI20" si="26">AG9/C9</f>
        <v>346.37830127562086</v>
      </c>
      <c r="AJ9" s="308">
        <f t="shared" ref="AJ9:AJ20" si="27">+AJ8+AK9</f>
        <v>3587.2000000000116</v>
      </c>
      <c r="AK9" s="308">
        <f>+[1]DailyApr!$AX8</f>
        <v>1844.7999999999884</v>
      </c>
      <c r="AL9" s="308">
        <f t="shared" ref="AL9:AL20" si="28">AK9/B9</f>
        <v>35.150429662938251</v>
      </c>
      <c r="AM9" s="413">
        <f t="shared" ref="AM9:AM20" si="29">AK9/C9</f>
        <v>34.363416224270992</v>
      </c>
      <c r="AN9" s="308">
        <f t="shared" ref="AN9:AN20" si="30">+E9+I9+M9+Q9+U9+Y9+AC9+AG9+AK9</f>
        <v>56751.539103982417</v>
      </c>
      <c r="AO9" s="305">
        <f t="shared" si="10"/>
        <v>1081.3318427677993</v>
      </c>
      <c r="AP9" s="306">
        <f t="shared" si="11"/>
        <v>1057.1209668246702</v>
      </c>
      <c r="AQ9" s="308">
        <f>+[1]DailyApr!BS8</f>
        <v>0</v>
      </c>
      <c r="AR9" s="5">
        <f t="shared" ref="AR9:AR20" si="31">AQ9/B9</f>
        <v>0</v>
      </c>
      <c r="AS9" s="306">
        <f t="shared" ref="AS9:AS20" si="32">AQ9/C9</f>
        <v>0</v>
      </c>
      <c r="AW9" s="379" t="s">
        <v>177</v>
      </c>
      <c r="AX9" s="379" t="s">
        <v>177</v>
      </c>
    </row>
    <row r="10" spans="1:50" ht="15">
      <c r="A10" s="299">
        <f t="shared" si="12"/>
        <v>46115</v>
      </c>
      <c r="B10" s="307">
        <f>+Report1!P11</f>
        <v>50.410999999999994</v>
      </c>
      <c r="C10" s="307">
        <f>+Report1!R11</f>
        <v>56.16</v>
      </c>
      <c r="D10" s="308">
        <f>+D9+E10</f>
        <v>0</v>
      </c>
      <c r="E10" s="308"/>
      <c r="F10" s="308">
        <f>E10/B10</f>
        <v>0</v>
      </c>
      <c r="G10" s="308">
        <f>E10/C10</f>
        <v>0</v>
      </c>
      <c r="H10" s="308">
        <f>+H9+I10</f>
        <v>0</v>
      </c>
      <c r="I10" s="308"/>
      <c r="J10" s="308">
        <f>I10/B10</f>
        <v>0</v>
      </c>
      <c r="K10" s="308">
        <f>I10/C10</f>
        <v>0</v>
      </c>
      <c r="L10" s="308">
        <f>+L9+M10</f>
        <v>0</v>
      </c>
      <c r="M10" s="308"/>
      <c r="N10" s="308">
        <f>M10/B10</f>
        <v>0</v>
      </c>
      <c r="O10" s="308">
        <f>M10/C10</f>
        <v>0</v>
      </c>
      <c r="P10" s="308">
        <f>+P9+Q10</f>
        <v>0</v>
      </c>
      <c r="Q10" s="308"/>
      <c r="R10" s="308">
        <f>Q10/B10</f>
        <v>0</v>
      </c>
      <c r="S10" s="308">
        <f>Q10/C10</f>
        <v>0</v>
      </c>
      <c r="T10" s="308">
        <f>+T9+U10</f>
        <v>19629.329999999849</v>
      </c>
      <c r="U10" s="308">
        <f>+[1]DailyApr!$AT9</f>
        <v>6601.1100000000679</v>
      </c>
      <c r="V10" s="308">
        <f>U10/B10</f>
        <v>130.94582531590464</v>
      </c>
      <c r="W10" s="308">
        <f>U10/C10</f>
        <v>117.5411324786337</v>
      </c>
      <c r="X10" s="308">
        <f>+X9+Y10</f>
        <v>57850.000000000364</v>
      </c>
      <c r="Y10" s="308">
        <f>+[1]DailyApr!$AU9</f>
        <v>20000</v>
      </c>
      <c r="Z10" s="308">
        <f>Y10/B10</f>
        <v>396.7388070064074</v>
      </c>
      <c r="AA10" s="308">
        <f>Y10/C10</f>
        <v>356.12535612535612</v>
      </c>
      <c r="AB10" s="308">
        <f>+AB9+AC10</f>
        <v>30641.329999999682</v>
      </c>
      <c r="AC10" s="308">
        <f>+[1]DailyApr!$AV9</f>
        <v>9901.1099999994549</v>
      </c>
      <c r="AD10" s="308">
        <f>AC10/B10</f>
        <v>196.4077284719497</v>
      </c>
      <c r="AE10" s="383">
        <f>AC10/C10</f>
        <v>176.30181623930653</v>
      </c>
      <c r="AF10" s="308">
        <f>+AF9+AG10</f>
        <v>46288.099226864768</v>
      </c>
      <c r="AG10" s="308">
        <f>+[1]DailyApr!$AW9</f>
        <v>15681.113786936239</v>
      </c>
      <c r="AH10" s="308">
        <f>AG10/B10</f>
        <v>311.06531881804051</v>
      </c>
      <c r="AI10" s="413">
        <f>AG10/C10</f>
        <v>279.22211159074504</v>
      </c>
      <c r="AJ10" s="308">
        <f>+AJ9+AK10</f>
        <v>5557.2000000000116</v>
      </c>
      <c r="AK10" s="308">
        <f>+[1]DailyApr!$AX9</f>
        <v>1970</v>
      </c>
      <c r="AL10" s="308">
        <f>AK10/B10</f>
        <v>39.078772490131129</v>
      </c>
      <c r="AM10" s="413">
        <f>AK10/C10</f>
        <v>35.078347578347582</v>
      </c>
      <c r="AN10" s="308">
        <f>+E10+I10+M10+Q10+U10+Y10+AC10+AG10+AK10</f>
        <v>54153.333786935764</v>
      </c>
      <c r="AO10" s="305">
        <f>AN10/B10</f>
        <v>1074.2364521024333</v>
      </c>
      <c r="AP10" s="306">
        <f>AN10/C10</f>
        <v>964.26876401238906</v>
      </c>
      <c r="AQ10" s="308">
        <f>+[1]DailyApr!BS9</f>
        <v>0</v>
      </c>
      <c r="AR10" s="5">
        <f t="shared" si="31"/>
        <v>0</v>
      </c>
      <c r="AS10" s="306">
        <f t="shared" si="32"/>
        <v>0</v>
      </c>
      <c r="AW10" s="379" t="s">
        <v>177</v>
      </c>
      <c r="AX10" s="379" t="s">
        <v>177</v>
      </c>
    </row>
    <row r="11" spans="1:50">
      <c r="A11" s="299">
        <f t="shared" si="12"/>
        <v>46116</v>
      </c>
      <c r="B11" s="307">
        <f>+Report1!P12</f>
        <v>50.426000000000002</v>
      </c>
      <c r="C11" s="307">
        <f>+Report1!R12</f>
        <v>45.530999999999999</v>
      </c>
      <c r="D11" s="308">
        <f t="shared" si="13"/>
        <v>0</v>
      </c>
      <c r="E11" s="308"/>
      <c r="F11" s="308">
        <f t="shared" si="0"/>
        <v>0</v>
      </c>
      <c r="G11" s="308">
        <f t="shared" si="1"/>
        <v>0</v>
      </c>
      <c r="H11" s="308">
        <f t="shared" si="14"/>
        <v>0</v>
      </c>
      <c r="I11" s="308"/>
      <c r="J11" s="308">
        <f t="shared" si="2"/>
        <v>0</v>
      </c>
      <c r="K11" s="308">
        <f t="shared" si="3"/>
        <v>0</v>
      </c>
      <c r="L11" s="308">
        <f t="shared" si="15"/>
        <v>0</v>
      </c>
      <c r="M11" s="308"/>
      <c r="N11" s="308">
        <f t="shared" si="4"/>
        <v>0</v>
      </c>
      <c r="O11" s="308">
        <f t="shared" si="5"/>
        <v>0</v>
      </c>
      <c r="P11" s="308">
        <f t="shared" si="16"/>
        <v>0</v>
      </c>
      <c r="Q11" s="308"/>
      <c r="R11" s="308">
        <f t="shared" si="6"/>
        <v>0</v>
      </c>
      <c r="S11" s="308">
        <f t="shared" si="7"/>
        <v>0</v>
      </c>
      <c r="T11" s="308">
        <f t="shared" si="17"/>
        <v>25293.019999999757</v>
      </c>
      <c r="U11" s="308">
        <f>+[1]DailyApr!$AT10</f>
        <v>5663.6899999999087</v>
      </c>
      <c r="V11" s="308">
        <f t="shared" si="8"/>
        <v>112.31686034981772</v>
      </c>
      <c r="W11" s="308">
        <f t="shared" si="9"/>
        <v>124.39195273549689</v>
      </c>
      <c r="X11" s="308">
        <f t="shared" si="18"/>
        <v>71850.000000000364</v>
      </c>
      <c r="Y11" s="308">
        <f>+[1]DailyApr!$AU10</f>
        <v>14000</v>
      </c>
      <c r="Z11" s="308">
        <f t="shared" si="19"/>
        <v>277.63455360329988</v>
      </c>
      <c r="AA11" s="308">
        <f t="shared" si="20"/>
        <v>307.48281390700839</v>
      </c>
      <c r="AB11" s="308">
        <f t="shared" si="21"/>
        <v>40455.019999999684</v>
      </c>
      <c r="AC11" s="308">
        <f>+[1]DailyApr!$AV10</f>
        <v>9813.69</v>
      </c>
      <c r="AD11" s="308">
        <f t="shared" si="22"/>
        <v>194.61567445365486</v>
      </c>
      <c r="AE11" s="383">
        <f t="shared" si="23"/>
        <v>215.5386440007907</v>
      </c>
      <c r="AF11" s="308">
        <f t="shared" si="24"/>
        <v>60709.752861639034</v>
      </c>
      <c r="AG11" s="308">
        <f>+[1]DailyApr!$AW10</f>
        <v>14421.653634774268</v>
      </c>
      <c r="AH11" s="308">
        <f t="shared" si="25"/>
        <v>285.99638350799722</v>
      </c>
      <c r="AI11" s="413">
        <f t="shared" si="26"/>
        <v>316.74361720090195</v>
      </c>
      <c r="AJ11" s="308">
        <f t="shared" si="27"/>
        <v>7527.2000000000116</v>
      </c>
      <c r="AK11" s="308">
        <f>+[1]DailyApr!$AX10</f>
        <v>1970</v>
      </c>
      <c r="AL11" s="308">
        <f t="shared" si="28"/>
        <v>39.067147899892909</v>
      </c>
      <c r="AM11" s="413">
        <f t="shared" si="29"/>
        <v>43.267224528343327</v>
      </c>
      <c r="AN11" s="308">
        <f t="shared" si="30"/>
        <v>45869.033634774176</v>
      </c>
      <c r="AO11" s="305">
        <f t="shared" si="10"/>
        <v>909.63061981466251</v>
      </c>
      <c r="AP11" s="306">
        <f t="shared" si="11"/>
        <v>1007.4242523725413</v>
      </c>
      <c r="AQ11" s="308">
        <f>+[1]DailyApr!BS10</f>
        <v>0</v>
      </c>
      <c r="AR11" s="5">
        <f t="shared" si="31"/>
        <v>0</v>
      </c>
      <c r="AS11" s="306">
        <f t="shared" si="32"/>
        <v>0</v>
      </c>
      <c r="AU11" s="17"/>
      <c r="AV11" t="s">
        <v>165</v>
      </c>
      <c r="AW11" s="11">
        <f>+J39</f>
        <v>0</v>
      </c>
      <c r="AX11" s="11">
        <f>+K39</f>
        <v>0</v>
      </c>
    </row>
    <row r="12" spans="1:50">
      <c r="A12" s="299">
        <f t="shared" si="12"/>
        <v>46117</v>
      </c>
      <c r="B12" s="307">
        <f>+Report1!P13</f>
        <v>48.241</v>
      </c>
      <c r="C12" s="307">
        <f>+Report1!R13</f>
        <v>37.146999999999998</v>
      </c>
      <c r="D12" s="308">
        <f t="shared" si="13"/>
        <v>0</v>
      </c>
      <c r="E12" s="308"/>
      <c r="F12" s="308">
        <f t="shared" si="0"/>
        <v>0</v>
      </c>
      <c r="G12" s="308">
        <f t="shared" si="1"/>
        <v>0</v>
      </c>
      <c r="H12" s="308">
        <f t="shared" si="14"/>
        <v>0</v>
      </c>
      <c r="I12" s="308"/>
      <c r="J12" s="308">
        <f t="shared" si="2"/>
        <v>0</v>
      </c>
      <c r="K12" s="308">
        <f t="shared" si="3"/>
        <v>0</v>
      </c>
      <c r="L12" s="308">
        <f t="shared" si="15"/>
        <v>0</v>
      </c>
      <c r="M12" s="308"/>
      <c r="N12" s="308">
        <f t="shared" si="4"/>
        <v>0</v>
      </c>
      <c r="O12" s="308">
        <f t="shared" si="5"/>
        <v>0</v>
      </c>
      <c r="P12" s="308">
        <f t="shared" si="16"/>
        <v>0</v>
      </c>
      <c r="Q12" s="308"/>
      <c r="R12" s="308">
        <f t="shared" si="6"/>
        <v>0</v>
      </c>
      <c r="S12" s="308">
        <f t="shared" si="7"/>
        <v>0</v>
      </c>
      <c r="T12" s="308">
        <f t="shared" si="17"/>
        <v>32700.459999999803</v>
      </c>
      <c r="U12" s="308">
        <f>+[1]DailyApr!$AT11</f>
        <v>7407.440000000046</v>
      </c>
      <c r="V12" s="308">
        <f t="shared" si="8"/>
        <v>153.55071412284252</v>
      </c>
      <c r="W12" s="308">
        <f>U12/C12</f>
        <v>199.4088351683863</v>
      </c>
      <c r="X12" s="308">
        <f t="shared" si="18"/>
        <v>79850.000000000364</v>
      </c>
      <c r="Y12" s="308">
        <f>+[1]DailyApr!$AU11</f>
        <v>8000</v>
      </c>
      <c r="Z12" s="308">
        <f t="shared" si="19"/>
        <v>165.83404158288593</v>
      </c>
      <c r="AA12" s="308">
        <f t="shared" si="20"/>
        <v>215.36059439524055</v>
      </c>
      <c r="AB12" s="308">
        <f t="shared" si="21"/>
        <v>50912.459999999686</v>
      </c>
      <c r="AC12" s="308">
        <f>+[1]DailyApr!$AV11</f>
        <v>10457.44</v>
      </c>
      <c r="AD12" s="308">
        <f t="shared" si="22"/>
        <v>216.77494247631685</v>
      </c>
      <c r="AE12" s="383">
        <f t="shared" si="23"/>
        <v>281.51506178157052</v>
      </c>
      <c r="AF12" s="308">
        <f t="shared" si="24"/>
        <v>76975.75558920922</v>
      </c>
      <c r="AG12" s="308">
        <f>+[1]DailyApr!$AW11</f>
        <v>16266.002727570181</v>
      </c>
      <c r="AH12" s="308">
        <f t="shared" si="25"/>
        <v>337.18212158890117</v>
      </c>
      <c r="AI12" s="413">
        <f t="shared" si="26"/>
        <v>437.88200198051476</v>
      </c>
      <c r="AJ12" s="308">
        <f t="shared" si="27"/>
        <v>9397.2000000000116</v>
      </c>
      <c r="AK12" s="308">
        <f>+[1]DailyApr!$AX11</f>
        <v>1870</v>
      </c>
      <c r="AL12" s="308">
        <f t="shared" si="28"/>
        <v>38.763707219999588</v>
      </c>
      <c r="AM12" s="413">
        <f t="shared" si="29"/>
        <v>50.340538939887473</v>
      </c>
      <c r="AN12" s="308">
        <f t="shared" si="30"/>
        <v>44000.882727570228</v>
      </c>
      <c r="AO12" s="305">
        <f t="shared" si="10"/>
        <v>912.10552699094603</v>
      </c>
      <c r="AP12" s="306">
        <f t="shared" si="11"/>
        <v>1184.5070322655997</v>
      </c>
      <c r="AQ12" s="308">
        <f>+[1]DailyApr!BS11</f>
        <v>0</v>
      </c>
      <c r="AR12" s="5">
        <f t="shared" si="31"/>
        <v>0</v>
      </c>
      <c r="AS12" s="306">
        <f t="shared" si="32"/>
        <v>0</v>
      </c>
      <c r="AU12" s="17"/>
      <c r="AV12" t="s">
        <v>166</v>
      </c>
      <c r="AW12" s="11">
        <f>+N39</f>
        <v>0</v>
      </c>
      <c r="AX12" s="11">
        <f>+O39</f>
        <v>0</v>
      </c>
    </row>
    <row r="13" spans="1:50">
      <c r="A13" s="299">
        <f t="shared" si="12"/>
        <v>46118</v>
      </c>
      <c r="B13" s="307">
        <f>+Report1!P14</f>
        <v>54.048000000000002</v>
      </c>
      <c r="C13" s="307">
        <f>+Report1!R14</f>
        <v>42.652000000000001</v>
      </c>
      <c r="D13" s="308">
        <f t="shared" si="13"/>
        <v>0</v>
      </c>
      <c r="E13" s="308"/>
      <c r="F13" s="308">
        <f t="shared" si="0"/>
        <v>0</v>
      </c>
      <c r="G13" s="308">
        <f t="shared" si="1"/>
        <v>0</v>
      </c>
      <c r="H13" s="308">
        <f t="shared" si="14"/>
        <v>0</v>
      </c>
      <c r="I13" s="308"/>
      <c r="J13" s="308">
        <f t="shared" si="2"/>
        <v>0</v>
      </c>
      <c r="K13" s="308">
        <f t="shared" si="3"/>
        <v>0</v>
      </c>
      <c r="L13" s="308">
        <f t="shared" si="15"/>
        <v>0</v>
      </c>
      <c r="M13" s="308"/>
      <c r="N13" s="308">
        <f t="shared" si="4"/>
        <v>0</v>
      </c>
      <c r="O13" s="308">
        <f t="shared" si="5"/>
        <v>0</v>
      </c>
      <c r="P13" s="308">
        <f t="shared" si="16"/>
        <v>0</v>
      </c>
      <c r="Q13" s="308"/>
      <c r="R13" s="308">
        <f t="shared" si="6"/>
        <v>0</v>
      </c>
      <c r="S13" s="308">
        <f t="shared" si="7"/>
        <v>0</v>
      </c>
      <c r="T13" s="308">
        <f t="shared" si="17"/>
        <v>38620.9099999998</v>
      </c>
      <c r="U13" s="308">
        <f>+[1]DailyApr!$AT12</f>
        <v>5920.45</v>
      </c>
      <c r="V13" s="308">
        <f t="shared" si="8"/>
        <v>109.5405935464772</v>
      </c>
      <c r="W13" s="308">
        <f t="shared" si="9"/>
        <v>138.80826221513644</v>
      </c>
      <c r="X13" s="308">
        <f t="shared" si="18"/>
        <v>88850.000000000364</v>
      </c>
      <c r="Y13" s="308">
        <f>+[1]DailyApr!$AU12</f>
        <v>9000</v>
      </c>
      <c r="Z13" s="308">
        <f t="shared" si="19"/>
        <v>166.51865008880995</v>
      </c>
      <c r="AA13" s="308">
        <f t="shared" si="20"/>
        <v>211.01003469942793</v>
      </c>
      <c r="AB13" s="308">
        <f t="shared" si="21"/>
        <v>61332.909999999683</v>
      </c>
      <c r="AC13" s="308">
        <f>+[1]DailyApr!$AV12</f>
        <v>10420.450000000001</v>
      </c>
      <c r="AD13" s="308">
        <f t="shared" si="22"/>
        <v>192.79991859088219</v>
      </c>
      <c r="AE13" s="383">
        <f t="shared" si="23"/>
        <v>244.31327956485043</v>
      </c>
      <c r="AF13" s="308">
        <f t="shared" si="24"/>
        <v>93100.281235394024</v>
      </c>
      <c r="AG13" s="308">
        <f>+[1]DailyApr!$AW12</f>
        <v>16124.525646184802</v>
      </c>
      <c r="AH13" s="308">
        <f t="shared" si="25"/>
        <v>298.33713821389881</v>
      </c>
      <c r="AI13" s="413">
        <f t="shared" si="26"/>
        <v>378.04852401258563</v>
      </c>
      <c r="AJ13" s="308">
        <f t="shared" si="27"/>
        <v>11127.200000000012</v>
      </c>
      <c r="AK13" s="308">
        <f>+[1]DailyApr!$AX12</f>
        <v>1730</v>
      </c>
      <c r="AL13" s="308">
        <f t="shared" si="28"/>
        <v>32.008584961515687</v>
      </c>
      <c r="AM13" s="413">
        <f t="shared" si="29"/>
        <v>40.560817781112256</v>
      </c>
      <c r="AN13" s="308">
        <f t="shared" si="30"/>
        <v>43195.425646184805</v>
      </c>
      <c r="AO13" s="305">
        <f t="shared" si="10"/>
        <v>799.20488540158385</v>
      </c>
      <c r="AP13" s="306">
        <f t="shared" si="11"/>
        <v>1012.7409182731127</v>
      </c>
      <c r="AQ13" s="308">
        <f>+[1]DailyApr!BS12</f>
        <v>0</v>
      </c>
      <c r="AR13" s="5">
        <f t="shared" si="31"/>
        <v>0</v>
      </c>
      <c r="AS13" s="306">
        <f t="shared" si="32"/>
        <v>0</v>
      </c>
      <c r="AU13" s="17"/>
      <c r="AV13" t="s">
        <v>167</v>
      </c>
      <c r="AW13" s="11">
        <f>+R39</f>
        <v>0</v>
      </c>
      <c r="AX13" s="11">
        <f>+S39</f>
        <v>0</v>
      </c>
    </row>
    <row r="14" spans="1:50">
      <c r="A14" s="299">
        <f t="shared" si="12"/>
        <v>46119</v>
      </c>
      <c r="B14" s="307">
        <f>+Report1!P15</f>
        <v>52.462999999999994</v>
      </c>
      <c r="C14" s="307">
        <f>+Report1!R15</f>
        <v>60.290999999999997</v>
      </c>
      <c r="D14" s="308">
        <f t="shared" si="13"/>
        <v>0</v>
      </c>
      <c r="E14" s="308"/>
      <c r="F14" s="308">
        <f t="shared" si="0"/>
        <v>0</v>
      </c>
      <c r="G14" s="308">
        <f t="shared" si="1"/>
        <v>0</v>
      </c>
      <c r="H14" s="308">
        <f t="shared" si="14"/>
        <v>0</v>
      </c>
      <c r="I14" s="308"/>
      <c r="J14" s="308">
        <f t="shared" si="2"/>
        <v>0</v>
      </c>
      <c r="K14" s="308">
        <f t="shared" si="3"/>
        <v>0</v>
      </c>
      <c r="L14" s="308">
        <f t="shared" si="15"/>
        <v>0</v>
      </c>
      <c r="M14" s="308"/>
      <c r="N14" s="308">
        <f t="shared" si="4"/>
        <v>0</v>
      </c>
      <c r="O14" s="308">
        <f t="shared" si="5"/>
        <v>0</v>
      </c>
      <c r="P14" s="308">
        <f t="shared" si="16"/>
        <v>0</v>
      </c>
      <c r="Q14" s="308"/>
      <c r="R14" s="308">
        <f t="shared" si="6"/>
        <v>0</v>
      </c>
      <c r="S14" s="308">
        <f t="shared" si="7"/>
        <v>0</v>
      </c>
      <c r="T14" s="308">
        <f t="shared" si="17"/>
        <v>45562.059999999845</v>
      </c>
      <c r="U14" s="308">
        <f>+[1]DailyApr!$AT13</f>
        <v>6941.1500000000451</v>
      </c>
      <c r="V14" s="308">
        <f t="shared" si="8"/>
        <v>132.30562491660876</v>
      </c>
      <c r="W14" s="308">
        <f t="shared" si="9"/>
        <v>115.12746512746588</v>
      </c>
      <c r="X14" s="308">
        <f t="shared" si="18"/>
        <v>98850.000000000364</v>
      </c>
      <c r="Y14" s="308">
        <f>+[1]DailyApr!$AU13</f>
        <v>10000</v>
      </c>
      <c r="Z14" s="308">
        <f t="shared" si="19"/>
        <v>190.61052551321887</v>
      </c>
      <c r="AA14" s="308">
        <f t="shared" si="20"/>
        <v>165.86223482775208</v>
      </c>
      <c r="AB14" s="308">
        <f t="shared" si="21"/>
        <v>71424.060000000041</v>
      </c>
      <c r="AC14" s="308">
        <f>+[1]DailyApr!$AV13</f>
        <v>10091.150000000363</v>
      </c>
      <c r="AD14" s="308">
        <f t="shared" si="22"/>
        <v>192.34794045327877</v>
      </c>
      <c r="AE14" s="383">
        <f t="shared" si="23"/>
        <v>167.37406909821306</v>
      </c>
      <c r="AF14" s="308">
        <f t="shared" si="24"/>
        <v>114022.21669091878</v>
      </c>
      <c r="AG14" s="308">
        <f>+[1]DailyApr!$AW13</f>
        <v>20921.935455524748</v>
      </c>
      <c r="AH14" s="308">
        <f t="shared" si="25"/>
        <v>398.79411119312181</v>
      </c>
      <c r="AI14" s="413">
        <f t="shared" si="26"/>
        <v>347.01589715753181</v>
      </c>
      <c r="AJ14" s="308">
        <f t="shared" si="27"/>
        <v>13017.200000000012</v>
      </c>
      <c r="AK14" s="308">
        <f>+[1]DailyApr!$AX13</f>
        <v>1890</v>
      </c>
      <c r="AL14" s="308">
        <f t="shared" si="28"/>
        <v>36.025389321998368</v>
      </c>
      <c r="AM14" s="413">
        <f t="shared" si="29"/>
        <v>31.347962382445143</v>
      </c>
      <c r="AN14" s="308">
        <f t="shared" si="30"/>
        <v>49844.235455525159</v>
      </c>
      <c r="AO14" s="305">
        <f t="shared" si="10"/>
        <v>950.08359139822664</v>
      </c>
      <c r="AP14" s="306">
        <f t="shared" si="11"/>
        <v>826.72762859340799</v>
      </c>
      <c r="AQ14" s="308">
        <f>+[1]DailyApr!BS13</f>
        <v>0</v>
      </c>
      <c r="AR14" s="5">
        <f t="shared" si="31"/>
        <v>0</v>
      </c>
      <c r="AS14" s="306">
        <f t="shared" si="32"/>
        <v>0</v>
      </c>
      <c r="AU14" s="17"/>
      <c r="AV14" t="s">
        <v>168</v>
      </c>
      <c r="AW14" s="11">
        <f>+V39</f>
        <v>0</v>
      </c>
      <c r="AX14" s="11">
        <f>+W39</f>
        <v>0</v>
      </c>
    </row>
    <row r="15" spans="1:50">
      <c r="A15" s="299">
        <f t="shared" si="12"/>
        <v>46120</v>
      </c>
      <c r="B15" s="307">
        <f>+Report1!P16</f>
        <v>48.456999999999994</v>
      </c>
      <c r="C15" s="307">
        <f>+Report1!R16</f>
        <v>46.26</v>
      </c>
      <c r="D15" s="308">
        <f t="shared" si="13"/>
        <v>0</v>
      </c>
      <c r="E15" s="308"/>
      <c r="F15" s="308">
        <f t="shared" si="0"/>
        <v>0</v>
      </c>
      <c r="G15" s="308">
        <f t="shared" si="1"/>
        <v>0</v>
      </c>
      <c r="H15" s="308">
        <f t="shared" si="14"/>
        <v>0</v>
      </c>
      <c r="I15" s="308"/>
      <c r="J15" s="308">
        <f t="shared" si="2"/>
        <v>0</v>
      </c>
      <c r="K15" s="308">
        <f t="shared" si="3"/>
        <v>0</v>
      </c>
      <c r="L15" s="308">
        <f t="shared" si="15"/>
        <v>0</v>
      </c>
      <c r="M15" s="308"/>
      <c r="N15" s="308">
        <f t="shared" si="4"/>
        <v>0</v>
      </c>
      <c r="O15" s="308">
        <f t="shared" si="5"/>
        <v>0</v>
      </c>
      <c r="P15" s="308">
        <f t="shared" si="16"/>
        <v>0</v>
      </c>
      <c r="Q15" s="308"/>
      <c r="R15" s="308">
        <f t="shared" si="6"/>
        <v>0</v>
      </c>
      <c r="S15" s="308">
        <f t="shared" si="7"/>
        <v>0</v>
      </c>
      <c r="T15" s="308">
        <f t="shared" si="17"/>
        <v>51448.519999999844</v>
      </c>
      <c r="U15" s="308">
        <f>+[1]DailyApr!$AT14</f>
        <v>5886.46</v>
      </c>
      <c r="V15" s="308">
        <f t="shared" si="8"/>
        <v>121.47801143281674</v>
      </c>
      <c r="W15" s="308">
        <f t="shared" si="9"/>
        <v>127.24729788153914</v>
      </c>
      <c r="X15" s="308">
        <f t="shared" si="18"/>
        <v>106850.00000000036</v>
      </c>
      <c r="Y15" s="308">
        <f>+[1]DailyApr!$AU14</f>
        <v>8000</v>
      </c>
      <c r="Z15" s="308">
        <f t="shared" si="19"/>
        <v>165.09482634087956</v>
      </c>
      <c r="AA15" s="308">
        <f t="shared" si="20"/>
        <v>172.93558149589279</v>
      </c>
      <c r="AB15" s="308">
        <f t="shared" si="21"/>
        <v>81910.519999999495</v>
      </c>
      <c r="AC15" s="308">
        <f>+[1]DailyApr!$AV14</f>
        <v>10486.459999999453</v>
      </c>
      <c r="AD15" s="308">
        <f t="shared" si="22"/>
        <v>216.4075365788112</v>
      </c>
      <c r="AE15" s="383">
        <f t="shared" si="23"/>
        <v>226.68525724166568</v>
      </c>
      <c r="AF15" s="308">
        <f t="shared" si="24"/>
        <v>133881.41124471786</v>
      </c>
      <c r="AG15" s="308">
        <f>+[1]DailyApr!$AW14</f>
        <v>19859.19455379908</v>
      </c>
      <c r="AH15" s="308">
        <f t="shared" si="25"/>
        <v>409.83128451615005</v>
      </c>
      <c r="AI15" s="413">
        <f t="shared" si="26"/>
        <v>429.29516977516386</v>
      </c>
      <c r="AJ15" s="308">
        <f t="shared" si="27"/>
        <v>14497.200000000012</v>
      </c>
      <c r="AK15" s="308">
        <f>+[1]DailyApr!$AX14</f>
        <v>1480</v>
      </c>
      <c r="AL15" s="308">
        <f t="shared" si="28"/>
        <v>30.542542873062718</v>
      </c>
      <c r="AM15" s="413">
        <f t="shared" si="29"/>
        <v>31.993082576740164</v>
      </c>
      <c r="AN15" s="308">
        <f t="shared" si="30"/>
        <v>45712.114553798529</v>
      </c>
      <c r="AO15" s="305">
        <f t="shared" si="10"/>
        <v>943.3542017417202</v>
      </c>
      <c r="AP15" s="306">
        <f t="shared" si="11"/>
        <v>988.15638897100155</v>
      </c>
      <c r="AQ15" s="308">
        <f>+[1]DailyApr!BS14</f>
        <v>0</v>
      </c>
      <c r="AR15" s="5">
        <f t="shared" si="31"/>
        <v>0</v>
      </c>
      <c r="AS15" s="306">
        <f t="shared" si="32"/>
        <v>0</v>
      </c>
      <c r="AU15" s="17"/>
      <c r="AV15" t="s">
        <v>169</v>
      </c>
      <c r="AW15" s="11">
        <f>+Z39</f>
        <v>0</v>
      </c>
      <c r="AX15" s="11">
        <f>+AA39</f>
        <v>0</v>
      </c>
    </row>
    <row r="16" spans="1:50">
      <c r="A16" s="299">
        <f t="shared" si="12"/>
        <v>46121</v>
      </c>
      <c r="B16" s="307">
        <f>+Report1!P17</f>
        <v>54.501999999999995</v>
      </c>
      <c r="C16" s="307">
        <f>+Report1!R17</f>
        <v>49.106000000000002</v>
      </c>
      <c r="D16" s="308">
        <f t="shared" si="13"/>
        <v>0</v>
      </c>
      <c r="E16" s="308"/>
      <c r="F16" s="308">
        <f t="shared" si="0"/>
        <v>0</v>
      </c>
      <c r="G16" s="308">
        <f t="shared" si="1"/>
        <v>0</v>
      </c>
      <c r="H16" s="308">
        <f t="shared" si="14"/>
        <v>0</v>
      </c>
      <c r="I16" s="308"/>
      <c r="J16" s="308">
        <f t="shared" si="2"/>
        <v>0</v>
      </c>
      <c r="K16" s="308">
        <f t="shared" si="3"/>
        <v>0</v>
      </c>
      <c r="L16" s="308">
        <f t="shared" si="15"/>
        <v>0</v>
      </c>
      <c r="M16" s="308"/>
      <c r="N16" s="308">
        <f t="shared" si="4"/>
        <v>0</v>
      </c>
      <c r="O16" s="308">
        <f t="shared" si="5"/>
        <v>0</v>
      </c>
      <c r="P16" s="308">
        <f t="shared" si="16"/>
        <v>0</v>
      </c>
      <c r="Q16" s="308"/>
      <c r="R16" s="308">
        <f t="shared" si="6"/>
        <v>0</v>
      </c>
      <c r="S16" s="308">
        <f t="shared" si="7"/>
        <v>0</v>
      </c>
      <c r="T16" s="308">
        <f t="shared" si="17"/>
        <v>58175.9099999998</v>
      </c>
      <c r="U16" s="308">
        <f>+[1]DailyApr!$AT15</f>
        <v>6727.3899999999549</v>
      </c>
      <c r="V16" s="308">
        <f t="shared" si="8"/>
        <v>123.43381894242331</v>
      </c>
      <c r="W16" s="308">
        <f t="shared" si="9"/>
        <v>136.99731193744054</v>
      </c>
      <c r="X16" s="308">
        <f t="shared" si="18"/>
        <v>116850.00000000036</v>
      </c>
      <c r="Y16" s="308">
        <f>+[1]DailyApr!$AU15</f>
        <v>10000</v>
      </c>
      <c r="Z16" s="308">
        <f t="shared" si="19"/>
        <v>183.47950533925362</v>
      </c>
      <c r="AA16" s="308">
        <f t="shared" si="20"/>
        <v>203.6411029202134</v>
      </c>
      <c r="AB16" s="308">
        <f t="shared" si="21"/>
        <v>91787.910000000222</v>
      </c>
      <c r="AC16" s="308">
        <f>+[1]DailyApr!$AV15</f>
        <v>9877.390000000727</v>
      </c>
      <c r="AD16" s="308">
        <f t="shared" si="22"/>
        <v>181.22986312430237</v>
      </c>
      <c r="AE16" s="383">
        <f t="shared" si="23"/>
        <v>201.14425935732348</v>
      </c>
      <c r="AF16" s="308">
        <f t="shared" si="24"/>
        <v>154327.34017303429</v>
      </c>
      <c r="AG16" s="308">
        <f>+[1]DailyApr!$AW15</f>
        <v>20445.928928316425</v>
      </c>
      <c r="AH16" s="308">
        <f t="shared" si="25"/>
        <v>375.14089259690337</v>
      </c>
      <c r="AI16" s="413">
        <f t="shared" si="26"/>
        <v>416.3631517190654</v>
      </c>
      <c r="AJ16" s="308">
        <f t="shared" si="27"/>
        <v>16397.200000000012</v>
      </c>
      <c r="AK16" s="308">
        <f>+[1]DailyApr!$AX15</f>
        <v>1900</v>
      </c>
      <c r="AL16" s="308">
        <f t="shared" si="28"/>
        <v>34.861106014458187</v>
      </c>
      <c r="AM16" s="413">
        <f t="shared" si="29"/>
        <v>38.691809554840546</v>
      </c>
      <c r="AN16" s="308">
        <f t="shared" si="30"/>
        <v>48950.708928317108</v>
      </c>
      <c r="AO16" s="305">
        <f t="shared" si="10"/>
        <v>898.14518601734085</v>
      </c>
      <c r="AP16" s="306">
        <f t="shared" si="11"/>
        <v>996.83763548888339</v>
      </c>
      <c r="AQ16" s="308">
        <f>+[1]DailyApr!BS15</f>
        <v>0</v>
      </c>
      <c r="AR16" s="5">
        <f t="shared" si="31"/>
        <v>0</v>
      </c>
      <c r="AS16" s="306">
        <f t="shared" si="32"/>
        <v>0</v>
      </c>
      <c r="AU16" s="17"/>
      <c r="AW16" s="15">
        <f>SUM(AW10:AW15)</f>
        <v>0</v>
      </c>
      <c r="AX16" s="15">
        <f>SUM(AX10:AX15)</f>
        <v>0</v>
      </c>
    </row>
    <row r="17" spans="1:50">
      <c r="A17" s="299">
        <f t="shared" si="12"/>
        <v>46122</v>
      </c>
      <c r="B17" s="307">
        <f>+Report1!P18</f>
        <v>53.430999999999997</v>
      </c>
      <c r="C17" s="307">
        <f>+Report1!R18</f>
        <v>56.877000000000002</v>
      </c>
      <c r="D17" s="308">
        <f t="shared" si="13"/>
        <v>0</v>
      </c>
      <c r="E17" s="308"/>
      <c r="F17" s="308">
        <f t="shared" si="0"/>
        <v>0</v>
      </c>
      <c r="G17" s="308">
        <f t="shared" si="1"/>
        <v>0</v>
      </c>
      <c r="H17" s="308">
        <f t="shared" si="14"/>
        <v>0</v>
      </c>
      <c r="I17" s="308"/>
      <c r="J17" s="308">
        <f t="shared" si="2"/>
        <v>0</v>
      </c>
      <c r="K17" s="308">
        <f t="shared" si="3"/>
        <v>0</v>
      </c>
      <c r="L17" s="308">
        <f t="shared" si="15"/>
        <v>0</v>
      </c>
      <c r="M17" s="308"/>
      <c r="N17" s="308">
        <f t="shared" si="4"/>
        <v>0</v>
      </c>
      <c r="O17" s="308">
        <f t="shared" si="5"/>
        <v>0</v>
      </c>
      <c r="P17" s="308">
        <f t="shared" si="16"/>
        <v>0</v>
      </c>
      <c r="Q17" s="308"/>
      <c r="R17" s="308">
        <f t="shared" si="6"/>
        <v>0</v>
      </c>
      <c r="S17" s="308">
        <f t="shared" si="7"/>
        <v>0</v>
      </c>
      <c r="T17" s="308">
        <f t="shared" si="17"/>
        <v>64026.479999999843</v>
      </c>
      <c r="U17" s="308">
        <f>+[1]DailyApr!$AT16</f>
        <v>5850.5700000000452</v>
      </c>
      <c r="V17" s="308">
        <f t="shared" si="8"/>
        <v>109.4976698920111</v>
      </c>
      <c r="W17" s="308">
        <f t="shared" si="9"/>
        <v>102.86354765546785</v>
      </c>
      <c r="X17" s="308">
        <f t="shared" si="18"/>
        <v>125850.00000000036</v>
      </c>
      <c r="Y17" s="308">
        <f>+[1]DailyApr!$AU16</f>
        <v>9000</v>
      </c>
      <c r="Z17" s="308">
        <f t="shared" si="19"/>
        <v>168.44154142726134</v>
      </c>
      <c r="AA17" s="308">
        <f t="shared" si="20"/>
        <v>158.23619389208289</v>
      </c>
      <c r="AB17" s="308">
        <f t="shared" si="21"/>
        <v>102288.47999999968</v>
      </c>
      <c r="AC17" s="308">
        <f>+[1]DailyApr!$AV16</f>
        <v>10500.569999999454</v>
      </c>
      <c r="AD17" s="308">
        <f t="shared" si="22"/>
        <v>196.5257996294184</v>
      </c>
      <c r="AE17" s="383">
        <f t="shared" si="23"/>
        <v>184.61891449970028</v>
      </c>
      <c r="AF17" s="308">
        <f t="shared" si="24"/>
        <v>175339.24325909297</v>
      </c>
      <c r="AG17" s="308">
        <f>+[1]DailyApr!$AW16</f>
        <v>21011.903086058694</v>
      </c>
      <c r="AH17" s="308">
        <f t="shared" si="25"/>
        <v>393.25303823732844</v>
      </c>
      <c r="AI17" s="413">
        <f t="shared" si="26"/>
        <v>369.42706341858207</v>
      </c>
      <c r="AJ17" s="308">
        <f t="shared" si="27"/>
        <v>18597.200000000012</v>
      </c>
      <c r="AK17" s="308">
        <f>+[1]DailyApr!$AX16</f>
        <v>2200</v>
      </c>
      <c r="AL17" s="308">
        <f t="shared" si="28"/>
        <v>41.174599015552772</v>
      </c>
      <c r="AM17" s="413">
        <f t="shared" si="29"/>
        <v>38.679958506953596</v>
      </c>
      <c r="AN17" s="308">
        <f t="shared" si="30"/>
        <v>48563.043086058191</v>
      </c>
      <c r="AO17" s="305">
        <f t="shared" si="10"/>
        <v>908.892648201572</v>
      </c>
      <c r="AP17" s="306">
        <f t="shared" si="11"/>
        <v>853.82567797278671</v>
      </c>
      <c r="AQ17" s="308">
        <f>+[1]DailyApr!BS16</f>
        <v>0</v>
      </c>
      <c r="AR17" s="5">
        <f t="shared" si="31"/>
        <v>0</v>
      </c>
      <c r="AS17" s="306">
        <f t="shared" si="32"/>
        <v>0</v>
      </c>
      <c r="AU17" s="17" t="s">
        <v>178</v>
      </c>
      <c r="AV17" t="s">
        <v>170</v>
      </c>
      <c r="AW17" s="11">
        <f>+AD39</f>
        <v>0</v>
      </c>
      <c r="AX17" s="11">
        <f>+AE39</f>
        <v>0</v>
      </c>
    </row>
    <row r="18" spans="1:50">
      <c r="A18" s="299">
        <f t="shared" si="12"/>
        <v>46123</v>
      </c>
      <c r="B18" s="307">
        <f>+Report1!P19</f>
        <v>51.323000000000008</v>
      </c>
      <c r="C18" s="307">
        <f>+Report1!R19</f>
        <v>43.755000000000003</v>
      </c>
      <c r="D18" s="308">
        <f t="shared" si="13"/>
        <v>0</v>
      </c>
      <c r="E18" s="308"/>
      <c r="F18" s="302">
        <f t="shared" si="0"/>
        <v>0</v>
      </c>
      <c r="G18" s="302">
        <f t="shared" si="1"/>
        <v>0</v>
      </c>
      <c r="H18" s="308">
        <f t="shared" si="14"/>
        <v>0</v>
      </c>
      <c r="I18" s="308"/>
      <c r="J18" s="302">
        <f t="shared" si="2"/>
        <v>0</v>
      </c>
      <c r="K18" s="302">
        <f t="shared" si="3"/>
        <v>0</v>
      </c>
      <c r="L18" s="308">
        <f t="shared" si="15"/>
        <v>0</v>
      </c>
      <c r="M18" s="308"/>
      <c r="N18" s="302">
        <f t="shared" si="4"/>
        <v>0</v>
      </c>
      <c r="O18" s="302">
        <f t="shared" si="5"/>
        <v>0</v>
      </c>
      <c r="P18" s="308">
        <f t="shared" si="16"/>
        <v>0</v>
      </c>
      <c r="Q18" s="308"/>
      <c r="R18" s="302">
        <f t="shared" si="6"/>
        <v>0</v>
      </c>
      <c r="S18" s="302">
        <f t="shared" si="7"/>
        <v>0</v>
      </c>
      <c r="T18" s="308">
        <f t="shared" si="17"/>
        <v>69996.309999999779</v>
      </c>
      <c r="U18" s="308">
        <f>+[1]DailyApr!$AT17</f>
        <v>5969.8299999999317</v>
      </c>
      <c r="V18" s="302">
        <f t="shared" si="8"/>
        <v>116.31880443465758</v>
      </c>
      <c r="W18" s="302">
        <f t="shared" si="9"/>
        <v>136.43766426693935</v>
      </c>
      <c r="X18" s="308">
        <f t="shared" si="18"/>
        <v>135850.00000000035</v>
      </c>
      <c r="Y18" s="308">
        <f>+[1]DailyApr!$AU17</f>
        <v>10000</v>
      </c>
      <c r="Z18" s="308">
        <f t="shared" si="19"/>
        <v>194.84441673323849</v>
      </c>
      <c r="AA18" s="308">
        <f t="shared" si="20"/>
        <v>228.54530910753056</v>
      </c>
      <c r="AB18" s="308">
        <f t="shared" si="21"/>
        <v>112508.30999999949</v>
      </c>
      <c r="AC18" s="308">
        <f>+[1]DailyApr!$AV17</f>
        <v>10219.829999999818</v>
      </c>
      <c r="AD18" s="308">
        <f t="shared" si="22"/>
        <v>199.12768154628171</v>
      </c>
      <c r="AE18" s="383">
        <f t="shared" si="23"/>
        <v>233.56942063763725</v>
      </c>
      <c r="AF18" s="308">
        <f t="shared" si="24"/>
        <v>193354.65711599213</v>
      </c>
      <c r="AG18" s="308">
        <f>+[1]DailyApr!$AW17</f>
        <v>18015.413856899169</v>
      </c>
      <c r="AH18" s="308">
        <f t="shared" si="25"/>
        <v>351.02028051554208</v>
      </c>
      <c r="AI18" s="413">
        <f t="shared" si="26"/>
        <v>411.73383286251101</v>
      </c>
      <c r="AJ18" s="308">
        <f t="shared" si="27"/>
        <v>20757.200000000012</v>
      </c>
      <c r="AK18" s="308">
        <f>+[1]DailyApr!$AX17</f>
        <v>2160</v>
      </c>
      <c r="AL18" s="308">
        <f t="shared" si="28"/>
        <v>42.086394014379515</v>
      </c>
      <c r="AM18" s="413">
        <f t="shared" si="29"/>
        <v>49.365786767226602</v>
      </c>
      <c r="AN18" s="308">
        <f t="shared" si="30"/>
        <v>46365.073856898918</v>
      </c>
      <c r="AO18" s="305">
        <f t="shared" si="10"/>
        <v>903.39757724409935</v>
      </c>
      <c r="AP18" s="306">
        <f t="shared" si="11"/>
        <v>1059.6520136418446</v>
      </c>
      <c r="AQ18" s="308">
        <f>+[1]DailyApr!BS17</f>
        <v>0</v>
      </c>
      <c r="AR18" s="5">
        <f t="shared" si="31"/>
        <v>0</v>
      </c>
      <c r="AS18" s="306">
        <f t="shared" si="32"/>
        <v>0</v>
      </c>
      <c r="AU18" s="17"/>
      <c r="AV18" t="s">
        <v>171</v>
      </c>
      <c r="AW18" s="11">
        <f>+AH39</f>
        <v>0</v>
      </c>
      <c r="AX18" s="11">
        <f>+AI39</f>
        <v>0</v>
      </c>
    </row>
    <row r="19" spans="1:50">
      <c r="A19" s="299">
        <f t="shared" si="12"/>
        <v>46124</v>
      </c>
      <c r="B19" s="307">
        <f>+Report1!P20</f>
        <v>48.237000000000002</v>
      </c>
      <c r="C19" s="307">
        <f>+Report1!R20</f>
        <v>49.295000000000002</v>
      </c>
      <c r="D19" s="308">
        <f t="shared" si="13"/>
        <v>0</v>
      </c>
      <c r="E19" s="308"/>
      <c r="F19" s="302">
        <f t="shared" si="0"/>
        <v>0</v>
      </c>
      <c r="G19" s="302">
        <f t="shared" si="1"/>
        <v>0</v>
      </c>
      <c r="H19" s="308">
        <f t="shared" si="14"/>
        <v>0</v>
      </c>
      <c r="I19" s="308"/>
      <c r="J19" s="302">
        <f t="shared" si="2"/>
        <v>0</v>
      </c>
      <c r="K19" s="302">
        <f t="shared" si="3"/>
        <v>0</v>
      </c>
      <c r="L19" s="308">
        <f t="shared" si="15"/>
        <v>0</v>
      </c>
      <c r="M19" s="308"/>
      <c r="N19" s="302">
        <f t="shared" si="4"/>
        <v>0</v>
      </c>
      <c r="O19" s="302">
        <f t="shared" si="5"/>
        <v>0</v>
      </c>
      <c r="P19" s="308">
        <f t="shared" si="16"/>
        <v>0</v>
      </c>
      <c r="Q19" s="308"/>
      <c r="R19" s="302">
        <f t="shared" si="6"/>
        <v>0</v>
      </c>
      <c r="S19" s="302">
        <f t="shared" si="7"/>
        <v>0</v>
      </c>
      <c r="T19" s="308">
        <f t="shared" si="17"/>
        <v>77398.389999999796</v>
      </c>
      <c r="U19" s="308">
        <f>+[1]DailyApr!$AT18</f>
        <v>7402.0800000000227</v>
      </c>
      <c r="V19" s="302">
        <f t="shared" si="8"/>
        <v>153.45232912494603</v>
      </c>
      <c r="W19" s="302">
        <f t="shared" si="9"/>
        <v>150.15883963890906</v>
      </c>
      <c r="X19" s="308">
        <f t="shared" si="18"/>
        <v>149850.00000000035</v>
      </c>
      <c r="Y19" s="308">
        <f>+[1]DailyApr!$AU18</f>
        <v>14000</v>
      </c>
      <c r="Z19" s="308">
        <f t="shared" si="19"/>
        <v>290.23363807865331</v>
      </c>
      <c r="AA19" s="308">
        <f t="shared" si="20"/>
        <v>284.00446292727457</v>
      </c>
      <c r="AB19" s="308">
        <f t="shared" si="21"/>
        <v>123060.38999999949</v>
      </c>
      <c r="AC19" s="308">
        <f>+[1]DailyApr!$AV18</f>
        <v>10552.08</v>
      </c>
      <c r="AD19" s="308">
        <f t="shared" si="22"/>
        <v>218.75489769264257</v>
      </c>
      <c r="AE19" s="383">
        <f t="shared" si="23"/>
        <v>214.05984379754537</v>
      </c>
      <c r="AF19" s="308">
        <f t="shared" si="24"/>
        <v>210664.11954775391</v>
      </c>
      <c r="AG19" s="308">
        <f>+[1]DailyApr!$AW18</f>
        <v>17309.462431761789</v>
      </c>
      <c r="AH19" s="308">
        <f t="shared" si="25"/>
        <v>358.84201819685694</v>
      </c>
      <c r="AI19" s="413">
        <f t="shared" si="26"/>
        <v>351.14032724945304</v>
      </c>
      <c r="AJ19" s="308">
        <f t="shared" si="27"/>
        <v>22957.200000000012</v>
      </c>
      <c r="AK19" s="308">
        <f>+[1]DailyApr!$AX18</f>
        <v>2200</v>
      </c>
      <c r="AL19" s="308">
        <f t="shared" si="28"/>
        <v>45.608143126645523</v>
      </c>
      <c r="AM19" s="413">
        <f t="shared" si="29"/>
        <v>44.629272745714573</v>
      </c>
      <c r="AN19" s="308">
        <f t="shared" si="30"/>
        <v>51463.622431761818</v>
      </c>
      <c r="AO19" s="305">
        <f t="shared" si="10"/>
        <v>1066.8910262197446</v>
      </c>
      <c r="AP19" s="306">
        <f t="shared" si="11"/>
        <v>1043.9927463588967</v>
      </c>
      <c r="AQ19" s="308">
        <f>+[1]DailyApr!BS18</f>
        <v>0</v>
      </c>
      <c r="AR19" s="5">
        <f t="shared" si="31"/>
        <v>0</v>
      </c>
      <c r="AS19" s="306">
        <f t="shared" si="32"/>
        <v>0</v>
      </c>
      <c r="AU19" s="17"/>
      <c r="AW19" s="15">
        <f>SUM(AW17:AW18)</f>
        <v>0</v>
      </c>
      <c r="AX19" s="15">
        <f>SUM(AX17:AX18)</f>
        <v>0</v>
      </c>
    </row>
    <row r="20" spans="1:50">
      <c r="A20" s="600">
        <f t="shared" si="12"/>
        <v>46125</v>
      </c>
      <c r="B20" s="601">
        <f>+Report1!P21</f>
        <v>27.166</v>
      </c>
      <c r="C20" s="601">
        <f>+Report1!R21</f>
        <v>18.167000000000002</v>
      </c>
      <c r="D20" s="602">
        <f t="shared" si="13"/>
        <v>0</v>
      </c>
      <c r="E20" s="602"/>
      <c r="F20" s="603">
        <f t="shared" si="0"/>
        <v>0</v>
      </c>
      <c r="G20" s="603">
        <f t="shared" si="1"/>
        <v>0</v>
      </c>
      <c r="H20" s="602">
        <f t="shared" si="14"/>
        <v>0</v>
      </c>
      <c r="I20" s="602"/>
      <c r="J20" s="603">
        <f t="shared" si="2"/>
        <v>0</v>
      </c>
      <c r="K20" s="603">
        <f t="shared" si="3"/>
        <v>0</v>
      </c>
      <c r="L20" s="602">
        <f t="shared" si="15"/>
        <v>0</v>
      </c>
      <c r="M20" s="602"/>
      <c r="N20" s="603">
        <f t="shared" si="4"/>
        <v>0</v>
      </c>
      <c r="O20" s="603">
        <f t="shared" si="5"/>
        <v>0</v>
      </c>
      <c r="P20" s="602">
        <f t="shared" si="16"/>
        <v>0</v>
      </c>
      <c r="Q20" s="602"/>
      <c r="R20" s="603">
        <f t="shared" si="6"/>
        <v>0</v>
      </c>
      <c r="S20" s="603">
        <f t="shared" si="7"/>
        <v>0</v>
      </c>
      <c r="T20" s="602">
        <f t="shared" si="17"/>
        <v>82202.959999999788</v>
      </c>
      <c r="U20" s="602">
        <f>+[1]DailyApr!$AT19</f>
        <v>4804.57</v>
      </c>
      <c r="V20" s="603">
        <f t="shared" si="8"/>
        <v>176.85967753809908</v>
      </c>
      <c r="W20" s="603">
        <f t="shared" si="9"/>
        <v>264.46689051577033</v>
      </c>
      <c r="X20" s="602">
        <f t="shared" si="18"/>
        <v>161850.00000000035</v>
      </c>
      <c r="Y20" s="602">
        <f>+[1]DailyApr!$AU19</f>
        <v>12000</v>
      </c>
      <c r="Z20" s="602">
        <f t="shared" si="19"/>
        <v>441.72863137745713</v>
      </c>
      <c r="AA20" s="602">
        <f t="shared" si="20"/>
        <v>660.53833874607801</v>
      </c>
      <c r="AB20" s="602">
        <f t="shared" si="21"/>
        <v>129464.95999999985</v>
      </c>
      <c r="AC20" s="602">
        <f>+[1]DailyApr!$AV19</f>
        <v>6404.5700000003635</v>
      </c>
      <c r="AD20" s="602">
        <f t="shared" si="22"/>
        <v>235.75682838844008</v>
      </c>
      <c r="AE20" s="604">
        <f t="shared" si="23"/>
        <v>352.53866901526743</v>
      </c>
      <c r="AF20" s="602">
        <f t="shared" si="24"/>
        <v>222576.45983805976</v>
      </c>
      <c r="AG20" s="602">
        <f>+[1]DailyApr!$AW19</f>
        <v>11912.340290305858</v>
      </c>
      <c r="AH20" s="602">
        <f t="shared" si="25"/>
        <v>438.5018144116122</v>
      </c>
      <c r="AI20" s="605">
        <f t="shared" si="26"/>
        <v>655.71312216138369</v>
      </c>
      <c r="AJ20" s="602">
        <f t="shared" si="27"/>
        <v>24367.200000000012</v>
      </c>
      <c r="AK20" s="602">
        <f>+[1]DailyApr!$AX19</f>
        <v>1410</v>
      </c>
      <c r="AL20" s="602">
        <f t="shared" si="28"/>
        <v>51.903114186851212</v>
      </c>
      <c r="AM20" s="605">
        <f t="shared" si="29"/>
        <v>77.613254802664159</v>
      </c>
      <c r="AN20" s="602">
        <f t="shared" si="30"/>
        <v>36531.480290306223</v>
      </c>
      <c r="AO20" s="606">
        <f t="shared" si="10"/>
        <v>1344.7500659024597</v>
      </c>
      <c r="AP20" s="607">
        <f t="shared" si="11"/>
        <v>2010.8702752411637</v>
      </c>
      <c r="AQ20" s="308">
        <f>+[1]DailyApr!BS19</f>
        <v>0</v>
      </c>
      <c r="AR20" s="608">
        <f t="shared" si="31"/>
        <v>0</v>
      </c>
      <c r="AS20" s="607">
        <f t="shared" si="32"/>
        <v>0</v>
      </c>
      <c r="AU20" s="17" t="s">
        <v>179</v>
      </c>
      <c r="AV20" t="s">
        <v>172</v>
      </c>
      <c r="AW20" s="11">
        <f>+AL39</f>
        <v>0</v>
      </c>
      <c r="AX20" s="11">
        <f>+AM39</f>
        <v>0</v>
      </c>
    </row>
    <row r="21" spans="1:50">
      <c r="A21" s="600">
        <f t="shared" si="12"/>
        <v>46126</v>
      </c>
      <c r="B21" s="601">
        <f>+Report1!P22</f>
        <v>51.592999999999996</v>
      </c>
      <c r="C21" s="601">
        <f>+Report1!R22</f>
        <v>54.055999999999997</v>
      </c>
      <c r="D21" s="602">
        <f t="shared" ref="D21:D37" si="33">+D20+E21</f>
        <v>0</v>
      </c>
      <c r="E21" s="602"/>
      <c r="F21" s="603">
        <f t="shared" ref="F21:F37" si="34">E21/B21</f>
        <v>0</v>
      </c>
      <c r="G21" s="603">
        <f t="shared" ref="G21:G37" si="35">E21/C21</f>
        <v>0</v>
      </c>
      <c r="H21" s="602">
        <f t="shared" ref="H21:H37" si="36">+H20+I21</f>
        <v>0</v>
      </c>
      <c r="I21" s="602"/>
      <c r="J21" s="603">
        <f t="shared" ref="J21:J37" si="37">I21/B21</f>
        <v>0</v>
      </c>
      <c r="K21" s="603">
        <f t="shared" ref="K21:K37" si="38">I21/C21</f>
        <v>0</v>
      </c>
      <c r="L21" s="602">
        <f t="shared" ref="L21:L37" si="39">+L20+M21</f>
        <v>0</v>
      </c>
      <c r="M21" s="602"/>
      <c r="N21" s="603">
        <f t="shared" ref="N21:N37" si="40">M21/B21</f>
        <v>0</v>
      </c>
      <c r="O21" s="603">
        <f t="shared" ref="O21:O37" si="41">M21/C21</f>
        <v>0</v>
      </c>
      <c r="P21" s="602">
        <f t="shared" ref="P21:P37" si="42">+P20+Q21</f>
        <v>0</v>
      </c>
      <c r="Q21" s="602"/>
      <c r="R21" s="603">
        <f t="shared" ref="R21:R37" si="43">Q21/B21</f>
        <v>0</v>
      </c>
      <c r="S21" s="603">
        <f t="shared" ref="S21:S37" si="44">Q21/C21</f>
        <v>0</v>
      </c>
      <c r="T21" s="602">
        <f t="shared" ref="T21:T37" si="45">+T20+U21</f>
        <v>87964.12999999983</v>
      </c>
      <c r="U21" s="602">
        <f>+[1]DailyApr!$AT20</f>
        <v>5761.1700000000455</v>
      </c>
      <c r="V21" s="603">
        <f t="shared" ref="V21:V37" si="46">U21/B21</f>
        <v>111.66572984707317</v>
      </c>
      <c r="W21" s="603">
        <f t="shared" ref="W21:W37" si="47">U21/C21</f>
        <v>106.57780819890569</v>
      </c>
      <c r="X21" s="602">
        <f t="shared" ref="X21:X37" si="48">+X20+Y21</f>
        <v>172850.00000000035</v>
      </c>
      <c r="Y21" s="602">
        <f>+[1]DailyApr!$AU20</f>
        <v>11000</v>
      </c>
      <c r="Z21" s="602">
        <f t="shared" ref="Z21:Z37" si="49">Y21/B21</f>
        <v>213.20721803345415</v>
      </c>
      <c r="AA21" s="602">
        <f t="shared" ref="AA21:AA37" si="50">Y21/C21</f>
        <v>203.49267426372651</v>
      </c>
      <c r="AB21" s="602">
        <f t="shared" ref="AB21:AB37" si="51">+AB20+AC21</f>
        <v>139976.12999999966</v>
      </c>
      <c r="AC21" s="602">
        <f>+[1]DailyApr!$AV20</f>
        <v>10511.169999999818</v>
      </c>
      <c r="AD21" s="602">
        <f t="shared" ref="AD21:AD37" si="52">AC21/B21</f>
        <v>203.7324830887876</v>
      </c>
      <c r="AE21" s="604">
        <f t="shared" ref="AE21:AE37" si="53">AC21/C21</f>
        <v>194.44964481278339</v>
      </c>
      <c r="AF21" s="602">
        <f t="shared" ref="AF21:AF37" si="54">+AF20+AG21</f>
        <v>232963.83438647867</v>
      </c>
      <c r="AG21" s="602">
        <f>+[1]DailyApr!$AW20</f>
        <v>10387.374548418902</v>
      </c>
      <c r="AH21" s="602">
        <f t="shared" ref="AH21:AH37" si="55">AG21/B21</f>
        <v>201.33302092180921</v>
      </c>
      <c r="AI21" s="605">
        <f t="shared" ref="AI21:AI37" si="56">AG21/C21</f>
        <v>192.15951140333917</v>
      </c>
      <c r="AJ21" s="602">
        <f t="shared" ref="AJ21:AJ37" si="57">+AJ20+AK21</f>
        <v>26217.200000000012</v>
      </c>
      <c r="AK21" s="602">
        <f>+[1]DailyApr!$AX20</f>
        <v>1850</v>
      </c>
      <c r="AL21" s="602">
        <f t="shared" ref="AL21:AL37" si="58">AK21/B21</f>
        <v>35.857577578353656</v>
      </c>
      <c r="AM21" s="605">
        <f t="shared" ref="AM21:AM37" si="59">AK21/C21</f>
        <v>34.223767944354002</v>
      </c>
      <c r="AN21" s="602">
        <f t="shared" ref="AN21:AN37" si="60">+E21+I21+M21+Q21+U21+Y21+AC21+AG21+AK21</f>
        <v>39509.714548418764</v>
      </c>
      <c r="AO21" s="606">
        <f t="shared" ref="AO21:AO37" si="61">AN21/B21</f>
        <v>765.79602946947773</v>
      </c>
      <c r="AP21" s="607">
        <f t="shared" ref="AP21:AP37" si="62">AN21/C21</f>
        <v>730.90340662310871</v>
      </c>
      <c r="AQ21" s="308">
        <f>+[1]DailyApr!BS20</f>
        <v>0</v>
      </c>
      <c r="AR21" s="608">
        <f t="shared" ref="AR21:AR37" si="63">AQ21/B21</f>
        <v>0</v>
      </c>
      <c r="AS21" s="607">
        <f t="shared" ref="AS21:AS37" si="64">AQ21/C21</f>
        <v>0</v>
      </c>
      <c r="AV21" t="s">
        <v>173</v>
      </c>
      <c r="AW21" s="11" t="e">
        <f>+#REF!</f>
        <v>#REF!</v>
      </c>
      <c r="AX21" s="11" t="e">
        <f>+#REF!</f>
        <v>#REF!</v>
      </c>
    </row>
    <row r="22" spans="1:50">
      <c r="A22" s="600">
        <f t="shared" si="12"/>
        <v>46127</v>
      </c>
      <c r="B22" s="601">
        <f>+Report1!P23</f>
        <v>55.435000000000002</v>
      </c>
      <c r="C22" s="601">
        <f>+Report1!R23</f>
        <v>50.665999999999997</v>
      </c>
      <c r="D22" s="602">
        <f t="shared" si="33"/>
        <v>0</v>
      </c>
      <c r="E22" s="602"/>
      <c r="F22" s="603">
        <f t="shared" si="34"/>
        <v>0</v>
      </c>
      <c r="G22" s="603">
        <f t="shared" si="35"/>
        <v>0</v>
      </c>
      <c r="H22" s="602">
        <f t="shared" si="36"/>
        <v>0</v>
      </c>
      <c r="I22" s="602"/>
      <c r="J22" s="603">
        <f t="shared" si="37"/>
        <v>0</v>
      </c>
      <c r="K22" s="603">
        <f t="shared" si="38"/>
        <v>0</v>
      </c>
      <c r="L22" s="602">
        <f t="shared" si="39"/>
        <v>0</v>
      </c>
      <c r="M22" s="602"/>
      <c r="N22" s="603">
        <f t="shared" si="40"/>
        <v>0</v>
      </c>
      <c r="O22" s="603">
        <f t="shared" si="41"/>
        <v>0</v>
      </c>
      <c r="P22" s="602">
        <f t="shared" si="42"/>
        <v>0</v>
      </c>
      <c r="Q22" s="602"/>
      <c r="R22" s="603">
        <f t="shared" si="43"/>
        <v>0</v>
      </c>
      <c r="S22" s="603">
        <f t="shared" si="44"/>
        <v>0</v>
      </c>
      <c r="T22" s="602">
        <f t="shared" si="45"/>
        <v>93760.309999999823</v>
      </c>
      <c r="U22" s="602">
        <f>+[1]DailyApr!$AT21</f>
        <v>5796.18</v>
      </c>
      <c r="V22" s="603">
        <f t="shared" si="46"/>
        <v>104.55813114458375</v>
      </c>
      <c r="W22" s="603">
        <f t="shared" si="47"/>
        <v>114.39979473414125</v>
      </c>
      <c r="X22" s="602">
        <f t="shared" si="48"/>
        <v>183850.00000000035</v>
      </c>
      <c r="Y22" s="602">
        <f>+[1]DailyApr!$AU21</f>
        <v>11000</v>
      </c>
      <c r="Z22" s="602">
        <f t="shared" si="49"/>
        <v>198.43059438982593</v>
      </c>
      <c r="AA22" s="602">
        <f t="shared" si="50"/>
        <v>217.10811984368218</v>
      </c>
      <c r="AB22" s="602">
        <f t="shared" si="51"/>
        <v>149772.30999999965</v>
      </c>
      <c r="AC22" s="602">
        <f>+[1]DailyApr!$AV21</f>
        <v>9796.18</v>
      </c>
      <c r="AD22" s="602">
        <f t="shared" si="52"/>
        <v>176.71471092270227</v>
      </c>
      <c r="AE22" s="604">
        <f t="shared" si="53"/>
        <v>193.34820195002567</v>
      </c>
      <c r="AF22" s="602">
        <f t="shared" si="54"/>
        <v>244648.04788612417</v>
      </c>
      <c r="AG22" s="602">
        <f>+[1]DailyApr!$AW21</f>
        <v>11684.213499645484</v>
      </c>
      <c r="AH22" s="602">
        <f t="shared" si="55"/>
        <v>210.77322088293468</v>
      </c>
      <c r="AI22" s="605">
        <f t="shared" si="56"/>
        <v>230.61251134183644</v>
      </c>
      <c r="AJ22" s="602">
        <f t="shared" si="57"/>
        <v>28117.200000000012</v>
      </c>
      <c r="AK22" s="602">
        <f>+[1]DailyApr!$AX21</f>
        <v>1900</v>
      </c>
      <c r="AL22" s="602">
        <f t="shared" si="58"/>
        <v>34.274375394606295</v>
      </c>
      <c r="AM22" s="605">
        <f t="shared" si="59"/>
        <v>37.500493427545102</v>
      </c>
      <c r="AN22" s="602">
        <f t="shared" si="60"/>
        <v>40176.573499645485</v>
      </c>
      <c r="AO22" s="606">
        <f t="shared" si="61"/>
        <v>724.75103273465288</v>
      </c>
      <c r="AP22" s="607">
        <f t="shared" si="62"/>
        <v>792.96912129723069</v>
      </c>
      <c r="AQ22" s="308">
        <f>+[1]DailyApr!BS21</f>
        <v>0</v>
      </c>
      <c r="AR22" s="608">
        <f t="shared" si="63"/>
        <v>0</v>
      </c>
      <c r="AS22" s="607">
        <f t="shared" si="64"/>
        <v>0</v>
      </c>
      <c r="AW22" s="15" t="e">
        <f>SUM(AW20:AW21)</f>
        <v>#REF!</v>
      </c>
      <c r="AX22" s="15" t="e">
        <f>SUM(AX20:AX21)</f>
        <v>#REF!</v>
      </c>
    </row>
    <row r="23" spans="1:50">
      <c r="A23" s="600">
        <f t="shared" si="12"/>
        <v>46128</v>
      </c>
      <c r="B23" s="601">
        <f>+Report1!P24</f>
        <v>49.198999999999998</v>
      </c>
      <c r="C23" s="601">
        <f>+Report1!R24</f>
        <v>40.222000000000001</v>
      </c>
      <c r="D23" s="602">
        <f t="shared" si="33"/>
        <v>0</v>
      </c>
      <c r="E23" s="602"/>
      <c r="F23" s="603">
        <f t="shared" si="34"/>
        <v>0</v>
      </c>
      <c r="G23" s="603">
        <f t="shared" si="35"/>
        <v>0</v>
      </c>
      <c r="H23" s="602">
        <f t="shared" si="36"/>
        <v>0</v>
      </c>
      <c r="I23" s="602"/>
      <c r="J23" s="603">
        <f t="shared" si="37"/>
        <v>0</v>
      </c>
      <c r="K23" s="603">
        <f t="shared" si="38"/>
        <v>0</v>
      </c>
      <c r="L23" s="602">
        <f t="shared" si="39"/>
        <v>0</v>
      </c>
      <c r="M23" s="602"/>
      <c r="N23" s="603">
        <f t="shared" si="40"/>
        <v>0</v>
      </c>
      <c r="O23" s="603">
        <f t="shared" si="41"/>
        <v>0</v>
      </c>
      <c r="P23" s="602">
        <f t="shared" si="42"/>
        <v>0</v>
      </c>
      <c r="Q23" s="602"/>
      <c r="R23" s="603">
        <f t="shared" si="43"/>
        <v>0</v>
      </c>
      <c r="S23" s="603">
        <f t="shared" si="44"/>
        <v>0</v>
      </c>
      <c r="T23" s="602">
        <f t="shared" si="45"/>
        <v>100663.47999999982</v>
      </c>
      <c r="U23" s="602">
        <f>+[1]DailyApr!$AT22</f>
        <v>6903.17</v>
      </c>
      <c r="V23" s="603">
        <f t="shared" si="46"/>
        <v>140.31118518669081</v>
      </c>
      <c r="W23" s="603">
        <f t="shared" si="47"/>
        <v>171.62672169459501</v>
      </c>
      <c r="X23" s="602">
        <f t="shared" si="48"/>
        <v>198850.00000000035</v>
      </c>
      <c r="Y23" s="602">
        <f>+[1]DailyApr!$AU22</f>
        <v>15000</v>
      </c>
      <c r="Z23" s="602">
        <f t="shared" si="49"/>
        <v>304.88424561474829</v>
      </c>
      <c r="AA23" s="602">
        <f t="shared" si="50"/>
        <v>372.93023718363082</v>
      </c>
      <c r="AB23" s="602">
        <f t="shared" si="51"/>
        <v>160975.47999999984</v>
      </c>
      <c r="AC23" s="602">
        <f>+[1]DailyApr!$AV22</f>
        <v>11203.170000000182</v>
      </c>
      <c r="AD23" s="602">
        <f t="shared" si="52"/>
        <v>227.71133559625565</v>
      </c>
      <c r="AE23" s="604">
        <f t="shared" si="53"/>
        <v>278.53338968724034</v>
      </c>
      <c r="AF23" s="602">
        <f t="shared" si="54"/>
        <v>256089.81684906108</v>
      </c>
      <c r="AG23" s="602">
        <f>+[1]DailyApr!$AW22</f>
        <v>11441.768962936912</v>
      </c>
      <c r="AH23" s="602">
        <f t="shared" si="55"/>
        <v>232.56100658421741</v>
      </c>
      <c r="AI23" s="605">
        <f t="shared" si="56"/>
        <v>284.46544087655792</v>
      </c>
      <c r="AJ23" s="602">
        <f t="shared" si="57"/>
        <v>30037.200000000012</v>
      </c>
      <c r="AK23" s="602">
        <f>+[1]DailyApr!$AX22</f>
        <v>1920</v>
      </c>
      <c r="AL23" s="602">
        <f t="shared" si="58"/>
        <v>39.025183438687783</v>
      </c>
      <c r="AM23" s="605">
        <f t="shared" si="59"/>
        <v>47.735070359504746</v>
      </c>
      <c r="AN23" s="602">
        <f t="shared" si="60"/>
        <v>46468.108962937091</v>
      </c>
      <c r="AO23" s="606">
        <f t="shared" si="61"/>
        <v>944.49295642059985</v>
      </c>
      <c r="AP23" s="607">
        <f t="shared" si="62"/>
        <v>1155.2908598015288</v>
      </c>
      <c r="AQ23" s="308">
        <f>+[1]DailyApr!BS22</f>
        <v>0</v>
      </c>
      <c r="AR23" s="608">
        <f t="shared" si="63"/>
        <v>0</v>
      </c>
      <c r="AS23" s="607">
        <f t="shared" si="64"/>
        <v>0</v>
      </c>
    </row>
    <row r="24" spans="1:50">
      <c r="A24" s="600">
        <f t="shared" si="12"/>
        <v>46129</v>
      </c>
      <c r="B24" s="601">
        <f>+Report1!P25</f>
        <v>47.717999999999996</v>
      </c>
      <c r="C24" s="601">
        <f>+Report1!R25</f>
        <v>41.671999999999997</v>
      </c>
      <c r="D24" s="602">
        <f t="shared" si="33"/>
        <v>0</v>
      </c>
      <c r="E24" s="602"/>
      <c r="F24" s="603">
        <f t="shared" si="34"/>
        <v>0</v>
      </c>
      <c r="G24" s="603">
        <f t="shared" si="35"/>
        <v>0</v>
      </c>
      <c r="H24" s="602">
        <f t="shared" si="36"/>
        <v>0</v>
      </c>
      <c r="I24" s="602"/>
      <c r="J24" s="603">
        <f t="shared" si="37"/>
        <v>0</v>
      </c>
      <c r="K24" s="603">
        <f t="shared" si="38"/>
        <v>0</v>
      </c>
      <c r="L24" s="602">
        <f t="shared" si="39"/>
        <v>0</v>
      </c>
      <c r="M24" s="602"/>
      <c r="N24" s="603">
        <f t="shared" si="40"/>
        <v>0</v>
      </c>
      <c r="O24" s="603">
        <f t="shared" si="41"/>
        <v>0</v>
      </c>
      <c r="P24" s="602">
        <f t="shared" si="42"/>
        <v>0</v>
      </c>
      <c r="Q24" s="602"/>
      <c r="R24" s="603">
        <f t="shared" si="43"/>
        <v>0</v>
      </c>
      <c r="S24" s="603">
        <f t="shared" si="44"/>
        <v>0</v>
      </c>
      <c r="T24" s="602">
        <f t="shared" si="45"/>
        <v>106558.39999999981</v>
      </c>
      <c r="U24" s="602">
        <f>+[1]DailyApr!$AT23</f>
        <v>5894.9199999999773</v>
      </c>
      <c r="V24" s="603">
        <f t="shared" si="46"/>
        <v>123.53661092250258</v>
      </c>
      <c r="W24" s="603">
        <f t="shared" si="47"/>
        <v>141.45997312343965</v>
      </c>
      <c r="X24" s="602">
        <f t="shared" si="48"/>
        <v>218850.00000000035</v>
      </c>
      <c r="Y24" s="602">
        <f>+[1]DailyApr!$AU23</f>
        <v>20000</v>
      </c>
      <c r="Z24" s="602">
        <f t="shared" si="49"/>
        <v>419.12904983444406</v>
      </c>
      <c r="AA24" s="602">
        <f t="shared" si="50"/>
        <v>479.93856786331355</v>
      </c>
      <c r="AB24" s="602">
        <f t="shared" si="51"/>
        <v>170470.39999999985</v>
      </c>
      <c r="AC24" s="602">
        <f>+[1]DailyApr!$AV23</f>
        <v>9494.92</v>
      </c>
      <c r="AD24" s="602">
        <f t="shared" si="52"/>
        <v>198.97983989270298</v>
      </c>
      <c r="AE24" s="604">
        <f t="shared" si="53"/>
        <v>227.84891533883663</v>
      </c>
      <c r="AF24" s="602">
        <f t="shared" si="54"/>
        <v>267609.16946055682</v>
      </c>
      <c r="AG24" s="602">
        <f>+[1]DailyApr!$AW23</f>
        <v>11519.352611495731</v>
      </c>
      <c r="AH24" s="602">
        <f t="shared" si="55"/>
        <v>241.40476573820638</v>
      </c>
      <c r="AI24" s="605">
        <f t="shared" si="56"/>
        <v>276.42907975368911</v>
      </c>
      <c r="AJ24" s="602">
        <f t="shared" si="57"/>
        <v>31967.200000000012</v>
      </c>
      <c r="AK24" s="602">
        <f>+[1]DailyApr!$AX23</f>
        <v>1930</v>
      </c>
      <c r="AL24" s="602">
        <f t="shared" si="58"/>
        <v>40.445953309023849</v>
      </c>
      <c r="AM24" s="605">
        <f t="shared" si="59"/>
        <v>46.314071798809756</v>
      </c>
      <c r="AN24" s="602">
        <f t="shared" si="60"/>
        <v>48839.192611495702</v>
      </c>
      <c r="AO24" s="606">
        <f t="shared" si="61"/>
        <v>1023.4962196968797</v>
      </c>
      <c r="AP24" s="607">
        <f t="shared" si="62"/>
        <v>1171.9906078780884</v>
      </c>
      <c r="AQ24" s="308">
        <f>+[1]DailyApr!BS23</f>
        <v>0</v>
      </c>
      <c r="AR24" s="608">
        <f t="shared" si="63"/>
        <v>0</v>
      </c>
      <c r="AS24" s="607">
        <f t="shared" si="64"/>
        <v>0</v>
      </c>
      <c r="AV24" s="17" t="s">
        <v>2</v>
      </c>
      <c r="AW24" s="15" t="e">
        <f>+AW16+AW19+AW22</f>
        <v>#REF!</v>
      </c>
      <c r="AX24" s="15" t="e">
        <f>+AX16+AX19+AX22</f>
        <v>#REF!</v>
      </c>
    </row>
    <row r="25" spans="1:50">
      <c r="A25" s="600">
        <f t="shared" si="12"/>
        <v>46130</v>
      </c>
      <c r="B25" s="601">
        <f>+Report1!P26</f>
        <v>49.573999999999998</v>
      </c>
      <c r="C25" s="601">
        <f>+Report1!R26</f>
        <v>51.387999999999998</v>
      </c>
      <c r="D25" s="602">
        <f t="shared" si="33"/>
        <v>0</v>
      </c>
      <c r="E25" s="602"/>
      <c r="F25" s="603">
        <f t="shared" si="34"/>
        <v>0</v>
      </c>
      <c r="G25" s="603">
        <f t="shared" si="35"/>
        <v>0</v>
      </c>
      <c r="H25" s="602">
        <f t="shared" si="36"/>
        <v>0</v>
      </c>
      <c r="I25" s="602"/>
      <c r="J25" s="603">
        <f t="shared" si="37"/>
        <v>0</v>
      </c>
      <c r="K25" s="603">
        <f t="shared" si="38"/>
        <v>0</v>
      </c>
      <c r="L25" s="602">
        <f t="shared" si="39"/>
        <v>0</v>
      </c>
      <c r="M25" s="602"/>
      <c r="N25" s="603">
        <f t="shared" si="40"/>
        <v>0</v>
      </c>
      <c r="O25" s="603">
        <f t="shared" si="41"/>
        <v>0</v>
      </c>
      <c r="P25" s="602">
        <f t="shared" si="42"/>
        <v>0</v>
      </c>
      <c r="Q25" s="602"/>
      <c r="R25" s="603">
        <f t="shared" si="43"/>
        <v>0</v>
      </c>
      <c r="S25" s="603">
        <f t="shared" si="44"/>
        <v>0</v>
      </c>
      <c r="T25" s="602">
        <f t="shared" si="45"/>
        <v>111075.2899999998</v>
      </c>
      <c r="U25" s="602">
        <f>+[1]DailyApr!$AT24</f>
        <v>4516.8900000000003</v>
      </c>
      <c r="V25" s="603">
        <f t="shared" si="46"/>
        <v>91.114092064388601</v>
      </c>
      <c r="W25" s="603">
        <f t="shared" si="47"/>
        <v>87.897758231493739</v>
      </c>
      <c r="X25" s="602">
        <f t="shared" si="48"/>
        <v>236850.00000000035</v>
      </c>
      <c r="Y25" s="602">
        <f>+[1]DailyApr!$AU24</f>
        <v>18000</v>
      </c>
      <c r="Z25" s="602">
        <f t="shared" si="49"/>
        <v>363.09355710654779</v>
      </c>
      <c r="AA25" s="602">
        <f t="shared" si="50"/>
        <v>350.27632910407101</v>
      </c>
      <c r="AB25" s="602">
        <f t="shared" si="51"/>
        <v>178987.28999999986</v>
      </c>
      <c r="AC25" s="602">
        <f>+[1]DailyApr!$AV24</f>
        <v>8516.89</v>
      </c>
      <c r="AD25" s="602">
        <f t="shared" si="52"/>
        <v>171.80154919917697</v>
      </c>
      <c r="AE25" s="604">
        <f t="shared" si="53"/>
        <v>165.73694247684284</v>
      </c>
      <c r="AF25" s="602">
        <f t="shared" si="54"/>
        <v>278602.17639902979</v>
      </c>
      <c r="AG25" s="602">
        <f>+[1]DailyApr!$AW24</f>
        <v>10993.006938472945</v>
      </c>
      <c r="AH25" s="602">
        <f t="shared" si="55"/>
        <v>221.74944403261679</v>
      </c>
      <c r="AI25" s="605">
        <f t="shared" si="56"/>
        <v>213.92167312354917</v>
      </c>
      <c r="AJ25" s="602">
        <f t="shared" si="57"/>
        <v>34067.200000000012</v>
      </c>
      <c r="AK25" s="602">
        <f>+[1]DailyApr!$AX24</f>
        <v>2100</v>
      </c>
      <c r="AL25" s="602">
        <f t="shared" si="58"/>
        <v>42.360914995763913</v>
      </c>
      <c r="AM25" s="605">
        <f t="shared" si="59"/>
        <v>40.865571728808284</v>
      </c>
      <c r="AN25" s="602">
        <f t="shared" si="60"/>
        <v>44126.786938472942</v>
      </c>
      <c r="AO25" s="606">
        <f t="shared" si="61"/>
        <v>890.11955739849407</v>
      </c>
      <c r="AP25" s="607">
        <f t="shared" si="62"/>
        <v>858.69827466476499</v>
      </c>
      <c r="AQ25" s="308">
        <f>+[1]DailyApr!BS24</f>
        <v>0</v>
      </c>
      <c r="AR25" s="608">
        <f t="shared" si="63"/>
        <v>0</v>
      </c>
      <c r="AS25" s="607">
        <f t="shared" si="64"/>
        <v>0</v>
      </c>
    </row>
    <row r="26" spans="1:50">
      <c r="A26" s="600">
        <f t="shared" si="12"/>
        <v>46131</v>
      </c>
      <c r="B26" s="601">
        <f>+Report1!P27</f>
        <v>49.803000000000004</v>
      </c>
      <c r="C26" s="601">
        <f>+Report1!R27</f>
        <v>54.652000000000001</v>
      </c>
      <c r="D26" s="602">
        <f t="shared" si="33"/>
        <v>0</v>
      </c>
      <c r="E26" s="602"/>
      <c r="F26" s="603">
        <f t="shared" si="34"/>
        <v>0</v>
      </c>
      <c r="G26" s="603">
        <f t="shared" si="35"/>
        <v>0</v>
      </c>
      <c r="H26" s="602">
        <f t="shared" si="36"/>
        <v>0</v>
      </c>
      <c r="I26" s="602"/>
      <c r="J26" s="603">
        <f t="shared" si="37"/>
        <v>0</v>
      </c>
      <c r="K26" s="603">
        <f t="shared" si="38"/>
        <v>0</v>
      </c>
      <c r="L26" s="602">
        <f t="shared" si="39"/>
        <v>0</v>
      </c>
      <c r="M26" s="602"/>
      <c r="N26" s="603">
        <f t="shared" si="40"/>
        <v>0</v>
      </c>
      <c r="O26" s="603">
        <f t="shared" si="41"/>
        <v>0</v>
      </c>
      <c r="P26" s="602">
        <f t="shared" si="42"/>
        <v>0</v>
      </c>
      <c r="Q26" s="602"/>
      <c r="R26" s="603">
        <f t="shared" si="43"/>
        <v>0</v>
      </c>
      <c r="S26" s="603">
        <f t="shared" si="44"/>
        <v>0</v>
      </c>
      <c r="T26" s="602">
        <f t="shared" si="45"/>
        <v>117887.51999999974</v>
      </c>
      <c r="U26" s="602">
        <f>+[1]DailyApr!$AT25</f>
        <v>6812.2299999999314</v>
      </c>
      <c r="V26" s="603">
        <f t="shared" si="46"/>
        <v>136.78352709675985</v>
      </c>
      <c r="W26" s="603">
        <f t="shared" si="47"/>
        <v>124.64740540144791</v>
      </c>
      <c r="X26" s="602">
        <f t="shared" si="48"/>
        <v>254850.00000000035</v>
      </c>
      <c r="Y26" s="602">
        <f>+[1]DailyApr!$AU25</f>
        <v>18000</v>
      </c>
      <c r="Z26" s="602">
        <f t="shared" si="49"/>
        <v>361.42401060177093</v>
      </c>
      <c r="AA26" s="602">
        <f t="shared" si="50"/>
        <v>329.35665666398302</v>
      </c>
      <c r="AB26" s="602">
        <f t="shared" si="51"/>
        <v>189549.51999999967</v>
      </c>
      <c r="AC26" s="602">
        <f>+[1]DailyApr!$AV25</f>
        <v>10562.229999999818</v>
      </c>
      <c r="AD26" s="602">
        <f t="shared" si="52"/>
        <v>212.08019597212652</v>
      </c>
      <c r="AE26" s="604">
        <f t="shared" si="53"/>
        <v>193.26337553977564</v>
      </c>
      <c r="AF26" s="602">
        <f t="shared" si="54"/>
        <v>286683.79798874661</v>
      </c>
      <c r="AG26" s="602">
        <f>+[1]DailyApr!$AW25</f>
        <v>8081.6215897168286</v>
      </c>
      <c r="AH26" s="602">
        <f t="shared" si="55"/>
        <v>162.2717826178509</v>
      </c>
      <c r="AI26" s="605">
        <f t="shared" si="56"/>
        <v>147.87421484514434</v>
      </c>
      <c r="AJ26" s="602">
        <f t="shared" si="57"/>
        <v>36077.200000000012</v>
      </c>
      <c r="AK26" s="602">
        <f>+[1]DailyApr!$AX25</f>
        <v>2010</v>
      </c>
      <c r="AL26" s="602">
        <f t="shared" si="58"/>
        <v>40.359014517197757</v>
      </c>
      <c r="AM26" s="605">
        <f t="shared" si="59"/>
        <v>36.778159994144772</v>
      </c>
      <c r="AN26" s="602">
        <f t="shared" si="60"/>
        <v>45466.081589716574</v>
      </c>
      <c r="AO26" s="606">
        <f t="shared" si="61"/>
        <v>912.91853080570593</v>
      </c>
      <c r="AP26" s="607">
        <f t="shared" si="62"/>
        <v>831.91981244449562</v>
      </c>
      <c r="AQ26" s="308">
        <f>+[1]DailyApr!BS25</f>
        <v>0</v>
      </c>
      <c r="AR26" s="608">
        <f t="shared" si="63"/>
        <v>0</v>
      </c>
      <c r="AS26" s="607">
        <f t="shared" si="64"/>
        <v>0</v>
      </c>
      <c r="AV26" s="17" t="s">
        <v>180</v>
      </c>
      <c r="AX26" s="380" t="e">
        <f>+AX24/AW24-1</f>
        <v>#REF!</v>
      </c>
    </row>
    <row r="27" spans="1:50">
      <c r="A27" s="600">
        <f t="shared" si="12"/>
        <v>46132</v>
      </c>
      <c r="B27" s="601">
        <f>+Report1!P28</f>
        <v>49.64</v>
      </c>
      <c r="C27" s="601">
        <f>+Report1!R28</f>
        <v>44.97</v>
      </c>
      <c r="D27" s="602">
        <f t="shared" si="33"/>
        <v>0</v>
      </c>
      <c r="E27" s="602"/>
      <c r="F27" s="603">
        <f t="shared" si="34"/>
        <v>0</v>
      </c>
      <c r="G27" s="603">
        <f t="shared" si="35"/>
        <v>0</v>
      </c>
      <c r="H27" s="602">
        <f t="shared" si="36"/>
        <v>0</v>
      </c>
      <c r="I27" s="602"/>
      <c r="J27" s="603">
        <f t="shared" si="37"/>
        <v>0</v>
      </c>
      <c r="K27" s="603">
        <f t="shared" si="38"/>
        <v>0</v>
      </c>
      <c r="L27" s="602">
        <f t="shared" si="39"/>
        <v>0</v>
      </c>
      <c r="M27" s="602"/>
      <c r="N27" s="603">
        <f t="shared" si="40"/>
        <v>0</v>
      </c>
      <c r="O27" s="603">
        <f t="shared" si="41"/>
        <v>0</v>
      </c>
      <c r="P27" s="602">
        <f t="shared" si="42"/>
        <v>0</v>
      </c>
      <c r="Q27" s="602"/>
      <c r="R27" s="603">
        <f t="shared" si="43"/>
        <v>0</v>
      </c>
      <c r="S27" s="603">
        <f t="shared" si="44"/>
        <v>0</v>
      </c>
      <c r="T27" s="602">
        <f t="shared" si="45"/>
        <v>122579.60999999984</v>
      </c>
      <c r="U27" s="602">
        <f>+[1]DailyApr!$AT26</f>
        <v>4692.0900000000911</v>
      </c>
      <c r="V27" s="603">
        <f t="shared" si="46"/>
        <v>94.522360999196039</v>
      </c>
      <c r="W27" s="603">
        <f t="shared" si="47"/>
        <v>104.33822548365779</v>
      </c>
      <c r="X27" s="602">
        <f t="shared" si="48"/>
        <v>272130.00000000099</v>
      </c>
      <c r="Y27" s="602">
        <f>+[1]DailyApr!$AU26</f>
        <v>17280.000000000655</v>
      </c>
      <c r="Z27" s="602">
        <f t="shared" si="49"/>
        <v>348.10636583401805</v>
      </c>
      <c r="AA27" s="602">
        <f t="shared" si="50"/>
        <v>384.25617078053494</v>
      </c>
      <c r="AB27" s="602">
        <f t="shared" si="51"/>
        <v>198525.60999999987</v>
      </c>
      <c r="AC27" s="602">
        <f>+[1]DailyApr!$AV26</f>
        <v>8976.0900000001966</v>
      </c>
      <c r="AD27" s="602">
        <f t="shared" si="52"/>
        <v>180.82373086221185</v>
      </c>
      <c r="AE27" s="604">
        <f t="shared" si="53"/>
        <v>199.60173448966415</v>
      </c>
      <c r="AF27" s="602">
        <f t="shared" si="54"/>
        <v>299510.00009757571</v>
      </c>
      <c r="AG27" s="602">
        <f>+[1]DailyApr!$AW26</f>
        <v>12826.202108829111</v>
      </c>
      <c r="AH27" s="602">
        <f t="shared" si="55"/>
        <v>258.38440992806426</v>
      </c>
      <c r="AI27" s="605">
        <f t="shared" si="56"/>
        <v>285.21685810160352</v>
      </c>
      <c r="AJ27" s="602">
        <f t="shared" si="57"/>
        <v>38048.200000000012</v>
      </c>
      <c r="AK27" s="602">
        <f>+[1]DailyApr!$AX26</f>
        <v>1971</v>
      </c>
      <c r="AL27" s="602">
        <f t="shared" si="58"/>
        <v>39.705882352941174</v>
      </c>
      <c r="AM27" s="605">
        <f t="shared" si="59"/>
        <v>43.829219479653105</v>
      </c>
      <c r="AN27" s="602">
        <f t="shared" si="60"/>
        <v>45745.382108830054</v>
      </c>
      <c r="AO27" s="606">
        <f t="shared" si="61"/>
        <v>921.54274997643142</v>
      </c>
      <c r="AP27" s="607">
        <f t="shared" si="62"/>
        <v>1017.2422083351136</v>
      </c>
      <c r="AQ27" s="308">
        <f>+[1]DailyApr!BS26</f>
        <v>0</v>
      </c>
      <c r="AR27" s="608">
        <f t="shared" si="63"/>
        <v>0</v>
      </c>
      <c r="AS27" s="607">
        <f t="shared" si="64"/>
        <v>0</v>
      </c>
    </row>
    <row r="28" spans="1:50">
      <c r="A28" s="600">
        <f t="shared" si="12"/>
        <v>46133</v>
      </c>
      <c r="B28" s="601">
        <f>+Report1!P29</f>
        <v>51.710999999999999</v>
      </c>
      <c r="C28" s="601">
        <f>+Report1!R29</f>
        <v>51.795999999999999</v>
      </c>
      <c r="D28" s="602">
        <f t="shared" si="33"/>
        <v>0</v>
      </c>
      <c r="E28" s="602"/>
      <c r="F28" s="603">
        <f t="shared" si="34"/>
        <v>0</v>
      </c>
      <c r="G28" s="603">
        <f t="shared" si="35"/>
        <v>0</v>
      </c>
      <c r="H28" s="602">
        <f t="shared" si="36"/>
        <v>0</v>
      </c>
      <c r="I28" s="602"/>
      <c r="J28" s="603">
        <f t="shared" si="37"/>
        <v>0</v>
      </c>
      <c r="K28" s="603">
        <f t="shared" si="38"/>
        <v>0</v>
      </c>
      <c r="L28" s="602">
        <f t="shared" si="39"/>
        <v>0</v>
      </c>
      <c r="M28" s="602"/>
      <c r="N28" s="603">
        <f t="shared" si="40"/>
        <v>0</v>
      </c>
      <c r="O28" s="603">
        <f t="shared" si="41"/>
        <v>0</v>
      </c>
      <c r="P28" s="602">
        <f t="shared" si="42"/>
        <v>0</v>
      </c>
      <c r="Q28" s="602"/>
      <c r="R28" s="603">
        <f t="shared" si="43"/>
        <v>0</v>
      </c>
      <c r="S28" s="603">
        <f t="shared" si="44"/>
        <v>0</v>
      </c>
      <c r="T28" s="602">
        <f t="shared" si="45"/>
        <v>129853.27999999968</v>
      </c>
      <c r="U28" s="602">
        <f>+[1]DailyApr!$AT27</f>
        <v>7273.6699999998318</v>
      </c>
      <c r="V28" s="603">
        <f t="shared" si="46"/>
        <v>140.66001431029824</v>
      </c>
      <c r="W28" s="603">
        <f t="shared" si="47"/>
        <v>140.4291837207474</v>
      </c>
      <c r="X28" s="602">
        <f t="shared" si="48"/>
        <v>290340.00000000012</v>
      </c>
      <c r="Y28" s="602">
        <f>+[1]DailyApr!$AU27</f>
        <v>18209.999999999127</v>
      </c>
      <c r="Z28" s="602">
        <f t="shared" si="49"/>
        <v>352.14944595925681</v>
      </c>
      <c r="AA28" s="602">
        <f t="shared" si="50"/>
        <v>351.57154992661839</v>
      </c>
      <c r="AB28" s="602">
        <f t="shared" si="51"/>
        <v>208790.28000000026</v>
      </c>
      <c r="AC28" s="602">
        <f>+[1]DailyApr!$AV27</f>
        <v>10264.670000000386</v>
      </c>
      <c r="AD28" s="602">
        <f t="shared" si="52"/>
        <v>198.500705845959</v>
      </c>
      <c r="AE28" s="604">
        <f t="shared" si="53"/>
        <v>198.17495559503408</v>
      </c>
      <c r="AF28" s="602">
        <f t="shared" si="54"/>
        <v>310712.31660364731</v>
      </c>
      <c r="AG28" s="602">
        <f>+[1]DailyApr!$AW27</f>
        <v>11202.316506071598</v>
      </c>
      <c r="AH28" s="602">
        <f t="shared" si="55"/>
        <v>216.63314393594396</v>
      </c>
      <c r="AI28" s="605">
        <f t="shared" si="56"/>
        <v>216.27763738650859</v>
      </c>
      <c r="AJ28" s="602">
        <f t="shared" si="57"/>
        <v>39924</v>
      </c>
      <c r="AK28" s="602">
        <f>+[1]DailyApr!$AX27</f>
        <v>1875.7999999999884</v>
      </c>
      <c r="AL28" s="602">
        <f t="shared" si="58"/>
        <v>36.274680435497061</v>
      </c>
      <c r="AM28" s="605">
        <f t="shared" si="59"/>
        <v>36.215151749169593</v>
      </c>
      <c r="AN28" s="602">
        <f t="shared" si="60"/>
        <v>48826.456506070928</v>
      </c>
      <c r="AO28" s="606">
        <f t="shared" si="61"/>
        <v>944.21799048695505</v>
      </c>
      <c r="AP28" s="607">
        <f t="shared" si="62"/>
        <v>942.66847837807802</v>
      </c>
      <c r="AQ28" s="308">
        <f>+[1]DailyApr!BS27</f>
        <v>0</v>
      </c>
      <c r="AR28" s="608">
        <f t="shared" si="63"/>
        <v>0</v>
      </c>
      <c r="AS28" s="607">
        <f t="shared" si="64"/>
        <v>0</v>
      </c>
    </row>
    <row r="29" spans="1:50">
      <c r="A29" s="600">
        <f t="shared" si="12"/>
        <v>46134</v>
      </c>
      <c r="B29" s="601">
        <f>+Report1!P30</f>
        <v>49.819999999999993</v>
      </c>
      <c r="C29" s="601">
        <f>+Report1!R30</f>
        <v>48.822000000000003</v>
      </c>
      <c r="D29" s="602">
        <f t="shared" si="33"/>
        <v>0</v>
      </c>
      <c r="E29" s="602"/>
      <c r="F29" s="603">
        <f t="shared" si="34"/>
        <v>0</v>
      </c>
      <c r="G29" s="603">
        <f t="shared" si="35"/>
        <v>0</v>
      </c>
      <c r="H29" s="602">
        <f t="shared" si="36"/>
        <v>0</v>
      </c>
      <c r="I29" s="602"/>
      <c r="J29" s="603">
        <f t="shared" si="37"/>
        <v>0</v>
      </c>
      <c r="K29" s="603">
        <f t="shared" si="38"/>
        <v>0</v>
      </c>
      <c r="L29" s="602">
        <f t="shared" si="39"/>
        <v>0</v>
      </c>
      <c r="M29" s="602"/>
      <c r="N29" s="603">
        <f t="shared" si="40"/>
        <v>0</v>
      </c>
      <c r="O29" s="603">
        <f t="shared" si="41"/>
        <v>0</v>
      </c>
      <c r="P29" s="602">
        <f t="shared" si="42"/>
        <v>0</v>
      </c>
      <c r="Q29" s="602"/>
      <c r="R29" s="603">
        <f t="shared" si="43"/>
        <v>0</v>
      </c>
      <c r="S29" s="603">
        <f t="shared" si="44"/>
        <v>0</v>
      </c>
      <c r="T29" s="602">
        <f t="shared" si="45"/>
        <v>135206.37999999916</v>
      </c>
      <c r="U29" s="602">
        <f>+[1]DailyApr!$AT28</f>
        <v>5353.0999999994683</v>
      </c>
      <c r="V29" s="603">
        <f t="shared" si="46"/>
        <v>107.44881573664129</v>
      </c>
      <c r="W29" s="603">
        <f t="shared" si="47"/>
        <v>109.64524189913293</v>
      </c>
      <c r="X29" s="602">
        <f t="shared" si="48"/>
        <v>308530.00000000064</v>
      </c>
      <c r="Y29" s="602">
        <f>+[1]DailyApr!$AU28</f>
        <v>18190.000000000509</v>
      </c>
      <c r="Z29" s="602">
        <f t="shared" si="49"/>
        <v>365.11441188278826</v>
      </c>
      <c r="AA29" s="602">
        <f t="shared" si="50"/>
        <v>372.57793617632439</v>
      </c>
      <c r="AB29" s="602">
        <f t="shared" si="51"/>
        <v>218077.3799999996</v>
      </c>
      <c r="AC29" s="602">
        <f>+[1]DailyApr!$AV28</f>
        <v>9287.0999999993237</v>
      </c>
      <c r="AD29" s="602">
        <f t="shared" si="52"/>
        <v>186.41308711359545</v>
      </c>
      <c r="AE29" s="604">
        <f t="shared" si="53"/>
        <v>190.22366965710793</v>
      </c>
      <c r="AF29" s="602">
        <f t="shared" si="54"/>
        <v>320619.73132068274</v>
      </c>
      <c r="AG29" s="602">
        <f>+[1]DailyApr!$AW28</f>
        <v>9907.4147170354536</v>
      </c>
      <c r="AH29" s="602">
        <f t="shared" si="55"/>
        <v>198.86420548043867</v>
      </c>
      <c r="AI29" s="605">
        <f t="shared" si="56"/>
        <v>202.92930885738915</v>
      </c>
      <c r="AJ29" s="602">
        <f t="shared" si="57"/>
        <v>41627.200000000012</v>
      </c>
      <c r="AK29" s="602">
        <f>+[1]DailyApr!$AX28</f>
        <v>1703.2000000000116</v>
      </c>
      <c r="AL29" s="602">
        <f t="shared" si="58"/>
        <v>34.187073464472341</v>
      </c>
      <c r="AM29" s="605">
        <f t="shared" si="59"/>
        <v>34.88591208881266</v>
      </c>
      <c r="AN29" s="602">
        <f t="shared" si="60"/>
        <v>44440.814717034766</v>
      </c>
      <c r="AO29" s="606">
        <f t="shared" si="61"/>
        <v>892.02759367793601</v>
      </c>
      <c r="AP29" s="607">
        <f t="shared" si="62"/>
        <v>910.26206867876704</v>
      </c>
      <c r="AQ29" s="308">
        <f>+[1]DailyApr!BS28</f>
        <v>0</v>
      </c>
      <c r="AR29" s="608">
        <f t="shared" si="63"/>
        <v>0</v>
      </c>
      <c r="AS29" s="607">
        <f t="shared" si="64"/>
        <v>0</v>
      </c>
    </row>
    <row r="30" spans="1:50">
      <c r="A30" s="600">
        <f t="shared" si="12"/>
        <v>46135</v>
      </c>
      <c r="B30" s="601">
        <f>+Report1!P31</f>
        <v>51.642000000000003</v>
      </c>
      <c r="C30" s="601">
        <f>+Report1!R31</f>
        <v>47.997</v>
      </c>
      <c r="D30" s="602">
        <f t="shared" si="33"/>
        <v>0</v>
      </c>
      <c r="E30" s="602"/>
      <c r="F30" s="603">
        <f t="shared" si="34"/>
        <v>0</v>
      </c>
      <c r="G30" s="603">
        <f t="shared" si="35"/>
        <v>0</v>
      </c>
      <c r="H30" s="602">
        <f t="shared" si="36"/>
        <v>0</v>
      </c>
      <c r="I30" s="602"/>
      <c r="J30" s="603">
        <f t="shared" si="37"/>
        <v>0</v>
      </c>
      <c r="K30" s="603">
        <f t="shared" si="38"/>
        <v>0</v>
      </c>
      <c r="L30" s="602">
        <f t="shared" si="39"/>
        <v>0</v>
      </c>
      <c r="M30" s="602"/>
      <c r="N30" s="603">
        <f t="shared" si="40"/>
        <v>0</v>
      </c>
      <c r="O30" s="603">
        <f t="shared" si="41"/>
        <v>0</v>
      </c>
      <c r="P30" s="602">
        <f t="shared" si="42"/>
        <v>0</v>
      </c>
      <c r="Q30" s="602"/>
      <c r="R30" s="603">
        <f t="shared" si="43"/>
        <v>0</v>
      </c>
      <c r="S30" s="603">
        <f t="shared" si="44"/>
        <v>0</v>
      </c>
      <c r="T30" s="602">
        <f t="shared" si="45"/>
        <v>140178.59999999971</v>
      </c>
      <c r="U30" s="602">
        <f>+[1]DailyApr!$AT29</f>
        <v>4972.220000000555</v>
      </c>
      <c r="V30" s="603">
        <f t="shared" si="46"/>
        <v>96.282483250078513</v>
      </c>
      <c r="W30" s="603">
        <f t="shared" si="47"/>
        <v>103.59439131613549</v>
      </c>
      <c r="X30" s="602">
        <f t="shared" si="48"/>
        <v>326690.00000000047</v>
      </c>
      <c r="Y30" s="602">
        <f>+[1]DailyApr!$AU29</f>
        <v>18159.999999999854</v>
      </c>
      <c r="Z30" s="602">
        <f t="shared" si="49"/>
        <v>351.65175632237043</v>
      </c>
      <c r="AA30" s="602">
        <f t="shared" si="50"/>
        <v>378.35698064462059</v>
      </c>
      <c r="AB30" s="602">
        <f t="shared" si="51"/>
        <v>227707.60000000027</v>
      </c>
      <c r="AC30" s="602">
        <f>+[1]DailyApr!$AV29</f>
        <v>9630.2200000006833</v>
      </c>
      <c r="AD30" s="602">
        <f t="shared" si="52"/>
        <v>186.48038418342981</v>
      </c>
      <c r="AE30" s="604">
        <f t="shared" si="53"/>
        <v>200.64212346606419</v>
      </c>
      <c r="AF30" s="602">
        <f t="shared" si="54"/>
        <v>330710.76279672165</v>
      </c>
      <c r="AG30" s="602">
        <f>+[1]DailyApr!$AW29</f>
        <v>10091.031476038936</v>
      </c>
      <c r="AH30" s="602">
        <f t="shared" si="55"/>
        <v>195.403576082238</v>
      </c>
      <c r="AI30" s="605">
        <f t="shared" si="56"/>
        <v>210.24296260264049</v>
      </c>
      <c r="AJ30" s="602">
        <f t="shared" si="57"/>
        <v>43358.200000000012</v>
      </c>
      <c r="AK30" s="602">
        <f>+[1]DailyApr!$AX29</f>
        <v>1731</v>
      </c>
      <c r="AL30" s="602">
        <f t="shared" si="58"/>
        <v>33.519228534913438</v>
      </c>
      <c r="AM30" s="605">
        <f t="shared" si="59"/>
        <v>36.064754047127948</v>
      </c>
      <c r="AN30" s="602">
        <f t="shared" si="60"/>
        <v>44584.471476040031</v>
      </c>
      <c r="AO30" s="606">
        <f t="shared" si="61"/>
        <v>863.33742837303021</v>
      </c>
      <c r="AP30" s="607">
        <f t="shared" si="62"/>
        <v>928.90121207658876</v>
      </c>
      <c r="AQ30" s="308">
        <f>+[1]DailyApr!BS29</f>
        <v>0</v>
      </c>
      <c r="AR30" s="608">
        <f t="shared" si="63"/>
        <v>0</v>
      </c>
      <c r="AS30" s="607">
        <f t="shared" si="64"/>
        <v>0</v>
      </c>
    </row>
    <row r="31" spans="1:50">
      <c r="A31" s="600">
        <f t="shared" si="12"/>
        <v>46136</v>
      </c>
      <c r="B31" s="601">
        <f>+Report1!P32</f>
        <v>49.257999999999996</v>
      </c>
      <c r="C31" s="601">
        <f>+Report1!R32</f>
        <v>53.771000000000001</v>
      </c>
      <c r="D31" s="602">
        <f t="shared" si="33"/>
        <v>0</v>
      </c>
      <c r="E31" s="602"/>
      <c r="F31" s="603">
        <f t="shared" si="34"/>
        <v>0</v>
      </c>
      <c r="G31" s="603">
        <f t="shared" si="35"/>
        <v>0</v>
      </c>
      <c r="H31" s="602">
        <f t="shared" si="36"/>
        <v>0</v>
      </c>
      <c r="I31" s="602"/>
      <c r="J31" s="603">
        <f t="shared" si="37"/>
        <v>0</v>
      </c>
      <c r="K31" s="603">
        <f t="shared" si="38"/>
        <v>0</v>
      </c>
      <c r="L31" s="602">
        <f t="shared" si="39"/>
        <v>0</v>
      </c>
      <c r="M31" s="602"/>
      <c r="N31" s="603">
        <f t="shared" si="40"/>
        <v>0</v>
      </c>
      <c r="O31" s="603">
        <f t="shared" si="41"/>
        <v>0</v>
      </c>
      <c r="P31" s="602">
        <f t="shared" si="42"/>
        <v>0</v>
      </c>
      <c r="Q31" s="602"/>
      <c r="R31" s="603">
        <f t="shared" si="43"/>
        <v>0</v>
      </c>
      <c r="S31" s="603">
        <f t="shared" si="44"/>
        <v>0</v>
      </c>
      <c r="T31" s="602">
        <f t="shared" si="45"/>
        <v>145692.40999999928</v>
      </c>
      <c r="U31" s="602">
        <f>+[1]DailyApr!$AT30</f>
        <v>5513.8099999995684</v>
      </c>
      <c r="V31" s="603">
        <f t="shared" si="46"/>
        <v>111.93735027811866</v>
      </c>
      <c r="W31" s="603">
        <f t="shared" si="47"/>
        <v>102.54244853172841</v>
      </c>
      <c r="X31" s="602">
        <f t="shared" si="48"/>
        <v>345200.0000000007</v>
      </c>
      <c r="Y31" s="602">
        <f>+[1]DailyApr!$AU30</f>
        <v>18510.000000000218</v>
      </c>
      <c r="Z31" s="602">
        <f t="shared" si="49"/>
        <v>375.77652361038247</v>
      </c>
      <c r="AA31" s="602">
        <f t="shared" si="50"/>
        <v>344.23760019341688</v>
      </c>
      <c r="AB31" s="602">
        <f t="shared" si="51"/>
        <v>237966.40999999963</v>
      </c>
      <c r="AC31" s="602">
        <f>+[1]DailyApr!$AV30</f>
        <v>10258.809999999345</v>
      </c>
      <c r="AD31" s="602">
        <f t="shared" si="52"/>
        <v>208.26688050670643</v>
      </c>
      <c r="AE31" s="604">
        <f t="shared" si="53"/>
        <v>190.78704134197514</v>
      </c>
      <c r="AF31" s="602">
        <f t="shared" si="54"/>
        <v>341093.70098445076</v>
      </c>
      <c r="AG31" s="602">
        <f>+[1]DailyApr!$AW30</f>
        <v>10382.938187729129</v>
      </c>
      <c r="AH31" s="602">
        <f t="shared" si="55"/>
        <v>210.78684046711459</v>
      </c>
      <c r="AI31" s="605">
        <f t="shared" si="56"/>
        <v>193.09550106431215</v>
      </c>
      <c r="AJ31" s="602">
        <f t="shared" si="57"/>
        <v>45243</v>
      </c>
      <c r="AK31" s="602">
        <f>+[1]DailyApr!$AX30</f>
        <v>1884.7999999999884</v>
      </c>
      <c r="AL31" s="602">
        <f t="shared" si="58"/>
        <v>38.263835316090557</v>
      </c>
      <c r="AM31" s="605">
        <f t="shared" si="59"/>
        <v>35.052351639359287</v>
      </c>
      <c r="AN31" s="602">
        <f t="shared" si="60"/>
        <v>46550.358187728249</v>
      </c>
      <c r="AO31" s="606">
        <f t="shared" si="61"/>
        <v>945.03143017841273</v>
      </c>
      <c r="AP31" s="607">
        <f t="shared" si="62"/>
        <v>865.71494277079182</v>
      </c>
      <c r="AQ31" s="308">
        <f>+[1]DailyApr!BS30</f>
        <v>0</v>
      </c>
      <c r="AR31" s="608">
        <f t="shared" si="63"/>
        <v>0</v>
      </c>
      <c r="AS31" s="607">
        <f t="shared" si="64"/>
        <v>0</v>
      </c>
    </row>
    <row r="32" spans="1:50">
      <c r="A32" s="600">
        <f t="shared" si="12"/>
        <v>46137</v>
      </c>
      <c r="B32" s="601">
        <f>+Report1!P33</f>
        <v>48.978000000000002</v>
      </c>
      <c r="C32" s="601">
        <f>+Report1!R33</f>
        <v>43.970999999999997</v>
      </c>
      <c r="D32" s="602">
        <f t="shared" si="33"/>
        <v>0</v>
      </c>
      <c r="E32" s="602"/>
      <c r="F32" s="603">
        <f t="shared" si="34"/>
        <v>0</v>
      </c>
      <c r="G32" s="603">
        <f t="shared" si="35"/>
        <v>0</v>
      </c>
      <c r="H32" s="602">
        <f t="shared" si="36"/>
        <v>0</v>
      </c>
      <c r="I32" s="602"/>
      <c r="J32" s="603">
        <f t="shared" si="37"/>
        <v>0</v>
      </c>
      <c r="K32" s="603">
        <f t="shared" si="38"/>
        <v>0</v>
      </c>
      <c r="L32" s="602">
        <f t="shared" si="39"/>
        <v>0</v>
      </c>
      <c r="M32" s="602"/>
      <c r="N32" s="603">
        <f t="shared" si="40"/>
        <v>0</v>
      </c>
      <c r="O32" s="603">
        <f t="shared" si="41"/>
        <v>0</v>
      </c>
      <c r="P32" s="602">
        <f t="shared" si="42"/>
        <v>0</v>
      </c>
      <c r="Q32" s="602"/>
      <c r="R32" s="603">
        <f t="shared" si="43"/>
        <v>0</v>
      </c>
      <c r="S32" s="603">
        <f t="shared" si="44"/>
        <v>0</v>
      </c>
      <c r="T32" s="602">
        <f t="shared" si="45"/>
        <v>151546.10999999961</v>
      </c>
      <c r="U32" s="602">
        <f>+[1]DailyApr!$AT31</f>
        <v>5853.7000000003409</v>
      </c>
      <c r="V32" s="603">
        <f t="shared" si="46"/>
        <v>119.51692596676754</v>
      </c>
      <c r="W32" s="603">
        <f t="shared" si="47"/>
        <v>133.12637874963821</v>
      </c>
      <c r="X32" s="602">
        <f t="shared" si="48"/>
        <v>363280.00000000064</v>
      </c>
      <c r="Y32" s="602">
        <f>+[1]DailyApr!$AU31</f>
        <v>18079.999999999927</v>
      </c>
      <c r="Z32" s="602">
        <f t="shared" si="49"/>
        <v>369.14533055657495</v>
      </c>
      <c r="AA32" s="602">
        <f t="shared" si="50"/>
        <v>411.18009597234379</v>
      </c>
      <c r="AB32" s="602">
        <f t="shared" si="51"/>
        <v>248372.11000000022</v>
      </c>
      <c r="AC32" s="602">
        <f>+[1]DailyApr!$AV31</f>
        <v>10405.70000000059</v>
      </c>
      <c r="AD32" s="602">
        <f t="shared" si="52"/>
        <v>212.4566131732735</v>
      </c>
      <c r="AE32" s="604">
        <f t="shared" si="53"/>
        <v>236.64915512498217</v>
      </c>
      <c r="AF32" s="602">
        <f t="shared" si="54"/>
        <v>351904.81787691353</v>
      </c>
      <c r="AG32" s="602">
        <f>+[1]DailyApr!$AW31</f>
        <v>10811.116892462753</v>
      </c>
      <c r="AH32" s="602">
        <f t="shared" si="55"/>
        <v>220.73414374745298</v>
      </c>
      <c r="AI32" s="605">
        <f t="shared" si="56"/>
        <v>245.86925229043581</v>
      </c>
      <c r="AJ32" s="602">
        <f t="shared" si="57"/>
        <v>47236.299999999988</v>
      </c>
      <c r="AK32" s="602">
        <f>+[1]DailyApr!$AX31</f>
        <v>1993.2999999999884</v>
      </c>
      <c r="AL32" s="602">
        <f t="shared" si="58"/>
        <v>40.697864347257713</v>
      </c>
      <c r="AM32" s="605">
        <f t="shared" si="59"/>
        <v>45.332150735711913</v>
      </c>
      <c r="AN32" s="602">
        <f t="shared" si="60"/>
        <v>47143.816892463597</v>
      </c>
      <c r="AO32" s="606">
        <f t="shared" si="61"/>
        <v>962.55087779132668</v>
      </c>
      <c r="AP32" s="607">
        <f t="shared" si="62"/>
        <v>1072.1570328731118</v>
      </c>
      <c r="AQ32" s="308">
        <f>+[1]DailyApr!BS31</f>
        <v>0</v>
      </c>
      <c r="AR32" s="608">
        <f t="shared" si="63"/>
        <v>0</v>
      </c>
      <c r="AS32" s="607">
        <f t="shared" si="64"/>
        <v>0</v>
      </c>
    </row>
    <row r="33" spans="1:45">
      <c r="A33" s="600">
        <f t="shared" si="12"/>
        <v>46138</v>
      </c>
      <c r="B33" s="601">
        <f>+Report1!P34</f>
        <v>51.676000000000002</v>
      </c>
      <c r="C33" s="601">
        <f>+Report1!R34</f>
        <v>45.142000000000003</v>
      </c>
      <c r="D33" s="602">
        <f t="shared" si="33"/>
        <v>0</v>
      </c>
      <c r="E33" s="602"/>
      <c r="F33" s="603">
        <f t="shared" si="34"/>
        <v>0</v>
      </c>
      <c r="G33" s="603">
        <f t="shared" si="35"/>
        <v>0</v>
      </c>
      <c r="H33" s="602">
        <f t="shared" si="36"/>
        <v>0</v>
      </c>
      <c r="I33" s="602"/>
      <c r="J33" s="603">
        <f t="shared" si="37"/>
        <v>0</v>
      </c>
      <c r="K33" s="603">
        <f t="shared" si="38"/>
        <v>0</v>
      </c>
      <c r="L33" s="602">
        <f t="shared" si="39"/>
        <v>0</v>
      </c>
      <c r="M33" s="602"/>
      <c r="N33" s="603">
        <f t="shared" si="40"/>
        <v>0</v>
      </c>
      <c r="O33" s="603">
        <f t="shared" si="41"/>
        <v>0</v>
      </c>
      <c r="P33" s="602">
        <f t="shared" si="42"/>
        <v>0</v>
      </c>
      <c r="Q33" s="602"/>
      <c r="R33" s="603">
        <f t="shared" si="43"/>
        <v>0</v>
      </c>
      <c r="S33" s="603">
        <f t="shared" si="44"/>
        <v>0</v>
      </c>
      <c r="T33" s="602">
        <f t="shared" si="45"/>
        <v>157895.7199999998</v>
      </c>
      <c r="U33" s="602">
        <f>+[1]DailyApr!$AT32</f>
        <v>6349.6100000001907</v>
      </c>
      <c r="V33" s="603">
        <f t="shared" si="46"/>
        <v>122.87348091957951</v>
      </c>
      <c r="W33" s="603">
        <f t="shared" si="47"/>
        <v>140.65858845421536</v>
      </c>
      <c r="X33" s="602">
        <f t="shared" si="48"/>
        <v>381850.00000000035</v>
      </c>
      <c r="Y33" s="602">
        <f>+[1]DailyApr!$AU32</f>
        <v>18569.999999999709</v>
      </c>
      <c r="Z33" s="602">
        <f t="shared" si="49"/>
        <v>359.35443919807472</v>
      </c>
      <c r="AA33" s="602">
        <f t="shared" si="50"/>
        <v>411.3685702893028</v>
      </c>
      <c r="AB33" s="602">
        <f t="shared" si="51"/>
        <v>259107.71999999968</v>
      </c>
      <c r="AC33" s="602">
        <f>+[1]DailyApr!$AV32</f>
        <v>10735.609999999477</v>
      </c>
      <c r="AD33" s="602">
        <f t="shared" si="52"/>
        <v>207.74847124389419</v>
      </c>
      <c r="AE33" s="604">
        <f t="shared" si="53"/>
        <v>237.818661113807</v>
      </c>
      <c r="AF33" s="602">
        <f t="shared" si="54"/>
        <v>363347.53598631168</v>
      </c>
      <c r="AG33" s="602">
        <f>+[1]DailyApr!$AW32</f>
        <v>11442.718109398125</v>
      </c>
      <c r="AH33" s="602">
        <f t="shared" si="55"/>
        <v>221.43196279507168</v>
      </c>
      <c r="AI33" s="605">
        <f t="shared" si="56"/>
        <v>253.48274576665023</v>
      </c>
      <c r="AJ33" s="602">
        <f t="shared" si="57"/>
        <v>49117.200000000012</v>
      </c>
      <c r="AK33" s="602">
        <f>+[1]DailyApr!$AX32</f>
        <v>1880.9000000000233</v>
      </c>
      <c r="AL33" s="602">
        <f t="shared" si="58"/>
        <v>36.397941017107037</v>
      </c>
      <c r="AM33" s="605">
        <f t="shared" si="59"/>
        <v>41.666297461344719</v>
      </c>
      <c r="AN33" s="602">
        <f t="shared" si="60"/>
        <v>48978.838109397526</v>
      </c>
      <c r="AO33" s="606">
        <f t="shared" si="61"/>
        <v>947.80629517372711</v>
      </c>
      <c r="AP33" s="607">
        <f t="shared" si="62"/>
        <v>1084.99486308532</v>
      </c>
      <c r="AQ33" s="308">
        <f>+[1]DailyApr!BS32</f>
        <v>0</v>
      </c>
      <c r="AR33" s="608">
        <f t="shared" si="63"/>
        <v>0</v>
      </c>
      <c r="AS33" s="607">
        <f t="shared" si="64"/>
        <v>0</v>
      </c>
    </row>
    <row r="34" spans="1:45">
      <c r="A34" s="600">
        <f t="shared" si="12"/>
        <v>46139</v>
      </c>
      <c r="B34" s="601">
        <f>+Report1!P35</f>
        <v>43.106999999999999</v>
      </c>
      <c r="C34" s="601">
        <f>+Report1!R35</f>
        <v>50.276000000000003</v>
      </c>
      <c r="D34" s="602">
        <f t="shared" si="33"/>
        <v>0</v>
      </c>
      <c r="E34" s="602"/>
      <c r="F34" s="603">
        <f t="shared" si="34"/>
        <v>0</v>
      </c>
      <c r="G34" s="603">
        <f t="shared" si="35"/>
        <v>0</v>
      </c>
      <c r="H34" s="602">
        <f t="shared" si="36"/>
        <v>0</v>
      </c>
      <c r="I34" s="602"/>
      <c r="J34" s="603">
        <f t="shared" si="37"/>
        <v>0</v>
      </c>
      <c r="K34" s="603">
        <f t="shared" si="38"/>
        <v>0</v>
      </c>
      <c r="L34" s="602">
        <f t="shared" si="39"/>
        <v>0</v>
      </c>
      <c r="M34" s="602"/>
      <c r="N34" s="603">
        <f t="shared" si="40"/>
        <v>0</v>
      </c>
      <c r="O34" s="603">
        <f t="shared" si="41"/>
        <v>0</v>
      </c>
      <c r="P34" s="602">
        <f t="shared" si="42"/>
        <v>0</v>
      </c>
      <c r="Q34" s="602"/>
      <c r="R34" s="603">
        <f t="shared" si="43"/>
        <v>0</v>
      </c>
      <c r="S34" s="603">
        <f t="shared" si="44"/>
        <v>0</v>
      </c>
      <c r="T34" s="602">
        <f t="shared" si="45"/>
        <v>163301.56999999977</v>
      </c>
      <c r="U34" s="602">
        <f>+[1]DailyApr!$AT33</f>
        <v>5405.8499999999776</v>
      </c>
      <c r="V34" s="603">
        <f t="shared" si="46"/>
        <v>125.40538659614396</v>
      </c>
      <c r="W34" s="603">
        <f t="shared" si="47"/>
        <v>107.52347044315334</v>
      </c>
      <c r="X34" s="602">
        <f t="shared" si="48"/>
        <v>397850.00000000035</v>
      </c>
      <c r="Y34" s="602">
        <f>+[1]DailyApr!$AU33</f>
        <v>16000</v>
      </c>
      <c r="Z34" s="602">
        <f t="shared" si="49"/>
        <v>371.16941564015127</v>
      </c>
      <c r="AA34" s="602">
        <f t="shared" si="50"/>
        <v>318.24329700055688</v>
      </c>
      <c r="AB34" s="602">
        <f t="shared" si="51"/>
        <v>268013.57000000024</v>
      </c>
      <c r="AC34" s="602">
        <f>+[1]DailyApr!$AV33</f>
        <v>8905.8500000005461</v>
      </c>
      <c r="AD34" s="602">
        <f t="shared" si="52"/>
        <v>206.59869626744023</v>
      </c>
      <c r="AE34" s="604">
        <f t="shared" si="53"/>
        <v>177.13919166203647</v>
      </c>
      <c r="AF34" s="602">
        <f t="shared" si="54"/>
        <v>373062.66670356237</v>
      </c>
      <c r="AG34" s="602">
        <f>+[1]DailyApr!$AW33</f>
        <v>9715.1307172507004</v>
      </c>
      <c r="AH34" s="602">
        <f t="shared" si="55"/>
        <v>225.37246194935162</v>
      </c>
      <c r="AI34" s="605">
        <f t="shared" si="56"/>
        <v>193.23595189057801</v>
      </c>
      <c r="AJ34" s="602">
        <f t="shared" si="57"/>
        <v>51147.200000000012</v>
      </c>
      <c r="AK34" s="602">
        <f>+[1]DailyApr!$AX33</f>
        <v>2030</v>
      </c>
      <c r="AL34" s="602">
        <f t="shared" si="58"/>
        <v>47.092119609344188</v>
      </c>
      <c r="AM34" s="605">
        <f t="shared" si="59"/>
        <v>40.377118306945654</v>
      </c>
      <c r="AN34" s="602">
        <f t="shared" si="60"/>
        <v>42056.830717251221</v>
      </c>
      <c r="AO34" s="606">
        <f t="shared" si="61"/>
        <v>975.63808006243119</v>
      </c>
      <c r="AP34" s="607">
        <f t="shared" si="62"/>
        <v>836.51902930327037</v>
      </c>
      <c r="AQ34" s="308">
        <f>+[1]DailyApr!BS33</f>
        <v>0</v>
      </c>
      <c r="AR34" s="608">
        <f t="shared" si="63"/>
        <v>0</v>
      </c>
      <c r="AS34" s="607">
        <f t="shared" si="64"/>
        <v>0</v>
      </c>
    </row>
    <row r="35" spans="1:45">
      <c r="A35" s="600">
        <f t="shared" si="12"/>
        <v>46140</v>
      </c>
      <c r="B35" s="601">
        <f>+Report1!P36</f>
        <v>24.343</v>
      </c>
      <c r="C35" s="601">
        <f>+Report1!R36</f>
        <v>23.103999999999999</v>
      </c>
      <c r="D35" s="602">
        <f t="shared" si="33"/>
        <v>0</v>
      </c>
      <c r="E35" s="602"/>
      <c r="F35" s="603">
        <f t="shared" si="34"/>
        <v>0</v>
      </c>
      <c r="G35" s="603">
        <f t="shared" si="35"/>
        <v>0</v>
      </c>
      <c r="H35" s="602">
        <f t="shared" si="36"/>
        <v>0</v>
      </c>
      <c r="I35" s="602"/>
      <c r="J35" s="603">
        <f t="shared" si="37"/>
        <v>0</v>
      </c>
      <c r="K35" s="603">
        <f t="shared" si="38"/>
        <v>0</v>
      </c>
      <c r="L35" s="602">
        <f t="shared" si="39"/>
        <v>0</v>
      </c>
      <c r="M35" s="602"/>
      <c r="N35" s="603">
        <f t="shared" si="40"/>
        <v>0</v>
      </c>
      <c r="O35" s="603">
        <f t="shared" si="41"/>
        <v>0</v>
      </c>
      <c r="P35" s="602">
        <f t="shared" si="42"/>
        <v>0</v>
      </c>
      <c r="Q35" s="602"/>
      <c r="R35" s="603">
        <f t="shared" si="43"/>
        <v>0</v>
      </c>
      <c r="S35" s="603">
        <f t="shared" si="44"/>
        <v>0</v>
      </c>
      <c r="T35" s="602">
        <f t="shared" si="45"/>
        <v>167318.62999999974</v>
      </c>
      <c r="U35" s="602">
        <f>+[1]DailyApr!$AT34</f>
        <v>4017.0599999999777</v>
      </c>
      <c r="V35" s="603">
        <f t="shared" si="46"/>
        <v>165.01910200057421</v>
      </c>
      <c r="W35" s="603">
        <f t="shared" si="47"/>
        <v>173.86859418282452</v>
      </c>
      <c r="X35" s="602">
        <f t="shared" si="48"/>
        <v>405850.00000000035</v>
      </c>
      <c r="Y35" s="602">
        <f>+[1]DailyApr!$AU34</f>
        <v>8000</v>
      </c>
      <c r="Z35" s="602">
        <f t="shared" si="49"/>
        <v>328.63656903421929</v>
      </c>
      <c r="AA35" s="602">
        <f t="shared" si="50"/>
        <v>346.26038781163436</v>
      </c>
      <c r="AB35" s="602">
        <f t="shared" si="51"/>
        <v>273930.62999999954</v>
      </c>
      <c r="AC35" s="602">
        <f>+[1]DailyApr!$AV34</f>
        <v>5917.0599999992728</v>
      </c>
      <c r="AD35" s="602">
        <f t="shared" si="52"/>
        <v>243.07028714617232</v>
      </c>
      <c r="AE35" s="604">
        <f t="shared" si="53"/>
        <v>256.10543628805715</v>
      </c>
      <c r="AF35" s="602">
        <f t="shared" si="54"/>
        <v>379243.19502738089</v>
      </c>
      <c r="AG35" s="602">
        <f>+[1]DailyApr!$AW34</f>
        <v>6180.5283238185411</v>
      </c>
      <c r="AH35" s="602">
        <f t="shared" si="55"/>
        <v>253.89345289481744</v>
      </c>
      <c r="AI35" s="605">
        <f t="shared" si="56"/>
        <v>267.5090167857748</v>
      </c>
      <c r="AJ35" s="602">
        <f t="shared" si="57"/>
        <v>52567.200000000012</v>
      </c>
      <c r="AK35" s="602">
        <f>+[1]DailyApr!$AX34</f>
        <v>1420</v>
      </c>
      <c r="AL35" s="602">
        <f t="shared" si="58"/>
        <v>58.332991003573923</v>
      </c>
      <c r="AM35" s="605">
        <f t="shared" si="59"/>
        <v>61.461218836565102</v>
      </c>
      <c r="AN35" s="602">
        <f t="shared" si="60"/>
        <v>25534.64832381779</v>
      </c>
      <c r="AO35" s="606">
        <f t="shared" si="61"/>
        <v>1048.9524020793572</v>
      </c>
      <c r="AP35" s="607">
        <f t="shared" si="62"/>
        <v>1105.2046539048558</v>
      </c>
      <c r="AQ35" s="308">
        <f>+[1]DailyApr!BS34</f>
        <v>0</v>
      </c>
      <c r="AR35" s="608">
        <f t="shared" si="63"/>
        <v>0</v>
      </c>
      <c r="AS35" s="607">
        <f t="shared" si="64"/>
        <v>0</v>
      </c>
    </row>
    <row r="36" spans="1:45">
      <c r="A36" s="600">
        <f t="shared" si="12"/>
        <v>46141</v>
      </c>
      <c r="B36" s="601">
        <f>+Report1!P37</f>
        <v>45.942999999999998</v>
      </c>
      <c r="C36" s="601">
        <f>+Report1!R37</f>
        <v>40.548000000000002</v>
      </c>
      <c r="D36" s="602">
        <f t="shared" si="33"/>
        <v>0</v>
      </c>
      <c r="E36" s="602"/>
      <c r="F36" s="603">
        <f t="shared" si="34"/>
        <v>0</v>
      </c>
      <c r="G36" s="603">
        <f t="shared" si="35"/>
        <v>0</v>
      </c>
      <c r="H36" s="602">
        <f t="shared" si="36"/>
        <v>0</v>
      </c>
      <c r="I36" s="602"/>
      <c r="J36" s="603">
        <f t="shared" si="37"/>
        <v>0</v>
      </c>
      <c r="K36" s="603">
        <f t="shared" si="38"/>
        <v>0</v>
      </c>
      <c r="L36" s="602">
        <f t="shared" si="39"/>
        <v>0</v>
      </c>
      <c r="M36" s="602"/>
      <c r="N36" s="603">
        <f t="shared" si="40"/>
        <v>0</v>
      </c>
      <c r="O36" s="603">
        <f t="shared" si="41"/>
        <v>0</v>
      </c>
      <c r="P36" s="602">
        <f t="shared" si="42"/>
        <v>0</v>
      </c>
      <c r="Q36" s="602"/>
      <c r="R36" s="603">
        <f t="shared" si="43"/>
        <v>0</v>
      </c>
      <c r="S36" s="603">
        <f t="shared" si="44"/>
        <v>0</v>
      </c>
      <c r="T36" s="602">
        <f t="shared" si="45"/>
        <v>173492.4999999998</v>
      </c>
      <c r="U36" s="602">
        <f>+[1]DailyApr!$AT35</f>
        <v>6173.8700000000454</v>
      </c>
      <c r="V36" s="603">
        <f t="shared" si="46"/>
        <v>134.38108090460017</v>
      </c>
      <c r="W36" s="603">
        <f t="shared" si="47"/>
        <v>152.26077735030199</v>
      </c>
      <c r="X36" s="602">
        <f t="shared" si="48"/>
        <v>417850.00000000035</v>
      </c>
      <c r="Y36" s="602">
        <f>+[1]DailyApr!$AU35</f>
        <v>12000</v>
      </c>
      <c r="Z36" s="602">
        <f t="shared" si="49"/>
        <v>261.19321768278087</v>
      </c>
      <c r="AA36" s="602">
        <f t="shared" si="50"/>
        <v>295.9455460195324</v>
      </c>
      <c r="AB36" s="602">
        <f t="shared" si="51"/>
        <v>282554.50000000006</v>
      </c>
      <c r="AC36" s="602">
        <f>+[1]DailyApr!$AV35</f>
        <v>8623.8700000005465</v>
      </c>
      <c r="AD36" s="602">
        <f t="shared" si="52"/>
        <v>187.70802951484549</v>
      </c>
      <c r="AE36" s="604">
        <f t="shared" si="53"/>
        <v>212.68299299596887</v>
      </c>
      <c r="AF36" s="602">
        <f t="shared" si="54"/>
        <v>390136.06328486337</v>
      </c>
      <c r="AG36" s="602">
        <f>+[1]DailyApr!$AW35</f>
        <v>10892.868257482474</v>
      </c>
      <c r="AH36" s="602">
        <f t="shared" si="55"/>
        <v>237.09527583053946</v>
      </c>
      <c r="AI36" s="605">
        <f t="shared" si="56"/>
        <v>268.64132034829026</v>
      </c>
      <c r="AJ36" s="602">
        <f t="shared" si="57"/>
        <v>54327.200000000012</v>
      </c>
      <c r="AK36" s="602">
        <f>+[1]DailyApr!$AX35</f>
        <v>1760</v>
      </c>
      <c r="AL36" s="602">
        <f t="shared" si="58"/>
        <v>38.308338593474524</v>
      </c>
      <c r="AM36" s="605">
        <f t="shared" si="59"/>
        <v>43.405346749531418</v>
      </c>
      <c r="AN36" s="602">
        <f t="shared" si="60"/>
        <v>39450.608257483065</v>
      </c>
      <c r="AO36" s="606">
        <f t="shared" si="61"/>
        <v>858.68594252624052</v>
      </c>
      <c r="AP36" s="607">
        <f t="shared" si="62"/>
        <v>972.93598346362489</v>
      </c>
      <c r="AQ36" s="308">
        <f>+[1]DailyApr!BS35</f>
        <v>0</v>
      </c>
      <c r="AR36" s="608">
        <f t="shared" si="63"/>
        <v>0</v>
      </c>
      <c r="AS36" s="607">
        <f t="shared" si="64"/>
        <v>0</v>
      </c>
    </row>
    <row r="37" spans="1:45">
      <c r="A37" s="600">
        <f t="shared" si="12"/>
        <v>46142</v>
      </c>
      <c r="B37" s="601">
        <f>+Report1!P38</f>
        <v>44.423000000000002</v>
      </c>
      <c r="C37" s="601">
        <f>+Report1!R38</f>
        <v>39.274999999999999</v>
      </c>
      <c r="D37" s="602">
        <f t="shared" si="33"/>
        <v>0</v>
      </c>
      <c r="E37" s="602"/>
      <c r="F37" s="603">
        <f t="shared" si="34"/>
        <v>0</v>
      </c>
      <c r="G37" s="603">
        <f t="shared" si="35"/>
        <v>0</v>
      </c>
      <c r="H37" s="602">
        <f t="shared" si="36"/>
        <v>0</v>
      </c>
      <c r="I37" s="602"/>
      <c r="J37" s="603">
        <f t="shared" si="37"/>
        <v>0</v>
      </c>
      <c r="K37" s="603">
        <f t="shared" si="38"/>
        <v>0</v>
      </c>
      <c r="L37" s="602">
        <f t="shared" si="39"/>
        <v>0</v>
      </c>
      <c r="M37" s="602"/>
      <c r="N37" s="603">
        <f t="shared" si="40"/>
        <v>0</v>
      </c>
      <c r="O37" s="603">
        <f t="shared" si="41"/>
        <v>0</v>
      </c>
      <c r="P37" s="602">
        <f t="shared" si="42"/>
        <v>0</v>
      </c>
      <c r="Q37" s="602"/>
      <c r="R37" s="603">
        <f t="shared" si="43"/>
        <v>0</v>
      </c>
      <c r="S37" s="603">
        <f t="shared" si="44"/>
        <v>0</v>
      </c>
      <c r="T37" s="602">
        <f t="shared" si="45"/>
        <v>180555.58999999985</v>
      </c>
      <c r="U37" s="602">
        <f>+[1]DailyApr!$AT36</f>
        <v>7063.0900000000456</v>
      </c>
      <c r="V37" s="603">
        <f t="shared" si="46"/>
        <v>158.99624068613207</v>
      </c>
      <c r="W37" s="603">
        <f t="shared" si="47"/>
        <v>179.83679185232452</v>
      </c>
      <c r="X37" s="602">
        <f t="shared" si="48"/>
        <v>430850.00000000035</v>
      </c>
      <c r="Y37" s="602">
        <f>+[1]DailyApr!$AU36</f>
        <v>13000</v>
      </c>
      <c r="Z37" s="602">
        <f t="shared" si="49"/>
        <v>292.64119937870021</v>
      </c>
      <c r="AA37" s="602">
        <f t="shared" si="50"/>
        <v>330.99936346276257</v>
      </c>
      <c r="AB37" s="602">
        <f t="shared" si="51"/>
        <v>291467.59000000026</v>
      </c>
      <c r="AC37" s="602">
        <f>+[1]DailyApr!$AV36</f>
        <v>8913.090000000182</v>
      </c>
      <c r="AD37" s="602">
        <f t="shared" si="52"/>
        <v>200.64133444387326</v>
      </c>
      <c r="AE37" s="604">
        <f t="shared" si="53"/>
        <v>226.94054742202883</v>
      </c>
      <c r="AF37" s="602">
        <f t="shared" si="54"/>
        <v>402080.16718972783</v>
      </c>
      <c r="AG37" s="602">
        <f>+[1]DailyApr!$AW36</f>
        <v>11944.103904864432</v>
      </c>
      <c r="AH37" s="602">
        <f t="shared" si="55"/>
        <v>268.87206863256495</v>
      </c>
      <c r="AI37" s="605">
        <f t="shared" si="56"/>
        <v>304.11467612640183</v>
      </c>
      <c r="AJ37" s="602">
        <f t="shared" si="57"/>
        <v>55487.200000000012</v>
      </c>
      <c r="AK37" s="602">
        <f>+[1]DailyApr!$AX36</f>
        <v>1160</v>
      </c>
      <c r="AL37" s="602">
        <f t="shared" si="58"/>
        <v>26.112599329176327</v>
      </c>
      <c r="AM37" s="605">
        <f t="shared" si="59"/>
        <v>29.535327816677277</v>
      </c>
      <c r="AN37" s="602">
        <f t="shared" si="60"/>
        <v>42080.283904864664</v>
      </c>
      <c r="AO37" s="606">
        <f t="shared" si="61"/>
        <v>947.26344247044688</v>
      </c>
      <c r="AP37" s="607">
        <f t="shared" si="62"/>
        <v>1071.4267066801951</v>
      </c>
      <c r="AQ37" s="308">
        <f>+[1]DailyApr!BS36</f>
        <v>0</v>
      </c>
      <c r="AR37" s="608">
        <f t="shared" si="63"/>
        <v>0</v>
      </c>
      <c r="AS37" s="607">
        <f t="shared" si="64"/>
        <v>0</v>
      </c>
    </row>
    <row r="38" spans="1:45">
      <c r="A38" s="600"/>
      <c r="B38" s="601"/>
      <c r="C38" s="601"/>
      <c r="D38" s="602"/>
      <c r="E38" s="602"/>
      <c r="F38" s="603"/>
      <c r="G38" s="603"/>
      <c r="H38" s="602"/>
      <c r="I38" s="602"/>
      <c r="J38" s="603"/>
      <c r="K38" s="603"/>
      <c r="L38" s="602"/>
      <c r="M38" s="602"/>
      <c r="N38" s="603"/>
      <c r="O38" s="603"/>
      <c r="P38" s="602"/>
      <c r="Q38" s="602"/>
      <c r="R38" s="603"/>
      <c r="S38" s="603"/>
      <c r="T38" s="602"/>
      <c r="U38" s="602"/>
      <c r="V38" s="603"/>
      <c r="W38" s="603"/>
      <c r="X38" s="602"/>
      <c r="Y38" s="602"/>
      <c r="Z38" s="602"/>
      <c r="AA38" s="602"/>
      <c r="AB38" s="602"/>
      <c r="AC38" s="602"/>
      <c r="AD38" s="602"/>
      <c r="AE38" s="604"/>
      <c r="AF38" s="602"/>
      <c r="AG38" s="602"/>
      <c r="AH38" s="602"/>
      <c r="AI38" s="605"/>
      <c r="AJ38" s="602"/>
      <c r="AK38" s="602"/>
      <c r="AL38" s="602"/>
      <c r="AM38" s="605"/>
      <c r="AN38" s="602"/>
      <c r="AO38" s="606"/>
      <c r="AP38" s="607"/>
      <c r="AQ38" s="308"/>
      <c r="AR38" s="608"/>
      <c r="AS38" s="607"/>
    </row>
    <row r="39" spans="1:45">
      <c r="A39" s="299"/>
      <c r="B39" s="307"/>
      <c r="C39" s="307"/>
      <c r="D39" s="290"/>
      <c r="E39" s="301"/>
      <c r="F39" s="302"/>
      <c r="G39" s="302"/>
      <c r="H39" s="294"/>
      <c r="I39" s="296"/>
      <c r="J39" s="302"/>
      <c r="K39" s="302"/>
      <c r="L39" s="296"/>
      <c r="M39" s="301"/>
      <c r="N39" s="302"/>
      <c r="O39" s="302"/>
      <c r="P39" s="297"/>
      <c r="Q39" s="301"/>
      <c r="R39" s="303"/>
      <c r="S39" s="303"/>
      <c r="T39" s="298"/>
      <c r="U39" s="308"/>
      <c r="V39" s="302"/>
      <c r="W39" s="302"/>
      <c r="X39" s="308"/>
      <c r="Y39" s="308"/>
      <c r="Z39" s="308"/>
      <c r="AA39" s="308"/>
      <c r="AB39" s="308"/>
      <c r="AC39" s="308"/>
      <c r="AD39" s="308"/>
      <c r="AE39" s="308"/>
      <c r="AF39" s="308"/>
      <c r="AG39" s="308"/>
      <c r="AH39" s="308"/>
      <c r="AI39" s="308"/>
      <c r="AJ39" s="308"/>
      <c r="AK39" s="308"/>
      <c r="AL39" s="308"/>
      <c r="AM39" s="308"/>
      <c r="AN39" s="304"/>
      <c r="AO39" s="305"/>
      <c r="AP39" s="306"/>
      <c r="AQ39" s="304"/>
      <c r="AR39" s="305"/>
      <c r="AS39" s="306"/>
    </row>
    <row r="40" spans="1:45">
      <c r="A40" s="309" t="s">
        <v>27</v>
      </c>
      <c r="B40" s="310">
        <f>SUM(B8:B38)</f>
        <v>1443.3009999999997</v>
      </c>
      <c r="C40" s="310">
        <f>SUM(C8:C38)</f>
        <v>1378.1910000000005</v>
      </c>
      <c r="D40" s="304"/>
      <c r="E40" s="310">
        <f>SUM(E8:E38)</f>
        <v>0</v>
      </c>
      <c r="F40" s="311">
        <f>E40/B40</f>
        <v>0</v>
      </c>
      <c r="G40" s="311">
        <f>E40/C40</f>
        <v>0</v>
      </c>
      <c r="H40" s="312"/>
      <c r="I40" s="310">
        <f>SUM(I8:I38)</f>
        <v>0</v>
      </c>
      <c r="J40" s="311">
        <f>I40/B40</f>
        <v>0</v>
      </c>
      <c r="K40" s="311">
        <f>I40/C40</f>
        <v>0</v>
      </c>
      <c r="L40" s="313"/>
      <c r="M40" s="310">
        <f>SUM(M8:M38)</f>
        <v>0</v>
      </c>
      <c r="N40" s="311">
        <f>M40/B40</f>
        <v>0</v>
      </c>
      <c r="O40" s="311">
        <f>M40/C40</f>
        <v>0</v>
      </c>
      <c r="P40" s="314"/>
      <c r="Q40" s="310">
        <f>SUM(Q8:Q38)</f>
        <v>0</v>
      </c>
      <c r="R40" s="311">
        <f>Q40/B40</f>
        <v>0</v>
      </c>
      <c r="S40" s="311">
        <f>Q40/C40</f>
        <v>0</v>
      </c>
      <c r="T40" s="315"/>
      <c r="U40" s="308">
        <f>SUM(U8:U39)</f>
        <v>180555.58999999985</v>
      </c>
      <c r="V40" s="311">
        <f>U40/B40</f>
        <v>125.09905418204511</v>
      </c>
      <c r="W40" s="377">
        <f>U40/C40</f>
        <v>131.00911992604784</v>
      </c>
      <c r="X40" s="316"/>
      <c r="Y40" s="308">
        <f>SUM(Y8:Y39)</f>
        <v>430850.00000000035</v>
      </c>
      <c r="Z40" s="311">
        <f>Y40/B40</f>
        <v>298.51707994382355</v>
      </c>
      <c r="AA40" s="377">
        <f>Y40/C40</f>
        <v>312.61994890403452</v>
      </c>
      <c r="AB40" s="316"/>
      <c r="AC40" s="308">
        <f>SUM(AC8:AC39)</f>
        <v>291467.59000000026</v>
      </c>
      <c r="AD40" s="516">
        <f>AC40/B40</f>
        <v>201.94511747722777</v>
      </c>
      <c r="AE40" s="377">
        <f>AC40/C40</f>
        <v>211.48562862476982</v>
      </c>
      <c r="AF40" s="316"/>
      <c r="AG40" s="308">
        <f>SUM(AG8:AG39)</f>
        <v>402080.16718972783</v>
      </c>
      <c r="AH40" s="311">
        <f>AG40/B40</f>
        <v>278.58372383150009</v>
      </c>
      <c r="AI40" s="377">
        <f>AG40/C40</f>
        <v>291.74487947586925</v>
      </c>
      <c r="AJ40" s="316"/>
      <c r="AK40" s="308">
        <f>SUM(AK8:AK39)</f>
        <v>55487.200000000012</v>
      </c>
      <c r="AL40" s="311">
        <f>AK40/B40</f>
        <v>38.444648760029978</v>
      </c>
      <c r="AM40" s="377">
        <f>AK40/C40</f>
        <v>40.260892720965373</v>
      </c>
      <c r="AN40" s="308">
        <f>+E40+I40+M40+Q40+U40+Y40+AC40+AG40+AK40</f>
        <v>1360440.5471897281</v>
      </c>
      <c r="AO40" s="377">
        <f>AN40/B40</f>
        <v>942.58962419462637</v>
      </c>
      <c r="AP40" s="313">
        <f>AN40/C40</f>
        <v>987.12046965168668</v>
      </c>
      <c r="AQ40" s="308">
        <f>SUM(AQ8:AQ39)</f>
        <v>0</v>
      </c>
      <c r="AR40" s="377" t="e">
        <f>AQ40/E40</f>
        <v>#DIV/0!</v>
      </c>
      <c r="AS40" s="313" t="e">
        <f>AQ40/F40</f>
        <v>#DIV/0!</v>
      </c>
    </row>
    <row r="41" spans="1:45">
      <c r="T41" s="317"/>
    </row>
    <row r="42" spans="1:45">
      <c r="AN42" s="3">
        <f>+AN40-[1]DailyApr!$AY$38</f>
        <v>0</v>
      </c>
      <c r="AQ42" s="11">
        <f>+AQ40-[1]DailyApr!$BS$38</f>
        <v>0</v>
      </c>
    </row>
    <row r="43" spans="1:45">
      <c r="G43" s="318"/>
      <c r="H43" s="319"/>
    </row>
    <row r="44" spans="1:45">
      <c r="G44" s="318"/>
      <c r="I44" s="318"/>
      <c r="L44" s="318"/>
    </row>
    <row r="45" spans="1:45">
      <c r="E45" t="s">
        <v>0</v>
      </c>
      <c r="G45" s="318"/>
    </row>
  </sheetData>
  <mergeCells count="16">
    <mergeCell ref="AQ4:AS5"/>
    <mergeCell ref="A2:AN2"/>
    <mergeCell ref="D4:AM4"/>
    <mergeCell ref="AN4:AP5"/>
    <mergeCell ref="A4:A6"/>
    <mergeCell ref="B4:B6"/>
    <mergeCell ref="C4:C6"/>
    <mergeCell ref="D5:G5"/>
    <mergeCell ref="AB5:AE5"/>
    <mergeCell ref="AF5:AI5"/>
    <mergeCell ref="H5:K5"/>
    <mergeCell ref="L5:O5"/>
    <mergeCell ref="P5:S5"/>
    <mergeCell ref="T5:W5"/>
    <mergeCell ref="X5:AA5"/>
    <mergeCell ref="AJ5:AM5"/>
  </mergeCells>
  <phoneticPr fontId="31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opLeftCell="A74" workbookViewId="0">
      <selection activeCell="D92" sqref="D92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11">
      <c r="A1" s="517" t="s">
        <v>216</v>
      </c>
      <c r="B1" s="518">
        <f>+Report1!A9</f>
        <v>46113</v>
      </c>
      <c r="C1" s="92"/>
      <c r="G1" s="93"/>
      <c r="H1" s="94"/>
    </row>
    <row r="2" spans="1:11" ht="13.5" thickBot="1">
      <c r="A2" s="91"/>
      <c r="B2" s="92"/>
      <c r="C2" s="92"/>
      <c r="G2" s="93"/>
      <c r="H2" s="94"/>
    </row>
    <row r="3" spans="1:11" ht="26.25" thickBot="1">
      <c r="A3" s="376" t="s">
        <v>117</v>
      </c>
      <c r="B3" s="513" t="s">
        <v>8</v>
      </c>
      <c r="C3" s="513" t="s">
        <v>90</v>
      </c>
      <c r="D3" s="513" t="s">
        <v>118</v>
      </c>
      <c r="E3" s="513" t="s">
        <v>119</v>
      </c>
      <c r="F3" s="513" t="s">
        <v>120</v>
      </c>
      <c r="G3" s="514" t="s">
        <v>121</v>
      </c>
      <c r="H3" s="515" t="s">
        <v>122</v>
      </c>
      <c r="I3" s="560" t="s">
        <v>383</v>
      </c>
    </row>
    <row r="4" spans="1:11">
      <c r="A4" s="326">
        <f>+B1</f>
        <v>46113</v>
      </c>
      <c r="B4" s="572" t="s">
        <v>425</v>
      </c>
      <c r="C4" s="573">
        <v>2</v>
      </c>
      <c r="D4" s="574" t="s">
        <v>426</v>
      </c>
      <c r="E4" s="574">
        <f>140*2</f>
        <v>280</v>
      </c>
      <c r="F4" s="572">
        <v>40</v>
      </c>
      <c r="G4" s="575">
        <f>+E4*F4</f>
        <v>11200</v>
      </c>
      <c r="H4" s="576">
        <f>+(E4*F4+E5*F5)/(SUM(F4:F5))</f>
        <v>280</v>
      </c>
      <c r="I4" s="576">
        <f>+'1'!I38</f>
        <v>38.25</v>
      </c>
    </row>
    <row r="5" spans="1:11">
      <c r="A5" s="556"/>
      <c r="B5" s="511" t="s">
        <v>425</v>
      </c>
      <c r="C5" s="509">
        <v>2</v>
      </c>
      <c r="D5" s="510" t="s">
        <v>427</v>
      </c>
      <c r="E5" s="510">
        <f>70*4</f>
        <v>280</v>
      </c>
      <c r="F5" s="511">
        <v>8</v>
      </c>
      <c r="G5" s="512">
        <f>+E5*F5</f>
        <v>2240</v>
      </c>
      <c r="H5" s="475"/>
      <c r="I5" s="475"/>
    </row>
    <row r="6" spans="1:11" ht="13.5" thickBot="1">
      <c r="A6" s="577"/>
      <c r="B6" s="578"/>
      <c r="C6" s="579"/>
      <c r="D6" s="580"/>
      <c r="E6" s="580"/>
      <c r="F6" s="578"/>
      <c r="G6" s="581"/>
      <c r="H6" s="582"/>
      <c r="I6" s="582"/>
      <c r="K6" s="583">
        <f>SUM(I:I)</f>
        <v>1443.3009999999999</v>
      </c>
    </row>
    <row r="7" spans="1:11">
      <c r="A7" s="326">
        <v>46114</v>
      </c>
      <c r="B7" s="572" t="s">
        <v>425</v>
      </c>
      <c r="C7" s="573">
        <v>2</v>
      </c>
      <c r="D7" s="574" t="s">
        <v>426</v>
      </c>
      <c r="E7" s="574">
        <f>140*2</f>
        <v>280</v>
      </c>
      <c r="F7" s="572">
        <v>36</v>
      </c>
      <c r="G7" s="575">
        <f>+E7*F7</f>
        <v>10080</v>
      </c>
      <c r="H7" s="576">
        <f>+(E7*F7+E8*F8)/(SUM(F7:F8))</f>
        <v>280</v>
      </c>
      <c r="I7" s="576">
        <f>+'2'!I38</f>
        <v>52.483000000000004</v>
      </c>
      <c r="K7" s="583">
        <f>+K6-'31'!J38</f>
        <v>0</v>
      </c>
    </row>
    <row r="8" spans="1:11">
      <c r="A8" s="556"/>
      <c r="B8" s="511" t="s">
        <v>425</v>
      </c>
      <c r="C8" s="509">
        <v>2</v>
      </c>
      <c r="D8" s="510" t="s">
        <v>427</v>
      </c>
      <c r="E8" s="510">
        <f>70*4</f>
        <v>280</v>
      </c>
      <c r="F8" s="511">
        <v>31</v>
      </c>
      <c r="G8" s="512">
        <f>+E8*F8</f>
        <v>8680</v>
      </c>
      <c r="H8" s="475"/>
      <c r="I8" s="475"/>
    </row>
    <row r="9" spans="1:11" ht="13.5" thickBot="1">
      <c r="A9" s="577"/>
      <c r="B9" s="578"/>
      <c r="C9" s="579"/>
      <c r="D9" s="580"/>
      <c r="E9" s="580"/>
      <c r="F9" s="578"/>
      <c r="G9" s="581"/>
      <c r="H9" s="582"/>
      <c r="I9" s="582"/>
    </row>
    <row r="10" spans="1:11">
      <c r="A10" s="326">
        <v>46115</v>
      </c>
      <c r="B10" s="511" t="s">
        <v>425</v>
      </c>
      <c r="C10" s="509">
        <v>2</v>
      </c>
      <c r="D10" s="510" t="s">
        <v>427</v>
      </c>
      <c r="E10" s="510">
        <f>70*4</f>
        <v>280</v>
      </c>
      <c r="F10" s="511">
        <v>18</v>
      </c>
      <c r="G10" s="512">
        <f>+E10*F10</f>
        <v>5040</v>
      </c>
      <c r="H10" s="475">
        <f>+G10/F10</f>
        <v>280</v>
      </c>
      <c r="I10" s="475">
        <f>+'3'!N37</f>
        <v>3.226</v>
      </c>
    </row>
    <row r="11" spans="1:11">
      <c r="A11" s="556"/>
      <c r="B11" s="511" t="s">
        <v>449</v>
      </c>
      <c r="C11" s="509">
        <v>2</v>
      </c>
      <c r="D11" s="510" t="s">
        <v>427</v>
      </c>
      <c r="E11" s="510">
        <f>70*4</f>
        <v>280</v>
      </c>
      <c r="F11" s="511">
        <f>216/4</f>
        <v>54</v>
      </c>
      <c r="G11" s="512">
        <f>+E11*F11</f>
        <v>15120</v>
      </c>
      <c r="H11" s="475">
        <f>+G11/F11</f>
        <v>280</v>
      </c>
      <c r="I11" s="475">
        <f>+'3'!N38</f>
        <v>47.184999999999995</v>
      </c>
    </row>
    <row r="12" spans="1:11" ht="13.5" thickBot="1">
      <c r="A12" s="577"/>
      <c r="B12" s="578"/>
      <c r="C12" s="579"/>
      <c r="D12" s="580"/>
      <c r="E12" s="580"/>
      <c r="F12" s="578"/>
      <c r="G12" s="581"/>
      <c r="H12" s="582"/>
      <c r="I12" s="582"/>
    </row>
    <row r="13" spans="1:11">
      <c r="A13" s="326">
        <v>46116</v>
      </c>
      <c r="B13" s="511" t="s">
        <v>449</v>
      </c>
      <c r="C13" s="509">
        <v>2</v>
      </c>
      <c r="D13" s="510" t="s">
        <v>427</v>
      </c>
      <c r="E13" s="510">
        <f>70*4</f>
        <v>280</v>
      </c>
      <c r="F13" s="511">
        <f>56/4</f>
        <v>14</v>
      </c>
      <c r="G13" s="512">
        <f>+E13*F13</f>
        <v>3920</v>
      </c>
      <c r="H13" s="475">
        <f>+G13/F13</f>
        <v>280</v>
      </c>
      <c r="I13" s="475">
        <f>+'4'!N37</f>
        <v>25.560000000000002</v>
      </c>
    </row>
    <row r="14" spans="1:11">
      <c r="A14" s="556"/>
      <c r="B14" s="511" t="s">
        <v>480</v>
      </c>
      <c r="C14" s="509">
        <v>2</v>
      </c>
      <c r="D14" s="510" t="s">
        <v>483</v>
      </c>
      <c r="E14" s="510">
        <f>60*3+90</f>
        <v>270</v>
      </c>
      <c r="F14" s="511">
        <v>13</v>
      </c>
      <c r="G14" s="512">
        <f>+E14*F14</f>
        <v>3510</v>
      </c>
      <c r="H14" s="475">
        <f>+G14/F14</f>
        <v>270</v>
      </c>
      <c r="I14" s="475">
        <f>+'4'!N38</f>
        <v>3.9279999999999999</v>
      </c>
    </row>
    <row r="15" spans="1:11">
      <c r="A15" s="556"/>
      <c r="B15" s="511" t="s">
        <v>482</v>
      </c>
      <c r="C15" s="509">
        <v>2</v>
      </c>
      <c r="D15" s="510" t="s">
        <v>481</v>
      </c>
      <c r="E15" s="510">
        <f>90*3</f>
        <v>270</v>
      </c>
      <c r="F15" s="511">
        <v>8</v>
      </c>
      <c r="G15" s="512">
        <f>+E15*F15</f>
        <v>2160</v>
      </c>
      <c r="H15" s="475">
        <f>+G15/F15</f>
        <v>270</v>
      </c>
      <c r="I15" s="475">
        <f>+'4'!N39</f>
        <v>20.938000000000002</v>
      </c>
    </row>
    <row r="16" spans="1:11">
      <c r="A16" s="556"/>
      <c r="B16" s="511" t="s">
        <v>425</v>
      </c>
      <c r="C16" s="509">
        <v>2</v>
      </c>
      <c r="D16" s="510" t="s">
        <v>427</v>
      </c>
      <c r="E16" s="510">
        <f>70*4</f>
        <v>280</v>
      </c>
      <c r="F16" s="511">
        <v>3</v>
      </c>
      <c r="G16" s="512">
        <f>+E16*F16</f>
        <v>840</v>
      </c>
      <c r="H16" s="475">
        <f>+G16/F16</f>
        <v>280</v>
      </c>
      <c r="I16" s="475" t="s">
        <v>272</v>
      </c>
    </row>
    <row r="17" spans="1:9" ht="13.5" thickBot="1">
      <c r="A17" s="577"/>
      <c r="B17" s="578"/>
      <c r="C17" s="579"/>
      <c r="D17" s="580"/>
      <c r="E17" s="580"/>
      <c r="F17" s="578"/>
      <c r="G17" s="581"/>
      <c r="H17" s="582"/>
      <c r="I17" s="582"/>
    </row>
    <row r="18" spans="1:9">
      <c r="A18" s="326">
        <v>46117</v>
      </c>
      <c r="B18" s="511" t="s">
        <v>482</v>
      </c>
      <c r="C18" s="509">
        <v>2</v>
      </c>
      <c r="D18" s="510" t="s">
        <v>481</v>
      </c>
      <c r="E18" s="510">
        <f>90*3</f>
        <v>270</v>
      </c>
      <c r="F18" s="511">
        <v>32</v>
      </c>
      <c r="G18" s="512">
        <f>+E18*F18</f>
        <v>8640</v>
      </c>
      <c r="H18" s="576">
        <f>+(E18*F18+E19*F19)/(SUM(F18:F19))</f>
        <v>270</v>
      </c>
      <c r="I18" s="475">
        <f>+'5'!I38</f>
        <v>48.241</v>
      </c>
    </row>
    <row r="19" spans="1:9">
      <c r="A19" s="584"/>
      <c r="B19" s="511" t="s">
        <v>480</v>
      </c>
      <c r="C19" s="509">
        <v>2</v>
      </c>
      <c r="D19" s="510" t="s">
        <v>483</v>
      </c>
      <c r="E19" s="510">
        <f>60*3+90</f>
        <v>270</v>
      </c>
      <c r="F19" s="511">
        <v>5</v>
      </c>
      <c r="G19" s="512">
        <f>+E19*F19</f>
        <v>1350</v>
      </c>
      <c r="H19" s="475"/>
      <c r="I19" s="475"/>
    </row>
    <row r="20" spans="1:9" ht="13.5" thickBot="1">
      <c r="A20" s="577"/>
      <c r="B20" s="578"/>
      <c r="C20" s="579"/>
      <c r="D20" s="580"/>
      <c r="E20" s="580"/>
      <c r="F20" s="578"/>
      <c r="G20" s="581"/>
      <c r="H20" s="582"/>
      <c r="I20" s="582"/>
    </row>
    <row r="21" spans="1:9">
      <c r="A21" s="326">
        <v>46118</v>
      </c>
      <c r="B21" s="511" t="s">
        <v>482</v>
      </c>
      <c r="C21" s="509">
        <v>2</v>
      </c>
      <c r="D21" s="510" t="s">
        <v>481</v>
      </c>
      <c r="E21" s="510">
        <f>90*3</f>
        <v>270</v>
      </c>
      <c r="F21" s="511">
        <f>7+9+8+8</f>
        <v>32</v>
      </c>
      <c r="G21" s="512">
        <f>+E21*F21</f>
        <v>8640</v>
      </c>
      <c r="H21" s="475">
        <f t="shared" ref="H21:H26" si="0">+G21/F21</f>
        <v>270</v>
      </c>
      <c r="I21" s="475">
        <f>+'6'!N37</f>
        <v>21.389000000000003</v>
      </c>
    </row>
    <row r="22" spans="1:9">
      <c r="A22" s="584"/>
      <c r="B22" s="511" t="s">
        <v>504</v>
      </c>
      <c r="C22" s="509">
        <v>2</v>
      </c>
      <c r="D22" s="510" t="s">
        <v>506</v>
      </c>
      <c r="E22" s="510">
        <f>86*3+22</f>
        <v>280</v>
      </c>
      <c r="F22" s="511">
        <f>1+2+7+9</f>
        <v>19</v>
      </c>
      <c r="G22" s="512">
        <f>+E22*F22</f>
        <v>5320</v>
      </c>
      <c r="H22" s="475">
        <f t="shared" si="0"/>
        <v>280</v>
      </c>
      <c r="I22" s="475">
        <f>+'6'!N38</f>
        <v>32.658999999999999</v>
      </c>
    </row>
    <row r="23" spans="1:9">
      <c r="A23" s="584"/>
      <c r="B23" s="511" t="s">
        <v>505</v>
      </c>
      <c r="C23" s="509">
        <v>2</v>
      </c>
      <c r="D23" s="510" t="s">
        <v>512</v>
      </c>
      <c r="E23" s="510">
        <f>256+24</f>
        <v>280</v>
      </c>
      <c r="F23" s="511">
        <v>0</v>
      </c>
      <c r="G23" s="512">
        <f>+E23*F23</f>
        <v>0</v>
      </c>
      <c r="H23" s="475">
        <f>+E23</f>
        <v>280</v>
      </c>
      <c r="I23" s="475">
        <f>+'6'!N39</f>
        <v>0</v>
      </c>
    </row>
    <row r="24" spans="1:9" ht="13.5" thickBot="1">
      <c r="A24" s="577"/>
      <c r="B24" s="578"/>
      <c r="C24" s="579"/>
      <c r="D24" s="580"/>
      <c r="E24" s="580"/>
      <c r="F24" s="578"/>
      <c r="G24" s="581"/>
      <c r="H24" s="582"/>
      <c r="I24" s="582"/>
    </row>
    <row r="25" spans="1:9">
      <c r="A25" s="326">
        <v>46119</v>
      </c>
      <c r="B25" s="511" t="s">
        <v>505</v>
      </c>
      <c r="C25" s="509">
        <v>2</v>
      </c>
      <c r="D25" s="510" t="s">
        <v>512</v>
      </c>
      <c r="E25" s="510">
        <f>256+24</f>
        <v>280</v>
      </c>
      <c r="F25" s="511">
        <f>16+18+18</f>
        <v>52</v>
      </c>
      <c r="G25" s="512">
        <f>+E25*F25</f>
        <v>14560</v>
      </c>
      <c r="H25" s="475">
        <f t="shared" si="0"/>
        <v>280</v>
      </c>
      <c r="I25" s="475">
        <f>+'7'!I38</f>
        <v>52.462999999999994</v>
      </c>
    </row>
    <row r="26" spans="1:9">
      <c r="A26" s="584"/>
      <c r="B26" s="511" t="s">
        <v>504</v>
      </c>
      <c r="C26" s="509">
        <v>2</v>
      </c>
      <c r="D26" s="510" t="s">
        <v>506</v>
      </c>
      <c r="E26" s="510">
        <f>86*3+22</f>
        <v>280</v>
      </c>
      <c r="F26" s="511">
        <v>7</v>
      </c>
      <c r="G26" s="512">
        <f>+E26*F26</f>
        <v>1960</v>
      </c>
      <c r="H26" s="475">
        <f t="shared" si="0"/>
        <v>280</v>
      </c>
      <c r="I26" s="475" t="s">
        <v>272</v>
      </c>
    </row>
    <row r="27" spans="1:9" ht="13.5" thickBot="1">
      <c r="A27" s="577"/>
      <c r="B27" s="578"/>
      <c r="C27" s="579"/>
      <c r="D27" s="580"/>
      <c r="E27" s="580"/>
      <c r="F27" s="578"/>
      <c r="G27" s="581"/>
      <c r="H27" s="582"/>
      <c r="I27" s="582"/>
    </row>
    <row r="28" spans="1:9">
      <c r="A28" s="326">
        <v>46120</v>
      </c>
      <c r="B28" s="511" t="s">
        <v>505</v>
      </c>
      <c r="C28" s="509">
        <v>2</v>
      </c>
      <c r="D28" s="510" t="s">
        <v>512</v>
      </c>
      <c r="E28" s="510">
        <f>256+24</f>
        <v>280</v>
      </c>
      <c r="F28" s="511">
        <f>17+15+11</f>
        <v>43</v>
      </c>
      <c r="G28" s="512">
        <f>+E28*F28</f>
        <v>12040</v>
      </c>
      <c r="H28" s="475">
        <f>+G28/F28</f>
        <v>280</v>
      </c>
      <c r="I28" s="475">
        <f>+'8'!I38</f>
        <v>48.456999999999994</v>
      </c>
    </row>
    <row r="29" spans="1:9" ht="13.5" thickBot="1">
      <c r="A29" s="577"/>
      <c r="B29" s="578"/>
      <c r="C29" s="579"/>
      <c r="D29" s="580"/>
      <c r="E29" s="580"/>
      <c r="F29" s="578"/>
      <c r="G29" s="581"/>
      <c r="H29" s="582"/>
      <c r="I29" s="582"/>
    </row>
    <row r="30" spans="1:9">
      <c r="A30" s="326">
        <v>46121</v>
      </c>
      <c r="B30" s="511" t="s">
        <v>505</v>
      </c>
      <c r="C30" s="509">
        <v>2</v>
      </c>
      <c r="D30" s="510" t="s">
        <v>512</v>
      </c>
      <c r="E30" s="510">
        <f>256+24</f>
        <v>280</v>
      </c>
      <c r="F30" s="511">
        <v>44</v>
      </c>
      <c r="G30" s="512">
        <f>+E30*F30</f>
        <v>12320</v>
      </c>
      <c r="H30" s="475">
        <f>+G30/F30</f>
        <v>280</v>
      </c>
      <c r="I30" s="475">
        <f>+'9'!I38</f>
        <v>54.501999999999995</v>
      </c>
    </row>
    <row r="31" spans="1:9" ht="13.5" thickBot="1">
      <c r="A31" s="577"/>
      <c r="B31" s="578"/>
      <c r="C31" s="579"/>
      <c r="D31" s="580"/>
      <c r="E31" s="580"/>
      <c r="F31" s="578"/>
      <c r="G31" s="581"/>
      <c r="H31" s="582"/>
      <c r="I31" s="582"/>
    </row>
    <row r="32" spans="1:9">
      <c r="A32" s="326">
        <v>46122</v>
      </c>
      <c r="B32" s="511" t="s">
        <v>505</v>
      </c>
      <c r="C32" s="509">
        <v>2</v>
      </c>
      <c r="D32" s="510" t="s">
        <v>512</v>
      </c>
      <c r="E32" s="510">
        <f>256+24</f>
        <v>280</v>
      </c>
      <c r="F32" s="511">
        <f>19+15+17</f>
        <v>51</v>
      </c>
      <c r="G32" s="512">
        <f>+E32*F32</f>
        <v>14280</v>
      </c>
      <c r="H32" s="475">
        <f>+G32/F32</f>
        <v>280</v>
      </c>
      <c r="I32" s="475">
        <f>+'10'!I38</f>
        <v>53.430999999999997</v>
      </c>
    </row>
    <row r="33" spans="1:9" ht="13.5" thickBot="1">
      <c r="A33" s="577"/>
      <c r="B33" s="578"/>
      <c r="C33" s="579"/>
      <c r="D33" s="580"/>
      <c r="E33" s="580"/>
      <c r="F33" s="578"/>
      <c r="G33" s="581"/>
      <c r="H33" s="582"/>
      <c r="I33" s="582"/>
    </row>
    <row r="34" spans="1:9">
      <c r="A34" s="326">
        <v>46123</v>
      </c>
      <c r="B34" s="511" t="s">
        <v>505</v>
      </c>
      <c r="C34" s="509">
        <v>2</v>
      </c>
      <c r="D34" s="510" t="s">
        <v>512</v>
      </c>
      <c r="E34" s="510">
        <f>256+24</f>
        <v>280</v>
      </c>
      <c r="F34" s="511">
        <f>3+15+16</f>
        <v>34</v>
      </c>
      <c r="G34" s="512">
        <f>+E34*F34</f>
        <v>9520</v>
      </c>
      <c r="H34" s="475">
        <f>+G34/F34</f>
        <v>280</v>
      </c>
      <c r="I34" s="475">
        <f>+'11'!N37</f>
        <v>34.724000000000004</v>
      </c>
    </row>
    <row r="35" spans="1:9">
      <c r="A35" s="584"/>
      <c r="B35" s="510" t="s">
        <v>556</v>
      </c>
      <c r="C35" s="509">
        <v>2</v>
      </c>
      <c r="D35" s="510" t="s">
        <v>573</v>
      </c>
      <c r="E35" s="510">
        <f>114+162</f>
        <v>276</v>
      </c>
      <c r="F35" s="511">
        <v>7</v>
      </c>
      <c r="G35" s="512">
        <f>+E35*F35</f>
        <v>1932</v>
      </c>
      <c r="H35" s="475">
        <f>+G35/F35</f>
        <v>276</v>
      </c>
      <c r="I35" s="475">
        <f>+'11'!N38</f>
        <v>16.599000000000004</v>
      </c>
    </row>
    <row r="36" spans="1:9" ht="13.5" thickBot="1">
      <c r="A36" s="577"/>
      <c r="B36" s="578"/>
      <c r="C36" s="579"/>
      <c r="D36" s="580"/>
      <c r="E36" s="580"/>
      <c r="F36" s="578"/>
      <c r="G36" s="581"/>
      <c r="H36" s="582"/>
      <c r="I36" s="582"/>
    </row>
    <row r="37" spans="1:9">
      <c r="A37" s="584">
        <v>46124</v>
      </c>
      <c r="B37" s="510" t="s">
        <v>556</v>
      </c>
      <c r="C37" s="509">
        <v>2</v>
      </c>
      <c r="D37" s="510" t="s">
        <v>573</v>
      </c>
      <c r="E37" s="510">
        <f>114+162</f>
        <v>276</v>
      </c>
      <c r="F37" s="511">
        <f>22+15+3</f>
        <v>40</v>
      </c>
      <c r="G37" s="512">
        <f>+E37*F37</f>
        <v>11040</v>
      </c>
      <c r="H37" s="475">
        <f>+G37/F37</f>
        <v>276</v>
      </c>
      <c r="I37" s="475">
        <f>+'12'!N37</f>
        <v>18.956</v>
      </c>
    </row>
    <row r="38" spans="1:9">
      <c r="A38" s="584"/>
      <c r="B38" s="510" t="s">
        <v>449</v>
      </c>
      <c r="C38" s="509">
        <v>2</v>
      </c>
      <c r="D38" s="510" t="s">
        <v>574</v>
      </c>
      <c r="E38" s="510">
        <f>114+162</f>
        <v>276</v>
      </c>
      <c r="F38" s="511">
        <v>3</v>
      </c>
      <c r="G38" s="512">
        <f>+E38*F38</f>
        <v>828</v>
      </c>
      <c r="H38" s="475">
        <f>+(E38*F38+E39*F39)/(SUM(F38:F39))</f>
        <v>279.07692307692309</v>
      </c>
      <c r="I38" s="475">
        <f>+'12'!N38</f>
        <v>29.281000000000002</v>
      </c>
    </row>
    <row r="39" spans="1:9">
      <c r="A39" s="584"/>
      <c r="B39" s="510" t="s">
        <v>449</v>
      </c>
      <c r="C39" s="509">
        <v>2</v>
      </c>
      <c r="D39" s="510" t="s">
        <v>427</v>
      </c>
      <c r="E39">
        <f>70*4</f>
        <v>280</v>
      </c>
      <c r="F39">
        <v>10</v>
      </c>
      <c r="G39" s="512">
        <f>+E39*F39</f>
        <v>2800</v>
      </c>
      <c r="H39" s="475"/>
      <c r="I39" s="475"/>
    </row>
    <row r="40" spans="1:9" ht="13.5" thickBot="1">
      <c r="A40" s="577"/>
      <c r="B40" s="578"/>
      <c r="C40" s="579"/>
      <c r="D40" s="580"/>
      <c r="E40" s="580"/>
      <c r="F40" s="578"/>
      <c r="G40" s="581"/>
      <c r="H40" s="582"/>
      <c r="I40" s="582"/>
    </row>
    <row r="41" spans="1:9">
      <c r="A41" s="584">
        <v>46125</v>
      </c>
      <c r="B41" s="510" t="s">
        <v>449</v>
      </c>
      <c r="C41" s="509">
        <v>2</v>
      </c>
      <c r="D41" s="510" t="s">
        <v>427</v>
      </c>
      <c r="E41">
        <f>70*4</f>
        <v>280</v>
      </c>
      <c r="F41">
        <v>22</v>
      </c>
      <c r="G41" s="512">
        <f>+E41*F41</f>
        <v>6160</v>
      </c>
      <c r="H41" s="475">
        <f>+G41/F41</f>
        <v>280</v>
      </c>
      <c r="I41" s="475">
        <f>+'13'!I38</f>
        <v>27.166</v>
      </c>
    </row>
    <row r="42" spans="1:9" ht="13.5" thickBot="1">
      <c r="A42" s="577"/>
      <c r="B42" s="578"/>
      <c r="C42" s="579"/>
      <c r="D42" s="580"/>
      <c r="E42" s="580"/>
      <c r="F42" s="578"/>
      <c r="G42" s="581"/>
      <c r="H42" s="582"/>
      <c r="I42" s="582"/>
    </row>
    <row r="43" spans="1:9">
      <c r="A43" s="584">
        <v>46126</v>
      </c>
      <c r="B43" s="510" t="s">
        <v>449</v>
      </c>
      <c r="C43" s="509">
        <v>2</v>
      </c>
      <c r="D43" s="510" t="s">
        <v>427</v>
      </c>
      <c r="E43" s="510">
        <f>70*4</f>
        <v>280</v>
      </c>
      <c r="F43">
        <v>11</v>
      </c>
      <c r="G43" s="512">
        <f>+E43*F43</f>
        <v>3080</v>
      </c>
      <c r="H43" s="475">
        <f>+G43/F43</f>
        <v>280</v>
      </c>
      <c r="I43" s="475">
        <f>+'14'!N37</f>
        <v>1.0780000000000001</v>
      </c>
    </row>
    <row r="44" spans="1:9">
      <c r="A44" s="584"/>
      <c r="B44" s="510" t="s">
        <v>607</v>
      </c>
      <c r="C44" s="509">
        <v>2</v>
      </c>
      <c r="D44" s="510" t="s">
        <v>618</v>
      </c>
      <c r="E44" s="510">
        <f>133*2</f>
        <v>266</v>
      </c>
      <c r="F44">
        <v>15</v>
      </c>
      <c r="G44" s="512">
        <f>+E44*F44</f>
        <v>3990</v>
      </c>
      <c r="H44" s="475">
        <f>+G44/F44</f>
        <v>266</v>
      </c>
      <c r="I44" s="475">
        <f>+'14'!N38</f>
        <v>8.64</v>
      </c>
    </row>
    <row r="45" spans="1:9">
      <c r="A45" s="584"/>
      <c r="B45" s="510" t="s">
        <v>606</v>
      </c>
      <c r="C45" s="509">
        <v>2</v>
      </c>
      <c r="D45" s="510" t="s">
        <v>617</v>
      </c>
      <c r="E45" s="510">
        <f>276*1</f>
        <v>276</v>
      </c>
      <c r="F45">
        <v>15</v>
      </c>
      <c r="G45" s="512">
        <f>+E45*F45</f>
        <v>4140</v>
      </c>
      <c r="H45" s="475">
        <f>+G45/F45</f>
        <v>276</v>
      </c>
      <c r="I45" s="475">
        <f>+'14'!N39</f>
        <v>10.234</v>
      </c>
    </row>
    <row r="46" spans="1:9">
      <c r="A46" s="584"/>
      <c r="B46" s="510" t="s">
        <v>608</v>
      </c>
      <c r="C46" s="509">
        <v>2</v>
      </c>
      <c r="D46" s="510" t="s">
        <v>617</v>
      </c>
      <c r="E46" s="510">
        <f>276*1</f>
        <v>276</v>
      </c>
      <c r="F46">
        <v>17</v>
      </c>
      <c r="G46" s="512">
        <f>+E46*F46</f>
        <v>4692</v>
      </c>
      <c r="H46" s="475">
        <f>+G46/F46</f>
        <v>276</v>
      </c>
      <c r="I46" s="475">
        <f>+'14'!N40</f>
        <v>31.640999999999991</v>
      </c>
    </row>
    <row r="47" spans="1:9" ht="13.5" thickBot="1">
      <c r="A47" s="577"/>
      <c r="B47" s="578"/>
      <c r="C47" s="579"/>
      <c r="D47" s="580"/>
      <c r="E47" s="580"/>
      <c r="F47" s="578"/>
      <c r="G47" s="581"/>
      <c r="H47" s="582"/>
      <c r="I47" s="582"/>
    </row>
    <row r="48" spans="1:9">
      <c r="A48" s="584">
        <v>46127</v>
      </c>
      <c r="B48" s="510" t="s">
        <v>608</v>
      </c>
      <c r="C48" s="509">
        <v>2</v>
      </c>
      <c r="D48" s="510" t="s">
        <v>617</v>
      </c>
      <c r="E48" s="510">
        <f>276*1</f>
        <v>276</v>
      </c>
      <c r="F48" s="510">
        <v>24</v>
      </c>
      <c r="G48" s="512">
        <f>+E48*F48</f>
        <v>6624</v>
      </c>
      <c r="H48" s="475">
        <f>+G48/F48</f>
        <v>276</v>
      </c>
      <c r="I48" s="475">
        <f>+'15'!N37</f>
        <v>10.968</v>
      </c>
    </row>
    <row r="49" spans="1:9">
      <c r="A49" s="584"/>
      <c r="B49" s="510" t="s">
        <v>606</v>
      </c>
      <c r="C49" s="509">
        <v>2</v>
      </c>
      <c r="D49" s="510" t="s">
        <v>617</v>
      </c>
      <c r="E49" s="510">
        <f>276*1</f>
        <v>276</v>
      </c>
      <c r="F49">
        <f>1+25+25</f>
        <v>51</v>
      </c>
      <c r="G49" s="512">
        <f>+E49*F49</f>
        <v>14076</v>
      </c>
      <c r="H49" s="475">
        <f>+G49/F49</f>
        <v>276</v>
      </c>
      <c r="I49" s="475">
        <f>+'15'!N38</f>
        <v>44.466999999999999</v>
      </c>
    </row>
    <row r="50" spans="1:9" ht="13.5" thickBot="1">
      <c r="A50" s="577"/>
      <c r="B50" s="578"/>
      <c r="C50" s="579"/>
      <c r="D50" s="580"/>
      <c r="E50" s="580"/>
      <c r="F50" s="578"/>
      <c r="G50" s="581"/>
      <c r="H50" s="582"/>
      <c r="I50" s="582"/>
    </row>
    <row r="51" spans="1:9">
      <c r="A51" s="584">
        <v>46128</v>
      </c>
      <c r="B51" s="510" t="s">
        <v>606</v>
      </c>
      <c r="C51" s="509">
        <v>2</v>
      </c>
      <c r="D51" s="510" t="s">
        <v>617</v>
      </c>
      <c r="E51" s="510">
        <f>276*1</f>
        <v>276</v>
      </c>
      <c r="F51">
        <f>23+6</f>
        <v>29</v>
      </c>
      <c r="G51" s="512">
        <f>+E51*F51</f>
        <v>8004</v>
      </c>
      <c r="H51" s="475">
        <f>+G51/F51</f>
        <v>276</v>
      </c>
      <c r="I51" s="475">
        <f>+'16'!N37</f>
        <v>11.593</v>
      </c>
    </row>
    <row r="52" spans="1:9">
      <c r="A52" s="584"/>
      <c r="B52" s="510" t="s">
        <v>643</v>
      </c>
      <c r="C52" s="509">
        <v>2</v>
      </c>
      <c r="D52" s="510" t="s">
        <v>617</v>
      </c>
      <c r="E52" s="510">
        <f>276*1</f>
        <v>276</v>
      </c>
      <c r="F52">
        <v>17</v>
      </c>
      <c r="G52" s="512">
        <f>+E52*F52</f>
        <v>4692</v>
      </c>
      <c r="H52" s="475">
        <f>+G52/F52</f>
        <v>276</v>
      </c>
      <c r="I52" s="475">
        <f>+'16'!N38</f>
        <v>9.9359999999999999</v>
      </c>
    </row>
    <row r="53" spans="1:9">
      <c r="A53" s="584"/>
      <c r="B53" s="510" t="s">
        <v>644</v>
      </c>
      <c r="C53" s="509">
        <v>2</v>
      </c>
      <c r="D53" s="510" t="s">
        <v>653</v>
      </c>
      <c r="E53" s="510">
        <f>129.5+140</f>
        <v>269.5</v>
      </c>
      <c r="F53">
        <f>5+15</f>
        <v>20</v>
      </c>
      <c r="G53" s="512">
        <f>+E53*F53</f>
        <v>5390</v>
      </c>
      <c r="H53" s="475">
        <f>+G53/F53</f>
        <v>269.5</v>
      </c>
      <c r="I53" s="475">
        <f>+'16'!N39</f>
        <v>27.669999999999995</v>
      </c>
    </row>
    <row r="54" spans="1:9" ht="13.5" thickBot="1">
      <c r="A54" s="577"/>
      <c r="B54" s="578"/>
      <c r="C54" s="579"/>
      <c r="D54" s="580"/>
      <c r="E54" s="580"/>
      <c r="F54" s="578"/>
      <c r="G54" s="581"/>
      <c r="H54" s="582"/>
      <c r="I54" s="582"/>
    </row>
    <row r="55" spans="1:9">
      <c r="A55" s="584">
        <v>46129</v>
      </c>
      <c r="B55" s="510" t="s">
        <v>644</v>
      </c>
      <c r="C55" s="509">
        <v>2</v>
      </c>
      <c r="D55" s="510" t="s">
        <v>653</v>
      </c>
      <c r="E55" s="510">
        <f>129.5+140</f>
        <v>269.5</v>
      </c>
      <c r="F55">
        <f>132/2</f>
        <v>66</v>
      </c>
      <c r="G55" s="512">
        <f>+E55*F55</f>
        <v>17787</v>
      </c>
      <c r="H55" s="475">
        <f>+(E55*F55+E56*F56)/(SUM(F55:F56))</f>
        <v>270.375</v>
      </c>
      <c r="I55" s="475">
        <f>+'17'!I38</f>
        <v>47.717999999999996</v>
      </c>
    </row>
    <row r="56" spans="1:9">
      <c r="A56" s="584"/>
      <c r="B56" s="510" t="s">
        <v>644</v>
      </c>
      <c r="C56" s="509">
        <v>2</v>
      </c>
      <c r="D56" s="510" t="s">
        <v>426</v>
      </c>
      <c r="E56" s="510">
        <f>140*2</f>
        <v>280</v>
      </c>
      <c r="F56">
        <v>6</v>
      </c>
      <c r="G56" s="512">
        <f>+E56*F56</f>
        <v>1680</v>
      </c>
      <c r="H56" s="475"/>
      <c r="I56" s="475"/>
    </row>
    <row r="57" spans="1:9" ht="13.5" thickBot="1">
      <c r="A57" s="577"/>
      <c r="B57" s="578"/>
      <c r="C57" s="579"/>
      <c r="D57" s="580"/>
      <c r="E57" s="580"/>
      <c r="F57" s="578"/>
      <c r="G57" s="581"/>
      <c r="H57" s="582"/>
      <c r="I57" s="582"/>
    </row>
    <row r="58" spans="1:9">
      <c r="A58" s="584">
        <v>46130</v>
      </c>
      <c r="B58" s="510" t="s">
        <v>644</v>
      </c>
      <c r="C58" s="509">
        <v>2</v>
      </c>
      <c r="D58" s="510" t="s">
        <v>653</v>
      </c>
      <c r="E58" s="510">
        <f>129.5+140</f>
        <v>269.5</v>
      </c>
      <c r="F58">
        <f>23+35+38</f>
        <v>96</v>
      </c>
      <c r="G58" s="512">
        <f>+E58*F58</f>
        <v>25872</v>
      </c>
      <c r="H58" s="475">
        <f>+G58/F58</f>
        <v>269.5</v>
      </c>
      <c r="I58" s="475">
        <f>+'18'!I38</f>
        <v>49.573999999999998</v>
      </c>
    </row>
    <row r="59" spans="1:9" ht="13.5" thickBot="1">
      <c r="A59" s="577"/>
      <c r="B59" s="578"/>
      <c r="C59" s="579"/>
      <c r="D59" s="580"/>
      <c r="E59" s="580"/>
      <c r="F59" s="578"/>
      <c r="G59" s="581"/>
      <c r="H59" s="582"/>
      <c r="I59" s="582"/>
    </row>
    <row r="60" spans="1:9">
      <c r="A60" s="584">
        <v>46131</v>
      </c>
      <c r="B60" s="510" t="s">
        <v>644</v>
      </c>
      <c r="C60" s="509">
        <v>2</v>
      </c>
      <c r="D60" s="510" t="s">
        <v>653</v>
      </c>
      <c r="E60" s="510">
        <f>129.5+140</f>
        <v>269.5</v>
      </c>
      <c r="F60">
        <f>23+22+18</f>
        <v>63</v>
      </c>
      <c r="G60" s="512">
        <f>+E60*F60</f>
        <v>16978.5</v>
      </c>
      <c r="H60" s="475">
        <f>+(E60*F60+E61*F61)/(SUM(F60:F61))</f>
        <v>273.25</v>
      </c>
      <c r="I60" s="475">
        <f>+'19'!I38</f>
        <v>49.803000000000004</v>
      </c>
    </row>
    <row r="61" spans="1:9">
      <c r="A61" s="584"/>
      <c r="B61" s="510" t="s">
        <v>644</v>
      </c>
      <c r="C61" s="509">
        <v>2</v>
      </c>
      <c r="D61" s="510" t="s">
        <v>426</v>
      </c>
      <c r="E61" s="510">
        <f>140*2</f>
        <v>280</v>
      </c>
      <c r="F61">
        <v>35</v>
      </c>
      <c r="G61" s="512">
        <f>+E61*F61</f>
        <v>9800</v>
      </c>
      <c r="H61" s="475"/>
      <c r="I61" s="475"/>
    </row>
    <row r="62" spans="1:9" ht="13.5" thickBot="1">
      <c r="A62" s="577"/>
      <c r="B62" s="578"/>
      <c r="C62" s="579"/>
      <c r="D62" s="580"/>
      <c r="E62" s="580"/>
      <c r="F62" s="578"/>
      <c r="G62" s="581"/>
      <c r="H62" s="582"/>
      <c r="I62" s="582"/>
    </row>
    <row r="63" spans="1:9">
      <c r="A63" s="584">
        <v>46132</v>
      </c>
      <c r="B63" s="510" t="s">
        <v>644</v>
      </c>
      <c r="C63" s="509">
        <v>2</v>
      </c>
      <c r="D63" s="510" t="s">
        <v>653</v>
      </c>
      <c r="E63" s="510">
        <f>129.5+140</f>
        <v>269.5</v>
      </c>
      <c r="F63">
        <f>22+5+16+16+23</f>
        <v>82</v>
      </c>
      <c r="G63" s="512">
        <f>+E63*F63</f>
        <v>22099</v>
      </c>
      <c r="H63" s="475">
        <f>+G63/F63</f>
        <v>269.5</v>
      </c>
      <c r="I63" s="475">
        <f>+'20'!I38</f>
        <v>49.64</v>
      </c>
    </row>
    <row r="64" spans="1:9" ht="13.5" thickBot="1">
      <c r="A64" s="577"/>
      <c r="B64" s="578"/>
      <c r="C64" s="579"/>
      <c r="D64" s="580"/>
      <c r="E64" s="580"/>
      <c r="F64" s="578"/>
      <c r="G64" s="581"/>
      <c r="H64" s="582"/>
      <c r="I64" s="582"/>
    </row>
    <row r="65" spans="1:9">
      <c r="A65" s="584">
        <v>46133</v>
      </c>
      <c r="B65" s="510" t="s">
        <v>644</v>
      </c>
      <c r="C65" s="509">
        <v>2</v>
      </c>
      <c r="D65" s="510" t="s">
        <v>653</v>
      </c>
      <c r="E65" s="510">
        <f>129.5+140</f>
        <v>269.5</v>
      </c>
      <c r="F65">
        <f>38+26+30</f>
        <v>94</v>
      </c>
      <c r="G65" s="512">
        <f>+E65*F65</f>
        <v>25333</v>
      </c>
      <c r="H65" s="475">
        <f>+G65/F65</f>
        <v>269.5</v>
      </c>
      <c r="I65" s="475">
        <f>+'21'!I38</f>
        <v>51.710999999999999</v>
      </c>
    </row>
    <row r="66" spans="1:9" ht="13.5" thickBot="1">
      <c r="A66" s="577"/>
      <c r="B66" s="578"/>
      <c r="C66" s="579"/>
      <c r="D66" s="580"/>
      <c r="E66" s="580"/>
      <c r="F66" s="578"/>
      <c r="G66" s="581"/>
      <c r="H66" s="582"/>
      <c r="I66" s="582"/>
    </row>
    <row r="67" spans="1:9">
      <c r="A67" s="584">
        <v>46134</v>
      </c>
      <c r="B67" s="510" t="s">
        <v>644</v>
      </c>
      <c r="C67" s="509">
        <v>2</v>
      </c>
      <c r="D67" s="510" t="s">
        <v>653</v>
      </c>
      <c r="E67" s="510">
        <f>129.5+140</f>
        <v>269.5</v>
      </c>
      <c r="F67">
        <f>33+32+25</f>
        <v>90</v>
      </c>
      <c r="G67" s="512">
        <f>+E67*F67</f>
        <v>24255</v>
      </c>
      <c r="H67" s="475">
        <f>+G67/F67</f>
        <v>269.5</v>
      </c>
      <c r="I67" s="475">
        <f>+'22'!I38</f>
        <v>49.819999999999993</v>
      </c>
    </row>
    <row r="68" spans="1:9" ht="13.5" thickBot="1">
      <c r="A68" s="577"/>
      <c r="B68" s="578"/>
      <c r="C68" s="579"/>
      <c r="D68" s="580"/>
      <c r="E68" s="580"/>
      <c r="F68" s="578"/>
      <c r="G68" s="581"/>
      <c r="H68" s="582"/>
      <c r="I68" s="582"/>
    </row>
    <row r="69" spans="1:9">
      <c r="A69" s="584">
        <v>46135</v>
      </c>
      <c r="B69" s="510" t="s">
        <v>644</v>
      </c>
      <c r="C69" s="509">
        <v>2</v>
      </c>
      <c r="D69" s="510" t="s">
        <v>653</v>
      </c>
      <c r="E69" s="510">
        <f>129.5+140</f>
        <v>269.5</v>
      </c>
      <c r="F69">
        <f>28+35+26</f>
        <v>89</v>
      </c>
      <c r="G69" s="512">
        <f>+E69*F69</f>
        <v>23985.5</v>
      </c>
      <c r="H69" s="475">
        <f>+G69/F69</f>
        <v>269.5</v>
      </c>
      <c r="I69" s="475">
        <f>+'23'!I38</f>
        <v>51.642000000000003</v>
      </c>
    </row>
    <row r="70" spans="1:9" ht="13.5" thickBot="1">
      <c r="A70" s="577"/>
      <c r="B70" s="578"/>
      <c r="C70" s="579"/>
      <c r="D70" s="580"/>
      <c r="E70" s="580"/>
      <c r="F70" s="578"/>
      <c r="G70" s="581"/>
      <c r="H70" s="582"/>
      <c r="I70" s="582"/>
    </row>
    <row r="71" spans="1:9">
      <c r="A71" s="584">
        <v>46136</v>
      </c>
      <c r="B71" s="510" t="s">
        <v>644</v>
      </c>
      <c r="C71" s="509">
        <v>2</v>
      </c>
      <c r="D71" s="510" t="s">
        <v>653</v>
      </c>
      <c r="E71" s="510">
        <f>129.5+140</f>
        <v>269.5</v>
      </c>
      <c r="F71">
        <f>32+31+35</f>
        <v>98</v>
      </c>
      <c r="G71" s="512">
        <f>+E71*F71</f>
        <v>26411</v>
      </c>
      <c r="H71" s="475">
        <f>+G71/F71</f>
        <v>269.5</v>
      </c>
      <c r="I71" s="475">
        <f>+'24'!I38</f>
        <v>49.257999999999996</v>
      </c>
    </row>
    <row r="72" spans="1:9" ht="14.25" customHeight="1" thickBot="1">
      <c r="A72" s="577"/>
      <c r="B72" s="578"/>
      <c r="C72" s="579"/>
      <c r="D72" s="580"/>
      <c r="E72" s="580"/>
      <c r="F72" s="578"/>
      <c r="G72" s="581"/>
      <c r="H72" s="582"/>
      <c r="I72" s="582"/>
    </row>
    <row r="73" spans="1:9">
      <c r="A73" s="584">
        <v>46137</v>
      </c>
      <c r="B73" s="510" t="s">
        <v>644</v>
      </c>
      <c r="C73" s="509">
        <v>2</v>
      </c>
      <c r="D73" s="510" t="s">
        <v>653</v>
      </c>
      <c r="E73" s="510">
        <f>129.5+140</f>
        <v>269.5</v>
      </c>
      <c r="F73">
        <f>24+30+27</f>
        <v>81</v>
      </c>
      <c r="G73" s="512">
        <f>+E73*F73</f>
        <v>21829.5</v>
      </c>
      <c r="H73" s="475">
        <f>+G73/F73</f>
        <v>269.5</v>
      </c>
      <c r="I73" s="475">
        <f>+'25'!I38</f>
        <v>48.978000000000002</v>
      </c>
    </row>
    <row r="74" spans="1:9" ht="13.5" thickBot="1">
      <c r="A74" s="577"/>
      <c r="B74" s="578"/>
      <c r="C74" s="579"/>
      <c r="D74" s="580"/>
      <c r="E74" s="580"/>
      <c r="F74" s="578"/>
      <c r="G74" s="581"/>
      <c r="H74" s="582"/>
      <c r="I74" s="582"/>
    </row>
    <row r="75" spans="1:9">
      <c r="A75" s="584">
        <v>46138</v>
      </c>
      <c r="B75" s="510" t="s">
        <v>644</v>
      </c>
      <c r="C75" s="509">
        <v>2</v>
      </c>
      <c r="D75" s="510" t="s">
        <v>653</v>
      </c>
      <c r="E75" s="510">
        <f>129.5+140</f>
        <v>269.5</v>
      </c>
      <c r="F75">
        <f>24+31+28</f>
        <v>83</v>
      </c>
      <c r="G75" s="512">
        <f>+E75*F75</f>
        <v>22368.5</v>
      </c>
      <c r="H75" s="475">
        <f>+G75/F75</f>
        <v>269.5</v>
      </c>
      <c r="I75" s="475">
        <f>+'26'!I38</f>
        <v>51.676000000000002</v>
      </c>
    </row>
    <row r="76" spans="1:9" ht="13.5" thickBot="1">
      <c r="A76" s="577"/>
      <c r="B76" s="578"/>
      <c r="C76" s="579"/>
      <c r="D76" s="580"/>
      <c r="E76" s="580"/>
      <c r="F76" s="578"/>
      <c r="G76" s="581"/>
      <c r="H76" s="582"/>
      <c r="I76" s="582"/>
    </row>
    <row r="77" spans="1:9">
      <c r="A77" s="584">
        <v>46139</v>
      </c>
      <c r="B77" s="510" t="s">
        <v>644</v>
      </c>
      <c r="C77" s="509">
        <v>2</v>
      </c>
      <c r="D77" s="510" t="s">
        <v>653</v>
      </c>
      <c r="E77" s="510">
        <f>129.5+140</f>
        <v>269.5</v>
      </c>
      <c r="F77">
        <f>36+37+6</f>
        <v>79</v>
      </c>
      <c r="G77" s="512">
        <f>+E77*F77</f>
        <v>21290.5</v>
      </c>
      <c r="H77" s="475">
        <f>+G77/F77</f>
        <v>269.5</v>
      </c>
      <c r="I77" s="475">
        <f>+'27'!L37</f>
        <v>35.244999999999997</v>
      </c>
    </row>
    <row r="78" spans="1:9">
      <c r="A78" s="584"/>
      <c r="B78" s="510" t="s">
        <v>718</v>
      </c>
      <c r="C78" s="509">
        <v>2</v>
      </c>
      <c r="D78" s="510" t="s">
        <v>426</v>
      </c>
      <c r="E78" s="510">
        <f>140*2</f>
        <v>280</v>
      </c>
      <c r="F78">
        <v>23</v>
      </c>
      <c r="G78" s="512">
        <f>+E78*F78</f>
        <v>6440</v>
      </c>
      <c r="H78" s="475">
        <f>+G78/F78</f>
        <v>280</v>
      </c>
      <c r="I78" s="475">
        <f>+'27'!L38</f>
        <v>7.8620000000000001</v>
      </c>
    </row>
    <row r="79" spans="1:9" ht="13.5" thickBot="1">
      <c r="A79" s="577"/>
      <c r="B79" s="578"/>
      <c r="C79" s="579"/>
      <c r="D79" s="580"/>
      <c r="E79" s="580"/>
      <c r="F79" s="578"/>
      <c r="G79" s="581"/>
      <c r="H79" s="582"/>
      <c r="I79" s="582"/>
    </row>
    <row r="80" spans="1:9">
      <c r="A80" s="584">
        <v>46140</v>
      </c>
      <c r="B80" s="510" t="s">
        <v>718</v>
      </c>
      <c r="C80" s="509">
        <v>2</v>
      </c>
      <c r="D80" s="510" t="s">
        <v>426</v>
      </c>
      <c r="E80" s="510">
        <f>140*2</f>
        <v>280</v>
      </c>
      <c r="F80">
        <v>1</v>
      </c>
      <c r="G80" s="512">
        <f>+E80*F80</f>
        <v>280</v>
      </c>
      <c r="H80" s="475">
        <f>+G80/F80</f>
        <v>280</v>
      </c>
      <c r="I80" s="475" t="s">
        <v>272</v>
      </c>
    </row>
    <row r="81" spans="1:9">
      <c r="A81" s="584"/>
      <c r="B81" s="510" t="s">
        <v>742</v>
      </c>
      <c r="C81" s="509">
        <v>2</v>
      </c>
      <c r="D81" s="510" t="s">
        <v>618</v>
      </c>
      <c r="E81" s="510">
        <f>133*2</f>
        <v>266</v>
      </c>
      <c r="F81">
        <v>34</v>
      </c>
      <c r="G81" s="512">
        <f>+E81*F81</f>
        <v>9044</v>
      </c>
      <c r="H81" s="475">
        <f>+G81/F81</f>
        <v>266</v>
      </c>
      <c r="I81" s="475">
        <f>+'28'!L37</f>
        <v>15.007999999999999</v>
      </c>
    </row>
    <row r="82" spans="1:9">
      <c r="A82" s="584"/>
      <c r="B82" s="510" t="s">
        <v>644</v>
      </c>
      <c r="C82" s="509">
        <v>2</v>
      </c>
      <c r="D82" s="510" t="s">
        <v>743</v>
      </c>
      <c r="E82" s="510">
        <f>136.5*2</f>
        <v>273</v>
      </c>
      <c r="F82">
        <v>6</v>
      </c>
      <c r="G82" s="512">
        <f>+E82*F82</f>
        <v>1638</v>
      </c>
      <c r="H82" s="475">
        <f>+G82/F82</f>
        <v>273</v>
      </c>
      <c r="I82" s="475">
        <f>+'28'!L38</f>
        <v>9.3350000000000009</v>
      </c>
    </row>
    <row r="83" spans="1:9">
      <c r="A83" s="584"/>
      <c r="B83" s="510" t="s">
        <v>643</v>
      </c>
      <c r="C83" s="509">
        <v>2</v>
      </c>
      <c r="D83" s="510" t="s">
        <v>743</v>
      </c>
      <c r="E83" s="510">
        <f>136.5*2</f>
        <v>273</v>
      </c>
      <c r="F83">
        <v>0</v>
      </c>
      <c r="G83" s="512">
        <f>+E83*F83</f>
        <v>0</v>
      </c>
      <c r="H83" s="475">
        <f>+E83</f>
        <v>273</v>
      </c>
      <c r="I83" s="475">
        <f>+'28'!L39</f>
        <v>0</v>
      </c>
    </row>
    <row r="84" spans="1:9" ht="13.5" thickBot="1">
      <c r="A84" s="577"/>
      <c r="B84" s="578"/>
      <c r="C84" s="579"/>
      <c r="D84" s="580"/>
      <c r="E84" s="580"/>
      <c r="F84" s="578"/>
      <c r="G84" s="581"/>
      <c r="H84" s="582"/>
      <c r="I84" s="582"/>
    </row>
    <row r="85" spans="1:9">
      <c r="A85" s="584">
        <v>46141</v>
      </c>
      <c r="B85" s="510" t="s">
        <v>643</v>
      </c>
      <c r="C85" s="509">
        <v>2</v>
      </c>
      <c r="D85" s="510" t="s">
        <v>617</v>
      </c>
      <c r="E85" s="510">
        <f>276*1</f>
        <v>276</v>
      </c>
      <c r="F85">
        <f>6+31+27</f>
        <v>64</v>
      </c>
      <c r="G85" s="512">
        <f t="shared" ref="G85:G87" si="1">+E85*F85</f>
        <v>17664</v>
      </c>
      <c r="H85" s="475">
        <f t="shared" ref="H85:H87" si="2">+E85</f>
        <v>276</v>
      </c>
      <c r="I85" s="475">
        <f>+'29'!L37</f>
        <v>29.72</v>
      </c>
    </row>
    <row r="86" spans="1:9">
      <c r="A86" s="584"/>
      <c r="B86" s="510" t="s">
        <v>606</v>
      </c>
      <c r="C86" s="509">
        <v>2</v>
      </c>
      <c r="D86" s="510" t="s">
        <v>617</v>
      </c>
      <c r="E86" s="510">
        <f>276*1</f>
        <v>276</v>
      </c>
      <c r="F86">
        <v>2</v>
      </c>
      <c r="G86" s="512">
        <f t="shared" si="1"/>
        <v>552</v>
      </c>
      <c r="H86" s="475">
        <f t="shared" si="2"/>
        <v>276</v>
      </c>
      <c r="I86" s="475">
        <f>+'29'!L38</f>
        <v>16.222999999999999</v>
      </c>
    </row>
    <row r="87" spans="1:9">
      <c r="A87" s="584"/>
      <c r="B87" s="510" t="s">
        <v>644</v>
      </c>
      <c r="C87" s="509">
        <v>2</v>
      </c>
      <c r="D87" s="510" t="s">
        <v>743</v>
      </c>
      <c r="E87" s="510">
        <f>136.5*2</f>
        <v>273</v>
      </c>
      <c r="F87">
        <v>2</v>
      </c>
      <c r="G87" s="512">
        <f t="shared" si="1"/>
        <v>546</v>
      </c>
      <c r="H87" s="475">
        <f t="shared" si="2"/>
        <v>273</v>
      </c>
      <c r="I87" s="612" t="s">
        <v>272</v>
      </c>
    </row>
    <row r="88" spans="1:9" ht="13.5" thickBot="1">
      <c r="A88" s="577"/>
      <c r="B88" s="578"/>
      <c r="C88" s="579"/>
      <c r="D88" s="580"/>
      <c r="E88" s="580"/>
      <c r="F88" s="578"/>
      <c r="G88" s="581"/>
      <c r="H88" s="582"/>
      <c r="I88" s="582"/>
    </row>
    <row r="89" spans="1:9">
      <c r="A89" s="584">
        <v>46142</v>
      </c>
      <c r="B89" s="510" t="s">
        <v>718</v>
      </c>
      <c r="C89" s="509">
        <v>2</v>
      </c>
      <c r="D89" s="510" t="s">
        <v>774</v>
      </c>
      <c r="E89" s="510">
        <f>130+140</f>
        <v>270</v>
      </c>
      <c r="F89">
        <f>13+6</f>
        <v>19</v>
      </c>
      <c r="G89" s="512">
        <f>+E89*F89</f>
        <v>5130</v>
      </c>
      <c r="H89" s="475">
        <f>+G89/F89</f>
        <v>270</v>
      </c>
      <c r="I89" s="475">
        <f>+'30'!L37</f>
        <v>13.674999999999999</v>
      </c>
    </row>
    <row r="90" spans="1:9">
      <c r="A90" s="584"/>
      <c r="B90" s="510" t="s">
        <v>607</v>
      </c>
      <c r="C90" s="509">
        <v>2</v>
      </c>
      <c r="D90" s="510" t="s">
        <v>775</v>
      </c>
      <c r="E90" s="510">
        <f>272*1</f>
        <v>272</v>
      </c>
      <c r="F90">
        <f>9+28</f>
        <v>37</v>
      </c>
      <c r="G90" s="512">
        <f>+E90*F90</f>
        <v>10064</v>
      </c>
      <c r="H90" s="475">
        <f>+G90/F90</f>
        <v>272</v>
      </c>
      <c r="I90" s="475">
        <f>+'30'!L38</f>
        <v>16.87</v>
      </c>
    </row>
    <row r="91" spans="1:9">
      <c r="A91" s="584"/>
      <c r="B91" s="510" t="s">
        <v>608</v>
      </c>
      <c r="C91" s="509">
        <v>2</v>
      </c>
      <c r="D91" s="510" t="s">
        <v>617</v>
      </c>
      <c r="E91" s="510">
        <f>276*1</f>
        <v>276</v>
      </c>
      <c r="F91">
        <v>4</v>
      </c>
      <c r="G91" s="512">
        <f>+E91*F91</f>
        <v>1104</v>
      </c>
      <c r="H91" s="475">
        <f>+G91/F91</f>
        <v>276</v>
      </c>
      <c r="I91" s="475">
        <f>+'30'!L39</f>
        <v>2.2850000000000001</v>
      </c>
    </row>
    <row r="92" spans="1:9">
      <c r="A92" s="584"/>
      <c r="B92" s="510" t="s">
        <v>776</v>
      </c>
      <c r="C92" s="509">
        <v>2</v>
      </c>
      <c r="D92" s="510" t="s">
        <v>617</v>
      </c>
      <c r="E92" s="510">
        <f>276*1</f>
        <v>276</v>
      </c>
      <c r="F92">
        <v>0</v>
      </c>
      <c r="G92" s="512">
        <f>+E92*F92</f>
        <v>0</v>
      </c>
      <c r="H92" s="475">
        <f>+E92</f>
        <v>276</v>
      </c>
      <c r="I92" s="475">
        <f>+'30'!L40</f>
        <v>11.593</v>
      </c>
    </row>
    <row r="93" spans="1:9">
      <c r="A93" s="584"/>
      <c r="B93" s="510" t="s">
        <v>606</v>
      </c>
      <c r="C93" s="509">
        <v>2</v>
      </c>
      <c r="D93" s="510" t="s">
        <v>617</v>
      </c>
      <c r="E93" s="510">
        <f>276*1</f>
        <v>276</v>
      </c>
      <c r="F93">
        <v>7</v>
      </c>
      <c r="G93" s="512">
        <f>+E93*F93</f>
        <v>1932</v>
      </c>
      <c r="H93" s="475">
        <f>+G93/F93</f>
        <v>276</v>
      </c>
      <c r="I93" s="475" t="s">
        <v>272</v>
      </c>
    </row>
    <row r="94" spans="1:9" ht="13.5" thickBot="1">
      <c r="A94" s="577"/>
      <c r="B94" s="578"/>
      <c r="C94" s="579"/>
      <c r="D94" s="580"/>
      <c r="E94" s="580"/>
      <c r="F94" s="578"/>
      <c r="G94" s="581"/>
      <c r="H94" s="582"/>
      <c r="I94" s="582"/>
    </row>
  </sheetData>
  <phoneticPr fontId="31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F176"/>
  <sheetViews>
    <sheetView zoomScale="90" zoomScaleNormal="90" workbookViewId="0">
      <pane xSplit="6" ySplit="6" topLeftCell="W133" activePane="bottomRight" state="frozen"/>
      <selection pane="topRight" activeCell="F1" sqref="F1"/>
      <selection pane="bottomLeft" activeCell="A7" sqref="A7"/>
      <selection pane="bottomRight" activeCell="W143" sqref="W143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4" customWidth="1"/>
    <col min="7" max="9" width="10.28515625" style="28" customWidth="1"/>
    <col min="10" max="11" width="10.28515625" style="83" customWidth="1"/>
    <col min="12" max="13" width="12.7109375" style="55" customWidth="1"/>
    <col min="14" max="15" width="10.28515625" style="28" customWidth="1"/>
    <col min="16" max="16" width="16.85546875" style="28" bestFit="1" customWidth="1"/>
    <col min="17" max="17" width="12.7109375" style="328" customWidth="1"/>
    <col min="18" max="19" width="10.28515625" style="28" customWidth="1"/>
    <col min="20" max="20" width="10.7109375" style="28" customWidth="1"/>
    <col min="21" max="21" width="10.2851562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6" width="10.28515625" style="617" customWidth="1"/>
    <col min="27" max="28" width="10.28515625" style="28" customWidth="1"/>
    <col min="29" max="29" width="12" style="28" customWidth="1"/>
    <col min="30" max="30" width="11.42578125" style="28" bestFit="1" customWidth="1"/>
    <col min="31" max="31" width="47.140625" style="28" customWidth="1"/>
    <col min="32" max="37" width="10.28515625" style="28" customWidth="1"/>
    <col min="38" max="39" width="11.7109375" style="28" customWidth="1"/>
    <col min="40" max="41" width="10.28515625" style="28" customWidth="1"/>
    <col min="42" max="42" width="12.42578125" style="28" customWidth="1"/>
    <col min="43" max="43" width="12.5703125" style="28" customWidth="1"/>
    <col min="44" max="44" width="29.7109375" style="28" bestFit="1" customWidth="1"/>
    <col min="45" max="51" width="10.28515625" style="28"/>
    <col min="52" max="52" width="13.42578125" style="28" customWidth="1"/>
    <col min="53" max="16384" width="10.28515625" style="28"/>
  </cols>
  <sheetData>
    <row r="1" spans="1:58" s="21" customFormat="1" ht="15.75">
      <c r="A1" s="20" t="s">
        <v>384</v>
      </c>
      <c r="G1" s="22"/>
      <c r="H1" s="22"/>
      <c r="I1" s="22"/>
      <c r="J1" s="80"/>
      <c r="K1" s="80"/>
      <c r="L1" s="23"/>
      <c r="M1" s="23"/>
      <c r="O1" s="22"/>
      <c r="P1" s="24"/>
      <c r="Q1" s="22"/>
      <c r="R1" s="24"/>
      <c r="S1" s="24"/>
      <c r="W1" s="24"/>
      <c r="X1" s="25"/>
      <c r="Y1" s="25"/>
      <c r="Z1" s="61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8" s="21" customFormat="1">
      <c r="A2" s="90"/>
      <c r="G2" s="22"/>
      <c r="H2" s="22"/>
      <c r="I2" s="22"/>
      <c r="J2" s="80"/>
      <c r="K2" s="80"/>
      <c r="L2" s="23"/>
      <c r="M2" s="23"/>
      <c r="O2" s="22"/>
      <c r="P2" s="24"/>
      <c r="Q2" s="22"/>
      <c r="R2" s="24"/>
      <c r="S2" s="24"/>
      <c r="W2" s="24"/>
      <c r="X2" s="25"/>
      <c r="Y2" s="25"/>
      <c r="Z2" s="61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8" ht="24" customHeight="1">
      <c r="A3" s="683" t="s">
        <v>7</v>
      </c>
      <c r="B3" s="683" t="s">
        <v>8</v>
      </c>
      <c r="C3" s="683" t="s">
        <v>191</v>
      </c>
      <c r="D3" s="683" t="s">
        <v>88</v>
      </c>
      <c r="E3" s="683" t="s">
        <v>89</v>
      </c>
      <c r="F3" s="683" t="s">
        <v>90</v>
      </c>
      <c r="G3" s="688" t="s">
        <v>91</v>
      </c>
      <c r="H3" s="689"/>
      <c r="I3" s="689"/>
      <c r="J3" s="689"/>
      <c r="K3" s="690"/>
      <c r="L3" s="694" t="s">
        <v>92</v>
      </c>
      <c r="M3" s="695"/>
      <c r="N3" s="696"/>
      <c r="O3" s="700" t="s">
        <v>93</v>
      </c>
      <c r="P3" s="702" t="s">
        <v>105</v>
      </c>
      <c r="Q3" s="700" t="s">
        <v>94</v>
      </c>
      <c r="R3" s="705" t="s">
        <v>95</v>
      </c>
      <c r="S3" s="705" t="s">
        <v>96</v>
      </c>
      <c r="T3" s="683" t="s">
        <v>148</v>
      </c>
      <c r="U3" s="683" t="s">
        <v>147</v>
      </c>
      <c r="V3" s="683" t="s">
        <v>149</v>
      </c>
      <c r="W3" s="705" t="s">
        <v>140</v>
      </c>
      <c r="X3" s="686" t="s">
        <v>98</v>
      </c>
      <c r="Y3" s="686" t="s">
        <v>272</v>
      </c>
      <c r="Z3" s="714" t="s">
        <v>99</v>
      </c>
      <c r="AA3" s="683" t="s">
        <v>150</v>
      </c>
      <c r="AB3" s="683" t="s">
        <v>161</v>
      </c>
      <c r="AC3" s="683" t="s">
        <v>159</v>
      </c>
      <c r="AD3" s="683" t="s">
        <v>123</v>
      </c>
      <c r="AE3" s="683" t="s">
        <v>124</v>
      </c>
      <c r="AF3" s="716" t="s">
        <v>125</v>
      </c>
      <c r="AG3" s="716"/>
      <c r="AH3" s="716"/>
      <c r="AI3" s="716"/>
      <c r="AJ3" s="716"/>
      <c r="AK3" s="716"/>
      <c r="AL3" s="716"/>
      <c r="AM3" s="717" t="s">
        <v>126</v>
      </c>
      <c r="AN3" s="720" t="s">
        <v>100</v>
      </c>
      <c r="AO3" s="720"/>
      <c r="AP3" s="720"/>
      <c r="AQ3" s="720"/>
      <c r="AR3" s="720"/>
      <c r="AS3" s="721" t="s">
        <v>101</v>
      </c>
      <c r="AT3" s="707" t="s">
        <v>268</v>
      </c>
      <c r="AU3" s="708"/>
      <c r="AV3" s="734" t="s">
        <v>127</v>
      </c>
      <c r="AW3" s="735"/>
      <c r="AX3" s="736" t="s">
        <v>127</v>
      </c>
      <c r="AY3" s="737"/>
      <c r="AZ3" s="738" t="s">
        <v>283</v>
      </c>
      <c r="BA3" s="712" t="s">
        <v>102</v>
      </c>
      <c r="BB3" s="729" t="s">
        <v>103</v>
      </c>
      <c r="BC3" s="729" t="s">
        <v>104</v>
      </c>
      <c r="BD3" s="723" t="s">
        <v>386</v>
      </c>
      <c r="BE3" s="726" t="s">
        <v>387</v>
      </c>
      <c r="BF3" s="729" t="s">
        <v>388</v>
      </c>
    </row>
    <row r="4" spans="1:58" ht="12" customHeight="1">
      <c r="A4" s="684"/>
      <c r="B4" s="684"/>
      <c r="C4" s="684"/>
      <c r="D4" s="684"/>
      <c r="E4" s="684"/>
      <c r="F4" s="684"/>
      <c r="G4" s="691"/>
      <c r="H4" s="692"/>
      <c r="I4" s="692"/>
      <c r="J4" s="692"/>
      <c r="K4" s="693"/>
      <c r="L4" s="697"/>
      <c r="M4" s="698"/>
      <c r="N4" s="699"/>
      <c r="O4" s="701"/>
      <c r="P4" s="703"/>
      <c r="Q4" s="701"/>
      <c r="R4" s="706"/>
      <c r="S4" s="706"/>
      <c r="T4" s="684"/>
      <c r="U4" s="684"/>
      <c r="V4" s="684"/>
      <c r="W4" s="706"/>
      <c r="X4" s="687"/>
      <c r="Y4" s="687"/>
      <c r="Z4" s="715"/>
      <c r="AA4" s="684"/>
      <c r="AB4" s="684"/>
      <c r="AC4" s="684"/>
      <c r="AD4" s="684"/>
      <c r="AE4" s="684"/>
      <c r="AF4" s="731" t="s">
        <v>128</v>
      </c>
      <c r="AG4" s="732"/>
      <c r="AH4" s="733"/>
      <c r="AI4" s="703" t="s">
        <v>257</v>
      </c>
      <c r="AJ4" s="703" t="s">
        <v>14</v>
      </c>
      <c r="AK4" s="703" t="s">
        <v>129</v>
      </c>
      <c r="AL4" s="703" t="s">
        <v>17</v>
      </c>
      <c r="AM4" s="718"/>
      <c r="AN4" s="711" t="s">
        <v>106</v>
      </c>
      <c r="AO4" s="711" t="s">
        <v>14</v>
      </c>
      <c r="AP4" s="711" t="s">
        <v>107</v>
      </c>
      <c r="AQ4" s="711" t="s">
        <v>17</v>
      </c>
      <c r="AR4" s="712" t="s">
        <v>108</v>
      </c>
      <c r="AS4" s="721"/>
      <c r="AT4" s="709"/>
      <c r="AU4" s="710"/>
      <c r="AV4" s="477" t="s">
        <v>6</v>
      </c>
      <c r="AW4" s="477" t="s">
        <v>130</v>
      </c>
      <c r="AX4" s="478" t="s">
        <v>6</v>
      </c>
      <c r="AY4" s="479" t="s">
        <v>130</v>
      </c>
      <c r="AZ4" s="739"/>
      <c r="BA4" s="712"/>
      <c r="BB4" s="729"/>
      <c r="BC4" s="729"/>
      <c r="BD4" s="724"/>
      <c r="BE4" s="727"/>
      <c r="BF4" s="729"/>
    </row>
    <row r="5" spans="1:58" s="31" customFormat="1" ht="48">
      <c r="A5" s="684"/>
      <c r="B5" s="684"/>
      <c r="C5" s="685"/>
      <c r="D5" s="684"/>
      <c r="E5" s="684"/>
      <c r="F5" s="684"/>
      <c r="G5" s="595" t="s">
        <v>109</v>
      </c>
      <c r="H5" s="594" t="s">
        <v>110</v>
      </c>
      <c r="I5" s="29" t="s">
        <v>111</v>
      </c>
      <c r="J5" s="81" t="s">
        <v>112</v>
      </c>
      <c r="K5" s="81" t="s">
        <v>97</v>
      </c>
      <c r="L5" s="30" t="s">
        <v>113</v>
      </c>
      <c r="M5" s="30" t="s">
        <v>114</v>
      </c>
      <c r="N5" s="561" t="s">
        <v>115</v>
      </c>
      <c r="O5" s="701"/>
      <c r="P5" s="704"/>
      <c r="Q5" s="701"/>
      <c r="R5" s="706"/>
      <c r="S5" s="706"/>
      <c r="T5" s="684"/>
      <c r="U5" s="684"/>
      <c r="V5" s="684"/>
      <c r="W5" s="706"/>
      <c r="X5" s="687"/>
      <c r="Y5" s="713"/>
      <c r="Z5" s="715"/>
      <c r="AA5" s="684"/>
      <c r="AB5" s="685"/>
      <c r="AC5" s="684"/>
      <c r="AD5" s="685"/>
      <c r="AE5" s="684"/>
      <c r="AF5" s="428" t="s">
        <v>208</v>
      </c>
      <c r="AG5" s="562" t="s">
        <v>209</v>
      </c>
      <c r="AH5" s="562" t="s">
        <v>210</v>
      </c>
      <c r="AI5" s="704"/>
      <c r="AJ5" s="704"/>
      <c r="AK5" s="704"/>
      <c r="AL5" s="704"/>
      <c r="AM5" s="719"/>
      <c r="AN5" s="702"/>
      <c r="AO5" s="702"/>
      <c r="AP5" s="702"/>
      <c r="AQ5" s="702"/>
      <c r="AR5" s="705"/>
      <c r="AS5" s="722"/>
      <c r="AT5" s="565" t="s">
        <v>269</v>
      </c>
      <c r="AU5" s="565" t="s">
        <v>270</v>
      </c>
      <c r="AV5" s="480" t="s">
        <v>271</v>
      </c>
      <c r="AW5" s="480" t="s">
        <v>271</v>
      </c>
      <c r="AX5" s="478" t="s">
        <v>16</v>
      </c>
      <c r="AY5" s="478" t="s">
        <v>16</v>
      </c>
      <c r="AZ5" s="740"/>
      <c r="BA5" s="705"/>
      <c r="BB5" s="683"/>
      <c r="BC5" s="683"/>
      <c r="BD5" s="725"/>
      <c r="BE5" s="728"/>
      <c r="BF5" s="730"/>
    </row>
    <row r="6" spans="1:58" ht="12.95" customHeight="1">
      <c r="A6" s="39">
        <f>+Report1!A9</f>
        <v>46113</v>
      </c>
      <c r="B6" s="40" t="s">
        <v>403</v>
      </c>
      <c r="C6" s="416">
        <f>(M6*E6*O6*Q6)/100000000</f>
        <v>55.295361163636358</v>
      </c>
      <c r="D6" s="40" t="s">
        <v>276</v>
      </c>
      <c r="E6" s="41">
        <v>12</v>
      </c>
      <c r="F6" s="41">
        <v>1</v>
      </c>
      <c r="G6" s="459">
        <v>1400</v>
      </c>
      <c r="H6" s="43">
        <f>+N6</f>
        <v>0.18000000000000005</v>
      </c>
      <c r="I6" s="44">
        <v>0.88</v>
      </c>
      <c r="J6" s="82">
        <f>E6*G6*(1-H6)*1440/1000000*2.87</f>
        <v>56.933452800000005</v>
      </c>
      <c r="K6" s="82">
        <f>(IF(G6&lt;L6,L6,G6)*(1-IF(H6&lt;N6,H6,N6))*E6*O6*Q6)/100000000</f>
        <v>55.544832</v>
      </c>
      <c r="L6" s="34">
        <v>1393.7121212121212</v>
      </c>
      <c r="M6" s="34">
        <v>1142.8439393939393</v>
      </c>
      <c r="N6" s="45">
        <f>1-(M6/L6)</f>
        <v>0.18000000000000005</v>
      </c>
      <c r="O6" s="46">
        <f>+'Trim Rwd'!H4</f>
        <v>280</v>
      </c>
      <c r="P6" s="47">
        <f>O6*(Q6-R6-S6)</f>
        <v>359520</v>
      </c>
      <c r="Q6" s="46">
        <v>1440</v>
      </c>
      <c r="R6" s="384">
        <v>120</v>
      </c>
      <c r="S6" s="384">
        <v>36</v>
      </c>
      <c r="T6" s="36">
        <f>E6*M6*O6*Q6/100000000</f>
        <v>55.295361163636358</v>
      </c>
      <c r="U6" s="36">
        <f>E6*M6*O6*(Q6-R6-S6)/100000000</f>
        <v>49.305030370909087</v>
      </c>
      <c r="V6" s="36">
        <f>E6*G6*(1-N6)*O6/100*(R6+S6)/1000000</f>
        <v>6.0173568000000008</v>
      </c>
      <c r="W6" s="36">
        <f>+'1'!K34/1000</f>
        <v>36.936999999999998</v>
      </c>
      <c r="X6" s="381">
        <f>SUM(W6:W9)/SUM(K6:K9)</f>
        <v>0.66499435987131972</v>
      </c>
      <c r="Y6" s="36">
        <v>0</v>
      </c>
      <c r="Z6" s="615">
        <f>+'1'!D34/1000</f>
        <v>0.39600000000000002</v>
      </c>
      <c r="AA6" s="48">
        <f>SUM(U6:U9)-SUM(W6:W9)-SUM(Z6:Z9)-SUM(Y6:Y9)</f>
        <v>11.972030370909089</v>
      </c>
      <c r="AB6" s="48">
        <f>(SUM(K6:K9)-SUM(W6:W9)-SUM(Y6:Y9)-SUM(Z6:Z9)-SUM(AC6:AC9)-SUM(V6:V9))-AA6</f>
        <v>-2.7026007272731079E-2</v>
      </c>
      <c r="AC6" s="36">
        <f>K6-T6</f>
        <v>0.24947083636364198</v>
      </c>
      <c r="AD6" s="36">
        <f>+AM6+BA6</f>
        <v>0</v>
      </c>
      <c r="AE6" s="225" t="s">
        <v>385</v>
      </c>
      <c r="AF6" s="36">
        <v>0</v>
      </c>
      <c r="AG6" s="36"/>
      <c r="AH6" s="36"/>
      <c r="AI6" s="461"/>
      <c r="AJ6" s="36"/>
      <c r="AK6" s="36"/>
      <c r="AL6" s="36"/>
      <c r="AM6" s="36">
        <f>SUM(AF6:AL6)+AT6+AV6+AX6</f>
        <v>0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>
        <f>+AR6+AS6+AU6+AW6+AY6+AZ6</f>
        <v>0</v>
      </c>
      <c r="BB6" s="32">
        <v>0</v>
      </c>
      <c r="BC6" s="50"/>
      <c r="BD6" s="50"/>
      <c r="BE6" s="32"/>
      <c r="BF6" s="50"/>
    </row>
    <row r="7" spans="1:58" ht="12.95" customHeight="1">
      <c r="A7" s="39"/>
      <c r="B7" s="40"/>
      <c r="C7" s="416"/>
      <c r="D7" s="40"/>
      <c r="E7" s="41"/>
      <c r="F7" s="41"/>
      <c r="G7" s="459"/>
      <c r="H7" s="43"/>
      <c r="I7" s="44"/>
      <c r="J7" s="82"/>
      <c r="K7" s="82"/>
      <c r="L7" s="34"/>
      <c r="M7" s="34"/>
      <c r="N7" s="45"/>
      <c r="O7" s="46"/>
      <c r="P7" s="47"/>
      <c r="Q7" s="46"/>
      <c r="R7" s="384"/>
      <c r="S7" s="384"/>
      <c r="T7" s="36"/>
      <c r="U7" s="36"/>
      <c r="V7" s="36"/>
      <c r="W7" s="36"/>
      <c r="X7" s="37"/>
      <c r="Y7" s="208"/>
      <c r="Z7" s="615"/>
      <c r="AA7" s="36"/>
      <c r="AB7" s="36"/>
      <c r="AC7" s="36"/>
      <c r="AD7" s="36">
        <f>+AM7+BA7</f>
        <v>7</v>
      </c>
      <c r="AE7" s="225" t="s">
        <v>420</v>
      </c>
      <c r="AF7" s="36"/>
      <c r="AG7" s="36">
        <v>7</v>
      </c>
      <c r="AH7" s="36"/>
      <c r="AI7" s="461"/>
      <c r="AJ7" s="36"/>
      <c r="AK7" s="36"/>
      <c r="AL7" s="36"/>
      <c r="AM7" s="36">
        <f>SUM(AF7:AL7)+AT7+AV7+AX7</f>
        <v>7</v>
      </c>
      <c r="AN7" s="83"/>
      <c r="AO7" s="36"/>
      <c r="AP7" s="36"/>
      <c r="AQ7" s="36"/>
      <c r="AR7" s="36">
        <f>SUM(AN7:AQ7)</f>
        <v>0</v>
      </c>
      <c r="AS7" s="36"/>
      <c r="AT7" s="36"/>
      <c r="AU7" s="36"/>
      <c r="AV7" s="36"/>
      <c r="AW7" s="36"/>
      <c r="AX7" s="36"/>
      <c r="AY7" s="36"/>
      <c r="AZ7" s="36"/>
      <c r="BA7" s="36">
        <f>+AR7+AS7+AU7+AW7+AY7+AZ7</f>
        <v>0</v>
      </c>
      <c r="BB7" s="49"/>
      <c r="BC7" s="50">
        <v>2</v>
      </c>
      <c r="BD7" s="50"/>
      <c r="BE7" s="49"/>
      <c r="BF7" s="50"/>
    </row>
    <row r="8" spans="1:58" ht="12.95" customHeight="1">
      <c r="A8" s="39"/>
      <c r="B8" s="40"/>
      <c r="C8" s="416"/>
      <c r="D8" s="40"/>
      <c r="E8" s="41"/>
      <c r="F8" s="41"/>
      <c r="G8" s="42"/>
      <c r="H8" s="43"/>
      <c r="I8" s="44"/>
      <c r="J8" s="82"/>
      <c r="K8" s="82"/>
      <c r="L8" s="34"/>
      <c r="M8" s="34"/>
      <c r="N8" s="45"/>
      <c r="O8" s="46"/>
      <c r="P8" s="47"/>
      <c r="Q8" s="46"/>
      <c r="R8" s="384"/>
      <c r="S8" s="384"/>
      <c r="T8" s="36"/>
      <c r="U8" s="36"/>
      <c r="V8" s="36"/>
      <c r="W8" s="36"/>
      <c r="X8" s="37"/>
      <c r="Y8" s="208"/>
      <c r="Z8" s="615"/>
      <c r="AA8" s="36"/>
      <c r="AB8" s="36"/>
      <c r="AC8" s="36"/>
      <c r="AD8" s="36">
        <f>+AM8+BA8</f>
        <v>29</v>
      </c>
      <c r="AE8" s="225" t="s">
        <v>421</v>
      </c>
      <c r="AF8" s="32"/>
      <c r="AG8" s="32"/>
      <c r="AH8" s="32">
        <v>29</v>
      </c>
      <c r="AJ8" s="36"/>
      <c r="AK8" s="36"/>
      <c r="AL8" s="36"/>
      <c r="AM8" s="36">
        <f>SUM(AF8:AL8)+AT8+AV8+AX8</f>
        <v>29</v>
      </c>
      <c r="AN8" s="36"/>
      <c r="AO8" s="36"/>
      <c r="AP8" s="36"/>
      <c r="AQ8" s="36"/>
      <c r="AR8" s="36">
        <f>SUM(AN8:AQ8)</f>
        <v>0</v>
      </c>
      <c r="AS8" s="36"/>
      <c r="AT8" s="36"/>
      <c r="AU8" s="36"/>
      <c r="AV8" s="36"/>
      <c r="AW8" s="36"/>
      <c r="AX8" s="36"/>
      <c r="AY8" s="36"/>
      <c r="AZ8" s="36"/>
      <c r="BA8" s="36">
        <f>+AR8+AS8+AU8+AW8+AY8+AZ8</f>
        <v>0</v>
      </c>
      <c r="BB8" s="32"/>
      <c r="BC8" s="52"/>
      <c r="BD8" s="52"/>
      <c r="BE8" s="32"/>
      <c r="BF8" s="52"/>
    </row>
    <row r="9" spans="1:58" ht="12.95" customHeight="1">
      <c r="A9" s="39"/>
      <c r="B9" s="40"/>
      <c r="C9" s="416"/>
      <c r="D9" s="40"/>
      <c r="E9" s="41"/>
      <c r="F9" s="41"/>
      <c r="G9" s="42"/>
      <c r="H9" s="43"/>
      <c r="I9" s="44"/>
      <c r="J9" s="82"/>
      <c r="K9" s="82"/>
      <c r="L9" s="34"/>
      <c r="M9" s="34"/>
      <c r="N9" s="45"/>
      <c r="O9" s="46"/>
      <c r="P9" s="47"/>
      <c r="Q9" s="33"/>
      <c r="R9" s="384"/>
      <c r="S9" s="384"/>
      <c r="T9" s="36"/>
      <c r="U9" s="36"/>
      <c r="V9" s="36"/>
      <c r="W9" s="36"/>
      <c r="X9" s="37"/>
      <c r="Y9" s="208"/>
      <c r="Z9" s="615"/>
      <c r="AA9" s="36"/>
      <c r="AB9" s="36"/>
      <c r="AC9" s="36"/>
      <c r="AD9" s="36">
        <f>+AM9+BA9</f>
        <v>120</v>
      </c>
      <c r="AE9" s="228" t="s">
        <v>422</v>
      </c>
      <c r="AF9" s="36"/>
      <c r="AG9" s="36"/>
      <c r="AH9" s="36"/>
      <c r="AI9" s="461"/>
      <c r="AJ9" s="36"/>
      <c r="AK9" s="36"/>
      <c r="AL9" s="36"/>
      <c r="AM9" s="36">
        <f>SUM(AF9:AL9)+AT9+AV9+AX9</f>
        <v>0</v>
      </c>
      <c r="AN9" s="36">
        <v>120</v>
      </c>
      <c r="AO9" s="36"/>
      <c r="AP9" s="36"/>
      <c r="AQ9" s="36"/>
      <c r="AR9" s="36">
        <f>SUM(AN9:AQ9)</f>
        <v>120</v>
      </c>
      <c r="AS9" s="36"/>
      <c r="AT9" s="36"/>
      <c r="AU9" s="36"/>
      <c r="AV9" s="36"/>
      <c r="AW9" s="36"/>
      <c r="AX9" s="36"/>
      <c r="AY9" s="36"/>
      <c r="AZ9" s="36"/>
      <c r="BA9" s="36">
        <f>+AR9+AS9+AU9+AW9+AY9+AZ9</f>
        <v>120</v>
      </c>
      <c r="BB9" s="32"/>
      <c r="BC9" s="52"/>
      <c r="BD9" s="52"/>
      <c r="BE9" s="32"/>
      <c r="BF9" s="52"/>
    </row>
    <row r="10" spans="1:58" ht="12.95" customHeight="1">
      <c r="A10" s="39"/>
      <c r="B10" s="40"/>
      <c r="C10" s="416"/>
      <c r="D10" s="40"/>
      <c r="E10" s="41"/>
      <c r="F10" s="41"/>
      <c r="G10" s="459"/>
      <c r="H10" s="43"/>
      <c r="I10" s="44"/>
      <c r="J10" s="82"/>
      <c r="K10" s="82"/>
      <c r="L10" s="34"/>
      <c r="M10" s="34"/>
      <c r="N10" s="45"/>
      <c r="O10" s="46"/>
      <c r="P10" s="47"/>
      <c r="Q10" s="46"/>
      <c r="R10" s="384"/>
      <c r="S10" s="384"/>
      <c r="T10" s="36"/>
      <c r="U10" s="36"/>
      <c r="V10" s="36"/>
      <c r="W10" s="36"/>
      <c r="X10" s="381"/>
      <c r="Y10" s="36"/>
      <c r="Z10" s="615"/>
      <c r="AA10" s="48"/>
      <c r="AB10" s="48"/>
      <c r="AC10" s="36"/>
      <c r="AD10" s="36"/>
      <c r="AE10" s="225"/>
      <c r="AF10" s="36"/>
      <c r="AG10" s="36"/>
      <c r="AH10" s="36"/>
      <c r="AI10" s="461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2"/>
      <c r="BC10" s="50"/>
      <c r="BD10" s="50"/>
      <c r="BE10" s="32"/>
      <c r="BF10" s="50"/>
    </row>
    <row r="11" spans="1:58" ht="12.95" customHeight="1">
      <c r="A11" s="39">
        <v>46114</v>
      </c>
      <c r="B11" s="40" t="s">
        <v>403</v>
      </c>
      <c r="C11" s="416">
        <f>(M11*E11*O11*Q11)/100000000</f>
        <v>55.544832</v>
      </c>
      <c r="D11" s="40" t="s">
        <v>276</v>
      </c>
      <c r="E11" s="41">
        <v>12</v>
      </c>
      <c r="F11" s="41">
        <v>1</v>
      </c>
      <c r="G11" s="459">
        <v>1400</v>
      </c>
      <c r="H11" s="43">
        <f>+N11</f>
        <v>0.18000000000000005</v>
      </c>
      <c r="I11" s="44">
        <v>0.88</v>
      </c>
      <c r="J11" s="82">
        <f>E11*G11*(1-H11)*1440/1000000*2.87</f>
        <v>56.933452800000005</v>
      </c>
      <c r="K11" s="82">
        <f>(IF(G11&lt;L11,L11,G11)*(1-IF(H11&lt;N11,H11,N11))*E11*O11*Q11)/100000000</f>
        <v>55.544832</v>
      </c>
      <c r="L11" s="34">
        <v>1400</v>
      </c>
      <c r="M11" s="34">
        <v>1148</v>
      </c>
      <c r="N11" s="45">
        <f>1-(M11/L11)</f>
        <v>0.18000000000000005</v>
      </c>
      <c r="O11" s="46">
        <f>+'Trim Rwd'!H7</f>
        <v>280</v>
      </c>
      <c r="P11" s="47">
        <f>O11*(Q11-R11-S11)</f>
        <v>374360</v>
      </c>
      <c r="Q11" s="46">
        <v>1440</v>
      </c>
      <c r="R11" s="384">
        <v>71</v>
      </c>
      <c r="S11" s="384">
        <v>32</v>
      </c>
      <c r="T11" s="36">
        <f>E11*M11*O11*Q11/100000000</f>
        <v>55.544832</v>
      </c>
      <c r="U11" s="36">
        <f>E11*M11*O11*(Q11-R11-S11)/100000000</f>
        <v>51.571833599999998</v>
      </c>
      <c r="V11" s="36">
        <f>E11*G11*(1-N11)*O11/100*(R11+S11)/1000000</f>
        <v>3.9729984000000003</v>
      </c>
      <c r="W11" s="36">
        <f>+'2'!K34/1000</f>
        <v>53.685000000000002</v>
      </c>
      <c r="X11" s="381">
        <f>SUM(W11:W14)/SUM(K11:K14)</f>
        <v>0.96651656089264981</v>
      </c>
      <c r="Y11" s="36">
        <v>0</v>
      </c>
      <c r="Z11" s="615">
        <f>+'2'!D34/1000</f>
        <v>0.20300000000000001</v>
      </c>
      <c r="AA11" s="48">
        <f>SUM(U11:U14)-SUM(W11:W14)-SUM(Z11:Z14)-SUM(Y11:Y14)</f>
        <v>-2.3161664000000042</v>
      </c>
      <c r="AB11" s="48">
        <f>(SUM(K11:K14)-SUM(W11:W14)-SUM(Y11:Y14)-SUM(Z11:Z14)-SUM(AC11:AC14)-SUM(V11:V14))-AA11</f>
        <v>0</v>
      </c>
      <c r="AC11" s="36">
        <f>K11-T11</f>
        <v>0</v>
      </c>
      <c r="AD11" s="36">
        <f>+AM11+BA11</f>
        <v>0</v>
      </c>
      <c r="AE11" s="225" t="s">
        <v>385</v>
      </c>
      <c r="AF11" s="36">
        <v>0</v>
      </c>
      <c r="AG11" s="36"/>
      <c r="AH11" s="36"/>
      <c r="AI11" s="461"/>
      <c r="AJ11" s="36"/>
      <c r="AK11" s="36"/>
      <c r="AL11" s="36"/>
      <c r="AM11" s="36">
        <f>SUM(AF11:AL11)+AT11+AV11+AX11</f>
        <v>0</v>
      </c>
      <c r="AN11" s="36"/>
      <c r="AO11" s="36"/>
      <c r="AP11" s="36"/>
      <c r="AQ11" s="36"/>
      <c r="AR11" s="36">
        <f>SUM(AN11:AQ11)</f>
        <v>0</v>
      </c>
      <c r="AS11" s="36"/>
      <c r="AT11" s="36"/>
      <c r="AU11" s="36"/>
      <c r="AV11" s="36"/>
      <c r="AW11" s="36"/>
      <c r="AX11" s="36"/>
      <c r="AY11" s="36"/>
      <c r="AZ11" s="36"/>
      <c r="BA11" s="36">
        <f>+AR11+AS11+AU11+AW11+AY11+AZ11</f>
        <v>0</v>
      </c>
      <c r="BB11" s="32">
        <v>0</v>
      </c>
      <c r="BC11" s="50"/>
      <c r="BD11" s="50"/>
      <c r="BE11" s="32"/>
      <c r="BF11" s="50"/>
    </row>
    <row r="12" spans="1:58" ht="12.95" customHeight="1">
      <c r="A12" s="39"/>
      <c r="B12" s="40"/>
      <c r="C12" s="416"/>
      <c r="D12" s="40"/>
      <c r="E12" s="41"/>
      <c r="F12" s="41"/>
      <c r="G12" s="459"/>
      <c r="H12" s="43"/>
      <c r="I12" s="44"/>
      <c r="J12" s="82"/>
      <c r="K12" s="82"/>
      <c r="L12" s="34"/>
      <c r="M12" s="34"/>
      <c r="N12" s="45"/>
      <c r="O12" s="46"/>
      <c r="P12" s="47"/>
      <c r="Q12" s="46"/>
      <c r="R12" s="384"/>
      <c r="S12" s="384"/>
      <c r="T12" s="36"/>
      <c r="U12" s="36"/>
      <c r="V12" s="36"/>
      <c r="W12" s="36"/>
      <c r="X12" s="37"/>
      <c r="Y12" s="208"/>
      <c r="Z12" s="615"/>
      <c r="AA12" s="36"/>
      <c r="AB12" s="36"/>
      <c r="AC12" s="36"/>
      <c r="AD12" s="36">
        <f>+AM12+BA12</f>
        <v>3</v>
      </c>
      <c r="AE12" s="225" t="s">
        <v>419</v>
      </c>
      <c r="AF12" s="36"/>
      <c r="AG12" s="36">
        <v>3</v>
      </c>
      <c r="AH12" s="36"/>
      <c r="AI12" s="461"/>
      <c r="AJ12" s="36"/>
      <c r="AK12" s="36"/>
      <c r="AL12" s="36"/>
      <c r="AM12" s="36">
        <f>SUM(AF12:AL12)+AT12+AV12+AX12</f>
        <v>3</v>
      </c>
      <c r="AN12" s="83"/>
      <c r="AO12" s="36"/>
      <c r="AP12" s="36"/>
      <c r="AQ12" s="36"/>
      <c r="AR12" s="36">
        <f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>
        <f>+AR12+AS12+AU12+AW12+AY12+AZ12</f>
        <v>0</v>
      </c>
      <c r="BB12" s="49"/>
      <c r="BC12" s="50">
        <v>1</v>
      </c>
      <c r="BD12" s="50"/>
      <c r="BE12" s="49"/>
      <c r="BF12" s="50"/>
    </row>
    <row r="13" spans="1:58" ht="12.95" customHeight="1">
      <c r="A13" s="39"/>
      <c r="B13" s="40"/>
      <c r="C13" s="416"/>
      <c r="D13" s="40"/>
      <c r="E13" s="41"/>
      <c r="F13" s="41"/>
      <c r="G13" s="42"/>
      <c r="H13" s="43"/>
      <c r="I13" s="44"/>
      <c r="J13" s="82"/>
      <c r="K13" s="82"/>
      <c r="L13" s="34"/>
      <c r="M13" s="34"/>
      <c r="N13" s="45"/>
      <c r="O13" s="46"/>
      <c r="P13" s="47"/>
      <c r="Q13" s="46"/>
      <c r="R13" s="384"/>
      <c r="S13" s="384"/>
      <c r="T13" s="36"/>
      <c r="U13" s="36"/>
      <c r="V13" s="36"/>
      <c r="W13" s="36"/>
      <c r="X13" s="37"/>
      <c r="Y13" s="208"/>
      <c r="Z13" s="615"/>
      <c r="AA13" s="36"/>
      <c r="AB13" s="36"/>
      <c r="AC13" s="36"/>
      <c r="AD13" s="36">
        <f>+AM13+BA13</f>
        <v>29</v>
      </c>
      <c r="AE13" s="225" t="s">
        <v>443</v>
      </c>
      <c r="AF13" s="32"/>
      <c r="AG13" s="32"/>
      <c r="AH13" s="32">
        <v>29</v>
      </c>
      <c r="AJ13" s="36"/>
      <c r="AK13" s="36"/>
      <c r="AL13" s="36"/>
      <c r="AM13" s="36">
        <f>SUM(AF13:AL13)+AT13+AV13+AX13</f>
        <v>29</v>
      </c>
      <c r="AN13" s="36"/>
      <c r="AO13" s="36"/>
      <c r="AP13" s="36"/>
      <c r="AQ13" s="36"/>
      <c r="AR13" s="36">
        <f>SUM(AN13:AQ13)</f>
        <v>0</v>
      </c>
      <c r="AS13" s="36"/>
      <c r="AT13" s="36"/>
      <c r="AU13" s="36"/>
      <c r="AV13" s="36"/>
      <c r="AW13" s="36"/>
      <c r="AX13" s="36"/>
      <c r="AY13" s="36"/>
      <c r="AZ13" s="36"/>
      <c r="BA13" s="36">
        <f>+AR13+AS13+AU13+AW13+AY13+AZ13</f>
        <v>0</v>
      </c>
      <c r="BB13" s="32"/>
      <c r="BC13" s="52"/>
      <c r="BD13" s="52"/>
      <c r="BE13" s="32"/>
      <c r="BF13" s="52"/>
    </row>
    <row r="14" spans="1:58" ht="12.95" customHeight="1">
      <c r="A14" s="39"/>
      <c r="B14" s="40"/>
      <c r="C14" s="416"/>
      <c r="D14" s="40"/>
      <c r="E14" s="41"/>
      <c r="F14" s="41"/>
      <c r="G14" s="42"/>
      <c r="H14" s="43"/>
      <c r="I14" s="44"/>
      <c r="J14" s="82"/>
      <c r="K14" s="82"/>
      <c r="L14" s="34"/>
      <c r="M14" s="34"/>
      <c r="N14" s="45"/>
      <c r="O14" s="46"/>
      <c r="P14" s="47"/>
      <c r="Q14" s="33"/>
      <c r="R14" s="384"/>
      <c r="S14" s="384"/>
      <c r="T14" s="36"/>
      <c r="U14" s="36"/>
      <c r="V14" s="36"/>
      <c r="W14" s="36"/>
      <c r="X14" s="37"/>
      <c r="Y14" s="208"/>
      <c r="Z14" s="615"/>
      <c r="AA14" s="36"/>
      <c r="AB14" s="36"/>
      <c r="AC14" s="36"/>
      <c r="AD14" s="36">
        <f>+AM14+BA14</f>
        <v>71</v>
      </c>
      <c r="AE14" s="228" t="s">
        <v>434</v>
      </c>
      <c r="AF14" s="36"/>
      <c r="AG14" s="36"/>
      <c r="AH14" s="36"/>
      <c r="AI14" s="461"/>
      <c r="AJ14" s="36"/>
      <c r="AK14" s="36"/>
      <c r="AL14" s="36"/>
      <c r="AM14" s="36">
        <f>SUM(AF14:AL14)+AT14+AV14+AX14</f>
        <v>0</v>
      </c>
      <c r="AN14" s="36">
        <v>71</v>
      </c>
      <c r="AO14" s="36"/>
      <c r="AP14" s="36"/>
      <c r="AQ14" s="36"/>
      <c r="AR14" s="36">
        <f>SUM(AN14:AQ14)</f>
        <v>71</v>
      </c>
      <c r="AS14" s="36"/>
      <c r="AT14" s="36"/>
      <c r="AU14" s="36"/>
      <c r="AV14" s="36"/>
      <c r="AW14" s="36"/>
      <c r="AX14" s="36"/>
      <c r="AY14" s="36"/>
      <c r="AZ14" s="36"/>
      <c r="BA14" s="36">
        <f>+AR14+AS14+AU14+AW14+AY14+AZ14</f>
        <v>71</v>
      </c>
      <c r="BB14" s="32"/>
      <c r="BC14" s="52"/>
      <c r="BD14" s="52"/>
      <c r="BE14" s="32"/>
      <c r="BF14" s="52"/>
    </row>
    <row r="15" spans="1:58" ht="12.95" customHeight="1">
      <c r="A15" s="39"/>
      <c r="B15" s="40"/>
      <c r="C15" s="416"/>
      <c r="D15" s="40"/>
      <c r="E15" s="41"/>
      <c r="F15" s="41"/>
      <c r="G15" s="459"/>
      <c r="H15" s="43"/>
      <c r="I15" s="44"/>
      <c r="J15" s="82"/>
      <c r="K15" s="82"/>
      <c r="L15" s="34"/>
      <c r="M15" s="34"/>
      <c r="N15" s="45"/>
      <c r="O15" s="46"/>
      <c r="P15" s="47"/>
      <c r="Q15" s="46"/>
      <c r="R15" s="384"/>
      <c r="S15" s="384"/>
      <c r="T15" s="36"/>
      <c r="U15" s="36"/>
      <c r="V15" s="36"/>
      <c r="W15" s="36"/>
      <c r="X15" s="37"/>
      <c r="Y15" s="208"/>
      <c r="Z15" s="615"/>
      <c r="AA15" s="36"/>
      <c r="AB15" s="36"/>
      <c r="AC15" s="36"/>
      <c r="AD15" s="36"/>
      <c r="AE15" s="225"/>
      <c r="AF15" s="36"/>
      <c r="AG15" s="36"/>
      <c r="AH15" s="36"/>
      <c r="AI15" s="461"/>
      <c r="AJ15" s="36"/>
      <c r="AK15" s="36"/>
      <c r="AL15" s="36"/>
      <c r="AM15" s="36"/>
      <c r="AN15" s="83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49"/>
      <c r="BC15" s="50"/>
      <c r="BD15" s="50"/>
      <c r="BE15" s="49"/>
      <c r="BF15" s="50"/>
    </row>
    <row r="16" spans="1:58" ht="12.95" customHeight="1">
      <c r="A16" s="39">
        <v>46115</v>
      </c>
      <c r="B16" s="40" t="s">
        <v>403</v>
      </c>
      <c r="C16" s="416">
        <f>(M16*E16*O16*Q16)/100000000</f>
        <v>3.0858240000000001</v>
      </c>
      <c r="D16" s="40" t="s">
        <v>276</v>
      </c>
      <c r="E16" s="41">
        <v>12</v>
      </c>
      <c r="F16" s="41">
        <v>1</v>
      </c>
      <c r="G16" s="459">
        <v>1400</v>
      </c>
      <c r="H16" s="43">
        <f>+N16</f>
        <v>0.18000000000000005</v>
      </c>
      <c r="I16" s="44">
        <v>0.88</v>
      </c>
      <c r="J16" s="82">
        <f>E16*G16*(1-H16)*1440/1000000*2.87</f>
        <v>56.933452800000005</v>
      </c>
      <c r="K16" s="82">
        <f>(IF(G16&lt;L16,L16,G16)*(1-IF(H16&lt;N16,H16,N16))*E16*O16*Q16)/100000000</f>
        <v>3.0858240000000001</v>
      </c>
      <c r="L16" s="34">
        <v>1400</v>
      </c>
      <c r="M16" s="34">
        <v>1148</v>
      </c>
      <c r="N16" s="45">
        <f>1-(M16/L16)</f>
        <v>0.18000000000000005</v>
      </c>
      <c r="O16" s="46">
        <f>+'Trim Rwd'!H10</f>
        <v>280</v>
      </c>
      <c r="P16" s="47">
        <f>O16*(Q16-R16-S16)</f>
        <v>22400</v>
      </c>
      <c r="Q16" s="46">
        <f>60+20</f>
        <v>80</v>
      </c>
      <c r="R16" s="384">
        <v>0</v>
      </c>
      <c r="S16" s="384">
        <v>0</v>
      </c>
      <c r="T16" s="36">
        <f>E16*M16*O16*Q16/100000000</f>
        <v>3.0858240000000001</v>
      </c>
      <c r="U16" s="36">
        <f>E16*M16*O16*(Q16-R16-S16)/100000000</f>
        <v>3.0858240000000001</v>
      </c>
      <c r="V16" s="36">
        <f>E16*G16*(1-N16)*O16/100*(R16+S16)/1000000</f>
        <v>0</v>
      </c>
      <c r="W16" s="36">
        <f>+'3'!K7/1000</f>
        <v>14.145</v>
      </c>
      <c r="X16" s="381">
        <f>SUM(W16:W19)/SUM(K16:K19)</f>
        <v>1.0974484167977767</v>
      </c>
      <c r="Y16" s="36">
        <v>0</v>
      </c>
      <c r="Z16" s="615">
        <f>+'3'!D34/1000</f>
        <v>0.20799999999999999</v>
      </c>
      <c r="AA16" s="48">
        <f>SUM(U16:U19)-SUM(W16:W19)-SUM(Z16:Z19)-SUM(Y16:Y19)</f>
        <v>-6.007995199999991</v>
      </c>
      <c r="AB16" s="48">
        <f>(SUM(K16:K19)-SUM(W16:W19)-SUM(Y16:Y19)-SUM(Z16:Z19)-SUM(AC16:AC19)-SUM(V16:V19))-AA16</f>
        <v>0</v>
      </c>
      <c r="AC16" s="36">
        <f>K16-T16</f>
        <v>0</v>
      </c>
      <c r="AD16" s="36">
        <f>+AM16+BA16</f>
        <v>0</v>
      </c>
      <c r="AE16" s="225" t="s">
        <v>385</v>
      </c>
      <c r="AF16" s="36">
        <v>0</v>
      </c>
      <c r="AG16" s="36"/>
      <c r="AH16" s="36"/>
      <c r="AI16" s="461"/>
      <c r="AJ16" s="36"/>
      <c r="AK16" s="36"/>
      <c r="AL16" s="36"/>
      <c r="AM16" s="36">
        <f>SUM(AF16:AL16)+AT16+AV16+AX16</f>
        <v>0</v>
      </c>
      <c r="AN16" s="36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>
        <f>+AR16+AS16+AU16+AW16+AY16+AZ16</f>
        <v>0</v>
      </c>
      <c r="BB16" s="32">
        <v>0</v>
      </c>
      <c r="BC16" s="50"/>
      <c r="BD16" s="50"/>
      <c r="BE16" s="32"/>
      <c r="BF16" s="50"/>
    </row>
    <row r="17" spans="1:58" ht="12.95" customHeight="1">
      <c r="A17" s="39"/>
      <c r="B17" s="40" t="s">
        <v>403</v>
      </c>
      <c r="C17" s="416">
        <f>(M17*E17*O17*Q17)/100000000</f>
        <v>48.087423999999999</v>
      </c>
      <c r="D17" s="40" t="s">
        <v>276</v>
      </c>
      <c r="E17" s="41">
        <v>11</v>
      </c>
      <c r="F17" s="41">
        <v>1</v>
      </c>
      <c r="G17" s="459">
        <v>1400</v>
      </c>
      <c r="H17" s="43">
        <f>+N17</f>
        <v>0.18000000000000005</v>
      </c>
      <c r="I17" s="44">
        <v>0.88</v>
      </c>
      <c r="J17" s="82">
        <f>E17*G17*(1-H17)*1440/1000000*2.87</f>
        <v>52.188998400000003</v>
      </c>
      <c r="K17" s="82">
        <f>(IF(G17&lt;L17,L17,G17)*(1-IF(H17&lt;N17,H17,N17))*E17*O17*Q17)/100000000</f>
        <v>48.087423999999999</v>
      </c>
      <c r="L17" s="34">
        <v>1400</v>
      </c>
      <c r="M17" s="34">
        <v>1148</v>
      </c>
      <c r="N17" s="45">
        <f>1-(M17/L17)</f>
        <v>0.18000000000000005</v>
      </c>
      <c r="O17" s="46">
        <f>+'Trim Rwd'!H11</f>
        <v>280</v>
      </c>
      <c r="P17" s="47">
        <f>O17*(Q17-R17-S17)</f>
        <v>374360</v>
      </c>
      <c r="Q17" s="46">
        <f>1440-Q16</f>
        <v>1360</v>
      </c>
      <c r="R17" s="384">
        <v>0</v>
      </c>
      <c r="S17" s="384">
        <v>23</v>
      </c>
      <c r="T17" s="36">
        <f>E17*M17*O17*Q17/100000000</f>
        <v>48.087423999999999</v>
      </c>
      <c r="U17" s="36">
        <f>E17*M17*O17*(Q17-R17-S17)/100000000</f>
        <v>47.274180800000003</v>
      </c>
      <c r="V17" s="36">
        <f>E17*G17*(1-N17)*O17/100*(R17+S17)/1000000</f>
        <v>0.81324320000000005</v>
      </c>
      <c r="W17" s="36">
        <f>+'3'!K8/1000</f>
        <v>42.015000000000001</v>
      </c>
      <c r="X17" s="37"/>
      <c r="Y17" s="208"/>
      <c r="Z17" s="615"/>
      <c r="AA17" s="36"/>
      <c r="AB17" s="36"/>
      <c r="AC17" s="36">
        <f>K17-T17</f>
        <v>0</v>
      </c>
      <c r="AD17" s="36">
        <f>+AM17+BA17</f>
        <v>0</v>
      </c>
      <c r="AE17" s="225" t="s">
        <v>399</v>
      </c>
      <c r="AF17" s="36"/>
      <c r="AG17" s="36">
        <v>0</v>
      </c>
      <c r="AH17" s="36"/>
      <c r="AI17" s="461"/>
      <c r="AJ17" s="36"/>
      <c r="AK17" s="36"/>
      <c r="AL17" s="36"/>
      <c r="AM17" s="36">
        <f>SUM(AF17:AL17)+AT17+AV17+AX17</f>
        <v>0</v>
      </c>
      <c r="AN17" s="83"/>
      <c r="AO17" s="36"/>
      <c r="AP17" s="36"/>
      <c r="AQ17" s="36"/>
      <c r="AR17" s="36">
        <f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>
        <f>+AR17+AS17+AU17+AW17+AY17+AZ17</f>
        <v>0</v>
      </c>
      <c r="BB17" s="49"/>
      <c r="BC17" s="50">
        <v>0</v>
      </c>
      <c r="BD17" s="50"/>
      <c r="BE17" s="49"/>
      <c r="BF17" s="50"/>
    </row>
    <row r="18" spans="1:58" ht="12.95" customHeight="1">
      <c r="A18" s="39"/>
      <c r="B18" s="40"/>
      <c r="C18" s="416"/>
      <c r="D18" s="40"/>
      <c r="E18" s="41"/>
      <c r="F18" s="41"/>
      <c r="G18" s="42"/>
      <c r="H18" s="43"/>
      <c r="I18" s="44"/>
      <c r="J18" s="82"/>
      <c r="K18" s="82"/>
      <c r="L18" s="34"/>
      <c r="M18" s="34"/>
      <c r="N18" s="45"/>
      <c r="O18" s="46"/>
      <c r="P18" s="47"/>
      <c r="Q18" s="46"/>
      <c r="R18" s="384"/>
      <c r="S18" s="384"/>
      <c r="T18" s="36"/>
      <c r="U18" s="36"/>
      <c r="V18" s="36"/>
      <c r="W18" s="36"/>
      <c r="X18" s="37"/>
      <c r="Y18" s="208"/>
      <c r="Z18" s="615"/>
      <c r="AA18" s="36"/>
      <c r="AB18" s="36"/>
      <c r="AC18" s="36"/>
      <c r="AD18" s="36">
        <f>+AM18+BA18</f>
        <v>23</v>
      </c>
      <c r="AE18" s="225" t="s">
        <v>446</v>
      </c>
      <c r="AF18" s="32"/>
      <c r="AG18" s="32"/>
      <c r="AH18" s="32">
        <v>23</v>
      </c>
      <c r="AJ18" s="36"/>
      <c r="AK18" s="36"/>
      <c r="AL18" s="36"/>
      <c r="AM18" s="36">
        <f>SUM(AF18:AL18)+AT18+AV18+AX18</f>
        <v>23</v>
      </c>
      <c r="AN18" s="36"/>
      <c r="AO18" s="36"/>
      <c r="AP18" s="36"/>
      <c r="AQ18" s="36"/>
      <c r="AR18" s="36">
        <f>SUM(AN18:AQ18)</f>
        <v>0</v>
      </c>
      <c r="AS18" s="36"/>
      <c r="AT18" s="36"/>
      <c r="AU18" s="36"/>
      <c r="AV18" s="36"/>
      <c r="AW18" s="36"/>
      <c r="AX18" s="36"/>
      <c r="AY18" s="36"/>
      <c r="AZ18" s="36"/>
      <c r="BA18" s="36">
        <f>+AR18+AS18+AU18+AW18+AY18+AZ18</f>
        <v>0</v>
      </c>
      <c r="BB18" s="32"/>
      <c r="BC18" s="52"/>
      <c r="BD18" s="52"/>
      <c r="BE18" s="32"/>
      <c r="BF18" s="52"/>
    </row>
    <row r="19" spans="1:58" ht="12.95" customHeight="1">
      <c r="A19" s="39"/>
      <c r="B19" s="40"/>
      <c r="C19" s="416"/>
      <c r="D19" s="40"/>
      <c r="E19" s="41"/>
      <c r="F19" s="41"/>
      <c r="G19" s="42"/>
      <c r="H19" s="43"/>
      <c r="I19" s="44"/>
      <c r="J19" s="82"/>
      <c r="K19" s="82"/>
      <c r="L19" s="34"/>
      <c r="M19" s="34"/>
      <c r="N19" s="45"/>
      <c r="O19" s="46"/>
      <c r="P19" s="47"/>
      <c r="Q19" s="33"/>
      <c r="R19" s="384"/>
      <c r="S19" s="384"/>
      <c r="T19" s="36"/>
      <c r="U19" s="36"/>
      <c r="V19" s="36"/>
      <c r="W19" s="36"/>
      <c r="X19" s="37"/>
      <c r="Y19" s="208"/>
      <c r="Z19" s="615"/>
      <c r="AA19" s="36"/>
      <c r="AB19" s="36"/>
      <c r="AC19" s="36"/>
      <c r="AD19" s="36"/>
      <c r="AE19" s="228"/>
      <c r="AF19" s="36"/>
      <c r="AG19" s="36"/>
      <c r="AH19" s="36"/>
      <c r="AI19" s="461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2"/>
      <c r="BC19" s="52"/>
      <c r="BD19" s="52"/>
      <c r="BE19" s="32"/>
      <c r="BF19" s="52"/>
    </row>
    <row r="20" spans="1:58" ht="12.95" customHeight="1">
      <c r="A20" s="39">
        <v>46116</v>
      </c>
      <c r="B20" s="40" t="s">
        <v>403</v>
      </c>
      <c r="C20" s="416">
        <f>(M20*E20*O20*Q20)/100000000</f>
        <v>21.215039999999998</v>
      </c>
      <c r="D20" s="40" t="s">
        <v>276</v>
      </c>
      <c r="E20" s="41">
        <v>11</v>
      </c>
      <c r="F20" s="41">
        <v>1</v>
      </c>
      <c r="G20" s="459">
        <v>1400</v>
      </c>
      <c r="H20" s="43">
        <f>+N20</f>
        <v>0.18000000000000005</v>
      </c>
      <c r="I20" s="44">
        <v>0.88</v>
      </c>
      <c r="J20" s="82">
        <f>E20*G20*(1-H20)*1440/1000000*2.87</f>
        <v>52.188998400000003</v>
      </c>
      <c r="K20" s="82">
        <f>(IF(G20&lt;L20,L20,G20)*(1-IF(H20&lt;N20,H20,N20))*E20*O20*Q20)/100000000</f>
        <v>21.215039999999998</v>
      </c>
      <c r="L20" s="34">
        <v>1400</v>
      </c>
      <c r="M20" s="34">
        <v>1148</v>
      </c>
      <c r="N20" s="45">
        <f>1-(M20/L20)</f>
        <v>0.18000000000000005</v>
      </c>
      <c r="O20" s="46">
        <f>+'Trim Rwd'!H13</f>
        <v>280</v>
      </c>
      <c r="P20" s="47">
        <f>O20*(Q20-R20-S20)</f>
        <v>165200</v>
      </c>
      <c r="Q20" s="46">
        <v>600</v>
      </c>
      <c r="R20" s="384">
        <v>0</v>
      </c>
      <c r="S20" s="384">
        <v>10</v>
      </c>
      <c r="T20" s="36">
        <f>E20*M20*O20*Q20/100000000</f>
        <v>21.215039999999998</v>
      </c>
      <c r="U20" s="36">
        <f>E20*M20*O20*(Q20-R20-S20)/100000000</f>
        <v>20.861456</v>
      </c>
      <c r="V20" s="36">
        <f>E20*G20*(1-N20)*O20/100*(R20+S20)/1000000</f>
        <v>0.35358400000000001</v>
      </c>
      <c r="W20" s="36">
        <f>+'4'!K8/1000</f>
        <v>24.405999999999999</v>
      </c>
      <c r="X20" s="381">
        <f>SUM(W20:W23)/SUM(K20:K23)</f>
        <v>0.85554476436593652</v>
      </c>
      <c r="Y20" s="36">
        <v>0</v>
      </c>
      <c r="Z20" s="615">
        <f>+'4'!D7/1000</f>
        <v>0.54</v>
      </c>
      <c r="AA20" s="48">
        <f>SUM(U20:U23)-SUM(W20:W23)-SUM(Z20:Z23)-SUM(Y20:Y23)</f>
        <v>3.3184620499999991</v>
      </c>
      <c r="AB20" s="48">
        <f>(SUM(K20:K23)-SUM(W20:W23)-SUM(Y20:Y23)-SUM(Z20:Z23)-SUM(AC20:AC23)-SUM(V20:V23))-AA20</f>
        <v>3.6995400000001233E-2</v>
      </c>
      <c r="AC20" s="36">
        <f>K20-T20</f>
        <v>0</v>
      </c>
      <c r="AD20" s="36">
        <f>+AM20+BA20</f>
        <v>0</v>
      </c>
      <c r="AE20" s="225" t="s">
        <v>385</v>
      </c>
      <c r="AF20" s="36">
        <v>0</v>
      </c>
      <c r="AG20" s="36"/>
      <c r="AH20" s="36"/>
      <c r="AI20" s="461"/>
      <c r="AJ20" s="36"/>
      <c r="AK20" s="36"/>
      <c r="AL20" s="36"/>
      <c r="AM20" s="36">
        <f>SUM(AF20:AL20)+AT20+AV20+AX20</f>
        <v>0</v>
      </c>
      <c r="AN20" s="36"/>
      <c r="AO20" s="36"/>
      <c r="AP20" s="36"/>
      <c r="AQ20" s="36"/>
      <c r="AR20" s="36">
        <f>SUM(AN20:AQ20)</f>
        <v>0</v>
      </c>
      <c r="AS20" s="36"/>
      <c r="AT20" s="36"/>
      <c r="AU20" s="36"/>
      <c r="AV20" s="36"/>
      <c r="AW20" s="36"/>
      <c r="AX20" s="36"/>
      <c r="AY20" s="36"/>
      <c r="AZ20" s="36"/>
      <c r="BA20" s="36">
        <f>+AR20+AS20+AU20+AW20+AY20+AZ20</f>
        <v>0</v>
      </c>
      <c r="BB20" s="32">
        <v>0</v>
      </c>
      <c r="BC20" s="50"/>
      <c r="BD20" s="50"/>
      <c r="BE20" s="32"/>
      <c r="BF20" s="50"/>
    </row>
    <row r="21" spans="1:58" ht="12.95" customHeight="1">
      <c r="A21" s="39"/>
      <c r="B21" s="40" t="s">
        <v>403</v>
      </c>
      <c r="C21" s="416">
        <f>(M21*E21*O21*Q21)/100000000</f>
        <v>13.632300000000001</v>
      </c>
      <c r="D21" s="40" t="s">
        <v>276</v>
      </c>
      <c r="E21" s="41">
        <v>16.5</v>
      </c>
      <c r="F21" s="41">
        <v>1</v>
      </c>
      <c r="G21" s="459">
        <v>950</v>
      </c>
      <c r="H21" s="43">
        <f>+N21</f>
        <v>0.15000000000000002</v>
      </c>
      <c r="I21" s="44">
        <v>0.88</v>
      </c>
      <c r="J21" s="82">
        <f>E21*G21*(1-H21)*1440/1000000*2.87</f>
        <v>55.064394</v>
      </c>
      <c r="K21" s="82">
        <f>(IF(G21&lt;L21,L21,G21)*(1-IF(H21&lt;N21,H21,N21))*E21*O21*Q21)/100000000</f>
        <v>13.632300000000001</v>
      </c>
      <c r="L21" s="34">
        <v>1000</v>
      </c>
      <c r="M21" s="34">
        <v>850</v>
      </c>
      <c r="N21" s="45">
        <f>1-(M21/L21)</f>
        <v>0.15000000000000002</v>
      </c>
      <c r="O21" s="46">
        <f>+'Trim Rwd'!H14</f>
        <v>270</v>
      </c>
      <c r="P21" s="47">
        <f>O21*(Q21-R21-S21)</f>
        <v>95040</v>
      </c>
      <c r="Q21" s="46">
        <v>360</v>
      </c>
      <c r="R21" s="384">
        <v>0</v>
      </c>
      <c r="S21" s="384">
        <v>8</v>
      </c>
      <c r="T21" s="36">
        <f>E21*M21*O21*Q21/100000000</f>
        <v>13.632300000000001</v>
      </c>
      <c r="U21" s="36">
        <f>E21*M21*O21*(Q21-R21-S21)/100000000</f>
        <v>13.329359999999999</v>
      </c>
      <c r="V21" s="36">
        <f>E21*G21*(1-N21)*O21/100*(R21+S21)/1000000</f>
        <v>0.28779300000000002</v>
      </c>
      <c r="W21" s="36">
        <f>+'4'!K9/1000</f>
        <v>4.1550000000000002</v>
      </c>
      <c r="X21" s="37"/>
      <c r="Y21" s="208"/>
      <c r="Z21" s="615">
        <f>+'4'!D18/1000</f>
        <v>0.3</v>
      </c>
      <c r="AA21" s="36"/>
      <c r="AB21" s="36"/>
      <c r="AC21" s="36">
        <f>K21-T21</f>
        <v>0</v>
      </c>
      <c r="AD21" s="36">
        <f>+AM21+BA21</f>
        <v>0</v>
      </c>
      <c r="AE21" s="225" t="s">
        <v>399</v>
      </c>
      <c r="AF21" s="36"/>
      <c r="AG21" s="36">
        <v>0</v>
      </c>
      <c r="AH21" s="36"/>
      <c r="AI21" s="461"/>
      <c r="AJ21" s="36"/>
      <c r="AK21" s="36"/>
      <c r="AL21" s="36"/>
      <c r="AM21" s="36">
        <f>SUM(AF21:AL21)+AT21+AV21+AX21</f>
        <v>0</v>
      </c>
      <c r="AN21" s="83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>
        <f>+AR21+AS21+AU21+AW21+AY21+AZ21</f>
        <v>0</v>
      </c>
      <c r="BB21" s="49"/>
      <c r="BC21" s="50">
        <v>0</v>
      </c>
      <c r="BD21" s="50"/>
      <c r="BE21" s="49"/>
      <c r="BF21" s="50"/>
    </row>
    <row r="22" spans="1:58" ht="12.95" customHeight="1">
      <c r="A22" s="39"/>
      <c r="B22" s="40" t="s">
        <v>403</v>
      </c>
      <c r="C22" s="416">
        <f>(M22*E22*O22*Q22)/100000000</f>
        <v>18.3713832</v>
      </c>
      <c r="D22" s="40" t="s">
        <v>276</v>
      </c>
      <c r="E22" s="41">
        <v>17</v>
      </c>
      <c r="F22" s="41">
        <v>1</v>
      </c>
      <c r="G22" s="459">
        <v>925</v>
      </c>
      <c r="H22" s="43">
        <f>+N22</f>
        <v>0.15000000000000002</v>
      </c>
      <c r="I22" s="44">
        <v>0.88</v>
      </c>
      <c r="J22" s="82">
        <f>E22*G22*(1-H22)*1440/1000000*2.87</f>
        <v>55.240037999999998</v>
      </c>
      <c r="K22" s="82">
        <f>(IF(G22&lt;L22,L22,G22)*(1-IF(H22&lt;N22,H22,N22))*E22*O22*Q22)/100000000</f>
        <v>18.3713832</v>
      </c>
      <c r="L22" s="34">
        <v>981</v>
      </c>
      <c r="M22" s="34">
        <v>833.85</v>
      </c>
      <c r="N22" s="45">
        <f>1-(M22/L22)</f>
        <v>0.15000000000000002</v>
      </c>
      <c r="O22" s="46">
        <f>+'Trim Rwd'!H15</f>
        <v>270</v>
      </c>
      <c r="P22" s="47">
        <f>O22*(Q22-R22-S22)</f>
        <v>126900</v>
      </c>
      <c r="Q22" s="46">
        <v>480</v>
      </c>
      <c r="R22" s="384">
        <v>0</v>
      </c>
      <c r="S22" s="384">
        <v>10</v>
      </c>
      <c r="T22" s="36">
        <f>E22*M22*O22*Q22/100000000</f>
        <v>18.3713832</v>
      </c>
      <c r="U22" s="36">
        <f>E22*M22*O22*(Q22-R22-S22)/100000000</f>
        <v>17.98864605</v>
      </c>
      <c r="V22" s="36">
        <f>E22*G22*(1-N22)*O22/100*(R22+S22)/1000000</f>
        <v>0.36088874999999998</v>
      </c>
      <c r="W22" s="36">
        <f>+'4'!K10/1000</f>
        <v>13.906000000000001</v>
      </c>
      <c r="X22" s="37"/>
      <c r="Y22" s="208"/>
      <c r="Z22" s="615">
        <f>+'4'!D25/1000</f>
        <v>1.49</v>
      </c>
      <c r="AA22" s="36"/>
      <c r="AB22" s="36"/>
      <c r="AC22" s="36">
        <f>K22-T22</f>
        <v>0</v>
      </c>
      <c r="AD22" s="36">
        <f>+AM22+BA22</f>
        <v>28</v>
      </c>
      <c r="AE22" s="225" t="s">
        <v>469</v>
      </c>
      <c r="AF22" s="32"/>
      <c r="AG22" s="32"/>
      <c r="AH22" s="32">
        <v>28</v>
      </c>
      <c r="AJ22" s="36"/>
      <c r="AK22" s="36"/>
      <c r="AL22" s="36"/>
      <c r="AM22" s="36">
        <f>SUM(AF22:AL22)+AT22+AV22+AX22</f>
        <v>28</v>
      </c>
      <c r="AN22" s="36"/>
      <c r="AO22" s="36"/>
      <c r="AP22" s="36"/>
      <c r="AQ22" s="36"/>
      <c r="AR22" s="36">
        <f>SUM(AN22:AQ22)</f>
        <v>0</v>
      </c>
      <c r="AS22" s="36"/>
      <c r="AT22" s="36"/>
      <c r="AU22" s="36"/>
      <c r="AV22" s="36"/>
      <c r="AW22" s="36"/>
      <c r="AX22" s="36"/>
      <c r="AY22" s="36"/>
      <c r="AZ22" s="36"/>
      <c r="BA22" s="36">
        <f>+AR22+AS22+AU22+AW22+AY22+AZ22</f>
        <v>0</v>
      </c>
      <c r="BB22" s="32"/>
      <c r="BC22" s="52"/>
      <c r="BD22" s="52"/>
      <c r="BE22" s="32"/>
      <c r="BF22" s="52"/>
    </row>
    <row r="23" spans="1:58" ht="12.95" customHeight="1">
      <c r="A23" s="39"/>
      <c r="B23" s="40" t="s">
        <v>403</v>
      </c>
      <c r="C23" s="416"/>
      <c r="D23" s="40"/>
      <c r="E23" s="41">
        <v>12</v>
      </c>
      <c r="F23" s="41"/>
      <c r="G23" s="42"/>
      <c r="H23" s="43"/>
      <c r="I23" s="44"/>
      <c r="J23" s="82"/>
      <c r="K23" s="82"/>
      <c r="L23" s="34"/>
      <c r="M23" s="34"/>
      <c r="N23" s="45"/>
      <c r="O23" s="46"/>
      <c r="P23" s="47"/>
      <c r="Q23" s="33"/>
      <c r="R23" s="384"/>
      <c r="S23" s="384"/>
      <c r="T23" s="36"/>
      <c r="U23" s="36"/>
      <c r="V23" s="36"/>
      <c r="W23" s="36">
        <f>+'4'!K7/1000</f>
        <v>3.0640000000000001</v>
      </c>
      <c r="X23" s="37"/>
      <c r="Y23" s="208"/>
      <c r="Z23" s="615">
        <f>+('4'!D8+'4'!D17)/1000</f>
        <v>1</v>
      </c>
      <c r="AA23" s="36"/>
      <c r="AB23" s="36"/>
      <c r="AC23" s="36"/>
      <c r="AD23" s="36"/>
      <c r="AE23" s="228"/>
      <c r="AF23" s="36"/>
      <c r="AG23" s="36"/>
      <c r="AH23" s="36"/>
      <c r="AI23" s="461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2"/>
      <c r="BC23" s="52"/>
      <c r="BD23" s="52"/>
      <c r="BE23" s="32"/>
      <c r="BF23" s="52"/>
    </row>
    <row r="24" spans="1:58" ht="12.95" customHeight="1">
      <c r="A24" s="39"/>
      <c r="B24" s="40"/>
      <c r="C24" s="416"/>
      <c r="D24" s="40"/>
      <c r="E24" s="41"/>
      <c r="F24" s="41"/>
      <c r="G24" s="42"/>
      <c r="H24" s="43"/>
      <c r="I24" s="44"/>
      <c r="J24" s="82"/>
      <c r="K24" s="82"/>
      <c r="L24" s="34"/>
      <c r="M24" s="34"/>
      <c r="N24" s="45"/>
      <c r="O24" s="46"/>
      <c r="P24" s="47"/>
      <c r="Q24" s="33"/>
      <c r="R24" s="384"/>
      <c r="S24" s="384"/>
      <c r="T24" s="36"/>
      <c r="U24" s="36"/>
      <c r="V24" s="36"/>
      <c r="W24" s="36"/>
      <c r="X24" s="37"/>
      <c r="Y24" s="208"/>
      <c r="Z24" s="615"/>
      <c r="AA24" s="36"/>
      <c r="AB24" s="36"/>
      <c r="AC24" s="36"/>
      <c r="AD24" s="36"/>
      <c r="AE24" s="228"/>
      <c r="AF24" s="36"/>
      <c r="AG24" s="36"/>
      <c r="AH24" s="36"/>
      <c r="AI24" s="461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2"/>
      <c r="BC24" s="52"/>
      <c r="BD24" s="52"/>
      <c r="BE24" s="32"/>
      <c r="BF24" s="52"/>
    </row>
    <row r="25" spans="1:58" ht="12.95" customHeight="1">
      <c r="A25" s="39">
        <v>46117</v>
      </c>
      <c r="B25" s="40" t="s">
        <v>403</v>
      </c>
      <c r="C25" s="416">
        <f>(M25*E25*O25*Q25)/100000000</f>
        <v>55.057968000000002</v>
      </c>
      <c r="D25" s="40" t="s">
        <v>276</v>
      </c>
      <c r="E25" s="41">
        <v>17</v>
      </c>
      <c r="F25" s="41">
        <v>1</v>
      </c>
      <c r="G25" s="459">
        <v>925</v>
      </c>
      <c r="H25" s="43">
        <f>+N25</f>
        <v>0.15000000000000002</v>
      </c>
      <c r="I25" s="44">
        <v>0.88</v>
      </c>
      <c r="J25" s="82">
        <f>E25*G25*(1-H25)*1440/1000000*2.87</f>
        <v>55.240037999999998</v>
      </c>
      <c r="K25" s="82">
        <f>(IF(G25&lt;L25,L25,G25)*(1-IF(H25&lt;N25,H25,N25))*E25*O25*Q25)/100000000</f>
        <v>55.057968000000002</v>
      </c>
      <c r="L25" s="34">
        <v>980</v>
      </c>
      <c r="M25" s="34">
        <v>833</v>
      </c>
      <c r="N25" s="45">
        <f>1-(M25/L25)</f>
        <v>0.15000000000000002</v>
      </c>
      <c r="O25" s="46">
        <f>+'Trim Rwd'!H18</f>
        <v>270</v>
      </c>
      <c r="P25" s="47">
        <f>O25*(Q25-R25-S25)</f>
        <v>360180</v>
      </c>
      <c r="Q25" s="46">
        <f>1440-Q24</f>
        <v>1440</v>
      </c>
      <c r="R25" s="384">
        <v>60</v>
      </c>
      <c r="S25" s="384">
        <v>46</v>
      </c>
      <c r="T25" s="36">
        <f>E25*M25*O25*Q25/100000000</f>
        <v>55.057968000000002</v>
      </c>
      <c r="U25" s="36">
        <f>E25*M25*O25*(Q25-R25-S25)/100000000</f>
        <v>51.0050898</v>
      </c>
      <c r="V25" s="36">
        <f>E25*G25*(1-N25)*O25/100*(R25+S25)/1000000</f>
        <v>3.8254207500000001</v>
      </c>
      <c r="W25" s="36">
        <f>+'5'!K34/1000</f>
        <v>37.146999999999998</v>
      </c>
      <c r="X25" s="381">
        <f>SUM(W25:W28)/SUM(K25:K28)</f>
        <v>0.67468890243097956</v>
      </c>
      <c r="Y25" s="36">
        <v>0</v>
      </c>
      <c r="Z25" s="615">
        <f>+'5'!D34/1000</f>
        <v>5.0199999999999996</v>
      </c>
      <c r="AA25" s="48">
        <f>SUM(U25:U28)-SUM(W25:W28)-SUM(Z25:Z28)-SUM(Y25:Y28)</f>
        <v>8.8380898000000023</v>
      </c>
      <c r="AB25" s="48">
        <f>(SUM(K25:K28)-SUM(W25:W28)-SUM(Y25:Y28)-SUM(Z25:Z28)-SUM(AC25:AC28)-SUM(V25:V28))-AA25</f>
        <v>0.22745745000000284</v>
      </c>
      <c r="AC25" s="36">
        <f>K25-T25</f>
        <v>0</v>
      </c>
      <c r="AD25" s="36">
        <f>+AM25+BA25</f>
        <v>20</v>
      </c>
      <c r="AE25" s="225" t="s">
        <v>474</v>
      </c>
      <c r="AF25" s="36">
        <v>20</v>
      </c>
      <c r="AG25" s="36"/>
      <c r="AH25" s="36"/>
      <c r="AI25" s="461"/>
      <c r="AJ25" s="36"/>
      <c r="AK25" s="36"/>
      <c r="AL25" s="36"/>
      <c r="AM25" s="36">
        <f>SUM(AF25:AL25)+AT25+AV25+AX25</f>
        <v>20</v>
      </c>
      <c r="AN25" s="36"/>
      <c r="AO25" s="36"/>
      <c r="AP25" s="36"/>
      <c r="AQ25" s="36"/>
      <c r="AR25" s="36">
        <f>SUM(AN25:AQ25)</f>
        <v>0</v>
      </c>
      <c r="AS25" s="36"/>
      <c r="AT25" s="36"/>
      <c r="AU25" s="36"/>
      <c r="AV25" s="36"/>
      <c r="AW25" s="36"/>
      <c r="AX25" s="36"/>
      <c r="AY25" s="36"/>
      <c r="AZ25" s="36"/>
      <c r="BA25" s="36">
        <f>+AR25+AS25+AU25+AW25+AY25+AZ25</f>
        <v>0</v>
      </c>
      <c r="BB25" s="32">
        <v>4</v>
      </c>
      <c r="BC25" s="50"/>
      <c r="BD25" s="50"/>
      <c r="BE25" s="32"/>
      <c r="BF25" s="50"/>
    </row>
    <row r="26" spans="1:58" ht="12.95" customHeight="1">
      <c r="A26" s="39"/>
      <c r="B26" s="40"/>
      <c r="C26" s="416"/>
      <c r="D26" s="40"/>
      <c r="E26" s="41"/>
      <c r="F26" s="41"/>
      <c r="G26" s="459"/>
      <c r="H26" s="43"/>
      <c r="I26" s="44"/>
      <c r="J26" s="82"/>
      <c r="K26" s="82"/>
      <c r="L26" s="34"/>
      <c r="M26" s="34"/>
      <c r="N26" s="45"/>
      <c r="O26" s="46"/>
      <c r="P26" s="47"/>
      <c r="Q26" s="46"/>
      <c r="R26" s="384"/>
      <c r="S26" s="384"/>
      <c r="T26" s="36"/>
      <c r="U26" s="36"/>
      <c r="V26" s="36"/>
      <c r="W26" s="36"/>
      <c r="X26" s="37"/>
      <c r="Y26" s="208"/>
      <c r="Z26" s="615"/>
      <c r="AA26" s="36"/>
      <c r="AB26" s="36"/>
      <c r="AC26" s="36"/>
      <c r="AD26" s="36">
        <f>+AM26+BA26</f>
        <v>2</v>
      </c>
      <c r="AE26" s="225" t="s">
        <v>419</v>
      </c>
      <c r="AF26" s="36"/>
      <c r="AG26" s="36">
        <v>2</v>
      </c>
      <c r="AH26" s="36"/>
      <c r="AI26" s="461"/>
      <c r="AJ26" s="36"/>
      <c r="AK26" s="36"/>
      <c r="AL26" s="36"/>
      <c r="AM26" s="36">
        <f>SUM(AF26:AL26)+AT26+AV26+AX26</f>
        <v>2</v>
      </c>
      <c r="AN26" s="83"/>
      <c r="AO26" s="36"/>
      <c r="AP26" s="36"/>
      <c r="AQ26" s="36"/>
      <c r="AR26" s="36">
        <f>SUM(AN26:AQ26)</f>
        <v>0</v>
      </c>
      <c r="AS26" s="36"/>
      <c r="AT26" s="36"/>
      <c r="AU26" s="36"/>
      <c r="AV26" s="36"/>
      <c r="AW26" s="36"/>
      <c r="AX26" s="36"/>
      <c r="AY26" s="36"/>
      <c r="AZ26" s="36"/>
      <c r="BA26" s="36">
        <f>+AR26+AS26+AU26+AW26+AY26+AZ26</f>
        <v>0</v>
      </c>
      <c r="BB26" s="49"/>
      <c r="BC26" s="50">
        <v>1</v>
      </c>
      <c r="BD26" s="50"/>
      <c r="BE26" s="49"/>
      <c r="BF26" s="50"/>
    </row>
    <row r="27" spans="1:58" ht="12.95" customHeight="1">
      <c r="A27" s="39"/>
      <c r="B27" s="40"/>
      <c r="C27" s="416"/>
      <c r="D27" s="40"/>
      <c r="E27" s="41"/>
      <c r="F27" s="41"/>
      <c r="G27" s="42"/>
      <c r="H27" s="43"/>
      <c r="I27" s="44"/>
      <c r="J27" s="82"/>
      <c r="K27" s="82"/>
      <c r="L27" s="34"/>
      <c r="M27" s="34"/>
      <c r="N27" s="45"/>
      <c r="O27" s="46"/>
      <c r="P27" s="47"/>
      <c r="Q27" s="46"/>
      <c r="R27" s="384"/>
      <c r="S27" s="384"/>
      <c r="T27" s="36"/>
      <c r="U27" s="36"/>
      <c r="V27" s="36"/>
      <c r="W27" s="36"/>
      <c r="X27" s="37"/>
      <c r="Y27" s="208"/>
      <c r="Z27" s="615"/>
      <c r="AA27" s="36"/>
      <c r="AB27" s="36"/>
      <c r="AC27" s="36"/>
      <c r="AD27" s="36">
        <f>+AM27+BA27</f>
        <v>24</v>
      </c>
      <c r="AE27" s="225" t="s">
        <v>476</v>
      </c>
      <c r="AF27" s="32"/>
      <c r="AG27" s="32"/>
      <c r="AH27" s="32">
        <v>24</v>
      </c>
      <c r="AJ27" s="36"/>
      <c r="AK27" s="36"/>
      <c r="AL27" s="36"/>
      <c r="AM27" s="36">
        <f>SUM(AF27:AL27)+AT27+AV27+AX27</f>
        <v>24</v>
      </c>
      <c r="AN27" s="36"/>
      <c r="AO27" s="36"/>
      <c r="AP27" s="36"/>
      <c r="AQ27" s="36"/>
      <c r="AR27" s="36">
        <f>SUM(AN27:AQ27)</f>
        <v>0</v>
      </c>
      <c r="AS27" s="36"/>
      <c r="AT27" s="36"/>
      <c r="AU27" s="36"/>
      <c r="AV27" s="36"/>
      <c r="AW27" s="36"/>
      <c r="AX27" s="36"/>
      <c r="AY27" s="36"/>
      <c r="AZ27" s="36"/>
      <c r="BA27" s="36">
        <f>+AR27+AS27+AU27+AW27+AY27+AZ27</f>
        <v>0</v>
      </c>
      <c r="BB27" s="32"/>
      <c r="BC27" s="52"/>
      <c r="BD27" s="52"/>
      <c r="BE27" s="32"/>
      <c r="BF27" s="52"/>
    </row>
    <row r="28" spans="1:58" ht="12.95" customHeight="1">
      <c r="A28" s="39"/>
      <c r="B28" s="40"/>
      <c r="C28" s="416"/>
      <c r="D28" s="40"/>
      <c r="E28" s="41"/>
      <c r="F28" s="41"/>
      <c r="G28" s="459"/>
      <c r="H28" s="43"/>
      <c r="I28" s="44"/>
      <c r="J28" s="82"/>
      <c r="K28" s="82"/>
      <c r="L28" s="34"/>
      <c r="M28" s="34"/>
      <c r="N28" s="45"/>
      <c r="O28" s="46"/>
      <c r="P28" s="47"/>
      <c r="Q28" s="46"/>
      <c r="R28" s="384"/>
      <c r="S28" s="384"/>
      <c r="T28" s="36"/>
      <c r="U28" s="36"/>
      <c r="V28" s="36"/>
      <c r="W28" s="36"/>
      <c r="X28" s="381"/>
      <c r="Y28" s="36"/>
      <c r="Z28" s="615"/>
      <c r="AA28" s="48"/>
      <c r="AB28" s="48"/>
      <c r="AC28" s="36"/>
      <c r="AD28" s="36">
        <f>+AM28+BA28</f>
        <v>60</v>
      </c>
      <c r="AE28" s="228" t="s">
        <v>462</v>
      </c>
      <c r="AF28" s="36"/>
      <c r="AG28" s="36"/>
      <c r="AH28" s="36"/>
      <c r="AI28" s="461"/>
      <c r="AJ28" s="36"/>
      <c r="AK28" s="36"/>
      <c r="AL28" s="36"/>
      <c r="AM28" s="36">
        <f>SUM(AF28:AL28)+AT28+AV28+AX28</f>
        <v>0</v>
      </c>
      <c r="AN28" s="36"/>
      <c r="AO28" s="36"/>
      <c r="AP28" s="36"/>
      <c r="AQ28" s="36"/>
      <c r="AR28" s="36">
        <f>SUM(AN28:AQ28)</f>
        <v>0</v>
      </c>
      <c r="AS28" s="36"/>
      <c r="AT28" s="36"/>
      <c r="AU28" s="36"/>
      <c r="AV28" s="36"/>
      <c r="AW28" s="36"/>
      <c r="AX28" s="36"/>
      <c r="AY28" s="36">
        <v>60</v>
      </c>
      <c r="AZ28" s="36"/>
      <c r="BA28" s="36">
        <f>+AR28+AS28+AU28+AW28+AY28+AZ28</f>
        <v>60</v>
      </c>
      <c r="BB28" s="32"/>
      <c r="BC28" s="52"/>
      <c r="BD28" s="52"/>
      <c r="BE28" s="32"/>
      <c r="BF28" s="52"/>
    </row>
    <row r="29" spans="1:58" ht="12.95" customHeight="1">
      <c r="A29" s="39"/>
      <c r="B29" s="40"/>
      <c r="C29" s="416"/>
      <c r="D29" s="40"/>
      <c r="E29" s="41"/>
      <c r="F29" s="41"/>
      <c r="G29" s="459"/>
      <c r="H29" s="43"/>
      <c r="I29" s="44"/>
      <c r="J29" s="82"/>
      <c r="K29" s="82"/>
      <c r="L29" s="34"/>
      <c r="M29" s="34"/>
      <c r="N29" s="45"/>
      <c r="O29" s="46"/>
      <c r="P29" s="47"/>
      <c r="Q29" s="46"/>
      <c r="R29" s="384"/>
      <c r="S29" s="384"/>
      <c r="T29" s="36"/>
      <c r="U29" s="36"/>
      <c r="V29" s="36"/>
      <c r="W29" s="36"/>
      <c r="X29" s="37"/>
      <c r="Y29" s="208"/>
      <c r="Z29" s="615"/>
      <c r="AA29" s="36"/>
      <c r="AB29" s="36"/>
      <c r="AC29" s="36"/>
      <c r="AD29" s="36"/>
      <c r="AE29" s="225"/>
      <c r="AF29" s="36"/>
      <c r="AG29" s="36"/>
      <c r="AH29" s="36"/>
      <c r="AI29" s="461"/>
      <c r="AJ29" s="36"/>
      <c r="AK29" s="36"/>
      <c r="AL29" s="36"/>
      <c r="AM29" s="36"/>
      <c r="AN29" s="83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49"/>
      <c r="BC29" s="50"/>
      <c r="BD29" s="52"/>
      <c r="BE29" s="32"/>
      <c r="BF29" s="52"/>
    </row>
    <row r="30" spans="1:58" ht="12.95" customHeight="1">
      <c r="A30" s="39">
        <v>46118</v>
      </c>
      <c r="B30" s="40" t="s">
        <v>403</v>
      </c>
      <c r="C30" s="416">
        <f>(M30*E30*O30*Q30)/100000000</f>
        <v>20.657983499999997</v>
      </c>
      <c r="D30" s="40" t="s">
        <v>276</v>
      </c>
      <c r="E30" s="41">
        <v>17</v>
      </c>
      <c r="F30" s="41">
        <v>1</v>
      </c>
      <c r="G30" s="459">
        <v>940</v>
      </c>
      <c r="H30" s="43">
        <f>+N30</f>
        <v>0.16500000000000004</v>
      </c>
      <c r="I30" s="44">
        <v>0.88</v>
      </c>
      <c r="J30" s="82">
        <f>E30*G30*(1-H30)*1440/1000000*2.87</f>
        <v>55.145190240000005</v>
      </c>
      <c r="K30" s="82">
        <f>(IF(G30&lt;L30,L30,G30)*(1-IF(H30&lt;N30,H30,N30))*E30*O30*Q30)/100000000</f>
        <v>20.657983499999997</v>
      </c>
      <c r="L30" s="34">
        <v>980</v>
      </c>
      <c r="M30" s="34">
        <f>+L30-L30*0.165</f>
        <v>818.3</v>
      </c>
      <c r="N30" s="45">
        <f>1-(M30/L30)</f>
        <v>0.16500000000000004</v>
      </c>
      <c r="O30" s="46">
        <f>+'Trim Rwd'!H21</f>
        <v>270</v>
      </c>
      <c r="P30" s="47">
        <f>O30*(Q30-R30-S30)</f>
        <v>145800</v>
      </c>
      <c r="Q30" s="46">
        <v>550</v>
      </c>
      <c r="R30" s="384">
        <v>0</v>
      </c>
      <c r="S30" s="384">
        <v>10</v>
      </c>
      <c r="T30" s="36">
        <f>E30*M30*O30*Q30/100000000</f>
        <v>20.657983499999997</v>
      </c>
      <c r="U30" s="36">
        <f>E30*M30*O30*(Q30-R30-S30)/100000000</f>
        <v>20.282383799999998</v>
      </c>
      <c r="V30" s="36">
        <f>E30*G30*(1-N30)*O30/100*(R30+S30)/1000000</f>
        <v>0.36026910000000001</v>
      </c>
      <c r="W30" s="36">
        <f>+'6'!K10/1000</f>
        <v>25.321000000000002</v>
      </c>
      <c r="X30" s="381">
        <f>SUM(W30:W33)/SUM(K30:K33)</f>
        <v>0.76259501421272791</v>
      </c>
      <c r="Y30" s="36">
        <v>0</v>
      </c>
      <c r="Z30" s="615">
        <f>+('6'!D7+'6'!D16)/1000</f>
        <v>2.5099999999999998</v>
      </c>
      <c r="AA30" s="48">
        <f>SUM(U30:U33)-SUM(W30:W33)-SUM(Z30:Z33)-SUM(Y30:Y33)</f>
        <v>9.1805342999999944</v>
      </c>
      <c r="AB30" s="48">
        <f>(SUM(K30:K33)-SUM(W30:W33)-SUM(Y30:Y33)-SUM(Z30:Z33)-SUM(AC30:AC33)-SUM(V30:V33))-AA30</f>
        <v>5.2563249999998618E-2</v>
      </c>
      <c r="AC30" s="36">
        <f>K30-T30</f>
        <v>0</v>
      </c>
      <c r="AD30" s="36">
        <f>+AM30+BA30</f>
        <v>5</v>
      </c>
      <c r="AE30" s="225" t="s">
        <v>496</v>
      </c>
      <c r="AF30" s="36">
        <v>5</v>
      </c>
      <c r="AG30" s="36"/>
      <c r="AH30" s="36"/>
      <c r="AI30" s="461"/>
      <c r="AJ30" s="36"/>
      <c r="AK30" s="36"/>
      <c r="AL30" s="36"/>
      <c r="AM30" s="36">
        <f>SUM(AF30:AL30)+AT30+AV30+AX30</f>
        <v>5</v>
      </c>
      <c r="AN30" s="36"/>
      <c r="AO30" s="36"/>
      <c r="AP30" s="36"/>
      <c r="AQ30" s="36"/>
      <c r="AR30" s="36">
        <f>SUM(AN30:AQ30)</f>
        <v>0</v>
      </c>
      <c r="AS30" s="36"/>
      <c r="AT30" s="36"/>
      <c r="AU30" s="36"/>
      <c r="AV30" s="36"/>
      <c r="AW30" s="36"/>
      <c r="AX30" s="36"/>
      <c r="AY30" s="36"/>
      <c r="AZ30" s="36"/>
      <c r="BA30" s="36">
        <f>+AR30+AS30+AU30+AW30+AY30+AZ30</f>
        <v>0</v>
      </c>
      <c r="BB30" s="32">
        <v>1</v>
      </c>
      <c r="BC30" s="50"/>
      <c r="BD30" s="50"/>
      <c r="BE30" s="32"/>
      <c r="BF30" s="50"/>
    </row>
    <row r="31" spans="1:58" ht="12.95" customHeight="1">
      <c r="A31" s="39"/>
      <c r="B31" s="40" t="s">
        <v>403</v>
      </c>
      <c r="C31" s="416">
        <f>(M31*E31*O31*Q31)/100000000</f>
        <v>29.7116547</v>
      </c>
      <c r="D31" s="40" t="s">
        <v>276</v>
      </c>
      <c r="E31" s="41">
        <v>17.5</v>
      </c>
      <c r="F31" s="41">
        <v>1</v>
      </c>
      <c r="G31" s="459">
        <v>915</v>
      </c>
      <c r="H31" s="43">
        <f>+N31</f>
        <v>0.16500000000000004</v>
      </c>
      <c r="I31" s="44">
        <v>0.88</v>
      </c>
      <c r="J31" s="82">
        <f>E31*G31*(1-H31)*1440/1000000*2.87</f>
        <v>55.257344100000005</v>
      </c>
      <c r="K31" s="82">
        <f>(IF(G31&lt;L31,L31,G31)*(1-IF(H31&lt;N31,H31,N31))*E31*O31*Q31)/100000000</f>
        <v>29.7116547</v>
      </c>
      <c r="L31" s="34">
        <v>980</v>
      </c>
      <c r="M31" s="34">
        <f>+L31-L31*0.165</f>
        <v>818.3</v>
      </c>
      <c r="N31" s="45">
        <f>1-(M31/L31)</f>
        <v>0.16500000000000004</v>
      </c>
      <c r="O31" s="46">
        <f>+'Trim Rwd'!H22</f>
        <v>280</v>
      </c>
      <c r="P31" s="47">
        <f>O31*(Q31-R31-S31)</f>
        <v>203560</v>
      </c>
      <c r="Q31" s="46">
        <v>741</v>
      </c>
      <c r="R31" s="384">
        <v>0</v>
      </c>
      <c r="S31" s="384">
        <v>14</v>
      </c>
      <c r="T31" s="36">
        <f>E31*M31*O31*Q31/100000000</f>
        <v>29.7116547</v>
      </c>
      <c r="U31" s="36">
        <f>E31*M31*O31*(Q31-R31-S31)/100000000</f>
        <v>29.150300900000001</v>
      </c>
      <c r="V31" s="36">
        <f>E31*G31*(1-N31)*O31/100*(R31+S31)/1000000</f>
        <v>0.52412114999999992</v>
      </c>
      <c r="W31" s="36">
        <f>+'6'!K11/1000</f>
        <v>17.331</v>
      </c>
      <c r="X31" s="37"/>
      <c r="Y31" s="208"/>
      <c r="Z31" s="615">
        <f>+'6'!D17/1000</f>
        <v>0.46400000000000002</v>
      </c>
      <c r="AA31" s="36"/>
      <c r="AB31" s="36"/>
      <c r="AC31" s="36">
        <f>K31-T31</f>
        <v>0</v>
      </c>
      <c r="AD31" s="36">
        <f>+AM31+BA31</f>
        <v>0</v>
      </c>
      <c r="AE31" s="225" t="s">
        <v>399</v>
      </c>
      <c r="AF31" s="36"/>
      <c r="AG31" s="36">
        <v>0</v>
      </c>
      <c r="AH31" s="36"/>
      <c r="AI31" s="461"/>
      <c r="AJ31" s="36"/>
      <c r="AK31" s="36"/>
      <c r="AL31" s="36"/>
      <c r="AM31" s="36">
        <f>SUM(AF31:AL31)+AT31+AV31+AX31</f>
        <v>0</v>
      </c>
      <c r="AN31" s="83"/>
      <c r="AO31" s="36"/>
      <c r="AP31" s="36"/>
      <c r="AQ31" s="36"/>
      <c r="AR31" s="36">
        <f>SUM(AN31:AQ31)</f>
        <v>0</v>
      </c>
      <c r="AS31" s="36"/>
      <c r="AT31" s="36"/>
      <c r="AU31" s="36"/>
      <c r="AV31" s="36"/>
      <c r="AW31" s="36"/>
      <c r="AX31" s="36"/>
      <c r="AY31" s="36"/>
      <c r="AZ31" s="36"/>
      <c r="BA31" s="36">
        <f>+AR31+AS31+AU31+AW31+AY31+AZ31</f>
        <v>0</v>
      </c>
      <c r="BB31" s="49"/>
      <c r="BC31" s="50">
        <v>0</v>
      </c>
      <c r="BD31" s="50"/>
      <c r="BE31" s="49"/>
      <c r="BF31" s="50"/>
    </row>
    <row r="32" spans="1:58" ht="12.95" customHeight="1">
      <c r="A32" s="39"/>
      <c r="B32" s="40" t="s">
        <v>497</v>
      </c>
      <c r="C32" s="416">
        <f>(M32*E32*O32*Q32)/100000000</f>
        <v>5.5604415999999999</v>
      </c>
      <c r="D32" s="40" t="s">
        <v>276</v>
      </c>
      <c r="E32" s="41">
        <v>17</v>
      </c>
      <c r="F32" s="41">
        <v>1</v>
      </c>
      <c r="G32" s="459">
        <v>980</v>
      </c>
      <c r="H32" s="43">
        <f>+N32</f>
        <v>0.19999999999999996</v>
      </c>
      <c r="I32" s="44">
        <v>0.88</v>
      </c>
      <c r="J32" s="82">
        <f>E32*G32*(1-H32)*1440/1000000*2.87</f>
        <v>55.081958399999998</v>
      </c>
      <c r="K32" s="82">
        <f>(IF(G32&lt;L32,L32,G32)*(1-IF(H32&lt;N32,H32,N32))*E32*O32*Q32)/100000000</f>
        <v>5.5604415999999999</v>
      </c>
      <c r="L32" s="34">
        <v>980</v>
      </c>
      <c r="M32" s="34">
        <f>+L32-L32*0.2</f>
        <v>784</v>
      </c>
      <c r="N32" s="45">
        <f>1-(M32/L32)</f>
        <v>0.19999999999999996</v>
      </c>
      <c r="O32" s="46">
        <f>+'Trim Rwd'!H23</f>
        <v>280</v>
      </c>
      <c r="P32" s="47">
        <f>O32*(Q32-R32-S32)</f>
        <v>40320</v>
      </c>
      <c r="Q32" s="46">
        <v>149</v>
      </c>
      <c r="R32" s="384">
        <v>0</v>
      </c>
      <c r="S32" s="384">
        <v>5</v>
      </c>
      <c r="T32" s="36">
        <f>E32*M32*O32*Q32/100000000</f>
        <v>5.5604415999999999</v>
      </c>
      <c r="U32" s="36">
        <f>E32*M32*O32*(Q32-R32-S32)/100000000</f>
        <v>5.3738495999999998</v>
      </c>
      <c r="V32" s="36">
        <f>E32*G32*(1-N32)*O32/100*(R32+S32)/1000000</f>
        <v>0.18659200000000001</v>
      </c>
      <c r="W32" s="36">
        <f>+'6'!K12/1000</f>
        <v>0</v>
      </c>
      <c r="X32" s="37"/>
      <c r="Y32" s="208"/>
      <c r="Z32" s="615"/>
      <c r="AA32" s="36"/>
      <c r="AB32" s="36"/>
      <c r="AC32" s="36"/>
      <c r="AD32" s="36">
        <f>+AM32+BA32</f>
        <v>24</v>
      </c>
      <c r="AE32" s="225" t="s">
        <v>498</v>
      </c>
      <c r="AF32" s="32"/>
      <c r="AG32" s="32"/>
      <c r="AH32" s="32">
        <v>24</v>
      </c>
      <c r="AJ32" s="36"/>
      <c r="AK32" s="36"/>
      <c r="AL32" s="36"/>
      <c r="AM32" s="36">
        <f>SUM(AF32:AL32)+AT32+AV32+AX32</f>
        <v>24</v>
      </c>
      <c r="AN32" s="36"/>
      <c r="AO32" s="36"/>
      <c r="AP32" s="36"/>
      <c r="AQ32" s="36"/>
      <c r="AR32" s="36">
        <f>SUM(AN32:AQ32)</f>
        <v>0</v>
      </c>
      <c r="AS32" s="36"/>
      <c r="AT32" s="36"/>
      <c r="AU32" s="36"/>
      <c r="AV32" s="36"/>
      <c r="AW32" s="36"/>
      <c r="AX32" s="36"/>
      <c r="AY32" s="36"/>
      <c r="AZ32" s="36"/>
      <c r="BA32" s="36">
        <f>+AR32+AS32+AU32+AW32+AY32+AZ32</f>
        <v>0</v>
      </c>
      <c r="BB32" s="32"/>
      <c r="BC32" s="52"/>
      <c r="BD32" s="52"/>
      <c r="BE32" s="32"/>
      <c r="BF32" s="52"/>
    </row>
    <row r="33" spans="1:58" ht="12.95" customHeight="1">
      <c r="A33" s="39"/>
      <c r="B33" s="40"/>
      <c r="C33" s="416"/>
      <c r="D33" s="40"/>
      <c r="E33" s="41"/>
      <c r="F33" s="41"/>
      <c r="G33" s="459"/>
      <c r="H33" s="43"/>
      <c r="I33" s="44"/>
      <c r="J33" s="82"/>
      <c r="K33" s="82"/>
      <c r="L33" s="34"/>
      <c r="M33" s="34"/>
      <c r="N33" s="45"/>
      <c r="O33" s="46"/>
      <c r="P33" s="47"/>
      <c r="Q33" s="46"/>
      <c r="R33" s="384"/>
      <c r="S33" s="384"/>
      <c r="T33" s="36"/>
      <c r="U33" s="36"/>
      <c r="V33" s="36"/>
      <c r="W33" s="36"/>
      <c r="X33" s="37"/>
      <c r="Y33" s="208"/>
      <c r="Z33" s="615"/>
      <c r="AA33" s="48"/>
      <c r="AB33" s="48"/>
      <c r="AC33" s="36"/>
      <c r="AD33" s="36"/>
      <c r="AE33" s="225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2"/>
      <c r="BC33" s="50"/>
      <c r="BD33" s="50"/>
      <c r="BE33" s="32"/>
      <c r="BF33" s="50"/>
    </row>
    <row r="34" spans="1:58" ht="12.95" customHeight="1">
      <c r="A34" s="39">
        <v>46119</v>
      </c>
      <c r="B34" s="40" t="s">
        <v>497</v>
      </c>
      <c r="C34" s="416">
        <f>(M34*E34*O34*Q34)/100000000</f>
        <v>53.738495999999998</v>
      </c>
      <c r="D34" s="40" t="s">
        <v>276</v>
      </c>
      <c r="E34" s="41">
        <v>17</v>
      </c>
      <c r="F34" s="41">
        <v>1</v>
      </c>
      <c r="G34" s="459">
        <v>980</v>
      </c>
      <c r="H34" s="43">
        <f>+N34</f>
        <v>0.19999999999999996</v>
      </c>
      <c r="I34" s="44">
        <v>0.88</v>
      </c>
      <c r="J34" s="82">
        <f>E34*G34*(1-H34)*1440/1000000*2.87</f>
        <v>55.081958399999998</v>
      </c>
      <c r="K34" s="82">
        <f>(IF(G34&lt;L34,L34,G34)*(1-IF(H34&lt;N34,H34,N34))*E34*O34*Q34)/100000000</f>
        <v>53.738495999999998</v>
      </c>
      <c r="L34" s="34">
        <v>980</v>
      </c>
      <c r="M34" s="34">
        <f>+L34-L34*0.2</f>
        <v>784</v>
      </c>
      <c r="N34" s="45">
        <f>1-(M34/L34)</f>
        <v>0.19999999999999996</v>
      </c>
      <c r="O34" s="46">
        <f>+'Trim Rwd'!H25</f>
        <v>280</v>
      </c>
      <c r="P34" s="47">
        <f>O34*(Q34-R34-S34)</f>
        <v>397600</v>
      </c>
      <c r="Q34" s="46">
        <v>1440</v>
      </c>
      <c r="R34" s="384">
        <v>0</v>
      </c>
      <c r="S34" s="384">
        <v>20</v>
      </c>
      <c r="T34" s="36">
        <f>E34*M34*O34*Q34/100000000</f>
        <v>53.738495999999998</v>
      </c>
      <c r="U34" s="36">
        <f>E34*M34*O34*(Q34-R34-S34)/100000000</f>
        <v>52.992128000000001</v>
      </c>
      <c r="V34" s="36">
        <f>E34*G34*(1-N34)*O34/100*(R34+S34)/1000000</f>
        <v>0.74636800000000003</v>
      </c>
      <c r="W34" s="36">
        <f>+'7'!K12/1000</f>
        <v>54.087000000000003</v>
      </c>
      <c r="X34" s="381">
        <f>SUM(W34:W37)/SUM(K34:K37)</f>
        <v>1.1219331482593038</v>
      </c>
      <c r="Y34" s="36">
        <v>0</v>
      </c>
      <c r="Z34" s="615">
        <v>0</v>
      </c>
      <c r="AA34" s="48">
        <f>SUM(U34:U37)-SUM(W34:W37)-SUM(Z34:Z37)-SUM(Y34:Y37)</f>
        <v>-7.2988720000000029</v>
      </c>
      <c r="AB34" s="48">
        <f>(SUM(K34:K37)-SUM(W34:W37)-SUM(Y34:Y37)-SUM(Z34:Z37)-SUM(AC34:AC37)-SUM(V34:V37))-AA34</f>
        <v>0</v>
      </c>
      <c r="AC34" s="36">
        <f>K34-T34</f>
        <v>0</v>
      </c>
      <c r="AD34" s="36">
        <f>+AM34+BA34</f>
        <v>0</v>
      </c>
      <c r="AE34" s="225" t="s">
        <v>385</v>
      </c>
      <c r="AF34" s="36">
        <v>0</v>
      </c>
      <c r="AG34" s="36"/>
      <c r="AH34" s="36"/>
      <c r="AI34" s="461"/>
      <c r="AJ34" s="36"/>
      <c r="AK34" s="36"/>
      <c r="AL34" s="36"/>
      <c r="AM34" s="36">
        <f>SUM(AF34:AL34)+AT34+AV34+AX34</f>
        <v>0</v>
      </c>
      <c r="AN34" s="36"/>
      <c r="AO34" s="36"/>
      <c r="AP34" s="36"/>
      <c r="AQ34" s="36"/>
      <c r="AR34" s="36">
        <f>SUM(AN34:AQ34)</f>
        <v>0</v>
      </c>
      <c r="AS34" s="36"/>
      <c r="AT34" s="36"/>
      <c r="AU34" s="36"/>
      <c r="AV34" s="36"/>
      <c r="AW34" s="36"/>
      <c r="AX34" s="36"/>
      <c r="AY34" s="36"/>
      <c r="AZ34" s="36"/>
      <c r="BA34" s="36">
        <f>+AR34+AS34+AU34+AW34+AY34+AZ34</f>
        <v>0</v>
      </c>
      <c r="BB34" s="32">
        <v>0</v>
      </c>
      <c r="BC34" s="50"/>
      <c r="BD34" s="50"/>
      <c r="BE34" s="32"/>
      <c r="BF34" s="50"/>
    </row>
    <row r="35" spans="1:58" ht="12.95" customHeight="1">
      <c r="A35" s="39"/>
      <c r="B35" s="40" t="s">
        <v>403</v>
      </c>
      <c r="C35" s="416"/>
      <c r="D35" s="40"/>
      <c r="E35" s="41">
        <v>17.5</v>
      </c>
      <c r="F35" s="41"/>
      <c r="G35" s="459"/>
      <c r="H35" s="43"/>
      <c r="I35" s="44"/>
      <c r="J35" s="82"/>
      <c r="K35" s="82"/>
      <c r="L35" s="34"/>
      <c r="M35" s="34"/>
      <c r="N35" s="45"/>
      <c r="O35" s="46"/>
      <c r="P35" s="47"/>
      <c r="Q35" s="46"/>
      <c r="R35" s="384"/>
      <c r="S35" s="384"/>
      <c r="T35" s="36"/>
      <c r="U35" s="36"/>
      <c r="V35" s="36"/>
      <c r="W35" s="36">
        <f>+'7'!K11/1000</f>
        <v>6.2039999999999997</v>
      </c>
      <c r="X35" s="37"/>
      <c r="Y35" s="208"/>
      <c r="Z35" s="615"/>
      <c r="AA35" s="36"/>
      <c r="AB35" s="36"/>
      <c r="AC35" s="36"/>
      <c r="AD35" s="36">
        <f>+AM35+BA35</f>
        <v>1</v>
      </c>
      <c r="AE35" s="225" t="s">
        <v>419</v>
      </c>
      <c r="AF35" s="36"/>
      <c r="AG35" s="36">
        <v>1</v>
      </c>
      <c r="AH35" s="36"/>
      <c r="AI35" s="461"/>
      <c r="AJ35" s="36"/>
      <c r="AK35" s="36"/>
      <c r="AL35" s="36"/>
      <c r="AM35" s="36">
        <f>SUM(AF35:AL35)+AT35+AV35+AX35</f>
        <v>1</v>
      </c>
      <c r="AN35" s="83"/>
      <c r="AO35" s="36"/>
      <c r="AP35" s="36"/>
      <c r="AQ35" s="36"/>
      <c r="AR35" s="36">
        <f>SUM(AN35:AQ35)</f>
        <v>0</v>
      </c>
      <c r="AS35" s="36"/>
      <c r="AT35" s="36"/>
      <c r="AU35" s="36"/>
      <c r="AV35" s="36"/>
      <c r="AW35" s="36"/>
      <c r="AX35" s="36"/>
      <c r="AY35" s="36"/>
      <c r="AZ35" s="36"/>
      <c r="BA35" s="36">
        <f>+AR35+AS35+AU35+AW35+AY35+AZ35</f>
        <v>0</v>
      </c>
      <c r="BB35" s="49"/>
      <c r="BC35" s="50">
        <v>1</v>
      </c>
      <c r="BD35" s="50"/>
      <c r="BE35" s="49"/>
      <c r="BF35" s="50"/>
    </row>
    <row r="36" spans="1:58" ht="12.95" customHeight="1">
      <c r="A36" s="39"/>
      <c r="B36" s="40"/>
      <c r="C36" s="416"/>
      <c r="D36" s="40"/>
      <c r="E36" s="41"/>
      <c r="F36" s="41"/>
      <c r="G36" s="459"/>
      <c r="H36" s="43"/>
      <c r="I36" s="44"/>
      <c r="J36" s="82"/>
      <c r="K36" s="82"/>
      <c r="L36" s="34"/>
      <c r="M36" s="34"/>
      <c r="N36" s="45"/>
      <c r="O36" s="46"/>
      <c r="P36" s="47"/>
      <c r="Q36" s="46"/>
      <c r="R36" s="384"/>
      <c r="S36" s="384"/>
      <c r="T36" s="36"/>
      <c r="U36" s="36"/>
      <c r="V36" s="36"/>
      <c r="W36" s="36"/>
      <c r="X36" s="37"/>
      <c r="Y36" s="208"/>
      <c r="Z36" s="615"/>
      <c r="AA36" s="36"/>
      <c r="AB36" s="36"/>
      <c r="AC36" s="36"/>
      <c r="AD36" s="36">
        <f>+AM36+BA36</f>
        <v>19</v>
      </c>
      <c r="AE36" s="225" t="s">
        <v>469</v>
      </c>
      <c r="AF36" s="32"/>
      <c r="AG36" s="32"/>
      <c r="AH36" s="32">
        <v>19</v>
      </c>
      <c r="AJ36" s="36"/>
      <c r="AK36" s="36"/>
      <c r="AL36" s="36"/>
      <c r="AM36" s="36">
        <f>SUM(AF36:AL36)+AT36+AV36+AX36</f>
        <v>19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>
        <f>+AR36+AS36+AU36+AW36+AY36+AZ36</f>
        <v>0</v>
      </c>
      <c r="BB36" s="32"/>
      <c r="BC36" s="52"/>
      <c r="BD36" s="52"/>
      <c r="BE36" s="32"/>
      <c r="BF36" s="52"/>
    </row>
    <row r="37" spans="1:58" ht="12.95" customHeight="1">
      <c r="A37" s="39"/>
      <c r="B37" s="40"/>
      <c r="C37" s="416"/>
      <c r="D37" s="40"/>
      <c r="E37" s="41"/>
      <c r="F37" s="41"/>
      <c r="G37" s="459"/>
      <c r="H37" s="43"/>
      <c r="I37" s="44"/>
      <c r="J37" s="82"/>
      <c r="K37" s="82"/>
      <c r="L37" s="34"/>
      <c r="M37" s="34"/>
      <c r="N37" s="45"/>
      <c r="O37" s="46"/>
      <c r="P37" s="47"/>
      <c r="Q37" s="46"/>
      <c r="R37" s="384"/>
      <c r="S37" s="384"/>
      <c r="T37" s="36"/>
      <c r="U37" s="36"/>
      <c r="V37" s="36"/>
      <c r="W37" s="36"/>
      <c r="X37" s="37"/>
      <c r="Y37" s="208"/>
      <c r="Z37" s="615"/>
      <c r="AA37" s="48"/>
      <c r="AB37" s="48"/>
      <c r="AC37" s="36"/>
      <c r="AD37" s="36"/>
      <c r="AE37" s="225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49"/>
      <c r="BC37" s="50"/>
      <c r="BD37" s="50"/>
      <c r="BE37" s="50"/>
      <c r="BF37" s="50"/>
    </row>
    <row r="38" spans="1:58" ht="12.95" customHeight="1">
      <c r="A38" s="39">
        <v>46120</v>
      </c>
      <c r="B38" s="40" t="s">
        <v>497</v>
      </c>
      <c r="C38" s="416">
        <f>(M38*E38*O38*Q38)/100000000</f>
        <v>53.066764800000009</v>
      </c>
      <c r="D38" s="40" t="s">
        <v>276</v>
      </c>
      <c r="E38" s="41">
        <v>17</v>
      </c>
      <c r="F38" s="41">
        <v>1</v>
      </c>
      <c r="G38" s="459">
        <v>980</v>
      </c>
      <c r="H38" s="43">
        <v>0.2</v>
      </c>
      <c r="I38" s="44">
        <v>0.88</v>
      </c>
      <c r="J38" s="82">
        <f>E38*G38*(1-H38)*1440/1000000*2.87</f>
        <v>55.081958399999998</v>
      </c>
      <c r="K38" s="82">
        <f>(IF(G38&lt;L38,L38,G38)*(1-IF(H38&lt;N38,H38,N38))*E38*O38*Q38)/100000000</f>
        <v>53.738495999999998</v>
      </c>
      <c r="L38" s="34">
        <v>980</v>
      </c>
      <c r="M38" s="34">
        <v>774.2</v>
      </c>
      <c r="N38" s="45">
        <f>1-(M38/L38)</f>
        <v>0.20999999999999996</v>
      </c>
      <c r="O38" s="46">
        <f>+'Trim Rwd'!H28</f>
        <v>280</v>
      </c>
      <c r="P38" s="47">
        <f>O38*(Q38-R38-S38)</f>
        <v>364000</v>
      </c>
      <c r="Q38" s="46">
        <v>1440</v>
      </c>
      <c r="R38" s="384">
        <v>126</v>
      </c>
      <c r="S38" s="384">
        <v>14</v>
      </c>
      <c r="T38" s="36">
        <f>E38*M38*O38*Q38/100000000</f>
        <v>53.066764800000009</v>
      </c>
      <c r="U38" s="36">
        <f>E38*M38*O38*(Q38-R38-S38)/100000000</f>
        <v>47.907496000000009</v>
      </c>
      <c r="V38" s="36">
        <f>E38*G38*(1-N38)*O38/100*(R38+S38)/1000000</f>
        <v>5.1592688000000004</v>
      </c>
      <c r="W38" s="36">
        <f>+'8'!K34/1000</f>
        <v>46.26</v>
      </c>
      <c r="X38" s="381">
        <f>SUM(W38:W41)/SUM(K38:K41)</f>
        <v>0.86083540559080773</v>
      </c>
      <c r="Y38" s="36">
        <v>0</v>
      </c>
      <c r="Z38" s="615">
        <v>0</v>
      </c>
      <c r="AA38" s="48">
        <f>SUM(U38:U41)-SUM(W38:W41)-SUM(Z38:Z41)-SUM(Y38:Y41)</f>
        <v>1.647496000000011</v>
      </c>
      <c r="AB38" s="48">
        <f>(SUM(K38:K41)-SUM(W38:W41)-SUM(Y38:Y41)-SUM(Z38:Z41)-SUM(AC38:AC41)-SUM(V38:V41))-AA38</f>
        <v>0</v>
      </c>
      <c r="AC38" s="36">
        <f>K38-T38</f>
        <v>0.67173119999998931</v>
      </c>
      <c r="AD38" s="36">
        <f>+AM38+BA38</f>
        <v>0</v>
      </c>
      <c r="AE38" s="225" t="s">
        <v>385</v>
      </c>
      <c r="AF38" s="36">
        <v>0</v>
      </c>
      <c r="AG38" s="36"/>
      <c r="AH38" s="36"/>
      <c r="AI38" s="461"/>
      <c r="AJ38" s="36"/>
      <c r="AK38" s="36"/>
      <c r="AL38" s="36"/>
      <c r="AM38" s="36">
        <f>SUM(AF38:AL38)+AT38+AV38+AX38</f>
        <v>0</v>
      </c>
      <c r="AN38" s="36"/>
      <c r="AO38" s="36"/>
      <c r="AP38" s="36"/>
      <c r="AQ38" s="36"/>
      <c r="AR38" s="36">
        <f>SUM(AN38:AQ38)</f>
        <v>0</v>
      </c>
      <c r="AS38" s="36"/>
      <c r="AT38" s="36"/>
      <c r="AU38" s="36"/>
      <c r="AV38" s="36"/>
      <c r="AW38" s="36"/>
      <c r="AX38" s="36"/>
      <c r="AY38" s="36"/>
      <c r="AZ38" s="36"/>
      <c r="BA38" s="36">
        <f>+AR38+AS38+AU38+AW38+AY38+AZ38</f>
        <v>0</v>
      </c>
      <c r="BB38" s="32">
        <v>0</v>
      </c>
      <c r="BC38" s="50"/>
      <c r="BD38" s="50"/>
      <c r="BE38" s="32"/>
      <c r="BF38" s="50"/>
    </row>
    <row r="39" spans="1:58" ht="12.95" customHeight="1">
      <c r="A39" s="39"/>
      <c r="B39" s="40"/>
      <c r="C39" s="416"/>
      <c r="D39" s="40"/>
      <c r="E39" s="41"/>
      <c r="F39" s="41"/>
      <c r="G39" s="459"/>
      <c r="H39" s="43"/>
      <c r="I39" s="44"/>
      <c r="J39" s="82"/>
      <c r="K39" s="82"/>
      <c r="L39" s="34"/>
      <c r="M39" s="34"/>
      <c r="N39" s="45"/>
      <c r="O39" s="46"/>
      <c r="P39" s="47"/>
      <c r="Q39" s="46"/>
      <c r="R39" s="384"/>
      <c r="S39" s="384"/>
      <c r="T39" s="36"/>
      <c r="U39" s="36"/>
      <c r="V39" s="36"/>
      <c r="W39" s="36"/>
      <c r="X39" s="37"/>
      <c r="Y39" s="208"/>
      <c r="Z39" s="615"/>
      <c r="AA39" s="36"/>
      <c r="AB39" s="36"/>
      <c r="AC39" s="36"/>
      <c r="AD39" s="36">
        <f>+AM39+BA39</f>
        <v>0</v>
      </c>
      <c r="AE39" s="225" t="s">
        <v>399</v>
      </c>
      <c r="AF39" s="36"/>
      <c r="AG39" s="36">
        <v>0</v>
      </c>
      <c r="AH39" s="36"/>
      <c r="AI39" s="461"/>
      <c r="AJ39" s="36"/>
      <c r="AK39" s="36"/>
      <c r="AL39" s="36"/>
      <c r="AM39" s="36">
        <f>SUM(AF39:AL39)+AT39+AV39+AX39</f>
        <v>0</v>
      </c>
      <c r="AN39" s="83"/>
      <c r="AO39" s="36"/>
      <c r="AP39" s="36"/>
      <c r="AQ39" s="36"/>
      <c r="AR39" s="36">
        <f>SUM(AN39:AQ39)</f>
        <v>0</v>
      </c>
      <c r="AS39" s="36"/>
      <c r="AT39" s="36"/>
      <c r="AU39" s="36"/>
      <c r="AV39" s="36"/>
      <c r="AW39" s="36"/>
      <c r="AX39" s="36"/>
      <c r="AY39" s="36"/>
      <c r="AZ39" s="36"/>
      <c r="BA39" s="36">
        <f>+AR39+AS39+AU39+AW39+AY39+AZ39</f>
        <v>0</v>
      </c>
      <c r="BB39" s="49"/>
      <c r="BC39" s="50">
        <v>0</v>
      </c>
      <c r="BD39" s="50"/>
      <c r="BE39" s="49"/>
      <c r="BF39" s="50"/>
    </row>
    <row r="40" spans="1:58" ht="12.95" customHeight="1">
      <c r="A40" s="39"/>
      <c r="B40" s="40"/>
      <c r="C40" s="416"/>
      <c r="D40" s="40"/>
      <c r="E40" s="41"/>
      <c r="F40" s="41"/>
      <c r="G40" s="459"/>
      <c r="H40" s="43"/>
      <c r="I40" s="44"/>
      <c r="J40" s="82"/>
      <c r="K40" s="82"/>
      <c r="L40" s="34"/>
      <c r="M40" s="34"/>
      <c r="N40" s="45"/>
      <c r="O40" s="46"/>
      <c r="P40" s="47"/>
      <c r="Q40" s="46"/>
      <c r="R40" s="384"/>
      <c r="S40" s="384"/>
      <c r="T40" s="36"/>
      <c r="U40" s="36"/>
      <c r="V40" s="36"/>
      <c r="W40" s="36"/>
      <c r="X40" s="37"/>
      <c r="Y40" s="208"/>
      <c r="Z40" s="615"/>
      <c r="AA40" s="36"/>
      <c r="AB40" s="36"/>
      <c r="AC40" s="36"/>
      <c r="AD40" s="36">
        <f>+AM40+BA40</f>
        <v>14</v>
      </c>
      <c r="AE40" s="225" t="s">
        <v>524</v>
      </c>
      <c r="AF40" s="32"/>
      <c r="AG40" s="32"/>
      <c r="AH40" s="32">
        <v>14</v>
      </c>
      <c r="AJ40" s="36"/>
      <c r="AK40" s="36"/>
      <c r="AL40" s="36"/>
      <c r="AM40" s="36">
        <f>SUM(AF40:AL40)+AT40+AV40+AX40</f>
        <v>14</v>
      </c>
      <c r="AN40" s="36"/>
      <c r="AO40" s="36"/>
      <c r="AP40" s="36"/>
      <c r="AQ40" s="36"/>
      <c r="AR40" s="36">
        <f>SUM(AN40:AQ40)</f>
        <v>0</v>
      </c>
      <c r="AS40" s="36"/>
      <c r="AT40" s="36"/>
      <c r="AU40" s="36"/>
      <c r="AV40" s="36"/>
      <c r="AW40" s="36"/>
      <c r="AX40" s="36"/>
      <c r="AY40" s="36"/>
      <c r="AZ40" s="36"/>
      <c r="BA40" s="36">
        <f>+AR40+AS40+AU40+AW40+AY40+AZ40</f>
        <v>0</v>
      </c>
      <c r="BB40" s="32"/>
      <c r="BC40" s="52"/>
      <c r="BD40" s="52"/>
      <c r="BE40" s="32"/>
      <c r="BF40" s="52"/>
    </row>
    <row r="41" spans="1:58" ht="12.95" customHeight="1">
      <c r="A41" s="39"/>
      <c r="B41" s="40"/>
      <c r="C41" s="416"/>
      <c r="D41" s="40"/>
      <c r="E41" s="41"/>
      <c r="F41" s="41"/>
      <c r="G41" s="459"/>
      <c r="H41" s="43"/>
      <c r="I41" s="44"/>
      <c r="J41" s="82"/>
      <c r="K41" s="82"/>
      <c r="L41" s="34"/>
      <c r="M41" s="34"/>
      <c r="N41" s="45"/>
      <c r="O41" s="46"/>
      <c r="P41" s="47"/>
      <c r="Q41" s="46"/>
      <c r="R41" s="384"/>
      <c r="S41" s="384"/>
      <c r="T41" s="36"/>
      <c r="U41" s="36"/>
      <c r="V41" s="36"/>
      <c r="W41" s="36"/>
      <c r="X41" s="37"/>
      <c r="Y41" s="208"/>
      <c r="Z41" s="615"/>
      <c r="AA41" s="48"/>
      <c r="AB41" s="48"/>
      <c r="AC41" s="36"/>
      <c r="AD41" s="36">
        <f>+AM41+BA41</f>
        <v>126</v>
      </c>
      <c r="AE41" s="225" t="s">
        <v>525</v>
      </c>
      <c r="AF41" s="36"/>
      <c r="AG41" s="36"/>
      <c r="AH41" s="36"/>
      <c r="AI41" s="36"/>
      <c r="AJ41" s="36"/>
      <c r="AK41" s="36"/>
      <c r="AL41" s="36"/>
      <c r="AM41" s="36">
        <f>SUM(AF41:AL41)+AT41+AV41+AX41</f>
        <v>0</v>
      </c>
      <c r="AN41" s="36"/>
      <c r="AO41" s="36"/>
      <c r="AP41" s="36">
        <v>126</v>
      </c>
      <c r="AQ41" s="36"/>
      <c r="AR41" s="36">
        <f>SUM(AN41:AQ41)</f>
        <v>126</v>
      </c>
      <c r="AS41" s="36"/>
      <c r="AT41" s="36"/>
      <c r="AU41" s="36"/>
      <c r="AV41" s="36"/>
      <c r="AW41" s="36"/>
      <c r="AX41" s="36"/>
      <c r="AY41" s="36"/>
      <c r="AZ41" s="36"/>
      <c r="BA41" s="36">
        <f>+AR41+AS41+AU41+AW41+AY41+AZ41</f>
        <v>126</v>
      </c>
      <c r="BB41" s="32"/>
      <c r="BC41" s="52"/>
      <c r="BD41" s="52"/>
      <c r="BE41" s="32"/>
      <c r="BF41" s="52"/>
    </row>
    <row r="42" spans="1:58" ht="12.95" customHeight="1">
      <c r="A42" s="39"/>
      <c r="B42" s="40"/>
      <c r="C42" s="416"/>
      <c r="D42" s="40"/>
      <c r="E42" s="41"/>
      <c r="F42" s="41"/>
      <c r="G42" s="459"/>
      <c r="H42" s="43"/>
      <c r="I42" s="44"/>
      <c r="J42" s="82"/>
      <c r="K42" s="82"/>
      <c r="L42" s="34"/>
      <c r="M42" s="34"/>
      <c r="N42" s="45"/>
      <c r="O42" s="46"/>
      <c r="P42" s="47"/>
      <c r="Q42" s="46"/>
      <c r="R42" s="384"/>
      <c r="S42" s="384"/>
      <c r="T42" s="36"/>
      <c r="U42" s="36"/>
      <c r="V42" s="36"/>
      <c r="W42" s="36"/>
      <c r="X42" s="381"/>
      <c r="Y42" s="36"/>
      <c r="Z42" s="615"/>
      <c r="AA42" s="48"/>
      <c r="AB42" s="48"/>
      <c r="AC42" s="36"/>
      <c r="AD42" s="36"/>
      <c r="AE42" s="225"/>
      <c r="AF42" s="36"/>
      <c r="AG42" s="36"/>
      <c r="AH42" s="36"/>
      <c r="AI42" s="461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2"/>
      <c r="BC42" s="50"/>
      <c r="BD42" s="50"/>
      <c r="BE42" s="32"/>
      <c r="BF42" s="50"/>
    </row>
    <row r="43" spans="1:58" ht="12.95" customHeight="1">
      <c r="A43" s="39">
        <v>46121</v>
      </c>
      <c r="B43" s="40" t="s">
        <v>497</v>
      </c>
      <c r="C43" s="416">
        <f>(M43*E43*O43*Q43)/100000000</f>
        <v>53.066764800000009</v>
      </c>
      <c r="D43" s="40" t="s">
        <v>276</v>
      </c>
      <c r="E43" s="41">
        <v>17</v>
      </c>
      <c r="F43" s="41">
        <v>1</v>
      </c>
      <c r="G43" s="459">
        <v>980</v>
      </c>
      <c r="H43" s="43">
        <v>0.2</v>
      </c>
      <c r="I43" s="44">
        <v>0.88</v>
      </c>
      <c r="J43" s="82">
        <f>E43*G43*(1-H43)*1440/1000000*2.87</f>
        <v>55.081958399999998</v>
      </c>
      <c r="K43" s="82">
        <f>(IF(G43&lt;L43,L43,G43)*(1-IF(H43&lt;N43,H43,N43))*E43*O43*Q43)/100000000</f>
        <v>53.738495999999998</v>
      </c>
      <c r="L43" s="34">
        <v>980</v>
      </c>
      <c r="M43" s="34">
        <v>774.2</v>
      </c>
      <c r="N43" s="45">
        <f>1-(M43/L43)</f>
        <v>0.20999999999999996</v>
      </c>
      <c r="O43" s="46">
        <f>+'Trim Rwd'!H30</f>
        <v>280</v>
      </c>
      <c r="P43" s="47">
        <f>O43*(Q43-R43-S43)</f>
        <v>382480</v>
      </c>
      <c r="Q43" s="46">
        <v>1440</v>
      </c>
      <c r="R43" s="384">
        <v>0</v>
      </c>
      <c r="S43" s="384">
        <f>12+62</f>
        <v>74</v>
      </c>
      <c r="T43" s="36">
        <f>E43*M43*O43*Q43/100000000</f>
        <v>53.066764800000009</v>
      </c>
      <c r="U43" s="36">
        <f>E43*M43*O43*(Q43-R43-S43)/100000000</f>
        <v>50.339722720000012</v>
      </c>
      <c r="V43" s="36">
        <f>E43*G43*(1-N43)*O43/100*(R43+S43)/1000000</f>
        <v>2.7270420800000004</v>
      </c>
      <c r="W43" s="36">
        <f>+'9'!K34/1000</f>
        <v>49.106000000000002</v>
      </c>
      <c r="X43" s="381">
        <f>SUM(W43:W46)/SUM(K43:K46)</f>
        <v>0.9137955777549116</v>
      </c>
      <c r="Y43" s="36">
        <v>0</v>
      </c>
      <c r="Z43" s="615">
        <f>+'9'!D34/1000</f>
        <v>2.2000000000000002</v>
      </c>
      <c r="AA43" s="48">
        <f>SUM(U43:U46)-SUM(W43:W46)-SUM(Z43:Z46)-SUM(Y43:Y46)</f>
        <v>-0.96627727999999014</v>
      </c>
      <c r="AB43" s="48">
        <f>(SUM(K43:K46)-SUM(W43:W46)-SUM(Y43:Y46)-SUM(Z43:Z46)-SUM(AC43:AC46)-SUM(V43:V46))-AA43</f>
        <v>-3.5527136788005009E-15</v>
      </c>
      <c r="AC43" s="36">
        <f>K43-T43</f>
        <v>0.67173119999998931</v>
      </c>
      <c r="AD43" s="36">
        <f>+AM43+BA43</f>
        <v>0</v>
      </c>
      <c r="AE43" s="225" t="s">
        <v>385</v>
      </c>
      <c r="AF43" s="36">
        <v>0</v>
      </c>
      <c r="AG43" s="36"/>
      <c r="AH43" s="36"/>
      <c r="AI43" s="461"/>
      <c r="AJ43" s="36"/>
      <c r="AK43" s="36"/>
      <c r="AL43" s="36"/>
      <c r="AM43" s="36">
        <f>SUM(AF43:AL43)+AT43+AV43+AX43</f>
        <v>0</v>
      </c>
      <c r="AN43" s="36"/>
      <c r="AO43" s="36"/>
      <c r="AP43" s="36"/>
      <c r="AQ43" s="36"/>
      <c r="AR43" s="36">
        <f>SUM(AN43:AQ43)</f>
        <v>0</v>
      </c>
      <c r="AS43" s="36"/>
      <c r="AT43" s="36"/>
      <c r="AU43" s="36"/>
      <c r="AV43" s="36"/>
      <c r="AW43" s="36"/>
      <c r="AX43" s="36"/>
      <c r="AY43" s="36"/>
      <c r="AZ43" s="36"/>
      <c r="BA43" s="36">
        <f>+AR43+AS43+AU43+AW43+AY43+AZ43</f>
        <v>0</v>
      </c>
      <c r="BB43" s="32">
        <v>0</v>
      </c>
      <c r="BC43" s="50"/>
      <c r="BD43" s="50"/>
      <c r="BE43" s="32"/>
      <c r="BF43" s="50"/>
    </row>
    <row r="44" spans="1:58" ht="12.95" customHeight="1">
      <c r="A44" s="39"/>
      <c r="B44" s="40"/>
      <c r="C44" s="416"/>
      <c r="D44" s="40"/>
      <c r="E44" s="41"/>
      <c r="F44" s="41"/>
      <c r="G44" s="459"/>
      <c r="H44" s="43"/>
      <c r="I44" s="44"/>
      <c r="J44" s="82"/>
      <c r="K44" s="82"/>
      <c r="L44" s="34"/>
      <c r="M44" s="34"/>
      <c r="N44" s="45"/>
      <c r="O44" s="46"/>
      <c r="P44" s="47"/>
      <c r="Q44" s="46"/>
      <c r="R44" s="384"/>
      <c r="S44" s="384"/>
      <c r="T44" s="36"/>
      <c r="U44" s="36"/>
      <c r="V44" s="36"/>
      <c r="W44" s="36"/>
      <c r="X44" s="37"/>
      <c r="Y44" s="208"/>
      <c r="Z44" s="615"/>
      <c r="AA44" s="36"/>
      <c r="AB44" s="36"/>
      <c r="AC44" s="36"/>
      <c r="AD44" s="36">
        <f>+AM44+BA44</f>
        <v>3</v>
      </c>
      <c r="AE44" s="225" t="s">
        <v>420</v>
      </c>
      <c r="AF44" s="36"/>
      <c r="AG44" s="36">
        <v>3</v>
      </c>
      <c r="AH44" s="36"/>
      <c r="AI44" s="461"/>
      <c r="AJ44" s="36"/>
      <c r="AK44" s="36"/>
      <c r="AL44" s="36"/>
      <c r="AM44" s="36">
        <f>SUM(AF44:AL44)+AT44+AV44+AX44</f>
        <v>3</v>
      </c>
      <c r="AN44" s="83"/>
      <c r="AO44" s="36"/>
      <c r="AP44" s="36"/>
      <c r="AQ44" s="36"/>
      <c r="AR44" s="36">
        <f>SUM(AN44:AQ44)</f>
        <v>0</v>
      </c>
      <c r="AS44" s="36"/>
      <c r="AT44" s="36"/>
      <c r="AU44" s="36"/>
      <c r="AV44" s="36"/>
      <c r="AW44" s="36"/>
      <c r="AX44" s="36"/>
      <c r="AY44" s="36"/>
      <c r="AZ44" s="36"/>
      <c r="BA44" s="36">
        <f>+AR44+AS44+AU44+AW44+AY44+AZ44</f>
        <v>0</v>
      </c>
      <c r="BB44" s="49"/>
      <c r="BC44" s="50">
        <v>2</v>
      </c>
      <c r="BD44" s="50"/>
      <c r="BE44" s="49"/>
      <c r="BF44" s="50"/>
    </row>
    <row r="45" spans="1:58" ht="12.95" customHeight="1">
      <c r="A45" s="39"/>
      <c r="B45" s="40"/>
      <c r="C45" s="416"/>
      <c r="D45" s="40"/>
      <c r="E45" s="41"/>
      <c r="F45" s="41"/>
      <c r="G45" s="459"/>
      <c r="H45" s="43"/>
      <c r="I45" s="44"/>
      <c r="J45" s="82"/>
      <c r="K45" s="82"/>
      <c r="L45" s="34"/>
      <c r="M45" s="34"/>
      <c r="N45" s="45"/>
      <c r="O45" s="46"/>
      <c r="P45" s="47"/>
      <c r="Q45" s="46"/>
      <c r="R45" s="384"/>
      <c r="S45" s="384"/>
      <c r="T45" s="36"/>
      <c r="U45" s="36"/>
      <c r="V45" s="36"/>
      <c r="W45" s="36"/>
      <c r="X45" s="37"/>
      <c r="Y45" s="208"/>
      <c r="Z45" s="615"/>
      <c r="AA45" s="36"/>
      <c r="AB45" s="36"/>
      <c r="AC45" s="36"/>
      <c r="AD45" s="36">
        <f>+AM45+BA45</f>
        <v>9</v>
      </c>
      <c r="AE45" s="225" t="s">
        <v>469</v>
      </c>
      <c r="AF45" s="32"/>
      <c r="AG45" s="32"/>
      <c r="AH45" s="32">
        <v>9</v>
      </c>
      <c r="AJ45" s="36"/>
      <c r="AK45" s="36"/>
      <c r="AL45" s="36"/>
      <c r="AM45" s="36">
        <f>SUM(AF45:AL45)+AT45+AV45+AX45</f>
        <v>9</v>
      </c>
      <c r="AN45" s="36"/>
      <c r="AO45" s="36"/>
      <c r="AP45" s="36"/>
      <c r="AQ45" s="36"/>
      <c r="AR45" s="36">
        <f>SUM(AN45:AQ45)</f>
        <v>0</v>
      </c>
      <c r="AS45" s="36"/>
      <c r="AT45" s="36"/>
      <c r="AU45" s="36"/>
      <c r="AV45" s="36"/>
      <c r="AW45" s="36"/>
      <c r="AX45" s="36"/>
      <c r="AY45" s="36"/>
      <c r="AZ45" s="36"/>
      <c r="BA45" s="36">
        <f>+AR45+AS45+AU45+AW45+AY45+AZ45</f>
        <v>0</v>
      </c>
      <c r="BB45" s="32"/>
      <c r="BC45" s="52"/>
      <c r="BD45" s="52"/>
      <c r="BE45" s="32"/>
      <c r="BF45" s="52"/>
    </row>
    <row r="46" spans="1:58" ht="12.95" customHeight="1">
      <c r="A46" s="39"/>
      <c r="B46" s="40"/>
      <c r="C46" s="416"/>
      <c r="D46" s="40"/>
      <c r="E46" s="41"/>
      <c r="F46" s="41"/>
      <c r="G46" s="42"/>
      <c r="H46" s="534"/>
      <c r="I46" s="44"/>
      <c r="J46" s="82"/>
      <c r="K46" s="82"/>
      <c r="L46" s="34"/>
      <c r="M46" s="34"/>
      <c r="N46" s="45"/>
      <c r="O46" s="46"/>
      <c r="P46" s="47"/>
      <c r="Q46" s="46"/>
      <c r="R46" s="384"/>
      <c r="S46" s="384"/>
      <c r="T46" s="36"/>
      <c r="U46" s="36"/>
      <c r="V46" s="36"/>
      <c r="W46" s="36"/>
      <c r="X46" s="381"/>
      <c r="Y46" s="208"/>
      <c r="Z46" s="615"/>
      <c r="AA46" s="48"/>
      <c r="AB46" s="48"/>
      <c r="AC46" s="36"/>
      <c r="AD46" s="36">
        <f>+AM46+BA46</f>
        <v>62</v>
      </c>
      <c r="AE46" s="228" t="s">
        <v>529</v>
      </c>
      <c r="AF46" s="36"/>
      <c r="AG46" s="36"/>
      <c r="AH46" s="36"/>
      <c r="AI46" s="36"/>
      <c r="AJ46" s="36"/>
      <c r="AK46" s="36"/>
      <c r="AL46" s="36"/>
      <c r="AM46" s="36">
        <f>SUM(AF46:AL46)+AT46+AV46+AX46</f>
        <v>62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>
        <v>62</v>
      </c>
      <c r="AW46" s="36"/>
      <c r="AX46" s="36"/>
      <c r="AY46" s="36"/>
      <c r="AZ46" s="36"/>
      <c r="BA46" s="36">
        <f>+AR46+AS46+AU46+AW46+AY46+AZ46</f>
        <v>0</v>
      </c>
      <c r="BB46" s="32"/>
      <c r="BC46" s="52"/>
      <c r="BD46" s="52">
        <v>1</v>
      </c>
      <c r="BE46" s="32"/>
      <c r="BF46" s="52"/>
    </row>
    <row r="47" spans="1:58" ht="12.95" customHeight="1">
      <c r="A47" s="39"/>
      <c r="B47" s="40"/>
      <c r="C47" s="416"/>
      <c r="D47" s="40"/>
      <c r="E47" s="41"/>
      <c r="F47" s="41"/>
      <c r="G47" s="42"/>
      <c r="H47" s="534"/>
      <c r="I47" s="44"/>
      <c r="J47" s="82"/>
      <c r="K47" s="82"/>
      <c r="L47" s="34"/>
      <c r="M47" s="34"/>
      <c r="N47" s="45"/>
      <c r="O47" s="46"/>
      <c r="P47" s="47"/>
      <c r="Q47" s="46"/>
      <c r="R47" s="384"/>
      <c r="S47" s="384"/>
      <c r="T47" s="36"/>
      <c r="U47" s="36"/>
      <c r="V47" s="36"/>
      <c r="W47" s="36"/>
      <c r="X47" s="37"/>
      <c r="Y47" s="208"/>
      <c r="Z47" s="615"/>
      <c r="AA47" s="36"/>
      <c r="AB47" s="36"/>
      <c r="AC47" s="36"/>
      <c r="AD47" s="36"/>
      <c r="AE47" s="225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49"/>
      <c r="BC47" s="50"/>
      <c r="BD47" s="50"/>
      <c r="BE47" s="50"/>
      <c r="BF47" s="50"/>
    </row>
    <row r="48" spans="1:58" ht="12.95" customHeight="1">
      <c r="A48" s="39">
        <v>46122</v>
      </c>
      <c r="B48" s="40" t="s">
        <v>497</v>
      </c>
      <c r="C48" s="416">
        <f>(M48*E48*O48*Q48)/100000000</f>
        <v>53.066764800000009</v>
      </c>
      <c r="D48" s="40" t="s">
        <v>276</v>
      </c>
      <c r="E48" s="41">
        <v>17</v>
      </c>
      <c r="F48" s="41">
        <v>1</v>
      </c>
      <c r="G48" s="459">
        <v>980</v>
      </c>
      <c r="H48" s="43">
        <v>0.2</v>
      </c>
      <c r="I48" s="44">
        <v>0.88</v>
      </c>
      <c r="J48" s="82">
        <f>E48*G48*(1-H48)*1440/1000000*2.87</f>
        <v>55.081958399999998</v>
      </c>
      <c r="K48" s="82">
        <f>(IF(G48&lt;L48,L48,G48)*(1-IF(H48&lt;N48,H48,N48))*E48*O48*Q48)/100000000</f>
        <v>53.738495999999998</v>
      </c>
      <c r="L48" s="34">
        <v>980</v>
      </c>
      <c r="M48" s="34">
        <v>774.2</v>
      </c>
      <c r="N48" s="45">
        <f>1-(M48/L48)</f>
        <v>0.20999999999999996</v>
      </c>
      <c r="O48" s="46">
        <f>+'Trim Rwd'!H32</f>
        <v>280</v>
      </c>
      <c r="P48" s="47">
        <f>O48*(Q48-R48-S48)</f>
        <v>397880</v>
      </c>
      <c r="Q48" s="46">
        <v>1440</v>
      </c>
      <c r="R48" s="384">
        <v>0</v>
      </c>
      <c r="S48" s="384">
        <v>19</v>
      </c>
      <c r="T48" s="36">
        <f>E48*M48*O48*Q48/100000000</f>
        <v>53.066764800000009</v>
      </c>
      <c r="U48" s="36">
        <f>E48*M48*O48*(Q48-R48-S48)/100000000</f>
        <v>52.366578320000009</v>
      </c>
      <c r="V48" s="36">
        <f>E48*G48*(1-N48)*O48/100*(R48+S48)/1000000</f>
        <v>0.70018648000000006</v>
      </c>
      <c r="W48" s="36">
        <f>+'10'!K34/1000</f>
        <v>56.877000000000002</v>
      </c>
      <c r="X48" s="381">
        <f>SUM(W48:W51)/SUM(K48:K51)</f>
        <v>1.0584032720230951</v>
      </c>
      <c r="Y48" s="36">
        <v>0</v>
      </c>
      <c r="Z48" s="615">
        <v>0</v>
      </c>
      <c r="AA48" s="48">
        <f>SUM(U48:U51)-SUM(W48:W51)-SUM(Z48:Z51)-SUM(Y48:Y51)</f>
        <v>-4.5104216799999932</v>
      </c>
      <c r="AB48" s="48">
        <f>(SUM(K48:K51)-SUM(W48:W51)-SUM(Y48:Y51)-SUM(Z48:Z51)-SUM(AC48:AC51)-SUM(V48:V51))-AA48</f>
        <v>0</v>
      </c>
      <c r="AC48" s="36">
        <f>K48-T48</f>
        <v>0.67173119999998931</v>
      </c>
      <c r="AD48" s="36">
        <f>+AM48+BA48</f>
        <v>0</v>
      </c>
      <c r="AE48" s="225" t="s">
        <v>385</v>
      </c>
      <c r="AF48" s="36">
        <v>0</v>
      </c>
      <c r="AG48" s="36"/>
      <c r="AH48" s="36"/>
      <c r="AI48" s="461"/>
      <c r="AJ48" s="36"/>
      <c r="AK48" s="36"/>
      <c r="AL48" s="36"/>
      <c r="AM48" s="36">
        <f>SUM(AF48:AL48)+AT48+AV48+AX48</f>
        <v>0</v>
      </c>
      <c r="AN48" s="36"/>
      <c r="AO48" s="36"/>
      <c r="AP48" s="36"/>
      <c r="AQ48" s="36"/>
      <c r="AR48" s="36">
        <f>SUM(AN48:AQ48)</f>
        <v>0</v>
      </c>
      <c r="AS48" s="36"/>
      <c r="AT48" s="36"/>
      <c r="AU48" s="36"/>
      <c r="AV48" s="36"/>
      <c r="AW48" s="36"/>
      <c r="AX48" s="36"/>
      <c r="AY48" s="36"/>
      <c r="AZ48" s="36"/>
      <c r="BA48" s="36">
        <f>+AR48+AS48+AU48+AW48+AY48+AZ48</f>
        <v>0</v>
      </c>
      <c r="BB48" s="32">
        <v>0</v>
      </c>
      <c r="BC48" s="50"/>
      <c r="BD48" s="50"/>
      <c r="BE48" s="32"/>
      <c r="BF48" s="50"/>
    </row>
    <row r="49" spans="1:58" ht="12.95" customHeight="1">
      <c r="A49" s="39"/>
      <c r="B49" s="40"/>
      <c r="C49" s="416"/>
      <c r="D49" s="40"/>
      <c r="E49" s="41"/>
      <c r="F49" s="41"/>
      <c r="G49" s="459"/>
      <c r="H49" s="43"/>
      <c r="I49" s="44"/>
      <c r="J49" s="82"/>
      <c r="K49" s="82"/>
      <c r="L49" s="34"/>
      <c r="M49" s="34"/>
      <c r="N49" s="45"/>
      <c r="O49" s="46"/>
      <c r="P49" s="47"/>
      <c r="Q49" s="46"/>
      <c r="R49" s="384"/>
      <c r="S49" s="384"/>
      <c r="T49" s="36"/>
      <c r="U49" s="36"/>
      <c r="V49" s="36"/>
      <c r="W49" s="36"/>
      <c r="X49" s="37"/>
      <c r="Y49" s="208"/>
      <c r="Z49" s="615"/>
      <c r="AA49" s="36"/>
      <c r="AB49" s="36"/>
      <c r="AC49" s="36"/>
      <c r="AD49" s="36">
        <f>+AM49+BA49</f>
        <v>0</v>
      </c>
      <c r="AE49" s="225" t="s">
        <v>399</v>
      </c>
      <c r="AF49" s="36"/>
      <c r="AG49" s="36">
        <v>0</v>
      </c>
      <c r="AH49" s="36"/>
      <c r="AI49" s="461"/>
      <c r="AJ49" s="36"/>
      <c r="AK49" s="36"/>
      <c r="AL49" s="36"/>
      <c r="AM49" s="36">
        <f>SUM(AF49:AL49)+AT49+AV49+AX49</f>
        <v>0</v>
      </c>
      <c r="AN49" s="83"/>
      <c r="AO49" s="36"/>
      <c r="AP49" s="36"/>
      <c r="AQ49" s="36"/>
      <c r="AR49" s="36">
        <f>SUM(AN49:AQ49)</f>
        <v>0</v>
      </c>
      <c r="AS49" s="36"/>
      <c r="AT49" s="36"/>
      <c r="AU49" s="36"/>
      <c r="AV49" s="36"/>
      <c r="AW49" s="36"/>
      <c r="AX49" s="36"/>
      <c r="AY49" s="36"/>
      <c r="AZ49" s="36"/>
      <c r="BA49" s="36">
        <f>+AR49+AS49+AU49+AW49+AY49+AZ49</f>
        <v>0</v>
      </c>
      <c r="BB49" s="49"/>
      <c r="BC49" s="50">
        <v>0</v>
      </c>
      <c r="BD49" s="50"/>
      <c r="BE49" s="49"/>
      <c r="BF49" s="50"/>
    </row>
    <row r="50" spans="1:58" ht="12.95" customHeight="1">
      <c r="A50" s="39"/>
      <c r="B50" s="40"/>
      <c r="C50" s="416"/>
      <c r="D50" s="40"/>
      <c r="E50" s="41"/>
      <c r="F50" s="41"/>
      <c r="G50" s="459"/>
      <c r="H50" s="43"/>
      <c r="I50" s="44"/>
      <c r="J50" s="82"/>
      <c r="K50" s="82"/>
      <c r="L50" s="34"/>
      <c r="M50" s="34"/>
      <c r="N50" s="45"/>
      <c r="O50" s="46"/>
      <c r="P50" s="47"/>
      <c r="Q50" s="46"/>
      <c r="R50" s="384"/>
      <c r="S50" s="384"/>
      <c r="T50" s="36"/>
      <c r="U50" s="36"/>
      <c r="V50" s="36"/>
      <c r="W50" s="36"/>
      <c r="X50" s="37"/>
      <c r="Y50" s="208"/>
      <c r="Z50" s="615"/>
      <c r="AA50" s="36"/>
      <c r="AB50" s="36"/>
      <c r="AC50" s="36"/>
      <c r="AD50" s="36">
        <f>+AM50+BA50</f>
        <v>19</v>
      </c>
      <c r="AE50" s="225" t="s">
        <v>541</v>
      </c>
      <c r="AF50" s="32"/>
      <c r="AG50" s="32"/>
      <c r="AH50" s="32">
        <v>19</v>
      </c>
      <c r="AJ50" s="36"/>
      <c r="AK50" s="36"/>
      <c r="AL50" s="36"/>
      <c r="AM50" s="36">
        <f>SUM(AF50:AL50)+AT50+AV50+AX50</f>
        <v>19</v>
      </c>
      <c r="AN50" s="36"/>
      <c r="AO50" s="36"/>
      <c r="AP50" s="36"/>
      <c r="AQ50" s="36"/>
      <c r="AR50" s="36">
        <f>SUM(AN50:AQ50)</f>
        <v>0</v>
      </c>
      <c r="AS50" s="36"/>
      <c r="AT50" s="36"/>
      <c r="AU50" s="36"/>
      <c r="AV50" s="36"/>
      <c r="AW50" s="36"/>
      <c r="AX50" s="36"/>
      <c r="AY50" s="36"/>
      <c r="AZ50" s="36"/>
      <c r="BA50" s="36">
        <f>+AR50+AS50+AU50+AW50+AY50+AZ50</f>
        <v>0</v>
      </c>
      <c r="BB50" s="32"/>
      <c r="BC50" s="52"/>
      <c r="BD50" s="52"/>
      <c r="BE50" s="32"/>
      <c r="BF50" s="52"/>
    </row>
    <row r="51" spans="1:58" ht="12.95" customHeight="1">
      <c r="A51" s="39"/>
      <c r="B51" s="40"/>
      <c r="C51" s="416"/>
      <c r="D51" s="40"/>
      <c r="E51" s="41"/>
      <c r="F51" s="41"/>
      <c r="G51" s="42"/>
      <c r="H51" s="534"/>
      <c r="I51" s="44"/>
      <c r="J51" s="82"/>
      <c r="K51" s="82"/>
      <c r="L51" s="34"/>
      <c r="M51" s="34"/>
      <c r="N51" s="45"/>
      <c r="O51" s="46"/>
      <c r="P51" s="47"/>
      <c r="Q51" s="46"/>
      <c r="R51" s="384"/>
      <c r="S51" s="384"/>
      <c r="T51" s="36"/>
      <c r="U51" s="36"/>
      <c r="V51" s="36"/>
      <c r="W51" s="36"/>
      <c r="X51" s="381"/>
      <c r="Y51" s="208"/>
      <c r="Z51" s="615"/>
      <c r="AA51" s="48"/>
      <c r="AB51" s="48"/>
      <c r="AC51" s="36"/>
      <c r="AD51" s="36"/>
      <c r="AE51" s="228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2"/>
      <c r="BC51" s="52"/>
      <c r="BD51" s="52"/>
      <c r="BE51" s="32"/>
      <c r="BF51" s="52"/>
    </row>
    <row r="52" spans="1:58" ht="12.95" customHeight="1">
      <c r="A52" s="39">
        <v>46123</v>
      </c>
      <c r="B52" s="40" t="s">
        <v>497</v>
      </c>
      <c r="C52" s="416">
        <f>(M52*E52*O52*Q52)/100000000</f>
        <v>35.239231999999994</v>
      </c>
      <c r="D52" s="40" t="s">
        <v>276</v>
      </c>
      <c r="E52" s="41">
        <v>17</v>
      </c>
      <c r="F52" s="41">
        <v>1</v>
      </c>
      <c r="G52" s="459">
        <v>980</v>
      </c>
      <c r="H52" s="43">
        <v>0.2</v>
      </c>
      <c r="I52" s="44">
        <v>0.88</v>
      </c>
      <c r="J52" s="82">
        <f>E52*G52*(1-H52)*1440/1000000*2.87</f>
        <v>55.081958399999998</v>
      </c>
      <c r="K52" s="82">
        <f>(IF(G52&lt;L52,L52,G52)*(1-IF(H52&lt;N52,H52,N52))*E52*O52*Q52)/100000000</f>
        <v>35.239231999999994</v>
      </c>
      <c r="L52" s="34">
        <v>989.73262032085563</v>
      </c>
      <c r="M52" s="34">
        <v>791.78609625668446</v>
      </c>
      <c r="N52" s="45">
        <f>1-(M52/L52)</f>
        <v>0.20000000000000007</v>
      </c>
      <c r="O52" s="46">
        <f>+'Trim Rwd'!H34</f>
        <v>280</v>
      </c>
      <c r="P52" s="47">
        <f>O52*(Q52-R52-S52)</f>
        <v>256200</v>
      </c>
      <c r="Q52" s="46">
        <v>935</v>
      </c>
      <c r="R52" s="384">
        <v>0</v>
      </c>
      <c r="S52" s="384">
        <v>20</v>
      </c>
      <c r="T52" s="36">
        <f>E52*M52*O52*Q52/100000000</f>
        <v>35.239231999999994</v>
      </c>
      <c r="U52" s="36">
        <f>E52*M52*O52*(Q52-R52-S52)/100000000</f>
        <v>34.485451636363635</v>
      </c>
      <c r="V52" s="36">
        <f>E52*G52*(1-N52)*O52/100*(R52+S52)/1000000</f>
        <v>0.74636799999999992</v>
      </c>
      <c r="W52" s="36">
        <f>+'11'!K12/1000</f>
        <v>37.24</v>
      </c>
      <c r="X52" s="381">
        <f>SUM(W52:W55)/SUM(K52:K55)</f>
        <v>0.81268286908475418</v>
      </c>
      <c r="Y52" s="36">
        <v>0</v>
      </c>
      <c r="Z52" s="615">
        <v>0</v>
      </c>
      <c r="AA52" s="48">
        <f>SUM(U52:U55)-SUM(W52:W55)-SUM(Z52:Z55)-SUM(Y52:Y55)</f>
        <v>8.059907316363633</v>
      </c>
      <c r="AB52" s="48">
        <f>(SUM(K52:K55)-SUM(W52:W55)-SUM(Y52:Y55)-SUM(Z52:Z55)-SUM(AC52:AC55)-SUM(V52:V55))-AA52</f>
        <v>7.4123636363641054E-3</v>
      </c>
      <c r="AC52" s="36">
        <f>K52-T52</f>
        <v>0</v>
      </c>
      <c r="AD52" s="36">
        <f>+AM52+BA52</f>
        <v>0</v>
      </c>
      <c r="AE52" s="225" t="s">
        <v>385</v>
      </c>
      <c r="AF52" s="36">
        <v>0</v>
      </c>
      <c r="AG52" s="36"/>
      <c r="AH52" s="36"/>
      <c r="AI52" s="461"/>
      <c r="AJ52" s="36"/>
      <c r="AK52" s="36"/>
      <c r="AL52" s="36"/>
      <c r="AM52" s="36">
        <f>SUM(AF52:AL52)+AT52+AV52+AX52</f>
        <v>0</v>
      </c>
      <c r="AN52" s="36"/>
      <c r="AO52" s="36"/>
      <c r="AP52" s="36"/>
      <c r="AQ52" s="36"/>
      <c r="AR52" s="36">
        <f>SUM(AN52:AQ52)</f>
        <v>0</v>
      </c>
      <c r="AS52" s="36"/>
      <c r="AT52" s="36"/>
      <c r="AU52" s="36"/>
      <c r="AV52" s="36"/>
      <c r="AW52" s="36"/>
      <c r="AX52" s="36"/>
      <c r="AY52" s="36"/>
      <c r="AZ52" s="36"/>
      <c r="BA52" s="36">
        <f>+AR52+AS52+AU52+AW52+AY52+AZ52</f>
        <v>0</v>
      </c>
      <c r="BB52" s="32">
        <v>0</v>
      </c>
      <c r="BC52" s="50"/>
      <c r="BD52" s="50"/>
      <c r="BE52" s="32"/>
      <c r="BF52" s="50"/>
    </row>
    <row r="53" spans="1:58" ht="12.95" customHeight="1">
      <c r="A53" s="39"/>
      <c r="B53" s="40" t="s">
        <v>403</v>
      </c>
      <c r="C53" s="416">
        <f>(M53*E53*O53*Q53)/100000000</f>
        <v>18.600957900000001</v>
      </c>
      <c r="D53" s="40" t="s">
        <v>276</v>
      </c>
      <c r="E53" s="41">
        <v>15.5</v>
      </c>
      <c r="F53" s="41">
        <v>1</v>
      </c>
      <c r="G53" s="459">
        <v>1050</v>
      </c>
      <c r="H53" s="43">
        <f>+N53</f>
        <v>0.18000000000000005</v>
      </c>
      <c r="I53" s="44">
        <v>0.88</v>
      </c>
      <c r="J53" s="82">
        <f>E53*G53*(1-H53)*1440/1000000*2.87</f>
        <v>55.1542824</v>
      </c>
      <c r="K53" s="82">
        <f>(IF(G53&lt;L53,L53,G53)*(1-IF(H53&lt;N53,H53,N53))*E53*O53*Q53)/100000000</f>
        <v>18.600957900000001</v>
      </c>
      <c r="L53" s="34">
        <v>1050</v>
      </c>
      <c r="M53" s="34">
        <v>861</v>
      </c>
      <c r="N53" s="45">
        <f>1-(M53/L53)</f>
        <v>0.18000000000000005</v>
      </c>
      <c r="O53" s="46">
        <f>+'Trim Rwd'!H35</f>
        <v>276</v>
      </c>
      <c r="P53" s="47">
        <f>O53*(Q53-R53-S53)</f>
        <v>136896</v>
      </c>
      <c r="Q53" s="46">
        <v>505</v>
      </c>
      <c r="R53" s="384">
        <v>0</v>
      </c>
      <c r="S53" s="384">
        <v>9</v>
      </c>
      <c r="T53" s="36">
        <f>E53*M53*O53*Q53/100000000</f>
        <v>18.600957900000001</v>
      </c>
      <c r="U53" s="36">
        <f>E53*M53*O53*(Q53-R53-S53)/100000000</f>
        <v>18.26945568</v>
      </c>
      <c r="V53" s="36">
        <f>E53*G53*(1-N53)*O53/100*(R53+S53)/1000000</f>
        <v>0.33150222000000001</v>
      </c>
      <c r="W53" s="36">
        <f>+'11'!K13/1000</f>
        <v>6.5149999999999997</v>
      </c>
      <c r="X53" s="37"/>
      <c r="Y53" s="208"/>
      <c r="Z53" s="615">
        <f>+'11'!D26/1000</f>
        <v>0.94</v>
      </c>
      <c r="AA53" s="36"/>
      <c r="AB53" s="36"/>
      <c r="AC53" s="36">
        <f>K53-T53</f>
        <v>0</v>
      </c>
      <c r="AD53" s="36">
        <f>+AM53+BA53</f>
        <v>1</v>
      </c>
      <c r="AE53" s="225" t="s">
        <v>419</v>
      </c>
      <c r="AF53" s="36"/>
      <c r="AG53" s="36">
        <v>1</v>
      </c>
      <c r="AH53" s="36"/>
      <c r="AI53" s="461"/>
      <c r="AJ53" s="36"/>
      <c r="AK53" s="36"/>
      <c r="AL53" s="36"/>
      <c r="AM53" s="36">
        <f>SUM(AF53:AL53)+AT53+AV53+AX53</f>
        <v>1</v>
      </c>
      <c r="AN53" s="83"/>
      <c r="AO53" s="36"/>
      <c r="AP53" s="36"/>
      <c r="AQ53" s="36"/>
      <c r="AR53" s="36">
        <f>SUM(AN53:AQ53)</f>
        <v>0</v>
      </c>
      <c r="AS53" s="36"/>
      <c r="AT53" s="36"/>
      <c r="AU53" s="36"/>
      <c r="AV53" s="36"/>
      <c r="AW53" s="36"/>
      <c r="AX53" s="36"/>
      <c r="AY53" s="36"/>
      <c r="AZ53" s="36"/>
      <c r="BA53" s="36">
        <f>+AR53+AS53+AU53+AW53+AY53+AZ53</f>
        <v>0</v>
      </c>
      <c r="BB53" s="49"/>
      <c r="BC53" s="50">
        <v>0</v>
      </c>
      <c r="BD53" s="50"/>
      <c r="BE53" s="49"/>
      <c r="BF53" s="50"/>
    </row>
    <row r="54" spans="1:58" ht="12.95" customHeight="1">
      <c r="A54" s="39"/>
      <c r="B54" s="40"/>
      <c r="C54" s="416"/>
      <c r="D54" s="40"/>
      <c r="E54" s="41"/>
      <c r="F54" s="41"/>
      <c r="G54" s="459"/>
      <c r="H54" s="43"/>
      <c r="I54" s="44"/>
      <c r="J54" s="82"/>
      <c r="K54" s="82"/>
      <c r="L54" s="34"/>
      <c r="M54" s="34"/>
      <c r="N54" s="45"/>
      <c r="O54" s="46"/>
      <c r="P54" s="47"/>
      <c r="Q54" s="46"/>
      <c r="R54" s="384"/>
      <c r="S54" s="384"/>
      <c r="T54" s="36"/>
      <c r="U54" s="36"/>
      <c r="V54" s="36"/>
      <c r="W54" s="36"/>
      <c r="X54" s="37"/>
      <c r="Y54" s="208"/>
      <c r="Z54" s="615"/>
      <c r="AA54" s="36"/>
      <c r="AB54" s="36"/>
      <c r="AC54" s="36"/>
      <c r="AD54" s="36">
        <f>+AM54+BA54</f>
        <v>28</v>
      </c>
      <c r="AE54" s="225" t="s">
        <v>421</v>
      </c>
      <c r="AF54" s="32"/>
      <c r="AG54" s="32"/>
      <c r="AH54" s="32">
        <v>28</v>
      </c>
      <c r="AJ54" s="36"/>
      <c r="AK54" s="36"/>
      <c r="AL54" s="36"/>
      <c r="AM54" s="36">
        <f>SUM(AF54:AL54)+AT54+AV54+AX54</f>
        <v>28</v>
      </c>
      <c r="AN54" s="36"/>
      <c r="AO54" s="36"/>
      <c r="AP54" s="36"/>
      <c r="AQ54" s="36"/>
      <c r="AR54" s="36">
        <f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>
        <f>+AR54+AS54+AU54+AW54+AY54+AZ54</f>
        <v>0</v>
      </c>
      <c r="BB54" s="32"/>
      <c r="BC54" s="52"/>
      <c r="BD54" s="52"/>
      <c r="BE54" s="32"/>
      <c r="BF54" s="52"/>
    </row>
    <row r="55" spans="1:58" ht="12.95" customHeight="1">
      <c r="A55" s="39"/>
      <c r="B55" s="40"/>
      <c r="C55" s="416"/>
      <c r="D55" s="40"/>
      <c r="E55" s="41"/>
      <c r="F55" s="41"/>
      <c r="G55" s="42"/>
      <c r="H55" s="534"/>
      <c r="I55" s="44"/>
      <c r="J55" s="82"/>
      <c r="K55" s="82"/>
      <c r="L55" s="34"/>
      <c r="M55" s="34"/>
      <c r="N55" s="45"/>
      <c r="O55" s="46"/>
      <c r="P55" s="47"/>
      <c r="Q55" s="46"/>
      <c r="R55" s="384"/>
      <c r="S55" s="384"/>
      <c r="T55" s="36"/>
      <c r="U55" s="36"/>
      <c r="V55" s="36"/>
      <c r="W55" s="36"/>
      <c r="X55" s="381"/>
      <c r="Y55" s="208"/>
      <c r="Z55" s="615"/>
      <c r="AA55" s="48"/>
      <c r="AB55" s="48"/>
      <c r="AC55" s="36"/>
      <c r="AD55" s="36"/>
      <c r="AE55" s="228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2"/>
      <c r="BC55" s="52"/>
      <c r="BD55" s="52"/>
      <c r="BE55" s="32"/>
      <c r="BF55" s="52"/>
    </row>
    <row r="56" spans="1:58" ht="12.95" customHeight="1">
      <c r="A56" s="39">
        <v>46124</v>
      </c>
      <c r="B56" s="40" t="s">
        <v>403</v>
      </c>
      <c r="C56" s="416">
        <f>(M56*E56*O56*Q56)/100000000</f>
        <v>25.226510399999999</v>
      </c>
      <c r="D56" s="40" t="s">
        <v>276</v>
      </c>
      <c r="E56" s="41">
        <v>15.5</v>
      </c>
      <c r="F56" s="41">
        <v>1</v>
      </c>
      <c r="G56" s="459">
        <v>1050</v>
      </c>
      <c r="H56" s="43">
        <f>+N56</f>
        <v>0.21999999999999997</v>
      </c>
      <c r="I56" s="44">
        <v>0.88</v>
      </c>
      <c r="J56" s="82">
        <f>E56*G56*(1-H56)*1440/1000000*2.87</f>
        <v>52.463829600000004</v>
      </c>
      <c r="K56" s="82">
        <f>(IF(G56&lt;L56,L56,G56)*(1-IF(H56&lt;N56,H56,N56))*E56*O56*Q56)/100000000</f>
        <v>25.226510399999999</v>
      </c>
      <c r="L56" s="34">
        <v>1050</v>
      </c>
      <c r="M56" s="34">
        <f>+L56-L56*0.22</f>
        <v>819</v>
      </c>
      <c r="N56" s="45">
        <f>1-(M56/L56)</f>
        <v>0.21999999999999997</v>
      </c>
      <c r="O56" s="46">
        <f>+'Trim Rwd'!H37</f>
        <v>276</v>
      </c>
      <c r="P56" s="47">
        <f>O56*(Q56-R56-S56)</f>
        <v>186576</v>
      </c>
      <c r="Q56" s="46">
        <v>720</v>
      </c>
      <c r="R56" s="384">
        <v>15</v>
      </c>
      <c r="S56" s="384">
        <v>29</v>
      </c>
      <c r="T56" s="36">
        <f>E56*M56*O56*Q56/100000000</f>
        <v>25.226510399999999</v>
      </c>
      <c r="U56" s="36">
        <f>E56*M56*O56*(Q56-R56-S56)/100000000</f>
        <v>23.684890320000001</v>
      </c>
      <c r="V56" s="36">
        <f>E56*G56*(1-N56)*O56/100*(R56+S56)/1000000</f>
        <v>1.5416200800000002</v>
      </c>
      <c r="W56" s="36">
        <f>+'12'!K13/1000</f>
        <v>34.006</v>
      </c>
      <c r="X56" s="381">
        <f>SUM(W56:W59)/SUM(K56:K59)</f>
        <v>0.99683971035605357</v>
      </c>
      <c r="Y56" s="36">
        <v>0</v>
      </c>
      <c r="Z56" s="615">
        <v>0</v>
      </c>
      <c r="AA56" s="48">
        <f>SUM(U56:U59)-SUM(W56:W59)-SUM(Z56:Z59)-SUM(Y56:Y59)</f>
        <v>-3.0757423199999954</v>
      </c>
      <c r="AB56" s="48">
        <f>(SUM(K56:K59)-SUM(W56:W59)-SUM(Y56:Y59)-SUM(Z56:Z59)-SUM(AC56:AC59)-SUM(V56:V59))-AA56</f>
        <v>-3.5527136788005009E-15</v>
      </c>
      <c r="AC56" s="36">
        <f>K56-T56</f>
        <v>0</v>
      </c>
      <c r="AD56" s="36">
        <f>+AM56+BA56</f>
        <v>35</v>
      </c>
      <c r="AE56" s="225" t="s">
        <v>566</v>
      </c>
      <c r="AF56" s="36">
        <v>35</v>
      </c>
      <c r="AG56" s="36"/>
      <c r="AH56" s="36"/>
      <c r="AI56" s="461"/>
      <c r="AJ56" s="36"/>
      <c r="AK56" s="36"/>
      <c r="AL56" s="36"/>
      <c r="AM56" s="36">
        <f>SUM(AF56:AL56)+AT56+AV56+AX56</f>
        <v>35</v>
      </c>
      <c r="AN56" s="36"/>
      <c r="AO56" s="36"/>
      <c r="AP56" s="36"/>
      <c r="AQ56" s="36"/>
      <c r="AR56" s="36">
        <f>SUM(AN56:AQ56)</f>
        <v>0</v>
      </c>
      <c r="AS56" s="36"/>
      <c r="AT56" s="36"/>
      <c r="AU56" s="36"/>
      <c r="AV56" s="36"/>
      <c r="AW56" s="36"/>
      <c r="AX56" s="36"/>
      <c r="AY56" s="36"/>
      <c r="AZ56" s="36"/>
      <c r="BA56" s="36">
        <f>+AR56+AS56+AU56+AW56+AY56+AZ56</f>
        <v>0</v>
      </c>
      <c r="BB56" s="32">
        <v>0</v>
      </c>
      <c r="BC56" s="50"/>
      <c r="BD56" s="50"/>
      <c r="BE56" s="32"/>
      <c r="BF56" s="50"/>
    </row>
    <row r="57" spans="1:58" ht="12.95" customHeight="1">
      <c r="A57" s="39"/>
      <c r="B57" s="40" t="s">
        <v>403</v>
      </c>
      <c r="C57" s="416">
        <f>(M57*E57*O57*Q57)/100000000</f>
        <v>24.224769969230771</v>
      </c>
      <c r="D57" s="40" t="s">
        <v>276</v>
      </c>
      <c r="E57" s="41">
        <v>11</v>
      </c>
      <c r="F57" s="41">
        <v>1</v>
      </c>
      <c r="G57" s="459">
        <v>1370</v>
      </c>
      <c r="H57" s="43">
        <f>+N57</f>
        <v>0.19999999999999996</v>
      </c>
      <c r="I57" s="44">
        <v>0.88</v>
      </c>
      <c r="J57" s="82">
        <f>E57*G57*(1-H57)*1440/1000000*2.87</f>
        <v>49.825036799999999</v>
      </c>
      <c r="K57" s="82">
        <f>(IF(G57&lt;L57,L57,G57)*(1-IF(H57&lt;N57,H57,N57))*E57*O57*Q57)/100000000</f>
        <v>24.224769969230771</v>
      </c>
      <c r="L57" s="34">
        <v>1370</v>
      </c>
      <c r="M57" s="34">
        <f>+L57-L57*0.2</f>
        <v>1096</v>
      </c>
      <c r="N57" s="45">
        <f>1-(M57/L57)</f>
        <v>0.19999999999999996</v>
      </c>
      <c r="O57" s="46">
        <f>+'Trim Rwd'!H38</f>
        <v>279.07692307692309</v>
      </c>
      <c r="P57" s="47">
        <f>O57*(Q57-R57-S57)</f>
        <v>188656</v>
      </c>
      <c r="Q57" s="46">
        <v>720</v>
      </c>
      <c r="R57" s="384">
        <v>0</v>
      </c>
      <c r="S57" s="384">
        <f>35+9</f>
        <v>44</v>
      </c>
      <c r="T57" s="36">
        <f>E57*M57*O57*Q57/100000000</f>
        <v>24.224769969230771</v>
      </c>
      <c r="U57" s="36">
        <f>E57*M57*O57*(Q57-R57-S57)/100000000</f>
        <v>22.744367360000005</v>
      </c>
      <c r="V57" s="36">
        <f>E57*G57*(1-N57)*O57/100*(R57+S57)/1000000</f>
        <v>1.4804026092307696</v>
      </c>
      <c r="W57" s="36">
        <f>+'12'!K14/1000</f>
        <v>15.289</v>
      </c>
      <c r="X57" s="37"/>
      <c r="Y57" s="208"/>
      <c r="Z57" s="615">
        <f>+'12'!D26/1000</f>
        <v>0.21</v>
      </c>
      <c r="AA57" s="36"/>
      <c r="AB57" s="36"/>
      <c r="AC57" s="36"/>
      <c r="AD57" s="36">
        <f>+AM57+BA57</f>
        <v>0</v>
      </c>
      <c r="AE57" s="225" t="s">
        <v>399</v>
      </c>
      <c r="AF57" s="36"/>
      <c r="AG57" s="36">
        <v>0</v>
      </c>
      <c r="AH57" s="36"/>
      <c r="AI57" s="461"/>
      <c r="AJ57" s="36"/>
      <c r="AK57" s="36"/>
      <c r="AL57" s="36"/>
      <c r="AM57" s="36">
        <f>SUM(AF57:AL57)+AT57+AV57+AX57</f>
        <v>0</v>
      </c>
      <c r="AN57" s="83"/>
      <c r="AO57" s="36"/>
      <c r="AP57" s="36"/>
      <c r="AQ57" s="36"/>
      <c r="AR57" s="36">
        <f>SUM(AN57:AQ57)</f>
        <v>0</v>
      </c>
      <c r="AS57" s="36"/>
      <c r="AT57" s="36"/>
      <c r="AU57" s="36"/>
      <c r="AV57" s="36"/>
      <c r="AW57" s="36"/>
      <c r="AX57" s="36"/>
      <c r="AY57" s="36"/>
      <c r="AZ57" s="36"/>
      <c r="BA57" s="36">
        <f>+AR57+AS57+AU57+AW57+AY57+AZ57</f>
        <v>0</v>
      </c>
      <c r="BB57" s="49"/>
      <c r="BC57" s="50">
        <v>0</v>
      </c>
      <c r="BD57" s="50"/>
      <c r="BE57" s="49"/>
      <c r="BF57" s="50"/>
    </row>
    <row r="58" spans="1:58" ht="12.95" customHeight="1">
      <c r="A58" s="39"/>
      <c r="B58" s="40"/>
      <c r="C58" s="416"/>
      <c r="D58" s="40"/>
      <c r="E58" s="41"/>
      <c r="F58" s="41"/>
      <c r="G58" s="459"/>
      <c r="H58" s="43"/>
      <c r="I58" s="44"/>
      <c r="J58" s="82"/>
      <c r="K58" s="82"/>
      <c r="L58" s="34"/>
      <c r="M58" s="34"/>
      <c r="N58" s="45"/>
      <c r="O58" s="46"/>
      <c r="P58" s="47"/>
      <c r="Q58" s="46"/>
      <c r="R58" s="384"/>
      <c r="S58" s="384"/>
      <c r="T58" s="36"/>
      <c r="U58" s="36"/>
      <c r="V58" s="36"/>
      <c r="W58" s="36"/>
      <c r="X58" s="37"/>
      <c r="Y58" s="208"/>
      <c r="Z58" s="615"/>
      <c r="AA58" s="36"/>
      <c r="AB58" s="36"/>
      <c r="AC58" s="36"/>
      <c r="AD58" s="36">
        <f>+AM58+BA58</f>
        <v>29</v>
      </c>
      <c r="AE58" s="225" t="s">
        <v>421</v>
      </c>
      <c r="AF58" s="32"/>
      <c r="AG58" s="32"/>
      <c r="AH58" s="32">
        <v>29</v>
      </c>
      <c r="AJ58" s="36"/>
      <c r="AK58" s="36"/>
      <c r="AL58" s="36"/>
      <c r="AM58" s="36">
        <f>SUM(AF58:AL58)+AT58+AV58+AX58</f>
        <v>29</v>
      </c>
      <c r="AN58" s="36"/>
      <c r="AO58" s="36"/>
      <c r="AP58" s="36"/>
      <c r="AQ58" s="36"/>
      <c r="AR58" s="36">
        <f>SUM(AN58:AQ58)</f>
        <v>0</v>
      </c>
      <c r="AS58" s="36"/>
      <c r="AT58" s="36"/>
      <c r="AU58" s="36"/>
      <c r="AV58" s="36"/>
      <c r="AW58" s="36"/>
      <c r="AX58" s="36"/>
      <c r="AY58" s="36"/>
      <c r="AZ58" s="36"/>
      <c r="BA58" s="36">
        <f>+AR58+AS58+AU58+AW58+AY58+AZ58</f>
        <v>0</v>
      </c>
      <c r="BB58" s="32"/>
      <c r="BC58" s="52"/>
      <c r="BD58" s="52"/>
      <c r="BE58" s="32"/>
      <c r="BF58" s="52"/>
    </row>
    <row r="59" spans="1:58" ht="12.95" customHeight="1">
      <c r="A59" s="39"/>
      <c r="B59" s="40"/>
      <c r="C59" s="416"/>
      <c r="D59" s="40"/>
      <c r="E59" s="41"/>
      <c r="F59" s="41"/>
      <c r="G59" s="42"/>
      <c r="H59" s="534"/>
      <c r="I59" s="44"/>
      <c r="J59" s="82"/>
      <c r="K59" s="82"/>
      <c r="L59" s="34"/>
      <c r="M59" s="34"/>
      <c r="N59" s="45"/>
      <c r="O59" s="46"/>
      <c r="P59" s="47"/>
      <c r="Q59" s="46"/>
      <c r="R59" s="384"/>
      <c r="S59" s="384"/>
      <c r="T59" s="36"/>
      <c r="U59" s="36"/>
      <c r="V59" s="36"/>
      <c r="W59" s="36"/>
      <c r="X59" s="381"/>
      <c r="Y59" s="208"/>
      <c r="Z59" s="615"/>
      <c r="AA59" s="48"/>
      <c r="AB59" s="48"/>
      <c r="AC59" s="36"/>
      <c r="AD59" s="36">
        <f>+AM59+BA59</f>
        <v>15</v>
      </c>
      <c r="AE59" s="225" t="s">
        <v>561</v>
      </c>
      <c r="AF59" s="36"/>
      <c r="AG59" s="36"/>
      <c r="AH59" s="36"/>
      <c r="AI59" s="36"/>
      <c r="AJ59" s="36"/>
      <c r="AK59" s="36"/>
      <c r="AL59" s="36"/>
      <c r="AM59" s="36">
        <f>SUM(AF59:AL59)+AT59+AV59+AX59</f>
        <v>0</v>
      </c>
      <c r="AN59" s="36"/>
      <c r="AO59" s="36"/>
      <c r="AP59" s="36">
        <v>15</v>
      </c>
      <c r="AQ59" s="36"/>
      <c r="AR59" s="36">
        <f>SUM(AN59:AQ59)</f>
        <v>15</v>
      </c>
      <c r="AS59" s="36"/>
      <c r="AT59" s="36"/>
      <c r="AU59" s="36"/>
      <c r="AV59" s="36"/>
      <c r="AW59" s="36"/>
      <c r="AX59" s="36"/>
      <c r="AY59" s="36"/>
      <c r="AZ59" s="36"/>
      <c r="BA59" s="36">
        <f>+AR59+AS59+AU59+AW59+AY59+AZ59</f>
        <v>15</v>
      </c>
      <c r="BB59" s="32"/>
      <c r="BC59" s="52"/>
      <c r="BD59" s="52"/>
      <c r="BE59" s="32"/>
      <c r="BF59" s="52"/>
    </row>
    <row r="60" spans="1:58" ht="12.95" customHeight="1">
      <c r="A60" s="39"/>
      <c r="B60" s="40"/>
      <c r="C60" s="416"/>
      <c r="D60" s="40"/>
      <c r="E60" s="41"/>
      <c r="F60" s="41"/>
      <c r="G60" s="459"/>
      <c r="H60" s="534"/>
      <c r="I60" s="44"/>
      <c r="J60" s="82"/>
      <c r="K60" s="82"/>
      <c r="L60" s="34"/>
      <c r="M60" s="34"/>
      <c r="N60" s="45"/>
      <c r="O60" s="46"/>
      <c r="P60" s="47"/>
      <c r="Q60" s="46"/>
      <c r="R60" s="384"/>
      <c r="S60" s="384"/>
      <c r="T60" s="36"/>
      <c r="U60" s="36"/>
      <c r="V60" s="36"/>
      <c r="W60" s="36"/>
      <c r="X60" s="37"/>
      <c r="Y60" s="208"/>
      <c r="Z60" s="615"/>
      <c r="AA60" s="36"/>
      <c r="AB60" s="36"/>
      <c r="AC60" s="36"/>
      <c r="AD60" s="36">
        <f>+AM60+BA60</f>
        <v>9</v>
      </c>
      <c r="AE60" s="225" t="s">
        <v>551</v>
      </c>
      <c r="AF60" s="36"/>
      <c r="AG60" s="36"/>
      <c r="AH60" s="36"/>
      <c r="AI60" s="461"/>
      <c r="AJ60" s="36"/>
      <c r="AK60" s="36">
        <v>9</v>
      </c>
      <c r="AL60" s="36"/>
      <c r="AM60" s="36">
        <f>SUM(AF60:AL60)+AT60+AV60+AX60</f>
        <v>9</v>
      </c>
      <c r="AN60" s="36"/>
      <c r="AO60" s="36"/>
      <c r="AP60" s="36"/>
      <c r="AQ60" s="36"/>
      <c r="AR60" s="36">
        <f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>
        <f>+AR60+AS60+AU60+AW60+AY60+AZ60</f>
        <v>0</v>
      </c>
      <c r="BB60" s="32"/>
      <c r="BC60" s="52"/>
      <c r="BD60" s="52"/>
      <c r="BE60" s="32"/>
      <c r="BF60" s="52"/>
    </row>
    <row r="61" spans="1:58" ht="12.95" customHeight="1">
      <c r="A61" s="39"/>
      <c r="B61" s="40"/>
      <c r="C61" s="416"/>
      <c r="D61" s="40"/>
      <c r="E61" s="41"/>
      <c r="F61" s="41"/>
      <c r="G61" s="42"/>
      <c r="H61" s="534"/>
      <c r="I61" s="44"/>
      <c r="J61" s="82"/>
      <c r="K61" s="82"/>
      <c r="L61" s="34"/>
      <c r="M61" s="34"/>
      <c r="N61" s="45"/>
      <c r="O61" s="46"/>
      <c r="P61" s="47"/>
      <c r="Q61" s="46"/>
      <c r="R61" s="384"/>
      <c r="S61" s="384"/>
      <c r="T61" s="36"/>
      <c r="U61" s="36"/>
      <c r="V61" s="36"/>
      <c r="W61" s="36"/>
      <c r="X61" s="37"/>
      <c r="Y61" s="208"/>
      <c r="Z61" s="615"/>
      <c r="AA61" s="36"/>
      <c r="AB61" s="36"/>
      <c r="AC61" s="36"/>
      <c r="AD61" s="36"/>
      <c r="AE61" s="225"/>
      <c r="AF61" s="32"/>
      <c r="AG61" s="32"/>
      <c r="AH61" s="32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2"/>
      <c r="BC61" s="52"/>
      <c r="BD61" s="50"/>
      <c r="BE61" s="50"/>
      <c r="BF61" s="50"/>
    </row>
    <row r="62" spans="1:58" ht="12.95" customHeight="1">
      <c r="A62" s="39">
        <v>46125</v>
      </c>
      <c r="B62" s="40" t="s">
        <v>403</v>
      </c>
      <c r="C62" s="416">
        <f>(M62*E62*O62*Q62)/100000000</f>
        <v>43.323033600000002</v>
      </c>
      <c r="D62" s="40" t="s">
        <v>276</v>
      </c>
      <c r="E62" s="41">
        <v>11</v>
      </c>
      <c r="F62" s="41">
        <v>1</v>
      </c>
      <c r="G62" s="459">
        <v>1370</v>
      </c>
      <c r="H62" s="43">
        <f>+N62</f>
        <v>0.20000000000000007</v>
      </c>
      <c r="I62" s="44">
        <v>0.88</v>
      </c>
      <c r="J62" s="82">
        <f>E62*G62*(1-H62)*1440/1000000*2.87</f>
        <v>49.825036799999992</v>
      </c>
      <c r="K62" s="82">
        <f>(IF(G62&lt;L62,L62,G62)*(1-IF(H62&lt;N62,H62,N62))*E62*O62*Q62)/100000000</f>
        <v>48.609791999999999</v>
      </c>
      <c r="L62" s="34">
        <v>1221</v>
      </c>
      <c r="M62" s="34">
        <v>976.8</v>
      </c>
      <c r="N62" s="45">
        <f>1-(M62/L62)</f>
        <v>0.20000000000000007</v>
      </c>
      <c r="O62" s="46">
        <f>+'Trim Rwd'!H41</f>
        <v>280</v>
      </c>
      <c r="P62" s="47">
        <f>O62*(Q62-R62-S62)</f>
        <v>246400</v>
      </c>
      <c r="Q62" s="46">
        <v>1440</v>
      </c>
      <c r="R62" s="384">
        <v>498</v>
      </c>
      <c r="S62" s="384">
        <v>62</v>
      </c>
      <c r="T62" s="36">
        <f>E62*M62*O62*Q62/100000000</f>
        <v>43.323033600000002</v>
      </c>
      <c r="U62" s="36">
        <f>E62*M62*O62*(Q62-R62-S62)/100000000</f>
        <v>26.475187200000001</v>
      </c>
      <c r="V62" s="36">
        <f>E62*G62*(1-N62)*O62/100*(R62+S62)/1000000</f>
        <v>18.903807999999998</v>
      </c>
      <c r="W62" s="36">
        <f>+'13'!K34/1000</f>
        <v>18.167000000000002</v>
      </c>
      <c r="X62" s="381">
        <f>SUM(W62:W65)/SUM(K62:K65)</f>
        <v>0.37373128442927717</v>
      </c>
      <c r="Y62" s="36">
        <v>0</v>
      </c>
      <c r="Z62" s="615">
        <f>+'13'!D34/1000</f>
        <v>4.726</v>
      </c>
      <c r="AA62" s="48">
        <f>SUM(U62:U65)-SUM(W62:W65)-SUM(Z62:Z65)-SUM(Y62:Y65)</f>
        <v>3.582187199999999</v>
      </c>
      <c r="AB62" s="48">
        <f>(SUM(K62:K65)-SUM(W62:W65)-SUM(Y62:Y65)-SUM(Z62:Z65)-SUM(AC62:AC65)-SUM(V62:V65))-AA62</f>
        <v>-2.0559615999999954</v>
      </c>
      <c r="AC62" s="36">
        <f>K62-T62</f>
        <v>5.2867583999999965</v>
      </c>
      <c r="AD62" s="36">
        <f>+AM62+BA62</f>
        <v>35</v>
      </c>
      <c r="AE62" s="225" t="s">
        <v>566</v>
      </c>
      <c r="AF62" s="36">
        <v>35</v>
      </c>
      <c r="AG62" s="36"/>
      <c r="AH62" s="36"/>
      <c r="AI62" s="461"/>
      <c r="AJ62" s="36"/>
      <c r="AK62" s="36"/>
      <c r="AL62" s="36"/>
      <c r="AM62" s="36">
        <f>SUM(AF62:AL62)+AT62+AV62+AX62</f>
        <v>35</v>
      </c>
      <c r="AN62" s="36"/>
      <c r="AO62" s="36"/>
      <c r="AP62" s="36"/>
      <c r="AQ62" s="36"/>
      <c r="AR62" s="36">
        <f>SUM(AN62:AQ62)</f>
        <v>0</v>
      </c>
      <c r="AS62" s="36"/>
      <c r="AT62" s="36"/>
      <c r="AU62" s="36"/>
      <c r="AV62" s="36"/>
      <c r="AW62" s="36"/>
      <c r="AX62" s="36"/>
      <c r="AY62" s="36"/>
      <c r="AZ62" s="36"/>
      <c r="BA62" s="36">
        <f>+AR62+AS62+AU62+AW62+AY62+AZ62</f>
        <v>0</v>
      </c>
      <c r="BB62" s="32">
        <v>7</v>
      </c>
      <c r="BC62" s="50"/>
      <c r="BD62" s="50"/>
      <c r="BE62" s="32"/>
      <c r="BF62" s="50"/>
    </row>
    <row r="63" spans="1:58" ht="12.95" customHeight="1">
      <c r="A63" s="39"/>
      <c r="B63" s="40"/>
      <c r="C63" s="416"/>
      <c r="D63" s="40"/>
      <c r="E63" s="41"/>
      <c r="F63" s="41"/>
      <c r="G63" s="459"/>
      <c r="H63" s="534"/>
      <c r="I63" s="44"/>
      <c r="J63" s="82"/>
      <c r="K63" s="82"/>
      <c r="L63" s="34"/>
      <c r="M63" s="34"/>
      <c r="N63" s="45"/>
      <c r="O63" s="46"/>
      <c r="P63" s="47"/>
      <c r="Q63" s="46"/>
      <c r="R63" s="384"/>
      <c r="S63" s="384"/>
      <c r="T63" s="36"/>
      <c r="U63" s="36"/>
      <c r="V63" s="36"/>
      <c r="W63" s="36"/>
      <c r="X63" s="37"/>
      <c r="Y63" s="208"/>
      <c r="Z63" s="615"/>
      <c r="AA63" s="36"/>
      <c r="AB63" s="36"/>
      <c r="AC63" s="36"/>
      <c r="AD63" s="36">
        <f>+AM63+BA63</f>
        <v>3</v>
      </c>
      <c r="AE63" s="225" t="s">
        <v>589</v>
      </c>
      <c r="AF63" s="36"/>
      <c r="AG63" s="36">
        <v>3</v>
      </c>
      <c r="AH63" s="36"/>
      <c r="AI63" s="461"/>
      <c r="AJ63" s="36"/>
      <c r="AK63" s="36"/>
      <c r="AL63" s="36"/>
      <c r="AM63" s="36">
        <f>SUM(AF63:AL63)+AT63+AV63+AX63</f>
        <v>3</v>
      </c>
      <c r="AN63" s="83"/>
      <c r="AO63" s="36"/>
      <c r="AP63" s="36"/>
      <c r="AQ63" s="36"/>
      <c r="AR63" s="36">
        <f>SUM(AN63:AQ63)</f>
        <v>0</v>
      </c>
      <c r="AS63" s="36"/>
      <c r="AT63" s="36"/>
      <c r="AU63" s="36"/>
      <c r="AV63" s="36"/>
      <c r="AW63" s="36"/>
      <c r="AX63" s="36"/>
      <c r="AY63" s="36"/>
      <c r="AZ63" s="36"/>
      <c r="BA63" s="36">
        <f>+AR63+AS63+AU63+AW63+AY63+AZ63</f>
        <v>0</v>
      </c>
      <c r="BB63" s="49"/>
      <c r="BC63" s="50">
        <v>0</v>
      </c>
      <c r="BD63" s="50"/>
      <c r="BE63" s="49"/>
      <c r="BF63" s="50"/>
    </row>
    <row r="64" spans="1:58" ht="12.95" customHeight="1">
      <c r="A64" s="39"/>
      <c r="B64" s="40"/>
      <c r="C64" s="416"/>
      <c r="D64" s="40"/>
      <c r="E64" s="41"/>
      <c r="F64" s="41"/>
      <c r="G64" s="459"/>
      <c r="H64" s="43"/>
      <c r="I64" s="44"/>
      <c r="J64" s="82"/>
      <c r="K64" s="82"/>
      <c r="L64" s="34"/>
      <c r="M64" s="34"/>
      <c r="N64" s="45"/>
      <c r="O64" s="46"/>
      <c r="P64" s="47"/>
      <c r="Q64" s="46"/>
      <c r="R64" s="384"/>
      <c r="S64" s="384"/>
      <c r="T64" s="36"/>
      <c r="U64" s="36"/>
      <c r="V64" s="36"/>
      <c r="W64" s="36"/>
      <c r="X64" s="37"/>
      <c r="Y64" s="208"/>
      <c r="Z64" s="615"/>
      <c r="AA64" s="36"/>
      <c r="AB64" s="36"/>
      <c r="AC64" s="36"/>
      <c r="AD64" s="36">
        <f>+AM64+BA64</f>
        <v>24</v>
      </c>
      <c r="AE64" s="225" t="s">
        <v>590</v>
      </c>
      <c r="AF64" s="32"/>
      <c r="AG64" s="32"/>
      <c r="AH64" s="32">
        <v>24</v>
      </c>
      <c r="AJ64" s="36"/>
      <c r="AK64" s="36"/>
      <c r="AL64" s="36"/>
      <c r="AM64" s="36">
        <f>SUM(AF64:AL64)+AT64+AV64+AX64</f>
        <v>24</v>
      </c>
      <c r="AN64" s="36"/>
      <c r="AO64" s="36"/>
      <c r="AP64" s="36"/>
      <c r="AQ64" s="36"/>
      <c r="AR64" s="36">
        <f>SUM(AN64:AQ64)</f>
        <v>0</v>
      </c>
      <c r="AS64" s="36"/>
      <c r="AT64" s="36"/>
      <c r="AU64" s="36"/>
      <c r="AV64" s="36"/>
      <c r="AW64" s="36"/>
      <c r="AX64" s="36"/>
      <c r="AY64" s="36"/>
      <c r="AZ64" s="36"/>
      <c r="BA64" s="36">
        <f>+AR64+AS64+AU64+AW64+AY64+AZ64</f>
        <v>0</v>
      </c>
      <c r="BB64" s="32"/>
      <c r="BC64" s="52"/>
      <c r="BD64" s="52"/>
      <c r="BE64" s="32"/>
      <c r="BF64" s="52"/>
    </row>
    <row r="65" spans="1:58" ht="12.95" customHeight="1">
      <c r="A65" s="39"/>
      <c r="B65" s="40"/>
      <c r="C65" s="416"/>
      <c r="D65" s="40"/>
      <c r="E65" s="41"/>
      <c r="F65" s="41"/>
      <c r="G65" s="42"/>
      <c r="H65" s="534"/>
      <c r="I65" s="44"/>
      <c r="J65" s="82"/>
      <c r="K65" s="82"/>
      <c r="L65" s="34"/>
      <c r="M65" s="34"/>
      <c r="N65" s="45"/>
      <c r="O65" s="46"/>
      <c r="P65" s="47"/>
      <c r="Q65" s="46"/>
      <c r="R65" s="384"/>
      <c r="S65" s="384"/>
      <c r="T65" s="36"/>
      <c r="U65" s="36"/>
      <c r="V65" s="36"/>
      <c r="W65" s="36"/>
      <c r="X65" s="381"/>
      <c r="Y65" s="208"/>
      <c r="Z65" s="615"/>
      <c r="AA65" s="48"/>
      <c r="AB65" s="48"/>
      <c r="AC65" s="36"/>
      <c r="AD65" s="36">
        <f>+AM65+BA65</f>
        <v>498</v>
      </c>
      <c r="AE65" s="228" t="s">
        <v>591</v>
      </c>
      <c r="AF65" s="36"/>
      <c r="AG65" s="36"/>
      <c r="AH65" s="36"/>
      <c r="AI65" s="36"/>
      <c r="AJ65" s="36"/>
      <c r="AK65" s="36"/>
      <c r="AL65" s="36"/>
      <c r="AM65" s="36">
        <f>SUM(AF65:AL65)+AT65+AV65+AX65</f>
        <v>0</v>
      </c>
      <c r="AN65" s="36"/>
      <c r="AO65" s="36"/>
      <c r="AP65" s="36"/>
      <c r="AQ65" s="36"/>
      <c r="AR65" s="36">
        <f>SUM(AN65:AQ65)</f>
        <v>0</v>
      </c>
      <c r="AS65" s="36"/>
      <c r="AT65" s="36"/>
      <c r="AU65" s="36"/>
      <c r="AV65" s="36"/>
      <c r="AW65" s="36"/>
      <c r="AX65" s="36"/>
      <c r="AY65" s="36">
        <v>498</v>
      </c>
      <c r="AZ65" s="36"/>
      <c r="BA65" s="36">
        <f>+AR65+AS65+AU65+AW65+AY65+AZ65</f>
        <v>498</v>
      </c>
      <c r="BB65" s="32"/>
      <c r="BC65" s="52"/>
      <c r="BD65" s="52"/>
      <c r="BE65" s="32"/>
      <c r="BF65" s="52"/>
    </row>
    <row r="66" spans="1:58" ht="12.95" customHeight="1">
      <c r="A66" s="39"/>
      <c r="B66" s="40"/>
      <c r="C66" s="416"/>
      <c r="D66" s="40"/>
      <c r="E66" s="41"/>
      <c r="F66" s="41"/>
      <c r="G66" s="459"/>
      <c r="H66" s="534"/>
      <c r="I66" s="44"/>
      <c r="J66" s="82"/>
      <c r="K66" s="82"/>
      <c r="L66" s="34"/>
      <c r="M66" s="34"/>
      <c r="N66" s="45"/>
      <c r="O66" s="46"/>
      <c r="P66" s="47"/>
      <c r="Q66" s="46"/>
      <c r="R66" s="384"/>
      <c r="S66" s="384"/>
      <c r="T66" s="36"/>
      <c r="U66" s="36"/>
      <c r="V66" s="36"/>
      <c r="W66" s="36"/>
      <c r="X66" s="37"/>
      <c r="Y66" s="208"/>
      <c r="Z66" s="615"/>
      <c r="AA66" s="48"/>
      <c r="AB66" s="48"/>
      <c r="AC66" s="36"/>
      <c r="AD66" s="36"/>
      <c r="AE66" s="225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2"/>
      <c r="BC66" s="50"/>
      <c r="BD66" s="50"/>
      <c r="BE66" s="50"/>
      <c r="BF66" s="50"/>
    </row>
    <row r="67" spans="1:58" ht="12.95" customHeight="1">
      <c r="A67" s="39">
        <v>46126</v>
      </c>
      <c r="B67" s="40" t="s">
        <v>403</v>
      </c>
      <c r="C67" s="416">
        <f>(M67*E67*O67*Q67)/100000000</f>
        <v>0.50265599999999999</v>
      </c>
      <c r="D67" s="40" t="s">
        <v>276</v>
      </c>
      <c r="E67" s="41">
        <v>11</v>
      </c>
      <c r="F67" s="41">
        <v>1</v>
      </c>
      <c r="G67" s="459">
        <v>1370</v>
      </c>
      <c r="H67" s="43">
        <f>+N67</f>
        <v>0.19999999999999996</v>
      </c>
      <c r="I67" s="44">
        <v>0.88</v>
      </c>
      <c r="J67" s="82">
        <f>E67*G67*(1-H67)*1440/1000000*2.87</f>
        <v>49.825036799999999</v>
      </c>
      <c r="K67" s="82">
        <f>(IF(G67&lt;L67,L67,G67)*(1-IF(H67&lt;N67,H67,N67))*E67*O67*Q67)/100000000</f>
        <v>0.50635200000000002</v>
      </c>
      <c r="L67" s="34">
        <v>1360</v>
      </c>
      <c r="M67" s="34">
        <f>+L67-L67*0.2</f>
        <v>1088</v>
      </c>
      <c r="N67" s="45">
        <f>1-(M67/L67)</f>
        <v>0.19999999999999996</v>
      </c>
      <c r="O67" s="46">
        <f>+'Trim Rwd'!H43</f>
        <v>280</v>
      </c>
      <c r="P67" s="47">
        <f>O67*(Q67-R67-S67)</f>
        <v>4200</v>
      </c>
      <c r="Q67" s="46">
        <v>15</v>
      </c>
      <c r="R67" s="384">
        <v>0</v>
      </c>
      <c r="S67" s="384">
        <v>0</v>
      </c>
      <c r="T67" s="36">
        <f>E67*M67*O67*Q67/100000000</f>
        <v>0.50265599999999999</v>
      </c>
      <c r="U67" s="36">
        <f>E67*M67*O67*(Q67-R67-S67)/100000000</f>
        <v>0.50265599999999999</v>
      </c>
      <c r="V67" s="36">
        <f>E67*G67*(1-N67)*O67/100*(R67+S67)/1000000</f>
        <v>0</v>
      </c>
      <c r="W67" s="36">
        <f>+'14'!K14/1000</f>
        <v>8.5190000000000001</v>
      </c>
      <c r="X67" s="381">
        <f>SUM(W67:W70)/SUM(K67:K70)</f>
        <v>1.0080822156168618</v>
      </c>
      <c r="Y67" s="36">
        <v>0</v>
      </c>
      <c r="Z67" s="615">
        <f>+'14'!D7/1000</f>
        <v>0.86</v>
      </c>
      <c r="AA67" s="48">
        <f>SUM(U67:U70)-SUM(W67:W70)-SUM(Z67:Z70)-SUM(Y67:Y70)</f>
        <v>-2.6533224999999949</v>
      </c>
      <c r="AB67" s="48">
        <f>(SUM(K67:K70)-SUM(W67:W70)-SUM(Y67:Y70)-SUM(Z67:Z70)-SUM(AC67:AC70)-SUM(V67:V70))-AA67</f>
        <v>1.7021399999997744E-2</v>
      </c>
      <c r="AC67" s="36">
        <f>K67-T67</f>
        <v>3.6960000000000326E-3</v>
      </c>
      <c r="AD67" s="36">
        <f>+AM67+BA67</f>
        <v>0</v>
      </c>
      <c r="AE67" s="225" t="s">
        <v>385</v>
      </c>
      <c r="AF67" s="36">
        <v>0</v>
      </c>
      <c r="AG67" s="36"/>
      <c r="AH67" s="36"/>
      <c r="AI67" s="461"/>
      <c r="AJ67" s="36"/>
      <c r="AK67" s="36"/>
      <c r="AL67" s="36"/>
      <c r="AM67" s="36">
        <f>SUM(AF67:AL67)+AT67+AV67+AX67</f>
        <v>0</v>
      </c>
      <c r="AN67" s="36"/>
      <c r="AO67" s="36"/>
      <c r="AP67" s="36"/>
      <c r="AQ67" s="36"/>
      <c r="AR67" s="36">
        <f>SUM(AN67:AQ67)</f>
        <v>0</v>
      </c>
      <c r="AS67" s="36"/>
      <c r="AT67" s="36"/>
      <c r="AU67" s="36"/>
      <c r="AV67" s="36"/>
      <c r="AW67" s="36"/>
      <c r="AX67" s="36"/>
      <c r="AY67" s="36"/>
      <c r="AZ67" s="36"/>
      <c r="BA67" s="36">
        <f>+AR67+AS67+AU67+AW67+AY67+AZ67</f>
        <v>0</v>
      </c>
      <c r="BB67" s="32">
        <v>0</v>
      </c>
      <c r="BC67" s="50"/>
      <c r="BD67" s="50"/>
      <c r="BE67" s="32"/>
      <c r="BF67" s="50"/>
    </row>
    <row r="68" spans="1:58" ht="12.95" customHeight="1">
      <c r="A68" s="39"/>
      <c r="B68" s="40" t="s">
        <v>610</v>
      </c>
      <c r="C68" s="416">
        <f>(M68*E68*O68*Q68)/100000000</f>
        <v>8.7602445000000007</v>
      </c>
      <c r="D68" s="40" t="s">
        <v>276</v>
      </c>
      <c r="E68" s="41">
        <v>14</v>
      </c>
      <c r="F68" s="41">
        <v>1</v>
      </c>
      <c r="G68" s="459">
        <v>1270</v>
      </c>
      <c r="H68" s="43">
        <f>+N68</f>
        <v>0.25</v>
      </c>
      <c r="I68" s="44">
        <v>0.88</v>
      </c>
      <c r="J68" s="82">
        <f>E68*G68*(1-H68)*1440/1000000*2.87</f>
        <v>55.110888000000003</v>
      </c>
      <c r="K68" s="82">
        <f>(IF(G68&lt;L68,L68,G68)*(1-IF(H68&lt;N68,H68,N68))*E68*O68*Q68)/100000000</f>
        <v>9.0451305000000009</v>
      </c>
      <c r="L68" s="34">
        <v>1230</v>
      </c>
      <c r="M68" s="34">
        <f>+L68-L68*0.25</f>
        <v>922.5</v>
      </c>
      <c r="N68" s="45">
        <f>1-(M68/L68)</f>
        <v>0.25</v>
      </c>
      <c r="O68" s="46">
        <f>+'Trim Rwd'!H44</f>
        <v>266</v>
      </c>
      <c r="P68" s="47">
        <f>O68*(Q68-R68-S68)</f>
        <v>65170</v>
      </c>
      <c r="Q68" s="46">
        <v>255</v>
      </c>
      <c r="R68" s="384">
        <v>0</v>
      </c>
      <c r="S68" s="384">
        <v>10</v>
      </c>
      <c r="T68" s="36">
        <f>E68*M68*O68*Q68/100000000</f>
        <v>8.7602445000000007</v>
      </c>
      <c r="U68" s="36">
        <f>E68*M68*O68*(Q68-R68-S68)/100000000</f>
        <v>8.4167055000000008</v>
      </c>
      <c r="V68" s="36">
        <f>E68*G68*(1-N68)*O68/100*(R68+S68)/1000000</f>
        <v>0.354711</v>
      </c>
      <c r="W68" s="36">
        <f>+'14'!K15/1000</f>
        <v>8.4039999999999999</v>
      </c>
      <c r="X68" s="37"/>
      <c r="Y68" s="208"/>
      <c r="Z68" s="615"/>
      <c r="AA68" s="36"/>
      <c r="AB68" s="36"/>
      <c r="AC68" s="36">
        <f>K68-T68</f>
        <v>0.28488600000000019</v>
      </c>
      <c r="AD68" s="36">
        <f>+AM68+BA68</f>
        <v>0</v>
      </c>
      <c r="AE68" s="225" t="s">
        <v>399</v>
      </c>
      <c r="AF68" s="36"/>
      <c r="AG68" s="36">
        <v>0</v>
      </c>
      <c r="AH68" s="36"/>
      <c r="AI68" s="461"/>
      <c r="AJ68" s="36"/>
      <c r="AK68" s="36"/>
      <c r="AL68" s="36"/>
      <c r="AM68" s="36">
        <f>SUM(AF68:AL68)+AT68+AV68+AX68</f>
        <v>0</v>
      </c>
      <c r="AN68" s="83"/>
      <c r="AO68" s="36"/>
      <c r="AP68" s="36"/>
      <c r="AQ68" s="36"/>
      <c r="AR68" s="36">
        <f>SUM(AN68:AQ68)</f>
        <v>0</v>
      </c>
      <c r="AS68" s="36"/>
      <c r="AT68" s="36"/>
      <c r="AU68" s="36"/>
      <c r="AV68" s="36"/>
      <c r="AW68" s="36"/>
      <c r="AX68" s="36"/>
      <c r="AY68" s="36"/>
      <c r="AZ68" s="36"/>
      <c r="BA68" s="36">
        <f>+AR68+AS68+AU68+AW68+AY68+AZ68</f>
        <v>0</v>
      </c>
      <c r="BB68" s="49"/>
      <c r="BC68" s="50">
        <v>0</v>
      </c>
      <c r="BD68" s="50"/>
      <c r="BE68" s="49"/>
      <c r="BF68" s="50"/>
    </row>
    <row r="69" spans="1:58" ht="12.95" customHeight="1">
      <c r="A69" s="39"/>
      <c r="B69" s="40" t="s">
        <v>610</v>
      </c>
      <c r="C69" s="416">
        <f>(M69*E69*O69*Q69)/100000000</f>
        <v>9.4193280000000001</v>
      </c>
      <c r="D69" s="40" t="s">
        <v>276</v>
      </c>
      <c r="E69" s="41">
        <v>16</v>
      </c>
      <c r="F69" s="41">
        <v>1</v>
      </c>
      <c r="G69" s="459">
        <v>1110</v>
      </c>
      <c r="H69" s="43">
        <f>+N69</f>
        <v>0.25</v>
      </c>
      <c r="I69" s="44">
        <v>0.88</v>
      </c>
      <c r="J69" s="82">
        <f>E69*G69*(1-H69)*1440/1000000*2.87</f>
        <v>55.048896000000006</v>
      </c>
      <c r="K69" s="82">
        <f>(IF(G69&lt;L69,L69,G69)*(1-IF(H69&lt;N69,H69,N69))*E69*O69*Q69)/100000000</f>
        <v>9.4193280000000001</v>
      </c>
      <c r="L69" s="34">
        <v>1185</v>
      </c>
      <c r="M69" s="34">
        <v>888.75</v>
      </c>
      <c r="N69" s="45">
        <f>1-(M69/L69)</f>
        <v>0.25</v>
      </c>
      <c r="O69" s="46">
        <f>+'Trim Rwd'!H45</f>
        <v>276</v>
      </c>
      <c r="P69" s="47">
        <f>O69*(Q69-R69-S69)</f>
        <v>63480</v>
      </c>
      <c r="Q69" s="46">
        <v>240</v>
      </c>
      <c r="R69" s="384">
        <v>0</v>
      </c>
      <c r="S69" s="384">
        <v>10</v>
      </c>
      <c r="T69" s="36">
        <f>E69*M69*O69*Q69/100000000</f>
        <v>9.4193280000000001</v>
      </c>
      <c r="U69" s="36">
        <f>E69*M69*O69*(Q69-R69-S69)/100000000</f>
        <v>9.0268560000000004</v>
      </c>
      <c r="V69" s="36">
        <f>E69*G69*(1-N69)*O69/100*(R69+S69)/1000000</f>
        <v>0.36763200000000001</v>
      </c>
      <c r="W69" s="36">
        <f>+'14'!K16/1000</f>
        <v>9.3510000000000009</v>
      </c>
      <c r="X69" s="37"/>
      <c r="Y69" s="208"/>
      <c r="Z69" s="615"/>
      <c r="AA69" s="36"/>
      <c r="AB69" s="36"/>
      <c r="AC69" s="36">
        <f>K69-T69</f>
        <v>0</v>
      </c>
      <c r="AD69" s="36">
        <f>+AM69+BA69</f>
        <v>29</v>
      </c>
      <c r="AE69" s="225" t="s">
        <v>611</v>
      </c>
      <c r="AF69" s="32"/>
      <c r="AG69" s="32"/>
      <c r="AH69" s="32">
        <v>29</v>
      </c>
      <c r="AJ69" s="36"/>
      <c r="AK69" s="36"/>
      <c r="AL69" s="36"/>
      <c r="AM69" s="36">
        <f>SUM(AF69:AL69)+AT69+AV69+AX69</f>
        <v>29</v>
      </c>
      <c r="AN69" s="36"/>
      <c r="AO69" s="36"/>
      <c r="AP69" s="36"/>
      <c r="AQ69" s="36"/>
      <c r="AR69" s="36">
        <f>SUM(AN69:AQ69)</f>
        <v>0</v>
      </c>
      <c r="AS69" s="36"/>
      <c r="AT69" s="36"/>
      <c r="AU69" s="36"/>
      <c r="AV69" s="36"/>
      <c r="AW69" s="36"/>
      <c r="AX69" s="36"/>
      <c r="AY69" s="36"/>
      <c r="AZ69" s="36"/>
      <c r="BA69" s="36">
        <f>+AR69+AS69+AU69+AW69+AY69+AZ69</f>
        <v>0</v>
      </c>
      <c r="BB69" s="32"/>
      <c r="BC69" s="52"/>
      <c r="BD69" s="52"/>
      <c r="BE69" s="32"/>
      <c r="BF69" s="52"/>
    </row>
    <row r="70" spans="1:58" ht="12.95" customHeight="1">
      <c r="A70" s="39"/>
      <c r="B70" s="40" t="s">
        <v>610</v>
      </c>
      <c r="C70" s="416">
        <f>(M70*E70*O70*Q70)/100000000</f>
        <v>34.651800000000001</v>
      </c>
      <c r="D70" s="40" t="s">
        <v>276</v>
      </c>
      <c r="E70" s="41">
        <v>18</v>
      </c>
      <c r="F70" s="41">
        <v>1</v>
      </c>
      <c r="G70" s="459">
        <v>990</v>
      </c>
      <c r="H70" s="43">
        <f>+N70</f>
        <v>0.25</v>
      </c>
      <c r="I70" s="44">
        <v>0.88</v>
      </c>
      <c r="J70" s="82">
        <f>E70*G70*(1-H70)*1440/1000000*2.87</f>
        <v>55.234872000000003</v>
      </c>
      <c r="K70" s="82">
        <f>(IF(G70&lt;L70,L70,G70)*(1-IF(H70&lt;N70,H70,N70))*E70*O70*Q70)/100000000</f>
        <v>34.651800000000001</v>
      </c>
      <c r="L70" s="34">
        <v>1000</v>
      </c>
      <c r="M70" s="34">
        <f>+L70-L70*0.25</f>
        <v>750</v>
      </c>
      <c r="N70" s="45">
        <f>1-(M70/L70)</f>
        <v>0.25</v>
      </c>
      <c r="O70" s="46">
        <f>+'Trim Rwd'!H46</f>
        <v>276</v>
      </c>
      <c r="P70" s="47">
        <f>O70*(Q70-R70-S70)</f>
        <v>254196</v>
      </c>
      <c r="Q70" s="46">
        <v>930</v>
      </c>
      <c r="R70" s="384">
        <v>0</v>
      </c>
      <c r="S70" s="384">
        <v>9</v>
      </c>
      <c r="T70" s="36">
        <f>E70*M70*O70*Q70/100000000</f>
        <v>34.651800000000001</v>
      </c>
      <c r="U70" s="36">
        <f>E70*M70*O70*(Q70-R70-S70)/100000000</f>
        <v>34.316459999999999</v>
      </c>
      <c r="V70" s="36">
        <f>E70*G70*(1-N70)*O70/100*(R70+S70)/1000000</f>
        <v>0.33198660000000002</v>
      </c>
      <c r="W70" s="36">
        <f>+'14'!K17/1000</f>
        <v>27.782</v>
      </c>
      <c r="X70" s="381"/>
      <c r="Y70" s="208"/>
      <c r="Z70" s="615"/>
      <c r="AA70" s="48"/>
      <c r="AB70" s="48"/>
      <c r="AC70" s="36">
        <f>K70-T70</f>
        <v>0</v>
      </c>
      <c r="AD70" s="36"/>
      <c r="AE70" s="225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2"/>
      <c r="BC70" s="50"/>
      <c r="BD70" s="52"/>
      <c r="BE70" s="32"/>
      <c r="BF70" s="52"/>
    </row>
    <row r="71" spans="1:58" ht="12.95" customHeight="1">
      <c r="A71" s="39"/>
      <c r="B71" s="40"/>
      <c r="C71" s="416"/>
      <c r="D71" s="40"/>
      <c r="E71" s="41"/>
      <c r="F71" s="41"/>
      <c r="G71" s="459"/>
      <c r="H71" s="534"/>
      <c r="I71" s="44"/>
      <c r="J71" s="82"/>
      <c r="K71" s="82"/>
      <c r="L71" s="34"/>
      <c r="M71" s="34"/>
      <c r="N71" s="45"/>
      <c r="O71" s="46"/>
      <c r="P71" s="47"/>
      <c r="Q71" s="46"/>
      <c r="R71" s="384"/>
      <c r="S71" s="384"/>
      <c r="T71" s="36"/>
      <c r="U71" s="36"/>
      <c r="V71" s="36"/>
      <c r="W71" s="36"/>
      <c r="X71" s="381"/>
      <c r="Y71" s="36"/>
      <c r="Z71" s="615"/>
      <c r="AA71" s="48"/>
      <c r="AB71" s="48"/>
      <c r="AC71" s="36"/>
      <c r="AD71" s="36"/>
      <c r="AE71" s="225"/>
      <c r="AF71" s="36"/>
      <c r="AG71" s="36"/>
      <c r="AH71" s="36"/>
      <c r="AI71" s="461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2"/>
      <c r="BC71" s="50"/>
      <c r="BD71" s="50"/>
      <c r="BE71" s="32"/>
      <c r="BF71" s="50"/>
    </row>
    <row r="72" spans="1:58" ht="12.95" customHeight="1">
      <c r="A72" s="39">
        <v>46127</v>
      </c>
      <c r="B72" s="40" t="s">
        <v>610</v>
      </c>
      <c r="C72" s="416">
        <f>(M72*E72*O72*Q72)/100000000</f>
        <v>11.997719999999999</v>
      </c>
      <c r="D72" s="40" t="s">
        <v>276</v>
      </c>
      <c r="E72" s="41">
        <v>18</v>
      </c>
      <c r="F72" s="41">
        <v>1</v>
      </c>
      <c r="G72" s="459">
        <v>990</v>
      </c>
      <c r="H72" s="43">
        <f>+N72</f>
        <v>0.25</v>
      </c>
      <c r="I72" s="44">
        <v>0.88</v>
      </c>
      <c r="J72" s="82">
        <f>E72*G72*(1-H72)*1440/1000000*2.87</f>
        <v>55.234872000000003</v>
      </c>
      <c r="K72" s="82">
        <f>(IF(G72&lt;L72,L72,G72)*(1-IF(H72&lt;N72,H72,N72))*E72*O72*Q72)/100000000</f>
        <v>11.997719999999999</v>
      </c>
      <c r="L72" s="34">
        <v>1000</v>
      </c>
      <c r="M72" s="34">
        <f>+L72-L72*0.25</f>
        <v>750</v>
      </c>
      <c r="N72" s="45">
        <f>1-(M72/L72)</f>
        <v>0.25</v>
      </c>
      <c r="O72" s="46">
        <f>+'Trim Rwd'!H48</f>
        <v>276</v>
      </c>
      <c r="P72" s="47">
        <f>O72*(Q72-R72-S72)</f>
        <v>88320</v>
      </c>
      <c r="Q72" s="46">
        <v>322</v>
      </c>
      <c r="R72" s="384">
        <v>0</v>
      </c>
      <c r="S72" s="384">
        <v>2</v>
      </c>
      <c r="T72" s="36">
        <f>E72*M72*O72*Q72/100000000</f>
        <v>11.997719999999999</v>
      </c>
      <c r="U72" s="36">
        <f>E72*M72*O72*(Q72-R72-S72)/100000000</f>
        <v>11.9232</v>
      </c>
      <c r="V72" s="36">
        <f>E72*G72*(1-N72)*O72/100*(R72+S72)/1000000</f>
        <v>7.3774800000000001E-2</v>
      </c>
      <c r="W72" s="36">
        <f>+'15'!K17/1000</f>
        <v>16.524000000000001</v>
      </c>
      <c r="X72" s="381">
        <f>SUM(W72:W75)/SUM(K72:K75)</f>
        <v>0.90977081719246988</v>
      </c>
      <c r="Y72" s="36">
        <v>0</v>
      </c>
      <c r="Z72" s="615">
        <v>0</v>
      </c>
      <c r="AA72" s="48">
        <f>SUM(U72:U75)-SUM(W72:W75)-SUM(Z72:Z75)-SUM(Y72:Y75)</f>
        <v>3.8561440000000005</v>
      </c>
      <c r="AB72" s="48">
        <f>(SUM(K72:K75)-SUM(W72:W75)-SUM(Y72:Y75)-SUM(Z72:Z75)-SUM(AC72:AC75)-SUM(V72:V75))-AA72</f>
        <v>6.5660399999996955E-2</v>
      </c>
      <c r="AC72" s="36">
        <f>K72-T72</f>
        <v>0</v>
      </c>
      <c r="AD72" s="36">
        <f>+AM72+BA72</f>
        <v>0</v>
      </c>
      <c r="AE72" s="225" t="s">
        <v>385</v>
      </c>
      <c r="AF72" s="36">
        <v>0</v>
      </c>
      <c r="AG72" s="36"/>
      <c r="AH72" s="36"/>
      <c r="AI72" s="461"/>
      <c r="AJ72" s="36"/>
      <c r="AK72" s="36"/>
      <c r="AL72" s="36"/>
      <c r="AM72" s="36">
        <f>SUM(AF72:AL72)+AT72+AV72+AX72</f>
        <v>0</v>
      </c>
      <c r="AN72" s="36"/>
      <c r="AO72" s="36"/>
      <c r="AP72" s="36"/>
      <c r="AQ72" s="36"/>
      <c r="AR72" s="36">
        <f>SUM(AN72:AQ72)</f>
        <v>0</v>
      </c>
      <c r="AS72" s="36"/>
      <c r="AT72" s="36"/>
      <c r="AU72" s="36"/>
      <c r="AV72" s="36"/>
      <c r="AW72" s="36"/>
      <c r="AX72" s="36"/>
      <c r="AY72" s="36"/>
      <c r="AZ72" s="36"/>
      <c r="BA72" s="36">
        <f>+AR72+AS72+AU72+AW72+AY72+AZ72</f>
        <v>0</v>
      </c>
      <c r="BB72" s="32">
        <v>0</v>
      </c>
      <c r="BC72" s="50"/>
      <c r="BD72" s="50"/>
      <c r="BE72" s="32"/>
      <c r="BF72" s="50"/>
    </row>
    <row r="73" spans="1:58" ht="12.95" customHeight="1">
      <c r="A73" s="39"/>
      <c r="B73" s="40" t="s">
        <v>610</v>
      </c>
      <c r="C73" s="416">
        <f>(M73*E73*O73*Q73)/100000000</f>
        <v>43.6932288</v>
      </c>
      <c r="D73" s="40" t="s">
        <v>276</v>
      </c>
      <c r="E73" s="41">
        <v>16</v>
      </c>
      <c r="F73" s="41">
        <v>1</v>
      </c>
      <c r="G73" s="459">
        <v>1110</v>
      </c>
      <c r="H73" s="43">
        <f>+N73</f>
        <v>0.25</v>
      </c>
      <c r="I73" s="44">
        <v>0.88</v>
      </c>
      <c r="J73" s="82">
        <f>E73*G73*(1-H73)*1440/1000000*2.87</f>
        <v>55.048896000000006</v>
      </c>
      <c r="K73" s="82">
        <f>(IF(G73&lt;L73,L73,G73)*(1-IF(H73&lt;N73,H73,N73))*E73*O73*Q73)/100000000</f>
        <v>43.6932288</v>
      </c>
      <c r="L73" s="34">
        <v>1180</v>
      </c>
      <c r="M73" s="34">
        <f>+L73-L73*0.25</f>
        <v>885</v>
      </c>
      <c r="N73" s="45">
        <f>1-(M73/L73)</f>
        <v>0.25</v>
      </c>
      <c r="O73" s="46">
        <f>+'Trim Rwd'!H49</f>
        <v>276</v>
      </c>
      <c r="P73" s="47">
        <f>O73*(Q73-R73-S73)</f>
        <v>300840</v>
      </c>
      <c r="Q73" s="46">
        <v>1118</v>
      </c>
      <c r="R73" s="384">
        <v>0</v>
      </c>
      <c r="S73" s="384">
        <v>28</v>
      </c>
      <c r="T73" s="36">
        <f>E73*M73*O73*Q73/100000000</f>
        <v>43.6932288</v>
      </c>
      <c r="U73" s="36">
        <f>E73*M73*O73*(Q73-R73-S73)/100000000</f>
        <v>42.598944000000003</v>
      </c>
      <c r="V73" s="36">
        <f>E73*G73*(1-N73)*O73/100*(R73+S73)/1000000</f>
        <v>1.0293695999999999</v>
      </c>
      <c r="W73" s="36">
        <f>+'15'!K16/1000</f>
        <v>34.142000000000003</v>
      </c>
      <c r="X73" s="37"/>
      <c r="Y73" s="208"/>
      <c r="Z73" s="615"/>
      <c r="AA73" s="36"/>
      <c r="AB73" s="36"/>
      <c r="AC73" s="36">
        <f>K73-T73</f>
        <v>0</v>
      </c>
      <c r="AD73" s="36">
        <f>+AM73+BA73</f>
        <v>2</v>
      </c>
      <c r="AE73" s="225" t="s">
        <v>419</v>
      </c>
      <c r="AF73" s="36"/>
      <c r="AG73" s="36">
        <v>2</v>
      </c>
      <c r="AH73" s="36"/>
      <c r="AI73" s="461"/>
      <c r="AJ73" s="36"/>
      <c r="AK73" s="36"/>
      <c r="AL73" s="36"/>
      <c r="AM73" s="36">
        <f>SUM(AF73:AL73)+AT73+AV73+AX73</f>
        <v>2</v>
      </c>
      <c r="AN73" s="83"/>
      <c r="AO73" s="36"/>
      <c r="AP73" s="36"/>
      <c r="AQ73" s="36"/>
      <c r="AR73" s="36">
        <f>SUM(AN73:AQ73)</f>
        <v>0</v>
      </c>
      <c r="AS73" s="36"/>
      <c r="AT73" s="36"/>
      <c r="AU73" s="36"/>
      <c r="AV73" s="36"/>
      <c r="AW73" s="36"/>
      <c r="AX73" s="36"/>
      <c r="AY73" s="36"/>
      <c r="AZ73" s="36"/>
      <c r="BA73" s="36">
        <f>+AR73+AS73+AU73+AW73+AY73+AZ73</f>
        <v>0</v>
      </c>
      <c r="BB73" s="49"/>
      <c r="BC73" s="50">
        <v>1</v>
      </c>
      <c r="BD73" s="50"/>
      <c r="BE73" s="49"/>
      <c r="BF73" s="50"/>
    </row>
    <row r="74" spans="1:58" ht="12.95" customHeight="1">
      <c r="A74" s="39"/>
      <c r="B74" s="40"/>
      <c r="C74" s="416"/>
      <c r="D74" s="40"/>
      <c r="E74" s="41"/>
      <c r="F74" s="41"/>
      <c r="G74" s="459"/>
      <c r="H74" s="43"/>
      <c r="I74" s="44"/>
      <c r="J74" s="82"/>
      <c r="K74" s="82"/>
      <c r="L74" s="34"/>
      <c r="M74" s="34"/>
      <c r="N74" s="45"/>
      <c r="O74" s="46"/>
      <c r="P74" s="47"/>
      <c r="Q74" s="46"/>
      <c r="R74" s="384"/>
      <c r="S74" s="384"/>
      <c r="T74" s="36"/>
      <c r="U74" s="36"/>
      <c r="V74" s="36"/>
      <c r="W74" s="36"/>
      <c r="X74" s="37"/>
      <c r="Y74" s="208"/>
      <c r="Z74" s="615"/>
      <c r="AA74" s="36"/>
      <c r="AB74" s="36"/>
      <c r="AC74" s="36"/>
      <c r="AD74" s="36">
        <f>+AM74+BA74</f>
        <v>28</v>
      </c>
      <c r="AE74" s="225" t="s">
        <v>629</v>
      </c>
      <c r="AF74" s="32"/>
      <c r="AG74" s="32"/>
      <c r="AH74" s="32">
        <v>28</v>
      </c>
      <c r="AJ74" s="36"/>
      <c r="AK74" s="36"/>
      <c r="AL74" s="36"/>
      <c r="AM74" s="36">
        <f>SUM(AF74:AL74)+AT74+AV74+AX74</f>
        <v>28</v>
      </c>
      <c r="AN74" s="36"/>
      <c r="AO74" s="36"/>
      <c r="AP74" s="36"/>
      <c r="AQ74" s="36"/>
      <c r="AR74" s="36">
        <f>SUM(AN74:AQ74)</f>
        <v>0</v>
      </c>
      <c r="AS74" s="36"/>
      <c r="AT74" s="36"/>
      <c r="AU74" s="36"/>
      <c r="AV74" s="36"/>
      <c r="AW74" s="36"/>
      <c r="AX74" s="36"/>
      <c r="AY74" s="36"/>
      <c r="AZ74" s="36"/>
      <c r="BA74" s="36">
        <f>+AR74+AS74+AU74+AW74+AY74+AZ74</f>
        <v>0</v>
      </c>
      <c r="BB74" s="32"/>
      <c r="BC74" s="52"/>
      <c r="BD74" s="52"/>
      <c r="BE74" s="32"/>
      <c r="BF74" s="52"/>
    </row>
    <row r="75" spans="1:58" ht="12.95" customHeight="1">
      <c r="A75" s="39"/>
      <c r="B75" s="40"/>
      <c r="C75" s="416"/>
      <c r="D75" s="40"/>
      <c r="E75" s="41"/>
      <c r="F75" s="41"/>
      <c r="G75" s="459"/>
      <c r="H75" s="534"/>
      <c r="I75" s="44"/>
      <c r="J75" s="82"/>
      <c r="K75" s="82"/>
      <c r="L75" s="34"/>
      <c r="M75" s="34"/>
      <c r="N75" s="45"/>
      <c r="O75" s="46"/>
      <c r="P75" s="47"/>
      <c r="Q75" s="46"/>
      <c r="R75" s="384"/>
      <c r="S75" s="384"/>
      <c r="T75" s="36"/>
      <c r="U75" s="36"/>
      <c r="V75" s="36"/>
      <c r="W75" s="36"/>
      <c r="X75" s="381"/>
      <c r="Y75" s="36"/>
      <c r="Z75" s="615"/>
      <c r="AA75" s="48"/>
      <c r="AB75" s="48"/>
      <c r="AC75" s="36"/>
      <c r="AD75" s="36"/>
      <c r="AE75" s="225"/>
      <c r="AF75" s="36"/>
      <c r="AG75" s="36"/>
      <c r="AH75" s="36"/>
      <c r="AI75" s="461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2"/>
      <c r="BC75" s="50"/>
      <c r="BD75" s="50"/>
      <c r="BE75" s="50"/>
      <c r="BF75" s="50"/>
    </row>
    <row r="76" spans="1:58" ht="12.95" customHeight="1">
      <c r="A76" s="39">
        <v>46128</v>
      </c>
      <c r="B76" s="40" t="s">
        <v>610</v>
      </c>
      <c r="C76" s="416">
        <f>(M76*E76*O76*Q76)/100000000</f>
        <v>11.333664000000001</v>
      </c>
      <c r="D76" s="40" t="s">
        <v>276</v>
      </c>
      <c r="E76" s="41">
        <v>16</v>
      </c>
      <c r="F76" s="41">
        <v>1</v>
      </c>
      <c r="G76" s="459">
        <v>1110</v>
      </c>
      <c r="H76" s="43">
        <f>+N76</f>
        <v>0.25</v>
      </c>
      <c r="I76" s="44">
        <v>0.88</v>
      </c>
      <c r="J76" s="82">
        <f>E76*G76*(1-H76)*1440/1000000*2.87</f>
        <v>55.048896000000006</v>
      </c>
      <c r="K76" s="82">
        <f>(IF(G76&lt;L76,L76,G76)*(1-IF(H76&lt;N76,H76,N76))*E76*O76*Q76)/100000000</f>
        <v>11.333664000000001</v>
      </c>
      <c r="L76" s="34">
        <v>1180</v>
      </c>
      <c r="M76" s="34">
        <f>+L76-L76*0.25</f>
        <v>885</v>
      </c>
      <c r="N76" s="45">
        <f>1-(M76/L76)</f>
        <v>0.25</v>
      </c>
      <c r="O76" s="46">
        <f>+'Trim Rwd'!H51</f>
        <v>276</v>
      </c>
      <c r="P76" s="47">
        <f>O76*(Q76-R76-S76)</f>
        <v>79212</v>
      </c>
      <c r="Q76" s="46">
        <v>290</v>
      </c>
      <c r="R76" s="384">
        <v>0</v>
      </c>
      <c r="S76" s="384">
        <v>3</v>
      </c>
      <c r="T76" s="36">
        <f>E76*M76*O76*Q76/100000000</f>
        <v>11.333664000000001</v>
      </c>
      <c r="U76" s="36">
        <f>E76*M76*O76*(Q76-R76-S76)/100000000</f>
        <v>11.216419200000001</v>
      </c>
      <c r="V76" s="36">
        <f>E76*G76*(1-N76)*O76/100*(R76+S76)/1000000</f>
        <v>0.11028959999999999</v>
      </c>
      <c r="W76" s="36">
        <f>+'16'!K16/1000</f>
        <v>18.672999999999998</v>
      </c>
      <c r="X76" s="381">
        <f>SUM(W76:W79)/SUM(K76:K79)</f>
        <v>0.76458268864379975</v>
      </c>
      <c r="Y76" s="36">
        <v>0</v>
      </c>
      <c r="Z76" s="615">
        <v>0</v>
      </c>
      <c r="AA76" s="48">
        <f>SUM(U76:U79)-SUM(W76:W79)-SUM(Z76:Z79)-SUM(Y76:Y79)</f>
        <v>9.7561630300000015</v>
      </c>
      <c r="AB76" s="48">
        <f>(SUM(K76:K79)-SUM(W76:W79)-SUM(Y76:Y79)-SUM(Z76:Z79)-SUM(AC76:AC79)-SUM(V76:V79))-AA76</f>
        <v>6.4889999999984127E-4</v>
      </c>
      <c r="AC76" s="36">
        <f>K76-T76</f>
        <v>0</v>
      </c>
      <c r="AD76" s="36">
        <f>+AM76+BA76</f>
        <v>10</v>
      </c>
      <c r="AE76" s="225" t="s">
        <v>564</v>
      </c>
      <c r="AF76" s="36">
        <v>10</v>
      </c>
      <c r="AG76" s="36"/>
      <c r="AH76" s="36"/>
      <c r="AI76" s="461"/>
      <c r="AJ76" s="36"/>
      <c r="AK76" s="36"/>
      <c r="AL76" s="36"/>
      <c r="AM76" s="36">
        <f>SUM(AF76:AL76)+AT76+AV76+AX76</f>
        <v>10</v>
      </c>
      <c r="AN76" s="36"/>
      <c r="AO76" s="36"/>
      <c r="AP76" s="36"/>
      <c r="AQ76" s="36"/>
      <c r="AR76" s="36">
        <f>SUM(AN76:AQ76)</f>
        <v>0</v>
      </c>
      <c r="AS76" s="36"/>
      <c r="AT76" s="36"/>
      <c r="AU76" s="36"/>
      <c r="AV76" s="36"/>
      <c r="AW76" s="36"/>
      <c r="AX76" s="36"/>
      <c r="AY76" s="36"/>
      <c r="AZ76" s="36"/>
      <c r="BA76" s="36">
        <f>+AR76+AS76+AU76+AW76+AY76+AZ76</f>
        <v>0</v>
      </c>
      <c r="BB76" s="32">
        <v>2</v>
      </c>
      <c r="BC76" s="50"/>
      <c r="BD76" s="50"/>
      <c r="BE76" s="32"/>
      <c r="BF76" s="50"/>
    </row>
    <row r="77" spans="1:58" ht="12.95" customHeight="1">
      <c r="A77" s="39"/>
      <c r="B77" s="40" t="s">
        <v>610</v>
      </c>
      <c r="C77" s="416">
        <f>(M77*E77*O77*Q77)/100000000</f>
        <v>9.9856800000000003</v>
      </c>
      <c r="D77" s="40" t="s">
        <v>276</v>
      </c>
      <c r="E77" s="41">
        <v>15</v>
      </c>
      <c r="F77" s="41">
        <v>1</v>
      </c>
      <c r="G77" s="459">
        <v>1200</v>
      </c>
      <c r="H77" s="43">
        <f>+N77</f>
        <v>0.25</v>
      </c>
      <c r="I77" s="44">
        <v>0.88</v>
      </c>
      <c r="J77" s="82">
        <f>E77*G77*(1-H77)*1440/1000000*2.87</f>
        <v>55.792800000000007</v>
      </c>
      <c r="K77" s="82">
        <f>(IF(G77&lt;L77,L77,G77)*(1-IF(H77&lt;N77,H77,N77))*E77*O77*Q77)/100000000</f>
        <v>9.9856800000000003</v>
      </c>
      <c r="L77" s="34">
        <v>1200</v>
      </c>
      <c r="M77" s="34">
        <f>+L77-L77*0.25</f>
        <v>900</v>
      </c>
      <c r="N77" s="45">
        <f>1-(M77/L77)</f>
        <v>0.25</v>
      </c>
      <c r="O77" s="46">
        <f>+'Trim Rwd'!H52</f>
        <v>276</v>
      </c>
      <c r="P77" s="47">
        <f>O77*(Q77-R77-S77)</f>
        <v>73140</v>
      </c>
      <c r="Q77" s="46">
        <v>268</v>
      </c>
      <c r="R77" s="384">
        <v>0</v>
      </c>
      <c r="S77" s="384">
        <v>3</v>
      </c>
      <c r="T77" s="36">
        <f>E77*M77*O77*Q77/100000000</f>
        <v>9.9856800000000003</v>
      </c>
      <c r="U77" s="36">
        <f>E77*M77*O77*(Q77-R77-S77)/100000000</f>
        <v>9.8739000000000008</v>
      </c>
      <c r="V77" s="36">
        <f>E77*G77*(1-N77)*O77/100*(R77+S77)/1000000</f>
        <v>0.11178</v>
      </c>
      <c r="W77" s="36">
        <f>+'16'!K18/1000</f>
        <v>9.9830000000000005</v>
      </c>
      <c r="X77" s="37"/>
      <c r="Y77" s="622"/>
      <c r="Z77" s="615">
        <f>+'16'!D17/1000</f>
        <v>0.56999999999999995</v>
      </c>
      <c r="AA77" s="36"/>
      <c r="AB77" s="36"/>
      <c r="AC77" s="36">
        <f>K77-T77</f>
        <v>0</v>
      </c>
      <c r="AD77" s="36">
        <f>+AM77+BA77</f>
        <v>2</v>
      </c>
      <c r="AE77" s="225" t="s">
        <v>420</v>
      </c>
      <c r="AF77" s="36"/>
      <c r="AG77" s="36">
        <v>2</v>
      </c>
      <c r="AH77" s="36"/>
      <c r="AI77" s="461"/>
      <c r="AJ77" s="36"/>
      <c r="AK77" s="36"/>
      <c r="AL77" s="36"/>
      <c r="AM77" s="36">
        <f>SUM(AF77:AL77)+AT77+AV77+AX77</f>
        <v>2</v>
      </c>
      <c r="AN77" s="83"/>
      <c r="AO77" s="36"/>
      <c r="AP77" s="36"/>
      <c r="AQ77" s="36"/>
      <c r="AR77" s="36">
        <f>SUM(AN77:AQ77)</f>
        <v>0</v>
      </c>
      <c r="AS77" s="36"/>
      <c r="AT77" s="36"/>
      <c r="AU77" s="36"/>
      <c r="AV77" s="36"/>
      <c r="AW77" s="36"/>
      <c r="AX77" s="36"/>
      <c r="AY77" s="36"/>
      <c r="AZ77" s="36"/>
      <c r="BA77" s="36">
        <f>+AR77+AS77+AU77+AW77+AY77+AZ77</f>
        <v>0</v>
      </c>
      <c r="BB77" s="49"/>
      <c r="BC77" s="50">
        <v>2</v>
      </c>
      <c r="BD77" s="50"/>
      <c r="BE77" s="49"/>
      <c r="BF77" s="50"/>
    </row>
    <row r="78" spans="1:58" ht="12.95" customHeight="1">
      <c r="A78" s="39"/>
      <c r="B78" s="40" t="s">
        <v>649</v>
      </c>
      <c r="C78" s="416">
        <f>(M78*E78*O78*Q78)/100000000</f>
        <v>31.101725654999999</v>
      </c>
      <c r="D78" s="40" t="s">
        <v>276</v>
      </c>
      <c r="E78" s="41">
        <v>13</v>
      </c>
      <c r="F78" s="41">
        <v>1</v>
      </c>
      <c r="G78" s="459">
        <v>1350</v>
      </c>
      <c r="H78" s="43">
        <f>+N78</f>
        <v>0.25</v>
      </c>
      <c r="I78" s="44">
        <v>0.88</v>
      </c>
      <c r="J78" s="82">
        <f>E78*G78*(1-H78)*1440/1000000*2.87</f>
        <v>54.397980000000004</v>
      </c>
      <c r="K78" s="82">
        <f>(IF(G78&lt;L78,L78,G78)*(1-IF(H78&lt;N78,H78,N78))*E78*O78*Q78)/100000000</f>
        <v>31.287130874999999</v>
      </c>
      <c r="L78" s="34">
        <v>1342</v>
      </c>
      <c r="M78" s="34">
        <f>+L78-L78*0.25</f>
        <v>1006.5</v>
      </c>
      <c r="N78" s="45">
        <f>1-(M78/L78)</f>
        <v>0.25</v>
      </c>
      <c r="O78" s="46">
        <f>+'Trim Rwd'!H53</f>
        <v>269.5</v>
      </c>
      <c r="P78" s="47">
        <f>O78*(Q78-R78-S78)</f>
        <v>229614</v>
      </c>
      <c r="Q78" s="46">
        <v>882</v>
      </c>
      <c r="R78" s="384">
        <v>0</v>
      </c>
      <c r="S78" s="384">
        <v>30</v>
      </c>
      <c r="T78" s="36">
        <f>E78*M78*O78*Q78/100000000</f>
        <v>31.101725654999999</v>
      </c>
      <c r="U78" s="36">
        <f>E78*M78*O78*(Q78-R78-S78)/100000000</f>
        <v>30.04384383</v>
      </c>
      <c r="V78" s="36">
        <f>E78*G78*(1-N78)*O78/100*(R78+S78)/1000000</f>
        <v>1.064188125</v>
      </c>
      <c r="W78" s="36">
        <f>+'16'!K9/1000</f>
        <v>11.566000000000001</v>
      </c>
      <c r="X78" s="37"/>
      <c r="Y78" s="622"/>
      <c r="Z78" s="615">
        <f>+'16'!D25/1000</f>
        <v>0.58599999999999997</v>
      </c>
      <c r="AA78" s="36"/>
      <c r="AB78" s="36"/>
      <c r="AC78" s="36">
        <f>K78-T78</f>
        <v>0.18540521999999982</v>
      </c>
      <c r="AD78" s="36">
        <f>+AM78+BA78</f>
        <v>24</v>
      </c>
      <c r="AE78" s="225" t="s">
        <v>611</v>
      </c>
      <c r="AF78" s="32"/>
      <c r="AG78" s="32"/>
      <c r="AH78" s="32">
        <v>24</v>
      </c>
      <c r="AJ78" s="36"/>
      <c r="AK78" s="36"/>
      <c r="AL78" s="36"/>
      <c r="AM78" s="36">
        <f>SUM(AF78:AL78)+AT78+AV78+AX78</f>
        <v>24</v>
      </c>
      <c r="AN78" s="36"/>
      <c r="AO78" s="36"/>
      <c r="AP78" s="36"/>
      <c r="AQ78" s="36"/>
      <c r="AR78" s="36">
        <f>SUM(AN78:AQ78)</f>
        <v>0</v>
      </c>
      <c r="AS78" s="36"/>
      <c r="AT78" s="36"/>
      <c r="AU78" s="36"/>
      <c r="AV78" s="36"/>
      <c r="AW78" s="36"/>
      <c r="AX78" s="36"/>
      <c r="AY78" s="36"/>
      <c r="AZ78" s="36"/>
      <c r="BA78" s="36">
        <f>+AR78+AS78+AU78+AW78+AY78+AZ78</f>
        <v>0</v>
      </c>
      <c r="BB78" s="32"/>
      <c r="BC78" s="52"/>
      <c r="BD78" s="52"/>
      <c r="BE78" s="32"/>
      <c r="BF78" s="52"/>
    </row>
    <row r="79" spans="1:58" ht="12.95" customHeight="1">
      <c r="A79" s="39"/>
      <c r="B79" s="40"/>
      <c r="C79" s="416"/>
      <c r="D79" s="40"/>
      <c r="E79" s="41"/>
      <c r="F79" s="41"/>
      <c r="G79" s="459"/>
      <c r="H79" s="534"/>
      <c r="I79" s="44"/>
      <c r="J79" s="82"/>
      <c r="K79" s="82"/>
      <c r="L79" s="34"/>
      <c r="M79" s="34"/>
      <c r="N79" s="45"/>
      <c r="O79" s="46"/>
      <c r="P79" s="47"/>
      <c r="Q79" s="46"/>
      <c r="R79" s="384"/>
      <c r="S79" s="384"/>
      <c r="T79" s="36"/>
      <c r="U79" s="36"/>
      <c r="V79" s="36"/>
      <c r="W79" s="36"/>
      <c r="X79" s="381"/>
      <c r="Y79" s="36"/>
      <c r="Z79" s="615"/>
      <c r="AA79" s="48"/>
      <c r="AB79" s="48"/>
      <c r="AC79" s="36"/>
      <c r="AD79" s="36"/>
      <c r="AE79" s="225"/>
      <c r="AF79" s="36"/>
      <c r="AG79" s="36"/>
      <c r="AH79" s="36"/>
      <c r="AI79" s="461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2"/>
      <c r="BC79" s="50"/>
      <c r="BD79" s="50"/>
      <c r="BE79" s="50"/>
      <c r="BF79" s="50"/>
    </row>
    <row r="80" spans="1:58" ht="12.95" customHeight="1">
      <c r="A80" s="39">
        <v>46129</v>
      </c>
      <c r="B80" s="40" t="s">
        <v>649</v>
      </c>
      <c r="C80" s="416">
        <f>(M80*E80*O80*Q80)/100000000</f>
        <v>51.246877499999997</v>
      </c>
      <c r="D80" s="40" t="s">
        <v>276</v>
      </c>
      <c r="E80" s="41">
        <v>13</v>
      </c>
      <c r="F80" s="41">
        <v>1</v>
      </c>
      <c r="G80" s="459">
        <v>1350</v>
      </c>
      <c r="H80" s="43">
        <f>+N80</f>
        <v>0.25</v>
      </c>
      <c r="I80" s="44">
        <v>0.88</v>
      </c>
      <c r="J80" s="82">
        <f>E80*G80*(1-H80)*1440/1000000*2.87</f>
        <v>54.397980000000004</v>
      </c>
      <c r="K80" s="82">
        <f>(IF(G80&lt;L80,L80,G80)*(1-IF(H80&lt;N80,H80,N80))*E80*O80*Q80)/100000000</f>
        <v>51.246877499999997</v>
      </c>
      <c r="L80" s="34">
        <v>1350</v>
      </c>
      <c r="M80" s="34">
        <v>1012.5</v>
      </c>
      <c r="N80" s="45">
        <f>1-(M80/L80)</f>
        <v>0.25</v>
      </c>
      <c r="O80" s="46">
        <f>+'Trim Rwd'!H55</f>
        <v>270.375</v>
      </c>
      <c r="P80" s="47">
        <f>O80*(Q80-R80-S80)</f>
        <v>377173.125</v>
      </c>
      <c r="Q80" s="46">
        <v>1440</v>
      </c>
      <c r="R80" s="384">
        <v>0</v>
      </c>
      <c r="S80" s="384">
        <v>45</v>
      </c>
      <c r="T80" s="36">
        <f>E80*M80*O80*Q80/100000000</f>
        <v>51.246877499999997</v>
      </c>
      <c r="U80" s="36">
        <f>E80*M80*O80*(Q80-R80-S80)/100000000</f>
        <v>49.645412578124997</v>
      </c>
      <c r="V80" s="36">
        <f>E80*G80*(1-N80)*O80/100*(R80+S80)/1000000</f>
        <v>1.6014649218749999</v>
      </c>
      <c r="W80" s="36">
        <f>+'17'!K9/1000</f>
        <v>41.671999999999997</v>
      </c>
      <c r="X80" s="381">
        <f>SUM(W80:W83)/SUM(K80:K83)</f>
        <v>0.8131617384883596</v>
      </c>
      <c r="Y80" s="36">
        <v>0</v>
      </c>
      <c r="Z80" s="615">
        <f>+'17'!D34/1000</f>
        <v>3.2959999999999998</v>
      </c>
      <c r="AA80" s="48">
        <f>SUM(U80:U83)-SUM(W80:W83)-SUM(Z80:Z83)-SUM(Y80:Y83)</f>
        <v>4.6774125781250007</v>
      </c>
      <c r="AB80" s="48">
        <f>(SUM(K80:K83)-SUM(W80:W83)-SUM(Y80:Y83)-SUM(Z80:Z83)-SUM(AC80:AC83)-SUM(V80:V83))-AA80</f>
        <v>0</v>
      </c>
      <c r="AC80" s="36">
        <f>K80-T80</f>
        <v>0</v>
      </c>
      <c r="AD80" s="36">
        <f>+AM80+BA80</f>
        <v>9</v>
      </c>
      <c r="AE80" s="225" t="s">
        <v>585</v>
      </c>
      <c r="AF80" s="36">
        <v>9</v>
      </c>
      <c r="AG80" s="36"/>
      <c r="AH80" s="36"/>
      <c r="AI80" s="461"/>
      <c r="AJ80" s="36"/>
      <c r="AK80" s="36"/>
      <c r="AL80" s="36"/>
      <c r="AM80" s="36">
        <f>SUM(AF80:AL80)+AT80+AV80+AX80</f>
        <v>9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>
        <f>+AR80+AS80+AU80+AW80+AY80+AZ80</f>
        <v>0</v>
      </c>
      <c r="BB80" s="32">
        <v>3</v>
      </c>
      <c r="BC80" s="50"/>
      <c r="BD80" s="50"/>
      <c r="BE80" s="32"/>
      <c r="BF80" s="50"/>
    </row>
    <row r="81" spans="1:58" ht="12.95" customHeight="1">
      <c r="A81" s="39"/>
      <c r="B81" s="40"/>
      <c r="C81" s="416"/>
      <c r="D81" s="40"/>
      <c r="E81" s="41"/>
      <c r="F81" s="41"/>
      <c r="G81" s="459"/>
      <c r="H81" s="43"/>
      <c r="I81" s="44"/>
      <c r="J81" s="82"/>
      <c r="K81" s="82"/>
      <c r="L81" s="34"/>
      <c r="M81" s="34"/>
      <c r="N81" s="45"/>
      <c r="O81" s="46"/>
      <c r="P81" s="47"/>
      <c r="Q81" s="46"/>
      <c r="R81" s="384"/>
      <c r="S81" s="384"/>
      <c r="T81" s="36"/>
      <c r="U81" s="36"/>
      <c r="V81" s="36"/>
      <c r="W81" s="36"/>
      <c r="X81" s="37"/>
      <c r="Y81" s="208"/>
      <c r="Z81" s="615"/>
      <c r="AA81" s="36"/>
      <c r="AB81" s="36"/>
      <c r="AC81" s="36"/>
      <c r="AD81" s="36">
        <f>+AM81+BA81</f>
        <v>6</v>
      </c>
      <c r="AE81" s="225" t="s">
        <v>661</v>
      </c>
      <c r="AF81" s="36"/>
      <c r="AG81" s="36">
        <v>6</v>
      </c>
      <c r="AH81" s="36"/>
      <c r="AI81" s="461"/>
      <c r="AJ81" s="36"/>
      <c r="AK81" s="36"/>
      <c r="AL81" s="36"/>
      <c r="AM81" s="36">
        <f>SUM(AF81:AL81)+AT81+AV81+AX81</f>
        <v>6</v>
      </c>
      <c r="AN81" s="83"/>
      <c r="AO81" s="36"/>
      <c r="AP81" s="36"/>
      <c r="AQ81" s="36"/>
      <c r="AR81" s="36">
        <f>SUM(AN81:AQ81)</f>
        <v>0</v>
      </c>
      <c r="AS81" s="36"/>
      <c r="AT81" s="36"/>
      <c r="AU81" s="36"/>
      <c r="AV81" s="36"/>
      <c r="AW81" s="36"/>
      <c r="AX81" s="36"/>
      <c r="AY81" s="36"/>
      <c r="AZ81" s="36"/>
      <c r="BA81" s="36">
        <f>+AR81+AS81+AU81+AW81+AY81+AZ81</f>
        <v>0</v>
      </c>
      <c r="BB81" s="49"/>
      <c r="BC81" s="50">
        <v>4</v>
      </c>
      <c r="BD81" s="50"/>
      <c r="BE81" s="49"/>
      <c r="BF81" s="50"/>
    </row>
    <row r="82" spans="1:58" ht="12.95" customHeight="1">
      <c r="A82" s="39"/>
      <c r="B82" s="40"/>
      <c r="C82" s="416"/>
      <c r="D82" s="40"/>
      <c r="E82" s="41"/>
      <c r="F82" s="41"/>
      <c r="G82" s="459"/>
      <c r="H82" s="43"/>
      <c r="I82" s="44"/>
      <c r="J82" s="82"/>
      <c r="K82" s="82"/>
      <c r="L82" s="34"/>
      <c r="M82" s="34"/>
      <c r="N82" s="45"/>
      <c r="O82" s="46"/>
      <c r="P82" s="47"/>
      <c r="Q82" s="46"/>
      <c r="R82" s="384"/>
      <c r="S82" s="384"/>
      <c r="T82" s="36"/>
      <c r="U82" s="36"/>
      <c r="V82" s="36"/>
      <c r="W82" s="36"/>
      <c r="X82" s="37"/>
      <c r="Y82" s="208"/>
      <c r="Z82" s="615"/>
      <c r="AA82" s="36"/>
      <c r="AB82" s="36"/>
      <c r="AC82" s="36"/>
      <c r="AD82" s="36">
        <f>+AM82+BA82</f>
        <v>30</v>
      </c>
      <c r="AE82" s="225" t="s">
        <v>421</v>
      </c>
      <c r="AF82" s="32"/>
      <c r="AG82" s="32"/>
      <c r="AH82" s="32">
        <v>30</v>
      </c>
      <c r="AJ82" s="36"/>
      <c r="AK82" s="36"/>
      <c r="AL82" s="36"/>
      <c r="AM82" s="36">
        <f>SUM(AF82:AL82)+AT82+AV82+AX82</f>
        <v>30</v>
      </c>
      <c r="AN82" s="36"/>
      <c r="AO82" s="36"/>
      <c r="AP82" s="36"/>
      <c r="AQ82" s="36"/>
      <c r="AR82" s="36">
        <f>SUM(AN82:AQ82)</f>
        <v>0</v>
      </c>
      <c r="AS82" s="36"/>
      <c r="AT82" s="36"/>
      <c r="AU82" s="36"/>
      <c r="AV82" s="36"/>
      <c r="AW82" s="36"/>
      <c r="AX82" s="36"/>
      <c r="AY82" s="36"/>
      <c r="AZ82" s="36"/>
      <c r="BA82" s="36">
        <f>+AR82+AS82+AU82+AW82+AY82+AZ82</f>
        <v>0</v>
      </c>
      <c r="BB82" s="32"/>
      <c r="BC82" s="52"/>
      <c r="BD82" s="52"/>
      <c r="BE82" s="32"/>
      <c r="BF82" s="52"/>
    </row>
    <row r="83" spans="1:58" ht="12.95" customHeight="1">
      <c r="A83" s="39"/>
      <c r="B83" s="40"/>
      <c r="C83" s="416"/>
      <c r="D83" s="40"/>
      <c r="E83" s="41"/>
      <c r="F83" s="41"/>
      <c r="G83" s="459"/>
      <c r="H83" s="534"/>
      <c r="I83" s="44"/>
      <c r="J83" s="82"/>
      <c r="K83" s="82"/>
      <c r="L83" s="34"/>
      <c r="M83" s="34"/>
      <c r="N83" s="45"/>
      <c r="O83" s="46"/>
      <c r="P83" s="47"/>
      <c r="Q83" s="46"/>
      <c r="R83" s="384"/>
      <c r="S83" s="384"/>
      <c r="T83" s="36"/>
      <c r="U83" s="36"/>
      <c r="V83" s="36"/>
      <c r="W83" s="36"/>
      <c r="X83" s="381"/>
      <c r="Y83" s="36"/>
      <c r="Z83" s="615"/>
      <c r="AA83" s="48"/>
      <c r="AB83" s="48"/>
      <c r="AC83" s="36"/>
      <c r="AD83" s="36"/>
      <c r="AE83" s="225"/>
      <c r="AF83" s="36"/>
      <c r="AG83" s="36"/>
      <c r="AH83" s="36"/>
      <c r="AI83" s="461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2"/>
      <c r="BC83" s="50"/>
      <c r="BD83" s="50"/>
      <c r="BE83" s="50"/>
      <c r="BF83" s="50"/>
    </row>
    <row r="84" spans="1:58" ht="12.95" customHeight="1">
      <c r="A84" s="39">
        <v>46130</v>
      </c>
      <c r="B84" s="40" t="s">
        <v>649</v>
      </c>
      <c r="C84" s="416">
        <f>(M84*E84*O84*Q84)/100000000</f>
        <v>51.081029999999998</v>
      </c>
      <c r="D84" s="40" t="s">
        <v>276</v>
      </c>
      <c r="E84" s="41">
        <v>13</v>
      </c>
      <c r="F84" s="41">
        <v>1</v>
      </c>
      <c r="G84" s="459">
        <v>1350</v>
      </c>
      <c r="H84" s="43">
        <f>+N84</f>
        <v>0.25</v>
      </c>
      <c r="I84" s="44">
        <v>0.88</v>
      </c>
      <c r="J84" s="82">
        <f>E84*G84*(1-H84)*1440/1000000*2.87</f>
        <v>54.397980000000004</v>
      </c>
      <c r="K84" s="82">
        <f>(IF(G84&lt;L84,L84,G84)*(1-IF(H84&lt;N84,H84,N84))*E84*O84*Q84)/100000000</f>
        <v>51.081029999999998</v>
      </c>
      <c r="L84" s="34">
        <v>1350</v>
      </c>
      <c r="M84" s="34">
        <v>1012.5</v>
      </c>
      <c r="N84" s="45">
        <f>1-(M84/L84)</f>
        <v>0.25</v>
      </c>
      <c r="O84" s="46">
        <f>+'Trim Rwd'!H58</f>
        <v>269.5</v>
      </c>
      <c r="P84" s="47">
        <f>O84*(Q84-R84-S84)</f>
        <v>381881.5</v>
      </c>
      <c r="Q84" s="46">
        <v>1440</v>
      </c>
      <c r="R84" s="384">
        <v>0</v>
      </c>
      <c r="S84" s="384">
        <v>23</v>
      </c>
      <c r="T84" s="36">
        <f>E84*M84*O84*Q84/100000000</f>
        <v>51.081029999999998</v>
      </c>
      <c r="U84" s="36">
        <f>E84*M84*O84*(Q84-R84-S84)/100000000</f>
        <v>50.265152437499999</v>
      </c>
      <c r="V84" s="36">
        <f>E84*G84*(1-N84)*O84/100*(R84+S84)/1000000</f>
        <v>0.81587756249999999</v>
      </c>
      <c r="W84" s="36">
        <f>+'18'!K34/1000</f>
        <v>51.387999999999998</v>
      </c>
      <c r="X84" s="381">
        <f>SUM(W84:W87)/SUM(K84:K87)</f>
        <v>1.0060094716179373</v>
      </c>
      <c r="Y84" s="36">
        <v>0</v>
      </c>
      <c r="Z84" s="615">
        <f>+'18'!D34/1000</f>
        <v>0.3</v>
      </c>
      <c r="AA84" s="48">
        <f>SUM(U84:U87)-SUM(W84:W87)-SUM(Z84:Z87)-SUM(Y84:Y87)</f>
        <v>-1.4228475624999988</v>
      </c>
      <c r="AB84" s="48">
        <f>(SUM(K84:K87)-SUM(W84:W87)-SUM(Y84:Y87)-SUM(Z84:Z87)-SUM(AC84:AC87)-SUM(V84:V87))-AA84</f>
        <v>0</v>
      </c>
      <c r="AC84" s="36">
        <f>K84-T84</f>
        <v>0</v>
      </c>
      <c r="AD84" s="36">
        <f>+AM84+BA84</f>
        <v>0</v>
      </c>
      <c r="AE84" s="225" t="s">
        <v>385</v>
      </c>
      <c r="AF84" s="36">
        <v>0</v>
      </c>
      <c r="AG84" s="36"/>
      <c r="AH84" s="36"/>
      <c r="AI84" s="461"/>
      <c r="AJ84" s="36"/>
      <c r="AK84" s="36"/>
      <c r="AL84" s="36"/>
      <c r="AM84" s="36">
        <f>SUM(AF84:AL84)+AT84+AV84+AX84</f>
        <v>0</v>
      </c>
      <c r="AN84" s="36"/>
      <c r="AO84" s="36"/>
      <c r="AP84" s="36"/>
      <c r="AQ84" s="36"/>
      <c r="AR84" s="36">
        <f>SUM(AN84:AQ84)</f>
        <v>0</v>
      </c>
      <c r="AS84" s="36"/>
      <c r="AT84" s="36"/>
      <c r="AU84" s="36"/>
      <c r="AV84" s="36"/>
      <c r="AW84" s="36"/>
      <c r="AX84" s="36"/>
      <c r="AY84" s="36"/>
      <c r="AZ84" s="36"/>
      <c r="BA84" s="36">
        <f>+AR84+AS84+AU84+AW84+AY84+AZ84</f>
        <v>0</v>
      </c>
      <c r="BB84" s="32">
        <v>0</v>
      </c>
      <c r="BC84" s="50"/>
      <c r="BD84" s="50"/>
      <c r="BE84" s="32"/>
      <c r="BF84" s="50"/>
    </row>
    <row r="85" spans="1:58" ht="12.95" customHeight="1">
      <c r="A85" s="39"/>
      <c r="B85" s="40"/>
      <c r="C85" s="416"/>
      <c r="D85" s="40"/>
      <c r="E85" s="41"/>
      <c r="F85" s="41"/>
      <c r="G85" s="459"/>
      <c r="H85" s="43"/>
      <c r="I85" s="44"/>
      <c r="J85" s="82"/>
      <c r="K85" s="82"/>
      <c r="L85" s="34"/>
      <c r="M85" s="34"/>
      <c r="N85" s="45"/>
      <c r="O85" s="46"/>
      <c r="P85" s="47"/>
      <c r="Q85" s="46"/>
      <c r="R85" s="384"/>
      <c r="S85" s="384"/>
      <c r="T85" s="36"/>
      <c r="U85" s="36"/>
      <c r="V85" s="36"/>
      <c r="W85" s="36"/>
      <c r="X85" s="37"/>
      <c r="Y85" s="208"/>
      <c r="Z85" s="615"/>
      <c r="AA85" s="36"/>
      <c r="AB85" s="36"/>
      <c r="AC85" s="36"/>
      <c r="AD85" s="36">
        <f>+AM85+BA85</f>
        <v>2</v>
      </c>
      <c r="AE85" s="225" t="s">
        <v>419</v>
      </c>
      <c r="AF85" s="36"/>
      <c r="AG85" s="36">
        <v>2</v>
      </c>
      <c r="AH85" s="36"/>
      <c r="AI85" s="461"/>
      <c r="AJ85" s="36"/>
      <c r="AK85" s="36"/>
      <c r="AL85" s="36"/>
      <c r="AM85" s="36">
        <f>SUM(AF85:AL85)+AT85+AV85+AX85</f>
        <v>2</v>
      </c>
      <c r="AN85" s="83"/>
      <c r="AO85" s="36"/>
      <c r="AP85" s="36"/>
      <c r="AQ85" s="36"/>
      <c r="AR85" s="36">
        <f>SUM(AN85:AQ85)</f>
        <v>0</v>
      </c>
      <c r="AS85" s="36"/>
      <c r="AT85" s="36"/>
      <c r="AU85" s="36"/>
      <c r="AV85" s="36"/>
      <c r="AW85" s="36"/>
      <c r="AX85" s="36"/>
      <c r="AY85" s="36"/>
      <c r="AZ85" s="36"/>
      <c r="BA85" s="36">
        <f>+AR85+AS85+AU85+AW85+AY85+AZ85</f>
        <v>0</v>
      </c>
      <c r="BB85" s="49"/>
      <c r="BC85" s="50">
        <v>1</v>
      </c>
      <c r="BD85" s="50"/>
      <c r="BE85" s="49"/>
      <c r="BF85" s="50"/>
    </row>
    <row r="86" spans="1:58" ht="12.95" customHeight="1">
      <c r="A86" s="39"/>
      <c r="B86" s="40"/>
      <c r="C86" s="416"/>
      <c r="D86" s="40"/>
      <c r="E86" s="41"/>
      <c r="F86" s="41"/>
      <c r="G86" s="459"/>
      <c r="H86" s="43"/>
      <c r="I86" s="44"/>
      <c r="J86" s="82"/>
      <c r="K86" s="82"/>
      <c r="L86" s="34"/>
      <c r="M86" s="34"/>
      <c r="N86" s="45"/>
      <c r="O86" s="46"/>
      <c r="P86" s="47"/>
      <c r="Q86" s="46"/>
      <c r="R86" s="384"/>
      <c r="S86" s="384"/>
      <c r="T86" s="36"/>
      <c r="U86" s="36"/>
      <c r="V86" s="36"/>
      <c r="W86" s="36"/>
      <c r="X86" s="37"/>
      <c r="Y86" s="208"/>
      <c r="Z86" s="615"/>
      <c r="AA86" s="36"/>
      <c r="AB86" s="36"/>
      <c r="AC86" s="36"/>
      <c r="AD86" s="36">
        <f>+AM86+BA86</f>
        <v>21</v>
      </c>
      <c r="AE86" s="225" t="s">
        <v>443</v>
      </c>
      <c r="AF86" s="32"/>
      <c r="AG86" s="32"/>
      <c r="AH86" s="32">
        <v>21</v>
      </c>
      <c r="AJ86" s="36"/>
      <c r="AK86" s="36"/>
      <c r="AL86" s="36"/>
      <c r="AM86" s="36">
        <f>SUM(AF86:AL86)+AT86+AV86+AX86</f>
        <v>21</v>
      </c>
      <c r="AN86" s="36"/>
      <c r="AO86" s="36"/>
      <c r="AP86" s="36"/>
      <c r="AQ86" s="36"/>
      <c r="AR86" s="36">
        <f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>
        <f>+AR86+AS86+AU86+AW86+AY86+AZ86</f>
        <v>0</v>
      </c>
      <c r="BB86" s="32"/>
      <c r="BC86" s="52"/>
      <c r="BD86" s="52"/>
      <c r="BE86" s="32"/>
      <c r="BF86" s="52"/>
    </row>
    <row r="87" spans="1:58" ht="12.95" customHeight="1">
      <c r="A87" s="39"/>
      <c r="B87" s="40"/>
      <c r="C87" s="416"/>
      <c r="D87" s="40"/>
      <c r="E87" s="41"/>
      <c r="F87" s="41"/>
      <c r="G87" s="459"/>
      <c r="H87" s="534"/>
      <c r="I87" s="44"/>
      <c r="J87" s="82"/>
      <c r="K87" s="82"/>
      <c r="L87" s="34"/>
      <c r="M87" s="34"/>
      <c r="N87" s="45"/>
      <c r="O87" s="46"/>
      <c r="P87" s="47"/>
      <c r="Q87" s="46"/>
      <c r="R87" s="384"/>
      <c r="S87" s="384"/>
      <c r="T87" s="36"/>
      <c r="U87" s="36"/>
      <c r="V87" s="36"/>
      <c r="W87" s="36"/>
      <c r="X87" s="381"/>
      <c r="Y87" s="36"/>
      <c r="Z87" s="615"/>
      <c r="AA87" s="48"/>
      <c r="AB87" s="48"/>
      <c r="AC87" s="36"/>
      <c r="AD87" s="36"/>
      <c r="AE87" s="225"/>
      <c r="AF87" s="36"/>
      <c r="AG87" s="36"/>
      <c r="AH87" s="36"/>
      <c r="AI87" s="461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2"/>
      <c r="BC87" s="50"/>
      <c r="BD87" s="50"/>
      <c r="BE87" s="50"/>
      <c r="BF87" s="50"/>
    </row>
    <row r="88" spans="1:58" ht="12.95" customHeight="1">
      <c r="A88" s="39">
        <v>46131</v>
      </c>
      <c r="B88" s="40" t="s">
        <v>649</v>
      </c>
      <c r="C88" s="416">
        <f>(M88*E88*O88*Q88)/100000000</f>
        <v>51.791804999999997</v>
      </c>
      <c r="D88" s="40" t="s">
        <v>276</v>
      </c>
      <c r="E88" s="41">
        <v>13</v>
      </c>
      <c r="F88" s="41">
        <v>1</v>
      </c>
      <c r="G88" s="459">
        <v>1350</v>
      </c>
      <c r="H88" s="43">
        <f>+N88</f>
        <v>0.25</v>
      </c>
      <c r="I88" s="44">
        <v>0.88</v>
      </c>
      <c r="J88" s="82">
        <f>E88*G88*(1-H88)*1440/1000000*2.87</f>
        <v>54.397980000000004</v>
      </c>
      <c r="K88" s="82">
        <f>(IF(G88&lt;L88,L88,G88)*(1-IF(H88&lt;N88,H88,N88))*E88*O88*Q88)/100000000</f>
        <v>51.791804999999997</v>
      </c>
      <c r="L88" s="34">
        <v>1350</v>
      </c>
      <c r="M88" s="34">
        <v>1012.5</v>
      </c>
      <c r="N88" s="45">
        <f>1-(M88/L88)</f>
        <v>0.25</v>
      </c>
      <c r="O88" s="46">
        <f>+'Trim Rwd'!H60</f>
        <v>273.25</v>
      </c>
      <c r="P88" s="47">
        <f>O88*(Q88-R88-S88)</f>
        <v>387741.75</v>
      </c>
      <c r="Q88" s="46">
        <v>1440</v>
      </c>
      <c r="R88" s="384">
        <v>0</v>
      </c>
      <c r="S88" s="384">
        <v>21</v>
      </c>
      <c r="T88" s="36">
        <f>E88*M88*O88*Q88/100000000</f>
        <v>51.791804999999997</v>
      </c>
      <c r="U88" s="36">
        <f>E88*M88*O88*(Q88-R88-S88)/100000000</f>
        <v>51.036507843750002</v>
      </c>
      <c r="V88" s="36">
        <f>E88*G88*(1-N88)*O88/100*(R88+S88)/1000000</f>
        <v>0.75529715625000005</v>
      </c>
      <c r="W88" s="36">
        <f>+'19'!K34/1000</f>
        <v>54.652000000000001</v>
      </c>
      <c r="X88" s="381">
        <f>SUM(W88:W91)/SUM(K88:K91)</f>
        <v>1.0552248565192892</v>
      </c>
      <c r="Y88" s="36">
        <v>0</v>
      </c>
      <c r="Z88" s="615">
        <v>0</v>
      </c>
      <c r="AA88" s="48">
        <f>SUM(U88:U91)-SUM(W88:W91)-SUM(Z88:Z91)-SUM(Y88:Y91)</f>
        <v>-3.6154921562499993</v>
      </c>
      <c r="AB88" s="48">
        <f>(SUM(K88:K91)-SUM(W88:W91)-SUM(Y88:Y91)-SUM(Z88:Z91)-SUM(AC88:AC91)-SUM(V88:V91))-AA88</f>
        <v>-5.3290705182007514E-15</v>
      </c>
      <c r="AC88" s="36">
        <f>K88-T88</f>
        <v>0</v>
      </c>
      <c r="AD88" s="36">
        <f>+AM88+BA88</f>
        <v>0</v>
      </c>
      <c r="AE88" s="225" t="s">
        <v>385</v>
      </c>
      <c r="AF88" s="36">
        <v>0</v>
      </c>
      <c r="AG88" s="36"/>
      <c r="AH88" s="36"/>
      <c r="AI88" s="461"/>
      <c r="AJ88" s="36"/>
      <c r="AK88" s="36"/>
      <c r="AL88" s="36"/>
      <c r="AM88" s="36">
        <f>SUM(AF88:AL88)+AT88+AV88+AX88</f>
        <v>0</v>
      </c>
      <c r="AN88" s="36"/>
      <c r="AO88" s="36"/>
      <c r="AP88" s="36"/>
      <c r="AQ88" s="36"/>
      <c r="AR88" s="36">
        <f>SUM(AN88:AQ88)</f>
        <v>0</v>
      </c>
      <c r="AS88" s="36"/>
      <c r="AT88" s="36"/>
      <c r="AU88" s="36"/>
      <c r="AV88" s="36"/>
      <c r="AW88" s="36"/>
      <c r="AX88" s="36"/>
      <c r="AY88" s="36"/>
      <c r="AZ88" s="36"/>
      <c r="BA88" s="36">
        <f>+AR88+AS88+AU88+AW88+AY88+AZ88</f>
        <v>0</v>
      </c>
      <c r="BB88" s="32">
        <v>0</v>
      </c>
      <c r="BC88" s="50"/>
      <c r="BD88" s="50"/>
      <c r="BE88" s="32"/>
      <c r="BF88" s="50"/>
    </row>
    <row r="89" spans="1:58" ht="12.95" customHeight="1">
      <c r="A89" s="39"/>
      <c r="B89" s="40"/>
      <c r="C89" s="416"/>
      <c r="D89" s="40"/>
      <c r="E89" s="41"/>
      <c r="F89" s="41"/>
      <c r="G89" s="459"/>
      <c r="H89" s="43"/>
      <c r="I89" s="44"/>
      <c r="J89" s="82"/>
      <c r="K89" s="82"/>
      <c r="L89" s="34"/>
      <c r="M89" s="34"/>
      <c r="N89" s="45"/>
      <c r="O89" s="46"/>
      <c r="P89" s="47"/>
      <c r="Q89" s="46"/>
      <c r="R89" s="384"/>
      <c r="S89" s="384"/>
      <c r="T89" s="36"/>
      <c r="U89" s="36"/>
      <c r="V89" s="36"/>
      <c r="W89" s="36"/>
      <c r="X89" s="37"/>
      <c r="Y89" s="208"/>
      <c r="Z89" s="615"/>
      <c r="AA89" s="36"/>
      <c r="AB89" s="36"/>
      <c r="AC89" s="36"/>
      <c r="AD89" s="36">
        <f>+AM89+BA89</f>
        <v>1</v>
      </c>
      <c r="AE89" s="225" t="s">
        <v>419</v>
      </c>
      <c r="AF89" s="36"/>
      <c r="AG89" s="36">
        <v>1</v>
      </c>
      <c r="AH89" s="36"/>
      <c r="AI89" s="461"/>
      <c r="AJ89" s="36"/>
      <c r="AK89" s="36"/>
      <c r="AL89" s="36"/>
      <c r="AM89" s="36">
        <f>SUM(AF89:AL89)+AT89+AV89+AX89</f>
        <v>1</v>
      </c>
      <c r="AN89" s="83"/>
      <c r="AO89" s="36"/>
      <c r="AP89" s="36"/>
      <c r="AQ89" s="36"/>
      <c r="AR89" s="36">
        <f>SUM(AN89:AQ89)</f>
        <v>0</v>
      </c>
      <c r="AS89" s="36"/>
      <c r="AT89" s="36"/>
      <c r="AU89" s="36"/>
      <c r="AV89" s="36"/>
      <c r="AW89" s="36"/>
      <c r="AX89" s="36"/>
      <c r="AY89" s="36"/>
      <c r="AZ89" s="36"/>
      <c r="BA89" s="36">
        <f>+AR89+AS89+AU89+AW89+AY89+AZ89</f>
        <v>0</v>
      </c>
      <c r="BB89" s="49"/>
      <c r="BC89" s="50">
        <v>1</v>
      </c>
      <c r="BD89" s="50"/>
      <c r="BE89" s="49"/>
      <c r="BF89" s="50"/>
    </row>
    <row r="90" spans="1:58" ht="12.95" customHeight="1">
      <c r="A90" s="39"/>
      <c r="B90" s="40"/>
      <c r="C90" s="416"/>
      <c r="D90" s="40"/>
      <c r="E90" s="41"/>
      <c r="F90" s="41"/>
      <c r="G90" s="459"/>
      <c r="H90" s="43"/>
      <c r="I90" s="44"/>
      <c r="J90" s="82"/>
      <c r="K90" s="82"/>
      <c r="L90" s="34"/>
      <c r="M90" s="34"/>
      <c r="N90" s="45"/>
      <c r="O90" s="46"/>
      <c r="P90" s="47"/>
      <c r="Q90" s="46"/>
      <c r="R90" s="384"/>
      <c r="S90" s="384"/>
      <c r="T90" s="36"/>
      <c r="U90" s="36"/>
      <c r="V90" s="36"/>
      <c r="W90" s="36"/>
      <c r="X90" s="37"/>
      <c r="Y90" s="208"/>
      <c r="Z90" s="615"/>
      <c r="AA90" s="36"/>
      <c r="AB90" s="36"/>
      <c r="AC90" s="36"/>
      <c r="AD90" s="36">
        <f>+AM90+BA90</f>
        <v>20</v>
      </c>
      <c r="AE90" s="225" t="s">
        <v>541</v>
      </c>
      <c r="AF90" s="32"/>
      <c r="AG90" s="32"/>
      <c r="AH90" s="32">
        <v>20</v>
      </c>
      <c r="AJ90" s="36"/>
      <c r="AK90" s="36"/>
      <c r="AL90" s="36"/>
      <c r="AM90" s="36">
        <f>SUM(AF90:AL90)+AT90+AV90+AX90</f>
        <v>20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>
        <f>+AR90+AS90+AU90+AW90+AY90+AZ90</f>
        <v>0</v>
      </c>
      <c r="BB90" s="32"/>
      <c r="BC90" s="52"/>
      <c r="BD90" s="52"/>
      <c r="BE90" s="32"/>
      <c r="BF90" s="52"/>
    </row>
    <row r="91" spans="1:58" ht="12.95" customHeight="1">
      <c r="A91" s="39"/>
      <c r="B91" s="40"/>
      <c r="C91" s="416"/>
      <c r="D91" s="40"/>
      <c r="E91" s="41"/>
      <c r="F91" s="41"/>
      <c r="G91" s="459"/>
      <c r="H91" s="534"/>
      <c r="I91" s="44"/>
      <c r="J91" s="82"/>
      <c r="K91" s="82"/>
      <c r="L91" s="34"/>
      <c r="M91" s="34"/>
      <c r="N91" s="45"/>
      <c r="O91" s="46"/>
      <c r="P91" s="47"/>
      <c r="Q91" s="46"/>
      <c r="R91" s="384"/>
      <c r="S91" s="384"/>
      <c r="T91" s="36"/>
      <c r="U91" s="36"/>
      <c r="V91" s="36"/>
      <c r="W91" s="36"/>
      <c r="X91" s="381"/>
      <c r="Y91" s="36"/>
      <c r="Z91" s="615"/>
      <c r="AA91" s="48"/>
      <c r="AB91" s="48"/>
      <c r="AC91" s="36"/>
      <c r="AD91" s="36"/>
      <c r="AE91" s="225"/>
      <c r="AF91" s="36"/>
      <c r="AG91" s="36"/>
      <c r="AH91" s="36"/>
      <c r="AI91" s="461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2"/>
      <c r="BC91" s="50"/>
      <c r="BD91" s="50"/>
      <c r="BE91" s="50"/>
      <c r="BF91" s="50"/>
    </row>
    <row r="92" spans="1:58" ht="12.95" customHeight="1">
      <c r="A92" s="39">
        <v>46132</v>
      </c>
      <c r="B92" s="40" t="s">
        <v>649</v>
      </c>
      <c r="C92" s="416">
        <f>(M92*E92*O92*Q92)/100000000</f>
        <v>51.081029999999998</v>
      </c>
      <c r="D92" s="40" t="s">
        <v>276</v>
      </c>
      <c r="E92" s="41">
        <v>13</v>
      </c>
      <c r="F92" s="41">
        <v>1</v>
      </c>
      <c r="G92" s="459">
        <v>1350</v>
      </c>
      <c r="H92" s="43">
        <f>+N92</f>
        <v>0.25</v>
      </c>
      <c r="I92" s="44">
        <v>0.88</v>
      </c>
      <c r="J92" s="82">
        <f>E92*G92*(1-H92)*1440/1000000*2.87</f>
        <v>54.397980000000004</v>
      </c>
      <c r="K92" s="82">
        <f>(IF(G92&lt;L92,L92,G92)*(1-IF(H92&lt;N92,H92,N92))*E92*O92*Q92)/100000000</f>
        <v>51.081029999999998</v>
      </c>
      <c r="L92" s="34">
        <v>1350</v>
      </c>
      <c r="M92" s="34">
        <v>1012.5</v>
      </c>
      <c r="N92" s="45">
        <f>1-(M92/L92)</f>
        <v>0.25</v>
      </c>
      <c r="O92" s="46">
        <f>+'Trim Rwd'!H63</f>
        <v>269.5</v>
      </c>
      <c r="P92" s="47">
        <f>O92*(Q92-R92-S92)</f>
        <v>381342.5</v>
      </c>
      <c r="Q92" s="46">
        <v>1440</v>
      </c>
      <c r="R92" s="384">
        <v>0</v>
      </c>
      <c r="S92" s="384">
        <v>25</v>
      </c>
      <c r="T92" s="36">
        <f>E92*M92*O92*Q92/100000000</f>
        <v>51.081029999999998</v>
      </c>
      <c r="U92" s="36">
        <f>E92*M92*O92*(Q92-R92-S92)/100000000</f>
        <v>50.1942065625</v>
      </c>
      <c r="V92" s="36">
        <f>E92*G92*(1-N92)*O92/100*(R92+S92)/1000000</f>
        <v>0.88682343750000003</v>
      </c>
      <c r="W92" s="36">
        <f>+'20'!K34/1000</f>
        <v>44.97</v>
      </c>
      <c r="X92" s="381">
        <f>SUM(W92:W95)/SUM(K92:K95)</f>
        <v>0.88036595973103915</v>
      </c>
      <c r="Y92" s="36">
        <v>0</v>
      </c>
      <c r="Z92" s="615">
        <v>0</v>
      </c>
      <c r="AA92" s="48">
        <f>SUM(U92:U95)-SUM(W92:W95)-SUM(Z92:Z95)-SUM(Y92:Y95)</f>
        <v>5.2242065625000009</v>
      </c>
      <c r="AB92" s="48">
        <f>(SUM(K92:K95)-SUM(W92:W95)-SUM(Y92:Y95)-SUM(Z92:Z95)-SUM(AC92:AC95)-SUM(V92:V95))-AA92</f>
        <v>0</v>
      </c>
      <c r="AC92" s="36">
        <f>K92-T92</f>
        <v>0</v>
      </c>
      <c r="AD92" s="36">
        <f>+AM92+BA92</f>
        <v>5</v>
      </c>
      <c r="AE92" s="225" t="s">
        <v>496</v>
      </c>
      <c r="AF92" s="36">
        <v>5</v>
      </c>
      <c r="AG92" s="36"/>
      <c r="AH92" s="36"/>
      <c r="AI92" s="461"/>
      <c r="AJ92" s="36"/>
      <c r="AK92" s="36"/>
      <c r="AL92" s="36"/>
      <c r="AM92" s="36">
        <f>SUM(AF92:AL92)+AT92+AV92+AX92</f>
        <v>5</v>
      </c>
      <c r="AN92" s="36"/>
      <c r="AO92" s="36"/>
      <c r="AP92" s="36"/>
      <c r="AQ92" s="36"/>
      <c r="AR92" s="36">
        <f>SUM(AN92:AQ92)</f>
        <v>0</v>
      </c>
      <c r="AS92" s="36"/>
      <c r="AT92" s="36"/>
      <c r="AU92" s="36"/>
      <c r="AV92" s="36"/>
      <c r="AW92" s="36"/>
      <c r="AX92" s="36"/>
      <c r="AY92" s="36"/>
      <c r="AZ92" s="36"/>
      <c r="BA92" s="36">
        <f>+AR92+AS92+AU92+AW92+AY92+AZ92</f>
        <v>0</v>
      </c>
      <c r="BB92" s="32">
        <v>1</v>
      </c>
      <c r="BC92" s="50"/>
      <c r="BD92" s="50"/>
      <c r="BE92" s="32"/>
      <c r="BF92" s="50"/>
    </row>
    <row r="93" spans="1:58" ht="12.95" customHeight="1">
      <c r="A93" s="39"/>
      <c r="B93" s="40"/>
      <c r="C93" s="416"/>
      <c r="D93" s="40"/>
      <c r="E93" s="41"/>
      <c r="F93" s="41"/>
      <c r="G93" s="459"/>
      <c r="H93" s="43"/>
      <c r="I93" s="44"/>
      <c r="J93" s="82"/>
      <c r="K93" s="82"/>
      <c r="L93" s="34"/>
      <c r="M93" s="34"/>
      <c r="N93" s="45"/>
      <c r="O93" s="46"/>
      <c r="P93" s="47"/>
      <c r="Q93" s="46"/>
      <c r="R93" s="384"/>
      <c r="S93" s="384"/>
      <c r="T93" s="36"/>
      <c r="U93" s="36"/>
      <c r="V93" s="36"/>
      <c r="W93" s="36"/>
      <c r="X93" s="37"/>
      <c r="Y93" s="208"/>
      <c r="Z93" s="615"/>
      <c r="AA93" s="36"/>
      <c r="AB93" s="36"/>
      <c r="AC93" s="36"/>
      <c r="AD93" s="36">
        <f>+AM93+BA93</f>
        <v>1</v>
      </c>
      <c r="AE93" s="225" t="s">
        <v>419</v>
      </c>
      <c r="AF93" s="36"/>
      <c r="AG93" s="36">
        <v>1</v>
      </c>
      <c r="AH93" s="36"/>
      <c r="AI93" s="461"/>
      <c r="AJ93" s="36"/>
      <c r="AK93" s="36"/>
      <c r="AL93" s="36"/>
      <c r="AM93" s="36">
        <f>SUM(AF93:AL93)+AT93+AV93+AX93</f>
        <v>1</v>
      </c>
      <c r="AN93" s="83"/>
      <c r="AO93" s="36"/>
      <c r="AP93" s="36"/>
      <c r="AQ93" s="36"/>
      <c r="AR93" s="36">
        <f>SUM(AN93:AQ93)</f>
        <v>0</v>
      </c>
      <c r="AS93" s="36"/>
      <c r="AT93" s="36"/>
      <c r="AU93" s="36"/>
      <c r="AV93" s="36"/>
      <c r="AW93" s="36"/>
      <c r="AX93" s="36"/>
      <c r="AY93" s="36"/>
      <c r="AZ93" s="36"/>
      <c r="BA93" s="36">
        <f>+AR93+AS93+AU93+AW93+AY93+AZ93</f>
        <v>0</v>
      </c>
      <c r="BB93" s="49"/>
      <c r="BC93" s="50">
        <v>1</v>
      </c>
      <c r="BD93" s="50"/>
      <c r="BE93" s="49"/>
      <c r="BF93" s="50"/>
    </row>
    <row r="94" spans="1:58" ht="12.95" customHeight="1">
      <c r="A94" s="39"/>
      <c r="B94" s="40"/>
      <c r="C94" s="416"/>
      <c r="D94" s="40"/>
      <c r="E94" s="41"/>
      <c r="F94" s="41"/>
      <c r="G94" s="459"/>
      <c r="H94" s="43"/>
      <c r="I94" s="44"/>
      <c r="J94" s="82"/>
      <c r="K94" s="82"/>
      <c r="L94" s="34"/>
      <c r="M94" s="34"/>
      <c r="N94" s="45"/>
      <c r="O94" s="46"/>
      <c r="P94" s="47"/>
      <c r="Q94" s="46"/>
      <c r="R94" s="384"/>
      <c r="S94" s="384"/>
      <c r="T94" s="36"/>
      <c r="U94" s="36"/>
      <c r="V94" s="36"/>
      <c r="W94" s="36"/>
      <c r="X94" s="37"/>
      <c r="Y94" s="208"/>
      <c r="Z94" s="615"/>
      <c r="AA94" s="36"/>
      <c r="AB94" s="36"/>
      <c r="AC94" s="36"/>
      <c r="AD94" s="36">
        <f>+AM94+BA94</f>
        <v>19</v>
      </c>
      <c r="AE94" s="225" t="s">
        <v>675</v>
      </c>
      <c r="AF94" s="32"/>
      <c r="AG94" s="32"/>
      <c r="AH94" s="32">
        <v>19</v>
      </c>
      <c r="AJ94" s="36"/>
      <c r="AK94" s="36"/>
      <c r="AL94" s="36"/>
      <c r="AM94" s="36">
        <f>SUM(AF94:AL94)+AT94+AV94+AX94</f>
        <v>19</v>
      </c>
      <c r="AN94" s="36"/>
      <c r="AO94" s="36"/>
      <c r="AP94" s="36"/>
      <c r="AQ94" s="36"/>
      <c r="AR94" s="36">
        <f>SUM(AN94:AQ94)</f>
        <v>0</v>
      </c>
      <c r="AS94" s="36"/>
      <c r="AT94" s="36"/>
      <c r="AU94" s="36"/>
      <c r="AV94" s="36"/>
      <c r="AW94" s="36"/>
      <c r="AX94" s="36"/>
      <c r="AY94" s="36"/>
      <c r="AZ94" s="36"/>
      <c r="BA94" s="36">
        <f>+AR94+AS94+AU94+AW94+AY94+AZ94</f>
        <v>0</v>
      </c>
      <c r="BB94" s="32"/>
      <c r="BC94" s="52"/>
      <c r="BD94" s="52"/>
      <c r="BE94" s="32"/>
      <c r="BF94" s="52"/>
    </row>
    <row r="95" spans="1:58" ht="12.95" customHeight="1">
      <c r="A95" s="39"/>
      <c r="B95" s="40"/>
      <c r="C95" s="416"/>
      <c r="D95" s="40"/>
      <c r="E95" s="41"/>
      <c r="F95" s="41"/>
      <c r="G95" s="459"/>
      <c r="H95" s="534"/>
      <c r="I95" s="44"/>
      <c r="J95" s="82"/>
      <c r="K95" s="82"/>
      <c r="L95" s="34"/>
      <c r="M95" s="34"/>
      <c r="N95" s="45"/>
      <c r="O95" s="46"/>
      <c r="P95" s="47"/>
      <c r="Q95" s="46"/>
      <c r="R95" s="384"/>
      <c r="S95" s="384"/>
      <c r="T95" s="36"/>
      <c r="U95" s="36"/>
      <c r="V95" s="36"/>
      <c r="W95" s="36"/>
      <c r="X95" s="381"/>
      <c r="Y95" s="36"/>
      <c r="Z95" s="615"/>
      <c r="AA95" s="48"/>
      <c r="AB95" s="48"/>
      <c r="AC95" s="36"/>
      <c r="AD95" s="36"/>
      <c r="AE95" s="225"/>
      <c r="AF95" s="36"/>
      <c r="AG95" s="36"/>
      <c r="AH95" s="36"/>
      <c r="AI95" s="461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2"/>
      <c r="BC95" s="50"/>
      <c r="BD95" s="50"/>
      <c r="BE95" s="50"/>
      <c r="BF95" s="50"/>
    </row>
    <row r="96" spans="1:58" ht="12.95" customHeight="1">
      <c r="A96" s="39">
        <v>46133</v>
      </c>
      <c r="B96" s="40" t="s">
        <v>649</v>
      </c>
      <c r="C96" s="416">
        <f>(M96*E96*O96*Q96)/100000000</f>
        <v>51.081029999999998</v>
      </c>
      <c r="D96" s="40" t="s">
        <v>276</v>
      </c>
      <c r="E96" s="41">
        <v>13</v>
      </c>
      <c r="F96" s="41">
        <v>1</v>
      </c>
      <c r="G96" s="459">
        <v>1350</v>
      </c>
      <c r="H96" s="534">
        <f>+N96</f>
        <v>0.25</v>
      </c>
      <c r="I96" s="44">
        <v>0.88</v>
      </c>
      <c r="J96" s="82">
        <f>E96*G96*(1-H96)*1440/1000000*2.87</f>
        <v>54.397980000000004</v>
      </c>
      <c r="K96" s="82">
        <f>(IF(G96&lt;L96,L96,G96)*(1-IF(H96&lt;N96,H96,N96))*E96*O96*Q96)/100000000</f>
        <v>51.081029999999998</v>
      </c>
      <c r="L96" s="34">
        <v>1350</v>
      </c>
      <c r="M96" s="34">
        <v>1012.5</v>
      </c>
      <c r="N96" s="45">
        <f>1-(M96/L96)</f>
        <v>0.25</v>
      </c>
      <c r="O96" s="46">
        <f>+'Trim Rwd'!H65</f>
        <v>269.5</v>
      </c>
      <c r="P96" s="47">
        <f>O96*(Q96-R96-S96)</f>
        <v>382690</v>
      </c>
      <c r="Q96" s="46">
        <v>1440</v>
      </c>
      <c r="R96" s="384">
        <v>0</v>
      </c>
      <c r="S96" s="384">
        <v>20</v>
      </c>
      <c r="T96" s="36">
        <f>E96*M96*O96*Q96/100000000</f>
        <v>51.081029999999998</v>
      </c>
      <c r="U96" s="36">
        <f>E96*M96*O96*(Q96-R96-S96)/100000000</f>
        <v>50.371571250000002</v>
      </c>
      <c r="V96" s="36">
        <f>E96*G96*(1-N96)*O96/100*(R96+S96)/1000000</f>
        <v>0.70945875000000003</v>
      </c>
      <c r="W96" s="36">
        <f>+'21'!K34/1000</f>
        <v>51.795999999999999</v>
      </c>
      <c r="X96" s="381">
        <f>SUM(W96:W99)/SUM(K96:K99)</f>
        <v>1.0139967811925483</v>
      </c>
      <c r="Y96" s="36">
        <v>0</v>
      </c>
      <c r="Z96" s="615">
        <f>+'21'!D34/1000</f>
        <v>0.28000000000000003</v>
      </c>
      <c r="AA96" s="48">
        <f>SUM(U96:U99)-SUM(W96:W99)-SUM(Z96:Z99)-SUM(Y96:Y99)</f>
        <v>-1.7044287499999971</v>
      </c>
      <c r="AB96" s="48">
        <f>(SUM(K96:K99)-SUM(W96:W99)-SUM(Y96:Y99)-SUM(Z96:Z99)-SUM(AC96:AC99)-SUM(V96:V99))-AA96</f>
        <v>-3.9968028886505635E-15</v>
      </c>
      <c r="AC96" s="36">
        <f>K96-T96</f>
        <v>0</v>
      </c>
      <c r="AD96" s="36">
        <f>+AM96+BA96</f>
        <v>0</v>
      </c>
      <c r="AE96" s="225" t="s">
        <v>385</v>
      </c>
      <c r="AF96" s="36">
        <v>0</v>
      </c>
      <c r="AG96" s="36"/>
      <c r="AH96" s="36"/>
      <c r="AI96" s="461"/>
      <c r="AJ96" s="36"/>
      <c r="AK96" s="36"/>
      <c r="AL96" s="36"/>
      <c r="AM96" s="36">
        <f>SUM(AF96:AL96)+AT96+AV96+AX96</f>
        <v>0</v>
      </c>
      <c r="AN96" s="36"/>
      <c r="AO96" s="36"/>
      <c r="AP96" s="36"/>
      <c r="AQ96" s="36"/>
      <c r="AR96" s="36">
        <f>SUM(AN96:AQ96)</f>
        <v>0</v>
      </c>
      <c r="AS96" s="36"/>
      <c r="AT96" s="36"/>
      <c r="AU96" s="36"/>
      <c r="AV96" s="36"/>
      <c r="AW96" s="36"/>
      <c r="AX96" s="36"/>
      <c r="AY96" s="36"/>
      <c r="AZ96" s="36"/>
      <c r="BA96" s="36">
        <f>+AR96+AS96+AU96+AW96+AY96+AZ96</f>
        <v>0</v>
      </c>
      <c r="BB96" s="32">
        <v>0</v>
      </c>
      <c r="BC96" s="50"/>
      <c r="BD96" s="50"/>
      <c r="BE96" s="50"/>
      <c r="BF96" s="50"/>
    </row>
    <row r="97" spans="1:58" ht="12.95" customHeight="1">
      <c r="A97" s="39"/>
      <c r="B97" s="40"/>
      <c r="C97" s="416"/>
      <c r="D97" s="40"/>
      <c r="E97" s="41"/>
      <c r="F97" s="41"/>
      <c r="G97" s="459"/>
      <c r="H97" s="534"/>
      <c r="I97" s="44"/>
      <c r="J97" s="82"/>
      <c r="K97" s="82"/>
      <c r="L97" s="34"/>
      <c r="M97" s="34"/>
      <c r="N97" s="45"/>
      <c r="O97" s="46"/>
      <c r="P97" s="47"/>
      <c r="Q97" s="46"/>
      <c r="R97" s="384"/>
      <c r="S97" s="384"/>
      <c r="T97" s="36"/>
      <c r="U97" s="36"/>
      <c r="V97" s="36"/>
      <c r="W97" s="36"/>
      <c r="X97" s="37"/>
      <c r="Y97" s="208"/>
      <c r="Z97" s="615"/>
      <c r="AA97" s="36"/>
      <c r="AB97" s="36"/>
      <c r="AC97" s="36"/>
      <c r="AD97" s="36">
        <f>+AM97+BA97</f>
        <v>2</v>
      </c>
      <c r="AE97" s="225" t="s">
        <v>419</v>
      </c>
      <c r="AF97" s="36"/>
      <c r="AG97" s="36">
        <v>2</v>
      </c>
      <c r="AH97" s="36"/>
      <c r="AI97" s="461"/>
      <c r="AJ97" s="36"/>
      <c r="AK97" s="36"/>
      <c r="AL97" s="36"/>
      <c r="AM97" s="36">
        <f>SUM(AF97:AL97)+AT97+AV97+AX97</f>
        <v>2</v>
      </c>
      <c r="AN97" s="83"/>
      <c r="AO97" s="36"/>
      <c r="AP97" s="36"/>
      <c r="AQ97" s="36"/>
      <c r="AR97" s="36">
        <f>SUM(AN97:AQ97)</f>
        <v>0</v>
      </c>
      <c r="AS97" s="36"/>
      <c r="AT97" s="36"/>
      <c r="AU97" s="36"/>
      <c r="AV97" s="36"/>
      <c r="AW97" s="36"/>
      <c r="AX97" s="36"/>
      <c r="AY97" s="36"/>
      <c r="AZ97" s="36"/>
      <c r="BA97" s="36">
        <f>+AR97+AS97+AU97+AW97+AY97+AZ97</f>
        <v>0</v>
      </c>
      <c r="BB97" s="49"/>
      <c r="BC97" s="50">
        <v>1</v>
      </c>
      <c r="BD97" s="50"/>
      <c r="BE97" s="50"/>
      <c r="BF97" s="50"/>
    </row>
    <row r="98" spans="1:58" ht="12.95" customHeight="1">
      <c r="A98" s="39"/>
      <c r="B98" s="40"/>
      <c r="C98" s="416"/>
      <c r="D98" s="40"/>
      <c r="E98" s="41"/>
      <c r="F98" s="41"/>
      <c r="G98" s="42"/>
      <c r="H98" s="534"/>
      <c r="I98" s="44"/>
      <c r="J98" s="82"/>
      <c r="K98" s="82"/>
      <c r="L98" s="34"/>
      <c r="M98" s="34"/>
      <c r="N98" s="45"/>
      <c r="O98" s="46"/>
      <c r="P98" s="47"/>
      <c r="Q98" s="46"/>
      <c r="R98" s="384"/>
      <c r="S98" s="384"/>
      <c r="T98" s="36"/>
      <c r="U98" s="36"/>
      <c r="V98" s="36"/>
      <c r="W98" s="36"/>
      <c r="X98" s="37"/>
      <c r="Y98" s="208"/>
      <c r="Z98" s="615"/>
      <c r="AA98" s="36"/>
      <c r="AB98" s="36"/>
      <c r="AC98" s="36"/>
      <c r="AD98" s="36">
        <f>+AM98+BA98</f>
        <v>18</v>
      </c>
      <c r="AE98" s="225" t="s">
        <v>446</v>
      </c>
      <c r="AF98" s="32"/>
      <c r="AG98" s="32"/>
      <c r="AH98" s="32">
        <v>18</v>
      </c>
      <c r="AJ98" s="36"/>
      <c r="AK98" s="36"/>
      <c r="AL98" s="36"/>
      <c r="AM98" s="36">
        <f>SUM(AF98:AL98)+AT98+AV98+AX98</f>
        <v>18</v>
      </c>
      <c r="AN98" s="36"/>
      <c r="AO98" s="36"/>
      <c r="AP98" s="36"/>
      <c r="AQ98" s="36"/>
      <c r="AR98" s="36">
        <f>SUM(AN98:AQ98)</f>
        <v>0</v>
      </c>
      <c r="AS98" s="36"/>
      <c r="AT98" s="36"/>
      <c r="AU98" s="36"/>
      <c r="AV98" s="36"/>
      <c r="AW98" s="36"/>
      <c r="AX98" s="36"/>
      <c r="AY98" s="36"/>
      <c r="AZ98" s="36"/>
      <c r="BA98" s="36">
        <f>+AR98+AS98+AU98+AW98+AY98+AZ98</f>
        <v>0</v>
      </c>
      <c r="BB98" s="32"/>
      <c r="BC98" s="52"/>
      <c r="BD98" s="50"/>
      <c r="BE98" s="50"/>
      <c r="BF98" s="50"/>
    </row>
    <row r="99" spans="1:58" ht="12.95" customHeight="1">
      <c r="A99" s="39"/>
      <c r="B99" s="40"/>
      <c r="C99" s="416"/>
      <c r="D99" s="40"/>
      <c r="E99" s="41"/>
      <c r="F99" s="41"/>
      <c r="G99" s="459"/>
      <c r="H99" s="534"/>
      <c r="I99" s="44"/>
      <c r="J99" s="82"/>
      <c r="K99" s="82"/>
      <c r="L99" s="34"/>
      <c r="M99" s="34"/>
      <c r="N99" s="45"/>
      <c r="O99" s="46"/>
      <c r="P99" s="47"/>
      <c r="Q99" s="46"/>
      <c r="R99" s="384"/>
      <c r="S99" s="384"/>
      <c r="T99" s="36"/>
      <c r="U99" s="36"/>
      <c r="V99" s="36"/>
      <c r="W99" s="36"/>
      <c r="X99" s="381"/>
      <c r="Y99" s="208"/>
      <c r="Z99" s="615"/>
      <c r="AA99" s="48"/>
      <c r="AB99" s="48"/>
      <c r="AC99" s="36"/>
      <c r="AD99" s="36"/>
      <c r="AE99" s="225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2"/>
      <c r="BC99" s="50"/>
      <c r="BD99" s="50"/>
      <c r="BE99" s="50"/>
      <c r="BF99" s="50"/>
    </row>
    <row r="100" spans="1:58" ht="12.95" customHeight="1">
      <c r="A100" s="39">
        <v>46134</v>
      </c>
      <c r="B100" s="40" t="s">
        <v>649</v>
      </c>
      <c r="C100" s="416">
        <f>(M100*E100*O100*Q100)/100000000</f>
        <v>51.081029999999998</v>
      </c>
      <c r="D100" s="40" t="s">
        <v>276</v>
      </c>
      <c r="E100" s="41">
        <v>13</v>
      </c>
      <c r="F100" s="41">
        <v>1</v>
      </c>
      <c r="G100" s="459">
        <v>1350</v>
      </c>
      <c r="H100" s="534">
        <f>+N100</f>
        <v>0.25</v>
      </c>
      <c r="I100" s="44">
        <v>0.88</v>
      </c>
      <c r="J100" s="82">
        <f>E100*G100*(1-H100)*1440/1000000*2.87</f>
        <v>54.397980000000004</v>
      </c>
      <c r="K100" s="82">
        <f>(IF(G100&lt;L100,L100,G100)*(1-IF(H100&lt;N100,H100,N100))*E100*O100*Q100)/100000000</f>
        <v>51.081029999999998</v>
      </c>
      <c r="L100" s="34">
        <v>1350</v>
      </c>
      <c r="M100" s="34">
        <v>1012.5</v>
      </c>
      <c r="N100" s="45">
        <f>1-(M100/L100)</f>
        <v>0.25</v>
      </c>
      <c r="O100" s="46">
        <f>+'Trim Rwd'!H67</f>
        <v>269.5</v>
      </c>
      <c r="P100" s="47">
        <f>O100*(Q100-R100-S100)</f>
        <v>378647.5</v>
      </c>
      <c r="Q100" s="46">
        <v>1440</v>
      </c>
      <c r="R100" s="384">
        <v>0</v>
      </c>
      <c r="S100" s="384">
        <v>35</v>
      </c>
      <c r="T100" s="36">
        <f>E100*M100*O100*Q100/100000000</f>
        <v>51.081029999999998</v>
      </c>
      <c r="U100" s="36">
        <f>E100*M100*O100*(Q100-R100-S100)/100000000</f>
        <v>49.839477187500002</v>
      </c>
      <c r="V100" s="36">
        <f>E100*G100*(1-N100)*O100/100*(R100+S100)/1000000</f>
        <v>1.2415528124999999</v>
      </c>
      <c r="W100" s="36">
        <f>+'22'!K34/1000</f>
        <v>48.822000000000003</v>
      </c>
      <c r="X100" s="381">
        <f>SUM(W100:W103)/SUM(K100:K103)</f>
        <v>0.9557755589501622</v>
      </c>
      <c r="Y100" s="36">
        <v>0</v>
      </c>
      <c r="Z100" s="615">
        <f>+'22'!D34/1000</f>
        <v>0.26</v>
      </c>
      <c r="AA100" s="48">
        <f>SUM(U100:U103)-SUM(W100:W103)-SUM(Z100:Z103)-SUM(Y100:Y103)</f>
        <v>0.75747718749999904</v>
      </c>
      <c r="AB100" s="48">
        <f>(SUM(K100:K103)-SUM(W100:W103)-SUM(Y100:Y103)-SUM(Z100:Z103)-SUM(AC100:AC103)-SUM(V100:V103))-AA100</f>
        <v>-3.3306690738754696E-15</v>
      </c>
      <c r="AC100" s="36">
        <f>K100-T100</f>
        <v>0</v>
      </c>
      <c r="AD100" s="36">
        <f>+AM100+BA100</f>
        <v>0</v>
      </c>
      <c r="AE100" s="225" t="s">
        <v>385</v>
      </c>
      <c r="AF100" s="36">
        <v>0</v>
      </c>
      <c r="AG100" s="36"/>
      <c r="AH100" s="36"/>
      <c r="AI100" s="461"/>
      <c r="AJ100" s="36"/>
      <c r="AK100" s="36"/>
      <c r="AL100" s="36"/>
      <c r="AM100" s="36">
        <f>SUM(AF100:AL100)+AT100+AV100+AX100</f>
        <v>0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>
        <f>+AR100+AS100+AU100+AW100+AY100+AZ100</f>
        <v>0</v>
      </c>
      <c r="BB100" s="32">
        <v>0</v>
      </c>
      <c r="BC100" s="50"/>
      <c r="BD100" s="50"/>
      <c r="BE100" s="50"/>
      <c r="BF100" s="50"/>
    </row>
    <row r="101" spans="1:58" ht="12.95" customHeight="1">
      <c r="A101" s="39"/>
      <c r="B101" s="40"/>
      <c r="C101" s="416"/>
      <c r="D101" s="40"/>
      <c r="E101" s="41"/>
      <c r="F101" s="41"/>
      <c r="G101" s="459"/>
      <c r="H101" s="534"/>
      <c r="I101" s="44"/>
      <c r="J101" s="82"/>
      <c r="K101" s="82"/>
      <c r="L101" s="34"/>
      <c r="M101" s="34"/>
      <c r="N101" s="45"/>
      <c r="O101" s="46"/>
      <c r="P101" s="47"/>
      <c r="Q101" s="46"/>
      <c r="R101" s="384"/>
      <c r="S101" s="384"/>
      <c r="T101" s="36"/>
      <c r="U101" s="36"/>
      <c r="V101" s="36"/>
      <c r="W101" s="36"/>
      <c r="X101" s="37"/>
      <c r="Y101" s="208"/>
      <c r="Z101" s="615"/>
      <c r="AA101" s="36"/>
      <c r="AB101" s="36"/>
      <c r="AC101" s="36"/>
      <c r="AD101" s="36">
        <f>+AM101+BA101</f>
        <v>1</v>
      </c>
      <c r="AE101" s="225" t="s">
        <v>419</v>
      </c>
      <c r="AF101" s="36"/>
      <c r="AG101" s="36">
        <v>1</v>
      </c>
      <c r="AH101" s="36"/>
      <c r="AI101" s="461"/>
      <c r="AJ101" s="36"/>
      <c r="AK101" s="36"/>
      <c r="AL101" s="36"/>
      <c r="AM101" s="36">
        <f>SUM(AF101:AL101)+AT101+AV101+AX101</f>
        <v>1</v>
      </c>
      <c r="AN101" s="83"/>
      <c r="AO101" s="36"/>
      <c r="AP101" s="36"/>
      <c r="AQ101" s="36"/>
      <c r="AR101" s="36">
        <f>SUM(AN101:AQ101)</f>
        <v>0</v>
      </c>
      <c r="AS101" s="36"/>
      <c r="AT101" s="36"/>
      <c r="AU101" s="36"/>
      <c r="AV101" s="36"/>
      <c r="AW101" s="36"/>
      <c r="AX101" s="36"/>
      <c r="AY101" s="36"/>
      <c r="AZ101" s="36"/>
      <c r="BA101" s="36">
        <f>+AR101+AS101+AU101+AW101+AY101+AZ101</f>
        <v>0</v>
      </c>
      <c r="BB101" s="49"/>
      <c r="BC101" s="50">
        <v>1</v>
      </c>
      <c r="BD101" s="50"/>
      <c r="BE101" s="50"/>
      <c r="BF101" s="50"/>
    </row>
    <row r="102" spans="1:58" ht="12.95" customHeight="1">
      <c r="A102" s="39"/>
      <c r="B102" s="40"/>
      <c r="C102" s="416"/>
      <c r="D102" s="40"/>
      <c r="E102" s="41"/>
      <c r="F102" s="41"/>
      <c r="G102" s="42"/>
      <c r="H102" s="534"/>
      <c r="I102" s="44"/>
      <c r="J102" s="82"/>
      <c r="K102" s="82"/>
      <c r="L102" s="34"/>
      <c r="M102" s="34"/>
      <c r="N102" s="45"/>
      <c r="O102" s="46"/>
      <c r="P102" s="47"/>
      <c r="Q102" s="46"/>
      <c r="R102" s="384"/>
      <c r="S102" s="384"/>
      <c r="T102" s="36"/>
      <c r="U102" s="36"/>
      <c r="V102" s="36"/>
      <c r="W102" s="36"/>
      <c r="X102" s="37"/>
      <c r="Y102" s="208"/>
      <c r="Z102" s="615"/>
      <c r="AA102" s="36"/>
      <c r="AB102" s="36"/>
      <c r="AC102" s="36"/>
      <c r="AD102" s="36">
        <f>+AM102+BA102</f>
        <v>26</v>
      </c>
      <c r="AE102" s="225" t="s">
        <v>446</v>
      </c>
      <c r="AF102" s="32"/>
      <c r="AG102" s="32"/>
      <c r="AH102" s="32">
        <v>26</v>
      </c>
      <c r="AJ102" s="36"/>
      <c r="AK102" s="36"/>
      <c r="AL102" s="36"/>
      <c r="AM102" s="36">
        <f>SUM(AF102:AL102)+AT102+AV102+AX102</f>
        <v>26</v>
      </c>
      <c r="AN102" s="36"/>
      <c r="AO102" s="36"/>
      <c r="AP102" s="36"/>
      <c r="AQ102" s="36"/>
      <c r="AR102" s="36">
        <f>SUM(AN102:AQ102)</f>
        <v>0</v>
      </c>
      <c r="AS102" s="36"/>
      <c r="AT102" s="36"/>
      <c r="AU102" s="36"/>
      <c r="AV102" s="36"/>
      <c r="AW102" s="36"/>
      <c r="AX102" s="36"/>
      <c r="AY102" s="36"/>
      <c r="AZ102" s="36"/>
      <c r="BA102" s="36">
        <f>+AR102+AS102+AU102+AW102+AY102+AZ102</f>
        <v>0</v>
      </c>
      <c r="BB102" s="32"/>
      <c r="BC102" s="52"/>
      <c r="BD102" s="50"/>
      <c r="BE102" s="50"/>
      <c r="BF102" s="50"/>
    </row>
    <row r="103" spans="1:58" ht="12.95" customHeight="1">
      <c r="A103" s="39"/>
      <c r="B103" s="40"/>
      <c r="C103" s="416"/>
      <c r="D103" s="40"/>
      <c r="E103" s="41"/>
      <c r="F103" s="41"/>
      <c r="G103" s="42"/>
      <c r="H103" s="534"/>
      <c r="I103" s="44"/>
      <c r="J103" s="82"/>
      <c r="K103" s="82"/>
      <c r="L103" s="34"/>
      <c r="M103" s="34"/>
      <c r="N103" s="45"/>
      <c r="O103" s="46"/>
      <c r="P103" s="47"/>
      <c r="Q103" s="46"/>
      <c r="R103" s="384"/>
      <c r="S103" s="384"/>
      <c r="T103" s="36"/>
      <c r="U103" s="36"/>
      <c r="V103" s="36"/>
      <c r="W103" s="36"/>
      <c r="X103" s="381"/>
      <c r="Y103" s="208"/>
      <c r="Z103" s="615"/>
      <c r="AA103" s="48"/>
      <c r="AB103" s="48"/>
      <c r="AC103" s="36"/>
      <c r="AD103" s="36">
        <f>+AM103+BA103</f>
        <v>8</v>
      </c>
      <c r="AE103" s="225" t="s">
        <v>679</v>
      </c>
      <c r="AF103" s="36"/>
      <c r="AG103" s="36"/>
      <c r="AH103" s="36"/>
      <c r="AI103" s="36"/>
      <c r="AJ103" s="36">
        <v>8</v>
      </c>
      <c r="AK103" s="36"/>
      <c r="AL103" s="36"/>
      <c r="AM103" s="36">
        <f>SUM(AF103:AL103)+AT103+AV103+AX103</f>
        <v>8</v>
      </c>
      <c r="AN103" s="36"/>
      <c r="AO103" s="36"/>
      <c r="AP103" s="36"/>
      <c r="AQ103" s="36"/>
      <c r="AR103" s="36">
        <f>SUM(AN103:AQ103)</f>
        <v>0</v>
      </c>
      <c r="AS103" s="36"/>
      <c r="AT103" s="36"/>
      <c r="AU103" s="36"/>
      <c r="AV103" s="36"/>
      <c r="AW103" s="36"/>
      <c r="AX103" s="36"/>
      <c r="AY103" s="36"/>
      <c r="AZ103" s="36"/>
      <c r="BA103" s="36">
        <f>+AR103+AS103+AU103+AW103+AY103+AZ103</f>
        <v>0</v>
      </c>
      <c r="BB103" s="32"/>
      <c r="BC103" s="52"/>
      <c r="BD103" s="50"/>
      <c r="BE103" s="50"/>
      <c r="BF103" s="50"/>
    </row>
    <row r="104" spans="1:58" ht="12.95" customHeight="1">
      <c r="A104" s="39"/>
      <c r="B104" s="40"/>
      <c r="C104" s="416"/>
      <c r="D104" s="40"/>
      <c r="E104" s="41"/>
      <c r="F104" s="41"/>
      <c r="G104" s="459"/>
      <c r="H104" s="534"/>
      <c r="I104" s="44"/>
      <c r="J104" s="82"/>
      <c r="K104" s="82"/>
      <c r="L104" s="34"/>
      <c r="M104" s="34"/>
      <c r="N104" s="45"/>
      <c r="O104" s="46"/>
      <c r="P104" s="47"/>
      <c r="Q104" s="46"/>
      <c r="R104" s="384"/>
      <c r="S104" s="384"/>
      <c r="T104" s="36"/>
      <c r="U104" s="36"/>
      <c r="V104" s="36"/>
      <c r="W104" s="36"/>
      <c r="X104" s="381"/>
      <c r="Y104" s="36"/>
      <c r="Z104" s="615"/>
      <c r="AA104" s="48"/>
      <c r="AB104" s="48"/>
      <c r="AC104" s="36"/>
      <c r="AD104" s="36"/>
      <c r="AE104" s="225"/>
      <c r="AF104" s="36"/>
      <c r="AG104" s="36"/>
      <c r="AH104" s="36"/>
      <c r="AI104" s="461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2"/>
      <c r="BC104" s="50"/>
      <c r="BD104" s="50"/>
      <c r="BE104" s="50"/>
      <c r="BF104" s="50"/>
    </row>
    <row r="105" spans="1:58" ht="12.95" customHeight="1">
      <c r="A105" s="39">
        <v>46135</v>
      </c>
      <c r="B105" s="40" t="s">
        <v>649</v>
      </c>
      <c r="C105" s="416">
        <f>(M105*E105*O105*Q105)/100000000</f>
        <v>51.081029999999998</v>
      </c>
      <c r="D105" s="40" t="s">
        <v>276</v>
      </c>
      <c r="E105" s="41">
        <v>13</v>
      </c>
      <c r="F105" s="41">
        <v>1</v>
      </c>
      <c r="G105" s="459">
        <v>1350</v>
      </c>
      <c r="H105" s="534">
        <f>+N105</f>
        <v>0.25</v>
      </c>
      <c r="I105" s="44">
        <v>0.88</v>
      </c>
      <c r="J105" s="82">
        <f>E105*G105*(1-H105)*1440/1000000*2.87</f>
        <v>54.397980000000004</v>
      </c>
      <c r="K105" s="82">
        <f>(IF(G105&lt;L105,L105,G105)*(1-IF(H105&lt;N105,H105,N105))*E105*O105*Q105)/100000000</f>
        <v>51.081029999999998</v>
      </c>
      <c r="L105" s="34">
        <v>1350</v>
      </c>
      <c r="M105" s="34">
        <v>1012.5</v>
      </c>
      <c r="N105" s="45">
        <f>1-(M105/L105)</f>
        <v>0.25</v>
      </c>
      <c r="O105" s="46">
        <f>+'Trim Rwd'!H69</f>
        <v>269.5</v>
      </c>
      <c r="P105" s="47">
        <f>O105*(Q105-R105-S105)</f>
        <v>382690</v>
      </c>
      <c r="Q105" s="46">
        <v>1440</v>
      </c>
      <c r="R105" s="384">
        <v>0</v>
      </c>
      <c r="S105" s="384">
        <v>20</v>
      </c>
      <c r="T105" s="36">
        <f>E105*M105*O105*Q105/100000000</f>
        <v>51.081029999999998</v>
      </c>
      <c r="U105" s="36">
        <f>E105*M105*O105*(Q105-R105-S105)/100000000</f>
        <v>50.371571250000002</v>
      </c>
      <c r="V105" s="36">
        <f>E105*G105*(1-N105)*O105/100*(R105+S105)/1000000</f>
        <v>0.70945875000000003</v>
      </c>
      <c r="W105" s="36">
        <f>+'23'!K34/1000</f>
        <v>47.997</v>
      </c>
      <c r="X105" s="37">
        <f>SUM(W105:W108)/SUM(K105:K108)</f>
        <v>0.93962474914855865</v>
      </c>
      <c r="Y105" s="36">
        <v>0</v>
      </c>
      <c r="Z105" s="615">
        <f>+'23'!D34/1000</f>
        <v>0.28000000000000003</v>
      </c>
      <c r="AA105" s="36">
        <f>SUM(U105:U108)-SUM(W105:W108)-SUM(Z105:Z108)-SUM(Y105:Y108)</f>
        <v>2.0945712500000022</v>
      </c>
      <c r="AB105" s="36">
        <f>(SUM(K105:K108)-SUM(W105:W108)-SUM(Y105:Y108)-SUM(Z105:Z108)-SUM(AC105:AC108)-SUM(V105:V108))-AA105</f>
        <v>-3.9968028886505635E-15</v>
      </c>
      <c r="AC105" s="36">
        <f>K105-T105</f>
        <v>0</v>
      </c>
      <c r="AD105" s="36">
        <f>+AM105+BA105</f>
        <v>0</v>
      </c>
      <c r="AE105" s="225" t="s">
        <v>385</v>
      </c>
      <c r="AF105" s="36">
        <v>0</v>
      </c>
      <c r="AG105" s="36"/>
      <c r="AH105" s="36"/>
      <c r="AI105" s="461"/>
      <c r="AJ105" s="36"/>
      <c r="AK105" s="36"/>
      <c r="AL105" s="36"/>
      <c r="AM105" s="36">
        <f>SUM(AF105:AL105)+AT105+AV105+AX105</f>
        <v>0</v>
      </c>
      <c r="AN105" s="83"/>
      <c r="AO105" s="36"/>
      <c r="AP105" s="36"/>
      <c r="AQ105" s="36"/>
      <c r="AR105" s="36">
        <f>SUM(AN105:AQ105)</f>
        <v>0</v>
      </c>
      <c r="AS105" s="36"/>
      <c r="AT105" s="36"/>
      <c r="AU105" s="36"/>
      <c r="AV105" s="36"/>
      <c r="AW105" s="36"/>
      <c r="AX105" s="36"/>
      <c r="AY105" s="36"/>
      <c r="AZ105" s="36"/>
      <c r="BA105" s="36">
        <f>+AR105+AS105+AU105+AW105+AY105+AZ105</f>
        <v>0</v>
      </c>
      <c r="BB105" s="49">
        <v>0</v>
      </c>
      <c r="BC105" s="50"/>
      <c r="BD105" s="50"/>
      <c r="BE105" s="50"/>
      <c r="BF105" s="50"/>
    </row>
    <row r="106" spans="1:58" ht="12.95" customHeight="1">
      <c r="A106" s="39"/>
      <c r="B106" s="40"/>
      <c r="C106" s="416"/>
      <c r="D106" s="40"/>
      <c r="E106" s="41"/>
      <c r="F106" s="41"/>
      <c r="G106" s="42"/>
      <c r="H106" s="534"/>
      <c r="I106" s="44"/>
      <c r="J106" s="82"/>
      <c r="K106" s="82"/>
      <c r="L106" s="34"/>
      <c r="M106" s="34"/>
      <c r="N106" s="45"/>
      <c r="O106" s="46"/>
      <c r="P106" s="47"/>
      <c r="Q106" s="46"/>
      <c r="R106" s="384"/>
      <c r="S106" s="384"/>
      <c r="T106" s="36"/>
      <c r="U106" s="36"/>
      <c r="V106" s="36"/>
      <c r="W106" s="36"/>
      <c r="X106" s="37"/>
      <c r="Y106" s="208"/>
      <c r="Z106" s="615"/>
      <c r="AA106" s="36"/>
      <c r="AB106" s="36"/>
      <c r="AC106" s="36"/>
      <c r="AD106" s="36">
        <f>+AM106+BA106</f>
        <v>0</v>
      </c>
      <c r="AE106" s="225" t="s">
        <v>399</v>
      </c>
      <c r="AF106" s="32"/>
      <c r="AG106" s="32">
        <v>0</v>
      </c>
      <c r="AH106" s="32"/>
      <c r="AJ106" s="36"/>
      <c r="AK106" s="36"/>
      <c r="AL106" s="36"/>
      <c r="AM106" s="36">
        <f>SUM(AF106:AL106)+AT106+AV106+AX106</f>
        <v>0</v>
      </c>
      <c r="AN106" s="36"/>
      <c r="AO106" s="36"/>
      <c r="AP106" s="36"/>
      <c r="AQ106" s="36"/>
      <c r="AR106" s="36">
        <f>SUM(AN106:AQ106)</f>
        <v>0</v>
      </c>
      <c r="AS106" s="36"/>
      <c r="AT106" s="36"/>
      <c r="AU106" s="36"/>
      <c r="AV106" s="36"/>
      <c r="AW106" s="36"/>
      <c r="AX106" s="36"/>
      <c r="AY106" s="36"/>
      <c r="AZ106" s="36"/>
      <c r="BA106" s="36">
        <f>+AR106+AS106+AU106+AW106+AY106+AZ106</f>
        <v>0</v>
      </c>
      <c r="BB106" s="32"/>
      <c r="BC106" s="52">
        <v>0</v>
      </c>
      <c r="BD106" s="50"/>
      <c r="BE106" s="50"/>
      <c r="BF106" s="50"/>
    </row>
    <row r="107" spans="1:58" ht="12.95" customHeight="1">
      <c r="A107" s="39"/>
      <c r="B107" s="40"/>
      <c r="C107" s="416"/>
      <c r="D107" s="40"/>
      <c r="E107" s="41"/>
      <c r="F107" s="41"/>
      <c r="G107" s="459"/>
      <c r="H107" s="534"/>
      <c r="I107" s="44"/>
      <c r="J107" s="82"/>
      <c r="K107" s="82"/>
      <c r="L107" s="34"/>
      <c r="M107" s="34"/>
      <c r="N107" s="45"/>
      <c r="O107" s="46"/>
      <c r="P107" s="47"/>
      <c r="Q107" s="46"/>
      <c r="R107" s="384"/>
      <c r="S107" s="384"/>
      <c r="T107" s="36"/>
      <c r="U107" s="36"/>
      <c r="V107" s="36"/>
      <c r="W107" s="36"/>
      <c r="X107" s="37"/>
      <c r="Y107" s="208"/>
      <c r="Z107" s="615"/>
      <c r="AA107" s="48"/>
      <c r="AB107" s="48"/>
      <c r="AC107" s="36"/>
      <c r="AD107" s="36">
        <f>+AM107+BA107</f>
        <v>20</v>
      </c>
      <c r="AE107" s="225" t="s">
        <v>541</v>
      </c>
      <c r="AF107" s="36"/>
      <c r="AG107" s="36"/>
      <c r="AH107" s="36">
        <v>20</v>
      </c>
      <c r="AI107" s="36"/>
      <c r="AJ107" s="36"/>
      <c r="AK107" s="36"/>
      <c r="AL107" s="36"/>
      <c r="AM107" s="36">
        <f>SUM(AF107:AL107)+AT107+AV107+AX107</f>
        <v>20</v>
      </c>
      <c r="AN107" s="36"/>
      <c r="AO107" s="36"/>
      <c r="AP107" s="36"/>
      <c r="AQ107" s="36"/>
      <c r="AR107" s="36">
        <f>SUM(AN107:AQ107)</f>
        <v>0</v>
      </c>
      <c r="AS107" s="36"/>
      <c r="AT107" s="36"/>
      <c r="AU107" s="36"/>
      <c r="AV107" s="36"/>
      <c r="AW107" s="36"/>
      <c r="AX107" s="36"/>
      <c r="AY107" s="36"/>
      <c r="AZ107" s="36"/>
      <c r="BA107" s="36">
        <f>+AR107+AS107+AU107+AW107+AY107+AZ107</f>
        <v>0</v>
      </c>
      <c r="BB107" s="32"/>
      <c r="BC107" s="50"/>
      <c r="BD107" s="50"/>
      <c r="BE107" s="50"/>
      <c r="BF107" s="50"/>
    </row>
    <row r="108" spans="1:58" ht="12.95" customHeight="1">
      <c r="A108" s="39"/>
      <c r="B108" s="40"/>
      <c r="C108" s="416"/>
      <c r="D108" s="40"/>
      <c r="E108" s="41"/>
      <c r="F108" s="41"/>
      <c r="G108" s="42"/>
      <c r="H108" s="534"/>
      <c r="I108" s="44"/>
      <c r="J108" s="82"/>
      <c r="K108" s="82"/>
      <c r="L108" s="34"/>
      <c r="M108" s="34"/>
      <c r="N108" s="45"/>
      <c r="O108" s="46"/>
      <c r="P108" s="47"/>
      <c r="Q108" s="46"/>
      <c r="R108" s="384"/>
      <c r="S108" s="384"/>
      <c r="T108" s="36"/>
      <c r="U108" s="36"/>
      <c r="V108" s="36"/>
      <c r="W108" s="36"/>
      <c r="X108" s="381"/>
      <c r="Y108" s="208"/>
      <c r="Z108" s="615"/>
      <c r="AA108" s="48"/>
      <c r="AB108" s="48"/>
      <c r="AC108" s="36"/>
      <c r="AD108" s="36"/>
      <c r="AE108" s="225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2"/>
      <c r="BC108" s="50"/>
      <c r="BD108" s="50"/>
      <c r="BE108" s="50"/>
      <c r="BF108" s="50"/>
    </row>
    <row r="109" spans="1:58" ht="12.95" customHeight="1">
      <c r="A109" s="39">
        <v>46136</v>
      </c>
      <c r="B109" s="40" t="s">
        <v>649</v>
      </c>
      <c r="C109" s="416">
        <f>(M109*E109*O109*Q109)/100000000</f>
        <v>51.081029999999998</v>
      </c>
      <c r="D109" s="40" t="s">
        <v>276</v>
      </c>
      <c r="E109" s="41">
        <v>13</v>
      </c>
      <c r="F109" s="41">
        <v>1</v>
      </c>
      <c r="G109" s="459">
        <v>1350</v>
      </c>
      <c r="H109" s="534">
        <f>+N109</f>
        <v>0.25</v>
      </c>
      <c r="I109" s="44">
        <v>0.88</v>
      </c>
      <c r="J109" s="82">
        <f>E109*G109*(1-H109)*1440/1000000*2.87</f>
        <v>54.397980000000004</v>
      </c>
      <c r="K109" s="82">
        <f>(IF(G109&lt;L109,L109,G109)*(1-IF(H109&lt;N109,H109,N109))*E109*O109*Q109)/100000000</f>
        <v>51.081029999999998</v>
      </c>
      <c r="L109" s="34">
        <v>1350</v>
      </c>
      <c r="M109" s="34">
        <v>1012.5</v>
      </c>
      <c r="N109" s="45">
        <f>1-(M109/L109)</f>
        <v>0.25</v>
      </c>
      <c r="O109" s="46">
        <f>+'Trim Rwd'!H71</f>
        <v>269.5</v>
      </c>
      <c r="P109" s="47">
        <f>O109*(Q109-R109-S109)</f>
        <v>381612</v>
      </c>
      <c r="Q109" s="46">
        <v>1440</v>
      </c>
      <c r="R109" s="384">
        <v>0</v>
      </c>
      <c r="S109" s="384">
        <v>24</v>
      </c>
      <c r="T109" s="36">
        <f>E109*M109*O109*Q109/100000000</f>
        <v>51.081029999999998</v>
      </c>
      <c r="U109" s="36">
        <f>E109*M109*O109*(Q109-R109-S109)/100000000</f>
        <v>50.229679500000003</v>
      </c>
      <c r="V109" s="36">
        <f>E109*G109*(1-N109)*O109/100*(R109+S109)/1000000</f>
        <v>0.85135050000000001</v>
      </c>
      <c r="W109" s="36">
        <f>+'24'!K34/1000</f>
        <v>53.771000000000001</v>
      </c>
      <c r="X109" s="381">
        <f>SUM(W109:W112)/SUM(K109:K112)</f>
        <v>1.0526608410206295</v>
      </c>
      <c r="Y109" s="36">
        <v>0</v>
      </c>
      <c r="Z109" s="615">
        <v>0</v>
      </c>
      <c r="AA109" s="48">
        <f>SUM(U109:U112)-SUM(W109:W112)-SUM(Z109:Z112)-SUM(Y109:Y112)</f>
        <v>-3.5413204999999977</v>
      </c>
      <c r="AB109" s="48">
        <f>(SUM(K109:K112)-SUM(W109:W112)-SUM(Y109:Y112)-SUM(Z109:Z112)-SUM(AC109:AC112)-SUM(V109:V112))-AA109</f>
        <v>-4.8849813083506888E-15</v>
      </c>
      <c r="AC109" s="36">
        <f>K109-T109</f>
        <v>0</v>
      </c>
      <c r="AD109" s="36">
        <f>+AM109+BA109</f>
        <v>0</v>
      </c>
      <c r="AE109" s="225" t="s">
        <v>385</v>
      </c>
      <c r="AF109" s="36">
        <v>0</v>
      </c>
      <c r="AG109" s="36"/>
      <c r="AH109" s="36"/>
      <c r="AI109" s="461"/>
      <c r="AJ109" s="36"/>
      <c r="AK109" s="36"/>
      <c r="AL109" s="36"/>
      <c r="AM109" s="36">
        <f>SUM(AF109:AL109)+AT109+AV109+AX109</f>
        <v>0</v>
      </c>
      <c r="AN109" s="36"/>
      <c r="AO109" s="36"/>
      <c r="AP109" s="36"/>
      <c r="AQ109" s="36"/>
      <c r="AR109" s="36">
        <f>SUM(AN109:AQ109)</f>
        <v>0</v>
      </c>
      <c r="AS109" s="36"/>
      <c r="AT109" s="36"/>
      <c r="AU109" s="36"/>
      <c r="AV109" s="36"/>
      <c r="AW109" s="36"/>
      <c r="AX109" s="36"/>
      <c r="AY109" s="36"/>
      <c r="AZ109" s="36"/>
      <c r="BA109" s="36">
        <f>+AR109+AS109+AU109+AW109+AY109+AZ109</f>
        <v>0</v>
      </c>
      <c r="BB109" s="32">
        <v>0</v>
      </c>
      <c r="BC109" s="50"/>
      <c r="BD109" s="50"/>
      <c r="BE109" s="50"/>
      <c r="BF109" s="50"/>
    </row>
    <row r="110" spans="1:58" ht="12.95" customHeight="1">
      <c r="A110" s="39"/>
      <c r="B110" s="531"/>
      <c r="C110" s="532"/>
      <c r="D110" s="531"/>
      <c r="E110" s="41"/>
      <c r="F110" s="41"/>
      <c r="G110" s="533"/>
      <c r="H110" s="534"/>
      <c r="I110" s="44"/>
      <c r="J110" s="82"/>
      <c r="K110" s="82"/>
      <c r="L110" s="535"/>
      <c r="M110" s="535"/>
      <c r="N110" s="45"/>
      <c r="O110" s="46"/>
      <c r="P110" s="47"/>
      <c r="Q110" s="46"/>
      <c r="R110" s="536"/>
      <c r="S110" s="536"/>
      <c r="T110" s="36"/>
      <c r="U110" s="36"/>
      <c r="V110" s="36"/>
      <c r="W110" s="36"/>
      <c r="X110" s="37"/>
      <c r="Y110" s="208"/>
      <c r="Z110" s="615"/>
      <c r="AA110" s="36"/>
      <c r="AB110" s="36"/>
      <c r="AC110" s="36"/>
      <c r="AD110" s="36">
        <f>+AM110+BA110</f>
        <v>2</v>
      </c>
      <c r="AE110" s="225" t="s">
        <v>419</v>
      </c>
      <c r="AF110" s="36"/>
      <c r="AG110" s="36">
        <v>2</v>
      </c>
      <c r="AH110" s="36"/>
      <c r="AI110" s="461"/>
      <c r="AJ110" s="36"/>
      <c r="AK110" s="36"/>
      <c r="AL110" s="36"/>
      <c r="AM110" s="36">
        <f>SUM(AF110:AL110)+AT110+AV110+AX110</f>
        <v>2</v>
      </c>
      <c r="AN110" s="83"/>
      <c r="AO110" s="36"/>
      <c r="AP110" s="36"/>
      <c r="AQ110" s="36"/>
      <c r="AR110" s="36">
        <f>SUM(AN110:AQ110)</f>
        <v>0</v>
      </c>
      <c r="AS110" s="36"/>
      <c r="AT110" s="36"/>
      <c r="AU110" s="36"/>
      <c r="AV110" s="36"/>
      <c r="AW110" s="36"/>
      <c r="AX110" s="36"/>
      <c r="AY110" s="36"/>
      <c r="AZ110" s="36"/>
      <c r="BA110" s="36">
        <f>+AR110+AS110+AU110+AW110+AY110+AZ110</f>
        <v>0</v>
      </c>
      <c r="BB110" s="49"/>
      <c r="BC110" s="50">
        <v>1</v>
      </c>
      <c r="BD110" s="50"/>
      <c r="BE110" s="50"/>
      <c r="BF110" s="50"/>
    </row>
    <row r="111" spans="1:58" ht="12.95" customHeight="1">
      <c r="A111" s="39"/>
      <c r="B111" s="40"/>
      <c r="C111" s="416"/>
      <c r="D111" s="40"/>
      <c r="E111" s="41"/>
      <c r="F111" s="41"/>
      <c r="G111" s="42"/>
      <c r="H111" s="534"/>
      <c r="I111" s="44"/>
      <c r="J111" s="82"/>
      <c r="K111" s="82"/>
      <c r="L111" s="34"/>
      <c r="M111" s="34"/>
      <c r="N111" s="45"/>
      <c r="O111" s="46"/>
      <c r="P111" s="47"/>
      <c r="Q111" s="46"/>
      <c r="R111" s="384"/>
      <c r="S111" s="384"/>
      <c r="T111" s="36"/>
      <c r="U111" s="36"/>
      <c r="V111" s="36"/>
      <c r="W111" s="36"/>
      <c r="X111" s="37"/>
      <c r="Y111" s="208"/>
      <c r="Z111" s="615"/>
      <c r="AA111" s="36"/>
      <c r="AB111" s="36"/>
      <c r="AC111" s="36"/>
      <c r="AD111" s="36">
        <f>+AM111+BA111</f>
        <v>22</v>
      </c>
      <c r="AE111" s="225" t="s">
        <v>675</v>
      </c>
      <c r="AF111" s="32"/>
      <c r="AG111" s="32"/>
      <c r="AH111" s="32">
        <v>22</v>
      </c>
      <c r="AJ111" s="36"/>
      <c r="AK111" s="36"/>
      <c r="AL111" s="36"/>
      <c r="AM111" s="36">
        <f>SUM(AF111:AL111)+AT111+AV111+AX111</f>
        <v>22</v>
      </c>
      <c r="AN111" s="36"/>
      <c r="AO111" s="36"/>
      <c r="AP111" s="36"/>
      <c r="AQ111" s="36"/>
      <c r="AR111" s="36">
        <f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>
        <f>+AR111+AS111+AU111+AW111+AY111+AZ111</f>
        <v>0</v>
      </c>
      <c r="BB111" s="32"/>
      <c r="BC111" s="52"/>
      <c r="BD111" s="52"/>
      <c r="BE111" s="32"/>
      <c r="BF111" s="52"/>
    </row>
    <row r="112" spans="1:58" ht="12.95" customHeight="1">
      <c r="A112" s="39"/>
      <c r="B112" s="40"/>
      <c r="C112" s="416"/>
      <c r="D112" s="40"/>
      <c r="E112" s="41"/>
      <c r="F112" s="41"/>
      <c r="G112" s="459"/>
      <c r="H112" s="534"/>
      <c r="I112" s="44"/>
      <c r="J112" s="82"/>
      <c r="K112" s="82"/>
      <c r="L112" s="34"/>
      <c r="M112" s="34"/>
      <c r="N112" s="45"/>
      <c r="O112" s="46"/>
      <c r="P112" s="47"/>
      <c r="Q112" s="46"/>
      <c r="R112" s="384"/>
      <c r="S112" s="384"/>
      <c r="T112" s="36"/>
      <c r="U112" s="36"/>
      <c r="V112" s="36"/>
      <c r="W112" s="36"/>
      <c r="X112" s="37"/>
      <c r="Y112" s="208"/>
      <c r="Z112" s="615"/>
      <c r="AA112" s="48"/>
      <c r="AB112" s="48"/>
      <c r="AC112" s="36"/>
      <c r="AD112" s="36"/>
      <c r="AE112" s="225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2"/>
      <c r="BC112" s="50"/>
      <c r="BD112" s="50"/>
      <c r="BE112" s="50"/>
      <c r="BF112" s="50"/>
    </row>
    <row r="113" spans="1:58" ht="12.95" customHeight="1">
      <c r="A113" s="39">
        <v>46137</v>
      </c>
      <c r="B113" s="40" t="s">
        <v>649</v>
      </c>
      <c r="C113" s="416">
        <f>(M113*E113*O113*Q113)/100000000</f>
        <v>51.081029999999998</v>
      </c>
      <c r="D113" s="40" t="s">
        <v>276</v>
      </c>
      <c r="E113" s="41">
        <v>13</v>
      </c>
      <c r="F113" s="41">
        <v>1</v>
      </c>
      <c r="G113" s="459">
        <v>1350</v>
      </c>
      <c r="H113" s="534">
        <f>+N113</f>
        <v>0.25</v>
      </c>
      <c r="I113" s="44">
        <v>0.88</v>
      </c>
      <c r="J113" s="82">
        <f>E113*G113*(1-H113)*1440/1000000*2.87</f>
        <v>54.397980000000004</v>
      </c>
      <c r="K113" s="82">
        <f>(IF(G113&lt;L113,L113,G113)*(1-IF(H113&lt;N113,H113,N113))*E113*O113*Q113)/100000000</f>
        <v>51.081029999999998</v>
      </c>
      <c r="L113" s="34">
        <v>1350</v>
      </c>
      <c r="M113" s="34">
        <v>1012.5</v>
      </c>
      <c r="N113" s="45">
        <f>1-(M113/L113)</f>
        <v>0.25</v>
      </c>
      <c r="O113" s="46">
        <f>+'Trim Rwd'!H73</f>
        <v>269.5</v>
      </c>
      <c r="P113" s="47">
        <f>O113*(Q113-R113-S113)</f>
        <v>381612</v>
      </c>
      <c r="Q113" s="46">
        <v>1440</v>
      </c>
      <c r="R113" s="384">
        <v>0</v>
      </c>
      <c r="S113" s="384">
        <v>24</v>
      </c>
      <c r="T113" s="36">
        <f>E113*M113*O113*Q113/100000000</f>
        <v>51.081029999999998</v>
      </c>
      <c r="U113" s="36">
        <f>E113*M113*O113*(Q113-R113-S113)/100000000</f>
        <v>50.229679500000003</v>
      </c>
      <c r="V113" s="36">
        <f>E113*G113*(1-N113)*O113/100*(R113+S113)/1000000</f>
        <v>0.85135050000000001</v>
      </c>
      <c r="W113" s="36">
        <f>+'25'!K34/1000</f>
        <v>43.970999999999997</v>
      </c>
      <c r="X113" s="381">
        <f>SUM(W113:W116)/SUM(K113:K116)</f>
        <v>0.86080879731673376</v>
      </c>
      <c r="Y113" s="36">
        <v>0</v>
      </c>
      <c r="Z113" s="615">
        <f>+'25'!D34/1000</f>
        <v>0.28000000000000003</v>
      </c>
      <c r="AA113" s="48">
        <f>SUM(U113:U116)-SUM(W113:W116)-SUM(Z113:Z116)-SUM(Y113:Y116)</f>
        <v>5.9786795000000064</v>
      </c>
      <c r="AB113" s="48">
        <f>(SUM(K113:K116)-SUM(W113:W116)-SUM(Y113:Y116)-SUM(Z113:Z116)-SUM(AC113:AC116)-SUM(V113:V116))-AA113</f>
        <v>0</v>
      </c>
      <c r="AC113" s="36">
        <f>K113-T113</f>
        <v>0</v>
      </c>
      <c r="AD113" s="36">
        <f>+AM113+BA113</f>
        <v>0</v>
      </c>
      <c r="AE113" s="225" t="s">
        <v>385</v>
      </c>
      <c r="AF113" s="36">
        <v>0</v>
      </c>
      <c r="AG113" s="36"/>
      <c r="AH113" s="36"/>
      <c r="AI113" s="461"/>
      <c r="AJ113" s="36"/>
      <c r="AK113" s="36"/>
      <c r="AL113" s="36"/>
      <c r="AM113" s="36">
        <f>SUM(AF113:AL113)+AT113+AV113+AX113</f>
        <v>0</v>
      </c>
      <c r="AN113" s="36"/>
      <c r="AO113" s="36"/>
      <c r="AP113" s="36"/>
      <c r="AQ113" s="36"/>
      <c r="AR113" s="36">
        <f>SUM(AN113:AQ113)</f>
        <v>0</v>
      </c>
      <c r="AS113" s="36"/>
      <c r="AT113" s="36"/>
      <c r="AU113" s="36"/>
      <c r="AV113" s="36"/>
      <c r="AW113" s="36"/>
      <c r="AX113" s="36"/>
      <c r="AY113" s="36"/>
      <c r="AZ113" s="36"/>
      <c r="BA113" s="36">
        <f>+AR113+AS113+AU113+AW113+AY113+AZ113</f>
        <v>0</v>
      </c>
      <c r="BB113" s="32">
        <v>0</v>
      </c>
      <c r="BC113" s="50"/>
      <c r="BD113" s="50"/>
      <c r="BE113" s="50"/>
      <c r="BF113" s="50"/>
    </row>
    <row r="114" spans="1:58" ht="12.95" customHeight="1">
      <c r="A114" s="39"/>
      <c r="B114" s="531"/>
      <c r="C114" s="532"/>
      <c r="D114" s="531"/>
      <c r="E114" s="41"/>
      <c r="F114" s="41"/>
      <c r="G114" s="533"/>
      <c r="H114" s="534"/>
      <c r="I114" s="44"/>
      <c r="J114" s="82"/>
      <c r="K114" s="82"/>
      <c r="L114" s="535"/>
      <c r="M114" s="535"/>
      <c r="N114" s="45"/>
      <c r="O114" s="46"/>
      <c r="P114" s="47"/>
      <c r="Q114" s="46"/>
      <c r="R114" s="536"/>
      <c r="S114" s="536"/>
      <c r="T114" s="36"/>
      <c r="U114" s="36"/>
      <c r="V114" s="36"/>
      <c r="W114" s="36"/>
      <c r="X114" s="37"/>
      <c r="Y114" s="208"/>
      <c r="Z114" s="615"/>
      <c r="AA114" s="36"/>
      <c r="AB114" s="36"/>
      <c r="AC114" s="36"/>
      <c r="AD114" s="36">
        <f>+AM114+BA114</f>
        <v>3</v>
      </c>
      <c r="AE114" s="225" t="s">
        <v>420</v>
      </c>
      <c r="AF114" s="36"/>
      <c r="AG114" s="36">
        <v>3</v>
      </c>
      <c r="AH114" s="36"/>
      <c r="AI114" s="461"/>
      <c r="AJ114" s="36"/>
      <c r="AK114" s="36"/>
      <c r="AL114" s="36"/>
      <c r="AM114" s="36">
        <f>SUM(AF114:AL114)+AT114+AV114+AX114</f>
        <v>3</v>
      </c>
      <c r="AN114" s="83"/>
      <c r="AO114" s="36"/>
      <c r="AP114" s="36"/>
      <c r="AQ114" s="36"/>
      <c r="AR114" s="36">
        <f>SUM(AN114:AQ114)</f>
        <v>0</v>
      </c>
      <c r="AS114" s="36"/>
      <c r="AT114" s="36"/>
      <c r="AU114" s="36"/>
      <c r="AV114" s="36"/>
      <c r="AW114" s="36"/>
      <c r="AX114" s="36"/>
      <c r="AY114" s="36"/>
      <c r="AZ114" s="36"/>
      <c r="BA114" s="36">
        <f>+AR114+AS114+AU114+AW114+AY114+AZ114</f>
        <v>0</v>
      </c>
      <c r="BB114" s="49"/>
      <c r="BC114" s="50">
        <v>2</v>
      </c>
      <c r="BD114" s="50"/>
      <c r="BE114" s="50"/>
      <c r="BF114" s="50"/>
    </row>
    <row r="115" spans="1:58" ht="12.95" customHeight="1">
      <c r="A115" s="39"/>
      <c r="B115" s="40"/>
      <c r="C115" s="416"/>
      <c r="D115" s="40"/>
      <c r="E115" s="41"/>
      <c r="F115" s="41"/>
      <c r="G115" s="42"/>
      <c r="H115" s="534"/>
      <c r="I115" s="44"/>
      <c r="J115" s="82"/>
      <c r="K115" s="82"/>
      <c r="L115" s="34"/>
      <c r="M115" s="34"/>
      <c r="N115" s="45"/>
      <c r="O115" s="46"/>
      <c r="P115" s="47"/>
      <c r="Q115" s="46"/>
      <c r="R115" s="384"/>
      <c r="S115" s="384"/>
      <c r="T115" s="36"/>
      <c r="U115" s="36"/>
      <c r="V115" s="36"/>
      <c r="W115" s="36"/>
      <c r="X115" s="37"/>
      <c r="Y115" s="208"/>
      <c r="Z115" s="615"/>
      <c r="AA115" s="36"/>
      <c r="AB115" s="36"/>
      <c r="AC115" s="36"/>
      <c r="AD115" s="36">
        <f>+AM115+BA115</f>
        <v>21</v>
      </c>
      <c r="AE115" s="225" t="s">
        <v>675</v>
      </c>
      <c r="AF115" s="32"/>
      <c r="AG115" s="32"/>
      <c r="AH115" s="32">
        <v>21</v>
      </c>
      <c r="AJ115" s="36"/>
      <c r="AK115" s="36"/>
      <c r="AL115" s="36"/>
      <c r="AM115" s="36">
        <f>SUM(AF115:AL115)+AT115+AV115+AX115</f>
        <v>21</v>
      </c>
      <c r="AN115" s="36"/>
      <c r="AO115" s="36"/>
      <c r="AP115" s="36"/>
      <c r="AQ115" s="36"/>
      <c r="AR115" s="36">
        <f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>
        <f>+AR115+AS115+AU115+AW115+AY115+AZ115</f>
        <v>0</v>
      </c>
      <c r="BB115" s="32"/>
      <c r="BC115" s="52"/>
      <c r="BD115" s="52"/>
      <c r="BE115" s="32"/>
      <c r="BF115" s="52"/>
    </row>
    <row r="116" spans="1:58" ht="12.95" customHeight="1">
      <c r="A116" s="39"/>
      <c r="B116" s="40"/>
      <c r="C116" s="416"/>
      <c r="D116" s="40"/>
      <c r="E116" s="41"/>
      <c r="F116" s="41"/>
      <c r="G116" s="459"/>
      <c r="H116" s="534"/>
      <c r="I116" s="44"/>
      <c r="J116" s="82"/>
      <c r="K116" s="82"/>
      <c r="L116" s="34"/>
      <c r="M116" s="34"/>
      <c r="N116" s="45"/>
      <c r="O116" s="46"/>
      <c r="P116" s="47"/>
      <c r="Q116" s="46"/>
      <c r="R116" s="384"/>
      <c r="S116" s="384"/>
      <c r="T116" s="36"/>
      <c r="U116" s="36"/>
      <c r="V116" s="36"/>
      <c r="W116" s="36"/>
      <c r="X116" s="37"/>
      <c r="Y116" s="208"/>
      <c r="Z116" s="615"/>
      <c r="AA116" s="48"/>
      <c r="AB116" s="48"/>
      <c r="AC116" s="36"/>
      <c r="AD116" s="36"/>
      <c r="AE116" s="225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2"/>
      <c r="BC116" s="50"/>
      <c r="BD116" s="50"/>
      <c r="BE116" s="50"/>
      <c r="BF116" s="50"/>
    </row>
    <row r="117" spans="1:58" ht="12.95" customHeight="1">
      <c r="A117" s="39">
        <v>46138</v>
      </c>
      <c r="B117" s="40" t="s">
        <v>649</v>
      </c>
      <c r="C117" s="416">
        <f>(M117*E117*O117*Q117)/100000000</f>
        <v>51.081029999999998</v>
      </c>
      <c r="D117" s="40" t="s">
        <v>276</v>
      </c>
      <c r="E117" s="41">
        <v>13</v>
      </c>
      <c r="F117" s="41">
        <v>1</v>
      </c>
      <c r="G117" s="459">
        <v>1350</v>
      </c>
      <c r="H117" s="534">
        <f>+N117</f>
        <v>0.25</v>
      </c>
      <c r="I117" s="44">
        <v>0.88</v>
      </c>
      <c r="J117" s="82">
        <f>E117*G117*(1-H117)*1440/1000000*2.87</f>
        <v>54.397980000000004</v>
      </c>
      <c r="K117" s="82">
        <f>(IF(G117&lt;L117,L117,G117)*(1-IF(H117&lt;N117,H117,N117))*E117*O117*Q117)/100000000</f>
        <v>51.081029999999998</v>
      </c>
      <c r="L117" s="34">
        <v>1350</v>
      </c>
      <c r="M117" s="34">
        <v>1012.5</v>
      </c>
      <c r="N117" s="45">
        <f>1-(M117/L117)</f>
        <v>0.25</v>
      </c>
      <c r="O117" s="46">
        <f>+'Trim Rwd'!H75</f>
        <v>269.5</v>
      </c>
      <c r="P117" s="47">
        <f>O117*(Q117-R117-S117)</f>
        <v>380803.5</v>
      </c>
      <c r="Q117" s="46">
        <v>1440</v>
      </c>
      <c r="R117" s="384">
        <v>0</v>
      </c>
      <c r="S117" s="384">
        <v>27</v>
      </c>
      <c r="T117" s="36">
        <f>E117*M117*O117*Q117/100000000</f>
        <v>51.081029999999998</v>
      </c>
      <c r="U117" s="36">
        <f>E117*M117*O117*(Q117-R117-S117)/100000000</f>
        <v>50.1232606875</v>
      </c>
      <c r="V117" s="36">
        <f>E117*G117*(1-N117)*O117/100*(R117+S117)/1000000</f>
        <v>0.95776931249999997</v>
      </c>
      <c r="W117" s="36">
        <f>+'26'!K34/1000</f>
        <v>45.142000000000003</v>
      </c>
      <c r="X117" s="381">
        <f>SUM(W117:W120)/SUM(K117:K120)</f>
        <v>0.88373315886543413</v>
      </c>
      <c r="Y117" s="36">
        <v>0</v>
      </c>
      <c r="Z117" s="615">
        <v>0</v>
      </c>
      <c r="AA117" s="48">
        <f>SUM(U117:U120)-SUM(W117:W120)-SUM(Z117:Z120)-SUM(Y117:Y120)</f>
        <v>4.9812606874999972</v>
      </c>
      <c r="AB117" s="48">
        <f>(SUM(K117:K120)-SUM(W117:W120)-SUM(Y117:Y120)-SUM(Z117:Z120)-SUM(AC117:AC120)-SUM(V117:V120))-AA117</f>
        <v>0</v>
      </c>
      <c r="AC117" s="36">
        <f>K117-T117</f>
        <v>0</v>
      </c>
      <c r="AD117" s="36">
        <f>+AM117+BA117</f>
        <v>0</v>
      </c>
      <c r="AE117" s="225" t="s">
        <v>385</v>
      </c>
      <c r="AF117" s="36">
        <v>0</v>
      </c>
      <c r="AG117" s="36"/>
      <c r="AH117" s="36"/>
      <c r="AI117" s="461"/>
      <c r="AJ117" s="36"/>
      <c r="AK117" s="36"/>
      <c r="AL117" s="36"/>
      <c r="AM117" s="36">
        <f>SUM(AF117:AL117)+AT117+AV117+AX117</f>
        <v>0</v>
      </c>
      <c r="AN117" s="36"/>
      <c r="AO117" s="36"/>
      <c r="AP117" s="36"/>
      <c r="AQ117" s="36"/>
      <c r="AR117" s="36">
        <f>SUM(AN117:AQ117)</f>
        <v>0</v>
      </c>
      <c r="AS117" s="36"/>
      <c r="AT117" s="36"/>
      <c r="AU117" s="36"/>
      <c r="AV117" s="36"/>
      <c r="AW117" s="36"/>
      <c r="AX117" s="36"/>
      <c r="AY117" s="36"/>
      <c r="AZ117" s="36"/>
      <c r="BA117" s="36">
        <f>+AR117+AS117+AU117+AW117+AY117+AZ117</f>
        <v>0</v>
      </c>
      <c r="BB117" s="32">
        <v>0</v>
      </c>
      <c r="BC117" s="50"/>
      <c r="BD117" s="50"/>
      <c r="BE117" s="50"/>
      <c r="BF117" s="50"/>
    </row>
    <row r="118" spans="1:58" ht="12.95" customHeight="1">
      <c r="A118" s="39"/>
      <c r="B118" s="531"/>
      <c r="C118" s="532"/>
      <c r="D118" s="531"/>
      <c r="E118" s="41"/>
      <c r="F118" s="41"/>
      <c r="G118" s="533"/>
      <c r="H118" s="534"/>
      <c r="I118" s="44"/>
      <c r="J118" s="82"/>
      <c r="K118" s="82"/>
      <c r="L118" s="535"/>
      <c r="M118" s="535"/>
      <c r="N118" s="45"/>
      <c r="O118" s="46"/>
      <c r="P118" s="47"/>
      <c r="Q118" s="46"/>
      <c r="R118" s="536"/>
      <c r="S118" s="536"/>
      <c r="T118" s="36"/>
      <c r="U118" s="36"/>
      <c r="V118" s="36"/>
      <c r="W118" s="36"/>
      <c r="X118" s="37"/>
      <c r="Y118" s="208"/>
      <c r="Z118" s="615"/>
      <c r="AA118" s="36"/>
      <c r="AB118" s="36"/>
      <c r="AC118" s="36"/>
      <c r="AD118" s="36">
        <f>+AM118+BA118</f>
        <v>1</v>
      </c>
      <c r="AE118" s="225" t="s">
        <v>419</v>
      </c>
      <c r="AF118" s="36"/>
      <c r="AG118" s="36">
        <v>1</v>
      </c>
      <c r="AH118" s="36"/>
      <c r="AI118" s="461"/>
      <c r="AJ118" s="36"/>
      <c r="AK118" s="36"/>
      <c r="AL118" s="36"/>
      <c r="AM118" s="36">
        <f>SUM(AF118:AL118)+AT118+AV118+AX118</f>
        <v>1</v>
      </c>
      <c r="AN118" s="83"/>
      <c r="AO118" s="36"/>
      <c r="AP118" s="36"/>
      <c r="AQ118" s="36"/>
      <c r="AR118" s="36">
        <f>SUM(AN118:AQ118)</f>
        <v>0</v>
      </c>
      <c r="AS118" s="36"/>
      <c r="AT118" s="36"/>
      <c r="AU118" s="36"/>
      <c r="AV118" s="36"/>
      <c r="AW118" s="36"/>
      <c r="AX118" s="36"/>
      <c r="AY118" s="36"/>
      <c r="AZ118" s="36"/>
      <c r="BA118" s="36">
        <f>+AR118+AS118+AU118+AW118+AY118+AZ118</f>
        <v>0</v>
      </c>
      <c r="BB118" s="49"/>
      <c r="BC118" s="50">
        <v>1</v>
      </c>
      <c r="BD118" s="50"/>
      <c r="BE118" s="50"/>
      <c r="BF118" s="50"/>
    </row>
    <row r="119" spans="1:58" ht="12.95" customHeight="1">
      <c r="A119" s="39"/>
      <c r="B119" s="40"/>
      <c r="C119" s="416"/>
      <c r="D119" s="40"/>
      <c r="E119" s="41"/>
      <c r="F119" s="41"/>
      <c r="G119" s="42"/>
      <c r="H119" s="534"/>
      <c r="I119" s="44"/>
      <c r="J119" s="82"/>
      <c r="K119" s="82"/>
      <c r="L119" s="34"/>
      <c r="M119" s="34"/>
      <c r="N119" s="45"/>
      <c r="O119" s="46"/>
      <c r="P119" s="47"/>
      <c r="Q119" s="46"/>
      <c r="R119" s="384"/>
      <c r="S119" s="384"/>
      <c r="T119" s="36"/>
      <c r="U119" s="36"/>
      <c r="V119" s="36"/>
      <c r="W119" s="36"/>
      <c r="X119" s="37"/>
      <c r="Y119" s="208"/>
      <c r="Z119" s="615"/>
      <c r="AA119" s="36"/>
      <c r="AB119" s="36"/>
      <c r="AC119" s="36"/>
      <c r="AD119" s="36">
        <f>+AM119+BA119</f>
        <v>26</v>
      </c>
      <c r="AE119" s="225" t="s">
        <v>675</v>
      </c>
      <c r="AF119" s="32"/>
      <c r="AG119" s="32"/>
      <c r="AH119" s="32">
        <v>26</v>
      </c>
      <c r="AJ119" s="36"/>
      <c r="AK119" s="36"/>
      <c r="AL119" s="36"/>
      <c r="AM119" s="36">
        <f>SUM(AF119:AL119)+AT119+AV119+AX119</f>
        <v>26</v>
      </c>
      <c r="AN119" s="36"/>
      <c r="AO119" s="36"/>
      <c r="AP119" s="36"/>
      <c r="AQ119" s="36"/>
      <c r="AR119" s="36">
        <f>SUM(AN119:AQ119)</f>
        <v>0</v>
      </c>
      <c r="AS119" s="36"/>
      <c r="AT119" s="36"/>
      <c r="AU119" s="36"/>
      <c r="AV119" s="36"/>
      <c r="AW119" s="36"/>
      <c r="AX119" s="36"/>
      <c r="AY119" s="36"/>
      <c r="AZ119" s="36"/>
      <c r="BA119" s="36">
        <f>+AR119+AS119+AU119+AW119+AY119+AZ119</f>
        <v>0</v>
      </c>
      <c r="BB119" s="32"/>
      <c r="BC119" s="52"/>
      <c r="BD119" s="52"/>
      <c r="BE119" s="32"/>
      <c r="BF119" s="52"/>
    </row>
    <row r="120" spans="1:58" ht="12.95" customHeight="1">
      <c r="A120" s="39"/>
      <c r="B120" s="40"/>
      <c r="C120" s="416"/>
      <c r="D120" s="40"/>
      <c r="E120" s="41"/>
      <c r="F120" s="41"/>
      <c r="G120" s="459"/>
      <c r="H120" s="534"/>
      <c r="I120" s="44"/>
      <c r="J120" s="82"/>
      <c r="K120" s="82"/>
      <c r="L120" s="34"/>
      <c r="M120" s="34"/>
      <c r="N120" s="45"/>
      <c r="O120" s="46"/>
      <c r="P120" s="47"/>
      <c r="Q120" s="46"/>
      <c r="R120" s="384"/>
      <c r="S120" s="384"/>
      <c r="T120" s="36"/>
      <c r="U120" s="36"/>
      <c r="V120" s="36"/>
      <c r="W120" s="36"/>
      <c r="X120" s="37"/>
      <c r="Y120" s="208"/>
      <c r="Z120" s="615"/>
      <c r="AA120" s="48"/>
      <c r="AB120" s="48"/>
      <c r="AC120" s="36"/>
      <c r="AD120" s="36"/>
      <c r="AE120" s="225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2"/>
      <c r="BC120" s="50"/>
      <c r="BD120" s="50"/>
      <c r="BE120" s="50"/>
      <c r="BF120" s="50"/>
    </row>
    <row r="121" spans="1:58" ht="12.95" customHeight="1">
      <c r="A121" s="39">
        <v>46139</v>
      </c>
      <c r="B121" s="40" t="s">
        <v>649</v>
      </c>
      <c r="C121" s="416">
        <f>(M121*E121*O121*Q121)/100000000</f>
        <v>41.609755687499998</v>
      </c>
      <c r="D121" s="40" t="s">
        <v>276</v>
      </c>
      <c r="E121" s="41">
        <v>13</v>
      </c>
      <c r="F121" s="41">
        <v>1</v>
      </c>
      <c r="G121" s="459">
        <v>1350</v>
      </c>
      <c r="H121" s="534">
        <f>+N121</f>
        <v>0.25</v>
      </c>
      <c r="I121" s="44">
        <v>0.88</v>
      </c>
      <c r="J121" s="82">
        <f>E121*G121*(1-H121)*1440/1000000*2.87</f>
        <v>54.397980000000004</v>
      </c>
      <c r="K121" s="82">
        <f>(IF(G121&lt;L121,L121,G121)*(1-IF(H121&lt;N121,H121,N121))*E121*O121*Q121)/100000000</f>
        <v>41.609755687499998</v>
      </c>
      <c r="L121" s="34">
        <v>1350</v>
      </c>
      <c r="M121" s="34">
        <f>+L121-L121*0.25</f>
        <v>1012.5</v>
      </c>
      <c r="N121" s="45">
        <f>1-(M121/L121)</f>
        <v>0.25</v>
      </c>
      <c r="O121" s="46">
        <f>+'Trim Rwd'!H77</f>
        <v>269.5</v>
      </c>
      <c r="P121" s="47">
        <f>O121*(Q121-R121-S121)</f>
        <v>256833.5</v>
      </c>
      <c r="Q121" s="46">
        <v>1173</v>
      </c>
      <c r="R121" s="384">
        <v>200</v>
      </c>
      <c r="S121" s="384">
        <v>20</v>
      </c>
      <c r="T121" s="36">
        <f>E121*M121*O121*Q121/100000000</f>
        <v>41.609755687499998</v>
      </c>
      <c r="U121" s="36">
        <f>E121*M121*O121*(Q121-R121-S121)/100000000</f>
        <v>33.805709437499999</v>
      </c>
      <c r="V121" s="36">
        <f>E121*G121*(1-N121)*O121/100*(R121+S121)/1000000</f>
        <v>7.8040462499999999</v>
      </c>
      <c r="W121" s="36">
        <f>+'27'!K9/1000</f>
        <v>42.764000000000003</v>
      </c>
      <c r="X121" s="381">
        <f>SUM(W121:W124)/SUM(K121:K124)</f>
        <v>0.98523372841485601</v>
      </c>
      <c r="Y121" s="36">
        <v>0</v>
      </c>
      <c r="Z121" s="615">
        <v>0</v>
      </c>
      <c r="AA121" s="48">
        <f>SUM(U121:U124)-SUM(W121:W124)-SUM(Z121:Z124)-SUM(Y121:Y124)</f>
        <v>-7.950090562500006</v>
      </c>
      <c r="AB121" s="48">
        <f>(SUM(K121:K124)-SUM(W121:W124)-SUM(Y121:Y124)-SUM(Z121:Z124)-SUM(AC121:AC124)-SUM(V121:V124))-AA121</f>
        <v>-8.8200000000036027E-3</v>
      </c>
      <c r="AC121" s="36">
        <f>K121-T121</f>
        <v>0</v>
      </c>
      <c r="AD121" s="36">
        <f>+AM121+BA121</f>
        <v>0</v>
      </c>
      <c r="AE121" s="225" t="s">
        <v>385</v>
      </c>
      <c r="AF121" s="36">
        <v>0</v>
      </c>
      <c r="AG121" s="36"/>
      <c r="AH121" s="36"/>
      <c r="AI121" s="461"/>
      <c r="AJ121" s="36"/>
      <c r="AK121" s="36"/>
      <c r="AL121" s="36"/>
      <c r="AM121" s="36">
        <f>SUM(AF121:AL121)+AT121+AV121+AX121</f>
        <v>0</v>
      </c>
      <c r="AN121" s="36"/>
      <c r="AO121" s="36"/>
      <c r="AP121" s="36"/>
      <c r="AQ121" s="36"/>
      <c r="AR121" s="36">
        <f>SUM(AN121:AQ121)</f>
        <v>0</v>
      </c>
      <c r="AS121" s="36"/>
      <c r="AT121" s="36"/>
      <c r="AU121" s="36"/>
      <c r="AV121" s="36"/>
      <c r="AW121" s="36"/>
      <c r="AX121" s="36"/>
      <c r="AY121" s="36"/>
      <c r="AZ121" s="36"/>
      <c r="BA121" s="36">
        <f>+AR121+AS121+AU121+AW121+AY121+AZ121</f>
        <v>0</v>
      </c>
      <c r="BB121" s="32">
        <v>0</v>
      </c>
      <c r="BC121" s="50"/>
      <c r="BD121" s="50"/>
      <c r="BE121" s="50"/>
      <c r="BF121" s="50"/>
    </row>
    <row r="122" spans="1:58" ht="12.95" customHeight="1">
      <c r="A122" s="39"/>
      <c r="B122" s="40" t="s">
        <v>649</v>
      </c>
      <c r="C122" s="416">
        <f>(M122*E122*O122*Q122)/100000000</f>
        <v>9.0833399999999997</v>
      </c>
      <c r="D122" s="40" t="s">
        <v>276</v>
      </c>
      <c r="E122" s="41">
        <v>12</v>
      </c>
      <c r="F122" s="41">
        <v>1</v>
      </c>
      <c r="G122" s="459">
        <v>1400</v>
      </c>
      <c r="H122" s="534">
        <f>+N122</f>
        <v>0.25</v>
      </c>
      <c r="I122" s="44">
        <v>0.88</v>
      </c>
      <c r="J122" s="82">
        <f>E122*G122*(1-H122)*1440/1000000*2.87</f>
        <v>52.073279999999997</v>
      </c>
      <c r="K122" s="82">
        <f>(IF(G122&lt;L122,L122,G122)*(1-IF(H122&lt;N122,H122,N122))*E122*O122*Q122)/100000000</f>
        <v>9.4197600000000001</v>
      </c>
      <c r="L122" s="34">
        <v>1350</v>
      </c>
      <c r="M122" s="34">
        <f>+L122-L122*0.25</f>
        <v>1012.5</v>
      </c>
      <c r="N122" s="45">
        <f>1-(M122/L122)</f>
        <v>0.25</v>
      </c>
      <c r="O122" s="46">
        <f>+'Trim Rwd'!H78</f>
        <v>280</v>
      </c>
      <c r="P122" s="47">
        <f>O122*(Q122-R122-S122)</f>
        <v>72800</v>
      </c>
      <c r="Q122" s="46">
        <v>267</v>
      </c>
      <c r="R122" s="384">
        <v>0</v>
      </c>
      <c r="S122" s="384">
        <v>7</v>
      </c>
      <c r="T122" s="36">
        <f>E122*M122*O122*Q122/100000000</f>
        <v>9.0833399999999997</v>
      </c>
      <c r="U122" s="36">
        <f>E122*M122*O122*(Q122-R122-S122)/100000000</f>
        <v>8.8452000000000002</v>
      </c>
      <c r="V122" s="36">
        <f>E122*G122*(1-N122)*O122/100*(R122+S122)/1000000</f>
        <v>0.24696000000000001</v>
      </c>
      <c r="W122" s="36">
        <f>+'27'!K19/1000</f>
        <v>7.5119999999999996</v>
      </c>
      <c r="X122" s="37"/>
      <c r="Y122" s="208"/>
      <c r="Z122" s="615">
        <f>+'27'!D26/1000</f>
        <v>0.32500000000000001</v>
      </c>
      <c r="AA122" s="36"/>
      <c r="AB122" s="36"/>
      <c r="AC122" s="36">
        <f>K122-T122</f>
        <v>0.33642000000000039</v>
      </c>
      <c r="AD122" s="36">
        <f>+AM122+BA122</f>
        <v>2</v>
      </c>
      <c r="AE122" s="225" t="s">
        <v>420</v>
      </c>
      <c r="AF122" s="36"/>
      <c r="AG122" s="36">
        <v>2</v>
      </c>
      <c r="AH122" s="36"/>
      <c r="AI122" s="461"/>
      <c r="AJ122" s="36"/>
      <c r="AK122" s="36"/>
      <c r="AL122" s="36"/>
      <c r="AM122" s="36">
        <f>SUM(AF122:AL122)+AT122+AV122+AX122</f>
        <v>2</v>
      </c>
      <c r="AN122" s="83"/>
      <c r="AO122" s="36"/>
      <c r="AP122" s="36"/>
      <c r="AQ122" s="36"/>
      <c r="AR122" s="36">
        <f>SUM(AN122:AQ122)</f>
        <v>0</v>
      </c>
      <c r="AS122" s="36"/>
      <c r="AT122" s="36"/>
      <c r="AU122" s="36"/>
      <c r="AV122" s="36"/>
      <c r="AW122" s="36"/>
      <c r="AX122" s="36"/>
      <c r="AY122" s="36"/>
      <c r="AZ122" s="36"/>
      <c r="BA122" s="36">
        <f>+AR122+AS122+AU122+AW122+AY122+AZ122</f>
        <v>0</v>
      </c>
      <c r="BB122" s="49"/>
      <c r="BC122" s="50">
        <v>2</v>
      </c>
      <c r="BD122" s="50"/>
      <c r="BE122" s="50"/>
      <c r="BF122" s="50"/>
    </row>
    <row r="123" spans="1:58" ht="12.95" customHeight="1">
      <c r="A123" s="39"/>
      <c r="B123" s="40"/>
      <c r="C123" s="416"/>
      <c r="D123" s="40"/>
      <c r="E123" s="41"/>
      <c r="F123" s="41"/>
      <c r="G123" s="42"/>
      <c r="H123" s="534"/>
      <c r="I123" s="44"/>
      <c r="J123" s="82"/>
      <c r="K123" s="82"/>
      <c r="L123" s="34"/>
      <c r="M123" s="34"/>
      <c r="N123" s="45"/>
      <c r="O123" s="46"/>
      <c r="P123" s="47"/>
      <c r="Q123" s="46"/>
      <c r="R123" s="384"/>
      <c r="S123" s="384"/>
      <c r="T123" s="36"/>
      <c r="U123" s="36"/>
      <c r="V123" s="36"/>
      <c r="W123" s="36"/>
      <c r="X123" s="37"/>
      <c r="Y123" s="208"/>
      <c r="Z123" s="615"/>
      <c r="AA123" s="36"/>
      <c r="AB123" s="36"/>
      <c r="AC123" s="36"/>
      <c r="AD123" s="36">
        <f>+AM123+BA123</f>
        <v>25</v>
      </c>
      <c r="AE123" s="225" t="s">
        <v>541</v>
      </c>
      <c r="AF123" s="32"/>
      <c r="AG123" s="32"/>
      <c r="AH123" s="32">
        <v>25</v>
      </c>
      <c r="AJ123" s="36"/>
      <c r="AK123" s="36"/>
      <c r="AL123" s="36"/>
      <c r="AM123" s="36">
        <f>SUM(AF123:AL123)+AT123+AV123+AX123</f>
        <v>25</v>
      </c>
      <c r="AN123" s="36"/>
      <c r="AO123" s="36"/>
      <c r="AP123" s="36"/>
      <c r="AQ123" s="36"/>
      <c r="AR123" s="36">
        <f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>
        <f>+AR123+AS123+AU123+AW123+AY123+AZ123</f>
        <v>0</v>
      </c>
      <c r="BB123" s="32"/>
      <c r="BC123" s="52"/>
      <c r="BD123" s="52"/>
      <c r="BE123" s="32"/>
      <c r="BF123" s="52"/>
    </row>
    <row r="124" spans="1:58" ht="12.95" customHeight="1">
      <c r="A124" s="39"/>
      <c r="B124" s="40"/>
      <c r="C124" s="416"/>
      <c r="D124" s="40"/>
      <c r="E124" s="41"/>
      <c r="F124" s="41"/>
      <c r="G124" s="459"/>
      <c r="H124" s="534"/>
      <c r="I124" s="44"/>
      <c r="J124" s="82"/>
      <c r="K124" s="82"/>
      <c r="L124" s="34"/>
      <c r="M124" s="34"/>
      <c r="N124" s="45"/>
      <c r="O124" s="46"/>
      <c r="P124" s="47"/>
      <c r="Q124" s="46"/>
      <c r="R124" s="384"/>
      <c r="S124" s="384"/>
      <c r="T124" s="36"/>
      <c r="U124" s="36"/>
      <c r="V124" s="36"/>
      <c r="W124" s="36"/>
      <c r="X124" s="37"/>
      <c r="Y124" s="208"/>
      <c r="Z124" s="615"/>
      <c r="AA124" s="48"/>
      <c r="AB124" s="48"/>
      <c r="AC124" s="36"/>
      <c r="AD124" s="36">
        <f>+AM124+BA124</f>
        <v>200</v>
      </c>
      <c r="AE124" s="427" t="s">
        <v>716</v>
      </c>
      <c r="AF124" s="36"/>
      <c r="AG124" s="36"/>
      <c r="AH124" s="36"/>
      <c r="AI124" s="36"/>
      <c r="AJ124" s="36"/>
      <c r="AK124" s="36"/>
      <c r="AL124" s="36"/>
      <c r="AM124" s="36">
        <f>SUM(AF124:AL124)+AT124+AV124+AX124</f>
        <v>0</v>
      </c>
      <c r="AN124" s="36">
        <v>200</v>
      </c>
      <c r="AO124" s="36"/>
      <c r="AP124" s="36"/>
      <c r="AQ124" s="36"/>
      <c r="AR124" s="36">
        <f>SUM(AN124:AQ124)</f>
        <v>200</v>
      </c>
      <c r="AS124" s="36"/>
      <c r="AT124" s="36"/>
      <c r="AU124" s="36"/>
      <c r="AV124" s="36"/>
      <c r="AW124" s="36"/>
      <c r="AX124" s="36"/>
      <c r="AY124" s="36"/>
      <c r="AZ124" s="36"/>
      <c r="BA124" s="36">
        <f>+AR124+AS124+AU124+AW124+AY124+AZ124</f>
        <v>200</v>
      </c>
      <c r="BB124" s="32"/>
      <c r="BC124" s="52"/>
      <c r="BD124" s="52"/>
      <c r="BE124" s="32"/>
      <c r="BF124" s="52">
        <v>1</v>
      </c>
    </row>
    <row r="125" spans="1:58" ht="12.95" customHeight="1">
      <c r="A125" s="39"/>
      <c r="B125" s="40"/>
      <c r="C125" s="416"/>
      <c r="D125" s="40"/>
      <c r="E125" s="41"/>
      <c r="F125" s="41"/>
      <c r="G125" s="459"/>
      <c r="H125" s="534"/>
      <c r="I125" s="44"/>
      <c r="J125" s="82"/>
      <c r="K125" s="82"/>
      <c r="L125" s="34"/>
      <c r="M125" s="34"/>
      <c r="N125" s="45"/>
      <c r="O125" s="46"/>
      <c r="P125" s="47"/>
      <c r="Q125" s="46"/>
      <c r="R125" s="384"/>
      <c r="S125" s="384"/>
      <c r="T125" s="36"/>
      <c r="U125" s="36"/>
      <c r="V125" s="36"/>
      <c r="W125" s="36"/>
      <c r="X125" s="37"/>
      <c r="Y125" s="208"/>
      <c r="Z125" s="615"/>
      <c r="AA125" s="36"/>
      <c r="AB125" s="36"/>
      <c r="AC125" s="36"/>
      <c r="AD125" s="36"/>
      <c r="AE125" s="225"/>
      <c r="AF125" s="36"/>
      <c r="AG125" s="36"/>
      <c r="AH125" s="36"/>
      <c r="AI125" s="461"/>
      <c r="AJ125" s="36"/>
      <c r="AK125" s="36"/>
      <c r="AL125" s="36"/>
      <c r="AM125" s="36"/>
      <c r="AN125" s="83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49"/>
      <c r="BC125" s="50"/>
      <c r="BD125" s="50"/>
      <c r="BE125" s="50"/>
      <c r="BF125" s="50"/>
    </row>
    <row r="126" spans="1:58" ht="12.95" customHeight="1">
      <c r="A126" s="39">
        <v>46140</v>
      </c>
      <c r="B126" s="40" t="s">
        <v>649</v>
      </c>
      <c r="C126" s="416">
        <f>(M126*E126*O126*Q126)/100000000</f>
        <v>39.682943999999999</v>
      </c>
      <c r="D126" s="40" t="s">
        <v>276</v>
      </c>
      <c r="E126" s="41">
        <v>14</v>
      </c>
      <c r="F126" s="41">
        <v>1</v>
      </c>
      <c r="G126" s="459">
        <v>1350</v>
      </c>
      <c r="H126" s="534">
        <f>+N126</f>
        <v>0.25</v>
      </c>
      <c r="I126" s="44">
        <v>0.88</v>
      </c>
      <c r="J126" s="82">
        <f>E126*G126*(1-H126)*1440/1000000*2.87</f>
        <v>58.582439999999998</v>
      </c>
      <c r="K126" s="82">
        <f>(IF(G126&lt;L126,L126,G126)*(1-IF(H126&lt;N126,H126,N126))*E126*O126*Q126)/100000000</f>
        <v>41.853104999999999</v>
      </c>
      <c r="L126" s="34">
        <v>1280</v>
      </c>
      <c r="M126" s="34">
        <f t="shared" ref="M126:M128" si="0">+L126-L126*0.25</f>
        <v>960</v>
      </c>
      <c r="N126" s="45">
        <f>1-(M126/L126)</f>
        <v>0.25</v>
      </c>
      <c r="O126" s="46">
        <f>+'Trim Rwd'!H81</f>
        <v>266</v>
      </c>
      <c r="P126" s="47">
        <f>O126*(Q126-R126-S126)</f>
        <v>146300</v>
      </c>
      <c r="Q126" s="46">
        <f>570+540</f>
        <v>1110</v>
      </c>
      <c r="R126" s="384">
        <v>540</v>
      </c>
      <c r="S126" s="384">
        <v>20</v>
      </c>
      <c r="T126" s="36">
        <f>E126*M126*O126*Q126/100000000</f>
        <v>39.682943999999999</v>
      </c>
      <c r="U126" s="36">
        <f>E126*M126*O126*(Q126-R126-S126)/100000000</f>
        <v>19.66272</v>
      </c>
      <c r="V126" s="36">
        <f>E126*G126*(1-N126)*O126/100*(R126+S126)/1000000</f>
        <v>21.115079999999999</v>
      </c>
      <c r="W126" s="36">
        <f>+'28'!K20/1000</f>
        <v>18.329999999999998</v>
      </c>
      <c r="X126" s="381">
        <f>SUM(W126:W129)/SUM(K126:K129)</f>
        <v>0.4267926946479671</v>
      </c>
      <c r="Y126" s="36">
        <v>0</v>
      </c>
      <c r="Z126" s="615">
        <v>0</v>
      </c>
      <c r="AA126" s="48">
        <f>SUM(U126:U129)-SUM(W126:W129)-SUM(Z126:Z129)-SUM(Y126:Y129)</f>
        <v>3.3819727999999998</v>
      </c>
      <c r="AB126" s="48">
        <f>(SUM(K126:K129)-SUM(W126:W129)-SUM(Y126:Y129)-SUM(Z126:Z129)-SUM(AC126:AC129)-SUM(V126:V129))-AA126</f>
        <v>-1.5196712999999917</v>
      </c>
      <c r="AC126" s="36">
        <f>K126-T126</f>
        <v>2.1701610000000002</v>
      </c>
      <c r="AD126" s="36">
        <f>+AM126+BA126</f>
        <v>0</v>
      </c>
      <c r="AE126" s="225" t="s">
        <v>385</v>
      </c>
      <c r="AF126" s="36">
        <v>0</v>
      </c>
      <c r="AG126" s="36"/>
      <c r="AH126" s="36"/>
      <c r="AI126" s="461"/>
      <c r="AJ126" s="36"/>
      <c r="AK126" s="36"/>
      <c r="AL126" s="36"/>
      <c r="AM126" s="36">
        <f>SUM(AF126:AL126)+AT126+AV126+AX126</f>
        <v>0</v>
      </c>
      <c r="AN126" s="36"/>
      <c r="AO126" s="36"/>
      <c r="AP126" s="36"/>
      <c r="AQ126" s="36"/>
      <c r="AR126" s="36">
        <f>SUM(AN126:AQ126)</f>
        <v>0</v>
      </c>
      <c r="AS126" s="36"/>
      <c r="AT126" s="36"/>
      <c r="AU126" s="36"/>
      <c r="AV126" s="36"/>
      <c r="AW126" s="36"/>
      <c r="AX126" s="36"/>
      <c r="AY126" s="36"/>
      <c r="AZ126" s="36"/>
      <c r="BA126" s="36">
        <f>+AR126+AS126+AU126+AW126+AY126+AZ126</f>
        <v>0</v>
      </c>
      <c r="BB126" s="32">
        <v>0</v>
      </c>
      <c r="BC126" s="50"/>
      <c r="BD126" s="50"/>
      <c r="BE126" s="50"/>
      <c r="BF126" s="50"/>
    </row>
    <row r="127" spans="1:58" ht="12.95" customHeight="1">
      <c r="A127" s="39"/>
      <c r="B127" s="40" t="s">
        <v>649</v>
      </c>
      <c r="C127" s="416">
        <f>(M127*E127*O127*Q127)/100000000</f>
        <v>9.8804160000000003</v>
      </c>
      <c r="D127" s="40" t="s">
        <v>276</v>
      </c>
      <c r="E127" s="41">
        <v>13</v>
      </c>
      <c r="F127" s="41">
        <v>1</v>
      </c>
      <c r="G127" s="459">
        <v>1400</v>
      </c>
      <c r="H127" s="534">
        <f>+N127</f>
        <v>0.25</v>
      </c>
      <c r="I127" s="44">
        <v>0.88</v>
      </c>
      <c r="J127" s="82">
        <f>E127*G127*(1-H127)*1440/1000000*2.87</f>
        <v>56.41272</v>
      </c>
      <c r="K127" s="82">
        <f>(IF(G127&lt;L127,L127,G127)*(1-IF(H127&lt;N127,H127,N127))*E127*O127*Q127)/100000000</f>
        <v>10.806704999999999</v>
      </c>
      <c r="L127" s="34">
        <v>1280</v>
      </c>
      <c r="M127" s="34">
        <f t="shared" si="0"/>
        <v>960</v>
      </c>
      <c r="N127" s="45">
        <f>1-(M127/L127)</f>
        <v>0.25</v>
      </c>
      <c r="O127" s="46">
        <f>+'Trim Rwd'!H82</f>
        <v>273</v>
      </c>
      <c r="P127" s="47">
        <f>O127*(Q127-R127-S127)</f>
        <v>42861</v>
      </c>
      <c r="Q127" s="46">
        <v>290</v>
      </c>
      <c r="R127" s="384">
        <v>133</v>
      </c>
      <c r="S127" s="384">
        <v>0</v>
      </c>
      <c r="T127" s="36">
        <f>E127*M127*O127*Q127/100000000</f>
        <v>9.8804160000000003</v>
      </c>
      <c r="U127" s="36">
        <f>E127*M127*O127*(Q127-R127-S127)/100000000</f>
        <v>5.3490527999999999</v>
      </c>
      <c r="V127" s="36">
        <f>E127*G127*(1-N127)*O127/100*(R127+S127)/1000000</f>
        <v>4.9561785</v>
      </c>
      <c r="W127" s="36">
        <f>+'28'!K9/1000</f>
        <v>4.1059999999999999</v>
      </c>
      <c r="X127" s="37"/>
      <c r="Y127" s="208"/>
      <c r="Z127" s="615"/>
      <c r="AA127" s="36"/>
      <c r="AB127" s="36"/>
      <c r="AC127" s="36">
        <f>K127-T127</f>
        <v>0.92628899999999881</v>
      </c>
      <c r="AD127" s="36">
        <f>+AM127+BA127</f>
        <v>2</v>
      </c>
      <c r="AE127" s="225" t="s">
        <v>419</v>
      </c>
      <c r="AF127" s="36"/>
      <c r="AG127" s="36">
        <v>2</v>
      </c>
      <c r="AH127" s="36"/>
      <c r="AI127" s="461"/>
      <c r="AJ127" s="36"/>
      <c r="AK127" s="36"/>
      <c r="AL127" s="36"/>
      <c r="AM127" s="36">
        <f>SUM(AF127:AL127)+AT127+AV127+AX127</f>
        <v>2</v>
      </c>
      <c r="AN127" s="83"/>
      <c r="AO127" s="36"/>
      <c r="AP127" s="36"/>
      <c r="AQ127" s="36"/>
      <c r="AR127" s="36">
        <f>SUM(AN127:AQ127)</f>
        <v>0</v>
      </c>
      <c r="AS127" s="36"/>
      <c r="AT127" s="36"/>
      <c r="AU127" s="36"/>
      <c r="AV127" s="36"/>
      <c r="AW127" s="36"/>
      <c r="AX127" s="36"/>
      <c r="AY127" s="36"/>
      <c r="AZ127" s="36"/>
      <c r="BA127" s="36">
        <f>+AR127+AS127+AU127+AW127+AY127+AZ127</f>
        <v>0</v>
      </c>
      <c r="BB127" s="49"/>
      <c r="BC127" s="50">
        <v>2</v>
      </c>
      <c r="BD127" s="50"/>
      <c r="BE127" s="50"/>
      <c r="BF127" s="50"/>
    </row>
    <row r="128" spans="1:58" ht="12.95" customHeight="1">
      <c r="A128" s="39"/>
      <c r="B128" s="40" t="s">
        <v>610</v>
      </c>
      <c r="C128" s="416">
        <f>(M128*E128*O128*Q128)/100000000</f>
        <v>1.4742</v>
      </c>
      <c r="D128" s="40" t="s">
        <v>276</v>
      </c>
      <c r="E128" s="41">
        <v>15</v>
      </c>
      <c r="F128" s="41">
        <v>1</v>
      </c>
      <c r="G128" s="459">
        <v>1200</v>
      </c>
      <c r="H128" s="43">
        <f>+N128</f>
        <v>0.25</v>
      </c>
      <c r="I128" s="44">
        <v>0.88</v>
      </c>
      <c r="J128" s="82">
        <f>E128*G128*(1-H128)*1440/1000000*2.87</f>
        <v>55.792800000000007</v>
      </c>
      <c r="K128" s="82">
        <f>(IF(G128&lt;L128,L128,G128)*(1-IF(H128&lt;N128,H128,N128))*E128*O128*Q128)/100000000</f>
        <v>1.4742</v>
      </c>
      <c r="L128" s="34">
        <v>1200</v>
      </c>
      <c r="M128" s="34">
        <f t="shared" si="0"/>
        <v>900</v>
      </c>
      <c r="N128" s="45">
        <f>1-(M128/L128)</f>
        <v>0.25</v>
      </c>
      <c r="O128" s="46">
        <f>+'Trim Rwd'!H83</f>
        <v>273</v>
      </c>
      <c r="P128" s="47">
        <f>O128*(Q128-R128-S128)</f>
        <v>10920</v>
      </c>
      <c r="Q128" s="46">
        <v>40</v>
      </c>
      <c r="R128" s="384">
        <v>0</v>
      </c>
      <c r="S128" s="384">
        <v>0</v>
      </c>
      <c r="T128" s="36">
        <f>E128*M128*O128*Q128/100000000</f>
        <v>1.4742</v>
      </c>
      <c r="U128" s="36">
        <f>E128*M128*O128*(Q128-R128-S128)/100000000</f>
        <v>1.4742</v>
      </c>
      <c r="V128" s="36">
        <f>E128*G128*(1-N128)*O128/100*(R128+S128)/1000000</f>
        <v>0</v>
      </c>
      <c r="W128" s="36">
        <f>+'28'!K18/1000</f>
        <v>0</v>
      </c>
      <c r="X128" s="37"/>
      <c r="Y128" s="208"/>
      <c r="Z128" s="615"/>
      <c r="AA128" s="36"/>
      <c r="AB128" s="36"/>
      <c r="AC128" s="36">
        <f>K128-T128</f>
        <v>0</v>
      </c>
      <c r="AD128" s="36">
        <f>+AM128+BA128</f>
        <v>18</v>
      </c>
      <c r="AE128" s="225" t="s">
        <v>590</v>
      </c>
      <c r="AF128" s="32"/>
      <c r="AG128" s="32"/>
      <c r="AH128" s="32">
        <v>18</v>
      </c>
      <c r="AJ128" s="36"/>
      <c r="AK128" s="36"/>
      <c r="AL128" s="36"/>
      <c r="AM128" s="36">
        <f>SUM(AF128:AL128)+AT128+AV128+AX128</f>
        <v>18</v>
      </c>
      <c r="AN128" s="36"/>
      <c r="AO128" s="36"/>
      <c r="AP128" s="36"/>
      <c r="AQ128" s="36"/>
      <c r="AR128" s="36">
        <f>SUM(AN128:AQ128)</f>
        <v>0</v>
      </c>
      <c r="AS128" s="36"/>
      <c r="AT128" s="36"/>
      <c r="AU128" s="36"/>
      <c r="AV128" s="36"/>
      <c r="AW128" s="36"/>
      <c r="AX128" s="36"/>
      <c r="AY128" s="36"/>
      <c r="AZ128" s="36"/>
      <c r="BA128" s="36">
        <f>+AR128+AS128+AU128+AW128+AY128+AZ128</f>
        <v>0</v>
      </c>
      <c r="BB128" s="32"/>
      <c r="BC128" s="52"/>
      <c r="BD128" s="52"/>
      <c r="BE128" s="32"/>
      <c r="BF128" s="52"/>
    </row>
    <row r="129" spans="1:58" ht="12.95" customHeight="1">
      <c r="A129" s="39"/>
      <c r="B129" s="40" t="s">
        <v>649</v>
      </c>
      <c r="C129" s="416"/>
      <c r="D129" s="40"/>
      <c r="E129" s="41"/>
      <c r="F129" s="41"/>
      <c r="G129" s="459"/>
      <c r="H129" s="534"/>
      <c r="I129" s="44"/>
      <c r="J129" s="82"/>
      <c r="K129" s="82"/>
      <c r="L129" s="34"/>
      <c r="M129" s="34"/>
      <c r="N129" s="45"/>
      <c r="O129" s="46"/>
      <c r="P129" s="47"/>
      <c r="Q129" s="46"/>
      <c r="R129" s="384"/>
      <c r="S129" s="384"/>
      <c r="T129" s="36"/>
      <c r="U129" s="36"/>
      <c r="V129" s="36"/>
      <c r="W129" s="36">
        <f>+'28'!K19/1000</f>
        <v>0.66800000000000004</v>
      </c>
      <c r="X129" s="37"/>
      <c r="Y129" s="208"/>
      <c r="Z129" s="615"/>
      <c r="AA129" s="48"/>
      <c r="AB129" s="48"/>
      <c r="AC129" s="36">
        <f>K129-T129</f>
        <v>0</v>
      </c>
      <c r="AD129" s="36">
        <f>+AM129+BA129</f>
        <v>540</v>
      </c>
      <c r="AE129" s="228" t="s">
        <v>730</v>
      </c>
      <c r="AF129" s="36"/>
      <c r="AG129" s="36"/>
      <c r="AH129" s="36"/>
      <c r="AI129" s="36"/>
      <c r="AJ129" s="36"/>
      <c r="AK129" s="36"/>
      <c r="AL129" s="36"/>
      <c r="AM129" s="36">
        <f>SUM(AF129:AL129)+AT129+AV129+AX129</f>
        <v>0</v>
      </c>
      <c r="AN129" s="36"/>
      <c r="AO129" s="36"/>
      <c r="AP129" s="36"/>
      <c r="AQ129" s="36"/>
      <c r="AR129" s="36">
        <f>SUM(AN129:AQ129)</f>
        <v>0</v>
      </c>
      <c r="AS129" s="36">
        <v>540</v>
      </c>
      <c r="AT129" s="36"/>
      <c r="AU129" s="36"/>
      <c r="AV129" s="36"/>
      <c r="AW129" s="36"/>
      <c r="AX129" s="36"/>
      <c r="AY129" s="36"/>
      <c r="AZ129" s="36"/>
      <c r="BA129" s="36">
        <f>+AR129+AS129+AU129+AW129+AY129+AZ129</f>
        <v>540</v>
      </c>
      <c r="BB129" s="32"/>
      <c r="BC129" s="52"/>
      <c r="BD129" s="52"/>
      <c r="BE129" s="32"/>
      <c r="BF129" s="52"/>
    </row>
    <row r="130" spans="1:58" ht="12.95" customHeight="1">
      <c r="A130" s="39"/>
      <c r="B130" s="40"/>
      <c r="C130" s="416"/>
      <c r="D130" s="40"/>
      <c r="E130" s="41"/>
      <c r="F130" s="41"/>
      <c r="G130" s="459"/>
      <c r="H130" s="534"/>
      <c r="I130" s="44"/>
      <c r="J130" s="82"/>
      <c r="K130" s="82"/>
      <c r="L130" s="34"/>
      <c r="M130" s="34"/>
      <c r="N130" s="45"/>
      <c r="O130" s="46"/>
      <c r="P130" s="47"/>
      <c r="Q130" s="46"/>
      <c r="R130" s="384"/>
      <c r="S130" s="384"/>
      <c r="T130" s="36"/>
      <c r="U130" s="36"/>
      <c r="V130" s="36"/>
      <c r="W130" s="36"/>
      <c r="X130" s="37"/>
      <c r="Y130" s="208"/>
      <c r="Z130" s="615"/>
      <c r="AA130" s="36"/>
      <c r="AB130" s="36"/>
      <c r="AC130" s="36"/>
      <c r="AD130" s="36">
        <f>+AM130+BA130</f>
        <v>133</v>
      </c>
      <c r="AE130" s="228" t="s">
        <v>724</v>
      </c>
      <c r="AF130" s="36"/>
      <c r="AG130" s="36"/>
      <c r="AH130" s="36"/>
      <c r="AI130" s="461"/>
      <c r="AJ130" s="36"/>
      <c r="AK130" s="36"/>
      <c r="AL130" s="36"/>
      <c r="AM130" s="36">
        <f>SUM(AF130:AL130)+AT130+AV130+AX130</f>
        <v>0</v>
      </c>
      <c r="AN130" s="36"/>
      <c r="AO130" s="36"/>
      <c r="AP130" s="36"/>
      <c r="AQ130" s="36"/>
      <c r="AR130" s="36">
        <f>SUM(AN130:AQ130)</f>
        <v>0</v>
      </c>
      <c r="AS130" s="36"/>
      <c r="AT130" s="36"/>
      <c r="AU130" s="36"/>
      <c r="AV130" s="36"/>
      <c r="AW130" s="36">
        <v>133</v>
      </c>
      <c r="AX130" s="36"/>
      <c r="AY130" s="36"/>
      <c r="AZ130" s="36"/>
      <c r="BA130" s="36">
        <f>+AR130+AS130+AU130+AW130+AY130+AZ130</f>
        <v>133</v>
      </c>
      <c r="BB130" s="32"/>
      <c r="BC130" s="52"/>
      <c r="BD130" s="52">
        <v>1</v>
      </c>
      <c r="BE130" s="32"/>
      <c r="BF130" s="52"/>
    </row>
    <row r="131" spans="1:58" ht="12.95" customHeight="1">
      <c r="A131" s="39"/>
      <c r="B131" s="40"/>
      <c r="C131" s="416"/>
      <c r="D131" s="40"/>
      <c r="E131" s="41"/>
      <c r="F131" s="41"/>
      <c r="G131" s="42"/>
      <c r="H131" s="534"/>
      <c r="I131" s="44"/>
      <c r="J131" s="82"/>
      <c r="K131" s="82"/>
      <c r="L131" s="34"/>
      <c r="M131" s="34"/>
      <c r="N131" s="45"/>
      <c r="O131" s="46"/>
      <c r="P131" s="47"/>
      <c r="Q131" s="46"/>
      <c r="R131" s="384"/>
      <c r="S131" s="384"/>
      <c r="T131" s="36"/>
      <c r="U131" s="36"/>
      <c r="V131" s="36"/>
      <c r="W131" s="36"/>
      <c r="X131" s="37"/>
      <c r="Y131" s="208"/>
      <c r="Z131" s="615"/>
      <c r="AA131" s="36"/>
      <c r="AB131" s="36"/>
      <c r="AC131" s="36"/>
      <c r="AD131" s="36"/>
      <c r="AE131" s="225"/>
      <c r="AF131" s="32"/>
      <c r="AG131" s="32"/>
      <c r="AH131" s="32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2"/>
      <c r="BC131" s="52"/>
      <c r="BD131" s="50"/>
      <c r="BE131" s="50"/>
      <c r="BF131" s="50"/>
    </row>
    <row r="132" spans="1:58" ht="12.95" customHeight="1">
      <c r="A132" s="39">
        <v>46141</v>
      </c>
      <c r="B132" s="40" t="s">
        <v>610</v>
      </c>
      <c r="C132" s="416">
        <f>(M132*E132*O132*Q132)/100000000</f>
        <v>47.3202</v>
      </c>
      <c r="D132" s="40" t="s">
        <v>276</v>
      </c>
      <c r="E132" s="41">
        <v>15</v>
      </c>
      <c r="F132" s="41">
        <v>1</v>
      </c>
      <c r="G132" s="459">
        <v>1200</v>
      </c>
      <c r="H132" s="43">
        <f>+N132</f>
        <v>0.25</v>
      </c>
      <c r="I132" s="44">
        <v>0.88</v>
      </c>
      <c r="J132" s="82">
        <f>E132*G132*(1-H132)*1440/1000000*2.87</f>
        <v>55.792800000000007</v>
      </c>
      <c r="K132" s="82">
        <f>(IF(G132&lt;L132,L132,G132)*(1-IF(H132&lt;N132,H132,N132))*E132*O132*Q132)/100000000</f>
        <v>47.3202</v>
      </c>
      <c r="L132" s="34">
        <v>1200</v>
      </c>
      <c r="M132" s="34">
        <f t="shared" ref="M132:M133" si="1">+L132-L132*0.25</f>
        <v>900</v>
      </c>
      <c r="N132" s="45">
        <f>1-(M132/L132)</f>
        <v>0.25</v>
      </c>
      <c r="O132" s="46">
        <f>+'Trim Rwd'!H85</f>
        <v>276</v>
      </c>
      <c r="P132" s="47">
        <f>O132*(Q132-R132-S132)</f>
        <v>284280</v>
      </c>
      <c r="Q132" s="46">
        <v>1270</v>
      </c>
      <c r="R132" s="384">
        <v>220</v>
      </c>
      <c r="S132" s="384">
        <v>20</v>
      </c>
      <c r="T132" s="36">
        <f>E132*M132*O132*Q132/100000000</f>
        <v>47.3202</v>
      </c>
      <c r="U132" s="36">
        <f>E132*M132*O132*(Q132-R132-S132)/100000000</f>
        <v>38.377800000000001</v>
      </c>
      <c r="V132" s="36">
        <f>E132*G132*(1-N132)*O132/100*(R132+S132)/1000000</f>
        <v>8.9423999999999992</v>
      </c>
      <c r="W132" s="36">
        <f>+'29'!K18/1000</f>
        <v>38.301000000000002</v>
      </c>
      <c r="X132" s="381">
        <f>SUM(W132:W135)/SUM(K132:K135)</f>
        <v>0.75217360140008027</v>
      </c>
      <c r="Y132" s="36">
        <v>0</v>
      </c>
      <c r="Z132" s="615">
        <f>+'29'!D16/1000</f>
        <v>1.274</v>
      </c>
      <c r="AA132" s="48">
        <f>SUM(U132:U135)-SUM(W132:W135)-SUM(Z132:Z135)-SUM(Y132:Y135)</f>
        <v>2.7378672000000002</v>
      </c>
      <c r="AB132" s="48">
        <f>(SUM(K132:K135)-SUM(W132:W135)-SUM(Y132:Y135)-SUM(Z132:Z135)-SUM(AC132:AC135)-SUM(V132:V135))-AA132</f>
        <v>3.3119999999957628E-3</v>
      </c>
      <c r="AC132" s="36">
        <f>K132-T132</f>
        <v>0</v>
      </c>
      <c r="AD132" s="36">
        <f>+AM132+BA132</f>
        <v>0</v>
      </c>
      <c r="AE132" s="225" t="s">
        <v>385</v>
      </c>
      <c r="AF132" s="36">
        <v>0</v>
      </c>
      <c r="AG132" s="36"/>
      <c r="AH132" s="36"/>
      <c r="AI132" s="461"/>
      <c r="AJ132" s="36"/>
      <c r="AK132" s="36"/>
      <c r="AL132" s="36"/>
      <c r="AM132" s="36">
        <f>SUM(AF132:AL132)+AT132+AV132+AX132</f>
        <v>0</v>
      </c>
      <c r="AN132" s="36"/>
      <c r="AO132" s="36"/>
      <c r="AP132" s="36"/>
      <c r="AQ132" s="36"/>
      <c r="AR132" s="36">
        <f>SUM(AN132:AQ132)</f>
        <v>0</v>
      </c>
      <c r="AS132" s="36"/>
      <c r="AT132" s="36"/>
      <c r="AU132" s="36"/>
      <c r="AV132" s="36"/>
      <c r="AW132" s="36"/>
      <c r="AX132" s="36"/>
      <c r="AY132" s="36"/>
      <c r="AZ132" s="36"/>
      <c r="BA132" s="36">
        <f>+AR132+AS132+AU132+AW132+AY132+AZ132</f>
        <v>0</v>
      </c>
      <c r="BB132" s="32">
        <v>0</v>
      </c>
      <c r="BC132" s="50"/>
      <c r="BD132" s="50"/>
      <c r="BE132" s="50"/>
      <c r="BF132" s="50"/>
    </row>
    <row r="133" spans="1:58" ht="12.95" customHeight="1">
      <c r="A133" s="39"/>
      <c r="B133" s="40" t="s">
        <v>610</v>
      </c>
      <c r="C133" s="416">
        <f>(M133*E133*O133*Q133)/100000000</f>
        <v>6.5875680000000001</v>
      </c>
      <c r="D133" s="40" t="s">
        <v>276</v>
      </c>
      <c r="E133" s="41">
        <v>16</v>
      </c>
      <c r="F133" s="41">
        <v>1</v>
      </c>
      <c r="G133" s="459">
        <v>1120</v>
      </c>
      <c r="H133" s="534">
        <f>+N133</f>
        <v>0.25</v>
      </c>
      <c r="I133" s="44">
        <v>0.88</v>
      </c>
      <c r="J133" s="82">
        <f>E133*G133*(1-H133)*1440/1000000*2.87</f>
        <v>55.544832</v>
      </c>
      <c r="K133" s="82">
        <f>(IF(G133&lt;L133,L133,G133)*(1-IF(H133&lt;N133,H133,N133))*E133*O133*Q133)/100000000</f>
        <v>6.5875680000000001</v>
      </c>
      <c r="L133" s="34">
        <v>1170</v>
      </c>
      <c r="M133" s="34">
        <f t="shared" si="1"/>
        <v>877.5</v>
      </c>
      <c r="N133" s="45">
        <f>1-(M133/L133)</f>
        <v>0.25</v>
      </c>
      <c r="O133" s="46">
        <f>+'Trim Rwd'!H86</f>
        <v>276</v>
      </c>
      <c r="P133" s="47">
        <f>O133*(Q133-R133-S133)</f>
        <v>46368</v>
      </c>
      <c r="Q133" s="46">
        <v>170</v>
      </c>
      <c r="R133" s="384">
        <v>0</v>
      </c>
      <c r="S133" s="384">
        <v>2</v>
      </c>
      <c r="T133" s="36">
        <f>E133*M133*O133*Q133/100000000</f>
        <v>6.5875680000000001</v>
      </c>
      <c r="U133" s="36">
        <f>E133*M133*O133*(Q133-R133-S133)/100000000</f>
        <v>6.5100671999999999</v>
      </c>
      <c r="V133" s="36">
        <f>E133*G133*(1-N133)*O133/100*(R133+S133)/1000000</f>
        <v>7.4188799999999999E-2</v>
      </c>
      <c r="W133" s="36">
        <f>+'29'!K16/1000</f>
        <v>1.238</v>
      </c>
      <c r="X133" s="37"/>
      <c r="Y133" s="208"/>
      <c r="Z133" s="615">
        <v>0</v>
      </c>
      <c r="AA133" s="36"/>
      <c r="AB133" s="36"/>
      <c r="AC133" s="36">
        <f>K133-T133</f>
        <v>0</v>
      </c>
      <c r="AD133" s="36">
        <f>+AM133+BA133</f>
        <v>3</v>
      </c>
      <c r="AE133" s="225" t="s">
        <v>589</v>
      </c>
      <c r="AF133" s="36"/>
      <c r="AG133" s="36">
        <v>3</v>
      </c>
      <c r="AH133" s="36"/>
      <c r="AI133" s="461"/>
      <c r="AJ133" s="36"/>
      <c r="AK133" s="36"/>
      <c r="AL133" s="36"/>
      <c r="AM133" s="36">
        <f>SUM(AF133:AL133)+AT133+AV133+AX133</f>
        <v>3</v>
      </c>
      <c r="AN133" s="83"/>
      <c r="AO133" s="36"/>
      <c r="AP133" s="36"/>
      <c r="AQ133" s="36"/>
      <c r="AR133" s="36">
        <f>SUM(AN133:AQ133)</f>
        <v>0</v>
      </c>
      <c r="AS133" s="36"/>
      <c r="AT133" s="36"/>
      <c r="AU133" s="36"/>
      <c r="AV133" s="36"/>
      <c r="AW133" s="36"/>
      <c r="AX133" s="36"/>
      <c r="AY133" s="36"/>
      <c r="AZ133" s="36"/>
      <c r="BA133" s="36">
        <f>+AR133+AS133+AU133+AW133+AY133+AZ133</f>
        <v>0</v>
      </c>
      <c r="BB133" s="49"/>
      <c r="BC133" s="50">
        <v>3</v>
      </c>
      <c r="BD133" s="50"/>
      <c r="BE133" s="50"/>
      <c r="BF133" s="50"/>
    </row>
    <row r="134" spans="1:58" ht="12.95" customHeight="1">
      <c r="A134" s="39"/>
      <c r="B134" s="40" t="s">
        <v>649</v>
      </c>
      <c r="C134" s="416"/>
      <c r="D134" s="40"/>
      <c r="E134" s="41">
        <v>13</v>
      </c>
      <c r="F134" s="41"/>
      <c r="G134" s="459"/>
      <c r="H134" s="43"/>
      <c r="I134" s="44"/>
      <c r="J134" s="82"/>
      <c r="K134" s="82"/>
      <c r="L134" s="34"/>
      <c r="M134" s="34"/>
      <c r="N134" s="45"/>
      <c r="O134" s="46"/>
      <c r="P134" s="47"/>
      <c r="Q134" s="46"/>
      <c r="R134" s="384"/>
      <c r="S134" s="384"/>
      <c r="T134" s="36"/>
      <c r="U134" s="36"/>
      <c r="V134" s="36"/>
      <c r="W134" s="36">
        <f>+'29'!K9/1000</f>
        <v>1.0089999999999999</v>
      </c>
      <c r="X134" s="37"/>
      <c r="Y134" s="208"/>
      <c r="Z134" s="615">
        <f>+'29'!D7/1000</f>
        <v>0.32800000000000001</v>
      </c>
      <c r="AA134" s="36"/>
      <c r="AB134" s="36"/>
      <c r="AC134" s="36"/>
      <c r="AD134" s="36">
        <f>+AM134+BA134</f>
        <v>19</v>
      </c>
      <c r="AE134" s="225" t="s">
        <v>756</v>
      </c>
      <c r="AF134" s="32"/>
      <c r="AG134" s="32"/>
      <c r="AH134" s="32">
        <v>19</v>
      </c>
      <c r="AI134" s="461"/>
      <c r="AJ134" s="36"/>
      <c r="AK134" s="36"/>
      <c r="AL134" s="36"/>
      <c r="AM134" s="36">
        <f>SUM(AF134:AL134)+AT134+AV134+AX134</f>
        <v>19</v>
      </c>
      <c r="AN134" s="36"/>
      <c r="AO134" s="36"/>
      <c r="AP134" s="36"/>
      <c r="AQ134" s="36"/>
      <c r="AR134" s="36">
        <f>SUM(AN134:AQ134)</f>
        <v>0</v>
      </c>
      <c r="AS134" s="36"/>
      <c r="AT134" s="36"/>
      <c r="AU134" s="36"/>
      <c r="AV134" s="36"/>
      <c r="AW134" s="36"/>
      <c r="AX134" s="36"/>
      <c r="AY134" s="36"/>
      <c r="AZ134" s="36"/>
      <c r="BA134" s="36">
        <f>+AR134+AS134+AU134+AW134+AY134+AZ134</f>
        <v>0</v>
      </c>
      <c r="BB134" s="32"/>
      <c r="BC134" s="52"/>
      <c r="BD134" s="52"/>
      <c r="BE134" s="32"/>
      <c r="BF134" s="52"/>
    </row>
    <row r="135" spans="1:58" ht="12.95" customHeight="1">
      <c r="A135" s="39"/>
      <c r="B135" s="40"/>
      <c r="C135" s="416"/>
      <c r="D135" s="40"/>
      <c r="E135" s="41"/>
      <c r="F135" s="41"/>
      <c r="G135" s="459"/>
      <c r="H135" s="43"/>
      <c r="I135" s="44"/>
      <c r="J135" s="82"/>
      <c r="K135" s="82"/>
      <c r="L135" s="34"/>
      <c r="M135" s="34"/>
      <c r="N135" s="45"/>
      <c r="O135" s="46"/>
      <c r="P135" s="47"/>
      <c r="Q135" s="46"/>
      <c r="R135" s="384"/>
      <c r="S135" s="384"/>
      <c r="T135" s="36"/>
      <c r="U135" s="36"/>
      <c r="V135" s="36"/>
      <c r="W135" s="36"/>
      <c r="X135" s="37"/>
      <c r="Y135" s="208"/>
      <c r="Z135" s="615"/>
      <c r="AA135" s="36"/>
      <c r="AB135" s="36"/>
      <c r="AC135" s="36"/>
      <c r="AD135" s="36">
        <f>+AM135+BA135</f>
        <v>220</v>
      </c>
      <c r="AE135" s="225" t="s">
        <v>757</v>
      </c>
      <c r="AF135" s="32"/>
      <c r="AG135" s="32"/>
      <c r="AH135" s="32"/>
      <c r="AJ135" s="36"/>
      <c r="AK135" s="36"/>
      <c r="AL135" s="36"/>
      <c r="AM135" s="36">
        <f>SUM(AF135:AL135)+AT135+AV135+AX135</f>
        <v>0</v>
      </c>
      <c r="AN135" s="36"/>
      <c r="AO135" s="36"/>
      <c r="AP135" s="36"/>
      <c r="AQ135" s="36"/>
      <c r="AR135" s="36">
        <f>SUM(AN135:AQ135)</f>
        <v>0</v>
      </c>
      <c r="AS135" s="36"/>
      <c r="AT135" s="36"/>
      <c r="AU135" s="36"/>
      <c r="AV135" s="36"/>
      <c r="AW135" s="36">
        <v>220</v>
      </c>
      <c r="AX135" s="36"/>
      <c r="AY135" s="36"/>
      <c r="AZ135" s="36"/>
      <c r="BA135" s="36">
        <f>+AR135+AS135+AU135+AW135+AY135+AZ135</f>
        <v>220</v>
      </c>
      <c r="BB135" s="32"/>
      <c r="BC135" s="52"/>
      <c r="BD135" s="52">
        <v>1</v>
      </c>
      <c r="BE135" s="50"/>
      <c r="BF135" s="50"/>
    </row>
    <row r="136" spans="1:58" ht="12.95" customHeight="1">
      <c r="A136" s="39"/>
      <c r="B136" s="496"/>
      <c r="C136" s="416"/>
      <c r="D136" s="40"/>
      <c r="E136" s="242"/>
      <c r="F136" s="41"/>
      <c r="G136" s="42"/>
      <c r="H136" s="534"/>
      <c r="I136" s="44"/>
      <c r="J136" s="82"/>
      <c r="K136" s="82"/>
      <c r="L136" s="34"/>
      <c r="M136" s="34"/>
      <c r="N136" s="45"/>
      <c r="O136" s="46"/>
      <c r="P136" s="47"/>
      <c r="Q136" s="327"/>
      <c r="R136" s="49"/>
      <c r="S136" s="49"/>
      <c r="T136" s="36"/>
      <c r="U136" s="36"/>
      <c r="V136" s="36"/>
      <c r="W136" s="32"/>
      <c r="X136" s="37"/>
      <c r="Y136" s="37"/>
      <c r="Z136" s="616"/>
      <c r="AA136" s="48"/>
      <c r="AB136" s="48"/>
      <c r="AC136" s="36"/>
      <c r="AD136" s="36"/>
      <c r="AE136" s="19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2"/>
      <c r="BC136" s="50"/>
      <c r="BD136" s="50"/>
      <c r="BE136" s="50"/>
      <c r="BF136" s="50"/>
    </row>
    <row r="137" spans="1:58" ht="12.95" customHeight="1">
      <c r="A137" s="39">
        <v>46142</v>
      </c>
      <c r="B137" s="40" t="s">
        <v>649</v>
      </c>
      <c r="C137" s="416">
        <f>(M137*E137*O137*Q137)/100000000</f>
        <v>16.855959891891896</v>
      </c>
      <c r="D137" s="40" t="s">
        <v>276</v>
      </c>
      <c r="E137" s="41">
        <v>12</v>
      </c>
      <c r="F137" s="41">
        <v>1</v>
      </c>
      <c r="G137" s="459">
        <v>1400</v>
      </c>
      <c r="H137" s="534">
        <f>+N137</f>
        <v>0.25</v>
      </c>
      <c r="I137" s="44">
        <v>0.88</v>
      </c>
      <c r="J137" s="82">
        <f>E137*G137*(1-H137)*1440/1000000*2.87</f>
        <v>52.073279999999997</v>
      </c>
      <c r="K137" s="82">
        <f>(IF(G137&lt;L137,L137,G137)*(1-IF(H137&lt;N137,H137,N137))*E137*O137*Q137)/100000000</f>
        <v>19.527480000000001</v>
      </c>
      <c r="L137" s="34">
        <v>1208.4684684684685</v>
      </c>
      <c r="M137" s="34">
        <v>906.35135135135135</v>
      </c>
      <c r="N137" s="45">
        <f>1-(M137/L137)</f>
        <v>0.25</v>
      </c>
      <c r="O137" s="46">
        <f>+'Trim Rwd'!H89</f>
        <v>270</v>
      </c>
      <c r="P137" s="47">
        <f>O137*(Q137-R137-S137)</f>
        <v>117180</v>
      </c>
      <c r="Q137" s="46">
        <v>574</v>
      </c>
      <c r="R137" s="384">
        <v>130</v>
      </c>
      <c r="S137" s="384">
        <v>10</v>
      </c>
      <c r="T137" s="36">
        <f>E137*M137*O137*Q137/100000000</f>
        <v>16.855959891891896</v>
      </c>
      <c r="U137" s="36">
        <f>E137*M137*O137*(Q137-R137-S137)/100000000</f>
        <v>12.744750162162163</v>
      </c>
      <c r="V137" s="36">
        <f>E137*G137*(1-N137)*O137/100*(R137+S137)/1000000</f>
        <v>4.7628000000000004</v>
      </c>
      <c r="W137" s="36">
        <f>+'30'!K19/1000</f>
        <v>11.055</v>
      </c>
      <c r="X137" s="381">
        <f>SUM(W137:W141)/SUM(K137:K141)</f>
        <v>0.73780096681363538</v>
      </c>
      <c r="Y137" s="36">
        <v>0</v>
      </c>
      <c r="Z137" s="615">
        <v>0</v>
      </c>
      <c r="AA137" s="48">
        <f>SUM(U137:U141)-SUM(W137:W141)-SUM(Z137:Z141)-SUM(Y137:Y141)</f>
        <v>5.2833809621621626</v>
      </c>
      <c r="AB137" s="48">
        <f>(SUM(K137:K141)-SUM(W137:W141)-SUM(Y137:Y141)-SUM(Z137:Z141)-SUM(AC137:AC141)-SUM(V137:V141))-AA137</f>
        <v>-0.33898427027026301</v>
      </c>
      <c r="AC137" s="36">
        <f>K137-T137</f>
        <v>2.6715201081081048</v>
      </c>
      <c r="AD137" s="36">
        <f>+AM137+BA137</f>
        <v>0</v>
      </c>
      <c r="AE137" s="225" t="s">
        <v>385</v>
      </c>
      <c r="AF137" s="36">
        <v>0</v>
      </c>
      <c r="AG137" s="36"/>
      <c r="AH137" s="36"/>
      <c r="AI137" s="461"/>
      <c r="AJ137" s="36"/>
      <c r="AK137" s="36"/>
      <c r="AL137" s="36"/>
      <c r="AM137" s="36">
        <f>SUM(AF137:AL137)+AT137+AV137+AX137</f>
        <v>0</v>
      </c>
      <c r="AN137" s="36"/>
      <c r="AO137" s="36"/>
      <c r="AP137" s="36"/>
      <c r="AQ137" s="36"/>
      <c r="AR137" s="36">
        <f>SUM(AN137:AQ137)</f>
        <v>0</v>
      </c>
      <c r="AS137" s="36"/>
      <c r="AT137" s="36"/>
      <c r="AU137" s="36"/>
      <c r="AV137" s="36"/>
      <c r="AW137" s="36"/>
      <c r="AX137" s="36"/>
      <c r="AY137" s="36"/>
      <c r="AZ137" s="36"/>
      <c r="BA137" s="36">
        <f>+AR137+AS137+AU137+AW137+AY137+AZ137</f>
        <v>0</v>
      </c>
      <c r="BB137" s="32">
        <v>0</v>
      </c>
      <c r="BC137" s="50"/>
      <c r="BD137" s="50"/>
      <c r="BE137" s="50"/>
      <c r="BF137" s="50"/>
    </row>
    <row r="138" spans="1:58" ht="12.95" customHeight="1">
      <c r="A138" s="39"/>
      <c r="B138" s="40" t="s">
        <v>610</v>
      </c>
      <c r="C138" s="416">
        <f>(M138*E138*O138*Q138)/100000000</f>
        <v>20.643167999999999</v>
      </c>
      <c r="D138" s="40" t="s">
        <v>276</v>
      </c>
      <c r="E138" s="41">
        <v>14</v>
      </c>
      <c r="F138" s="41">
        <v>1</v>
      </c>
      <c r="G138" s="459">
        <v>1120</v>
      </c>
      <c r="H138" s="534">
        <f>+N138</f>
        <v>0.25</v>
      </c>
      <c r="I138" s="44">
        <v>0.88</v>
      </c>
      <c r="J138" s="82">
        <f>E138*G138*(1-H138)*1440/1000000*2.87</f>
        <v>48.601728000000001</v>
      </c>
      <c r="K138" s="82">
        <f>(IF(G138&lt;L138,L138,G138)*(1-IF(H138&lt;N138,H138,N138))*E138*O138*Q138)/100000000</f>
        <v>20.643167999999999</v>
      </c>
      <c r="L138" s="34">
        <v>1300</v>
      </c>
      <c r="M138" s="34">
        <f>+L138-L138*0.25</f>
        <v>975</v>
      </c>
      <c r="N138" s="45">
        <f>1-(M138/L138)</f>
        <v>0.25</v>
      </c>
      <c r="O138" s="46">
        <f>+'Trim Rwd'!H90</f>
        <v>272</v>
      </c>
      <c r="P138" s="47">
        <f>O138*(Q138-R138-S138)</f>
        <v>149872</v>
      </c>
      <c r="Q138" s="46">
        <v>556</v>
      </c>
      <c r="R138" s="384">
        <v>0</v>
      </c>
      <c r="S138" s="384">
        <v>5</v>
      </c>
      <c r="T138" s="36">
        <f>E138*M138*O138*Q138/100000000</f>
        <v>20.643167999999999</v>
      </c>
      <c r="U138" s="36">
        <f>E138*M138*O138*(Q138-R138-S138)/100000000</f>
        <v>20.457528</v>
      </c>
      <c r="V138" s="36">
        <f>E138*G138*(1-N138)*O138/100*(R138+S138)/1000000</f>
        <v>0.15993599999999999</v>
      </c>
      <c r="W138" s="36">
        <f>+'30'!K15/1000</f>
        <v>20.956</v>
      </c>
      <c r="X138" s="37"/>
      <c r="Y138" s="208"/>
      <c r="Z138" s="615"/>
      <c r="AA138" s="36"/>
      <c r="AB138" s="36"/>
      <c r="AC138" s="36">
        <f>K138-T138</f>
        <v>0</v>
      </c>
      <c r="AD138" s="36">
        <f>+AM138+BA138</f>
        <v>0</v>
      </c>
      <c r="AE138" s="225" t="s">
        <v>399</v>
      </c>
      <c r="AF138" s="36"/>
      <c r="AG138" s="36">
        <v>0</v>
      </c>
      <c r="AH138" s="36"/>
      <c r="AI138" s="461"/>
      <c r="AJ138" s="36"/>
      <c r="AK138" s="36"/>
      <c r="AL138" s="36"/>
      <c r="AM138" s="36">
        <f>SUM(AF138:AL138)+AT138+AV138+AX138</f>
        <v>0</v>
      </c>
      <c r="AN138" s="83"/>
      <c r="AO138" s="36"/>
      <c r="AP138" s="36"/>
      <c r="AQ138" s="36"/>
      <c r="AR138" s="36">
        <f>SUM(AN138:AQ138)</f>
        <v>0</v>
      </c>
      <c r="AS138" s="36"/>
      <c r="AT138" s="36"/>
      <c r="AU138" s="36"/>
      <c r="AV138" s="36"/>
      <c r="AW138" s="36"/>
      <c r="AX138" s="36"/>
      <c r="AY138" s="36"/>
      <c r="AZ138" s="36"/>
      <c r="BA138" s="36">
        <f>+AR138+AS138+AU138+AW138+AY138+AZ138</f>
        <v>0</v>
      </c>
      <c r="BB138" s="49"/>
      <c r="BC138" s="50">
        <v>0</v>
      </c>
      <c r="BD138" s="50"/>
      <c r="BE138" s="50"/>
      <c r="BF138" s="50"/>
    </row>
    <row r="139" spans="1:58" ht="12.95" customHeight="1">
      <c r="A139" s="39"/>
      <c r="B139" s="40" t="s">
        <v>610</v>
      </c>
      <c r="C139" s="416">
        <f t="shared" ref="C139:C140" si="2">(M139*E139*O139*Q139)/100000000</f>
        <v>9.3477888</v>
      </c>
      <c r="D139" s="40" t="s">
        <v>276</v>
      </c>
      <c r="E139" s="41">
        <v>18</v>
      </c>
      <c r="F139" s="41">
        <v>1</v>
      </c>
      <c r="G139" s="459">
        <v>1120</v>
      </c>
      <c r="H139" s="534">
        <f t="shared" ref="H139:H140" si="3">+N139</f>
        <v>0.25</v>
      </c>
      <c r="I139" s="44">
        <v>0.88</v>
      </c>
      <c r="J139" s="82">
        <f t="shared" ref="J139:J140" si="4">E139*G139*(1-H139)*1440/1000000*2.87</f>
        <v>62.487936000000005</v>
      </c>
      <c r="K139" s="82">
        <f t="shared" ref="K139:K140" si="5">(IF(G139&lt;L139,L139,G139)*(1-IF(H139&lt;N139,H139,N139))*E139*O139*Q139)/100000000</f>
        <v>10.683187200000001</v>
      </c>
      <c r="L139" s="34">
        <v>980</v>
      </c>
      <c r="M139" s="34">
        <f>+L139-L139*0.25</f>
        <v>735</v>
      </c>
      <c r="N139" s="45">
        <f t="shared" ref="N139:N140" si="6">1-(M139/L139)</f>
        <v>0.25</v>
      </c>
      <c r="O139" s="46">
        <f>+'Trim Rwd'!H91</f>
        <v>276</v>
      </c>
      <c r="P139" s="47">
        <f t="shared" ref="P139:P140" si="7">O139*(Q139-R139-S139)</f>
        <v>70104</v>
      </c>
      <c r="Q139" s="46">
        <v>256</v>
      </c>
      <c r="R139" s="384">
        <v>0</v>
      </c>
      <c r="S139" s="384">
        <v>2</v>
      </c>
      <c r="T139" s="36">
        <f t="shared" ref="T139:T140" si="8">E139*M139*O139*Q139/100000000</f>
        <v>9.3477888</v>
      </c>
      <c r="U139" s="36">
        <f t="shared" ref="U139:U140" si="9">E139*M139*O139*(Q139-R139-S139)/100000000</f>
        <v>9.2747592000000001</v>
      </c>
      <c r="V139" s="36">
        <f t="shared" ref="V139:V140" si="10">E139*G139*(1-N139)*O139/100*(R139+S139)/1000000</f>
        <v>8.3462399999999992E-2</v>
      </c>
      <c r="W139" s="36">
        <f>+'30'!K17/1000</f>
        <v>2.8969999999999998</v>
      </c>
      <c r="X139" s="37"/>
      <c r="Y139" s="208"/>
      <c r="Z139" s="615"/>
      <c r="AA139" s="36"/>
      <c r="AB139" s="36"/>
      <c r="AC139" s="36">
        <f t="shared" ref="AC139" si="11">K139-T139</f>
        <v>1.3353984000000008</v>
      </c>
      <c r="AD139" s="36">
        <f>+AM139+BA139</f>
        <v>17</v>
      </c>
      <c r="AE139" s="225" t="s">
        <v>675</v>
      </c>
      <c r="AF139" s="32"/>
      <c r="AG139" s="32"/>
      <c r="AH139" s="32">
        <v>17</v>
      </c>
      <c r="AI139" s="461"/>
      <c r="AJ139" s="36"/>
      <c r="AK139" s="36"/>
      <c r="AL139" s="36"/>
      <c r="AM139" s="36">
        <f>SUM(AF139:AL139)+AT139+AV139+AX139</f>
        <v>17</v>
      </c>
      <c r="AN139" s="36"/>
      <c r="AO139" s="36"/>
      <c r="AP139" s="36"/>
      <c r="AQ139" s="36"/>
      <c r="AR139" s="36">
        <f>SUM(AN139:AQ139)</f>
        <v>0</v>
      </c>
      <c r="AS139" s="36"/>
      <c r="AT139" s="36"/>
      <c r="AU139" s="36"/>
      <c r="AV139" s="36"/>
      <c r="AW139" s="36"/>
      <c r="AX139" s="36"/>
      <c r="AY139" s="36"/>
      <c r="AZ139" s="36"/>
      <c r="BA139" s="36">
        <f>+AR139+AS139+AU139+AW139+AY139+AZ139</f>
        <v>0</v>
      </c>
      <c r="BB139" s="32"/>
      <c r="BC139" s="52"/>
      <c r="BD139" s="52"/>
      <c r="BE139" s="32"/>
      <c r="BF139" s="52"/>
    </row>
    <row r="140" spans="1:58" ht="12.95" customHeight="1">
      <c r="A140" s="39"/>
      <c r="B140" s="40" t="s">
        <v>610</v>
      </c>
      <c r="C140" s="416">
        <f t="shared" si="2"/>
        <v>2.0813435999999998</v>
      </c>
      <c r="D140" s="40" t="s">
        <v>276</v>
      </c>
      <c r="E140" s="41">
        <v>19</v>
      </c>
      <c r="F140" s="41">
        <v>1</v>
      </c>
      <c r="G140" s="459">
        <v>1120</v>
      </c>
      <c r="H140" s="534">
        <f t="shared" si="3"/>
        <v>0.25</v>
      </c>
      <c r="I140" s="44">
        <v>0.88</v>
      </c>
      <c r="J140" s="82">
        <f t="shared" si="4"/>
        <v>65.959487999999993</v>
      </c>
      <c r="K140" s="82">
        <f t="shared" si="5"/>
        <v>2.3786784000000001</v>
      </c>
      <c r="L140" s="34">
        <v>980</v>
      </c>
      <c r="M140" s="34">
        <f>+L140-L140*0.25</f>
        <v>735</v>
      </c>
      <c r="N140" s="45">
        <f t="shared" si="6"/>
        <v>0.25</v>
      </c>
      <c r="O140" s="46">
        <f>+'Trim Rwd'!H92</f>
        <v>276</v>
      </c>
      <c r="P140" s="47">
        <f t="shared" si="7"/>
        <v>14904</v>
      </c>
      <c r="Q140" s="46">
        <v>54</v>
      </c>
      <c r="R140" s="384">
        <v>0</v>
      </c>
      <c r="S140" s="384">
        <v>0</v>
      </c>
      <c r="T140" s="36">
        <f t="shared" si="8"/>
        <v>2.0813435999999998</v>
      </c>
      <c r="U140" s="36">
        <f t="shared" si="9"/>
        <v>2.0813435999999998</v>
      </c>
      <c r="V140" s="36">
        <f t="shared" si="10"/>
        <v>0</v>
      </c>
      <c r="W140" s="36">
        <f>+'30'!K21/1000</f>
        <v>0</v>
      </c>
      <c r="X140" s="37"/>
      <c r="Y140" s="208"/>
      <c r="Z140" s="615"/>
      <c r="AA140" s="36"/>
      <c r="AB140" s="36"/>
      <c r="AC140" s="36">
        <f>K141-T141</f>
        <v>0</v>
      </c>
      <c r="AD140" s="36">
        <f>+AM140+BA140</f>
        <v>130</v>
      </c>
      <c r="AE140" s="225" t="s">
        <v>771</v>
      </c>
      <c r="AF140" s="32"/>
      <c r="AG140" s="32"/>
      <c r="AH140" s="32"/>
      <c r="AJ140" s="36"/>
      <c r="AK140" s="36"/>
      <c r="AL140" s="36"/>
      <c r="AM140" s="36">
        <f>SUM(AF140:AL140)+AT140+AV140+AX140</f>
        <v>0</v>
      </c>
      <c r="AN140" s="36"/>
      <c r="AO140" s="36"/>
      <c r="AP140" s="36"/>
      <c r="AQ140" s="36"/>
      <c r="AR140" s="36">
        <f>SUM(AN140:AQ140)</f>
        <v>0</v>
      </c>
      <c r="AS140" s="36"/>
      <c r="AT140" s="36"/>
      <c r="AU140" s="36"/>
      <c r="AV140" s="36"/>
      <c r="AW140" s="36">
        <v>130</v>
      </c>
      <c r="AX140" s="36"/>
      <c r="AY140" s="36"/>
      <c r="AZ140" s="36"/>
      <c r="BA140" s="36">
        <f>+AR140+AS140+AU140+AW140+AY140+AZ140</f>
        <v>130</v>
      </c>
      <c r="BB140" s="32"/>
      <c r="BC140" s="52"/>
      <c r="BD140" s="52">
        <v>1</v>
      </c>
      <c r="BE140" s="50"/>
      <c r="BF140" s="50"/>
    </row>
    <row r="141" spans="1:58" ht="12.95" customHeight="1">
      <c r="A141" s="39"/>
      <c r="B141" s="40" t="s">
        <v>610</v>
      </c>
      <c r="C141" s="416"/>
      <c r="D141" s="40"/>
      <c r="E141" s="41">
        <v>16</v>
      </c>
      <c r="F141" s="41"/>
      <c r="G141" s="42"/>
      <c r="H141" s="43"/>
      <c r="I141" s="44"/>
      <c r="J141" s="82"/>
      <c r="K141" s="82"/>
      <c r="L141" s="34"/>
      <c r="M141" s="34"/>
      <c r="N141" s="45"/>
      <c r="O141" s="46"/>
      <c r="P141" s="47"/>
      <c r="Q141" s="327"/>
      <c r="R141" s="49"/>
      <c r="S141" s="49"/>
      <c r="T141" s="36"/>
      <c r="U141" s="36"/>
      <c r="V141" s="36"/>
      <c r="W141" s="32">
        <f>+'30'!K16/1000</f>
        <v>4.367</v>
      </c>
      <c r="X141" s="37"/>
      <c r="Y141" s="37"/>
      <c r="Z141" s="616"/>
      <c r="AA141" s="48"/>
      <c r="AB141" s="48"/>
      <c r="AC141" s="36"/>
      <c r="AD141" s="36"/>
      <c r="AE141" s="19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2"/>
      <c r="BC141" s="50"/>
      <c r="BD141" s="50"/>
      <c r="BE141" s="50"/>
      <c r="BF141" s="50"/>
    </row>
    <row r="142" spans="1:58" s="26" customFormat="1" ht="12.95" customHeight="1">
      <c r="A142" s="28"/>
      <c r="B142" s="28"/>
      <c r="C142" s="28"/>
      <c r="D142" s="28"/>
      <c r="E142" s="28"/>
      <c r="F142" s="54"/>
      <c r="G142" s="28"/>
      <c r="H142" s="28"/>
      <c r="I142" s="28"/>
      <c r="J142" s="83"/>
      <c r="K142" s="83"/>
      <c r="L142" s="55"/>
      <c r="M142" s="55"/>
      <c r="N142" s="28"/>
      <c r="O142" s="28"/>
      <c r="P142" s="28"/>
      <c r="Q142" s="328"/>
      <c r="R142" s="385"/>
      <c r="S142" s="385"/>
      <c r="T142" s="28"/>
      <c r="U142" s="28"/>
      <c r="V142" s="28"/>
      <c r="W142" s="28"/>
      <c r="X142" s="28"/>
      <c r="Y142" s="28"/>
      <c r="Z142" s="617"/>
      <c r="AA142" s="243"/>
      <c r="AB142" s="243"/>
      <c r="AC142" s="244"/>
      <c r="AD142" s="36"/>
      <c r="AE142" s="28"/>
      <c r="AF142" s="51"/>
      <c r="AG142" s="51"/>
      <c r="AH142" s="51"/>
      <c r="AI142" s="51"/>
      <c r="AJ142" s="51"/>
      <c r="AK142" s="51"/>
      <c r="AL142" s="51"/>
      <c r="AM142" s="36"/>
      <c r="AN142" s="51"/>
      <c r="AO142" s="51"/>
      <c r="AP142" s="51"/>
      <c r="AQ142" s="51"/>
      <c r="AR142" s="36"/>
      <c r="AS142" s="51"/>
      <c r="AT142" s="51"/>
      <c r="AU142" s="51"/>
      <c r="AV142" s="51"/>
      <c r="AW142" s="51"/>
      <c r="AX142" s="51"/>
      <c r="AY142" s="51"/>
      <c r="AZ142" s="51"/>
      <c r="BA142" s="36"/>
      <c r="BB142" s="63"/>
      <c r="BC142" s="63"/>
      <c r="BD142" s="52"/>
      <c r="BE142" s="32"/>
      <c r="BF142" s="52"/>
    </row>
    <row r="143" spans="1:58" ht="12.95" customHeight="1">
      <c r="A143" s="56"/>
      <c r="B143" s="57"/>
      <c r="C143" s="417">
        <f>SUM(C6:C141)</f>
        <v>1563.4731598672593</v>
      </c>
      <c r="D143" s="57"/>
      <c r="E143" s="58"/>
      <c r="F143" s="58"/>
      <c r="G143" s="59"/>
      <c r="H143" s="59"/>
      <c r="I143" s="60">
        <v>0.85</v>
      </c>
      <c r="J143" s="82"/>
      <c r="K143" s="84">
        <f>SUM(K6:K141)</f>
        <v>1579.2356932317307</v>
      </c>
      <c r="L143" s="62"/>
      <c r="M143" s="62"/>
      <c r="N143" s="63"/>
      <c r="O143" s="64">
        <f>P143/(Q143-R143-S143)</f>
        <v>274.20166782877209</v>
      </c>
      <c r="P143" s="61">
        <f>SUM(P6:P141)</f>
        <v>11011116.375</v>
      </c>
      <c r="Q143" s="329">
        <f>SUM(Q6:Q142)</f>
        <v>43200</v>
      </c>
      <c r="R143" s="61">
        <f t="shared" ref="R143:W143" si="12">SUM(R6:R141)</f>
        <v>2113</v>
      </c>
      <c r="S143" s="61">
        <f t="shared" si="12"/>
        <v>930</v>
      </c>
      <c r="T143" s="61">
        <f t="shared" si="12"/>
        <v>1563.4731598672593</v>
      </c>
      <c r="U143" s="61">
        <f t="shared" si="12"/>
        <v>1457.30186588381</v>
      </c>
      <c r="V143" s="354">
        <f t="shared" si="12"/>
        <v>110.00802079735577</v>
      </c>
      <c r="W143" s="462">
        <f t="shared" si="12"/>
        <v>1378.1909999999998</v>
      </c>
      <c r="X143" s="463">
        <f>W143/K143</f>
        <v>0.87269494091770738</v>
      </c>
      <c r="Y143" s="355">
        <f>SUM(Y6:Y141)</f>
        <v>0</v>
      </c>
      <c r="Z143" s="462">
        <f>SUM(Z6:Z141)</f>
        <v>28.846000000000004</v>
      </c>
      <c r="AA143" s="61">
        <f>SUM(AA6:AA141)</f>
        <v>50.264865883809925</v>
      </c>
      <c r="AB143" s="61">
        <f>SUM(AB6:AB141)</f>
        <v>-3.5393920139066566</v>
      </c>
      <c r="AC143" s="61">
        <f>SUM(AC6:AC141)</f>
        <v>15.465198564471711</v>
      </c>
      <c r="AD143" s="36">
        <f>SUM(AD6:AD142)</f>
        <v>3043</v>
      </c>
      <c r="AE143" s="65"/>
      <c r="AF143" s="61">
        <f t="shared" ref="AF143:BF143" si="13">SUM(AF6:AF142)</f>
        <v>119</v>
      </c>
      <c r="AG143" s="61">
        <f t="shared" si="13"/>
        <v>50</v>
      </c>
      <c r="AH143" s="61">
        <f t="shared" si="13"/>
        <v>682</v>
      </c>
      <c r="AI143" s="61">
        <f t="shared" si="13"/>
        <v>0</v>
      </c>
      <c r="AJ143" s="61">
        <f t="shared" si="13"/>
        <v>8</v>
      </c>
      <c r="AK143" s="61">
        <f t="shared" si="13"/>
        <v>9</v>
      </c>
      <c r="AL143" s="61">
        <f t="shared" si="13"/>
        <v>0</v>
      </c>
      <c r="AM143" s="61">
        <f t="shared" si="13"/>
        <v>930</v>
      </c>
      <c r="AN143" s="51">
        <f t="shared" si="13"/>
        <v>391</v>
      </c>
      <c r="AO143" s="51">
        <f t="shared" si="13"/>
        <v>0</v>
      </c>
      <c r="AP143" s="51">
        <f t="shared" si="13"/>
        <v>141</v>
      </c>
      <c r="AQ143" s="51">
        <f t="shared" si="13"/>
        <v>0</v>
      </c>
      <c r="AR143" s="61">
        <f t="shared" si="13"/>
        <v>532</v>
      </c>
      <c r="AS143" s="61">
        <f t="shared" si="13"/>
        <v>540</v>
      </c>
      <c r="AT143" s="61">
        <f t="shared" si="13"/>
        <v>0</v>
      </c>
      <c r="AU143" s="61">
        <f t="shared" si="13"/>
        <v>0</v>
      </c>
      <c r="AV143" s="61">
        <f t="shared" si="13"/>
        <v>62</v>
      </c>
      <c r="AW143" s="61">
        <f t="shared" si="13"/>
        <v>483</v>
      </c>
      <c r="AX143" s="61">
        <f t="shared" si="13"/>
        <v>0</v>
      </c>
      <c r="AY143" s="61">
        <f t="shared" si="13"/>
        <v>558</v>
      </c>
      <c r="AZ143" s="61">
        <f t="shared" si="13"/>
        <v>0</v>
      </c>
      <c r="BA143" s="61">
        <f t="shared" si="13"/>
        <v>2113</v>
      </c>
      <c r="BB143" s="51">
        <f t="shared" si="13"/>
        <v>18</v>
      </c>
      <c r="BC143" s="51">
        <f t="shared" si="13"/>
        <v>30</v>
      </c>
      <c r="BD143" s="51">
        <f t="shared" si="13"/>
        <v>4</v>
      </c>
      <c r="BE143" s="51">
        <f t="shared" si="13"/>
        <v>0</v>
      </c>
      <c r="BF143" s="51">
        <f t="shared" si="13"/>
        <v>1</v>
      </c>
    </row>
    <row r="144" spans="1:58">
      <c r="A144" s="56"/>
      <c r="B144" s="57"/>
      <c r="C144" s="57"/>
      <c r="D144" s="57"/>
      <c r="E144" s="58"/>
      <c r="F144" s="58"/>
      <c r="G144" s="59"/>
      <c r="H144" s="59"/>
      <c r="I144" s="59"/>
      <c r="J144" s="85"/>
      <c r="K144" s="85"/>
      <c r="L144" s="62"/>
      <c r="M144" s="62"/>
      <c r="N144" s="63"/>
      <c r="O144" s="563"/>
      <c r="P144" s="564"/>
      <c r="Q144" s="59">
        <f>30*1440-Q143</f>
        <v>0</v>
      </c>
      <c r="R144" s="66">
        <f>R143/Q143</f>
        <v>4.8912037037037039E-2</v>
      </c>
      <c r="S144" s="66">
        <f>S143/Q143</f>
        <v>2.1527777777777778E-2</v>
      </c>
      <c r="T144" s="340"/>
      <c r="U144" s="340"/>
      <c r="V144" s="342">
        <f>V143/K143</f>
        <v>6.9659026368785112E-2</v>
      </c>
      <c r="W144" s="359" t="s">
        <v>163</v>
      </c>
      <c r="X144" s="464">
        <v>0.85</v>
      </c>
      <c r="Y144" s="356">
        <f>Y143/K143</f>
        <v>0</v>
      </c>
      <c r="Z144" s="618">
        <f>Z143/K143</f>
        <v>1.8265797894277493E-2</v>
      </c>
      <c r="AA144" s="67">
        <f>AA143/K143</f>
        <v>3.1828602974992577E-2</v>
      </c>
      <c r="AB144" s="67">
        <f>AB143/K143</f>
        <v>-2.2412056851777986E-3</v>
      </c>
      <c r="AC144" s="465">
        <f>AC143/K143</f>
        <v>9.7928375294151927E-3</v>
      </c>
      <c r="AD144" s="343"/>
      <c r="AE144" s="38"/>
      <c r="AF144" s="67">
        <f>AF143/$AD$143*$V$144</f>
        <v>2.7240960032485799E-3</v>
      </c>
      <c r="AG144" s="67">
        <f>AG143/$AD$143*$V$144</f>
        <v>1.1445781526254536E-3</v>
      </c>
      <c r="AH144" s="67">
        <f>AH143/$AD$143*$V$144</f>
        <v>1.5612046001811189E-2</v>
      </c>
      <c r="AI144" s="67">
        <f>AI143/$AD$143*$V$144</f>
        <v>0</v>
      </c>
      <c r="AJ144" s="67">
        <f t="shared" ref="AJ144:BA144" si="14">AJ143/$AD$143*$V$144</f>
        <v>1.831325044200726E-4</v>
      </c>
      <c r="AK144" s="67">
        <f t="shared" si="14"/>
        <v>2.0602406747258166E-4</v>
      </c>
      <c r="AL144" s="67">
        <f t="shared" si="14"/>
        <v>0</v>
      </c>
      <c r="AM144" s="67">
        <f t="shared" si="14"/>
        <v>2.1289153638833439E-2</v>
      </c>
      <c r="AN144" s="67">
        <f t="shared" si="14"/>
        <v>8.950601153531048E-3</v>
      </c>
      <c r="AO144" s="67">
        <f t="shared" si="14"/>
        <v>0</v>
      </c>
      <c r="AP144" s="67">
        <f t="shared" si="14"/>
        <v>3.2277103904037796E-3</v>
      </c>
      <c r="AQ144" s="67">
        <f t="shared" si="14"/>
        <v>0</v>
      </c>
      <c r="AR144" s="67">
        <f t="shared" si="14"/>
        <v>1.2178311543934828E-2</v>
      </c>
      <c r="AS144" s="67">
        <f t="shared" si="14"/>
        <v>1.2361444048354899E-2</v>
      </c>
      <c r="AT144" s="67">
        <f t="shared" si="14"/>
        <v>0</v>
      </c>
      <c r="AU144" s="67">
        <f t="shared" si="14"/>
        <v>0</v>
      </c>
      <c r="AV144" s="67">
        <f t="shared" si="14"/>
        <v>1.4192769092555627E-3</v>
      </c>
      <c r="AW144" s="67">
        <f t="shared" si="14"/>
        <v>1.1056624954361882E-2</v>
      </c>
      <c r="AX144" s="67">
        <f t="shared" si="14"/>
        <v>0</v>
      </c>
      <c r="AY144" s="67">
        <f t="shared" si="14"/>
        <v>1.2773492183300064E-2</v>
      </c>
      <c r="AZ144" s="67">
        <f t="shared" si="14"/>
        <v>0</v>
      </c>
      <c r="BA144" s="67">
        <f t="shared" si="14"/>
        <v>4.836987272995167E-2</v>
      </c>
      <c r="BB144" s="33" t="s">
        <v>162</v>
      </c>
      <c r="BC144" s="33" t="s">
        <v>162</v>
      </c>
      <c r="BD144" s="33" t="s">
        <v>389</v>
      </c>
      <c r="BE144" s="33" t="s">
        <v>389</v>
      </c>
      <c r="BF144" s="33" t="s">
        <v>389</v>
      </c>
    </row>
    <row r="145" spans="1:58">
      <c r="A145" s="56"/>
      <c r="B145" s="57"/>
      <c r="C145" s="57"/>
      <c r="D145" s="57"/>
      <c r="E145" s="58"/>
      <c r="F145" s="58"/>
      <c r="G145" s="33"/>
      <c r="H145" s="33"/>
      <c r="I145" s="33"/>
      <c r="J145" s="82"/>
      <c r="K145" s="82"/>
      <c r="L145" s="34"/>
      <c r="M145" s="34"/>
      <c r="N145" s="32"/>
      <c r="O145" s="35"/>
      <c r="P145" s="27"/>
      <c r="Q145" s="33"/>
      <c r="R145" s="36">
        <f>R143-(BA143)</f>
        <v>0</v>
      </c>
      <c r="S145" s="36">
        <f>+S143-AM143</f>
        <v>0</v>
      </c>
      <c r="T145" s="32"/>
      <c r="U145" s="32"/>
      <c r="V145" s="32"/>
      <c r="W145" s="357">
        <f>+W143-'31'!M34/1000</f>
        <v>0</v>
      </c>
      <c r="X145" s="358"/>
      <c r="Y145" s="68"/>
      <c r="Z145" s="615">
        <f>+Z143-'31'!J56/1000</f>
        <v>0</v>
      </c>
      <c r="AA145" s="32"/>
      <c r="AB145" s="32"/>
      <c r="AC145" s="32"/>
      <c r="AD145" s="32"/>
      <c r="AE145" s="38"/>
      <c r="AF145" s="330"/>
      <c r="AG145" s="330"/>
      <c r="AH145" s="330"/>
      <c r="AI145" s="330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466">
        <f>BB143/($Q$143/1440)/2</f>
        <v>0.3</v>
      </c>
      <c r="BC145" s="466">
        <f>BC143/($Q$143/1440)/2</f>
        <v>0.5</v>
      </c>
      <c r="BD145" s="466">
        <f>BD143/($Q$143/1440)</f>
        <v>0.13333333333333333</v>
      </c>
      <c r="BE145" s="466">
        <f>BE143/($Q$143/1440)</f>
        <v>0</v>
      </c>
      <c r="BF145" s="466">
        <f>BF143/($Q$143/1440)</f>
        <v>3.3333333333333333E-2</v>
      </c>
    </row>
    <row r="146" spans="1:58">
      <c r="A146" s="69"/>
      <c r="B146" s="70"/>
      <c r="C146" s="70"/>
      <c r="D146" s="70"/>
      <c r="E146" s="71"/>
      <c r="F146" s="71"/>
      <c r="G146" s="72"/>
      <c r="H146" s="72"/>
      <c r="I146" s="72"/>
      <c r="J146" s="86"/>
      <c r="K146" s="86"/>
      <c r="O146" s="73"/>
      <c r="P146" s="74"/>
      <c r="Q146" s="72"/>
      <c r="R146" s="53"/>
      <c r="S146" s="53"/>
      <c r="U146" s="75"/>
      <c r="V146" s="75"/>
      <c r="W146" s="76" t="s">
        <v>116</v>
      </c>
      <c r="X146" s="467">
        <f>W143/U143</f>
        <v>0.94571415316494378</v>
      </c>
      <c r="Y146" s="467"/>
      <c r="Z146" s="619"/>
      <c r="AD146" s="83"/>
      <c r="AE146" s="78"/>
      <c r="AF146" s="79"/>
      <c r="AG146" s="79"/>
      <c r="AH146" s="79"/>
      <c r="AI146" s="79"/>
      <c r="AJ146" s="79"/>
      <c r="AK146" s="79"/>
      <c r="AL146" s="79"/>
      <c r="AM146" s="79"/>
      <c r="AN146" s="77"/>
      <c r="AO146" s="77"/>
      <c r="AP146" s="77"/>
      <c r="AQ146" s="77"/>
      <c r="AR146" s="77"/>
      <c r="AS146" s="79"/>
      <c r="AT146" s="79"/>
      <c r="AU146" s="79"/>
      <c r="AV146" s="79"/>
      <c r="AW146" s="79"/>
      <c r="AX146" s="79"/>
      <c r="AY146" s="79"/>
      <c r="AZ146" s="79"/>
      <c r="BA146" s="77"/>
      <c r="BB146" s="26"/>
      <c r="BC146" s="77"/>
      <c r="BD146" s="77"/>
      <c r="BE146" s="26"/>
      <c r="BF146" s="77"/>
    </row>
    <row r="147" spans="1:58">
      <c r="A147" s="69"/>
      <c r="B147" s="70"/>
      <c r="C147" s="70"/>
      <c r="D147" s="70"/>
      <c r="E147" s="71"/>
      <c r="F147" s="71"/>
      <c r="G147" s="72"/>
      <c r="H147" s="72"/>
      <c r="I147" s="72"/>
      <c r="J147" s="86"/>
      <c r="K147" s="86"/>
      <c r="O147" s="73"/>
      <c r="P147" s="74"/>
      <c r="Q147" s="72"/>
      <c r="R147" s="53"/>
      <c r="S147" s="53"/>
      <c r="U147" s="75"/>
      <c r="V147" s="75"/>
      <c r="W147" s="76"/>
      <c r="X147" s="77"/>
      <c r="Y147" s="77"/>
      <c r="Z147" s="619"/>
      <c r="AA147" s="89"/>
      <c r="AB147" s="89"/>
      <c r="AD147" s="83"/>
      <c r="AE147" s="78"/>
      <c r="AF147" s="79"/>
      <c r="AG147" s="79"/>
      <c r="AH147" s="79"/>
      <c r="AI147" s="79"/>
      <c r="AJ147" s="79"/>
      <c r="AK147" s="79"/>
      <c r="AL147" s="79"/>
      <c r="AM147" s="79"/>
      <c r="AN147" s="79"/>
      <c r="AO147" s="77"/>
      <c r="AP147" s="77"/>
      <c r="AQ147" s="77"/>
      <c r="AR147" s="79"/>
      <c r="AS147" s="77"/>
      <c r="AT147" s="77"/>
      <c r="AU147" s="77"/>
      <c r="AV147" s="77"/>
      <c r="AW147" s="77"/>
      <c r="AX147" s="77"/>
      <c r="AY147" s="77"/>
      <c r="AZ147" s="77"/>
      <c r="BA147" s="77"/>
      <c r="BB147" s="26"/>
      <c r="BC147" s="77"/>
      <c r="BD147" s="77"/>
      <c r="BE147" s="26"/>
      <c r="BF147" s="77"/>
    </row>
    <row r="148" spans="1:58">
      <c r="A148" s="69"/>
      <c r="B148" s="70"/>
      <c r="C148" s="70"/>
      <c r="D148" s="70"/>
      <c r="E148" s="71"/>
      <c r="F148" s="71"/>
      <c r="G148" s="72"/>
      <c r="H148" s="72"/>
      <c r="I148" s="72"/>
      <c r="J148" s="86"/>
      <c r="K148" s="86"/>
      <c r="O148" s="73"/>
      <c r="P148" s="74"/>
      <c r="Q148" s="72"/>
      <c r="R148" s="341"/>
      <c r="S148" s="53"/>
      <c r="U148" s="75"/>
      <c r="V148" s="75"/>
      <c r="W148" s="76" t="s">
        <v>139</v>
      </c>
      <c r="X148" s="330">
        <f>+W143+Y143</f>
        <v>1378.1909999999998</v>
      </c>
      <c r="Y148" s="77"/>
      <c r="Z148" s="619"/>
      <c r="AD148" s="83"/>
      <c r="AE148" s="78"/>
      <c r="AF148" s="83"/>
      <c r="AG148" s="83"/>
      <c r="AH148" s="83"/>
      <c r="AI148" s="83"/>
      <c r="AJ148" s="77"/>
      <c r="AK148" s="77"/>
      <c r="AL148" s="77"/>
      <c r="AM148" s="79"/>
      <c r="AN148" s="77"/>
      <c r="AO148" s="77"/>
      <c r="AP148" s="77"/>
      <c r="AQ148" s="77"/>
      <c r="AR148" s="79"/>
      <c r="AS148" s="77"/>
      <c r="AT148" s="77"/>
      <c r="AU148" s="77"/>
      <c r="AV148" s="77"/>
      <c r="AW148" s="77"/>
      <c r="AX148" s="77"/>
      <c r="AY148" s="77"/>
      <c r="AZ148" s="77"/>
      <c r="BA148" s="77"/>
      <c r="BB148" s="26"/>
      <c r="BC148" s="77"/>
      <c r="BD148" s="77"/>
      <c r="BE148" s="26"/>
      <c r="BF148" s="77"/>
    </row>
    <row r="149" spans="1:58">
      <c r="A149" s="69"/>
      <c r="C149" s="70" t="s">
        <v>273</v>
      </c>
      <c r="D149" s="70"/>
      <c r="E149" s="71"/>
      <c r="F149" s="71"/>
      <c r="G149" s="72"/>
      <c r="H149" s="72"/>
      <c r="I149" s="72"/>
      <c r="J149" s="86"/>
      <c r="K149" s="86"/>
      <c r="O149" s="73"/>
      <c r="P149" s="74"/>
      <c r="Q149" s="72"/>
      <c r="R149" s="341"/>
      <c r="S149" s="53"/>
      <c r="U149" s="75"/>
      <c r="V149" s="352"/>
      <c r="W149" s="353"/>
      <c r="X149" s="346"/>
      <c r="Y149" s="353"/>
      <c r="Z149" s="620"/>
      <c r="AD149" s="339"/>
      <c r="AE149" s="78"/>
      <c r="AF149" s="339"/>
      <c r="AG149" s="339"/>
      <c r="AH149" s="339"/>
      <c r="AI149" s="339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26"/>
      <c r="BC149" s="77"/>
      <c r="BD149" s="77"/>
      <c r="BE149" s="26"/>
      <c r="BF149" s="77"/>
    </row>
    <row r="150" spans="1:58">
      <c r="A150" s="69"/>
      <c r="B150" s="70"/>
      <c r="C150" s="70" t="s">
        <v>274</v>
      </c>
      <c r="D150" s="70"/>
      <c r="E150" s="71"/>
      <c r="F150" s="71"/>
      <c r="G150" s="72"/>
      <c r="H150" s="72"/>
      <c r="I150" s="72"/>
      <c r="J150" s="86"/>
      <c r="K150" s="86"/>
      <c r="O150" s="73"/>
      <c r="P150" s="74"/>
      <c r="Q150" s="72"/>
      <c r="R150" s="341"/>
      <c r="S150" s="53"/>
      <c r="V150" s="344"/>
      <c r="W150" s="345" t="s">
        <v>282</v>
      </c>
      <c r="X150" s="344"/>
      <c r="Y150" s="344"/>
      <c r="Z150" s="620"/>
      <c r="AE150" s="78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26"/>
      <c r="BE150" s="26"/>
    </row>
    <row r="151" spans="1:58">
      <c r="A151" s="69"/>
      <c r="B151" s="70"/>
      <c r="C151" s="70"/>
      <c r="D151" s="70"/>
      <c r="E151" s="71"/>
      <c r="F151" s="71"/>
      <c r="G151" s="72"/>
      <c r="H151" s="72"/>
      <c r="I151" s="72"/>
      <c r="J151" s="86"/>
      <c r="K151" s="86"/>
      <c r="O151" s="73"/>
      <c r="P151" s="74"/>
      <c r="Q151" s="72"/>
      <c r="R151" s="341"/>
      <c r="S151" s="53"/>
      <c r="V151" s="344"/>
      <c r="W151" s="347" t="s">
        <v>272</v>
      </c>
      <c r="X151" s="351">
        <f>Y144</f>
        <v>0</v>
      </c>
      <c r="Y151" s="348"/>
      <c r="Z151" s="620"/>
      <c r="AE151" s="78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26"/>
      <c r="BE151" s="26"/>
    </row>
    <row r="152" spans="1:58">
      <c r="R152" s="89"/>
      <c r="V152" s="344"/>
      <c r="W152" s="347" t="s">
        <v>142</v>
      </c>
      <c r="X152" s="350">
        <f>Z144</f>
        <v>1.8265797894277493E-2</v>
      </c>
      <c r="Y152" s="349"/>
      <c r="Z152" s="621"/>
    </row>
    <row r="153" spans="1:58">
      <c r="R153" s="89"/>
      <c r="V153" s="344"/>
      <c r="W153" s="347" t="s">
        <v>143</v>
      </c>
      <c r="X153" s="350">
        <f>AC144</f>
        <v>9.7928375294151927E-3</v>
      </c>
      <c r="Y153" s="350"/>
      <c r="Z153" s="621"/>
    </row>
    <row r="154" spans="1:58">
      <c r="R154" s="89"/>
      <c r="V154" s="344"/>
      <c r="W154" s="347" t="s">
        <v>144</v>
      </c>
      <c r="X154" s="350">
        <f>AA144</f>
        <v>3.1828602974992577E-2</v>
      </c>
      <c r="Y154" s="349"/>
      <c r="Z154" s="621"/>
    </row>
    <row r="155" spans="1:58">
      <c r="V155" s="344"/>
      <c r="W155" s="347" t="s">
        <v>160</v>
      </c>
      <c r="X155" s="350">
        <f>AB144</f>
        <v>-2.2412056851777986E-3</v>
      </c>
      <c r="Y155" s="349" t="s">
        <v>158</v>
      </c>
      <c r="Z155" s="621"/>
    </row>
    <row r="156" spans="1:58">
      <c r="V156" s="344"/>
      <c r="W156" s="347" t="s">
        <v>211</v>
      </c>
      <c r="X156" s="350">
        <f>AF144</f>
        <v>2.7240960032485799E-3</v>
      </c>
      <c r="Y156" s="349"/>
      <c r="Z156" s="621"/>
    </row>
    <row r="157" spans="1:58">
      <c r="V157" s="344"/>
      <c r="W157" s="347" t="s">
        <v>212</v>
      </c>
      <c r="X157" s="350">
        <f>+AG144</f>
        <v>1.1445781526254536E-3</v>
      </c>
      <c r="Y157" s="349"/>
      <c r="Z157" s="621"/>
    </row>
    <row r="158" spans="1:58">
      <c r="V158" s="344"/>
      <c r="W158" s="347" t="s">
        <v>213</v>
      </c>
      <c r="X158" s="350">
        <f>+AH144</f>
        <v>1.5612046001811189E-2</v>
      </c>
      <c r="Y158" s="349"/>
      <c r="Z158" s="621"/>
    </row>
    <row r="159" spans="1:58">
      <c r="V159" s="344"/>
      <c r="W159" s="347" t="s">
        <v>214</v>
      </c>
      <c r="X159" s="350">
        <f>+AI144</f>
        <v>0</v>
      </c>
      <c r="Y159" s="349"/>
      <c r="Z159" s="621"/>
    </row>
    <row r="160" spans="1:58">
      <c r="V160" s="344"/>
      <c r="W160" s="347" t="s">
        <v>151</v>
      </c>
      <c r="X160" s="350">
        <f>+AJ144</f>
        <v>1.831325044200726E-4</v>
      </c>
      <c r="Y160" s="349"/>
      <c r="Z160" s="621"/>
    </row>
    <row r="161" spans="22:26">
      <c r="V161" s="344"/>
      <c r="W161" s="347" t="s">
        <v>153</v>
      </c>
      <c r="X161" s="350">
        <f>+AK144</f>
        <v>2.0602406747258166E-4</v>
      </c>
      <c r="Y161" s="349"/>
      <c r="Z161" s="621"/>
    </row>
    <row r="162" spans="22:26">
      <c r="V162" s="344"/>
      <c r="W162" s="347" t="s">
        <v>152</v>
      </c>
      <c r="X162" s="350">
        <f>+AL144</f>
        <v>0</v>
      </c>
      <c r="Y162" s="349"/>
      <c r="Z162" s="621"/>
    </row>
    <row r="163" spans="22:26">
      <c r="V163" s="344"/>
      <c r="W163" s="347" t="s">
        <v>145</v>
      </c>
      <c r="X163" s="350">
        <f>+AN144</f>
        <v>8.950601153531048E-3</v>
      </c>
      <c r="Y163" s="349"/>
      <c r="Z163" s="621"/>
    </row>
    <row r="164" spans="22:26">
      <c r="V164" s="344"/>
      <c r="W164" s="347" t="s">
        <v>155</v>
      </c>
      <c r="X164" s="350">
        <f>+AO144</f>
        <v>0</v>
      </c>
      <c r="Y164" s="349"/>
      <c r="Z164" s="621"/>
    </row>
    <row r="165" spans="22:26">
      <c r="V165" s="344"/>
      <c r="W165" s="347" t="s">
        <v>146</v>
      </c>
      <c r="X165" s="350">
        <f>+AP144</f>
        <v>3.2277103904037796E-3</v>
      </c>
      <c r="Y165" s="349"/>
      <c r="Z165" s="621"/>
    </row>
    <row r="166" spans="22:26">
      <c r="V166" s="344"/>
      <c r="W166" s="347" t="s">
        <v>154</v>
      </c>
      <c r="X166" s="350">
        <f>+AQ144</f>
        <v>0</v>
      </c>
      <c r="Y166" s="349"/>
      <c r="Z166" s="621"/>
    </row>
    <row r="167" spans="22:26">
      <c r="V167" s="344"/>
      <c r="W167" s="347" t="s">
        <v>157</v>
      </c>
      <c r="X167" s="350">
        <f>+AS144</f>
        <v>1.2361444048354899E-2</v>
      </c>
      <c r="Y167" s="349"/>
      <c r="Z167" s="621"/>
    </row>
    <row r="168" spans="22:26">
      <c r="V168" s="344"/>
      <c r="W168" s="347" t="s">
        <v>275</v>
      </c>
      <c r="X168" s="350">
        <f>+AT144</f>
        <v>0</v>
      </c>
      <c r="Y168" s="349"/>
      <c r="Z168" s="621"/>
    </row>
    <row r="169" spans="22:26">
      <c r="V169" s="344"/>
      <c r="W169" s="347" t="s">
        <v>252</v>
      </c>
      <c r="X169" s="350">
        <f>+AU144</f>
        <v>0</v>
      </c>
      <c r="Y169" s="349"/>
      <c r="Z169" s="621"/>
    </row>
    <row r="170" spans="22:26">
      <c r="V170" s="344"/>
      <c r="W170" s="347" t="s">
        <v>284</v>
      </c>
      <c r="X170" s="350">
        <f>+AW144</f>
        <v>1.1056624954361882E-2</v>
      </c>
      <c r="Y170" s="349"/>
      <c r="Z170" s="621"/>
    </row>
    <row r="171" spans="22:26">
      <c r="V171" s="344"/>
      <c r="W171" s="347" t="s">
        <v>285</v>
      </c>
      <c r="X171" s="350">
        <f>+AV144</f>
        <v>1.4192769092555627E-3</v>
      </c>
      <c r="Y171" s="349"/>
      <c r="Z171" s="621"/>
    </row>
    <row r="172" spans="22:26">
      <c r="V172" s="344"/>
      <c r="W172" s="344" t="s">
        <v>156</v>
      </c>
      <c r="X172" s="350">
        <f>+AX144+AY144</f>
        <v>1.2773492183300064E-2</v>
      </c>
      <c r="Y172" s="350"/>
      <c r="Z172" s="621"/>
    </row>
    <row r="173" spans="22:26">
      <c r="V173" s="344"/>
      <c r="W173" s="344" t="s">
        <v>283</v>
      </c>
      <c r="X173" s="350">
        <f>+AZ144</f>
        <v>0</v>
      </c>
      <c r="Y173" s="344"/>
      <c r="Z173" s="621"/>
    </row>
    <row r="174" spans="22:26">
      <c r="V174" s="344"/>
      <c r="W174" s="344"/>
      <c r="X174" s="481">
        <f>SUM(X151:X173)</f>
        <v>0.12730505908229256</v>
      </c>
      <c r="Y174" s="344"/>
      <c r="Z174" s="621"/>
    </row>
    <row r="176" spans="22:26">
      <c r="X176" s="89">
        <f>+X174+X143</f>
        <v>1</v>
      </c>
    </row>
  </sheetData>
  <mergeCells count="49"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  <mergeCell ref="AT3:AU4"/>
    <mergeCell ref="AP4:AP5"/>
    <mergeCell ref="AQ4:AQ5"/>
    <mergeCell ref="AR4:AR5"/>
    <mergeCell ref="Y3:Y5"/>
    <mergeCell ref="Z3:Z5"/>
    <mergeCell ref="AA3:AA5"/>
    <mergeCell ref="AB3:AB5"/>
    <mergeCell ref="AC3:AC5"/>
    <mergeCell ref="AD3:AD5"/>
    <mergeCell ref="AE3:AE5"/>
    <mergeCell ref="AF3:AL3"/>
    <mergeCell ref="AM3:AM5"/>
    <mergeCell ref="AN3:AR3"/>
    <mergeCell ref="AS3:AS5"/>
    <mergeCell ref="X3:X5"/>
    <mergeCell ref="G3:K4"/>
    <mergeCell ref="L3:N4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F3:F5"/>
    <mergeCell ref="A3:A5"/>
    <mergeCell ref="B3:B5"/>
    <mergeCell ref="C3:C5"/>
    <mergeCell ref="D3:D5"/>
    <mergeCell ref="E3:E5"/>
  </mergeCells>
  <conditionalFormatting sqref="B9:C9 B103:C103 B108:C108 B136:C136 C144 B142:B144 C141:C142">
    <cfRule type="cellIs" dxfId="797" priority="10194" stopIfTrue="1" operator="equal">
      <formula>"Towel"</formula>
    </cfRule>
    <cfRule type="cellIs" dxfId="796" priority="10195" stopIfTrue="1" operator="equal">
      <formula>"Napkin Hs"</formula>
    </cfRule>
  </conditionalFormatting>
  <conditionalFormatting sqref="C9 C103 C108 C136 C141">
    <cfRule type="cellIs" dxfId="795" priority="10193" stopIfTrue="1" operator="equal">
      <formula>"Napkin Hs"</formula>
    </cfRule>
  </conditionalFormatting>
  <conditionalFormatting sqref="C38:C40">
    <cfRule type="cellIs" dxfId="794" priority="10077" stopIfTrue="1" operator="equal">
      <formula>"Napkin Hs"</formula>
    </cfRule>
  </conditionalFormatting>
  <conditionalFormatting sqref="C42">
    <cfRule type="cellIs" dxfId="793" priority="10061" stopIfTrue="1" operator="equal">
      <formula>"Napkin Hs"</formula>
    </cfRule>
  </conditionalFormatting>
  <conditionalFormatting sqref="C60:C61">
    <cfRule type="cellIs" dxfId="792" priority="10023" stopIfTrue="1" operator="equal">
      <formula>"Napkin Hs"</formula>
    </cfRule>
  </conditionalFormatting>
  <conditionalFormatting sqref="C71">
    <cfRule type="cellIs" dxfId="791" priority="10005" stopIfTrue="1" operator="equal">
      <formula>"Napkin Hs"</formula>
    </cfRule>
  </conditionalFormatting>
  <conditionalFormatting sqref="C75 C77">
    <cfRule type="cellIs" dxfId="790" priority="9993" stopIfTrue="1" operator="equal">
      <formula>"Napkin Hs"</formula>
    </cfRule>
  </conditionalFormatting>
  <conditionalFormatting sqref="C84:C86">
    <cfRule type="cellIs" dxfId="789" priority="9969" stopIfTrue="1" operator="equal">
      <formula>"Napkin Hs"</formula>
    </cfRule>
  </conditionalFormatting>
  <conditionalFormatting sqref="C88:C90">
    <cfRule type="cellIs" dxfId="788" priority="9963" stopIfTrue="1" operator="equal">
      <formula>"Napkin Hs"</formula>
    </cfRule>
  </conditionalFormatting>
  <conditionalFormatting sqref="C92:C94">
    <cfRule type="cellIs" dxfId="787" priority="9951" stopIfTrue="1" operator="equal">
      <formula>"Napkin Hs"</formula>
    </cfRule>
  </conditionalFormatting>
  <conditionalFormatting sqref="C96:C98">
    <cfRule type="cellIs" dxfId="786" priority="9939" stopIfTrue="1" operator="equal">
      <formula>"Napkin Hs"</formula>
    </cfRule>
  </conditionalFormatting>
  <conditionalFormatting sqref="C100:C102">
    <cfRule type="cellIs" dxfId="785" priority="9933" stopIfTrue="1" operator="equal">
      <formula>"Napkin Hs"</formula>
    </cfRule>
  </conditionalFormatting>
  <conditionalFormatting sqref="C104 C106">
    <cfRule type="cellIs" dxfId="784" priority="9921" stopIfTrue="1" operator="equal">
      <formula>"Napkin Hs"</formula>
    </cfRule>
  </conditionalFormatting>
  <conditionalFormatting sqref="C105">
    <cfRule type="cellIs" dxfId="783" priority="9909" stopIfTrue="1" operator="equal">
      <formula>"Napkin Hs"</formula>
    </cfRule>
  </conditionalFormatting>
  <conditionalFormatting sqref="C109 C111">
    <cfRule type="cellIs" dxfId="782" priority="9885" stopIfTrue="1" operator="equal">
      <formula>"Napkin Hs"</formula>
    </cfRule>
  </conditionalFormatting>
  <conditionalFormatting sqref="C110">
    <cfRule type="cellIs" dxfId="781" priority="9873" stopIfTrue="1" operator="equal">
      <formula>"Napkin Hs"</formula>
    </cfRule>
  </conditionalFormatting>
  <conditionalFormatting sqref="C121:C122">
    <cfRule type="cellIs" dxfId="780" priority="9831" stopIfTrue="1" operator="equal">
      <formula>"Napkin Hs"</formula>
    </cfRule>
  </conditionalFormatting>
  <conditionalFormatting sqref="C125">
    <cfRule type="cellIs" dxfId="779" priority="9825" stopIfTrue="1" operator="equal">
      <formula>"Napkin Hs"</formula>
    </cfRule>
  </conditionalFormatting>
  <conditionalFormatting sqref="C130:C131">
    <cfRule type="cellIs" dxfId="778" priority="9819" stopIfTrue="1" operator="equal">
      <formula>"Napkin Hs"</formula>
    </cfRule>
  </conditionalFormatting>
  <conditionalFormatting sqref="C8">
    <cfRule type="cellIs" dxfId="777" priority="9813" stopIfTrue="1" operator="equal">
      <formula>"Napkin Hs"</formula>
    </cfRule>
  </conditionalFormatting>
  <conditionalFormatting sqref="C10">
    <cfRule type="cellIs" dxfId="776" priority="9807" stopIfTrue="1" operator="equal">
      <formula>"Napkin Hs"</formula>
    </cfRule>
  </conditionalFormatting>
  <conditionalFormatting sqref="C15">
    <cfRule type="cellIs" dxfId="775" priority="9789" stopIfTrue="1" operator="equal">
      <formula>"Napkin Hs"</formula>
    </cfRule>
  </conditionalFormatting>
  <conditionalFormatting sqref="C21">
    <cfRule type="cellIs" dxfId="774" priority="9783" stopIfTrue="1" operator="equal">
      <formula>"Napkin Hs"</formula>
    </cfRule>
  </conditionalFormatting>
  <conditionalFormatting sqref="C23">
    <cfRule type="cellIs" dxfId="773" priority="9777" stopIfTrue="1" operator="equal">
      <formula>"Napkin Hs"</formula>
    </cfRule>
  </conditionalFormatting>
  <conditionalFormatting sqref="C29">
    <cfRule type="cellIs" dxfId="772" priority="9765" stopIfTrue="1" operator="equal">
      <formula>"Napkin Hs"</formula>
    </cfRule>
  </conditionalFormatting>
  <conditionalFormatting sqref="C27">
    <cfRule type="cellIs" dxfId="771" priority="9759" stopIfTrue="1" operator="equal">
      <formula>"Napkin Hs"</formula>
    </cfRule>
  </conditionalFormatting>
  <conditionalFormatting sqref="C28">
    <cfRule type="cellIs" dxfId="770" priority="9753" stopIfTrue="1" operator="equal">
      <formula>"Napkin Hs"</formula>
    </cfRule>
  </conditionalFormatting>
  <conditionalFormatting sqref="C7">
    <cfRule type="cellIs" dxfId="769" priority="9747" stopIfTrue="1" operator="equal">
      <formula>"Napkin Hs"</formula>
    </cfRule>
  </conditionalFormatting>
  <conditionalFormatting sqref="C6">
    <cfRule type="cellIs" dxfId="768" priority="9671" stopIfTrue="1" operator="equal">
      <formula>"Napkin Hs"</formula>
    </cfRule>
  </conditionalFormatting>
  <conditionalFormatting sqref="C14">
    <cfRule type="cellIs" dxfId="767" priority="9597" stopIfTrue="1" operator="equal">
      <formula>"Napkin Hs"</formula>
    </cfRule>
  </conditionalFormatting>
  <conditionalFormatting sqref="C13">
    <cfRule type="cellIs" dxfId="766" priority="9591" stopIfTrue="1" operator="equal">
      <formula>"Napkin Hs"</formula>
    </cfRule>
  </conditionalFormatting>
  <conditionalFormatting sqref="C12">
    <cfRule type="cellIs" dxfId="765" priority="9585" stopIfTrue="1" operator="equal">
      <formula>"Napkin Hs"</formula>
    </cfRule>
  </conditionalFormatting>
  <conditionalFormatting sqref="C11">
    <cfRule type="cellIs" dxfId="764" priority="9509" stopIfTrue="1" operator="equal">
      <formula>"Napkin Hs"</formula>
    </cfRule>
  </conditionalFormatting>
  <conditionalFormatting sqref="C19">
    <cfRule type="cellIs" dxfId="763" priority="9435" stopIfTrue="1" operator="equal">
      <formula>"Napkin Hs"</formula>
    </cfRule>
  </conditionalFormatting>
  <conditionalFormatting sqref="C18">
    <cfRule type="cellIs" dxfId="762" priority="9429" stopIfTrue="1" operator="equal">
      <formula>"Napkin Hs"</formula>
    </cfRule>
  </conditionalFormatting>
  <conditionalFormatting sqref="C16">
    <cfRule type="cellIs" dxfId="761" priority="9347" stopIfTrue="1" operator="equal">
      <formula>"Napkin Hs"</formula>
    </cfRule>
  </conditionalFormatting>
  <conditionalFormatting sqref="C17">
    <cfRule type="cellIs" dxfId="760" priority="9273" stopIfTrue="1" operator="equal">
      <formula>"Napkin Hs"</formula>
    </cfRule>
  </conditionalFormatting>
  <conditionalFormatting sqref="C23">
    <cfRule type="cellIs" dxfId="759" priority="9193" stopIfTrue="1" operator="equal">
      <formula>"Napkin Hs"</formula>
    </cfRule>
  </conditionalFormatting>
  <conditionalFormatting sqref="C21">
    <cfRule type="cellIs" dxfId="758" priority="9107" stopIfTrue="1" operator="equal">
      <formula>"Napkin Hs"</formula>
    </cfRule>
  </conditionalFormatting>
  <conditionalFormatting sqref="C20">
    <cfRule type="cellIs" dxfId="757" priority="9033" stopIfTrue="1" operator="equal">
      <formula>"Napkin Hs"</formula>
    </cfRule>
  </conditionalFormatting>
  <conditionalFormatting sqref="C20">
    <cfRule type="cellIs" dxfId="756" priority="9027" stopIfTrue="1" operator="equal">
      <formula>"Napkin Hs"</formula>
    </cfRule>
  </conditionalFormatting>
  <conditionalFormatting sqref="C26">
    <cfRule type="cellIs" dxfId="755" priority="8953" stopIfTrue="1" operator="equal">
      <formula>"Napkin Hs"</formula>
    </cfRule>
  </conditionalFormatting>
  <conditionalFormatting sqref="C25">
    <cfRule type="cellIs" dxfId="754" priority="8947" stopIfTrue="1" operator="equal">
      <formula>"Napkin Hs"</formula>
    </cfRule>
  </conditionalFormatting>
  <conditionalFormatting sqref="C26">
    <cfRule type="cellIs" dxfId="753" priority="8941" stopIfTrue="1" operator="equal">
      <formula>"Napkin Hs"</formula>
    </cfRule>
  </conditionalFormatting>
  <conditionalFormatting sqref="C25">
    <cfRule type="cellIs" dxfId="752" priority="8935" stopIfTrue="1" operator="equal">
      <formula>"Napkin Hs"</formula>
    </cfRule>
  </conditionalFormatting>
  <conditionalFormatting sqref="C24">
    <cfRule type="cellIs" dxfId="751" priority="8781" stopIfTrue="1" operator="equal">
      <formula>"Napkin Hs"</formula>
    </cfRule>
  </conditionalFormatting>
  <conditionalFormatting sqref="C24">
    <cfRule type="cellIs" dxfId="750" priority="8775" stopIfTrue="1" operator="equal">
      <formula>"Napkin Hs"</formula>
    </cfRule>
  </conditionalFormatting>
  <conditionalFormatting sqref="C22">
    <cfRule type="cellIs" dxfId="749" priority="8701" stopIfTrue="1" operator="equal">
      <formula>"Napkin Hs"</formula>
    </cfRule>
  </conditionalFormatting>
  <conditionalFormatting sqref="C22">
    <cfRule type="cellIs" dxfId="748" priority="8695" stopIfTrue="1" operator="equal">
      <formula>"Napkin Hs"</formula>
    </cfRule>
  </conditionalFormatting>
  <conditionalFormatting sqref="C24">
    <cfRule type="cellIs" dxfId="747" priority="8621" stopIfTrue="1" operator="equal">
      <formula>"Napkin Hs"</formula>
    </cfRule>
  </conditionalFormatting>
  <conditionalFormatting sqref="C28">
    <cfRule type="cellIs" dxfId="746" priority="8603" stopIfTrue="1" operator="equal">
      <formula>"Napkin Hs"</formula>
    </cfRule>
  </conditionalFormatting>
  <conditionalFormatting sqref="C29">
    <cfRule type="cellIs" dxfId="745" priority="8597" stopIfTrue="1" operator="equal">
      <formula>"Napkin Hs"</formula>
    </cfRule>
  </conditionalFormatting>
  <conditionalFormatting sqref="C24">
    <cfRule type="cellIs" dxfId="744" priority="8591" stopIfTrue="1" operator="equal">
      <formula>"Napkin Hs"</formula>
    </cfRule>
  </conditionalFormatting>
  <conditionalFormatting sqref="C27">
    <cfRule type="cellIs" dxfId="743" priority="8585" stopIfTrue="1" operator="equal">
      <formula>"Napkin Hs"</formula>
    </cfRule>
  </conditionalFormatting>
  <conditionalFormatting sqref="C26">
    <cfRule type="cellIs" dxfId="742" priority="8579" stopIfTrue="1" operator="equal">
      <formula>"Napkin Hs"</formula>
    </cfRule>
  </conditionalFormatting>
  <conditionalFormatting sqref="C27">
    <cfRule type="cellIs" dxfId="741" priority="8573" stopIfTrue="1" operator="equal">
      <formula>"Napkin Hs"</formula>
    </cfRule>
  </conditionalFormatting>
  <conditionalFormatting sqref="C26">
    <cfRule type="cellIs" dxfId="740" priority="8567" stopIfTrue="1" operator="equal">
      <formula>"Napkin Hs"</formula>
    </cfRule>
  </conditionalFormatting>
  <conditionalFormatting sqref="C25">
    <cfRule type="cellIs" dxfId="739" priority="8493" stopIfTrue="1" operator="equal">
      <formula>"Napkin Hs"</formula>
    </cfRule>
  </conditionalFormatting>
  <conditionalFormatting sqref="C25">
    <cfRule type="cellIs" dxfId="738" priority="8487" stopIfTrue="1" operator="equal">
      <formula>"Napkin Hs"</formula>
    </cfRule>
  </conditionalFormatting>
  <conditionalFormatting sqref="C32">
    <cfRule type="cellIs" dxfId="737" priority="8413" stopIfTrue="1" operator="equal">
      <formula>"Napkin Hs"</formula>
    </cfRule>
  </conditionalFormatting>
  <conditionalFormatting sqref="C31">
    <cfRule type="cellIs" dxfId="736" priority="8407" stopIfTrue="1" operator="equal">
      <formula>"Napkin Hs"</formula>
    </cfRule>
  </conditionalFormatting>
  <conditionalFormatting sqref="C30:C32">
    <cfRule type="cellIs" dxfId="735" priority="8401" stopIfTrue="1" operator="equal">
      <formula>"Napkin Hs"</formula>
    </cfRule>
  </conditionalFormatting>
  <conditionalFormatting sqref="C31">
    <cfRule type="cellIs" dxfId="734" priority="8395" stopIfTrue="1" operator="equal">
      <formula>"Napkin Hs"</formula>
    </cfRule>
  </conditionalFormatting>
  <conditionalFormatting sqref="C30:C32">
    <cfRule type="cellIs" dxfId="733" priority="8389" stopIfTrue="1" operator="equal">
      <formula>"Napkin Hs"</formula>
    </cfRule>
  </conditionalFormatting>
  <conditionalFormatting sqref="C32">
    <cfRule type="cellIs" dxfId="732" priority="8315" stopIfTrue="1" operator="equal">
      <formula>"Napkin Hs"</formula>
    </cfRule>
  </conditionalFormatting>
  <conditionalFormatting sqref="C31">
    <cfRule type="cellIs" dxfId="731" priority="8309" stopIfTrue="1" operator="equal">
      <formula>"Napkin Hs"</formula>
    </cfRule>
  </conditionalFormatting>
  <conditionalFormatting sqref="C32">
    <cfRule type="cellIs" dxfId="730" priority="8303" stopIfTrue="1" operator="equal">
      <formula>"Napkin Hs"</formula>
    </cfRule>
  </conditionalFormatting>
  <conditionalFormatting sqref="C31">
    <cfRule type="cellIs" dxfId="729" priority="8297" stopIfTrue="1" operator="equal">
      <formula>"Napkin Hs"</formula>
    </cfRule>
  </conditionalFormatting>
  <conditionalFormatting sqref="C30:C32">
    <cfRule type="cellIs" dxfId="728" priority="8223" stopIfTrue="1" operator="equal">
      <formula>"Napkin Hs"</formula>
    </cfRule>
  </conditionalFormatting>
  <conditionalFormatting sqref="C30:C32">
    <cfRule type="cellIs" dxfId="727" priority="8217" stopIfTrue="1" operator="equal">
      <formula>"Napkin Hs"</formula>
    </cfRule>
  </conditionalFormatting>
  <conditionalFormatting sqref="C36">
    <cfRule type="cellIs" dxfId="726" priority="8143" stopIfTrue="1" operator="equal">
      <formula>"Napkin Hs"</formula>
    </cfRule>
  </conditionalFormatting>
  <conditionalFormatting sqref="C35">
    <cfRule type="cellIs" dxfId="725" priority="8137" stopIfTrue="1" operator="equal">
      <formula>"Napkin Hs"</formula>
    </cfRule>
  </conditionalFormatting>
  <conditionalFormatting sqref="C35:C36">
    <cfRule type="cellIs" dxfId="724" priority="8131" stopIfTrue="1" operator="equal">
      <formula>"Napkin Hs"</formula>
    </cfRule>
  </conditionalFormatting>
  <conditionalFormatting sqref="C35">
    <cfRule type="cellIs" dxfId="723" priority="8125" stopIfTrue="1" operator="equal">
      <formula>"Napkin Hs"</formula>
    </cfRule>
  </conditionalFormatting>
  <conditionalFormatting sqref="C35:C36">
    <cfRule type="cellIs" dxfId="722" priority="8119" stopIfTrue="1" operator="equal">
      <formula>"Napkin Hs"</formula>
    </cfRule>
  </conditionalFormatting>
  <conditionalFormatting sqref="C36">
    <cfRule type="cellIs" dxfId="721" priority="8045" stopIfTrue="1" operator="equal">
      <formula>"Napkin Hs"</formula>
    </cfRule>
  </conditionalFormatting>
  <conditionalFormatting sqref="C35">
    <cfRule type="cellIs" dxfId="720" priority="8039" stopIfTrue="1" operator="equal">
      <formula>"Napkin Hs"</formula>
    </cfRule>
  </conditionalFormatting>
  <conditionalFormatting sqref="C36">
    <cfRule type="cellIs" dxfId="719" priority="8033" stopIfTrue="1" operator="equal">
      <formula>"Napkin Hs"</formula>
    </cfRule>
  </conditionalFormatting>
  <conditionalFormatting sqref="C35">
    <cfRule type="cellIs" dxfId="718" priority="8027" stopIfTrue="1" operator="equal">
      <formula>"Napkin Hs"</formula>
    </cfRule>
  </conditionalFormatting>
  <conditionalFormatting sqref="C35:C36">
    <cfRule type="cellIs" dxfId="717" priority="7953" stopIfTrue="1" operator="equal">
      <formula>"Napkin Hs"</formula>
    </cfRule>
  </conditionalFormatting>
  <conditionalFormatting sqref="C35:C36">
    <cfRule type="cellIs" dxfId="716" priority="7947" stopIfTrue="1" operator="equal">
      <formula>"Napkin Hs"</formula>
    </cfRule>
  </conditionalFormatting>
  <conditionalFormatting sqref="C34">
    <cfRule type="cellIs" dxfId="715" priority="7873" stopIfTrue="1" operator="equal">
      <formula>"Napkin Hs"</formula>
    </cfRule>
  </conditionalFormatting>
  <conditionalFormatting sqref="C34">
    <cfRule type="cellIs" dxfId="714" priority="7867" stopIfTrue="1" operator="equal">
      <formula>"Napkin Hs"</formula>
    </cfRule>
  </conditionalFormatting>
  <conditionalFormatting sqref="C34">
    <cfRule type="cellIs" dxfId="713" priority="7861" stopIfTrue="1" operator="equal">
      <formula>"Napkin Hs"</formula>
    </cfRule>
  </conditionalFormatting>
  <conditionalFormatting sqref="C34">
    <cfRule type="cellIs" dxfId="712" priority="7787" stopIfTrue="1" operator="equal">
      <formula>"Napkin Hs"</formula>
    </cfRule>
  </conditionalFormatting>
  <conditionalFormatting sqref="C34">
    <cfRule type="cellIs" dxfId="711" priority="7781" stopIfTrue="1" operator="equal">
      <formula>"Napkin Hs"</formula>
    </cfRule>
  </conditionalFormatting>
  <conditionalFormatting sqref="C34">
    <cfRule type="cellIs" dxfId="710" priority="7775" stopIfTrue="1" operator="equal">
      <formula>"Napkin Hs"</formula>
    </cfRule>
  </conditionalFormatting>
  <conditionalFormatting sqref="C34">
    <cfRule type="cellIs" dxfId="709" priority="7769" stopIfTrue="1" operator="equal">
      <formula>"Napkin Hs"</formula>
    </cfRule>
  </conditionalFormatting>
  <conditionalFormatting sqref="C42">
    <cfRule type="cellIs" dxfId="708" priority="7689" stopIfTrue="1" operator="equal">
      <formula>"Napkin Hs"</formula>
    </cfRule>
  </conditionalFormatting>
  <conditionalFormatting sqref="C40">
    <cfRule type="cellIs" dxfId="707" priority="7683" stopIfTrue="1" operator="equal">
      <formula>"Napkin Hs"</formula>
    </cfRule>
  </conditionalFormatting>
  <conditionalFormatting sqref="C39">
    <cfRule type="cellIs" dxfId="706" priority="7677" stopIfTrue="1" operator="equal">
      <formula>"Napkin Hs"</formula>
    </cfRule>
  </conditionalFormatting>
  <conditionalFormatting sqref="C39:C40">
    <cfRule type="cellIs" dxfId="705" priority="7671" stopIfTrue="1" operator="equal">
      <formula>"Napkin Hs"</formula>
    </cfRule>
  </conditionalFormatting>
  <conditionalFormatting sqref="C39">
    <cfRule type="cellIs" dxfId="704" priority="7665" stopIfTrue="1" operator="equal">
      <formula>"Napkin Hs"</formula>
    </cfRule>
  </conditionalFormatting>
  <conditionalFormatting sqref="C39:C40">
    <cfRule type="cellIs" dxfId="703" priority="7659" stopIfTrue="1" operator="equal">
      <formula>"Napkin Hs"</formula>
    </cfRule>
  </conditionalFormatting>
  <conditionalFormatting sqref="C40">
    <cfRule type="cellIs" dxfId="702" priority="7585" stopIfTrue="1" operator="equal">
      <formula>"Napkin Hs"</formula>
    </cfRule>
  </conditionalFormatting>
  <conditionalFormatting sqref="C39">
    <cfRule type="cellIs" dxfId="701" priority="7579" stopIfTrue="1" operator="equal">
      <formula>"Napkin Hs"</formula>
    </cfRule>
  </conditionalFormatting>
  <conditionalFormatting sqref="C40">
    <cfRule type="cellIs" dxfId="700" priority="7573" stopIfTrue="1" operator="equal">
      <formula>"Napkin Hs"</formula>
    </cfRule>
  </conditionalFormatting>
  <conditionalFormatting sqref="C39">
    <cfRule type="cellIs" dxfId="699" priority="7567" stopIfTrue="1" operator="equal">
      <formula>"Napkin Hs"</formula>
    </cfRule>
  </conditionalFormatting>
  <conditionalFormatting sqref="C39:C40">
    <cfRule type="cellIs" dxfId="698" priority="7493" stopIfTrue="1" operator="equal">
      <formula>"Napkin Hs"</formula>
    </cfRule>
  </conditionalFormatting>
  <conditionalFormatting sqref="C39:C40">
    <cfRule type="cellIs" dxfId="697" priority="7487" stopIfTrue="1" operator="equal">
      <formula>"Napkin Hs"</formula>
    </cfRule>
  </conditionalFormatting>
  <conditionalFormatting sqref="C38">
    <cfRule type="cellIs" dxfId="696" priority="7413" stopIfTrue="1" operator="equal">
      <formula>"Napkin Hs"</formula>
    </cfRule>
  </conditionalFormatting>
  <conditionalFormatting sqref="C38">
    <cfRule type="cellIs" dxfId="695" priority="7407" stopIfTrue="1" operator="equal">
      <formula>"Napkin Hs"</formula>
    </cfRule>
  </conditionalFormatting>
  <conditionalFormatting sqref="C38">
    <cfRule type="cellIs" dxfId="694" priority="7401" stopIfTrue="1" operator="equal">
      <formula>"Napkin Hs"</formula>
    </cfRule>
  </conditionalFormatting>
  <conditionalFormatting sqref="C38">
    <cfRule type="cellIs" dxfId="693" priority="7327" stopIfTrue="1" operator="equal">
      <formula>"Napkin Hs"</formula>
    </cfRule>
  </conditionalFormatting>
  <conditionalFormatting sqref="C38">
    <cfRule type="cellIs" dxfId="692" priority="7321" stopIfTrue="1" operator="equal">
      <formula>"Napkin Hs"</formula>
    </cfRule>
  </conditionalFormatting>
  <conditionalFormatting sqref="C38">
    <cfRule type="cellIs" dxfId="691" priority="7315" stopIfTrue="1" operator="equal">
      <formula>"Napkin Hs"</formula>
    </cfRule>
  </conditionalFormatting>
  <conditionalFormatting sqref="C38">
    <cfRule type="cellIs" dxfId="690" priority="7309" stopIfTrue="1" operator="equal">
      <formula>"Napkin Hs"</formula>
    </cfRule>
  </conditionalFormatting>
  <conditionalFormatting sqref="C43:C45">
    <cfRule type="cellIs" dxfId="689" priority="7235" stopIfTrue="1" operator="equal">
      <formula>"Napkin Hs"</formula>
    </cfRule>
  </conditionalFormatting>
  <conditionalFormatting sqref="C45">
    <cfRule type="cellIs" dxfId="688" priority="7229" stopIfTrue="1" operator="equal">
      <formula>"Napkin Hs"</formula>
    </cfRule>
  </conditionalFormatting>
  <conditionalFormatting sqref="C44">
    <cfRule type="cellIs" dxfId="687" priority="7223" stopIfTrue="1" operator="equal">
      <formula>"Napkin Hs"</formula>
    </cfRule>
  </conditionalFormatting>
  <conditionalFormatting sqref="C44:C45">
    <cfRule type="cellIs" dxfId="686" priority="7217" stopIfTrue="1" operator="equal">
      <formula>"Napkin Hs"</formula>
    </cfRule>
  </conditionalFormatting>
  <conditionalFormatting sqref="C44">
    <cfRule type="cellIs" dxfId="685" priority="7211" stopIfTrue="1" operator="equal">
      <formula>"Napkin Hs"</formula>
    </cfRule>
  </conditionalFormatting>
  <conditionalFormatting sqref="C44:C45">
    <cfRule type="cellIs" dxfId="684" priority="7205" stopIfTrue="1" operator="equal">
      <formula>"Napkin Hs"</formula>
    </cfRule>
  </conditionalFormatting>
  <conditionalFormatting sqref="C45">
    <cfRule type="cellIs" dxfId="683" priority="7131" stopIfTrue="1" operator="equal">
      <formula>"Napkin Hs"</formula>
    </cfRule>
  </conditionalFormatting>
  <conditionalFormatting sqref="C44">
    <cfRule type="cellIs" dxfId="682" priority="7125" stopIfTrue="1" operator="equal">
      <formula>"Napkin Hs"</formula>
    </cfRule>
  </conditionalFormatting>
  <conditionalFormatting sqref="C45">
    <cfRule type="cellIs" dxfId="681" priority="7119" stopIfTrue="1" operator="equal">
      <formula>"Napkin Hs"</formula>
    </cfRule>
  </conditionalFormatting>
  <conditionalFormatting sqref="C44">
    <cfRule type="cellIs" dxfId="680" priority="7113" stopIfTrue="1" operator="equal">
      <formula>"Napkin Hs"</formula>
    </cfRule>
  </conditionalFormatting>
  <conditionalFormatting sqref="C44:C45">
    <cfRule type="cellIs" dxfId="679" priority="7039" stopIfTrue="1" operator="equal">
      <formula>"Napkin Hs"</formula>
    </cfRule>
  </conditionalFormatting>
  <conditionalFormatting sqref="C44:C45">
    <cfRule type="cellIs" dxfId="678" priority="7033" stopIfTrue="1" operator="equal">
      <formula>"Napkin Hs"</formula>
    </cfRule>
  </conditionalFormatting>
  <conditionalFormatting sqref="C43">
    <cfRule type="cellIs" dxfId="677" priority="6959" stopIfTrue="1" operator="equal">
      <formula>"Napkin Hs"</formula>
    </cfRule>
  </conditionalFormatting>
  <conditionalFormatting sqref="C43">
    <cfRule type="cellIs" dxfId="676" priority="6953" stopIfTrue="1" operator="equal">
      <formula>"Napkin Hs"</formula>
    </cfRule>
  </conditionalFormatting>
  <conditionalFormatting sqref="C43">
    <cfRule type="cellIs" dxfId="675" priority="6947" stopIfTrue="1" operator="equal">
      <formula>"Napkin Hs"</formula>
    </cfRule>
  </conditionalFormatting>
  <conditionalFormatting sqref="C43">
    <cfRule type="cellIs" dxfId="674" priority="6873" stopIfTrue="1" operator="equal">
      <formula>"Napkin Hs"</formula>
    </cfRule>
  </conditionalFormatting>
  <conditionalFormatting sqref="C43">
    <cfRule type="cellIs" dxfId="673" priority="6867" stopIfTrue="1" operator="equal">
      <formula>"Napkin Hs"</formula>
    </cfRule>
  </conditionalFormatting>
  <conditionalFormatting sqref="C43">
    <cfRule type="cellIs" dxfId="672" priority="6861" stopIfTrue="1" operator="equal">
      <formula>"Napkin Hs"</formula>
    </cfRule>
  </conditionalFormatting>
  <conditionalFormatting sqref="C43">
    <cfRule type="cellIs" dxfId="671" priority="6855" stopIfTrue="1" operator="equal">
      <formula>"Napkin Hs"</formula>
    </cfRule>
  </conditionalFormatting>
  <conditionalFormatting sqref="C48:C50">
    <cfRule type="cellIs" dxfId="670" priority="6769" stopIfTrue="1" operator="equal">
      <formula>"Napkin Hs"</formula>
    </cfRule>
  </conditionalFormatting>
  <conditionalFormatting sqref="C50">
    <cfRule type="cellIs" dxfId="669" priority="6763" stopIfTrue="1" operator="equal">
      <formula>"Napkin Hs"</formula>
    </cfRule>
  </conditionalFormatting>
  <conditionalFormatting sqref="C49">
    <cfRule type="cellIs" dxfId="668" priority="6757" stopIfTrue="1" operator="equal">
      <formula>"Napkin Hs"</formula>
    </cfRule>
  </conditionalFormatting>
  <conditionalFormatting sqref="C49:C50">
    <cfRule type="cellIs" dxfId="667" priority="6751" stopIfTrue="1" operator="equal">
      <formula>"Napkin Hs"</formula>
    </cfRule>
  </conditionalFormatting>
  <conditionalFormatting sqref="C49">
    <cfRule type="cellIs" dxfId="666" priority="6745" stopIfTrue="1" operator="equal">
      <formula>"Napkin Hs"</formula>
    </cfRule>
  </conditionalFormatting>
  <conditionalFormatting sqref="C49:C50">
    <cfRule type="cellIs" dxfId="665" priority="6739" stopIfTrue="1" operator="equal">
      <formula>"Napkin Hs"</formula>
    </cfRule>
  </conditionalFormatting>
  <conditionalFormatting sqref="C50">
    <cfRule type="cellIs" dxfId="664" priority="6665" stopIfTrue="1" operator="equal">
      <formula>"Napkin Hs"</formula>
    </cfRule>
  </conditionalFormatting>
  <conditionalFormatting sqref="C49">
    <cfRule type="cellIs" dxfId="663" priority="6659" stopIfTrue="1" operator="equal">
      <formula>"Napkin Hs"</formula>
    </cfRule>
  </conditionalFormatting>
  <conditionalFormatting sqref="C50">
    <cfRule type="cellIs" dxfId="662" priority="6653" stopIfTrue="1" operator="equal">
      <formula>"Napkin Hs"</formula>
    </cfRule>
  </conditionalFormatting>
  <conditionalFormatting sqref="C49">
    <cfRule type="cellIs" dxfId="661" priority="6647" stopIfTrue="1" operator="equal">
      <formula>"Napkin Hs"</formula>
    </cfRule>
  </conditionalFormatting>
  <conditionalFormatting sqref="C49:C50">
    <cfRule type="cellIs" dxfId="660" priority="6573" stopIfTrue="1" operator="equal">
      <formula>"Napkin Hs"</formula>
    </cfRule>
  </conditionalFormatting>
  <conditionalFormatting sqref="C49:C50">
    <cfRule type="cellIs" dxfId="659" priority="6567" stopIfTrue="1" operator="equal">
      <formula>"Napkin Hs"</formula>
    </cfRule>
  </conditionalFormatting>
  <conditionalFormatting sqref="C48">
    <cfRule type="cellIs" dxfId="658" priority="6493" stopIfTrue="1" operator="equal">
      <formula>"Napkin Hs"</formula>
    </cfRule>
  </conditionalFormatting>
  <conditionalFormatting sqref="C48">
    <cfRule type="cellIs" dxfId="657" priority="6487" stopIfTrue="1" operator="equal">
      <formula>"Napkin Hs"</formula>
    </cfRule>
  </conditionalFormatting>
  <conditionalFormatting sqref="C48">
    <cfRule type="cellIs" dxfId="656" priority="6481" stopIfTrue="1" operator="equal">
      <formula>"Napkin Hs"</formula>
    </cfRule>
  </conditionalFormatting>
  <conditionalFormatting sqref="C48">
    <cfRule type="cellIs" dxfId="655" priority="6407" stopIfTrue="1" operator="equal">
      <formula>"Napkin Hs"</formula>
    </cfRule>
  </conditionalFormatting>
  <conditionalFormatting sqref="C48">
    <cfRule type="cellIs" dxfId="654" priority="6401" stopIfTrue="1" operator="equal">
      <formula>"Napkin Hs"</formula>
    </cfRule>
  </conditionalFormatting>
  <conditionalFormatting sqref="C48">
    <cfRule type="cellIs" dxfId="653" priority="6395" stopIfTrue="1" operator="equal">
      <formula>"Napkin Hs"</formula>
    </cfRule>
  </conditionalFormatting>
  <conditionalFormatting sqref="C48">
    <cfRule type="cellIs" dxfId="652" priority="6389" stopIfTrue="1" operator="equal">
      <formula>"Napkin Hs"</formula>
    </cfRule>
  </conditionalFormatting>
  <conditionalFormatting sqref="C52 C54">
    <cfRule type="cellIs" dxfId="651" priority="6309" stopIfTrue="1" operator="equal">
      <formula>"Napkin Hs"</formula>
    </cfRule>
  </conditionalFormatting>
  <conditionalFormatting sqref="C54">
    <cfRule type="cellIs" dxfId="650" priority="6303" stopIfTrue="1" operator="equal">
      <formula>"Napkin Hs"</formula>
    </cfRule>
  </conditionalFormatting>
  <conditionalFormatting sqref="C54">
    <cfRule type="cellIs" dxfId="649" priority="6291" stopIfTrue="1" operator="equal">
      <formula>"Napkin Hs"</formula>
    </cfRule>
  </conditionalFormatting>
  <conditionalFormatting sqref="C54">
    <cfRule type="cellIs" dxfId="648" priority="6279" stopIfTrue="1" operator="equal">
      <formula>"Napkin Hs"</formula>
    </cfRule>
  </conditionalFormatting>
  <conditionalFormatting sqref="C54">
    <cfRule type="cellIs" dxfId="647" priority="6205" stopIfTrue="1" operator="equal">
      <formula>"Napkin Hs"</formula>
    </cfRule>
  </conditionalFormatting>
  <conditionalFormatting sqref="C54">
    <cfRule type="cellIs" dxfId="646" priority="6193" stopIfTrue="1" operator="equal">
      <formula>"Napkin Hs"</formula>
    </cfRule>
  </conditionalFormatting>
  <conditionalFormatting sqref="C54">
    <cfRule type="cellIs" dxfId="645" priority="6113" stopIfTrue="1" operator="equal">
      <formula>"Napkin Hs"</formula>
    </cfRule>
  </conditionalFormatting>
  <conditionalFormatting sqref="C54">
    <cfRule type="cellIs" dxfId="644" priority="6107" stopIfTrue="1" operator="equal">
      <formula>"Napkin Hs"</formula>
    </cfRule>
  </conditionalFormatting>
  <conditionalFormatting sqref="C52">
    <cfRule type="cellIs" dxfId="643" priority="6033" stopIfTrue="1" operator="equal">
      <formula>"Napkin Hs"</formula>
    </cfRule>
  </conditionalFormatting>
  <conditionalFormatting sqref="C52">
    <cfRule type="cellIs" dxfId="642" priority="6027" stopIfTrue="1" operator="equal">
      <formula>"Napkin Hs"</formula>
    </cfRule>
  </conditionalFormatting>
  <conditionalFormatting sqref="C52">
    <cfRule type="cellIs" dxfId="641" priority="6021" stopIfTrue="1" operator="equal">
      <formula>"Napkin Hs"</formula>
    </cfRule>
  </conditionalFormatting>
  <conditionalFormatting sqref="C52">
    <cfRule type="cellIs" dxfId="640" priority="5947" stopIfTrue="1" operator="equal">
      <formula>"Napkin Hs"</formula>
    </cfRule>
  </conditionalFormatting>
  <conditionalFormatting sqref="C52">
    <cfRule type="cellIs" dxfId="639" priority="5941" stopIfTrue="1" operator="equal">
      <formula>"Napkin Hs"</formula>
    </cfRule>
  </conditionalFormatting>
  <conditionalFormatting sqref="C52">
    <cfRule type="cellIs" dxfId="638" priority="5935" stopIfTrue="1" operator="equal">
      <formula>"Napkin Hs"</formula>
    </cfRule>
  </conditionalFormatting>
  <conditionalFormatting sqref="C52">
    <cfRule type="cellIs" dxfId="637" priority="5929" stopIfTrue="1" operator="equal">
      <formula>"Napkin Hs"</formula>
    </cfRule>
  </conditionalFormatting>
  <conditionalFormatting sqref="C56 C58">
    <cfRule type="cellIs" dxfId="636" priority="5849" stopIfTrue="1" operator="equal">
      <formula>"Napkin Hs"</formula>
    </cfRule>
  </conditionalFormatting>
  <conditionalFormatting sqref="C58">
    <cfRule type="cellIs" dxfId="635" priority="5843" stopIfTrue="1" operator="equal">
      <formula>"Napkin Hs"</formula>
    </cfRule>
  </conditionalFormatting>
  <conditionalFormatting sqref="C58">
    <cfRule type="cellIs" dxfId="634" priority="5831" stopIfTrue="1" operator="equal">
      <formula>"Napkin Hs"</formula>
    </cfRule>
  </conditionalFormatting>
  <conditionalFormatting sqref="C58">
    <cfRule type="cellIs" dxfId="633" priority="5819" stopIfTrue="1" operator="equal">
      <formula>"Napkin Hs"</formula>
    </cfRule>
  </conditionalFormatting>
  <conditionalFormatting sqref="C58">
    <cfRule type="cellIs" dxfId="632" priority="5745" stopIfTrue="1" operator="equal">
      <formula>"Napkin Hs"</formula>
    </cfRule>
  </conditionalFormatting>
  <conditionalFormatting sqref="C58">
    <cfRule type="cellIs" dxfId="631" priority="5733" stopIfTrue="1" operator="equal">
      <formula>"Napkin Hs"</formula>
    </cfRule>
  </conditionalFormatting>
  <conditionalFormatting sqref="C58">
    <cfRule type="cellIs" dxfId="630" priority="5653" stopIfTrue="1" operator="equal">
      <formula>"Napkin Hs"</formula>
    </cfRule>
  </conditionalFormatting>
  <conditionalFormatting sqref="C58">
    <cfRule type="cellIs" dxfId="629" priority="5647" stopIfTrue="1" operator="equal">
      <formula>"Napkin Hs"</formula>
    </cfRule>
  </conditionalFormatting>
  <conditionalFormatting sqref="C56">
    <cfRule type="cellIs" dxfId="628" priority="5573" stopIfTrue="1" operator="equal">
      <formula>"Napkin Hs"</formula>
    </cfRule>
  </conditionalFormatting>
  <conditionalFormatting sqref="C56">
    <cfRule type="cellIs" dxfId="627" priority="5567" stopIfTrue="1" operator="equal">
      <formula>"Napkin Hs"</formula>
    </cfRule>
  </conditionalFormatting>
  <conditionalFormatting sqref="C56">
    <cfRule type="cellIs" dxfId="626" priority="5561" stopIfTrue="1" operator="equal">
      <formula>"Napkin Hs"</formula>
    </cfRule>
  </conditionalFormatting>
  <conditionalFormatting sqref="C56">
    <cfRule type="cellIs" dxfId="625" priority="5487" stopIfTrue="1" operator="equal">
      <formula>"Napkin Hs"</formula>
    </cfRule>
  </conditionalFormatting>
  <conditionalFormatting sqref="C56">
    <cfRule type="cellIs" dxfId="624" priority="5481" stopIfTrue="1" operator="equal">
      <formula>"Napkin Hs"</formula>
    </cfRule>
  </conditionalFormatting>
  <conditionalFormatting sqref="C56">
    <cfRule type="cellIs" dxfId="623" priority="5475" stopIfTrue="1" operator="equal">
      <formula>"Napkin Hs"</formula>
    </cfRule>
  </conditionalFormatting>
  <conditionalFormatting sqref="C56">
    <cfRule type="cellIs" dxfId="622" priority="5469" stopIfTrue="1" operator="equal">
      <formula>"Napkin Hs"</formula>
    </cfRule>
  </conditionalFormatting>
  <conditionalFormatting sqref="C53">
    <cfRule type="cellIs" dxfId="621" priority="5395" stopIfTrue="1" operator="equal">
      <formula>"Napkin Hs"</formula>
    </cfRule>
  </conditionalFormatting>
  <conditionalFormatting sqref="C53">
    <cfRule type="cellIs" dxfId="620" priority="5389" stopIfTrue="1" operator="equal">
      <formula>"Napkin Hs"</formula>
    </cfRule>
  </conditionalFormatting>
  <conditionalFormatting sqref="C53">
    <cfRule type="cellIs" dxfId="619" priority="5383" stopIfTrue="1" operator="equal">
      <formula>"Napkin Hs"</formula>
    </cfRule>
  </conditionalFormatting>
  <conditionalFormatting sqref="C53">
    <cfRule type="cellIs" dxfId="618" priority="5377" stopIfTrue="1" operator="equal">
      <formula>"Napkin Hs"</formula>
    </cfRule>
  </conditionalFormatting>
  <conditionalFormatting sqref="C53">
    <cfRule type="cellIs" dxfId="617" priority="5303" stopIfTrue="1" operator="equal">
      <formula>"Napkin Hs"</formula>
    </cfRule>
  </conditionalFormatting>
  <conditionalFormatting sqref="C53">
    <cfRule type="cellIs" dxfId="616" priority="5297" stopIfTrue="1" operator="equal">
      <formula>"Napkin Hs"</formula>
    </cfRule>
  </conditionalFormatting>
  <conditionalFormatting sqref="C53">
    <cfRule type="cellIs" dxfId="615" priority="5291" stopIfTrue="1" operator="equal">
      <formula>"Napkin Hs"</formula>
    </cfRule>
  </conditionalFormatting>
  <conditionalFormatting sqref="C53">
    <cfRule type="cellIs" dxfId="614" priority="5285" stopIfTrue="1" operator="equal">
      <formula>"Napkin Hs"</formula>
    </cfRule>
  </conditionalFormatting>
  <conditionalFormatting sqref="C57">
    <cfRule type="cellIs" dxfId="613" priority="5211" stopIfTrue="1" operator="equal">
      <formula>"Napkin Hs"</formula>
    </cfRule>
  </conditionalFormatting>
  <conditionalFormatting sqref="C57">
    <cfRule type="cellIs" dxfId="612" priority="5205" stopIfTrue="1" operator="equal">
      <formula>"Napkin Hs"</formula>
    </cfRule>
  </conditionalFormatting>
  <conditionalFormatting sqref="C57">
    <cfRule type="cellIs" dxfId="611" priority="5199" stopIfTrue="1" operator="equal">
      <formula>"Napkin Hs"</formula>
    </cfRule>
  </conditionalFormatting>
  <conditionalFormatting sqref="C57">
    <cfRule type="cellIs" dxfId="610" priority="5193" stopIfTrue="1" operator="equal">
      <formula>"Napkin Hs"</formula>
    </cfRule>
  </conditionalFormatting>
  <conditionalFormatting sqref="C57">
    <cfRule type="cellIs" dxfId="609" priority="5119" stopIfTrue="1" operator="equal">
      <formula>"Napkin Hs"</formula>
    </cfRule>
  </conditionalFormatting>
  <conditionalFormatting sqref="C57">
    <cfRule type="cellIs" dxfId="608" priority="5113" stopIfTrue="1" operator="equal">
      <formula>"Napkin Hs"</formula>
    </cfRule>
  </conditionalFormatting>
  <conditionalFormatting sqref="C57">
    <cfRule type="cellIs" dxfId="607" priority="5107" stopIfTrue="1" operator="equal">
      <formula>"Napkin Hs"</formula>
    </cfRule>
  </conditionalFormatting>
  <conditionalFormatting sqref="C57">
    <cfRule type="cellIs" dxfId="606" priority="5101" stopIfTrue="1" operator="equal">
      <formula>"Napkin Hs"</formula>
    </cfRule>
  </conditionalFormatting>
  <conditionalFormatting sqref="C64">
    <cfRule type="cellIs" dxfId="605" priority="5021" stopIfTrue="1" operator="equal">
      <formula>"Napkin Hs"</formula>
    </cfRule>
  </conditionalFormatting>
  <conditionalFormatting sqref="C64">
    <cfRule type="cellIs" dxfId="604" priority="5015" stopIfTrue="1" operator="equal">
      <formula>"Napkin Hs"</formula>
    </cfRule>
  </conditionalFormatting>
  <conditionalFormatting sqref="C64">
    <cfRule type="cellIs" dxfId="603" priority="5009" stopIfTrue="1" operator="equal">
      <formula>"Napkin Hs"</formula>
    </cfRule>
  </conditionalFormatting>
  <conditionalFormatting sqref="C64">
    <cfRule type="cellIs" dxfId="602" priority="5003" stopIfTrue="1" operator="equal">
      <formula>"Napkin Hs"</formula>
    </cfRule>
  </conditionalFormatting>
  <conditionalFormatting sqref="C64">
    <cfRule type="cellIs" dxfId="601" priority="4929" stopIfTrue="1" operator="equal">
      <formula>"Napkin Hs"</formula>
    </cfRule>
  </conditionalFormatting>
  <conditionalFormatting sqref="C64">
    <cfRule type="cellIs" dxfId="600" priority="4923" stopIfTrue="1" operator="equal">
      <formula>"Napkin Hs"</formula>
    </cfRule>
  </conditionalFormatting>
  <conditionalFormatting sqref="C64">
    <cfRule type="cellIs" dxfId="599" priority="4917" stopIfTrue="1" operator="equal">
      <formula>"Napkin Hs"</formula>
    </cfRule>
  </conditionalFormatting>
  <conditionalFormatting sqref="C64">
    <cfRule type="cellIs" dxfId="598" priority="4911" stopIfTrue="1" operator="equal">
      <formula>"Napkin Hs"</formula>
    </cfRule>
  </conditionalFormatting>
  <conditionalFormatting sqref="C63">
    <cfRule type="cellIs" dxfId="597" priority="4659" stopIfTrue="1" operator="equal">
      <formula>"Napkin Hs"</formula>
    </cfRule>
  </conditionalFormatting>
  <conditionalFormatting sqref="C63">
    <cfRule type="cellIs" dxfId="596" priority="4653" stopIfTrue="1" operator="equal">
      <formula>"Napkin Hs"</formula>
    </cfRule>
  </conditionalFormatting>
  <conditionalFormatting sqref="C63">
    <cfRule type="cellIs" dxfId="595" priority="4647" stopIfTrue="1" operator="equal">
      <formula>"Napkin Hs"</formula>
    </cfRule>
  </conditionalFormatting>
  <conditionalFormatting sqref="C63">
    <cfRule type="cellIs" dxfId="594" priority="4641" stopIfTrue="1" operator="equal">
      <formula>"Napkin Hs"</formula>
    </cfRule>
  </conditionalFormatting>
  <conditionalFormatting sqref="C63">
    <cfRule type="cellIs" dxfId="593" priority="4567" stopIfTrue="1" operator="equal">
      <formula>"Napkin Hs"</formula>
    </cfRule>
  </conditionalFormatting>
  <conditionalFormatting sqref="C63">
    <cfRule type="cellIs" dxfId="592" priority="4561" stopIfTrue="1" operator="equal">
      <formula>"Napkin Hs"</formula>
    </cfRule>
  </conditionalFormatting>
  <conditionalFormatting sqref="C63">
    <cfRule type="cellIs" dxfId="591" priority="4555" stopIfTrue="1" operator="equal">
      <formula>"Napkin Hs"</formula>
    </cfRule>
  </conditionalFormatting>
  <conditionalFormatting sqref="C63">
    <cfRule type="cellIs" dxfId="590" priority="4549" stopIfTrue="1" operator="equal">
      <formula>"Napkin Hs"</formula>
    </cfRule>
  </conditionalFormatting>
  <conditionalFormatting sqref="C62">
    <cfRule type="cellIs" dxfId="589" priority="4475" stopIfTrue="1" operator="equal">
      <formula>"Napkin Hs"</formula>
    </cfRule>
  </conditionalFormatting>
  <conditionalFormatting sqref="C62">
    <cfRule type="cellIs" dxfId="588" priority="4469" stopIfTrue="1" operator="equal">
      <formula>"Napkin Hs"</formula>
    </cfRule>
  </conditionalFormatting>
  <conditionalFormatting sqref="C62">
    <cfRule type="cellIs" dxfId="587" priority="4463" stopIfTrue="1" operator="equal">
      <formula>"Napkin Hs"</formula>
    </cfRule>
  </conditionalFormatting>
  <conditionalFormatting sqref="C62">
    <cfRule type="cellIs" dxfId="586" priority="4457" stopIfTrue="1" operator="equal">
      <formula>"Napkin Hs"</formula>
    </cfRule>
  </conditionalFormatting>
  <conditionalFormatting sqref="C62">
    <cfRule type="cellIs" dxfId="585" priority="4383" stopIfTrue="1" operator="equal">
      <formula>"Napkin Hs"</formula>
    </cfRule>
  </conditionalFormatting>
  <conditionalFormatting sqref="C62">
    <cfRule type="cellIs" dxfId="584" priority="4377" stopIfTrue="1" operator="equal">
      <formula>"Napkin Hs"</formula>
    </cfRule>
  </conditionalFormatting>
  <conditionalFormatting sqref="C62">
    <cfRule type="cellIs" dxfId="583" priority="4371" stopIfTrue="1" operator="equal">
      <formula>"Napkin Hs"</formula>
    </cfRule>
  </conditionalFormatting>
  <conditionalFormatting sqref="C62">
    <cfRule type="cellIs" dxfId="582" priority="4365" stopIfTrue="1" operator="equal">
      <formula>"Napkin Hs"</formula>
    </cfRule>
  </conditionalFormatting>
  <conditionalFormatting sqref="C67:C70">
    <cfRule type="cellIs" dxfId="581" priority="3923" stopIfTrue="1" operator="equal">
      <formula>"Napkin Hs"</formula>
    </cfRule>
  </conditionalFormatting>
  <conditionalFormatting sqref="C67:C70">
    <cfRule type="cellIs" dxfId="580" priority="3917" stopIfTrue="1" operator="equal">
      <formula>"Napkin Hs"</formula>
    </cfRule>
  </conditionalFormatting>
  <conditionalFormatting sqref="C67:C70">
    <cfRule type="cellIs" dxfId="579" priority="3911" stopIfTrue="1" operator="equal">
      <formula>"Napkin Hs"</formula>
    </cfRule>
  </conditionalFormatting>
  <conditionalFormatting sqref="C67:C70">
    <cfRule type="cellIs" dxfId="578" priority="3905" stopIfTrue="1" operator="equal">
      <formula>"Napkin Hs"</formula>
    </cfRule>
  </conditionalFormatting>
  <conditionalFormatting sqref="C67:C70">
    <cfRule type="cellIs" dxfId="577" priority="3831" stopIfTrue="1" operator="equal">
      <formula>"Napkin Hs"</formula>
    </cfRule>
  </conditionalFormatting>
  <conditionalFormatting sqref="C67:C70">
    <cfRule type="cellIs" dxfId="576" priority="3825" stopIfTrue="1" operator="equal">
      <formula>"Napkin Hs"</formula>
    </cfRule>
  </conditionalFormatting>
  <conditionalFormatting sqref="C67:C70">
    <cfRule type="cellIs" dxfId="575" priority="3819" stopIfTrue="1" operator="equal">
      <formula>"Napkin Hs"</formula>
    </cfRule>
  </conditionalFormatting>
  <conditionalFormatting sqref="C67:C70">
    <cfRule type="cellIs" dxfId="574" priority="3813" stopIfTrue="1" operator="equal">
      <formula>"Napkin Hs"</formula>
    </cfRule>
  </conditionalFormatting>
  <conditionalFormatting sqref="C74">
    <cfRule type="cellIs" dxfId="573" priority="3739" stopIfTrue="1" operator="equal">
      <formula>"Napkin Hs"</formula>
    </cfRule>
  </conditionalFormatting>
  <conditionalFormatting sqref="C74">
    <cfRule type="cellIs" dxfId="572" priority="3733" stopIfTrue="1" operator="equal">
      <formula>"Napkin Hs"</formula>
    </cfRule>
  </conditionalFormatting>
  <conditionalFormatting sqref="C74">
    <cfRule type="cellIs" dxfId="571" priority="3727" stopIfTrue="1" operator="equal">
      <formula>"Napkin Hs"</formula>
    </cfRule>
  </conditionalFormatting>
  <conditionalFormatting sqref="C74">
    <cfRule type="cellIs" dxfId="570" priority="3721" stopIfTrue="1" operator="equal">
      <formula>"Napkin Hs"</formula>
    </cfRule>
  </conditionalFormatting>
  <conditionalFormatting sqref="C74">
    <cfRule type="cellIs" dxfId="569" priority="3647" stopIfTrue="1" operator="equal">
      <formula>"Napkin Hs"</formula>
    </cfRule>
  </conditionalFormatting>
  <conditionalFormatting sqref="C74">
    <cfRule type="cellIs" dxfId="568" priority="3641" stopIfTrue="1" operator="equal">
      <formula>"Napkin Hs"</formula>
    </cfRule>
  </conditionalFormatting>
  <conditionalFormatting sqref="C74">
    <cfRule type="cellIs" dxfId="567" priority="3635" stopIfTrue="1" operator="equal">
      <formula>"Napkin Hs"</formula>
    </cfRule>
  </conditionalFormatting>
  <conditionalFormatting sqref="C74">
    <cfRule type="cellIs" dxfId="566" priority="3629" stopIfTrue="1" operator="equal">
      <formula>"Napkin Hs"</formula>
    </cfRule>
  </conditionalFormatting>
  <conditionalFormatting sqref="C73">
    <cfRule type="cellIs" dxfId="565" priority="3371" stopIfTrue="1" operator="equal">
      <formula>"Napkin Hs"</formula>
    </cfRule>
  </conditionalFormatting>
  <conditionalFormatting sqref="C73">
    <cfRule type="cellIs" dxfId="564" priority="3365" stopIfTrue="1" operator="equal">
      <formula>"Napkin Hs"</formula>
    </cfRule>
  </conditionalFormatting>
  <conditionalFormatting sqref="C73">
    <cfRule type="cellIs" dxfId="563" priority="3359" stopIfTrue="1" operator="equal">
      <formula>"Napkin Hs"</formula>
    </cfRule>
  </conditionalFormatting>
  <conditionalFormatting sqref="C73">
    <cfRule type="cellIs" dxfId="562" priority="3353" stopIfTrue="1" operator="equal">
      <formula>"Napkin Hs"</formula>
    </cfRule>
  </conditionalFormatting>
  <conditionalFormatting sqref="C73">
    <cfRule type="cellIs" dxfId="561" priority="3279" stopIfTrue="1" operator="equal">
      <formula>"Napkin Hs"</formula>
    </cfRule>
  </conditionalFormatting>
  <conditionalFormatting sqref="C73">
    <cfRule type="cellIs" dxfId="560" priority="3273" stopIfTrue="1" operator="equal">
      <formula>"Napkin Hs"</formula>
    </cfRule>
  </conditionalFormatting>
  <conditionalFormatting sqref="C73">
    <cfRule type="cellIs" dxfId="559" priority="3267" stopIfTrue="1" operator="equal">
      <formula>"Napkin Hs"</formula>
    </cfRule>
  </conditionalFormatting>
  <conditionalFormatting sqref="C73">
    <cfRule type="cellIs" dxfId="558" priority="3261" stopIfTrue="1" operator="equal">
      <formula>"Napkin Hs"</formula>
    </cfRule>
  </conditionalFormatting>
  <conditionalFormatting sqref="C72">
    <cfRule type="cellIs" dxfId="557" priority="3187" stopIfTrue="1" operator="equal">
      <formula>"Napkin Hs"</formula>
    </cfRule>
  </conditionalFormatting>
  <conditionalFormatting sqref="C72">
    <cfRule type="cellIs" dxfId="556" priority="3181" stopIfTrue="1" operator="equal">
      <formula>"Napkin Hs"</formula>
    </cfRule>
  </conditionalFormatting>
  <conditionalFormatting sqref="C72">
    <cfRule type="cellIs" dxfId="555" priority="3175" stopIfTrue="1" operator="equal">
      <formula>"Napkin Hs"</formula>
    </cfRule>
  </conditionalFormatting>
  <conditionalFormatting sqref="C72">
    <cfRule type="cellIs" dxfId="554" priority="3169" stopIfTrue="1" operator="equal">
      <formula>"Napkin Hs"</formula>
    </cfRule>
  </conditionalFormatting>
  <conditionalFormatting sqref="C72">
    <cfRule type="cellIs" dxfId="553" priority="3095" stopIfTrue="1" operator="equal">
      <formula>"Napkin Hs"</formula>
    </cfRule>
  </conditionalFormatting>
  <conditionalFormatting sqref="C72">
    <cfRule type="cellIs" dxfId="552" priority="3089" stopIfTrue="1" operator="equal">
      <formula>"Napkin Hs"</formula>
    </cfRule>
  </conditionalFormatting>
  <conditionalFormatting sqref="C72">
    <cfRule type="cellIs" dxfId="551" priority="3083" stopIfTrue="1" operator="equal">
      <formula>"Napkin Hs"</formula>
    </cfRule>
  </conditionalFormatting>
  <conditionalFormatting sqref="C72">
    <cfRule type="cellIs" dxfId="550" priority="3077" stopIfTrue="1" operator="equal">
      <formula>"Napkin Hs"</formula>
    </cfRule>
  </conditionalFormatting>
  <conditionalFormatting sqref="C79">
    <cfRule type="cellIs" dxfId="549" priority="3003" stopIfTrue="1" operator="equal">
      <formula>"Napkin Hs"</formula>
    </cfRule>
  </conditionalFormatting>
  <conditionalFormatting sqref="C77">
    <cfRule type="cellIs" dxfId="548" priority="2813" stopIfTrue="1" operator="equal">
      <formula>"Napkin Hs"</formula>
    </cfRule>
  </conditionalFormatting>
  <conditionalFormatting sqref="C77">
    <cfRule type="cellIs" dxfId="547" priority="2807" stopIfTrue="1" operator="equal">
      <formula>"Napkin Hs"</formula>
    </cfRule>
  </conditionalFormatting>
  <conditionalFormatting sqref="C77">
    <cfRule type="cellIs" dxfId="546" priority="2801" stopIfTrue="1" operator="equal">
      <formula>"Napkin Hs"</formula>
    </cfRule>
  </conditionalFormatting>
  <conditionalFormatting sqref="C77">
    <cfRule type="cellIs" dxfId="545" priority="2795" stopIfTrue="1" operator="equal">
      <formula>"Napkin Hs"</formula>
    </cfRule>
  </conditionalFormatting>
  <conditionalFormatting sqref="C77">
    <cfRule type="cellIs" dxfId="544" priority="2721" stopIfTrue="1" operator="equal">
      <formula>"Napkin Hs"</formula>
    </cfRule>
  </conditionalFormatting>
  <conditionalFormatting sqref="C77">
    <cfRule type="cellIs" dxfId="543" priority="2715" stopIfTrue="1" operator="equal">
      <formula>"Napkin Hs"</formula>
    </cfRule>
  </conditionalFormatting>
  <conditionalFormatting sqref="C77">
    <cfRule type="cellIs" dxfId="542" priority="2709" stopIfTrue="1" operator="equal">
      <formula>"Napkin Hs"</formula>
    </cfRule>
  </conditionalFormatting>
  <conditionalFormatting sqref="C77">
    <cfRule type="cellIs" dxfId="541" priority="2703" stopIfTrue="1" operator="equal">
      <formula>"Napkin Hs"</formula>
    </cfRule>
  </conditionalFormatting>
  <conditionalFormatting sqref="C76">
    <cfRule type="cellIs" dxfId="540" priority="2445" stopIfTrue="1" operator="equal">
      <formula>"Napkin Hs"</formula>
    </cfRule>
  </conditionalFormatting>
  <conditionalFormatting sqref="C76">
    <cfRule type="cellIs" dxfId="539" priority="2439" stopIfTrue="1" operator="equal">
      <formula>"Napkin Hs"</formula>
    </cfRule>
  </conditionalFormatting>
  <conditionalFormatting sqref="C76">
    <cfRule type="cellIs" dxfId="538" priority="2433" stopIfTrue="1" operator="equal">
      <formula>"Napkin Hs"</formula>
    </cfRule>
  </conditionalFormatting>
  <conditionalFormatting sqref="C76">
    <cfRule type="cellIs" dxfId="537" priority="2427" stopIfTrue="1" operator="equal">
      <formula>"Napkin Hs"</formula>
    </cfRule>
  </conditionalFormatting>
  <conditionalFormatting sqref="C76">
    <cfRule type="cellIs" dxfId="536" priority="2421" stopIfTrue="1" operator="equal">
      <formula>"Napkin Hs"</formula>
    </cfRule>
  </conditionalFormatting>
  <conditionalFormatting sqref="C76">
    <cfRule type="cellIs" dxfId="535" priority="2347" stopIfTrue="1" operator="equal">
      <formula>"Napkin Hs"</formula>
    </cfRule>
  </conditionalFormatting>
  <conditionalFormatting sqref="C76">
    <cfRule type="cellIs" dxfId="534" priority="2341" stopIfTrue="1" operator="equal">
      <formula>"Napkin Hs"</formula>
    </cfRule>
  </conditionalFormatting>
  <conditionalFormatting sqref="C76">
    <cfRule type="cellIs" dxfId="533" priority="2335" stopIfTrue="1" operator="equal">
      <formula>"Napkin Hs"</formula>
    </cfRule>
  </conditionalFormatting>
  <conditionalFormatting sqref="C76">
    <cfRule type="cellIs" dxfId="532" priority="2329" stopIfTrue="1" operator="equal">
      <formula>"Napkin Hs"</formula>
    </cfRule>
  </conditionalFormatting>
  <conditionalFormatting sqref="C78">
    <cfRule type="cellIs" dxfId="531" priority="2255" stopIfTrue="1" operator="equal">
      <formula>"Napkin Hs"</formula>
    </cfRule>
  </conditionalFormatting>
  <conditionalFormatting sqref="C78">
    <cfRule type="cellIs" dxfId="530" priority="2249" stopIfTrue="1" operator="equal">
      <formula>"Napkin Hs"</formula>
    </cfRule>
  </conditionalFormatting>
  <conditionalFormatting sqref="C78">
    <cfRule type="cellIs" dxfId="529" priority="2243" stopIfTrue="1" operator="equal">
      <formula>"Napkin Hs"</formula>
    </cfRule>
  </conditionalFormatting>
  <conditionalFormatting sqref="C78">
    <cfRule type="cellIs" dxfId="528" priority="2237" stopIfTrue="1" operator="equal">
      <formula>"Napkin Hs"</formula>
    </cfRule>
  </conditionalFormatting>
  <conditionalFormatting sqref="C78">
    <cfRule type="cellIs" dxfId="527" priority="2231" stopIfTrue="1" operator="equal">
      <formula>"Napkin Hs"</formula>
    </cfRule>
  </conditionalFormatting>
  <conditionalFormatting sqref="C78">
    <cfRule type="cellIs" dxfId="526" priority="2157" stopIfTrue="1" operator="equal">
      <formula>"Napkin Hs"</formula>
    </cfRule>
  </conditionalFormatting>
  <conditionalFormatting sqref="C78">
    <cfRule type="cellIs" dxfId="525" priority="2151" stopIfTrue="1" operator="equal">
      <formula>"Napkin Hs"</formula>
    </cfRule>
  </conditionalFormatting>
  <conditionalFormatting sqref="C78">
    <cfRule type="cellIs" dxfId="524" priority="2145" stopIfTrue="1" operator="equal">
      <formula>"Napkin Hs"</formula>
    </cfRule>
  </conditionalFormatting>
  <conditionalFormatting sqref="C78">
    <cfRule type="cellIs" dxfId="523" priority="2139" stopIfTrue="1" operator="equal">
      <formula>"Napkin Hs"</formula>
    </cfRule>
  </conditionalFormatting>
  <conditionalFormatting sqref="C81">
    <cfRule type="cellIs" dxfId="522" priority="2059" stopIfTrue="1" operator="equal">
      <formula>"Napkin Hs"</formula>
    </cfRule>
  </conditionalFormatting>
  <conditionalFormatting sqref="C83">
    <cfRule type="cellIs" dxfId="521" priority="2053" stopIfTrue="1" operator="equal">
      <formula>"Napkin Hs"</formula>
    </cfRule>
  </conditionalFormatting>
  <conditionalFormatting sqref="C81">
    <cfRule type="cellIs" dxfId="520" priority="2047" stopIfTrue="1" operator="equal">
      <formula>"Napkin Hs"</formula>
    </cfRule>
  </conditionalFormatting>
  <conditionalFormatting sqref="C81">
    <cfRule type="cellIs" dxfId="519" priority="2041" stopIfTrue="1" operator="equal">
      <formula>"Napkin Hs"</formula>
    </cfRule>
  </conditionalFormatting>
  <conditionalFormatting sqref="C81">
    <cfRule type="cellIs" dxfId="518" priority="2035" stopIfTrue="1" operator="equal">
      <formula>"Napkin Hs"</formula>
    </cfRule>
  </conditionalFormatting>
  <conditionalFormatting sqref="C81">
    <cfRule type="cellIs" dxfId="517" priority="2029" stopIfTrue="1" operator="equal">
      <formula>"Napkin Hs"</formula>
    </cfRule>
  </conditionalFormatting>
  <conditionalFormatting sqref="C81">
    <cfRule type="cellIs" dxfId="516" priority="1955" stopIfTrue="1" operator="equal">
      <formula>"Napkin Hs"</formula>
    </cfRule>
  </conditionalFormatting>
  <conditionalFormatting sqref="C81">
    <cfRule type="cellIs" dxfId="515" priority="1949" stopIfTrue="1" operator="equal">
      <formula>"Napkin Hs"</formula>
    </cfRule>
  </conditionalFormatting>
  <conditionalFormatting sqref="C81">
    <cfRule type="cellIs" dxfId="514" priority="1943" stopIfTrue="1" operator="equal">
      <formula>"Napkin Hs"</formula>
    </cfRule>
  </conditionalFormatting>
  <conditionalFormatting sqref="C81">
    <cfRule type="cellIs" dxfId="513" priority="1937" stopIfTrue="1" operator="equal">
      <formula>"Napkin Hs"</formula>
    </cfRule>
  </conditionalFormatting>
  <conditionalFormatting sqref="C82">
    <cfRule type="cellIs" dxfId="512" priority="1673" stopIfTrue="1" operator="equal">
      <formula>"Napkin Hs"</formula>
    </cfRule>
  </conditionalFormatting>
  <conditionalFormatting sqref="C82">
    <cfRule type="cellIs" dxfId="511" priority="1667" stopIfTrue="1" operator="equal">
      <formula>"Napkin Hs"</formula>
    </cfRule>
  </conditionalFormatting>
  <conditionalFormatting sqref="C82">
    <cfRule type="cellIs" dxfId="510" priority="1661" stopIfTrue="1" operator="equal">
      <formula>"Napkin Hs"</formula>
    </cfRule>
  </conditionalFormatting>
  <conditionalFormatting sqref="C82">
    <cfRule type="cellIs" dxfId="509" priority="1655" stopIfTrue="1" operator="equal">
      <formula>"Napkin Hs"</formula>
    </cfRule>
  </conditionalFormatting>
  <conditionalFormatting sqref="C82">
    <cfRule type="cellIs" dxfId="508" priority="1649" stopIfTrue="1" operator="equal">
      <formula>"Napkin Hs"</formula>
    </cfRule>
  </conditionalFormatting>
  <conditionalFormatting sqref="C82">
    <cfRule type="cellIs" dxfId="507" priority="1575" stopIfTrue="1" operator="equal">
      <formula>"Napkin Hs"</formula>
    </cfRule>
  </conditionalFormatting>
  <conditionalFormatting sqref="C82">
    <cfRule type="cellIs" dxfId="506" priority="1569" stopIfTrue="1" operator="equal">
      <formula>"Napkin Hs"</formula>
    </cfRule>
  </conditionalFormatting>
  <conditionalFormatting sqref="C82">
    <cfRule type="cellIs" dxfId="505" priority="1563" stopIfTrue="1" operator="equal">
      <formula>"Napkin Hs"</formula>
    </cfRule>
  </conditionalFormatting>
  <conditionalFormatting sqref="C82">
    <cfRule type="cellIs" dxfId="504" priority="1557" stopIfTrue="1" operator="equal">
      <formula>"Napkin Hs"</formula>
    </cfRule>
  </conditionalFormatting>
  <conditionalFormatting sqref="C80">
    <cfRule type="cellIs" dxfId="503" priority="1483" stopIfTrue="1" operator="equal">
      <formula>"Napkin Hs"</formula>
    </cfRule>
  </conditionalFormatting>
  <conditionalFormatting sqref="C80">
    <cfRule type="cellIs" dxfId="502" priority="1477" stopIfTrue="1" operator="equal">
      <formula>"Napkin Hs"</formula>
    </cfRule>
  </conditionalFormatting>
  <conditionalFormatting sqref="C80">
    <cfRule type="cellIs" dxfId="501" priority="1471" stopIfTrue="1" operator="equal">
      <formula>"Napkin Hs"</formula>
    </cfRule>
  </conditionalFormatting>
  <conditionalFormatting sqref="C80">
    <cfRule type="cellIs" dxfId="500" priority="1465" stopIfTrue="1" operator="equal">
      <formula>"Napkin Hs"</formula>
    </cfRule>
  </conditionalFormatting>
  <conditionalFormatting sqref="C80">
    <cfRule type="cellIs" dxfId="499" priority="1459" stopIfTrue="1" operator="equal">
      <formula>"Napkin Hs"</formula>
    </cfRule>
  </conditionalFormatting>
  <conditionalFormatting sqref="C80">
    <cfRule type="cellIs" dxfId="498" priority="1385" stopIfTrue="1" operator="equal">
      <formula>"Napkin Hs"</formula>
    </cfRule>
  </conditionalFormatting>
  <conditionalFormatting sqref="C80">
    <cfRule type="cellIs" dxfId="497" priority="1379" stopIfTrue="1" operator="equal">
      <formula>"Napkin Hs"</formula>
    </cfRule>
  </conditionalFormatting>
  <conditionalFormatting sqref="C80">
    <cfRule type="cellIs" dxfId="496" priority="1373" stopIfTrue="1" operator="equal">
      <formula>"Napkin Hs"</formula>
    </cfRule>
  </conditionalFormatting>
  <conditionalFormatting sqref="C80">
    <cfRule type="cellIs" dxfId="495" priority="1367" stopIfTrue="1" operator="equal">
      <formula>"Napkin Hs"</formula>
    </cfRule>
  </conditionalFormatting>
  <conditionalFormatting sqref="C88:C89">
    <cfRule type="cellIs" dxfId="494" priority="1293" stopIfTrue="1" operator="equal">
      <formula>"Napkin Hs"</formula>
    </cfRule>
  </conditionalFormatting>
  <conditionalFormatting sqref="C85">
    <cfRule type="cellIs" dxfId="493" priority="1281" stopIfTrue="1" operator="equal">
      <formula>"Napkin Hs"</formula>
    </cfRule>
  </conditionalFormatting>
  <conditionalFormatting sqref="C87">
    <cfRule type="cellIs" dxfId="492" priority="1275" stopIfTrue="1" operator="equal">
      <formula>"Napkin Hs"</formula>
    </cfRule>
  </conditionalFormatting>
  <conditionalFormatting sqref="C85">
    <cfRule type="cellIs" dxfId="491" priority="1269" stopIfTrue="1" operator="equal">
      <formula>"Napkin Hs"</formula>
    </cfRule>
  </conditionalFormatting>
  <conditionalFormatting sqref="C85">
    <cfRule type="cellIs" dxfId="490" priority="1263" stopIfTrue="1" operator="equal">
      <formula>"Napkin Hs"</formula>
    </cfRule>
  </conditionalFormatting>
  <conditionalFormatting sqref="C85">
    <cfRule type="cellIs" dxfId="489" priority="1257" stopIfTrue="1" operator="equal">
      <formula>"Napkin Hs"</formula>
    </cfRule>
  </conditionalFormatting>
  <conditionalFormatting sqref="C85">
    <cfRule type="cellIs" dxfId="488" priority="1251" stopIfTrue="1" operator="equal">
      <formula>"Napkin Hs"</formula>
    </cfRule>
  </conditionalFormatting>
  <conditionalFormatting sqref="C85">
    <cfRule type="cellIs" dxfId="487" priority="1177" stopIfTrue="1" operator="equal">
      <formula>"Napkin Hs"</formula>
    </cfRule>
  </conditionalFormatting>
  <conditionalFormatting sqref="C85">
    <cfRule type="cellIs" dxfId="486" priority="1171" stopIfTrue="1" operator="equal">
      <formula>"Napkin Hs"</formula>
    </cfRule>
  </conditionalFormatting>
  <conditionalFormatting sqref="C85">
    <cfRule type="cellIs" dxfId="485" priority="1165" stopIfTrue="1" operator="equal">
      <formula>"Napkin Hs"</formula>
    </cfRule>
  </conditionalFormatting>
  <conditionalFormatting sqref="C85">
    <cfRule type="cellIs" dxfId="484" priority="1159" stopIfTrue="1" operator="equal">
      <formula>"Napkin Hs"</formula>
    </cfRule>
  </conditionalFormatting>
  <conditionalFormatting sqref="C86">
    <cfRule type="cellIs" dxfId="483" priority="1085" stopIfTrue="1" operator="equal">
      <formula>"Napkin Hs"</formula>
    </cfRule>
  </conditionalFormatting>
  <conditionalFormatting sqref="C86">
    <cfRule type="cellIs" dxfId="482" priority="1079" stopIfTrue="1" operator="equal">
      <formula>"Napkin Hs"</formula>
    </cfRule>
  </conditionalFormatting>
  <conditionalFormatting sqref="C86">
    <cfRule type="cellIs" dxfId="481" priority="1073" stopIfTrue="1" operator="equal">
      <formula>"Napkin Hs"</formula>
    </cfRule>
  </conditionalFormatting>
  <conditionalFormatting sqref="C86">
    <cfRule type="cellIs" dxfId="480" priority="1067" stopIfTrue="1" operator="equal">
      <formula>"Napkin Hs"</formula>
    </cfRule>
  </conditionalFormatting>
  <conditionalFormatting sqref="C86">
    <cfRule type="cellIs" dxfId="479" priority="1061" stopIfTrue="1" operator="equal">
      <formula>"Napkin Hs"</formula>
    </cfRule>
  </conditionalFormatting>
  <conditionalFormatting sqref="C86">
    <cfRule type="cellIs" dxfId="478" priority="987" stopIfTrue="1" operator="equal">
      <formula>"Napkin Hs"</formula>
    </cfRule>
  </conditionalFormatting>
  <conditionalFormatting sqref="C86">
    <cfRule type="cellIs" dxfId="477" priority="981" stopIfTrue="1" operator="equal">
      <formula>"Napkin Hs"</formula>
    </cfRule>
  </conditionalFormatting>
  <conditionalFormatting sqref="C86">
    <cfRule type="cellIs" dxfId="476" priority="975" stopIfTrue="1" operator="equal">
      <formula>"Napkin Hs"</formula>
    </cfRule>
  </conditionalFormatting>
  <conditionalFormatting sqref="C86">
    <cfRule type="cellIs" dxfId="475" priority="969" stopIfTrue="1" operator="equal">
      <formula>"Napkin Hs"</formula>
    </cfRule>
  </conditionalFormatting>
  <conditionalFormatting sqref="C84">
    <cfRule type="cellIs" dxfId="474" priority="895" stopIfTrue="1" operator="equal">
      <formula>"Napkin Hs"</formula>
    </cfRule>
  </conditionalFormatting>
  <conditionalFormatting sqref="C84">
    <cfRule type="cellIs" dxfId="473" priority="889" stopIfTrue="1" operator="equal">
      <formula>"Napkin Hs"</formula>
    </cfRule>
  </conditionalFormatting>
  <conditionalFormatting sqref="C84">
    <cfRule type="cellIs" dxfId="472" priority="883" stopIfTrue="1" operator="equal">
      <formula>"Napkin Hs"</formula>
    </cfRule>
  </conditionalFormatting>
  <conditionalFormatting sqref="C84">
    <cfRule type="cellIs" dxfId="471" priority="877" stopIfTrue="1" operator="equal">
      <formula>"Napkin Hs"</formula>
    </cfRule>
  </conditionalFormatting>
  <conditionalFormatting sqref="C84">
    <cfRule type="cellIs" dxfId="470" priority="871" stopIfTrue="1" operator="equal">
      <formula>"Napkin Hs"</formula>
    </cfRule>
  </conditionalFormatting>
  <conditionalFormatting sqref="C84">
    <cfRule type="cellIs" dxfId="469" priority="797" stopIfTrue="1" operator="equal">
      <formula>"Napkin Hs"</formula>
    </cfRule>
  </conditionalFormatting>
  <conditionalFormatting sqref="C84">
    <cfRule type="cellIs" dxfId="468" priority="791" stopIfTrue="1" operator="equal">
      <formula>"Napkin Hs"</formula>
    </cfRule>
  </conditionalFormatting>
  <conditionalFormatting sqref="C84">
    <cfRule type="cellIs" dxfId="467" priority="785" stopIfTrue="1" operator="equal">
      <formula>"Napkin Hs"</formula>
    </cfRule>
  </conditionalFormatting>
  <conditionalFormatting sqref="C84">
    <cfRule type="cellIs" dxfId="466" priority="779" stopIfTrue="1" operator="equal">
      <formula>"Napkin Hs"</formula>
    </cfRule>
  </conditionalFormatting>
  <conditionalFormatting sqref="C88:C90">
    <cfRule type="cellIs" dxfId="465" priority="699" stopIfTrue="1" operator="equal">
      <formula>"Napkin Hs"</formula>
    </cfRule>
  </conditionalFormatting>
  <conditionalFormatting sqref="C92:C93">
    <cfRule type="cellIs" dxfId="464" priority="693" stopIfTrue="1" operator="equal">
      <formula>"Napkin Hs"</formula>
    </cfRule>
  </conditionalFormatting>
  <conditionalFormatting sqref="C92:C93">
    <cfRule type="cellIs" dxfId="463" priority="687" stopIfTrue="1" operator="equal">
      <formula>"Napkin Hs"</formula>
    </cfRule>
  </conditionalFormatting>
  <conditionalFormatting sqref="C89">
    <cfRule type="cellIs" dxfId="462" priority="675" stopIfTrue="1" operator="equal">
      <formula>"Napkin Hs"</formula>
    </cfRule>
  </conditionalFormatting>
  <conditionalFormatting sqref="C91">
    <cfRule type="cellIs" dxfId="461" priority="669" stopIfTrue="1" operator="equal">
      <formula>"Napkin Hs"</formula>
    </cfRule>
  </conditionalFormatting>
  <conditionalFormatting sqref="C89">
    <cfRule type="cellIs" dxfId="460" priority="663" stopIfTrue="1" operator="equal">
      <formula>"Napkin Hs"</formula>
    </cfRule>
  </conditionalFormatting>
  <conditionalFormatting sqref="C89">
    <cfRule type="cellIs" dxfId="459" priority="657" stopIfTrue="1" operator="equal">
      <formula>"Napkin Hs"</formula>
    </cfRule>
  </conditionalFormatting>
  <conditionalFormatting sqref="C89">
    <cfRule type="cellIs" dxfId="458" priority="651" stopIfTrue="1" operator="equal">
      <formula>"Napkin Hs"</formula>
    </cfRule>
  </conditionalFormatting>
  <conditionalFormatting sqref="C89">
    <cfRule type="cellIs" dxfId="457" priority="645" stopIfTrue="1" operator="equal">
      <formula>"Napkin Hs"</formula>
    </cfRule>
  </conditionalFormatting>
  <conditionalFormatting sqref="C89">
    <cfRule type="cellIs" dxfId="456" priority="571" stopIfTrue="1" operator="equal">
      <formula>"Napkin Hs"</formula>
    </cfRule>
  </conditionalFormatting>
  <conditionalFormatting sqref="C89">
    <cfRule type="cellIs" dxfId="455" priority="565" stopIfTrue="1" operator="equal">
      <formula>"Napkin Hs"</formula>
    </cfRule>
  </conditionalFormatting>
  <conditionalFormatting sqref="C89">
    <cfRule type="cellIs" dxfId="454" priority="559" stopIfTrue="1" operator="equal">
      <formula>"Napkin Hs"</formula>
    </cfRule>
  </conditionalFormatting>
  <conditionalFormatting sqref="C89">
    <cfRule type="cellIs" dxfId="453" priority="553" stopIfTrue="1" operator="equal">
      <formula>"Napkin Hs"</formula>
    </cfRule>
  </conditionalFormatting>
  <conditionalFormatting sqref="C90">
    <cfRule type="cellIs" dxfId="452" priority="479" stopIfTrue="1" operator="equal">
      <formula>"Napkin Hs"</formula>
    </cfRule>
  </conditionalFormatting>
  <conditionalFormatting sqref="C90">
    <cfRule type="cellIs" dxfId="451" priority="473" stopIfTrue="1" operator="equal">
      <formula>"Napkin Hs"</formula>
    </cfRule>
  </conditionalFormatting>
  <conditionalFormatting sqref="C90">
    <cfRule type="cellIs" dxfId="450" priority="467" stopIfTrue="1" operator="equal">
      <formula>"Napkin Hs"</formula>
    </cfRule>
  </conditionalFormatting>
  <conditionalFormatting sqref="C90">
    <cfRule type="cellIs" dxfId="449" priority="461" stopIfTrue="1" operator="equal">
      <formula>"Napkin Hs"</formula>
    </cfRule>
  </conditionalFormatting>
  <conditionalFormatting sqref="C90">
    <cfRule type="cellIs" dxfId="448" priority="455" stopIfTrue="1" operator="equal">
      <formula>"Napkin Hs"</formula>
    </cfRule>
  </conditionalFormatting>
  <conditionalFormatting sqref="C90">
    <cfRule type="cellIs" dxfId="447" priority="381" stopIfTrue="1" operator="equal">
      <formula>"Napkin Hs"</formula>
    </cfRule>
  </conditionalFormatting>
  <conditionalFormatting sqref="C90">
    <cfRule type="cellIs" dxfId="446" priority="375" stopIfTrue="1" operator="equal">
      <formula>"Napkin Hs"</formula>
    </cfRule>
  </conditionalFormatting>
  <conditionalFormatting sqref="C90">
    <cfRule type="cellIs" dxfId="445" priority="369" stopIfTrue="1" operator="equal">
      <formula>"Napkin Hs"</formula>
    </cfRule>
  </conditionalFormatting>
  <conditionalFormatting sqref="C90">
    <cfRule type="cellIs" dxfId="444" priority="363" stopIfTrue="1" operator="equal">
      <formula>"Napkin Hs"</formula>
    </cfRule>
  </conditionalFormatting>
  <conditionalFormatting sqref="C88">
    <cfRule type="cellIs" dxfId="443" priority="289" stopIfTrue="1" operator="equal">
      <formula>"Napkin Hs"</formula>
    </cfRule>
  </conditionalFormatting>
  <conditionalFormatting sqref="C88">
    <cfRule type="cellIs" dxfId="442" priority="283" stopIfTrue="1" operator="equal">
      <formula>"Napkin Hs"</formula>
    </cfRule>
  </conditionalFormatting>
  <conditionalFormatting sqref="C88">
    <cfRule type="cellIs" dxfId="441" priority="277" stopIfTrue="1" operator="equal">
      <formula>"Napkin Hs"</formula>
    </cfRule>
  </conditionalFormatting>
  <conditionalFormatting sqref="C88">
    <cfRule type="cellIs" dxfId="440" priority="271" stopIfTrue="1" operator="equal">
      <formula>"Napkin Hs"</formula>
    </cfRule>
  </conditionalFormatting>
  <conditionalFormatting sqref="C88">
    <cfRule type="cellIs" dxfId="439" priority="265" stopIfTrue="1" operator="equal">
      <formula>"Napkin Hs"</formula>
    </cfRule>
  </conditionalFormatting>
  <conditionalFormatting sqref="C88">
    <cfRule type="cellIs" dxfId="438" priority="191" stopIfTrue="1" operator="equal">
      <formula>"Napkin Hs"</formula>
    </cfRule>
  </conditionalFormatting>
  <conditionalFormatting sqref="C88">
    <cfRule type="cellIs" dxfId="437" priority="185" stopIfTrue="1" operator="equal">
      <formula>"Napkin Hs"</formula>
    </cfRule>
  </conditionalFormatting>
  <conditionalFormatting sqref="C88">
    <cfRule type="cellIs" dxfId="436" priority="179" stopIfTrue="1" operator="equal">
      <formula>"Napkin Hs"</formula>
    </cfRule>
  </conditionalFormatting>
  <conditionalFormatting sqref="C88">
    <cfRule type="cellIs" dxfId="435" priority="173" stopIfTrue="1" operator="equal">
      <formula>"Napkin Hs"</formula>
    </cfRule>
  </conditionalFormatting>
  <conditionalFormatting sqref="C92:C94">
    <cfRule type="cellIs" dxfId="434" priority="101" stopIfTrue="1" operator="equal">
      <formula>"Napkin Hs"</formula>
    </cfRule>
  </conditionalFormatting>
  <conditionalFormatting sqref="C96">
    <cfRule type="cellIs" dxfId="433" priority="100" stopIfTrue="1" operator="equal">
      <formula>"Napkin Hs"</formula>
    </cfRule>
  </conditionalFormatting>
  <conditionalFormatting sqref="C92:C93">
    <cfRule type="cellIs" dxfId="432" priority="99" stopIfTrue="1" operator="equal">
      <formula>"Napkin Hs"</formula>
    </cfRule>
  </conditionalFormatting>
  <conditionalFormatting sqref="C92:C94">
    <cfRule type="cellIs" dxfId="431" priority="98" stopIfTrue="1" operator="equal">
      <formula>"Napkin Hs"</formula>
    </cfRule>
  </conditionalFormatting>
  <conditionalFormatting sqref="C96">
    <cfRule type="cellIs" dxfId="430" priority="97" stopIfTrue="1" operator="equal">
      <formula>"Napkin Hs"</formula>
    </cfRule>
  </conditionalFormatting>
  <conditionalFormatting sqref="C96">
    <cfRule type="cellIs" dxfId="429" priority="96" stopIfTrue="1" operator="equal">
      <formula>"Napkin Hs"</formula>
    </cfRule>
  </conditionalFormatting>
  <conditionalFormatting sqref="C93">
    <cfRule type="cellIs" dxfId="428" priority="95" stopIfTrue="1" operator="equal">
      <formula>"Napkin Hs"</formula>
    </cfRule>
  </conditionalFormatting>
  <conditionalFormatting sqref="C95">
    <cfRule type="cellIs" dxfId="427" priority="94" stopIfTrue="1" operator="equal">
      <formula>"Napkin Hs"</formula>
    </cfRule>
  </conditionalFormatting>
  <conditionalFormatting sqref="C93">
    <cfRule type="cellIs" dxfId="426" priority="93" stopIfTrue="1" operator="equal">
      <formula>"Napkin Hs"</formula>
    </cfRule>
  </conditionalFormatting>
  <conditionalFormatting sqref="C93">
    <cfRule type="cellIs" dxfId="425" priority="92" stopIfTrue="1" operator="equal">
      <formula>"Napkin Hs"</formula>
    </cfRule>
  </conditionalFormatting>
  <conditionalFormatting sqref="C93">
    <cfRule type="cellIs" dxfId="424" priority="91" stopIfTrue="1" operator="equal">
      <formula>"Napkin Hs"</formula>
    </cfRule>
  </conditionalFormatting>
  <conditionalFormatting sqref="C93">
    <cfRule type="cellIs" dxfId="423" priority="90" stopIfTrue="1" operator="equal">
      <formula>"Napkin Hs"</formula>
    </cfRule>
  </conditionalFormatting>
  <conditionalFormatting sqref="C93">
    <cfRule type="cellIs" dxfId="422" priority="89" stopIfTrue="1" operator="equal">
      <formula>"Napkin Hs"</formula>
    </cfRule>
  </conditionalFormatting>
  <conditionalFormatting sqref="C93">
    <cfRule type="cellIs" dxfId="421" priority="88" stopIfTrue="1" operator="equal">
      <formula>"Napkin Hs"</formula>
    </cfRule>
  </conditionalFormatting>
  <conditionalFormatting sqref="C93">
    <cfRule type="cellIs" dxfId="420" priority="87" stopIfTrue="1" operator="equal">
      <formula>"Napkin Hs"</formula>
    </cfRule>
  </conditionalFormatting>
  <conditionalFormatting sqref="C93">
    <cfRule type="cellIs" dxfId="419" priority="86" stopIfTrue="1" operator="equal">
      <formula>"Napkin Hs"</formula>
    </cfRule>
  </conditionalFormatting>
  <conditionalFormatting sqref="C94">
    <cfRule type="cellIs" dxfId="418" priority="85" stopIfTrue="1" operator="equal">
      <formula>"Napkin Hs"</formula>
    </cfRule>
  </conditionalFormatting>
  <conditionalFormatting sqref="C94">
    <cfRule type="cellIs" dxfId="417" priority="84" stopIfTrue="1" operator="equal">
      <formula>"Napkin Hs"</formula>
    </cfRule>
  </conditionalFormatting>
  <conditionalFormatting sqref="C94">
    <cfRule type="cellIs" dxfId="416" priority="83" stopIfTrue="1" operator="equal">
      <formula>"Napkin Hs"</formula>
    </cfRule>
  </conditionalFormatting>
  <conditionalFormatting sqref="C94">
    <cfRule type="cellIs" dxfId="415" priority="82" stopIfTrue="1" operator="equal">
      <formula>"Napkin Hs"</formula>
    </cfRule>
  </conditionalFormatting>
  <conditionalFormatting sqref="C94">
    <cfRule type="cellIs" dxfId="414" priority="81" stopIfTrue="1" operator="equal">
      <formula>"Napkin Hs"</formula>
    </cfRule>
  </conditionalFormatting>
  <conditionalFormatting sqref="C94">
    <cfRule type="cellIs" dxfId="413" priority="80" stopIfTrue="1" operator="equal">
      <formula>"Napkin Hs"</formula>
    </cfRule>
  </conditionalFormatting>
  <conditionalFormatting sqref="C94">
    <cfRule type="cellIs" dxfId="412" priority="79" stopIfTrue="1" operator="equal">
      <formula>"Napkin Hs"</formula>
    </cfRule>
  </conditionalFormatting>
  <conditionalFormatting sqref="C94">
    <cfRule type="cellIs" dxfId="411" priority="78" stopIfTrue="1" operator="equal">
      <formula>"Napkin Hs"</formula>
    </cfRule>
  </conditionalFormatting>
  <conditionalFormatting sqref="C94">
    <cfRule type="cellIs" dxfId="410" priority="77" stopIfTrue="1" operator="equal">
      <formula>"Napkin Hs"</formula>
    </cfRule>
  </conditionalFormatting>
  <conditionalFormatting sqref="C92">
    <cfRule type="cellIs" dxfId="409" priority="76" stopIfTrue="1" operator="equal">
      <formula>"Napkin Hs"</formula>
    </cfRule>
  </conditionalFormatting>
  <conditionalFormatting sqref="C92">
    <cfRule type="cellIs" dxfId="408" priority="75" stopIfTrue="1" operator="equal">
      <formula>"Napkin Hs"</formula>
    </cfRule>
  </conditionalFormatting>
  <conditionalFormatting sqref="C92">
    <cfRule type="cellIs" dxfId="407" priority="74" stopIfTrue="1" operator="equal">
      <formula>"Napkin Hs"</formula>
    </cfRule>
  </conditionalFormatting>
  <conditionalFormatting sqref="C92">
    <cfRule type="cellIs" dxfId="406" priority="73" stopIfTrue="1" operator="equal">
      <formula>"Napkin Hs"</formula>
    </cfRule>
  </conditionalFormatting>
  <conditionalFormatting sqref="C92">
    <cfRule type="cellIs" dxfId="405" priority="72" stopIfTrue="1" operator="equal">
      <formula>"Napkin Hs"</formula>
    </cfRule>
  </conditionalFormatting>
  <conditionalFormatting sqref="C92">
    <cfRule type="cellIs" dxfId="404" priority="71" stopIfTrue="1" operator="equal">
      <formula>"Napkin Hs"</formula>
    </cfRule>
  </conditionalFormatting>
  <conditionalFormatting sqref="C92">
    <cfRule type="cellIs" dxfId="403" priority="70" stopIfTrue="1" operator="equal">
      <formula>"Napkin Hs"</formula>
    </cfRule>
  </conditionalFormatting>
  <conditionalFormatting sqref="C92">
    <cfRule type="cellIs" dxfId="402" priority="69" stopIfTrue="1" operator="equal">
      <formula>"Napkin Hs"</formula>
    </cfRule>
  </conditionalFormatting>
  <conditionalFormatting sqref="C92">
    <cfRule type="cellIs" dxfId="401" priority="68" stopIfTrue="1" operator="equal">
      <formula>"Napkin Hs"</formula>
    </cfRule>
  </conditionalFormatting>
  <conditionalFormatting sqref="C113 C115">
    <cfRule type="cellIs" dxfId="400" priority="67" stopIfTrue="1" operator="equal">
      <formula>"Napkin Hs"</formula>
    </cfRule>
  </conditionalFormatting>
  <conditionalFormatting sqref="C114">
    <cfRule type="cellIs" dxfId="399" priority="66" stopIfTrue="1" operator="equal">
      <formula>"Napkin Hs"</formula>
    </cfRule>
  </conditionalFormatting>
  <conditionalFormatting sqref="C117 C119">
    <cfRule type="cellIs" dxfId="398" priority="65" stopIfTrue="1" operator="equal">
      <formula>"Napkin Hs"</formula>
    </cfRule>
  </conditionalFormatting>
  <conditionalFormatting sqref="C118">
    <cfRule type="cellIs" dxfId="397" priority="64" stopIfTrue="1" operator="equal">
      <formula>"Napkin Hs"</formula>
    </cfRule>
  </conditionalFormatting>
  <conditionalFormatting sqref="C125">
    <cfRule type="cellIs" dxfId="396" priority="63" stopIfTrue="1" operator="equal">
      <formula>"Napkin Hs"</formula>
    </cfRule>
  </conditionalFormatting>
  <conditionalFormatting sqref="C121:C123">
    <cfRule type="cellIs" dxfId="395" priority="62" stopIfTrue="1" operator="equal">
      <formula>"Napkin Hs"</formula>
    </cfRule>
  </conditionalFormatting>
  <conditionalFormatting sqref="C126:C127">
    <cfRule type="cellIs" dxfId="394" priority="60" stopIfTrue="1" operator="equal">
      <formula>"Napkin Hs"</formula>
    </cfRule>
  </conditionalFormatting>
  <conditionalFormatting sqref="C126:C127">
    <cfRule type="cellIs" dxfId="393" priority="59" stopIfTrue="1" operator="equal">
      <formula>"Napkin Hs"</formula>
    </cfRule>
  </conditionalFormatting>
  <conditionalFormatting sqref="C128">
    <cfRule type="cellIs" dxfId="392" priority="58" stopIfTrue="1" operator="equal">
      <formula>"Napkin Hs"</formula>
    </cfRule>
  </conditionalFormatting>
  <conditionalFormatting sqref="C128">
    <cfRule type="cellIs" dxfId="391" priority="57" stopIfTrue="1" operator="equal">
      <formula>"Napkin Hs"</formula>
    </cfRule>
  </conditionalFormatting>
  <conditionalFormatting sqref="C128">
    <cfRule type="cellIs" dxfId="390" priority="56" stopIfTrue="1" operator="equal">
      <formula>"Napkin Hs"</formula>
    </cfRule>
  </conditionalFormatting>
  <conditionalFormatting sqref="C128">
    <cfRule type="cellIs" dxfId="389" priority="55" stopIfTrue="1" operator="equal">
      <formula>"Napkin Hs"</formula>
    </cfRule>
  </conditionalFormatting>
  <conditionalFormatting sqref="C128">
    <cfRule type="cellIs" dxfId="388" priority="54" stopIfTrue="1" operator="equal">
      <formula>"Napkin Hs"</formula>
    </cfRule>
  </conditionalFormatting>
  <conditionalFormatting sqref="C128">
    <cfRule type="cellIs" dxfId="387" priority="53" stopIfTrue="1" operator="equal">
      <formula>"Napkin Hs"</formula>
    </cfRule>
  </conditionalFormatting>
  <conditionalFormatting sqref="C128">
    <cfRule type="cellIs" dxfId="386" priority="52" stopIfTrue="1" operator="equal">
      <formula>"Napkin Hs"</formula>
    </cfRule>
  </conditionalFormatting>
  <conditionalFormatting sqref="C128">
    <cfRule type="cellIs" dxfId="385" priority="51" stopIfTrue="1" operator="equal">
      <formula>"Napkin Hs"</formula>
    </cfRule>
  </conditionalFormatting>
  <conditionalFormatting sqref="C133">
    <cfRule type="cellIs" dxfId="384" priority="40" stopIfTrue="1" operator="equal">
      <formula>"Napkin Hs"</formula>
    </cfRule>
  </conditionalFormatting>
  <conditionalFormatting sqref="C133">
    <cfRule type="cellIs" dxfId="383" priority="39" stopIfTrue="1" operator="equal">
      <formula>"Napkin Hs"</formula>
    </cfRule>
  </conditionalFormatting>
  <conditionalFormatting sqref="C134:C135">
    <cfRule type="cellIs" dxfId="382" priority="38" stopIfTrue="1" operator="equal">
      <formula>"Napkin Hs"</formula>
    </cfRule>
  </conditionalFormatting>
  <conditionalFormatting sqref="C134:C135">
    <cfRule type="cellIs" dxfId="381" priority="37" stopIfTrue="1" operator="equal">
      <formula>"Napkin Hs"</formula>
    </cfRule>
  </conditionalFormatting>
  <conditionalFormatting sqref="C134:C135">
    <cfRule type="cellIs" dxfId="380" priority="36" stopIfTrue="1" operator="equal">
      <formula>"Napkin Hs"</formula>
    </cfRule>
  </conditionalFormatting>
  <conditionalFormatting sqref="C134:C135">
    <cfRule type="cellIs" dxfId="379" priority="35" stopIfTrue="1" operator="equal">
      <formula>"Napkin Hs"</formula>
    </cfRule>
  </conditionalFormatting>
  <conditionalFormatting sqref="C134:C135">
    <cfRule type="cellIs" dxfId="378" priority="34" stopIfTrue="1" operator="equal">
      <formula>"Napkin Hs"</formula>
    </cfRule>
  </conditionalFormatting>
  <conditionalFormatting sqref="C134:C135">
    <cfRule type="cellIs" dxfId="377" priority="33" stopIfTrue="1" operator="equal">
      <formula>"Napkin Hs"</formula>
    </cfRule>
  </conditionalFormatting>
  <conditionalFormatting sqref="C134:C135">
    <cfRule type="cellIs" dxfId="376" priority="32" stopIfTrue="1" operator="equal">
      <formula>"Napkin Hs"</formula>
    </cfRule>
  </conditionalFormatting>
  <conditionalFormatting sqref="C134:C135">
    <cfRule type="cellIs" dxfId="375" priority="31" stopIfTrue="1" operator="equal">
      <formula>"Napkin Hs"</formula>
    </cfRule>
  </conditionalFormatting>
  <conditionalFormatting sqref="C132">
    <cfRule type="cellIs" dxfId="374" priority="30" stopIfTrue="1" operator="equal">
      <formula>"Napkin Hs"</formula>
    </cfRule>
  </conditionalFormatting>
  <conditionalFormatting sqref="C132">
    <cfRule type="cellIs" dxfId="373" priority="29" stopIfTrue="1" operator="equal">
      <formula>"Napkin Hs"</formula>
    </cfRule>
  </conditionalFormatting>
  <conditionalFormatting sqref="C132">
    <cfRule type="cellIs" dxfId="372" priority="28" stopIfTrue="1" operator="equal">
      <formula>"Napkin Hs"</formula>
    </cfRule>
  </conditionalFormatting>
  <conditionalFormatting sqref="C132">
    <cfRule type="cellIs" dxfId="371" priority="27" stopIfTrue="1" operator="equal">
      <formula>"Napkin Hs"</formula>
    </cfRule>
  </conditionalFormatting>
  <conditionalFormatting sqref="C132">
    <cfRule type="cellIs" dxfId="370" priority="26" stopIfTrue="1" operator="equal">
      <formula>"Napkin Hs"</formula>
    </cfRule>
  </conditionalFormatting>
  <conditionalFormatting sqref="C132">
    <cfRule type="cellIs" dxfId="369" priority="25" stopIfTrue="1" operator="equal">
      <formula>"Napkin Hs"</formula>
    </cfRule>
  </conditionalFormatting>
  <conditionalFormatting sqref="C132">
    <cfRule type="cellIs" dxfId="368" priority="24" stopIfTrue="1" operator="equal">
      <formula>"Napkin Hs"</formula>
    </cfRule>
  </conditionalFormatting>
  <conditionalFormatting sqref="C132">
    <cfRule type="cellIs" dxfId="367" priority="23" stopIfTrue="1" operator="equal">
      <formula>"Napkin Hs"</formula>
    </cfRule>
  </conditionalFormatting>
  <conditionalFormatting sqref="C138">
    <cfRule type="cellIs" dxfId="366" priority="22" stopIfTrue="1" operator="equal">
      <formula>"Napkin Hs"</formula>
    </cfRule>
  </conditionalFormatting>
  <conditionalFormatting sqref="C138">
    <cfRule type="cellIs" dxfId="365" priority="21" stopIfTrue="1" operator="equal">
      <formula>"Napkin Hs"</formula>
    </cfRule>
  </conditionalFormatting>
  <conditionalFormatting sqref="C139:C140">
    <cfRule type="cellIs" dxfId="364" priority="4" stopIfTrue="1" operator="equal">
      <formula>"Napkin Hs"</formula>
    </cfRule>
  </conditionalFormatting>
  <conditionalFormatting sqref="C139:C140">
    <cfRule type="cellIs" dxfId="363" priority="3" stopIfTrue="1" operator="equal">
      <formula>"Napkin Hs"</formula>
    </cfRule>
  </conditionalFormatting>
  <conditionalFormatting sqref="C137">
    <cfRule type="cellIs" dxfId="362" priority="2" stopIfTrue="1" operator="equal">
      <formula>"Napkin Hs"</formula>
    </cfRule>
  </conditionalFormatting>
  <conditionalFormatting sqref="C137">
    <cfRule type="cellIs" dxfId="361" priority="1" stopIfTrue="1" operator="equal">
      <formula>"Napkin Hs"</formula>
    </cfRule>
  </conditionalFormatting>
  <pageMargins left="0.19685039370078741" right="0.19685039370078741" top="0.19685039370078741" bottom="0.19685039370078741" header="0.31496062992125984" footer="0.31496062992125984"/>
  <pageSetup paperSize="9" scale="28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14"/>
  <sheetViews>
    <sheetView tabSelected="1" zoomScale="90" zoomScaleNormal="90" workbookViewId="0">
      <pane xSplit="6" ySplit="6" topLeftCell="Y133" activePane="bottomRight" state="frozen"/>
      <selection pane="topRight" activeCell="F1" sqref="F1"/>
      <selection pane="bottomLeft" activeCell="A7" sqref="A7"/>
      <selection pane="bottomRight" activeCell="AD143" sqref="AD143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4" customWidth="1"/>
    <col min="7" max="9" width="10.28515625" style="28" customWidth="1"/>
    <col min="10" max="11" width="10.28515625" style="83" customWidth="1"/>
    <col min="12" max="13" width="12.7109375" style="55" customWidth="1"/>
    <col min="14" max="15" width="10.28515625" style="28" customWidth="1"/>
    <col min="16" max="16" width="16.85546875" style="28" bestFit="1" customWidth="1"/>
    <col min="17" max="17" width="12.7109375" style="328" customWidth="1"/>
    <col min="18" max="19" width="10.28515625" style="28" customWidth="1"/>
    <col min="20" max="20" width="10.7109375" style="28" customWidth="1"/>
    <col min="21" max="21" width="10.2851562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2" style="28" customWidth="1"/>
    <col min="30" max="30" width="11.42578125" style="28" bestFit="1" customWidth="1"/>
    <col min="31" max="31" width="47.140625" style="28" customWidth="1"/>
    <col min="32" max="37" width="10.28515625" style="28" customWidth="1"/>
    <col min="38" max="39" width="11.7109375" style="28" customWidth="1"/>
    <col min="40" max="41" width="10.28515625" style="28" customWidth="1"/>
    <col min="42" max="42" width="12.42578125" style="28" customWidth="1"/>
    <col min="43" max="43" width="12.5703125" style="28" customWidth="1"/>
    <col min="44" max="44" width="29.7109375" style="28" bestFit="1" customWidth="1"/>
    <col min="45" max="51" width="10.28515625" style="28"/>
    <col min="52" max="52" width="13.42578125" style="28" customWidth="1"/>
    <col min="53" max="16384" width="10.28515625" style="28"/>
  </cols>
  <sheetData>
    <row r="1" spans="1:58" s="21" customFormat="1" ht="15.75">
      <c r="A1" s="20" t="s">
        <v>384</v>
      </c>
      <c r="G1" s="22"/>
      <c r="H1" s="22"/>
      <c r="I1" s="22"/>
      <c r="J1" s="80"/>
      <c r="K1" s="80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8" s="21" customFormat="1">
      <c r="A2" s="90"/>
      <c r="G2" s="22"/>
      <c r="H2" s="22"/>
      <c r="I2" s="22"/>
      <c r="J2" s="80"/>
      <c r="K2" s="80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8" ht="24" customHeight="1">
      <c r="A3" s="683" t="s">
        <v>7</v>
      </c>
      <c r="B3" s="683" t="s">
        <v>8</v>
      </c>
      <c r="C3" s="683" t="s">
        <v>191</v>
      </c>
      <c r="D3" s="683" t="s">
        <v>88</v>
      </c>
      <c r="E3" s="683" t="s">
        <v>89</v>
      </c>
      <c r="F3" s="683" t="s">
        <v>90</v>
      </c>
      <c r="G3" s="688" t="s">
        <v>91</v>
      </c>
      <c r="H3" s="689"/>
      <c r="I3" s="689"/>
      <c r="J3" s="689"/>
      <c r="K3" s="690"/>
      <c r="L3" s="694" t="s">
        <v>92</v>
      </c>
      <c r="M3" s="695"/>
      <c r="N3" s="696"/>
      <c r="O3" s="700" t="s">
        <v>93</v>
      </c>
      <c r="P3" s="702" t="s">
        <v>105</v>
      </c>
      <c r="Q3" s="700" t="s">
        <v>94</v>
      </c>
      <c r="R3" s="705" t="s">
        <v>95</v>
      </c>
      <c r="S3" s="705" t="s">
        <v>96</v>
      </c>
      <c r="T3" s="683" t="s">
        <v>148</v>
      </c>
      <c r="U3" s="683" t="s">
        <v>147</v>
      </c>
      <c r="V3" s="683" t="s">
        <v>149</v>
      </c>
      <c r="W3" s="705" t="s">
        <v>140</v>
      </c>
      <c r="X3" s="686" t="s">
        <v>98</v>
      </c>
      <c r="Y3" s="686" t="s">
        <v>272</v>
      </c>
      <c r="Z3" s="714" t="s">
        <v>99</v>
      </c>
      <c r="AA3" s="683" t="s">
        <v>150</v>
      </c>
      <c r="AB3" s="683" t="s">
        <v>161</v>
      </c>
      <c r="AC3" s="683" t="s">
        <v>159</v>
      </c>
      <c r="AD3" s="683" t="s">
        <v>123</v>
      </c>
      <c r="AE3" s="683" t="s">
        <v>124</v>
      </c>
      <c r="AF3" s="716" t="s">
        <v>125</v>
      </c>
      <c r="AG3" s="716"/>
      <c r="AH3" s="716"/>
      <c r="AI3" s="716"/>
      <c r="AJ3" s="716"/>
      <c r="AK3" s="716"/>
      <c r="AL3" s="716"/>
      <c r="AM3" s="717" t="s">
        <v>126</v>
      </c>
      <c r="AN3" s="720" t="s">
        <v>100</v>
      </c>
      <c r="AO3" s="720"/>
      <c r="AP3" s="720"/>
      <c r="AQ3" s="720"/>
      <c r="AR3" s="720"/>
      <c r="AS3" s="721" t="s">
        <v>101</v>
      </c>
      <c r="AT3" s="707" t="s">
        <v>268</v>
      </c>
      <c r="AU3" s="708"/>
      <c r="AV3" s="734" t="s">
        <v>127</v>
      </c>
      <c r="AW3" s="735"/>
      <c r="AX3" s="736" t="s">
        <v>127</v>
      </c>
      <c r="AY3" s="737"/>
      <c r="AZ3" s="738" t="s">
        <v>283</v>
      </c>
      <c r="BA3" s="712" t="s">
        <v>102</v>
      </c>
      <c r="BB3" s="729" t="s">
        <v>103</v>
      </c>
      <c r="BC3" s="729" t="s">
        <v>104</v>
      </c>
      <c r="BD3" s="723" t="s">
        <v>386</v>
      </c>
      <c r="BE3" s="726" t="s">
        <v>387</v>
      </c>
      <c r="BF3" s="729" t="s">
        <v>388</v>
      </c>
    </row>
    <row r="4" spans="1:58" ht="12" customHeight="1">
      <c r="A4" s="684"/>
      <c r="B4" s="684"/>
      <c r="C4" s="684"/>
      <c r="D4" s="684"/>
      <c r="E4" s="684"/>
      <c r="F4" s="684"/>
      <c r="G4" s="691"/>
      <c r="H4" s="692"/>
      <c r="I4" s="692"/>
      <c r="J4" s="692"/>
      <c r="K4" s="693"/>
      <c r="L4" s="697"/>
      <c r="M4" s="698"/>
      <c r="N4" s="699"/>
      <c r="O4" s="701"/>
      <c r="P4" s="703"/>
      <c r="Q4" s="701"/>
      <c r="R4" s="706"/>
      <c r="S4" s="706"/>
      <c r="T4" s="684"/>
      <c r="U4" s="684"/>
      <c r="V4" s="684"/>
      <c r="W4" s="706"/>
      <c r="X4" s="687"/>
      <c r="Y4" s="687"/>
      <c r="Z4" s="715"/>
      <c r="AA4" s="684"/>
      <c r="AB4" s="684"/>
      <c r="AC4" s="684"/>
      <c r="AD4" s="684"/>
      <c r="AE4" s="684"/>
      <c r="AF4" s="731" t="s">
        <v>128</v>
      </c>
      <c r="AG4" s="732"/>
      <c r="AH4" s="733"/>
      <c r="AI4" s="703" t="s">
        <v>257</v>
      </c>
      <c r="AJ4" s="703" t="s">
        <v>14</v>
      </c>
      <c r="AK4" s="703" t="s">
        <v>129</v>
      </c>
      <c r="AL4" s="703" t="s">
        <v>17</v>
      </c>
      <c r="AM4" s="718"/>
      <c r="AN4" s="711" t="s">
        <v>106</v>
      </c>
      <c r="AO4" s="711" t="s">
        <v>14</v>
      </c>
      <c r="AP4" s="711" t="s">
        <v>107</v>
      </c>
      <c r="AQ4" s="711" t="s">
        <v>17</v>
      </c>
      <c r="AR4" s="712" t="s">
        <v>108</v>
      </c>
      <c r="AS4" s="721"/>
      <c r="AT4" s="709"/>
      <c r="AU4" s="710"/>
      <c r="AV4" s="477" t="s">
        <v>6</v>
      </c>
      <c r="AW4" s="477" t="s">
        <v>130</v>
      </c>
      <c r="AX4" s="478" t="s">
        <v>6</v>
      </c>
      <c r="AY4" s="479" t="s">
        <v>130</v>
      </c>
      <c r="AZ4" s="739"/>
      <c r="BA4" s="712"/>
      <c r="BB4" s="729"/>
      <c r="BC4" s="729"/>
      <c r="BD4" s="724"/>
      <c r="BE4" s="727"/>
      <c r="BF4" s="729"/>
    </row>
    <row r="5" spans="1:58" s="31" customFormat="1" ht="48">
      <c r="A5" s="684"/>
      <c r="B5" s="684"/>
      <c r="C5" s="685"/>
      <c r="D5" s="684"/>
      <c r="E5" s="684"/>
      <c r="F5" s="684"/>
      <c r="G5" s="495" t="s">
        <v>109</v>
      </c>
      <c r="H5" s="492" t="s">
        <v>110</v>
      </c>
      <c r="I5" s="29" t="s">
        <v>111</v>
      </c>
      <c r="J5" s="81" t="s">
        <v>112</v>
      </c>
      <c r="K5" s="81" t="s">
        <v>97</v>
      </c>
      <c r="L5" s="30" t="s">
        <v>113</v>
      </c>
      <c r="M5" s="30" t="s">
        <v>114</v>
      </c>
      <c r="N5" s="492" t="s">
        <v>115</v>
      </c>
      <c r="O5" s="701"/>
      <c r="P5" s="704"/>
      <c r="Q5" s="701"/>
      <c r="R5" s="706"/>
      <c r="S5" s="706"/>
      <c r="T5" s="684"/>
      <c r="U5" s="684"/>
      <c r="V5" s="684"/>
      <c r="W5" s="706"/>
      <c r="X5" s="687"/>
      <c r="Y5" s="713"/>
      <c r="Z5" s="715"/>
      <c r="AA5" s="684"/>
      <c r="AB5" s="685"/>
      <c r="AC5" s="684"/>
      <c r="AD5" s="685"/>
      <c r="AE5" s="684"/>
      <c r="AF5" s="428" t="s">
        <v>208</v>
      </c>
      <c r="AG5" s="494" t="s">
        <v>209</v>
      </c>
      <c r="AH5" s="494" t="s">
        <v>210</v>
      </c>
      <c r="AI5" s="704"/>
      <c r="AJ5" s="704"/>
      <c r="AK5" s="704"/>
      <c r="AL5" s="704"/>
      <c r="AM5" s="719"/>
      <c r="AN5" s="702"/>
      <c r="AO5" s="702"/>
      <c r="AP5" s="702"/>
      <c r="AQ5" s="702"/>
      <c r="AR5" s="705"/>
      <c r="AS5" s="722"/>
      <c r="AT5" s="493" t="s">
        <v>269</v>
      </c>
      <c r="AU5" s="493" t="s">
        <v>270</v>
      </c>
      <c r="AV5" s="480" t="s">
        <v>271</v>
      </c>
      <c r="AW5" s="480" t="s">
        <v>271</v>
      </c>
      <c r="AX5" s="478" t="s">
        <v>16</v>
      </c>
      <c r="AY5" s="478" t="s">
        <v>16</v>
      </c>
      <c r="AZ5" s="740"/>
      <c r="BA5" s="705"/>
      <c r="BB5" s="683"/>
      <c r="BC5" s="683"/>
      <c r="BD5" s="725"/>
      <c r="BE5" s="728"/>
      <c r="BF5" s="730"/>
    </row>
    <row r="6" spans="1:58" ht="12.95" customHeight="1">
      <c r="A6" s="39">
        <f>+Report1!A9</f>
        <v>46113</v>
      </c>
      <c r="B6" s="40" t="s">
        <v>403</v>
      </c>
      <c r="C6" s="416">
        <f>(M6*E6*O6*Q6)/100000000</f>
        <v>55.295361163636358</v>
      </c>
      <c r="D6" s="40" t="s">
        <v>276</v>
      </c>
      <c r="E6" s="41">
        <v>12</v>
      </c>
      <c r="F6" s="41">
        <v>1</v>
      </c>
      <c r="G6" s="459">
        <v>1400</v>
      </c>
      <c r="H6" s="43">
        <f>+N6</f>
        <v>0.18000000000000005</v>
      </c>
      <c r="I6" s="44">
        <v>0.88</v>
      </c>
      <c r="J6" s="82">
        <f>E6*G6*(1-H6)*1440/1000000*2.87</f>
        <v>56.933452800000005</v>
      </c>
      <c r="K6" s="82">
        <f>(IF(G6&lt;L6,L6,G6)*(1-IF(H6&lt;N6,H6,N6))*E6*O6*Q6)/100000000</f>
        <v>55.544832</v>
      </c>
      <c r="L6" s="34">
        <v>1393.7121212121212</v>
      </c>
      <c r="M6" s="34">
        <v>1142.8439393939393</v>
      </c>
      <c r="N6" s="45">
        <f>1-(M6/L6)</f>
        <v>0.18000000000000005</v>
      </c>
      <c r="O6" s="46">
        <f>+'Trim Rwd'!H4</f>
        <v>280</v>
      </c>
      <c r="P6" s="47">
        <f>O6*(Q6-R6-S6)</f>
        <v>359520</v>
      </c>
      <c r="Q6" s="46">
        <v>1440</v>
      </c>
      <c r="R6" s="384">
        <v>120</v>
      </c>
      <c r="S6" s="384">
        <v>36</v>
      </c>
      <c r="T6" s="36">
        <f>E6*M6*O6*Q6/100000000</f>
        <v>55.295361163636358</v>
      </c>
      <c r="U6" s="36">
        <f>E6*M6*O6*(Q6-R6-S6)/100000000</f>
        <v>49.305030370909087</v>
      </c>
      <c r="V6" s="36">
        <f>E6*G6*(1-N6)*O6/100*(R6+S6)/1000000</f>
        <v>6.0173568000000008</v>
      </c>
      <c r="W6" s="36">
        <f>+'1'!K34/1000</f>
        <v>36.936999999999998</v>
      </c>
      <c r="X6" s="381">
        <f>SUM(W6:W9)/SUM(K6:K9)</f>
        <v>0.66499435987131972</v>
      </c>
      <c r="Y6" s="36">
        <v>0</v>
      </c>
      <c r="Z6" s="615">
        <f>+'1'!D34/1000</f>
        <v>0.39600000000000002</v>
      </c>
      <c r="AA6" s="48">
        <f>SUM(U6:U9)-SUM(W6:W9)-SUM(Z6:Z9)-SUM(Y6:Y9)</f>
        <v>11.972030370909089</v>
      </c>
      <c r="AB6" s="48">
        <f>(SUM(K6:K9)-SUM(W6:W9)-SUM(Y6:Y9)-SUM(Z6:Z9)-SUM(AC6:AC9)-SUM(V6:V9))-AA6</f>
        <v>-2.7026007272731079E-2</v>
      </c>
      <c r="AC6" s="36">
        <f>K6-T6</f>
        <v>0.24947083636364198</v>
      </c>
      <c r="AD6" s="36">
        <f>+AM6+BA6</f>
        <v>0</v>
      </c>
      <c r="AE6" s="225" t="s">
        <v>385</v>
      </c>
      <c r="AF6" s="36">
        <v>0</v>
      </c>
      <c r="AG6" s="36"/>
      <c r="AH6" s="36"/>
      <c r="AI6" s="461"/>
      <c r="AJ6" s="36"/>
      <c r="AK6" s="36"/>
      <c r="AL6" s="36"/>
      <c r="AM6" s="36">
        <f>SUM(AF6:AL6)+AT6+AV6+AX6</f>
        <v>0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>
        <f>+AR6+AS6+AU6+AW6+AY6+AZ6</f>
        <v>0</v>
      </c>
      <c r="BB6" s="32">
        <v>0</v>
      </c>
      <c r="BC6" s="50"/>
      <c r="BD6" s="50"/>
      <c r="BE6" s="32"/>
      <c r="BF6" s="50"/>
    </row>
    <row r="7" spans="1:58" ht="12.95" customHeight="1">
      <c r="A7" s="39"/>
      <c r="B7" s="40"/>
      <c r="C7" s="416"/>
      <c r="D7" s="40"/>
      <c r="E7" s="41"/>
      <c r="F7" s="41"/>
      <c r="G7" s="459"/>
      <c r="H7" s="43"/>
      <c r="I7" s="44"/>
      <c r="J7" s="82"/>
      <c r="K7" s="82"/>
      <c r="L7" s="34"/>
      <c r="M7" s="34"/>
      <c r="N7" s="45"/>
      <c r="O7" s="46"/>
      <c r="P7" s="47"/>
      <c r="Q7" s="46"/>
      <c r="R7" s="384"/>
      <c r="S7" s="384"/>
      <c r="T7" s="36"/>
      <c r="U7" s="36"/>
      <c r="V7" s="36"/>
      <c r="W7" s="36"/>
      <c r="X7" s="37"/>
      <c r="Y7" s="208"/>
      <c r="Z7" s="615"/>
      <c r="AA7" s="36"/>
      <c r="AB7" s="36"/>
      <c r="AC7" s="36"/>
      <c r="AD7" s="36">
        <f>+AM7+BA7</f>
        <v>7</v>
      </c>
      <c r="AE7" s="225" t="s">
        <v>420</v>
      </c>
      <c r="AF7" s="36"/>
      <c r="AG7" s="36">
        <v>7</v>
      </c>
      <c r="AH7" s="36"/>
      <c r="AI7" s="461"/>
      <c r="AJ7" s="36"/>
      <c r="AK7" s="36"/>
      <c r="AL7" s="36"/>
      <c r="AM7" s="36">
        <f>SUM(AF7:AL7)+AT7+AV7+AX7</f>
        <v>7</v>
      </c>
      <c r="AN7" s="83"/>
      <c r="AO7" s="36"/>
      <c r="AP7" s="36"/>
      <c r="AQ7" s="36"/>
      <c r="AR7" s="36">
        <f>SUM(AN7:AQ7)</f>
        <v>0</v>
      </c>
      <c r="AS7" s="36"/>
      <c r="AT7" s="36"/>
      <c r="AU7" s="36"/>
      <c r="AV7" s="36"/>
      <c r="AW7" s="36"/>
      <c r="AX7" s="36"/>
      <c r="AY7" s="36"/>
      <c r="AZ7" s="36"/>
      <c r="BA7" s="36">
        <f>+AR7+AS7+AU7+AW7+AY7+AZ7</f>
        <v>0</v>
      </c>
      <c r="BB7" s="49"/>
      <c r="BC7" s="50">
        <v>2</v>
      </c>
      <c r="BD7" s="50"/>
      <c r="BE7" s="49"/>
      <c r="BF7" s="50"/>
    </row>
    <row r="8" spans="1:58" ht="12.95" customHeight="1">
      <c r="A8" s="39"/>
      <c r="B8" s="40"/>
      <c r="C8" s="416"/>
      <c r="D8" s="40"/>
      <c r="E8" s="41"/>
      <c r="F8" s="41"/>
      <c r="G8" s="42"/>
      <c r="H8" s="43"/>
      <c r="I8" s="44"/>
      <c r="J8" s="82"/>
      <c r="K8" s="82"/>
      <c r="L8" s="34"/>
      <c r="M8" s="34"/>
      <c r="N8" s="45"/>
      <c r="O8" s="46"/>
      <c r="P8" s="47"/>
      <c r="Q8" s="46"/>
      <c r="R8" s="384"/>
      <c r="S8" s="384"/>
      <c r="T8" s="36"/>
      <c r="U8" s="36"/>
      <c r="V8" s="36"/>
      <c r="W8" s="36"/>
      <c r="X8" s="37"/>
      <c r="Y8" s="208"/>
      <c r="Z8" s="615"/>
      <c r="AA8" s="36"/>
      <c r="AB8" s="36"/>
      <c r="AC8" s="36"/>
      <c r="AD8" s="36">
        <f>+AM8+BA8</f>
        <v>29</v>
      </c>
      <c r="AE8" s="225" t="s">
        <v>421</v>
      </c>
      <c r="AF8" s="32"/>
      <c r="AG8" s="32"/>
      <c r="AH8" s="32">
        <v>29</v>
      </c>
      <c r="AJ8" s="36"/>
      <c r="AK8" s="36"/>
      <c r="AL8" s="36"/>
      <c r="AM8" s="36">
        <f>SUM(AF8:AL8)+AT8+AV8+AX8</f>
        <v>29</v>
      </c>
      <c r="AN8" s="36"/>
      <c r="AO8" s="36"/>
      <c r="AP8" s="36"/>
      <c r="AQ8" s="36"/>
      <c r="AR8" s="36">
        <f>SUM(AN8:AQ8)</f>
        <v>0</v>
      </c>
      <c r="AS8" s="36"/>
      <c r="AT8" s="36"/>
      <c r="AU8" s="36"/>
      <c r="AV8" s="36"/>
      <c r="AW8" s="36"/>
      <c r="AX8" s="36"/>
      <c r="AY8" s="36"/>
      <c r="AZ8" s="36"/>
      <c r="BA8" s="36">
        <f>+AR8+AS8+AU8+AW8+AY8+AZ8</f>
        <v>0</v>
      </c>
      <c r="BB8" s="32"/>
      <c r="BC8" s="52"/>
      <c r="BD8" s="52"/>
      <c r="BE8" s="32"/>
      <c r="BF8" s="52"/>
    </row>
    <row r="9" spans="1:58" ht="12.95" customHeight="1">
      <c r="A9" s="39"/>
      <c r="B9" s="40"/>
      <c r="C9" s="416"/>
      <c r="D9" s="40"/>
      <c r="E9" s="41"/>
      <c r="F9" s="41"/>
      <c r="G9" s="42"/>
      <c r="H9" s="43"/>
      <c r="I9" s="44"/>
      <c r="J9" s="82"/>
      <c r="K9" s="82"/>
      <c r="L9" s="34"/>
      <c r="M9" s="34"/>
      <c r="N9" s="45"/>
      <c r="O9" s="46"/>
      <c r="P9" s="47"/>
      <c r="Q9" s="33"/>
      <c r="R9" s="384"/>
      <c r="S9" s="384"/>
      <c r="T9" s="36"/>
      <c r="U9" s="36"/>
      <c r="V9" s="36"/>
      <c r="W9" s="36"/>
      <c r="X9" s="37"/>
      <c r="Y9" s="208"/>
      <c r="Z9" s="615"/>
      <c r="AA9" s="36"/>
      <c r="AB9" s="36"/>
      <c r="AC9" s="36"/>
      <c r="AD9" s="36">
        <f>+AM9+BA9</f>
        <v>120</v>
      </c>
      <c r="AE9" s="228" t="s">
        <v>422</v>
      </c>
      <c r="AF9" s="36"/>
      <c r="AG9" s="36"/>
      <c r="AH9" s="36"/>
      <c r="AI9" s="461"/>
      <c r="AJ9" s="36"/>
      <c r="AK9" s="36"/>
      <c r="AL9" s="36"/>
      <c r="AM9" s="36">
        <f>SUM(AF9:AL9)+AT9+AV9+AX9</f>
        <v>0</v>
      </c>
      <c r="AN9" s="36">
        <v>120</v>
      </c>
      <c r="AO9" s="36"/>
      <c r="AP9" s="36"/>
      <c r="AQ9" s="36"/>
      <c r="AR9" s="36">
        <f>SUM(AN9:AQ9)</f>
        <v>120</v>
      </c>
      <c r="AS9" s="36"/>
      <c r="AT9" s="36"/>
      <c r="AU9" s="36"/>
      <c r="AV9" s="36"/>
      <c r="AW9" s="36"/>
      <c r="AX9" s="36"/>
      <c r="AY9" s="36"/>
      <c r="AZ9" s="36"/>
      <c r="BA9" s="36">
        <f>+AR9+AS9+AU9+AW9+AY9+AZ9</f>
        <v>120</v>
      </c>
      <c r="BB9" s="32"/>
      <c r="BC9" s="52"/>
      <c r="BD9" s="52"/>
      <c r="BE9" s="32"/>
      <c r="BF9" s="52"/>
    </row>
    <row r="10" spans="1:58" ht="12.95" customHeight="1">
      <c r="A10" s="39"/>
      <c r="B10" s="40"/>
      <c r="C10" s="416"/>
      <c r="D10" s="40"/>
      <c r="E10" s="41"/>
      <c r="F10" s="41"/>
      <c r="G10" s="459"/>
      <c r="H10" s="43"/>
      <c r="I10" s="44"/>
      <c r="J10" s="82"/>
      <c r="K10" s="82"/>
      <c r="L10" s="34"/>
      <c r="M10" s="34"/>
      <c r="N10" s="45"/>
      <c r="O10" s="46"/>
      <c r="P10" s="47"/>
      <c r="Q10" s="46"/>
      <c r="R10" s="384"/>
      <c r="S10" s="384"/>
      <c r="T10" s="36"/>
      <c r="U10" s="36"/>
      <c r="V10" s="36"/>
      <c r="W10" s="36"/>
      <c r="X10" s="381"/>
      <c r="Y10" s="36"/>
      <c r="Z10" s="615"/>
      <c r="AA10" s="48"/>
      <c r="AB10" s="48"/>
      <c r="AC10" s="36"/>
      <c r="AD10" s="36"/>
      <c r="AE10" s="225"/>
      <c r="AF10" s="36"/>
      <c r="AG10" s="36"/>
      <c r="AH10" s="36"/>
      <c r="AI10" s="461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2"/>
      <c r="BC10" s="50"/>
      <c r="BD10" s="50"/>
      <c r="BE10" s="32"/>
      <c r="BF10" s="50"/>
    </row>
    <row r="11" spans="1:58" ht="12.95" customHeight="1">
      <c r="A11" s="39">
        <v>46114</v>
      </c>
      <c r="B11" s="40" t="s">
        <v>403</v>
      </c>
      <c r="C11" s="416">
        <f>(M11*E11*O11*Q11)/100000000</f>
        <v>55.544832</v>
      </c>
      <c r="D11" s="40" t="s">
        <v>276</v>
      </c>
      <c r="E11" s="41">
        <v>12</v>
      </c>
      <c r="F11" s="41">
        <v>1</v>
      </c>
      <c r="G11" s="459">
        <v>1400</v>
      </c>
      <c r="H11" s="43">
        <f>+N11</f>
        <v>0.18000000000000005</v>
      </c>
      <c r="I11" s="44">
        <v>0.88</v>
      </c>
      <c r="J11" s="82">
        <f>E11*G11*(1-H11)*1440/1000000*2.87</f>
        <v>56.933452800000005</v>
      </c>
      <c r="K11" s="82">
        <f>(IF(G11&lt;L11,L11,G11)*(1-IF(H11&lt;N11,H11,N11))*E11*O11*Q11)/100000000</f>
        <v>55.544832</v>
      </c>
      <c r="L11" s="34">
        <v>1400</v>
      </c>
      <c r="M11" s="34">
        <v>1148</v>
      </c>
      <c r="N11" s="45">
        <f>1-(M11/L11)</f>
        <v>0.18000000000000005</v>
      </c>
      <c r="O11" s="46">
        <f>+'Trim Rwd'!H7</f>
        <v>280</v>
      </c>
      <c r="P11" s="47">
        <f>O11*(Q11-R11-S11)</f>
        <v>374360</v>
      </c>
      <c r="Q11" s="46">
        <v>1440</v>
      </c>
      <c r="R11" s="384">
        <v>71</v>
      </c>
      <c r="S11" s="384">
        <v>32</v>
      </c>
      <c r="T11" s="36">
        <f>E11*M11*O11*Q11/100000000</f>
        <v>55.544832</v>
      </c>
      <c r="U11" s="36">
        <f>E11*M11*O11*(Q11-R11-S11)/100000000</f>
        <v>51.571833599999998</v>
      </c>
      <c r="V11" s="36">
        <f>E11*G11*(1-N11)*O11/100*(R11+S11)/1000000</f>
        <v>3.9729984000000003</v>
      </c>
      <c r="W11" s="36">
        <f>+'2'!K34/1000</f>
        <v>53.685000000000002</v>
      </c>
      <c r="X11" s="381">
        <f>SUM(W11:W14)/SUM(K11:K14)</f>
        <v>0.96651656089264981</v>
      </c>
      <c r="Y11" s="36">
        <v>0</v>
      </c>
      <c r="Z11" s="615">
        <f>+'2'!D34/1000</f>
        <v>0.20300000000000001</v>
      </c>
      <c r="AA11" s="48">
        <f>SUM(U11:U14)-SUM(W11:W14)-SUM(Z11:Z14)-SUM(Y11:Y14)</f>
        <v>-2.3161664000000042</v>
      </c>
      <c r="AB11" s="48">
        <f>(SUM(K11:K14)-SUM(W11:W14)-SUM(Y11:Y14)-SUM(Z11:Z14)-SUM(AC11:AC14)-SUM(V11:V14))-AA11</f>
        <v>0</v>
      </c>
      <c r="AC11" s="36">
        <f>K11-T11</f>
        <v>0</v>
      </c>
      <c r="AD11" s="36">
        <f>+AM11+BA11</f>
        <v>0</v>
      </c>
      <c r="AE11" s="225" t="s">
        <v>385</v>
      </c>
      <c r="AF11" s="36">
        <v>0</v>
      </c>
      <c r="AG11" s="36"/>
      <c r="AH11" s="36"/>
      <c r="AI11" s="461"/>
      <c r="AJ11" s="36"/>
      <c r="AK11" s="36"/>
      <c r="AL11" s="36"/>
      <c r="AM11" s="36">
        <f>SUM(AF11:AL11)+AT11+AV11+AX11</f>
        <v>0</v>
      </c>
      <c r="AN11" s="36"/>
      <c r="AO11" s="36"/>
      <c r="AP11" s="36"/>
      <c r="AQ11" s="36"/>
      <c r="AR11" s="36">
        <f>SUM(AN11:AQ11)</f>
        <v>0</v>
      </c>
      <c r="AS11" s="36"/>
      <c r="AT11" s="36"/>
      <c r="AU11" s="36"/>
      <c r="AV11" s="36"/>
      <c r="AW11" s="36"/>
      <c r="AX11" s="36"/>
      <c r="AY11" s="36"/>
      <c r="AZ11" s="36"/>
      <c r="BA11" s="36">
        <f>+AR11+AS11+AU11+AW11+AY11+AZ11</f>
        <v>0</v>
      </c>
      <c r="BB11" s="32">
        <v>0</v>
      </c>
      <c r="BC11" s="50"/>
      <c r="BD11" s="50"/>
      <c r="BE11" s="32"/>
      <c r="BF11" s="50"/>
    </row>
    <row r="12" spans="1:58" ht="12.95" customHeight="1">
      <c r="A12" s="39"/>
      <c r="B12" s="40"/>
      <c r="C12" s="416"/>
      <c r="D12" s="40"/>
      <c r="E12" s="41"/>
      <c r="F12" s="41"/>
      <c r="G12" s="459"/>
      <c r="H12" s="43"/>
      <c r="I12" s="44"/>
      <c r="J12" s="82"/>
      <c r="K12" s="82"/>
      <c r="L12" s="34"/>
      <c r="M12" s="34"/>
      <c r="N12" s="45"/>
      <c r="O12" s="46"/>
      <c r="P12" s="47"/>
      <c r="Q12" s="46"/>
      <c r="R12" s="384"/>
      <c r="S12" s="384"/>
      <c r="T12" s="36"/>
      <c r="U12" s="36"/>
      <c r="V12" s="36"/>
      <c r="W12" s="36"/>
      <c r="X12" s="37"/>
      <c r="Y12" s="208"/>
      <c r="Z12" s="615"/>
      <c r="AA12" s="36"/>
      <c r="AB12" s="36"/>
      <c r="AC12" s="36"/>
      <c r="AD12" s="36">
        <f>+AM12+BA12</f>
        <v>3</v>
      </c>
      <c r="AE12" s="225" t="s">
        <v>419</v>
      </c>
      <c r="AF12" s="36"/>
      <c r="AG12" s="36">
        <v>3</v>
      </c>
      <c r="AH12" s="36"/>
      <c r="AI12" s="461"/>
      <c r="AJ12" s="36"/>
      <c r="AK12" s="36"/>
      <c r="AL12" s="36"/>
      <c r="AM12" s="36">
        <f>SUM(AF12:AL12)+AT12+AV12+AX12</f>
        <v>3</v>
      </c>
      <c r="AN12" s="83"/>
      <c r="AO12" s="36"/>
      <c r="AP12" s="36"/>
      <c r="AQ12" s="36"/>
      <c r="AR12" s="36">
        <f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>
        <f>+AR12+AS12+AU12+AW12+AY12+AZ12</f>
        <v>0</v>
      </c>
      <c r="BB12" s="49"/>
      <c r="BC12" s="50">
        <v>1</v>
      </c>
      <c r="BD12" s="50"/>
      <c r="BE12" s="49"/>
      <c r="BF12" s="50"/>
    </row>
    <row r="13" spans="1:58" ht="12.95" customHeight="1">
      <c r="A13" s="39"/>
      <c r="B13" s="40"/>
      <c r="C13" s="416"/>
      <c r="D13" s="40"/>
      <c r="E13" s="41"/>
      <c r="F13" s="41"/>
      <c r="G13" s="42"/>
      <c r="H13" s="43"/>
      <c r="I13" s="44"/>
      <c r="J13" s="82"/>
      <c r="K13" s="82"/>
      <c r="L13" s="34"/>
      <c r="M13" s="34"/>
      <c r="N13" s="45"/>
      <c r="O13" s="46"/>
      <c r="P13" s="47"/>
      <c r="Q13" s="46"/>
      <c r="R13" s="384"/>
      <c r="S13" s="384"/>
      <c r="T13" s="36"/>
      <c r="U13" s="36"/>
      <c r="V13" s="36"/>
      <c r="W13" s="36"/>
      <c r="X13" s="37"/>
      <c r="Y13" s="208"/>
      <c r="Z13" s="615"/>
      <c r="AA13" s="36"/>
      <c r="AB13" s="36"/>
      <c r="AC13" s="36"/>
      <c r="AD13" s="36">
        <f>+AM13+BA13</f>
        <v>29</v>
      </c>
      <c r="AE13" s="225" t="s">
        <v>443</v>
      </c>
      <c r="AF13" s="32"/>
      <c r="AG13" s="32"/>
      <c r="AH13" s="32">
        <v>29</v>
      </c>
      <c r="AJ13" s="36"/>
      <c r="AK13" s="36"/>
      <c r="AL13" s="36"/>
      <c r="AM13" s="36">
        <f>SUM(AF13:AL13)+AT13+AV13+AX13</f>
        <v>29</v>
      </c>
      <c r="AN13" s="36"/>
      <c r="AO13" s="36"/>
      <c r="AP13" s="36"/>
      <c r="AQ13" s="36"/>
      <c r="AR13" s="36">
        <f>SUM(AN13:AQ13)</f>
        <v>0</v>
      </c>
      <c r="AS13" s="36"/>
      <c r="AT13" s="36"/>
      <c r="AU13" s="36"/>
      <c r="AV13" s="36"/>
      <c r="AW13" s="36"/>
      <c r="AX13" s="36"/>
      <c r="AY13" s="36"/>
      <c r="AZ13" s="36"/>
      <c r="BA13" s="36">
        <f>+AR13+AS13+AU13+AW13+AY13+AZ13</f>
        <v>0</v>
      </c>
      <c r="BB13" s="32"/>
      <c r="BC13" s="52"/>
      <c r="BD13" s="52"/>
      <c r="BE13" s="32"/>
      <c r="BF13" s="52"/>
    </row>
    <row r="14" spans="1:58" ht="12.95" customHeight="1">
      <c r="A14" s="39"/>
      <c r="B14" s="40"/>
      <c r="C14" s="416"/>
      <c r="D14" s="40"/>
      <c r="E14" s="41"/>
      <c r="F14" s="41"/>
      <c r="G14" s="42"/>
      <c r="H14" s="43"/>
      <c r="I14" s="44"/>
      <c r="J14" s="82"/>
      <c r="K14" s="82"/>
      <c r="L14" s="34"/>
      <c r="M14" s="34"/>
      <c r="N14" s="45"/>
      <c r="O14" s="46"/>
      <c r="P14" s="47"/>
      <c r="Q14" s="33"/>
      <c r="R14" s="384"/>
      <c r="S14" s="384"/>
      <c r="T14" s="36"/>
      <c r="U14" s="36"/>
      <c r="V14" s="36"/>
      <c r="W14" s="36"/>
      <c r="X14" s="37"/>
      <c r="Y14" s="208"/>
      <c r="Z14" s="615"/>
      <c r="AA14" s="36"/>
      <c r="AB14" s="36"/>
      <c r="AC14" s="36"/>
      <c r="AD14" s="36">
        <f>+AM14+BA14</f>
        <v>71</v>
      </c>
      <c r="AE14" s="228" t="s">
        <v>434</v>
      </c>
      <c r="AF14" s="36"/>
      <c r="AG14" s="36"/>
      <c r="AH14" s="36"/>
      <c r="AI14" s="461"/>
      <c r="AJ14" s="36"/>
      <c r="AK14" s="36"/>
      <c r="AL14" s="36"/>
      <c r="AM14" s="36">
        <f>SUM(AF14:AL14)+AT14+AV14+AX14</f>
        <v>0</v>
      </c>
      <c r="AN14" s="36">
        <v>71</v>
      </c>
      <c r="AO14" s="36"/>
      <c r="AP14" s="36"/>
      <c r="AQ14" s="36"/>
      <c r="AR14" s="36">
        <f>SUM(AN14:AQ14)</f>
        <v>71</v>
      </c>
      <c r="AS14" s="36"/>
      <c r="AT14" s="36"/>
      <c r="AU14" s="36"/>
      <c r="AV14" s="36"/>
      <c r="AW14" s="36"/>
      <c r="AX14" s="36"/>
      <c r="AY14" s="36"/>
      <c r="AZ14" s="36"/>
      <c r="BA14" s="36">
        <f>+AR14+AS14+AU14+AW14+AY14+AZ14</f>
        <v>71</v>
      </c>
      <c r="BB14" s="32"/>
      <c r="BC14" s="52"/>
      <c r="BD14" s="52"/>
      <c r="BE14" s="32"/>
      <c r="BF14" s="52"/>
    </row>
    <row r="15" spans="1:58" ht="12.95" customHeight="1">
      <c r="A15" s="39"/>
      <c r="B15" s="40"/>
      <c r="C15" s="416"/>
      <c r="D15" s="40"/>
      <c r="E15" s="41"/>
      <c r="F15" s="41"/>
      <c r="G15" s="459"/>
      <c r="H15" s="43"/>
      <c r="I15" s="44"/>
      <c r="J15" s="82"/>
      <c r="K15" s="82"/>
      <c r="L15" s="34"/>
      <c r="M15" s="34"/>
      <c r="N15" s="45"/>
      <c r="O15" s="46"/>
      <c r="P15" s="47"/>
      <c r="Q15" s="46"/>
      <c r="R15" s="384"/>
      <c r="S15" s="384"/>
      <c r="T15" s="36"/>
      <c r="U15" s="36"/>
      <c r="V15" s="36"/>
      <c r="W15" s="36"/>
      <c r="X15" s="37"/>
      <c r="Y15" s="208"/>
      <c r="Z15" s="615"/>
      <c r="AA15" s="36"/>
      <c r="AB15" s="36"/>
      <c r="AC15" s="36"/>
      <c r="AD15" s="36"/>
      <c r="AE15" s="225"/>
      <c r="AF15" s="36"/>
      <c r="AG15" s="36"/>
      <c r="AH15" s="36"/>
      <c r="AI15" s="461"/>
      <c r="AJ15" s="36"/>
      <c r="AK15" s="36"/>
      <c r="AL15" s="36"/>
      <c r="AM15" s="36"/>
      <c r="AN15" s="83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49"/>
      <c r="BC15" s="50"/>
      <c r="BD15" s="50"/>
      <c r="BE15" s="49"/>
      <c r="BF15" s="50"/>
    </row>
    <row r="16" spans="1:58" ht="12.95" customHeight="1">
      <c r="A16" s="39">
        <v>46115</v>
      </c>
      <c r="B16" s="40" t="s">
        <v>403</v>
      </c>
      <c r="C16" s="416">
        <f>(M16*E16*O16*Q16)/100000000</f>
        <v>3.0858240000000001</v>
      </c>
      <c r="D16" s="40" t="s">
        <v>276</v>
      </c>
      <c r="E16" s="41">
        <v>12</v>
      </c>
      <c r="F16" s="41">
        <v>1</v>
      </c>
      <c r="G16" s="459">
        <v>1400</v>
      </c>
      <c r="H16" s="43">
        <f>+N16</f>
        <v>0.18000000000000005</v>
      </c>
      <c r="I16" s="44">
        <v>0.88</v>
      </c>
      <c r="J16" s="82">
        <f>E16*G16*(1-H16)*1440/1000000*2.87</f>
        <v>56.933452800000005</v>
      </c>
      <c r="K16" s="82">
        <f>(IF(G16&lt;L16,L16,G16)*(1-IF(H16&lt;N16,H16,N16))*E16*O16*Q16)/100000000</f>
        <v>3.0858240000000001</v>
      </c>
      <c r="L16" s="34">
        <v>1400</v>
      </c>
      <c r="M16" s="34">
        <v>1148</v>
      </c>
      <c r="N16" s="45">
        <f>1-(M16/L16)</f>
        <v>0.18000000000000005</v>
      </c>
      <c r="O16" s="46">
        <f>+'Trim Rwd'!H10</f>
        <v>280</v>
      </c>
      <c r="P16" s="47">
        <f>O16*(Q16-R16-S16)</f>
        <v>22400</v>
      </c>
      <c r="Q16" s="46">
        <f>60+20</f>
        <v>80</v>
      </c>
      <c r="R16" s="384">
        <v>0</v>
      </c>
      <c r="S16" s="384">
        <v>0</v>
      </c>
      <c r="T16" s="36">
        <f>E16*M16*O16*Q16/100000000</f>
        <v>3.0858240000000001</v>
      </c>
      <c r="U16" s="36">
        <f>E16*M16*O16*(Q16-R16-S16)/100000000</f>
        <v>3.0858240000000001</v>
      </c>
      <c r="V16" s="36">
        <f>E16*G16*(1-N16)*O16/100*(R16+S16)/1000000</f>
        <v>0</v>
      </c>
      <c r="W16" s="36">
        <f>+'3'!K7/1000</f>
        <v>14.145</v>
      </c>
      <c r="X16" s="381">
        <f>SUM(W16:W19)/SUM(K16:K19)</f>
        <v>1.0974484167977767</v>
      </c>
      <c r="Y16" s="36">
        <v>0</v>
      </c>
      <c r="Z16" s="615">
        <f>+'3'!D34/1000</f>
        <v>0.20799999999999999</v>
      </c>
      <c r="AA16" s="48">
        <f>SUM(U16:U19)-SUM(W16:W19)-SUM(Z16:Z19)-SUM(Y16:Y19)</f>
        <v>-6.007995199999991</v>
      </c>
      <c r="AB16" s="48">
        <f>(SUM(K16:K19)-SUM(W16:W19)-SUM(Y16:Y19)-SUM(Z16:Z19)-SUM(AC16:AC19)-SUM(V16:V19))-AA16</f>
        <v>0</v>
      </c>
      <c r="AC16" s="36">
        <f>K16-T16</f>
        <v>0</v>
      </c>
      <c r="AD16" s="36">
        <f>+AM16+BA16</f>
        <v>0</v>
      </c>
      <c r="AE16" s="225" t="s">
        <v>385</v>
      </c>
      <c r="AF16" s="36">
        <v>0</v>
      </c>
      <c r="AG16" s="36"/>
      <c r="AH16" s="36"/>
      <c r="AI16" s="461"/>
      <c r="AJ16" s="36"/>
      <c r="AK16" s="36"/>
      <c r="AL16" s="36"/>
      <c r="AM16" s="36">
        <f>SUM(AF16:AL16)+AT16+AV16+AX16</f>
        <v>0</v>
      </c>
      <c r="AN16" s="36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>
        <f>+AR16+AS16+AU16+AW16+AY16+AZ16</f>
        <v>0</v>
      </c>
      <c r="BB16" s="32">
        <v>0</v>
      </c>
      <c r="BC16" s="50"/>
      <c r="BD16" s="50"/>
      <c r="BE16" s="32"/>
      <c r="BF16" s="50"/>
    </row>
    <row r="17" spans="1:58" ht="12.95" customHeight="1">
      <c r="A17" s="39"/>
      <c r="B17" s="40" t="s">
        <v>403</v>
      </c>
      <c r="C17" s="416">
        <f>(M17*E17*O17*Q17)/100000000</f>
        <v>48.087423999999999</v>
      </c>
      <c r="D17" s="40" t="s">
        <v>276</v>
      </c>
      <c r="E17" s="41">
        <v>11</v>
      </c>
      <c r="F17" s="41">
        <v>1</v>
      </c>
      <c r="G17" s="459">
        <v>1400</v>
      </c>
      <c r="H17" s="43">
        <f>+N17</f>
        <v>0.18000000000000005</v>
      </c>
      <c r="I17" s="44">
        <v>0.88</v>
      </c>
      <c r="J17" s="82">
        <f>E17*G17*(1-H17)*1440/1000000*2.87</f>
        <v>52.188998400000003</v>
      </c>
      <c r="K17" s="82">
        <f>(IF(G17&lt;L17,L17,G17)*(1-IF(H17&lt;N17,H17,N17))*E17*O17*Q17)/100000000</f>
        <v>48.087423999999999</v>
      </c>
      <c r="L17" s="34">
        <v>1400</v>
      </c>
      <c r="M17" s="34">
        <v>1148</v>
      </c>
      <c r="N17" s="45">
        <f>1-(M17/L17)</f>
        <v>0.18000000000000005</v>
      </c>
      <c r="O17" s="46">
        <f>+'Trim Rwd'!H11</f>
        <v>280</v>
      </c>
      <c r="P17" s="47">
        <f>O17*(Q17-R17-S17)</f>
        <v>374360</v>
      </c>
      <c r="Q17" s="46">
        <f>1440-Q16</f>
        <v>1360</v>
      </c>
      <c r="R17" s="384">
        <v>0</v>
      </c>
      <c r="S17" s="384">
        <v>23</v>
      </c>
      <c r="T17" s="36">
        <f>E17*M17*O17*Q17/100000000</f>
        <v>48.087423999999999</v>
      </c>
      <c r="U17" s="36">
        <f>E17*M17*O17*(Q17-R17-S17)/100000000</f>
        <v>47.274180800000003</v>
      </c>
      <c r="V17" s="36">
        <f>E17*G17*(1-N17)*O17/100*(R17+S17)/1000000</f>
        <v>0.81324320000000005</v>
      </c>
      <c r="W17" s="36">
        <f>+'3'!K8/1000</f>
        <v>42.015000000000001</v>
      </c>
      <c r="X17" s="37"/>
      <c r="Y17" s="208"/>
      <c r="Z17" s="615"/>
      <c r="AA17" s="36"/>
      <c r="AB17" s="36"/>
      <c r="AC17" s="36">
        <f>K17-T17</f>
        <v>0</v>
      </c>
      <c r="AD17" s="36">
        <f>+AM17+BA17</f>
        <v>0</v>
      </c>
      <c r="AE17" s="225" t="s">
        <v>399</v>
      </c>
      <c r="AF17" s="36"/>
      <c r="AG17" s="36">
        <v>0</v>
      </c>
      <c r="AH17" s="36"/>
      <c r="AI17" s="461"/>
      <c r="AJ17" s="36"/>
      <c r="AK17" s="36"/>
      <c r="AL17" s="36"/>
      <c r="AM17" s="36">
        <f>SUM(AF17:AL17)+AT17+AV17+AX17</f>
        <v>0</v>
      </c>
      <c r="AN17" s="83"/>
      <c r="AO17" s="36"/>
      <c r="AP17" s="36"/>
      <c r="AQ17" s="36"/>
      <c r="AR17" s="36">
        <f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>
        <f>+AR17+AS17+AU17+AW17+AY17+AZ17</f>
        <v>0</v>
      </c>
      <c r="BB17" s="49"/>
      <c r="BC17" s="50">
        <v>0</v>
      </c>
      <c r="BD17" s="50"/>
      <c r="BE17" s="49"/>
      <c r="BF17" s="50"/>
    </row>
    <row r="18" spans="1:58" ht="12.95" customHeight="1">
      <c r="A18" s="39"/>
      <c r="B18" s="40"/>
      <c r="C18" s="416"/>
      <c r="D18" s="40"/>
      <c r="E18" s="41"/>
      <c r="F18" s="41"/>
      <c r="G18" s="42"/>
      <c r="H18" s="43"/>
      <c r="I18" s="44"/>
      <c r="J18" s="82"/>
      <c r="K18" s="82"/>
      <c r="L18" s="34"/>
      <c r="M18" s="34"/>
      <c r="N18" s="45"/>
      <c r="O18" s="46"/>
      <c r="P18" s="47"/>
      <c r="Q18" s="46"/>
      <c r="R18" s="384"/>
      <c r="S18" s="384"/>
      <c r="T18" s="36"/>
      <c r="U18" s="36"/>
      <c r="V18" s="36"/>
      <c r="W18" s="36"/>
      <c r="X18" s="37"/>
      <c r="Y18" s="208"/>
      <c r="Z18" s="615"/>
      <c r="AA18" s="36"/>
      <c r="AB18" s="36"/>
      <c r="AC18" s="36"/>
      <c r="AD18" s="36">
        <f>+AM18+BA18</f>
        <v>23</v>
      </c>
      <c r="AE18" s="225" t="s">
        <v>446</v>
      </c>
      <c r="AF18" s="32"/>
      <c r="AG18" s="32"/>
      <c r="AH18" s="32">
        <v>23</v>
      </c>
      <c r="AJ18" s="36"/>
      <c r="AK18" s="36"/>
      <c r="AL18" s="36"/>
      <c r="AM18" s="36">
        <f>SUM(AF18:AL18)+AT18+AV18+AX18</f>
        <v>23</v>
      </c>
      <c r="AN18" s="36"/>
      <c r="AO18" s="36"/>
      <c r="AP18" s="36"/>
      <c r="AQ18" s="36"/>
      <c r="AR18" s="36">
        <f>SUM(AN18:AQ18)</f>
        <v>0</v>
      </c>
      <c r="AS18" s="36"/>
      <c r="AT18" s="36"/>
      <c r="AU18" s="36"/>
      <c r="AV18" s="36"/>
      <c r="AW18" s="36"/>
      <c r="AX18" s="36"/>
      <c r="AY18" s="36"/>
      <c r="AZ18" s="36"/>
      <c r="BA18" s="36">
        <f>+AR18+AS18+AU18+AW18+AY18+AZ18</f>
        <v>0</v>
      </c>
      <c r="BB18" s="32"/>
      <c r="BC18" s="52"/>
      <c r="BD18" s="52"/>
      <c r="BE18" s="32"/>
      <c r="BF18" s="52"/>
    </row>
    <row r="19" spans="1:58" ht="12.95" customHeight="1">
      <c r="A19" s="39"/>
      <c r="B19" s="40"/>
      <c r="C19" s="416"/>
      <c r="D19" s="40"/>
      <c r="E19" s="41"/>
      <c r="F19" s="41"/>
      <c r="G19" s="42"/>
      <c r="H19" s="43"/>
      <c r="I19" s="44"/>
      <c r="J19" s="82"/>
      <c r="K19" s="82"/>
      <c r="L19" s="34"/>
      <c r="M19" s="34"/>
      <c r="N19" s="45"/>
      <c r="O19" s="46"/>
      <c r="P19" s="47"/>
      <c r="Q19" s="33"/>
      <c r="R19" s="384"/>
      <c r="S19" s="384"/>
      <c r="T19" s="36"/>
      <c r="U19" s="36"/>
      <c r="V19" s="36"/>
      <c r="W19" s="36"/>
      <c r="X19" s="37"/>
      <c r="Y19" s="208"/>
      <c r="Z19" s="615"/>
      <c r="AA19" s="36"/>
      <c r="AB19" s="36"/>
      <c r="AC19" s="36"/>
      <c r="AD19" s="36"/>
      <c r="AE19" s="228"/>
      <c r="AF19" s="36"/>
      <c r="AG19" s="36"/>
      <c r="AH19" s="36"/>
      <c r="AI19" s="461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2"/>
      <c r="BC19" s="52"/>
      <c r="BD19" s="52"/>
      <c r="BE19" s="32"/>
      <c r="BF19" s="52"/>
    </row>
    <row r="20" spans="1:58" ht="12.95" customHeight="1">
      <c r="A20" s="39">
        <v>46116</v>
      </c>
      <c r="B20" s="40" t="s">
        <v>403</v>
      </c>
      <c r="C20" s="416">
        <f>(M20*E20*O20*Q20)/100000000</f>
        <v>21.215039999999998</v>
      </c>
      <c r="D20" s="40" t="s">
        <v>276</v>
      </c>
      <c r="E20" s="41">
        <v>11</v>
      </c>
      <c r="F20" s="41">
        <v>1</v>
      </c>
      <c r="G20" s="459">
        <v>1400</v>
      </c>
      <c r="H20" s="43">
        <f>+N20</f>
        <v>0.18000000000000005</v>
      </c>
      <c r="I20" s="44">
        <v>0.88</v>
      </c>
      <c r="J20" s="82">
        <f>E20*G20*(1-H20)*1440/1000000*2.87</f>
        <v>52.188998400000003</v>
      </c>
      <c r="K20" s="82">
        <f>(IF(G20&lt;L20,L20,G20)*(1-IF(H20&lt;N20,H20,N20))*E20*O20*Q20)/100000000</f>
        <v>21.215039999999998</v>
      </c>
      <c r="L20" s="34">
        <v>1400</v>
      </c>
      <c r="M20" s="34">
        <v>1148</v>
      </c>
      <c r="N20" s="45">
        <f>1-(M20/L20)</f>
        <v>0.18000000000000005</v>
      </c>
      <c r="O20" s="46">
        <f>+'Trim Rwd'!H13</f>
        <v>280</v>
      </c>
      <c r="P20" s="47">
        <f>O20*(Q20-R20-S20)</f>
        <v>165200</v>
      </c>
      <c r="Q20" s="46">
        <v>600</v>
      </c>
      <c r="R20" s="384">
        <v>0</v>
      </c>
      <c r="S20" s="384">
        <v>10</v>
      </c>
      <c r="T20" s="36">
        <f>E20*M20*O20*Q20/100000000</f>
        <v>21.215039999999998</v>
      </c>
      <c r="U20" s="36">
        <f>E20*M20*O20*(Q20-R20-S20)/100000000</f>
        <v>20.861456</v>
      </c>
      <c r="V20" s="36">
        <f>E20*G20*(1-N20)*O20/100*(R20+S20)/1000000</f>
        <v>0.35358400000000001</v>
      </c>
      <c r="W20" s="36">
        <f>+'4'!K8/1000</f>
        <v>24.405999999999999</v>
      </c>
      <c r="X20" s="381">
        <f>SUM(W20:W23)/SUM(K20:K23)</f>
        <v>0.85554476436593652</v>
      </c>
      <c r="Y20" s="36">
        <v>0</v>
      </c>
      <c r="Z20" s="615">
        <f>+'4'!D7/1000</f>
        <v>0.54</v>
      </c>
      <c r="AA20" s="48">
        <f>SUM(U20:U23)-SUM(W20:W23)-SUM(Z20:Z23)-SUM(Y20:Y23)</f>
        <v>3.3184620499999991</v>
      </c>
      <c r="AB20" s="48">
        <f>(SUM(K20:K23)-SUM(W20:W23)-SUM(Y20:Y23)-SUM(Z20:Z23)-SUM(AC20:AC23)-SUM(V20:V23))-AA20</f>
        <v>3.6995400000001233E-2</v>
      </c>
      <c r="AC20" s="36">
        <f>K20-T20</f>
        <v>0</v>
      </c>
      <c r="AD20" s="36">
        <f>+AM20+BA20</f>
        <v>0</v>
      </c>
      <c r="AE20" s="225" t="s">
        <v>385</v>
      </c>
      <c r="AF20" s="36">
        <v>0</v>
      </c>
      <c r="AG20" s="36"/>
      <c r="AH20" s="36"/>
      <c r="AI20" s="461"/>
      <c r="AJ20" s="36"/>
      <c r="AK20" s="36"/>
      <c r="AL20" s="36"/>
      <c r="AM20" s="36">
        <f>SUM(AF20:AL20)+AT20+AV20+AX20</f>
        <v>0</v>
      </c>
      <c r="AN20" s="36"/>
      <c r="AO20" s="36"/>
      <c r="AP20" s="36"/>
      <c r="AQ20" s="36"/>
      <c r="AR20" s="36">
        <f>SUM(AN20:AQ20)</f>
        <v>0</v>
      </c>
      <c r="AS20" s="36"/>
      <c r="AT20" s="36"/>
      <c r="AU20" s="36"/>
      <c r="AV20" s="36"/>
      <c r="AW20" s="36"/>
      <c r="AX20" s="36"/>
      <c r="AY20" s="36"/>
      <c r="AZ20" s="36"/>
      <c r="BA20" s="36">
        <f>+AR20+AS20+AU20+AW20+AY20+AZ20</f>
        <v>0</v>
      </c>
      <c r="BB20" s="32">
        <v>0</v>
      </c>
      <c r="BC20" s="50"/>
      <c r="BD20" s="50"/>
      <c r="BE20" s="32"/>
      <c r="BF20" s="50"/>
    </row>
    <row r="21" spans="1:58" ht="12.95" customHeight="1">
      <c r="A21" s="39"/>
      <c r="B21" s="40" t="s">
        <v>403</v>
      </c>
      <c r="C21" s="416">
        <f>(M21*E21*O21*Q21)/100000000</f>
        <v>13.632300000000001</v>
      </c>
      <c r="D21" s="40" t="s">
        <v>276</v>
      </c>
      <c r="E21" s="41">
        <v>16.5</v>
      </c>
      <c r="F21" s="41">
        <v>1</v>
      </c>
      <c r="G21" s="459">
        <v>950</v>
      </c>
      <c r="H21" s="43">
        <f>+N21</f>
        <v>0.15000000000000002</v>
      </c>
      <c r="I21" s="44">
        <v>0.88</v>
      </c>
      <c r="J21" s="82">
        <f>E21*G21*(1-H21)*1440/1000000*2.87</f>
        <v>55.064394</v>
      </c>
      <c r="K21" s="82">
        <f>(IF(G21&lt;L21,L21,G21)*(1-IF(H21&lt;N21,H21,N21))*E21*O21*Q21)/100000000</f>
        <v>13.632300000000001</v>
      </c>
      <c r="L21" s="34">
        <v>1000</v>
      </c>
      <c r="M21" s="34">
        <v>850</v>
      </c>
      <c r="N21" s="45">
        <f>1-(M21/L21)</f>
        <v>0.15000000000000002</v>
      </c>
      <c r="O21" s="46">
        <f>+'Trim Rwd'!H14</f>
        <v>270</v>
      </c>
      <c r="P21" s="47">
        <f>O21*(Q21-R21-S21)</f>
        <v>95040</v>
      </c>
      <c r="Q21" s="46">
        <v>360</v>
      </c>
      <c r="R21" s="384">
        <v>0</v>
      </c>
      <c r="S21" s="384">
        <v>8</v>
      </c>
      <c r="T21" s="36">
        <f>E21*M21*O21*Q21/100000000</f>
        <v>13.632300000000001</v>
      </c>
      <c r="U21" s="36">
        <f>E21*M21*O21*(Q21-R21-S21)/100000000</f>
        <v>13.329359999999999</v>
      </c>
      <c r="V21" s="36">
        <f>E21*G21*(1-N21)*O21/100*(R21+S21)/1000000</f>
        <v>0.28779300000000002</v>
      </c>
      <c r="W21" s="36">
        <f>+'4'!K9/1000</f>
        <v>4.1550000000000002</v>
      </c>
      <c r="X21" s="37"/>
      <c r="Y21" s="208"/>
      <c r="Z21" s="615">
        <f>+'4'!D18/1000</f>
        <v>0.3</v>
      </c>
      <c r="AA21" s="36"/>
      <c r="AB21" s="36"/>
      <c r="AC21" s="36">
        <f>K21-T21</f>
        <v>0</v>
      </c>
      <c r="AD21" s="36">
        <f>+AM21+BA21</f>
        <v>0</v>
      </c>
      <c r="AE21" s="225" t="s">
        <v>399</v>
      </c>
      <c r="AF21" s="36"/>
      <c r="AG21" s="36">
        <v>0</v>
      </c>
      <c r="AH21" s="36"/>
      <c r="AI21" s="461"/>
      <c r="AJ21" s="36"/>
      <c r="AK21" s="36"/>
      <c r="AL21" s="36"/>
      <c r="AM21" s="36">
        <f>SUM(AF21:AL21)+AT21+AV21+AX21</f>
        <v>0</v>
      </c>
      <c r="AN21" s="83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>
        <f>+AR21+AS21+AU21+AW21+AY21+AZ21</f>
        <v>0</v>
      </c>
      <c r="BB21" s="49"/>
      <c r="BC21" s="50">
        <v>0</v>
      </c>
      <c r="BD21" s="50"/>
      <c r="BE21" s="49"/>
      <c r="BF21" s="50"/>
    </row>
    <row r="22" spans="1:58" ht="12.95" customHeight="1">
      <c r="A22" s="39"/>
      <c r="B22" s="40" t="s">
        <v>403</v>
      </c>
      <c r="C22" s="416">
        <f>(M22*E22*O22*Q22)/100000000</f>
        <v>18.3713832</v>
      </c>
      <c r="D22" s="40" t="s">
        <v>276</v>
      </c>
      <c r="E22" s="41">
        <v>17</v>
      </c>
      <c r="F22" s="41">
        <v>1</v>
      </c>
      <c r="G22" s="459">
        <v>925</v>
      </c>
      <c r="H22" s="43">
        <f>+N22</f>
        <v>0.15000000000000002</v>
      </c>
      <c r="I22" s="44">
        <v>0.88</v>
      </c>
      <c r="J22" s="82">
        <f>E22*G22*(1-H22)*1440/1000000*2.87</f>
        <v>55.240037999999998</v>
      </c>
      <c r="K22" s="82">
        <f>(IF(G22&lt;L22,L22,G22)*(1-IF(H22&lt;N22,H22,N22))*E22*O22*Q22)/100000000</f>
        <v>18.3713832</v>
      </c>
      <c r="L22" s="34">
        <v>981</v>
      </c>
      <c r="M22" s="34">
        <v>833.85</v>
      </c>
      <c r="N22" s="45">
        <f>1-(M22/L22)</f>
        <v>0.15000000000000002</v>
      </c>
      <c r="O22" s="46">
        <f>+'Trim Rwd'!H15</f>
        <v>270</v>
      </c>
      <c r="P22" s="47">
        <f>O22*(Q22-R22-S22)</f>
        <v>126900</v>
      </c>
      <c r="Q22" s="46">
        <v>480</v>
      </c>
      <c r="R22" s="384">
        <v>0</v>
      </c>
      <c r="S22" s="384">
        <v>10</v>
      </c>
      <c r="T22" s="36">
        <f>E22*M22*O22*Q22/100000000</f>
        <v>18.3713832</v>
      </c>
      <c r="U22" s="36">
        <f>E22*M22*O22*(Q22-R22-S22)/100000000</f>
        <v>17.98864605</v>
      </c>
      <c r="V22" s="36">
        <f>E22*G22*(1-N22)*O22/100*(R22+S22)/1000000</f>
        <v>0.36088874999999998</v>
      </c>
      <c r="W22" s="36">
        <f>+'4'!K10/1000</f>
        <v>13.906000000000001</v>
      </c>
      <c r="X22" s="37"/>
      <c r="Y22" s="208"/>
      <c r="Z22" s="615">
        <f>+'4'!D25/1000</f>
        <v>1.49</v>
      </c>
      <c r="AA22" s="36"/>
      <c r="AB22" s="36"/>
      <c r="AC22" s="36">
        <f>K22-T22</f>
        <v>0</v>
      </c>
      <c r="AD22" s="36">
        <f>+AM22+BA22</f>
        <v>28</v>
      </c>
      <c r="AE22" s="225" t="s">
        <v>469</v>
      </c>
      <c r="AF22" s="32"/>
      <c r="AG22" s="32"/>
      <c r="AH22" s="32">
        <v>28</v>
      </c>
      <c r="AJ22" s="36"/>
      <c r="AK22" s="36"/>
      <c r="AL22" s="36"/>
      <c r="AM22" s="36">
        <f>SUM(AF22:AL22)+AT22+AV22+AX22</f>
        <v>28</v>
      </c>
      <c r="AN22" s="36"/>
      <c r="AO22" s="36"/>
      <c r="AP22" s="36"/>
      <c r="AQ22" s="36"/>
      <c r="AR22" s="36">
        <f>SUM(AN22:AQ22)</f>
        <v>0</v>
      </c>
      <c r="AS22" s="36"/>
      <c r="AT22" s="36"/>
      <c r="AU22" s="36"/>
      <c r="AV22" s="36"/>
      <c r="AW22" s="36"/>
      <c r="AX22" s="36"/>
      <c r="AY22" s="36"/>
      <c r="AZ22" s="36"/>
      <c r="BA22" s="36">
        <f>+AR22+AS22+AU22+AW22+AY22+AZ22</f>
        <v>0</v>
      </c>
      <c r="BB22" s="32"/>
      <c r="BC22" s="52"/>
      <c r="BD22" s="52"/>
      <c r="BE22" s="32"/>
      <c r="BF22" s="52"/>
    </row>
    <row r="23" spans="1:58" ht="12.95" customHeight="1">
      <c r="A23" s="39"/>
      <c r="B23" s="40" t="s">
        <v>403</v>
      </c>
      <c r="C23" s="416"/>
      <c r="D23" s="40"/>
      <c r="E23" s="41">
        <v>12</v>
      </c>
      <c r="F23" s="41"/>
      <c r="G23" s="42"/>
      <c r="H23" s="43"/>
      <c r="I23" s="44"/>
      <c r="J23" s="82"/>
      <c r="K23" s="82"/>
      <c r="L23" s="34"/>
      <c r="M23" s="34"/>
      <c r="N23" s="45"/>
      <c r="O23" s="46"/>
      <c r="P23" s="47"/>
      <c r="Q23" s="33"/>
      <c r="R23" s="384"/>
      <c r="S23" s="384"/>
      <c r="T23" s="36"/>
      <c r="U23" s="36"/>
      <c r="V23" s="36"/>
      <c r="W23" s="36">
        <f>+'4'!K7/1000</f>
        <v>3.0640000000000001</v>
      </c>
      <c r="X23" s="37"/>
      <c r="Y23" s="208"/>
      <c r="Z23" s="615">
        <f>+('4'!D8+'4'!D17)/1000</f>
        <v>1</v>
      </c>
      <c r="AA23" s="36"/>
      <c r="AB23" s="36"/>
      <c r="AC23" s="36"/>
      <c r="AD23" s="36"/>
      <c r="AE23" s="228"/>
      <c r="AF23" s="36"/>
      <c r="AG23" s="36"/>
      <c r="AH23" s="36"/>
      <c r="AI23" s="461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2"/>
      <c r="BC23" s="52"/>
      <c r="BD23" s="52"/>
      <c r="BE23" s="32"/>
      <c r="BF23" s="52"/>
    </row>
    <row r="24" spans="1:58" ht="12.95" customHeight="1">
      <c r="A24" s="39"/>
      <c r="B24" s="40"/>
      <c r="C24" s="416"/>
      <c r="D24" s="40"/>
      <c r="E24" s="41"/>
      <c r="F24" s="41"/>
      <c r="G24" s="42"/>
      <c r="H24" s="43"/>
      <c r="I24" s="44"/>
      <c r="J24" s="82"/>
      <c r="K24" s="82"/>
      <c r="L24" s="34"/>
      <c r="M24" s="34"/>
      <c r="N24" s="45"/>
      <c r="O24" s="46"/>
      <c r="P24" s="47"/>
      <c r="Q24" s="33"/>
      <c r="R24" s="384"/>
      <c r="S24" s="384"/>
      <c r="T24" s="36"/>
      <c r="U24" s="36"/>
      <c r="V24" s="36"/>
      <c r="W24" s="36"/>
      <c r="X24" s="37"/>
      <c r="Y24" s="208"/>
      <c r="Z24" s="615"/>
      <c r="AA24" s="36"/>
      <c r="AB24" s="36"/>
      <c r="AC24" s="36"/>
      <c r="AD24" s="36"/>
      <c r="AE24" s="228"/>
      <c r="AF24" s="36"/>
      <c r="AG24" s="36"/>
      <c r="AH24" s="36"/>
      <c r="AI24" s="461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2"/>
      <c r="BC24" s="52"/>
      <c r="BD24" s="52"/>
      <c r="BE24" s="32"/>
      <c r="BF24" s="52"/>
    </row>
    <row r="25" spans="1:58" ht="12.95" customHeight="1">
      <c r="A25" s="39">
        <v>46117</v>
      </c>
      <c r="B25" s="40" t="s">
        <v>403</v>
      </c>
      <c r="C25" s="416">
        <f>(M25*E25*O25*Q25)/100000000</f>
        <v>55.057968000000002</v>
      </c>
      <c r="D25" s="40" t="s">
        <v>276</v>
      </c>
      <c r="E25" s="41">
        <v>17</v>
      </c>
      <c r="F25" s="41">
        <v>1</v>
      </c>
      <c r="G25" s="459">
        <v>925</v>
      </c>
      <c r="H25" s="43">
        <f>+N25</f>
        <v>0.15000000000000002</v>
      </c>
      <c r="I25" s="44">
        <v>0.88</v>
      </c>
      <c r="J25" s="82">
        <f>E25*G25*(1-H25)*1440/1000000*2.87</f>
        <v>55.240037999999998</v>
      </c>
      <c r="K25" s="82">
        <f>(IF(G25&lt;L25,L25,G25)*(1-IF(H25&lt;N25,H25,N25))*E25*O25*Q25)/100000000</f>
        <v>55.057968000000002</v>
      </c>
      <c r="L25" s="34">
        <v>980</v>
      </c>
      <c r="M25" s="34">
        <v>833</v>
      </c>
      <c r="N25" s="45">
        <f>1-(M25/L25)</f>
        <v>0.15000000000000002</v>
      </c>
      <c r="O25" s="46">
        <f>+'Trim Rwd'!H18</f>
        <v>270</v>
      </c>
      <c r="P25" s="47">
        <f>O25*(Q25-R25-S25)</f>
        <v>360180</v>
      </c>
      <c r="Q25" s="46">
        <f>1440-Q24</f>
        <v>1440</v>
      </c>
      <c r="R25" s="384">
        <v>60</v>
      </c>
      <c r="S25" s="384">
        <v>46</v>
      </c>
      <c r="T25" s="36">
        <f>E25*M25*O25*Q25/100000000</f>
        <v>55.057968000000002</v>
      </c>
      <c r="U25" s="36">
        <f>E25*M25*O25*(Q25-R25-S25)/100000000</f>
        <v>51.0050898</v>
      </c>
      <c r="V25" s="36">
        <f>E25*G25*(1-N25)*O25/100*(R25+S25)/1000000</f>
        <v>3.8254207500000001</v>
      </c>
      <c r="W25" s="36">
        <f>+'5'!K34/1000</f>
        <v>37.146999999999998</v>
      </c>
      <c r="X25" s="381">
        <f>SUM(W25:W28)/SUM(K25:K28)</f>
        <v>0.67468890243097956</v>
      </c>
      <c r="Y25" s="36">
        <v>0</v>
      </c>
      <c r="Z25" s="615">
        <f>+'5'!D34/1000</f>
        <v>5.0199999999999996</v>
      </c>
      <c r="AA25" s="48">
        <f>SUM(U25:U28)-SUM(W25:W28)-SUM(Z25:Z28)-SUM(Y25:Y28)</f>
        <v>8.8380898000000023</v>
      </c>
      <c r="AB25" s="48">
        <f>(SUM(K25:K28)-SUM(W25:W28)-SUM(Y25:Y28)-SUM(Z25:Z28)-SUM(AC25:AC28)-SUM(V25:V28))-AA25</f>
        <v>0.22745745000000284</v>
      </c>
      <c r="AC25" s="36">
        <f>K25-T25</f>
        <v>0</v>
      </c>
      <c r="AD25" s="36">
        <f>+AM25+BA25</f>
        <v>20</v>
      </c>
      <c r="AE25" s="225" t="s">
        <v>474</v>
      </c>
      <c r="AF25" s="36">
        <v>20</v>
      </c>
      <c r="AG25" s="36"/>
      <c r="AH25" s="36"/>
      <c r="AI25" s="461"/>
      <c r="AJ25" s="36"/>
      <c r="AK25" s="36"/>
      <c r="AL25" s="36"/>
      <c r="AM25" s="36">
        <f>SUM(AF25:AL25)+AT25+AV25+AX25</f>
        <v>20</v>
      </c>
      <c r="AN25" s="36"/>
      <c r="AO25" s="36"/>
      <c r="AP25" s="36"/>
      <c r="AQ25" s="36"/>
      <c r="AR25" s="36">
        <f>SUM(AN25:AQ25)</f>
        <v>0</v>
      </c>
      <c r="AS25" s="36"/>
      <c r="AT25" s="36"/>
      <c r="AU25" s="36"/>
      <c r="AV25" s="36"/>
      <c r="AW25" s="36"/>
      <c r="AX25" s="36"/>
      <c r="AY25" s="36"/>
      <c r="AZ25" s="36"/>
      <c r="BA25" s="36">
        <f>+AR25+AS25+AU25+AW25+AY25+AZ25</f>
        <v>0</v>
      </c>
      <c r="BB25" s="32">
        <v>4</v>
      </c>
      <c r="BC25" s="50"/>
      <c r="BD25" s="50"/>
      <c r="BE25" s="32"/>
      <c r="BF25" s="50"/>
    </row>
    <row r="26" spans="1:58" ht="12.95" customHeight="1">
      <c r="A26" s="39"/>
      <c r="B26" s="40"/>
      <c r="C26" s="416"/>
      <c r="D26" s="40"/>
      <c r="E26" s="41"/>
      <c r="F26" s="41"/>
      <c r="G26" s="459"/>
      <c r="H26" s="43"/>
      <c r="I26" s="44"/>
      <c r="J26" s="82"/>
      <c r="K26" s="82"/>
      <c r="L26" s="34"/>
      <c r="M26" s="34"/>
      <c r="N26" s="45"/>
      <c r="O26" s="46"/>
      <c r="P26" s="47"/>
      <c r="Q26" s="46"/>
      <c r="R26" s="384"/>
      <c r="S26" s="384"/>
      <c r="T26" s="36"/>
      <c r="U26" s="36"/>
      <c r="V26" s="36"/>
      <c r="W26" s="36"/>
      <c r="X26" s="37"/>
      <c r="Y26" s="208"/>
      <c r="Z26" s="615"/>
      <c r="AA26" s="36"/>
      <c r="AB26" s="36"/>
      <c r="AC26" s="36"/>
      <c r="AD26" s="36">
        <f>+AM26+BA26</f>
        <v>2</v>
      </c>
      <c r="AE26" s="225" t="s">
        <v>419</v>
      </c>
      <c r="AF26" s="36"/>
      <c r="AG26" s="36">
        <v>2</v>
      </c>
      <c r="AH26" s="36"/>
      <c r="AI26" s="461"/>
      <c r="AJ26" s="36"/>
      <c r="AK26" s="36"/>
      <c r="AL26" s="36"/>
      <c r="AM26" s="36">
        <f>SUM(AF26:AL26)+AT26+AV26+AX26</f>
        <v>2</v>
      </c>
      <c r="AN26" s="83"/>
      <c r="AO26" s="36"/>
      <c r="AP26" s="36"/>
      <c r="AQ26" s="36"/>
      <c r="AR26" s="36">
        <f>SUM(AN26:AQ26)</f>
        <v>0</v>
      </c>
      <c r="AS26" s="36"/>
      <c r="AT26" s="36"/>
      <c r="AU26" s="36"/>
      <c r="AV26" s="36"/>
      <c r="AW26" s="36"/>
      <c r="AX26" s="36"/>
      <c r="AY26" s="36"/>
      <c r="AZ26" s="36"/>
      <c r="BA26" s="36">
        <f>+AR26+AS26+AU26+AW26+AY26+AZ26</f>
        <v>0</v>
      </c>
      <c r="BB26" s="49"/>
      <c r="BC26" s="50">
        <v>1</v>
      </c>
      <c r="BD26" s="50"/>
      <c r="BE26" s="49"/>
      <c r="BF26" s="50"/>
    </row>
    <row r="27" spans="1:58" ht="12.95" customHeight="1">
      <c r="A27" s="39"/>
      <c r="B27" s="40"/>
      <c r="C27" s="416"/>
      <c r="D27" s="40"/>
      <c r="E27" s="41"/>
      <c r="F27" s="41"/>
      <c r="G27" s="42"/>
      <c r="H27" s="43"/>
      <c r="I27" s="44"/>
      <c r="J27" s="82"/>
      <c r="K27" s="82"/>
      <c r="L27" s="34"/>
      <c r="M27" s="34"/>
      <c r="N27" s="45"/>
      <c r="O27" s="46"/>
      <c r="P27" s="47"/>
      <c r="Q27" s="46"/>
      <c r="R27" s="384"/>
      <c r="S27" s="384"/>
      <c r="T27" s="36"/>
      <c r="U27" s="36"/>
      <c r="V27" s="36"/>
      <c r="W27" s="36"/>
      <c r="X27" s="37"/>
      <c r="Y27" s="208"/>
      <c r="Z27" s="615"/>
      <c r="AA27" s="36"/>
      <c r="AB27" s="36"/>
      <c r="AC27" s="36"/>
      <c r="AD27" s="36">
        <f>+AM27+BA27</f>
        <v>24</v>
      </c>
      <c r="AE27" s="225" t="s">
        <v>476</v>
      </c>
      <c r="AF27" s="32"/>
      <c r="AG27" s="32"/>
      <c r="AH27" s="32">
        <v>24</v>
      </c>
      <c r="AJ27" s="36"/>
      <c r="AK27" s="36"/>
      <c r="AL27" s="36"/>
      <c r="AM27" s="36">
        <f>SUM(AF27:AL27)+AT27+AV27+AX27</f>
        <v>24</v>
      </c>
      <c r="AN27" s="36"/>
      <c r="AO27" s="36"/>
      <c r="AP27" s="36"/>
      <c r="AQ27" s="36"/>
      <c r="AR27" s="36">
        <f>SUM(AN27:AQ27)</f>
        <v>0</v>
      </c>
      <c r="AS27" s="36"/>
      <c r="AT27" s="36"/>
      <c r="AU27" s="36"/>
      <c r="AV27" s="36"/>
      <c r="AW27" s="36"/>
      <c r="AX27" s="36"/>
      <c r="AY27" s="36"/>
      <c r="AZ27" s="36"/>
      <c r="BA27" s="36">
        <f>+AR27+AS27+AU27+AW27+AY27+AZ27</f>
        <v>0</v>
      </c>
      <c r="BB27" s="32"/>
      <c r="BC27" s="52"/>
      <c r="BD27" s="52"/>
      <c r="BE27" s="32"/>
      <c r="BF27" s="52"/>
    </row>
    <row r="28" spans="1:58" ht="12.95" customHeight="1">
      <c r="A28" s="39"/>
      <c r="B28" s="40"/>
      <c r="C28" s="416"/>
      <c r="D28" s="40"/>
      <c r="E28" s="41"/>
      <c r="F28" s="41"/>
      <c r="G28" s="459"/>
      <c r="H28" s="43"/>
      <c r="I28" s="44"/>
      <c r="J28" s="82"/>
      <c r="K28" s="82"/>
      <c r="L28" s="34"/>
      <c r="M28" s="34"/>
      <c r="N28" s="45"/>
      <c r="O28" s="46"/>
      <c r="P28" s="47"/>
      <c r="Q28" s="46"/>
      <c r="R28" s="384"/>
      <c r="S28" s="384"/>
      <c r="T28" s="36"/>
      <c r="U28" s="36"/>
      <c r="V28" s="36"/>
      <c r="W28" s="36"/>
      <c r="X28" s="381"/>
      <c r="Y28" s="36"/>
      <c r="Z28" s="615"/>
      <c r="AA28" s="48"/>
      <c r="AB28" s="48"/>
      <c r="AC28" s="36"/>
      <c r="AD28" s="36">
        <f>+AM28+BA28</f>
        <v>60</v>
      </c>
      <c r="AE28" s="228" t="s">
        <v>462</v>
      </c>
      <c r="AF28" s="36"/>
      <c r="AG28" s="36"/>
      <c r="AH28" s="36"/>
      <c r="AI28" s="461"/>
      <c r="AJ28" s="36"/>
      <c r="AK28" s="36"/>
      <c r="AL28" s="36"/>
      <c r="AM28" s="36">
        <f>SUM(AF28:AL28)+AT28+AV28+AX28</f>
        <v>0</v>
      </c>
      <c r="AN28" s="36"/>
      <c r="AO28" s="36"/>
      <c r="AP28" s="36"/>
      <c r="AQ28" s="36"/>
      <c r="AR28" s="36">
        <f>SUM(AN28:AQ28)</f>
        <v>0</v>
      </c>
      <c r="AS28" s="36"/>
      <c r="AT28" s="36"/>
      <c r="AU28" s="36"/>
      <c r="AV28" s="36"/>
      <c r="AW28" s="36"/>
      <c r="AX28" s="36"/>
      <c r="AY28" s="36">
        <v>60</v>
      </c>
      <c r="AZ28" s="36"/>
      <c r="BA28" s="36">
        <f>+AR28+AS28+AU28+AW28+AY28+AZ28</f>
        <v>60</v>
      </c>
      <c r="BB28" s="32"/>
      <c r="BC28" s="52"/>
      <c r="BD28" s="52"/>
      <c r="BE28" s="32"/>
      <c r="BF28" s="52"/>
    </row>
    <row r="29" spans="1:58" ht="12.95" customHeight="1">
      <c r="A29" s="39"/>
      <c r="B29" s="40"/>
      <c r="C29" s="416"/>
      <c r="D29" s="40"/>
      <c r="E29" s="41"/>
      <c r="F29" s="41"/>
      <c r="G29" s="459"/>
      <c r="H29" s="43"/>
      <c r="I29" s="44"/>
      <c r="J29" s="82"/>
      <c r="K29" s="82"/>
      <c r="L29" s="34"/>
      <c r="M29" s="34"/>
      <c r="N29" s="45"/>
      <c r="O29" s="46"/>
      <c r="P29" s="47"/>
      <c r="Q29" s="46"/>
      <c r="R29" s="384"/>
      <c r="S29" s="384"/>
      <c r="T29" s="36"/>
      <c r="U29" s="36"/>
      <c r="V29" s="36"/>
      <c r="W29" s="36"/>
      <c r="X29" s="37"/>
      <c r="Y29" s="208"/>
      <c r="Z29" s="615"/>
      <c r="AA29" s="36"/>
      <c r="AB29" s="36"/>
      <c r="AC29" s="36"/>
      <c r="AD29" s="36"/>
      <c r="AE29" s="225"/>
      <c r="AF29" s="36"/>
      <c r="AG29" s="36"/>
      <c r="AH29" s="36"/>
      <c r="AI29" s="461"/>
      <c r="AJ29" s="36"/>
      <c r="AK29" s="36"/>
      <c r="AL29" s="36"/>
      <c r="AM29" s="36"/>
      <c r="AN29" s="83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49"/>
      <c r="BC29" s="50"/>
      <c r="BD29" s="52"/>
      <c r="BE29" s="32"/>
      <c r="BF29" s="52"/>
    </row>
    <row r="30" spans="1:58" ht="12.95" customHeight="1">
      <c r="A30" s="39">
        <v>46118</v>
      </c>
      <c r="B30" s="40" t="s">
        <v>403</v>
      </c>
      <c r="C30" s="416">
        <f>(M30*E30*O30*Q30)/100000000</f>
        <v>20.657983499999997</v>
      </c>
      <c r="D30" s="40" t="s">
        <v>276</v>
      </c>
      <c r="E30" s="41">
        <v>17</v>
      </c>
      <c r="F30" s="41">
        <v>1</v>
      </c>
      <c r="G30" s="459">
        <v>940</v>
      </c>
      <c r="H30" s="43">
        <f>+N30</f>
        <v>0.16500000000000004</v>
      </c>
      <c r="I30" s="44">
        <v>0.88</v>
      </c>
      <c r="J30" s="82">
        <f>E30*G30*(1-H30)*1440/1000000*2.87</f>
        <v>55.145190240000005</v>
      </c>
      <c r="K30" s="82">
        <f>(IF(G30&lt;L30,L30,G30)*(1-IF(H30&lt;N30,H30,N30))*E30*O30*Q30)/100000000</f>
        <v>20.657983499999997</v>
      </c>
      <c r="L30" s="34">
        <v>980</v>
      </c>
      <c r="M30" s="34">
        <f>+L30-L30*0.165</f>
        <v>818.3</v>
      </c>
      <c r="N30" s="45">
        <f>1-(M30/L30)</f>
        <v>0.16500000000000004</v>
      </c>
      <c r="O30" s="46">
        <f>+'Trim Rwd'!H21</f>
        <v>270</v>
      </c>
      <c r="P30" s="47">
        <f>O30*(Q30-R30-S30)</f>
        <v>145800</v>
      </c>
      <c r="Q30" s="46">
        <v>550</v>
      </c>
      <c r="R30" s="384">
        <v>0</v>
      </c>
      <c r="S30" s="384">
        <v>10</v>
      </c>
      <c r="T30" s="36">
        <f>E30*M30*O30*Q30/100000000</f>
        <v>20.657983499999997</v>
      </c>
      <c r="U30" s="36">
        <f>E30*M30*O30*(Q30-R30-S30)/100000000</f>
        <v>20.282383799999998</v>
      </c>
      <c r="V30" s="36">
        <f>E30*G30*(1-N30)*O30/100*(R30+S30)/1000000</f>
        <v>0.36026910000000001</v>
      </c>
      <c r="W30" s="36">
        <f>+'6'!K10/1000</f>
        <v>25.321000000000002</v>
      </c>
      <c r="X30" s="381">
        <f>SUM(W30:W33)/SUM(K30:K33)</f>
        <v>0.76259501421272791</v>
      </c>
      <c r="Y30" s="36">
        <v>0</v>
      </c>
      <c r="Z30" s="615">
        <f>+('6'!D7+'6'!D16)/1000</f>
        <v>2.5099999999999998</v>
      </c>
      <c r="AA30" s="48">
        <f>SUM(U30:U33)-SUM(W30:W33)-SUM(Z30:Z33)-SUM(Y30:Y33)</f>
        <v>9.1805342999999944</v>
      </c>
      <c r="AB30" s="48">
        <f>(SUM(K30:K33)-SUM(W30:W33)-SUM(Y30:Y33)-SUM(Z30:Z33)-SUM(AC30:AC33)-SUM(V30:V33))-AA30</f>
        <v>5.2563249999998618E-2</v>
      </c>
      <c r="AC30" s="36">
        <f>K30-T30</f>
        <v>0</v>
      </c>
      <c r="AD30" s="36">
        <f>+AM30+BA30</f>
        <v>5</v>
      </c>
      <c r="AE30" s="225" t="s">
        <v>496</v>
      </c>
      <c r="AF30" s="36">
        <v>5</v>
      </c>
      <c r="AG30" s="36"/>
      <c r="AH30" s="36"/>
      <c r="AI30" s="461"/>
      <c r="AJ30" s="36"/>
      <c r="AK30" s="36"/>
      <c r="AL30" s="36"/>
      <c r="AM30" s="36">
        <f>SUM(AF30:AL30)+AT30+AV30+AX30</f>
        <v>5</v>
      </c>
      <c r="AN30" s="36"/>
      <c r="AO30" s="36"/>
      <c r="AP30" s="36"/>
      <c r="AQ30" s="36"/>
      <c r="AR30" s="36">
        <f>SUM(AN30:AQ30)</f>
        <v>0</v>
      </c>
      <c r="AS30" s="36"/>
      <c r="AT30" s="36"/>
      <c r="AU30" s="36"/>
      <c r="AV30" s="36"/>
      <c r="AW30" s="36"/>
      <c r="AX30" s="36"/>
      <c r="AY30" s="36"/>
      <c r="AZ30" s="36"/>
      <c r="BA30" s="36">
        <f>+AR30+AS30+AU30+AW30+AY30+AZ30</f>
        <v>0</v>
      </c>
      <c r="BB30" s="32">
        <v>1</v>
      </c>
      <c r="BC30" s="50"/>
      <c r="BD30" s="50"/>
      <c r="BE30" s="32"/>
      <c r="BF30" s="50"/>
    </row>
    <row r="31" spans="1:58" ht="12.95" customHeight="1">
      <c r="A31" s="39"/>
      <c r="B31" s="40" t="s">
        <v>403</v>
      </c>
      <c r="C31" s="416">
        <f>(M31*E31*O31*Q31)/100000000</f>
        <v>29.7116547</v>
      </c>
      <c r="D31" s="40" t="s">
        <v>276</v>
      </c>
      <c r="E31" s="41">
        <v>17.5</v>
      </c>
      <c r="F31" s="41">
        <v>1</v>
      </c>
      <c r="G31" s="459">
        <v>915</v>
      </c>
      <c r="H31" s="43">
        <f>+N31</f>
        <v>0.16500000000000004</v>
      </c>
      <c r="I31" s="44">
        <v>0.88</v>
      </c>
      <c r="J31" s="82">
        <f>E31*G31*(1-H31)*1440/1000000*2.87</f>
        <v>55.257344100000005</v>
      </c>
      <c r="K31" s="82">
        <f>(IF(G31&lt;L31,L31,G31)*(1-IF(H31&lt;N31,H31,N31))*E31*O31*Q31)/100000000</f>
        <v>29.7116547</v>
      </c>
      <c r="L31" s="34">
        <v>980</v>
      </c>
      <c r="M31" s="34">
        <f>+L31-L31*0.165</f>
        <v>818.3</v>
      </c>
      <c r="N31" s="45">
        <f>1-(M31/L31)</f>
        <v>0.16500000000000004</v>
      </c>
      <c r="O31" s="46">
        <f>+'Trim Rwd'!H22</f>
        <v>280</v>
      </c>
      <c r="P31" s="47">
        <f>O31*(Q31-R31-S31)</f>
        <v>203560</v>
      </c>
      <c r="Q31" s="46">
        <v>741</v>
      </c>
      <c r="R31" s="384">
        <v>0</v>
      </c>
      <c r="S31" s="384">
        <v>14</v>
      </c>
      <c r="T31" s="36">
        <f>E31*M31*O31*Q31/100000000</f>
        <v>29.7116547</v>
      </c>
      <c r="U31" s="36">
        <f>E31*M31*O31*(Q31-R31-S31)/100000000</f>
        <v>29.150300900000001</v>
      </c>
      <c r="V31" s="36">
        <f>E31*G31*(1-N31)*O31/100*(R31+S31)/1000000</f>
        <v>0.52412114999999992</v>
      </c>
      <c r="W31" s="36">
        <f>+'6'!K11/1000</f>
        <v>17.331</v>
      </c>
      <c r="X31" s="37"/>
      <c r="Y31" s="208"/>
      <c r="Z31" s="615">
        <f>+'6'!D17/1000</f>
        <v>0.46400000000000002</v>
      </c>
      <c r="AA31" s="36"/>
      <c r="AB31" s="36"/>
      <c r="AC31" s="36">
        <f>K31-T31</f>
        <v>0</v>
      </c>
      <c r="AD31" s="36">
        <f>+AM31+BA31</f>
        <v>0</v>
      </c>
      <c r="AE31" s="225" t="s">
        <v>399</v>
      </c>
      <c r="AF31" s="36"/>
      <c r="AG31" s="36">
        <v>0</v>
      </c>
      <c r="AH31" s="36"/>
      <c r="AI31" s="461"/>
      <c r="AJ31" s="36"/>
      <c r="AK31" s="36"/>
      <c r="AL31" s="36"/>
      <c r="AM31" s="36">
        <f>SUM(AF31:AL31)+AT31+AV31+AX31</f>
        <v>0</v>
      </c>
      <c r="AN31" s="83"/>
      <c r="AO31" s="36"/>
      <c r="AP31" s="36"/>
      <c r="AQ31" s="36"/>
      <c r="AR31" s="36">
        <f>SUM(AN31:AQ31)</f>
        <v>0</v>
      </c>
      <c r="AS31" s="36"/>
      <c r="AT31" s="36"/>
      <c r="AU31" s="36"/>
      <c r="AV31" s="36"/>
      <c r="AW31" s="36"/>
      <c r="AX31" s="36"/>
      <c r="AY31" s="36"/>
      <c r="AZ31" s="36"/>
      <c r="BA31" s="36">
        <f>+AR31+AS31+AU31+AW31+AY31+AZ31</f>
        <v>0</v>
      </c>
      <c r="BB31" s="49"/>
      <c r="BC31" s="50">
        <v>0</v>
      </c>
      <c r="BD31" s="50"/>
      <c r="BE31" s="49"/>
      <c r="BF31" s="50"/>
    </row>
    <row r="32" spans="1:58" ht="12.95" customHeight="1">
      <c r="A32" s="39"/>
      <c r="B32" s="40" t="s">
        <v>497</v>
      </c>
      <c r="C32" s="416">
        <f>(M32*E32*O32*Q32)/100000000</f>
        <v>5.5604415999999999</v>
      </c>
      <c r="D32" s="40" t="s">
        <v>276</v>
      </c>
      <c r="E32" s="41">
        <v>17</v>
      </c>
      <c r="F32" s="41">
        <v>1</v>
      </c>
      <c r="G32" s="459">
        <v>980</v>
      </c>
      <c r="H32" s="43">
        <f>+N32</f>
        <v>0.19999999999999996</v>
      </c>
      <c r="I32" s="44">
        <v>0.88</v>
      </c>
      <c r="J32" s="82">
        <f>E32*G32*(1-H32)*1440/1000000*2.87</f>
        <v>55.081958399999998</v>
      </c>
      <c r="K32" s="82">
        <f>(IF(G32&lt;L32,L32,G32)*(1-IF(H32&lt;N32,H32,N32))*E32*O32*Q32)/100000000</f>
        <v>5.5604415999999999</v>
      </c>
      <c r="L32" s="34">
        <v>980</v>
      </c>
      <c r="M32" s="34">
        <f>+L32-L32*0.2</f>
        <v>784</v>
      </c>
      <c r="N32" s="45">
        <f>1-(M32/L32)</f>
        <v>0.19999999999999996</v>
      </c>
      <c r="O32" s="46">
        <f>+'Trim Rwd'!H23</f>
        <v>280</v>
      </c>
      <c r="P32" s="47">
        <f>O32*(Q32-R32-S32)</f>
        <v>40320</v>
      </c>
      <c r="Q32" s="46">
        <v>149</v>
      </c>
      <c r="R32" s="384">
        <v>0</v>
      </c>
      <c r="S32" s="384">
        <v>5</v>
      </c>
      <c r="T32" s="36">
        <f>E32*M32*O32*Q32/100000000</f>
        <v>5.5604415999999999</v>
      </c>
      <c r="U32" s="36">
        <f>E32*M32*O32*(Q32-R32-S32)/100000000</f>
        <v>5.3738495999999998</v>
      </c>
      <c r="V32" s="36">
        <f>E32*G32*(1-N32)*O32/100*(R32+S32)/1000000</f>
        <v>0.18659200000000001</v>
      </c>
      <c r="W32" s="36">
        <f>+'6'!K12/1000</f>
        <v>0</v>
      </c>
      <c r="X32" s="37"/>
      <c r="Y32" s="208"/>
      <c r="Z32" s="615"/>
      <c r="AA32" s="36"/>
      <c r="AB32" s="36"/>
      <c r="AC32" s="36"/>
      <c r="AD32" s="36">
        <f>+AM32+BA32</f>
        <v>24</v>
      </c>
      <c r="AE32" s="225" t="s">
        <v>498</v>
      </c>
      <c r="AF32" s="32"/>
      <c r="AG32" s="32"/>
      <c r="AH32" s="32">
        <v>24</v>
      </c>
      <c r="AJ32" s="36"/>
      <c r="AK32" s="36"/>
      <c r="AL32" s="36"/>
      <c r="AM32" s="36">
        <f>SUM(AF32:AL32)+AT32+AV32+AX32</f>
        <v>24</v>
      </c>
      <c r="AN32" s="36"/>
      <c r="AO32" s="36"/>
      <c r="AP32" s="36"/>
      <c r="AQ32" s="36"/>
      <c r="AR32" s="36">
        <f>SUM(AN32:AQ32)</f>
        <v>0</v>
      </c>
      <c r="AS32" s="36"/>
      <c r="AT32" s="36"/>
      <c r="AU32" s="36"/>
      <c r="AV32" s="36"/>
      <c r="AW32" s="36"/>
      <c r="AX32" s="36"/>
      <c r="AY32" s="36"/>
      <c r="AZ32" s="36"/>
      <c r="BA32" s="36">
        <f>+AR32+AS32+AU32+AW32+AY32+AZ32</f>
        <v>0</v>
      </c>
      <c r="BB32" s="32"/>
      <c r="BC32" s="52"/>
      <c r="BD32" s="52"/>
      <c r="BE32" s="32"/>
      <c r="BF32" s="52"/>
    </row>
    <row r="33" spans="1:58" ht="12.95" customHeight="1">
      <c r="A33" s="39"/>
      <c r="B33" s="40"/>
      <c r="C33" s="416"/>
      <c r="D33" s="40"/>
      <c r="E33" s="41"/>
      <c r="F33" s="41"/>
      <c r="G33" s="459"/>
      <c r="H33" s="43"/>
      <c r="I33" s="44"/>
      <c r="J33" s="82"/>
      <c r="K33" s="82"/>
      <c r="L33" s="34"/>
      <c r="M33" s="34"/>
      <c r="N33" s="45"/>
      <c r="O33" s="46"/>
      <c r="P33" s="47"/>
      <c r="Q33" s="46"/>
      <c r="R33" s="384"/>
      <c r="S33" s="384"/>
      <c r="T33" s="36"/>
      <c r="U33" s="36"/>
      <c r="V33" s="36"/>
      <c r="W33" s="36"/>
      <c r="X33" s="37"/>
      <c r="Y33" s="208"/>
      <c r="Z33" s="615"/>
      <c r="AA33" s="48"/>
      <c r="AB33" s="48"/>
      <c r="AC33" s="36"/>
      <c r="AD33" s="36"/>
      <c r="AE33" s="225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2"/>
      <c r="BC33" s="50"/>
      <c r="BD33" s="50"/>
      <c r="BE33" s="32"/>
      <c r="BF33" s="50"/>
    </row>
    <row r="34" spans="1:58" ht="12.95" customHeight="1">
      <c r="A34" s="39">
        <v>46119</v>
      </c>
      <c r="B34" s="40" t="s">
        <v>497</v>
      </c>
      <c r="C34" s="416">
        <f>(M34*E34*O34*Q34)/100000000</f>
        <v>53.738495999999998</v>
      </c>
      <c r="D34" s="40" t="s">
        <v>276</v>
      </c>
      <c r="E34" s="41">
        <v>17</v>
      </c>
      <c r="F34" s="41">
        <v>1</v>
      </c>
      <c r="G34" s="459">
        <v>980</v>
      </c>
      <c r="H34" s="43">
        <f>+N34</f>
        <v>0.19999999999999996</v>
      </c>
      <c r="I34" s="44">
        <v>0.88</v>
      </c>
      <c r="J34" s="82">
        <f>E34*G34*(1-H34)*1440/1000000*2.87</f>
        <v>55.081958399999998</v>
      </c>
      <c r="K34" s="82">
        <f>(IF(G34&lt;L34,L34,G34)*(1-IF(H34&lt;N34,H34,N34))*E34*O34*Q34)/100000000</f>
        <v>53.738495999999998</v>
      </c>
      <c r="L34" s="34">
        <v>980</v>
      </c>
      <c r="M34" s="34">
        <f>+L34-L34*0.2</f>
        <v>784</v>
      </c>
      <c r="N34" s="45">
        <f>1-(M34/L34)</f>
        <v>0.19999999999999996</v>
      </c>
      <c r="O34" s="46">
        <f>+'Trim Rwd'!H25</f>
        <v>280</v>
      </c>
      <c r="P34" s="47">
        <f>O34*(Q34-R34-S34)</f>
        <v>397600</v>
      </c>
      <c r="Q34" s="46">
        <v>1440</v>
      </c>
      <c r="R34" s="384">
        <v>0</v>
      </c>
      <c r="S34" s="384">
        <v>20</v>
      </c>
      <c r="T34" s="36">
        <f>E34*M34*O34*Q34/100000000</f>
        <v>53.738495999999998</v>
      </c>
      <c r="U34" s="36">
        <f>E34*M34*O34*(Q34-R34-S34)/100000000</f>
        <v>52.992128000000001</v>
      </c>
      <c r="V34" s="36">
        <f>E34*G34*(1-N34)*O34/100*(R34+S34)/1000000</f>
        <v>0.74636800000000003</v>
      </c>
      <c r="W34" s="36">
        <f>+'7'!K12/1000</f>
        <v>54.087000000000003</v>
      </c>
      <c r="X34" s="381">
        <f>SUM(W34:W37)/SUM(K34:K37)</f>
        <v>1.1219331482593038</v>
      </c>
      <c r="Y34" s="36">
        <v>0</v>
      </c>
      <c r="Z34" s="615">
        <v>0</v>
      </c>
      <c r="AA34" s="48">
        <f>SUM(U34:U37)-SUM(W34:W37)-SUM(Z34:Z37)-SUM(Y34:Y37)</f>
        <v>-7.2988720000000029</v>
      </c>
      <c r="AB34" s="48">
        <f>(SUM(K34:K37)-SUM(W34:W37)-SUM(Y34:Y37)-SUM(Z34:Z37)-SUM(AC34:AC37)-SUM(V34:V37))-AA34</f>
        <v>0</v>
      </c>
      <c r="AC34" s="36">
        <f>K34-T34</f>
        <v>0</v>
      </c>
      <c r="AD34" s="36">
        <f>+AM34+BA34</f>
        <v>0</v>
      </c>
      <c r="AE34" s="225" t="s">
        <v>385</v>
      </c>
      <c r="AF34" s="36">
        <v>0</v>
      </c>
      <c r="AG34" s="36"/>
      <c r="AH34" s="36"/>
      <c r="AI34" s="461"/>
      <c r="AJ34" s="36"/>
      <c r="AK34" s="36"/>
      <c r="AL34" s="36"/>
      <c r="AM34" s="36">
        <f>SUM(AF34:AL34)+AT34+AV34+AX34</f>
        <v>0</v>
      </c>
      <c r="AN34" s="36"/>
      <c r="AO34" s="36"/>
      <c r="AP34" s="36"/>
      <c r="AQ34" s="36"/>
      <c r="AR34" s="36">
        <f>SUM(AN34:AQ34)</f>
        <v>0</v>
      </c>
      <c r="AS34" s="36"/>
      <c r="AT34" s="36"/>
      <c r="AU34" s="36"/>
      <c r="AV34" s="36"/>
      <c r="AW34" s="36"/>
      <c r="AX34" s="36"/>
      <c r="AY34" s="36"/>
      <c r="AZ34" s="36"/>
      <c r="BA34" s="36">
        <f>+AR34+AS34+AU34+AW34+AY34+AZ34</f>
        <v>0</v>
      </c>
      <c r="BB34" s="32">
        <v>0</v>
      </c>
      <c r="BC34" s="50"/>
      <c r="BD34" s="50"/>
      <c r="BE34" s="32"/>
      <c r="BF34" s="50"/>
    </row>
    <row r="35" spans="1:58" ht="12.95" customHeight="1">
      <c r="A35" s="39"/>
      <c r="B35" s="40" t="s">
        <v>403</v>
      </c>
      <c r="C35" s="416"/>
      <c r="D35" s="40"/>
      <c r="E35" s="41">
        <v>17.5</v>
      </c>
      <c r="F35" s="41"/>
      <c r="G35" s="459"/>
      <c r="H35" s="43"/>
      <c r="I35" s="44"/>
      <c r="J35" s="82"/>
      <c r="K35" s="82"/>
      <c r="L35" s="34"/>
      <c r="M35" s="34"/>
      <c r="N35" s="45"/>
      <c r="O35" s="46"/>
      <c r="P35" s="47"/>
      <c r="Q35" s="46"/>
      <c r="R35" s="384"/>
      <c r="S35" s="384"/>
      <c r="T35" s="36"/>
      <c r="U35" s="36"/>
      <c r="V35" s="36"/>
      <c r="W35" s="36">
        <f>+'7'!K11/1000</f>
        <v>6.2039999999999997</v>
      </c>
      <c r="X35" s="37"/>
      <c r="Y35" s="208"/>
      <c r="Z35" s="615"/>
      <c r="AA35" s="36"/>
      <c r="AB35" s="36"/>
      <c r="AC35" s="36"/>
      <c r="AD35" s="36">
        <f>+AM35+BA35</f>
        <v>1</v>
      </c>
      <c r="AE35" s="225" t="s">
        <v>419</v>
      </c>
      <c r="AF35" s="36"/>
      <c r="AG35" s="36">
        <v>1</v>
      </c>
      <c r="AH35" s="36"/>
      <c r="AI35" s="461"/>
      <c r="AJ35" s="36"/>
      <c r="AK35" s="36"/>
      <c r="AL35" s="36"/>
      <c r="AM35" s="36">
        <f>SUM(AF35:AL35)+AT35+AV35+AX35</f>
        <v>1</v>
      </c>
      <c r="AN35" s="83"/>
      <c r="AO35" s="36"/>
      <c r="AP35" s="36"/>
      <c r="AQ35" s="36"/>
      <c r="AR35" s="36">
        <f>SUM(AN35:AQ35)</f>
        <v>0</v>
      </c>
      <c r="AS35" s="36"/>
      <c r="AT35" s="36"/>
      <c r="AU35" s="36"/>
      <c r="AV35" s="36"/>
      <c r="AW35" s="36"/>
      <c r="AX35" s="36"/>
      <c r="AY35" s="36"/>
      <c r="AZ35" s="36"/>
      <c r="BA35" s="36">
        <f>+AR35+AS35+AU35+AW35+AY35+AZ35</f>
        <v>0</v>
      </c>
      <c r="BB35" s="49"/>
      <c r="BC35" s="50">
        <v>1</v>
      </c>
      <c r="BD35" s="50"/>
      <c r="BE35" s="49"/>
      <c r="BF35" s="50"/>
    </row>
    <row r="36" spans="1:58" ht="12.95" customHeight="1">
      <c r="A36" s="39"/>
      <c r="B36" s="40"/>
      <c r="C36" s="416"/>
      <c r="D36" s="40"/>
      <c r="E36" s="41"/>
      <c r="F36" s="41"/>
      <c r="G36" s="459"/>
      <c r="H36" s="43"/>
      <c r="I36" s="44"/>
      <c r="J36" s="82"/>
      <c r="K36" s="82"/>
      <c r="L36" s="34"/>
      <c r="M36" s="34"/>
      <c r="N36" s="45"/>
      <c r="O36" s="46"/>
      <c r="P36" s="47"/>
      <c r="Q36" s="46"/>
      <c r="R36" s="384"/>
      <c r="S36" s="384"/>
      <c r="T36" s="36"/>
      <c r="U36" s="36"/>
      <c r="V36" s="36"/>
      <c r="W36" s="36"/>
      <c r="X36" s="37"/>
      <c r="Y36" s="208"/>
      <c r="Z36" s="615"/>
      <c r="AA36" s="36"/>
      <c r="AB36" s="36"/>
      <c r="AC36" s="36"/>
      <c r="AD36" s="36">
        <f>+AM36+BA36</f>
        <v>19</v>
      </c>
      <c r="AE36" s="225" t="s">
        <v>469</v>
      </c>
      <c r="AF36" s="32"/>
      <c r="AG36" s="32"/>
      <c r="AH36" s="32">
        <v>19</v>
      </c>
      <c r="AJ36" s="36"/>
      <c r="AK36" s="36"/>
      <c r="AL36" s="36"/>
      <c r="AM36" s="36">
        <f>SUM(AF36:AL36)+AT36+AV36+AX36</f>
        <v>19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>
        <f>+AR36+AS36+AU36+AW36+AY36+AZ36</f>
        <v>0</v>
      </c>
      <c r="BB36" s="32"/>
      <c r="BC36" s="52"/>
      <c r="BD36" s="52"/>
      <c r="BE36" s="32"/>
      <c r="BF36" s="52"/>
    </row>
    <row r="37" spans="1:58" ht="12.95" customHeight="1">
      <c r="A37" s="39"/>
      <c r="B37" s="40"/>
      <c r="C37" s="416"/>
      <c r="D37" s="40"/>
      <c r="E37" s="41"/>
      <c r="F37" s="41"/>
      <c r="G37" s="459"/>
      <c r="H37" s="43"/>
      <c r="I37" s="44"/>
      <c r="J37" s="82"/>
      <c r="K37" s="82"/>
      <c r="L37" s="34"/>
      <c r="M37" s="34"/>
      <c r="N37" s="45"/>
      <c r="O37" s="46"/>
      <c r="P37" s="47"/>
      <c r="Q37" s="46"/>
      <c r="R37" s="384"/>
      <c r="S37" s="384"/>
      <c r="T37" s="36"/>
      <c r="U37" s="36"/>
      <c r="V37" s="36"/>
      <c r="W37" s="36"/>
      <c r="X37" s="37"/>
      <c r="Y37" s="208"/>
      <c r="Z37" s="615"/>
      <c r="AA37" s="48"/>
      <c r="AB37" s="48"/>
      <c r="AC37" s="36"/>
      <c r="AD37" s="36"/>
      <c r="AE37" s="225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49"/>
      <c r="BC37" s="50"/>
      <c r="BD37" s="50"/>
      <c r="BE37" s="50"/>
      <c r="BF37" s="50"/>
    </row>
    <row r="38" spans="1:58" ht="12.95" customHeight="1">
      <c r="A38" s="39">
        <v>46120</v>
      </c>
      <c r="B38" s="40" t="s">
        <v>497</v>
      </c>
      <c r="C38" s="416">
        <f>(M38*E38*O38*Q38)/100000000</f>
        <v>53.066764800000009</v>
      </c>
      <c r="D38" s="40" t="s">
        <v>276</v>
      </c>
      <c r="E38" s="41">
        <v>17</v>
      </c>
      <c r="F38" s="41">
        <v>1</v>
      </c>
      <c r="G38" s="459">
        <v>980</v>
      </c>
      <c r="H38" s="43">
        <v>0.2</v>
      </c>
      <c r="I38" s="44">
        <v>0.88</v>
      </c>
      <c r="J38" s="82">
        <f>E38*G38*(1-H38)*1440/1000000*2.87</f>
        <v>55.081958399999998</v>
      </c>
      <c r="K38" s="82">
        <f>(IF(G38&lt;L38,L38,G38)*(1-IF(H38&lt;N38,H38,N38))*E38*O38*Q38)/100000000</f>
        <v>53.738495999999998</v>
      </c>
      <c r="L38" s="34">
        <v>980</v>
      </c>
      <c r="M38" s="34">
        <v>774.2</v>
      </c>
      <c r="N38" s="45">
        <f>1-(M38/L38)</f>
        <v>0.20999999999999996</v>
      </c>
      <c r="O38" s="46">
        <f>+'Trim Rwd'!H28</f>
        <v>280</v>
      </c>
      <c r="P38" s="47">
        <f>O38*(Q38-R38-S38)</f>
        <v>364000</v>
      </c>
      <c r="Q38" s="46">
        <v>1440</v>
      </c>
      <c r="R38" s="384">
        <v>126</v>
      </c>
      <c r="S38" s="384">
        <v>14</v>
      </c>
      <c r="T38" s="36">
        <f>E38*M38*O38*Q38/100000000</f>
        <v>53.066764800000009</v>
      </c>
      <c r="U38" s="36">
        <f>E38*M38*O38*(Q38-R38-S38)/100000000</f>
        <v>47.907496000000009</v>
      </c>
      <c r="V38" s="36">
        <f>E38*G38*(1-N38)*O38/100*(R38+S38)/1000000</f>
        <v>5.1592688000000004</v>
      </c>
      <c r="W38" s="36">
        <f>+'8'!K34/1000</f>
        <v>46.26</v>
      </c>
      <c r="X38" s="381">
        <f>SUM(W38:W41)/SUM(K38:K41)</f>
        <v>0.86083540559080773</v>
      </c>
      <c r="Y38" s="36">
        <v>0</v>
      </c>
      <c r="Z38" s="615">
        <v>0</v>
      </c>
      <c r="AA38" s="48">
        <f>SUM(U38:U41)-SUM(W38:W41)-SUM(Z38:Z41)-SUM(Y38:Y41)</f>
        <v>1.647496000000011</v>
      </c>
      <c r="AB38" s="48">
        <f>(SUM(K38:K41)-SUM(W38:W41)-SUM(Y38:Y41)-SUM(Z38:Z41)-SUM(AC38:AC41)-SUM(V38:V41))-AA38</f>
        <v>0</v>
      </c>
      <c r="AC38" s="36">
        <f>K38-T38</f>
        <v>0.67173119999998931</v>
      </c>
      <c r="AD38" s="36">
        <f>+AM38+BA38</f>
        <v>0</v>
      </c>
      <c r="AE38" s="225" t="s">
        <v>385</v>
      </c>
      <c r="AF38" s="36">
        <v>0</v>
      </c>
      <c r="AG38" s="36"/>
      <c r="AH38" s="36"/>
      <c r="AI38" s="461"/>
      <c r="AJ38" s="36"/>
      <c r="AK38" s="36"/>
      <c r="AL38" s="36"/>
      <c r="AM38" s="36">
        <f>SUM(AF38:AL38)+AT38+AV38+AX38</f>
        <v>0</v>
      </c>
      <c r="AN38" s="36"/>
      <c r="AO38" s="36"/>
      <c r="AP38" s="36"/>
      <c r="AQ38" s="36"/>
      <c r="AR38" s="36">
        <f>SUM(AN38:AQ38)</f>
        <v>0</v>
      </c>
      <c r="AS38" s="36"/>
      <c r="AT38" s="36"/>
      <c r="AU38" s="36"/>
      <c r="AV38" s="36"/>
      <c r="AW38" s="36"/>
      <c r="AX38" s="36"/>
      <c r="AY38" s="36"/>
      <c r="AZ38" s="36"/>
      <c r="BA38" s="36">
        <f>+AR38+AS38+AU38+AW38+AY38+AZ38</f>
        <v>0</v>
      </c>
      <c r="BB38" s="32">
        <v>0</v>
      </c>
      <c r="BC38" s="50"/>
      <c r="BD38" s="50"/>
      <c r="BE38" s="32"/>
      <c r="BF38" s="50"/>
    </row>
    <row r="39" spans="1:58" ht="12.95" customHeight="1">
      <c r="A39" s="39"/>
      <c r="B39" s="40"/>
      <c r="C39" s="416"/>
      <c r="D39" s="40"/>
      <c r="E39" s="41"/>
      <c r="F39" s="41"/>
      <c r="G39" s="459"/>
      <c r="H39" s="43"/>
      <c r="I39" s="44"/>
      <c r="J39" s="82"/>
      <c r="K39" s="82"/>
      <c r="L39" s="34"/>
      <c r="M39" s="34"/>
      <c r="N39" s="45"/>
      <c r="O39" s="46"/>
      <c r="P39" s="47"/>
      <c r="Q39" s="46"/>
      <c r="R39" s="384"/>
      <c r="S39" s="384"/>
      <c r="T39" s="36"/>
      <c r="U39" s="36"/>
      <c r="V39" s="36"/>
      <c r="W39" s="36"/>
      <c r="X39" s="37"/>
      <c r="Y39" s="208"/>
      <c r="Z39" s="615"/>
      <c r="AA39" s="36"/>
      <c r="AB39" s="36"/>
      <c r="AC39" s="36"/>
      <c r="AD39" s="36">
        <f>+AM39+BA39</f>
        <v>0</v>
      </c>
      <c r="AE39" s="225" t="s">
        <v>399</v>
      </c>
      <c r="AF39" s="36"/>
      <c r="AG39" s="36">
        <v>0</v>
      </c>
      <c r="AH39" s="36"/>
      <c r="AI39" s="461"/>
      <c r="AJ39" s="36"/>
      <c r="AK39" s="36"/>
      <c r="AL39" s="36"/>
      <c r="AM39" s="36">
        <f>SUM(AF39:AL39)+AT39+AV39+AX39</f>
        <v>0</v>
      </c>
      <c r="AN39" s="83"/>
      <c r="AO39" s="36"/>
      <c r="AP39" s="36"/>
      <c r="AQ39" s="36"/>
      <c r="AR39" s="36">
        <f>SUM(AN39:AQ39)</f>
        <v>0</v>
      </c>
      <c r="AS39" s="36"/>
      <c r="AT39" s="36"/>
      <c r="AU39" s="36"/>
      <c r="AV39" s="36"/>
      <c r="AW39" s="36"/>
      <c r="AX39" s="36"/>
      <c r="AY39" s="36"/>
      <c r="AZ39" s="36"/>
      <c r="BA39" s="36">
        <f>+AR39+AS39+AU39+AW39+AY39+AZ39</f>
        <v>0</v>
      </c>
      <c r="BB39" s="49"/>
      <c r="BC39" s="50">
        <v>0</v>
      </c>
      <c r="BD39" s="50"/>
      <c r="BE39" s="49"/>
      <c r="BF39" s="50"/>
    </row>
    <row r="40" spans="1:58" ht="12.95" customHeight="1">
      <c r="A40" s="39"/>
      <c r="B40" s="40"/>
      <c r="C40" s="416"/>
      <c r="D40" s="40"/>
      <c r="E40" s="41"/>
      <c r="F40" s="41"/>
      <c r="G40" s="459"/>
      <c r="H40" s="43"/>
      <c r="I40" s="44"/>
      <c r="J40" s="82"/>
      <c r="K40" s="82"/>
      <c r="L40" s="34"/>
      <c r="M40" s="34"/>
      <c r="N40" s="45"/>
      <c r="O40" s="46"/>
      <c r="P40" s="47"/>
      <c r="Q40" s="46"/>
      <c r="R40" s="384"/>
      <c r="S40" s="384"/>
      <c r="T40" s="36"/>
      <c r="U40" s="36"/>
      <c r="V40" s="36"/>
      <c r="W40" s="36"/>
      <c r="X40" s="37"/>
      <c r="Y40" s="208"/>
      <c r="Z40" s="615"/>
      <c r="AA40" s="36"/>
      <c r="AB40" s="36"/>
      <c r="AC40" s="36"/>
      <c r="AD40" s="36">
        <f>+AM40+BA40</f>
        <v>14</v>
      </c>
      <c r="AE40" s="225" t="s">
        <v>524</v>
      </c>
      <c r="AF40" s="32"/>
      <c r="AG40" s="32"/>
      <c r="AH40" s="32">
        <v>14</v>
      </c>
      <c r="AJ40" s="36"/>
      <c r="AK40" s="36"/>
      <c r="AL40" s="36"/>
      <c r="AM40" s="36">
        <f>SUM(AF40:AL40)+AT40+AV40+AX40</f>
        <v>14</v>
      </c>
      <c r="AN40" s="36"/>
      <c r="AO40" s="36"/>
      <c r="AP40" s="36"/>
      <c r="AQ40" s="36"/>
      <c r="AR40" s="36">
        <f>SUM(AN40:AQ40)</f>
        <v>0</v>
      </c>
      <c r="AS40" s="36"/>
      <c r="AT40" s="36"/>
      <c r="AU40" s="36"/>
      <c r="AV40" s="36"/>
      <c r="AW40" s="36"/>
      <c r="AX40" s="36"/>
      <c r="AY40" s="36"/>
      <c r="AZ40" s="36"/>
      <c r="BA40" s="36">
        <f>+AR40+AS40+AU40+AW40+AY40+AZ40</f>
        <v>0</v>
      </c>
      <c r="BB40" s="32"/>
      <c r="BC40" s="52"/>
      <c r="BD40" s="52"/>
      <c r="BE40" s="32"/>
      <c r="BF40" s="52"/>
    </row>
    <row r="41" spans="1:58" ht="12.95" customHeight="1">
      <c r="A41" s="39"/>
      <c r="B41" s="40"/>
      <c r="C41" s="416"/>
      <c r="D41" s="40"/>
      <c r="E41" s="41"/>
      <c r="F41" s="41"/>
      <c r="G41" s="459"/>
      <c r="H41" s="43"/>
      <c r="I41" s="44"/>
      <c r="J41" s="82"/>
      <c r="K41" s="82"/>
      <c r="L41" s="34"/>
      <c r="M41" s="34"/>
      <c r="N41" s="45"/>
      <c r="O41" s="46"/>
      <c r="P41" s="47"/>
      <c r="Q41" s="46"/>
      <c r="R41" s="384"/>
      <c r="S41" s="384"/>
      <c r="T41" s="36"/>
      <c r="U41" s="36"/>
      <c r="V41" s="36"/>
      <c r="W41" s="36"/>
      <c r="X41" s="37"/>
      <c r="Y41" s="208"/>
      <c r="Z41" s="615"/>
      <c r="AA41" s="48"/>
      <c r="AB41" s="48"/>
      <c r="AC41" s="36"/>
      <c r="AD41" s="36">
        <f>+AM41+BA41</f>
        <v>126</v>
      </c>
      <c r="AE41" s="225" t="s">
        <v>525</v>
      </c>
      <c r="AF41" s="36"/>
      <c r="AG41" s="36"/>
      <c r="AH41" s="36"/>
      <c r="AI41" s="36"/>
      <c r="AJ41" s="36"/>
      <c r="AK41" s="36"/>
      <c r="AL41" s="36"/>
      <c r="AM41" s="36">
        <f>SUM(AF41:AL41)+AT41+AV41+AX41</f>
        <v>0</v>
      </c>
      <c r="AN41" s="36"/>
      <c r="AO41" s="36"/>
      <c r="AP41" s="36">
        <v>126</v>
      </c>
      <c r="AQ41" s="36"/>
      <c r="AR41" s="36">
        <f>SUM(AN41:AQ41)</f>
        <v>126</v>
      </c>
      <c r="AS41" s="36"/>
      <c r="AT41" s="36"/>
      <c r="AU41" s="36"/>
      <c r="AV41" s="36"/>
      <c r="AW41" s="36"/>
      <c r="AX41" s="36"/>
      <c r="AY41" s="36"/>
      <c r="AZ41" s="36"/>
      <c r="BA41" s="36">
        <f>+AR41+AS41+AU41+AW41+AY41+AZ41</f>
        <v>126</v>
      </c>
      <c r="BB41" s="32"/>
      <c r="BC41" s="52"/>
      <c r="BD41" s="52"/>
      <c r="BE41" s="32"/>
      <c r="BF41" s="52"/>
    </row>
    <row r="42" spans="1:58" ht="12.95" customHeight="1">
      <c r="A42" s="39"/>
      <c r="B42" s="40"/>
      <c r="C42" s="416"/>
      <c r="D42" s="40"/>
      <c r="E42" s="41"/>
      <c r="F42" s="41"/>
      <c r="G42" s="459"/>
      <c r="H42" s="43"/>
      <c r="I42" s="44"/>
      <c r="J42" s="82"/>
      <c r="K42" s="82"/>
      <c r="L42" s="34"/>
      <c r="M42" s="34"/>
      <c r="N42" s="45"/>
      <c r="O42" s="46"/>
      <c r="P42" s="47"/>
      <c r="Q42" s="46"/>
      <c r="R42" s="384"/>
      <c r="S42" s="384"/>
      <c r="T42" s="36"/>
      <c r="U42" s="36"/>
      <c r="V42" s="36"/>
      <c r="W42" s="36"/>
      <c r="X42" s="381"/>
      <c r="Y42" s="36"/>
      <c r="Z42" s="615"/>
      <c r="AA42" s="48"/>
      <c r="AB42" s="48"/>
      <c r="AC42" s="36"/>
      <c r="AD42" s="36"/>
      <c r="AE42" s="225"/>
      <c r="AF42" s="36"/>
      <c r="AG42" s="36"/>
      <c r="AH42" s="36"/>
      <c r="AI42" s="461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2"/>
      <c r="BC42" s="50"/>
      <c r="BD42" s="50"/>
      <c r="BE42" s="32"/>
      <c r="BF42" s="50"/>
    </row>
    <row r="43" spans="1:58" ht="12.95" customHeight="1">
      <c r="A43" s="39">
        <v>46121</v>
      </c>
      <c r="B43" s="40" t="s">
        <v>497</v>
      </c>
      <c r="C43" s="416">
        <f>(M43*E43*O43*Q43)/100000000</f>
        <v>53.066764800000009</v>
      </c>
      <c r="D43" s="40" t="s">
        <v>276</v>
      </c>
      <c r="E43" s="41">
        <v>17</v>
      </c>
      <c r="F43" s="41">
        <v>1</v>
      </c>
      <c r="G43" s="459">
        <v>980</v>
      </c>
      <c r="H43" s="43">
        <v>0.2</v>
      </c>
      <c r="I43" s="44">
        <v>0.88</v>
      </c>
      <c r="J43" s="82">
        <f>E43*G43*(1-H43)*1440/1000000*2.87</f>
        <v>55.081958399999998</v>
      </c>
      <c r="K43" s="82">
        <f>(IF(G43&lt;L43,L43,G43)*(1-IF(H43&lt;N43,H43,N43))*E43*O43*Q43)/100000000</f>
        <v>53.738495999999998</v>
      </c>
      <c r="L43" s="34">
        <v>980</v>
      </c>
      <c r="M43" s="34">
        <v>774.2</v>
      </c>
      <c r="N43" s="45">
        <f>1-(M43/L43)</f>
        <v>0.20999999999999996</v>
      </c>
      <c r="O43" s="46">
        <f>+'Trim Rwd'!H30</f>
        <v>280</v>
      </c>
      <c r="P43" s="47">
        <f>O43*(Q43-R43-S43)</f>
        <v>382480</v>
      </c>
      <c r="Q43" s="46">
        <v>1440</v>
      </c>
      <c r="R43" s="384">
        <v>0</v>
      </c>
      <c r="S43" s="384">
        <f>12+62</f>
        <v>74</v>
      </c>
      <c r="T43" s="36">
        <f>E43*M43*O43*Q43/100000000</f>
        <v>53.066764800000009</v>
      </c>
      <c r="U43" s="36">
        <f>E43*M43*O43*(Q43-R43-S43)/100000000</f>
        <v>50.339722720000012</v>
      </c>
      <c r="V43" s="36">
        <f>E43*G43*(1-N43)*O43/100*(R43+S43)/1000000</f>
        <v>2.7270420800000004</v>
      </c>
      <c r="W43" s="36">
        <f>+'9'!K34/1000</f>
        <v>49.106000000000002</v>
      </c>
      <c r="X43" s="381">
        <f>SUM(W43:W46)/SUM(K43:K46)</f>
        <v>0.9137955777549116</v>
      </c>
      <c r="Y43" s="36">
        <v>0</v>
      </c>
      <c r="Z43" s="615">
        <f>+'9'!D34/1000</f>
        <v>2.2000000000000002</v>
      </c>
      <c r="AA43" s="48">
        <f>SUM(U43:U46)-SUM(W43:W46)-SUM(Z43:Z46)-SUM(Y43:Y46)</f>
        <v>-0.96627727999999014</v>
      </c>
      <c r="AB43" s="48">
        <f>(SUM(K43:K46)-SUM(W43:W46)-SUM(Y43:Y46)-SUM(Z43:Z46)-SUM(AC43:AC46)-SUM(V43:V46))-AA43</f>
        <v>-3.5527136788005009E-15</v>
      </c>
      <c r="AC43" s="36">
        <f>K43-T43</f>
        <v>0.67173119999998931</v>
      </c>
      <c r="AD43" s="36">
        <f>+AM43+BA43</f>
        <v>0</v>
      </c>
      <c r="AE43" s="225" t="s">
        <v>385</v>
      </c>
      <c r="AF43" s="36">
        <v>0</v>
      </c>
      <c r="AG43" s="36"/>
      <c r="AH43" s="36"/>
      <c r="AI43" s="461"/>
      <c r="AJ43" s="36"/>
      <c r="AK43" s="36"/>
      <c r="AL43" s="36"/>
      <c r="AM43" s="36">
        <f>SUM(AF43:AL43)+AT43+AV43+AX43</f>
        <v>0</v>
      </c>
      <c r="AN43" s="36"/>
      <c r="AO43" s="36"/>
      <c r="AP43" s="36"/>
      <c r="AQ43" s="36"/>
      <c r="AR43" s="36">
        <f>SUM(AN43:AQ43)</f>
        <v>0</v>
      </c>
      <c r="AS43" s="36"/>
      <c r="AT43" s="36"/>
      <c r="AU43" s="36"/>
      <c r="AV43" s="36"/>
      <c r="AW43" s="36"/>
      <c r="AX43" s="36"/>
      <c r="AY43" s="36"/>
      <c r="AZ43" s="36"/>
      <c r="BA43" s="36">
        <f>+AR43+AS43+AU43+AW43+AY43+AZ43</f>
        <v>0</v>
      </c>
      <c r="BB43" s="32">
        <v>0</v>
      </c>
      <c r="BC43" s="50"/>
      <c r="BD43" s="50"/>
      <c r="BE43" s="32"/>
      <c r="BF43" s="50"/>
    </row>
    <row r="44" spans="1:58" ht="12.95" customHeight="1">
      <c r="A44" s="39"/>
      <c r="B44" s="40"/>
      <c r="C44" s="416"/>
      <c r="D44" s="40"/>
      <c r="E44" s="41"/>
      <c r="F44" s="41"/>
      <c r="G44" s="459"/>
      <c r="H44" s="43"/>
      <c r="I44" s="44"/>
      <c r="J44" s="82"/>
      <c r="K44" s="82"/>
      <c r="L44" s="34"/>
      <c r="M44" s="34"/>
      <c r="N44" s="45"/>
      <c r="O44" s="46"/>
      <c r="P44" s="47"/>
      <c r="Q44" s="46"/>
      <c r="R44" s="384"/>
      <c r="S44" s="384"/>
      <c r="T44" s="36"/>
      <c r="U44" s="36"/>
      <c r="V44" s="36"/>
      <c r="W44" s="36"/>
      <c r="X44" s="37"/>
      <c r="Y44" s="208"/>
      <c r="Z44" s="615"/>
      <c r="AA44" s="36"/>
      <c r="AB44" s="36"/>
      <c r="AC44" s="36"/>
      <c r="AD44" s="36">
        <f>+AM44+BA44</f>
        <v>3</v>
      </c>
      <c r="AE44" s="225" t="s">
        <v>420</v>
      </c>
      <c r="AF44" s="36"/>
      <c r="AG44" s="36">
        <v>3</v>
      </c>
      <c r="AH44" s="36"/>
      <c r="AI44" s="461"/>
      <c r="AJ44" s="36"/>
      <c r="AK44" s="36"/>
      <c r="AL44" s="36"/>
      <c r="AM44" s="36">
        <f>SUM(AF44:AL44)+AT44+AV44+AX44</f>
        <v>3</v>
      </c>
      <c r="AN44" s="83"/>
      <c r="AO44" s="36"/>
      <c r="AP44" s="36"/>
      <c r="AQ44" s="36"/>
      <c r="AR44" s="36">
        <f>SUM(AN44:AQ44)</f>
        <v>0</v>
      </c>
      <c r="AS44" s="36"/>
      <c r="AT44" s="36"/>
      <c r="AU44" s="36"/>
      <c r="AV44" s="36"/>
      <c r="AW44" s="36"/>
      <c r="AX44" s="36"/>
      <c r="AY44" s="36"/>
      <c r="AZ44" s="36"/>
      <c r="BA44" s="36">
        <f>+AR44+AS44+AU44+AW44+AY44+AZ44</f>
        <v>0</v>
      </c>
      <c r="BB44" s="49"/>
      <c r="BC44" s="50">
        <v>2</v>
      </c>
      <c r="BD44" s="50"/>
      <c r="BE44" s="49"/>
      <c r="BF44" s="50"/>
    </row>
    <row r="45" spans="1:58" ht="12.95" customHeight="1">
      <c r="A45" s="39"/>
      <c r="B45" s="40"/>
      <c r="C45" s="416"/>
      <c r="D45" s="40"/>
      <c r="E45" s="41"/>
      <c r="F45" s="41"/>
      <c r="G45" s="459"/>
      <c r="H45" s="43"/>
      <c r="I45" s="44"/>
      <c r="J45" s="82"/>
      <c r="K45" s="82"/>
      <c r="L45" s="34"/>
      <c r="M45" s="34"/>
      <c r="N45" s="45"/>
      <c r="O45" s="46"/>
      <c r="P45" s="47"/>
      <c r="Q45" s="46"/>
      <c r="R45" s="384"/>
      <c r="S45" s="384"/>
      <c r="T45" s="36"/>
      <c r="U45" s="36"/>
      <c r="V45" s="36"/>
      <c r="W45" s="36"/>
      <c r="X45" s="37"/>
      <c r="Y45" s="208"/>
      <c r="Z45" s="615"/>
      <c r="AA45" s="36"/>
      <c r="AB45" s="36"/>
      <c r="AC45" s="36"/>
      <c r="AD45" s="36">
        <f>+AM45+BA45</f>
        <v>9</v>
      </c>
      <c r="AE45" s="225" t="s">
        <v>469</v>
      </c>
      <c r="AF45" s="32"/>
      <c r="AG45" s="32"/>
      <c r="AH45" s="32">
        <v>9</v>
      </c>
      <c r="AJ45" s="36"/>
      <c r="AK45" s="36"/>
      <c r="AL45" s="36"/>
      <c r="AM45" s="36">
        <f>SUM(AF45:AL45)+AT45+AV45+AX45</f>
        <v>9</v>
      </c>
      <c r="AN45" s="36"/>
      <c r="AO45" s="36"/>
      <c r="AP45" s="36"/>
      <c r="AQ45" s="36"/>
      <c r="AR45" s="36">
        <f>SUM(AN45:AQ45)</f>
        <v>0</v>
      </c>
      <c r="AS45" s="36"/>
      <c r="AT45" s="36"/>
      <c r="AU45" s="36"/>
      <c r="AV45" s="36"/>
      <c r="AW45" s="36"/>
      <c r="AX45" s="36"/>
      <c r="AY45" s="36"/>
      <c r="AZ45" s="36"/>
      <c r="BA45" s="36">
        <f>+AR45+AS45+AU45+AW45+AY45+AZ45</f>
        <v>0</v>
      </c>
      <c r="BB45" s="32"/>
      <c r="BC45" s="52"/>
      <c r="BD45" s="52"/>
      <c r="BE45" s="32"/>
      <c r="BF45" s="52"/>
    </row>
    <row r="46" spans="1:58" ht="12.95" customHeight="1">
      <c r="A46" s="39"/>
      <c r="B46" s="40"/>
      <c r="C46" s="416"/>
      <c r="D46" s="40"/>
      <c r="E46" s="41"/>
      <c r="F46" s="41"/>
      <c r="G46" s="42"/>
      <c r="H46" s="534"/>
      <c r="I46" s="44"/>
      <c r="J46" s="82"/>
      <c r="K46" s="82"/>
      <c r="L46" s="34"/>
      <c r="M46" s="34"/>
      <c r="N46" s="45"/>
      <c r="O46" s="46"/>
      <c r="P46" s="47"/>
      <c r="Q46" s="46"/>
      <c r="R46" s="384"/>
      <c r="S46" s="384"/>
      <c r="T46" s="36"/>
      <c r="U46" s="36"/>
      <c r="V46" s="36"/>
      <c r="W46" s="36"/>
      <c r="X46" s="381"/>
      <c r="Y46" s="208"/>
      <c r="Z46" s="615"/>
      <c r="AA46" s="48"/>
      <c r="AB46" s="48"/>
      <c r="AC46" s="36"/>
      <c r="AD46" s="36">
        <f>+AM46+BA46</f>
        <v>62</v>
      </c>
      <c r="AE46" s="228" t="s">
        <v>529</v>
      </c>
      <c r="AF46" s="36"/>
      <c r="AG46" s="36"/>
      <c r="AH46" s="36"/>
      <c r="AI46" s="36"/>
      <c r="AJ46" s="36"/>
      <c r="AK46" s="36"/>
      <c r="AL46" s="36"/>
      <c r="AM46" s="36">
        <f>SUM(AF46:AL46)+AT46+AV46+AX46</f>
        <v>62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>
        <v>62</v>
      </c>
      <c r="AW46" s="36"/>
      <c r="AX46" s="36"/>
      <c r="AY46" s="36"/>
      <c r="AZ46" s="36"/>
      <c r="BA46" s="36">
        <f>+AR46+AS46+AU46+AW46+AY46+AZ46</f>
        <v>0</v>
      </c>
      <c r="BB46" s="32"/>
      <c r="BC46" s="52"/>
      <c r="BD46" s="52">
        <v>1</v>
      </c>
      <c r="BE46" s="32"/>
      <c r="BF46" s="52"/>
    </row>
    <row r="47" spans="1:58" ht="12.95" customHeight="1">
      <c r="A47" s="39"/>
      <c r="B47" s="40"/>
      <c r="C47" s="416"/>
      <c r="D47" s="40"/>
      <c r="E47" s="41"/>
      <c r="F47" s="41"/>
      <c r="G47" s="42"/>
      <c r="H47" s="534"/>
      <c r="I47" s="44"/>
      <c r="J47" s="82"/>
      <c r="K47" s="82"/>
      <c r="L47" s="34"/>
      <c r="M47" s="34"/>
      <c r="N47" s="45"/>
      <c r="O47" s="46"/>
      <c r="P47" s="47"/>
      <c r="Q47" s="46"/>
      <c r="R47" s="384"/>
      <c r="S47" s="384"/>
      <c r="T47" s="36"/>
      <c r="U47" s="36"/>
      <c r="V47" s="36"/>
      <c r="W47" s="36"/>
      <c r="X47" s="37"/>
      <c r="Y47" s="208"/>
      <c r="Z47" s="615"/>
      <c r="AA47" s="36"/>
      <c r="AB47" s="36"/>
      <c r="AC47" s="36"/>
      <c r="AD47" s="36"/>
      <c r="AE47" s="225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49"/>
      <c r="BC47" s="50"/>
      <c r="BD47" s="50"/>
      <c r="BE47" s="50"/>
      <c r="BF47" s="50"/>
    </row>
    <row r="48" spans="1:58" ht="12.95" customHeight="1">
      <c r="A48" s="39">
        <v>46122</v>
      </c>
      <c r="B48" s="40" t="s">
        <v>497</v>
      </c>
      <c r="C48" s="416">
        <f>(M48*E48*O48*Q48)/100000000</f>
        <v>53.066764800000009</v>
      </c>
      <c r="D48" s="40" t="s">
        <v>276</v>
      </c>
      <c r="E48" s="41">
        <v>17</v>
      </c>
      <c r="F48" s="41">
        <v>1</v>
      </c>
      <c r="G48" s="459">
        <v>980</v>
      </c>
      <c r="H48" s="43">
        <v>0.2</v>
      </c>
      <c r="I48" s="44">
        <v>0.88</v>
      </c>
      <c r="J48" s="82">
        <f>E48*G48*(1-H48)*1440/1000000*2.87</f>
        <v>55.081958399999998</v>
      </c>
      <c r="K48" s="82">
        <f>(IF(G48&lt;L48,L48,G48)*(1-IF(H48&lt;N48,H48,N48))*E48*O48*Q48)/100000000</f>
        <v>53.738495999999998</v>
      </c>
      <c r="L48" s="34">
        <v>980</v>
      </c>
      <c r="M48" s="34">
        <v>774.2</v>
      </c>
      <c r="N48" s="45">
        <f>1-(M48/L48)</f>
        <v>0.20999999999999996</v>
      </c>
      <c r="O48" s="46">
        <f>+'Trim Rwd'!H32</f>
        <v>280</v>
      </c>
      <c r="P48" s="47">
        <f>O48*(Q48-R48-S48)</f>
        <v>397880</v>
      </c>
      <c r="Q48" s="46">
        <v>1440</v>
      </c>
      <c r="R48" s="384">
        <v>0</v>
      </c>
      <c r="S48" s="384">
        <v>19</v>
      </c>
      <c r="T48" s="36">
        <f>E48*M48*O48*Q48/100000000</f>
        <v>53.066764800000009</v>
      </c>
      <c r="U48" s="36">
        <f>E48*M48*O48*(Q48-R48-S48)/100000000</f>
        <v>52.366578320000009</v>
      </c>
      <c r="V48" s="36">
        <f>E48*G48*(1-N48)*O48/100*(R48+S48)/1000000</f>
        <v>0.70018648000000006</v>
      </c>
      <c r="W48" s="36">
        <f>+'10'!K34/1000</f>
        <v>56.877000000000002</v>
      </c>
      <c r="X48" s="381">
        <f>SUM(W48:W51)/SUM(K48:K51)</f>
        <v>1.0584032720230951</v>
      </c>
      <c r="Y48" s="36">
        <v>0</v>
      </c>
      <c r="Z48" s="615">
        <v>0</v>
      </c>
      <c r="AA48" s="48">
        <f>SUM(U48:U51)-SUM(W48:W51)-SUM(Z48:Z51)-SUM(Y48:Y51)</f>
        <v>-4.5104216799999932</v>
      </c>
      <c r="AB48" s="48">
        <f>(SUM(K48:K51)-SUM(W48:W51)-SUM(Y48:Y51)-SUM(Z48:Z51)-SUM(AC48:AC51)-SUM(V48:V51))-AA48</f>
        <v>0</v>
      </c>
      <c r="AC48" s="36">
        <f>K48-T48</f>
        <v>0.67173119999998931</v>
      </c>
      <c r="AD48" s="36">
        <f>+AM48+BA48</f>
        <v>0</v>
      </c>
      <c r="AE48" s="225" t="s">
        <v>385</v>
      </c>
      <c r="AF48" s="36">
        <v>0</v>
      </c>
      <c r="AG48" s="36"/>
      <c r="AH48" s="36"/>
      <c r="AI48" s="461"/>
      <c r="AJ48" s="36"/>
      <c r="AK48" s="36"/>
      <c r="AL48" s="36"/>
      <c r="AM48" s="36">
        <f>SUM(AF48:AL48)+AT48+AV48+AX48</f>
        <v>0</v>
      </c>
      <c r="AN48" s="36"/>
      <c r="AO48" s="36"/>
      <c r="AP48" s="36"/>
      <c r="AQ48" s="36"/>
      <c r="AR48" s="36">
        <f>SUM(AN48:AQ48)</f>
        <v>0</v>
      </c>
      <c r="AS48" s="36"/>
      <c r="AT48" s="36"/>
      <c r="AU48" s="36"/>
      <c r="AV48" s="36"/>
      <c r="AW48" s="36"/>
      <c r="AX48" s="36"/>
      <c r="AY48" s="36"/>
      <c r="AZ48" s="36"/>
      <c r="BA48" s="36">
        <f>+AR48+AS48+AU48+AW48+AY48+AZ48</f>
        <v>0</v>
      </c>
      <c r="BB48" s="32">
        <v>0</v>
      </c>
      <c r="BC48" s="50"/>
      <c r="BD48" s="50"/>
      <c r="BE48" s="32"/>
      <c r="BF48" s="50"/>
    </row>
    <row r="49" spans="1:58" ht="12.95" customHeight="1">
      <c r="A49" s="39"/>
      <c r="B49" s="40"/>
      <c r="C49" s="416"/>
      <c r="D49" s="40"/>
      <c r="E49" s="41"/>
      <c r="F49" s="41"/>
      <c r="G49" s="459"/>
      <c r="H49" s="43"/>
      <c r="I49" s="44"/>
      <c r="J49" s="82"/>
      <c r="K49" s="82"/>
      <c r="L49" s="34"/>
      <c r="M49" s="34"/>
      <c r="N49" s="45"/>
      <c r="O49" s="46"/>
      <c r="P49" s="47"/>
      <c r="Q49" s="46"/>
      <c r="R49" s="384"/>
      <c r="S49" s="384"/>
      <c r="T49" s="36"/>
      <c r="U49" s="36"/>
      <c r="V49" s="36"/>
      <c r="W49" s="36"/>
      <c r="X49" s="37"/>
      <c r="Y49" s="208"/>
      <c r="Z49" s="615"/>
      <c r="AA49" s="36"/>
      <c r="AB49" s="36"/>
      <c r="AC49" s="36"/>
      <c r="AD49" s="36">
        <f>+AM49+BA49</f>
        <v>0</v>
      </c>
      <c r="AE49" s="225" t="s">
        <v>399</v>
      </c>
      <c r="AF49" s="36"/>
      <c r="AG49" s="36">
        <v>0</v>
      </c>
      <c r="AH49" s="36"/>
      <c r="AI49" s="461"/>
      <c r="AJ49" s="36"/>
      <c r="AK49" s="36"/>
      <c r="AL49" s="36"/>
      <c r="AM49" s="36">
        <f>SUM(AF49:AL49)+AT49+AV49+AX49</f>
        <v>0</v>
      </c>
      <c r="AN49" s="83"/>
      <c r="AO49" s="36"/>
      <c r="AP49" s="36"/>
      <c r="AQ49" s="36"/>
      <c r="AR49" s="36">
        <f>SUM(AN49:AQ49)</f>
        <v>0</v>
      </c>
      <c r="AS49" s="36"/>
      <c r="AT49" s="36"/>
      <c r="AU49" s="36"/>
      <c r="AV49" s="36"/>
      <c r="AW49" s="36"/>
      <c r="AX49" s="36"/>
      <c r="AY49" s="36"/>
      <c r="AZ49" s="36"/>
      <c r="BA49" s="36">
        <f>+AR49+AS49+AU49+AW49+AY49+AZ49</f>
        <v>0</v>
      </c>
      <c r="BB49" s="49"/>
      <c r="BC49" s="50">
        <v>0</v>
      </c>
      <c r="BD49" s="50"/>
      <c r="BE49" s="49"/>
      <c r="BF49" s="50"/>
    </row>
    <row r="50" spans="1:58" ht="12.95" customHeight="1">
      <c r="A50" s="39"/>
      <c r="B50" s="40"/>
      <c r="C50" s="416"/>
      <c r="D50" s="40"/>
      <c r="E50" s="41"/>
      <c r="F50" s="41"/>
      <c r="G50" s="459"/>
      <c r="H50" s="43"/>
      <c r="I50" s="44"/>
      <c r="J50" s="82"/>
      <c r="K50" s="82"/>
      <c r="L50" s="34"/>
      <c r="M50" s="34"/>
      <c r="N50" s="45"/>
      <c r="O50" s="46"/>
      <c r="P50" s="47"/>
      <c r="Q50" s="46"/>
      <c r="R50" s="384"/>
      <c r="S50" s="384"/>
      <c r="T50" s="36"/>
      <c r="U50" s="36"/>
      <c r="V50" s="36"/>
      <c r="W50" s="36"/>
      <c r="X50" s="37"/>
      <c r="Y50" s="208"/>
      <c r="Z50" s="615"/>
      <c r="AA50" s="36"/>
      <c r="AB50" s="36"/>
      <c r="AC50" s="36"/>
      <c r="AD50" s="36">
        <f>+AM50+BA50</f>
        <v>19</v>
      </c>
      <c r="AE50" s="225" t="s">
        <v>541</v>
      </c>
      <c r="AF50" s="32"/>
      <c r="AG50" s="32"/>
      <c r="AH50" s="32">
        <v>19</v>
      </c>
      <c r="AJ50" s="36"/>
      <c r="AK50" s="36"/>
      <c r="AL50" s="36"/>
      <c r="AM50" s="36">
        <f>SUM(AF50:AL50)+AT50+AV50+AX50</f>
        <v>19</v>
      </c>
      <c r="AN50" s="36"/>
      <c r="AO50" s="36"/>
      <c r="AP50" s="36"/>
      <c r="AQ50" s="36"/>
      <c r="AR50" s="36">
        <f>SUM(AN50:AQ50)</f>
        <v>0</v>
      </c>
      <c r="AS50" s="36"/>
      <c r="AT50" s="36"/>
      <c r="AU50" s="36"/>
      <c r="AV50" s="36"/>
      <c r="AW50" s="36"/>
      <c r="AX50" s="36"/>
      <c r="AY50" s="36"/>
      <c r="AZ50" s="36"/>
      <c r="BA50" s="36">
        <f>+AR50+AS50+AU50+AW50+AY50+AZ50</f>
        <v>0</v>
      </c>
      <c r="BB50" s="32"/>
      <c r="BC50" s="52"/>
      <c r="BD50" s="52"/>
      <c r="BE50" s="32"/>
      <c r="BF50" s="52"/>
    </row>
    <row r="51" spans="1:58" ht="12.95" customHeight="1">
      <c r="A51" s="39"/>
      <c r="B51" s="40"/>
      <c r="C51" s="416"/>
      <c r="D51" s="40"/>
      <c r="E51" s="41"/>
      <c r="F51" s="41"/>
      <c r="G51" s="42"/>
      <c r="H51" s="534"/>
      <c r="I51" s="44"/>
      <c r="J51" s="82"/>
      <c r="K51" s="82"/>
      <c r="L51" s="34"/>
      <c r="M51" s="34"/>
      <c r="N51" s="45"/>
      <c r="O51" s="46"/>
      <c r="P51" s="47"/>
      <c r="Q51" s="46"/>
      <c r="R51" s="384"/>
      <c r="S51" s="384"/>
      <c r="T51" s="36"/>
      <c r="U51" s="36"/>
      <c r="V51" s="36"/>
      <c r="W51" s="36"/>
      <c r="X51" s="381"/>
      <c r="Y51" s="208"/>
      <c r="Z51" s="615"/>
      <c r="AA51" s="48"/>
      <c r="AB51" s="48"/>
      <c r="AC51" s="36"/>
      <c r="AD51" s="36"/>
      <c r="AE51" s="228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2"/>
      <c r="BC51" s="52"/>
      <c r="BD51" s="52"/>
      <c r="BE51" s="32"/>
      <c r="BF51" s="52"/>
    </row>
    <row r="52" spans="1:58" ht="12.95" customHeight="1">
      <c r="A52" s="39">
        <v>46123</v>
      </c>
      <c r="B52" s="40" t="s">
        <v>497</v>
      </c>
      <c r="C52" s="416">
        <f>(M52*E52*O52*Q52)/100000000</f>
        <v>35.239231999999994</v>
      </c>
      <c r="D52" s="40" t="s">
        <v>276</v>
      </c>
      <c r="E52" s="41">
        <v>17</v>
      </c>
      <c r="F52" s="41">
        <v>1</v>
      </c>
      <c r="G52" s="459">
        <v>980</v>
      </c>
      <c r="H52" s="43">
        <v>0.2</v>
      </c>
      <c r="I52" s="44">
        <v>0.88</v>
      </c>
      <c r="J52" s="82">
        <f>E52*G52*(1-H52)*1440/1000000*2.87</f>
        <v>55.081958399999998</v>
      </c>
      <c r="K52" s="82">
        <f>(IF(G52&lt;L52,L52,G52)*(1-IF(H52&lt;N52,H52,N52))*E52*O52*Q52)/100000000</f>
        <v>35.239231999999994</v>
      </c>
      <c r="L52" s="34">
        <v>989.73262032085563</v>
      </c>
      <c r="M52" s="34">
        <v>791.78609625668446</v>
      </c>
      <c r="N52" s="45">
        <f>1-(M52/L52)</f>
        <v>0.20000000000000007</v>
      </c>
      <c r="O52" s="46">
        <f>+'Trim Rwd'!H34</f>
        <v>280</v>
      </c>
      <c r="P52" s="47">
        <f>O52*(Q52-R52-S52)</f>
        <v>256200</v>
      </c>
      <c r="Q52" s="46">
        <v>935</v>
      </c>
      <c r="R52" s="384">
        <v>0</v>
      </c>
      <c r="S52" s="384">
        <v>20</v>
      </c>
      <c r="T52" s="36">
        <f>E52*M52*O52*Q52/100000000</f>
        <v>35.239231999999994</v>
      </c>
      <c r="U52" s="36">
        <f>E52*M52*O52*(Q52-R52-S52)/100000000</f>
        <v>34.485451636363635</v>
      </c>
      <c r="V52" s="36">
        <f>E52*G52*(1-N52)*O52/100*(R52+S52)/1000000</f>
        <v>0.74636799999999992</v>
      </c>
      <c r="W52" s="36">
        <f>+'11'!K12/1000</f>
        <v>37.24</v>
      </c>
      <c r="X52" s="381">
        <f>SUM(W52:W55)/SUM(K52:K55)</f>
        <v>0.81268286908475418</v>
      </c>
      <c r="Y52" s="36">
        <v>0</v>
      </c>
      <c r="Z52" s="615">
        <v>0</v>
      </c>
      <c r="AA52" s="48">
        <f>SUM(U52:U55)-SUM(W52:W55)-SUM(Z52:Z55)-SUM(Y52:Y55)</f>
        <v>8.059907316363633</v>
      </c>
      <c r="AB52" s="48">
        <f>(SUM(K52:K55)-SUM(W52:W55)-SUM(Y52:Y55)-SUM(Z52:Z55)-SUM(AC52:AC55)-SUM(V52:V55))-AA52</f>
        <v>7.4123636363641054E-3</v>
      </c>
      <c r="AC52" s="36">
        <f>K52-T52</f>
        <v>0</v>
      </c>
      <c r="AD52" s="36">
        <f>+AM52+BA52</f>
        <v>0</v>
      </c>
      <c r="AE52" s="225" t="s">
        <v>385</v>
      </c>
      <c r="AF52" s="36">
        <v>0</v>
      </c>
      <c r="AG52" s="36"/>
      <c r="AH52" s="36"/>
      <c r="AI52" s="461"/>
      <c r="AJ52" s="36"/>
      <c r="AK52" s="36"/>
      <c r="AL52" s="36"/>
      <c r="AM52" s="36">
        <f>SUM(AF52:AL52)+AT52+AV52+AX52</f>
        <v>0</v>
      </c>
      <c r="AN52" s="36"/>
      <c r="AO52" s="36"/>
      <c r="AP52" s="36"/>
      <c r="AQ52" s="36"/>
      <c r="AR52" s="36">
        <f>SUM(AN52:AQ52)</f>
        <v>0</v>
      </c>
      <c r="AS52" s="36"/>
      <c r="AT52" s="36"/>
      <c r="AU52" s="36"/>
      <c r="AV52" s="36"/>
      <c r="AW52" s="36"/>
      <c r="AX52" s="36"/>
      <c r="AY52" s="36"/>
      <c r="AZ52" s="36"/>
      <c r="BA52" s="36">
        <f>+AR52+AS52+AU52+AW52+AY52+AZ52</f>
        <v>0</v>
      </c>
      <c r="BB52" s="32">
        <v>0</v>
      </c>
      <c r="BC52" s="50"/>
      <c r="BD52" s="50"/>
      <c r="BE52" s="32"/>
      <c r="BF52" s="50"/>
    </row>
    <row r="53" spans="1:58" ht="12.95" customHeight="1">
      <c r="A53" s="39"/>
      <c r="B53" s="40" t="s">
        <v>403</v>
      </c>
      <c r="C53" s="416">
        <f>(M53*E53*O53*Q53)/100000000</f>
        <v>18.600957900000001</v>
      </c>
      <c r="D53" s="40" t="s">
        <v>276</v>
      </c>
      <c r="E53" s="41">
        <v>15.5</v>
      </c>
      <c r="F53" s="41">
        <v>1</v>
      </c>
      <c r="G53" s="459">
        <v>1050</v>
      </c>
      <c r="H53" s="43">
        <f>+N53</f>
        <v>0.18000000000000005</v>
      </c>
      <c r="I53" s="44">
        <v>0.88</v>
      </c>
      <c r="J53" s="82">
        <f>E53*G53*(1-H53)*1440/1000000*2.87</f>
        <v>55.1542824</v>
      </c>
      <c r="K53" s="82">
        <f>(IF(G53&lt;L53,L53,G53)*(1-IF(H53&lt;N53,H53,N53))*E53*O53*Q53)/100000000</f>
        <v>18.600957900000001</v>
      </c>
      <c r="L53" s="34">
        <v>1050</v>
      </c>
      <c r="M53" s="34">
        <v>861</v>
      </c>
      <c r="N53" s="45">
        <f>1-(M53/L53)</f>
        <v>0.18000000000000005</v>
      </c>
      <c r="O53" s="46">
        <f>+'Trim Rwd'!H35</f>
        <v>276</v>
      </c>
      <c r="P53" s="47">
        <f>O53*(Q53-R53-S53)</f>
        <v>136896</v>
      </c>
      <c r="Q53" s="46">
        <v>505</v>
      </c>
      <c r="R53" s="384">
        <v>0</v>
      </c>
      <c r="S53" s="384">
        <v>9</v>
      </c>
      <c r="T53" s="36">
        <f>E53*M53*O53*Q53/100000000</f>
        <v>18.600957900000001</v>
      </c>
      <c r="U53" s="36">
        <f>E53*M53*O53*(Q53-R53-S53)/100000000</f>
        <v>18.26945568</v>
      </c>
      <c r="V53" s="36">
        <f>E53*G53*(1-N53)*O53/100*(R53+S53)/1000000</f>
        <v>0.33150222000000001</v>
      </c>
      <c r="W53" s="36">
        <f>+'11'!K13/1000</f>
        <v>6.5149999999999997</v>
      </c>
      <c r="X53" s="37"/>
      <c r="Y53" s="208"/>
      <c r="Z53" s="615">
        <f>+'11'!D26/1000</f>
        <v>0.94</v>
      </c>
      <c r="AA53" s="36"/>
      <c r="AB53" s="36"/>
      <c r="AC53" s="36">
        <f>K53-T53</f>
        <v>0</v>
      </c>
      <c r="AD53" s="36">
        <f>+AM53+BA53</f>
        <v>1</v>
      </c>
      <c r="AE53" s="225" t="s">
        <v>419</v>
      </c>
      <c r="AF53" s="36"/>
      <c r="AG53" s="36">
        <v>1</v>
      </c>
      <c r="AH53" s="36"/>
      <c r="AI53" s="461"/>
      <c r="AJ53" s="36"/>
      <c r="AK53" s="36"/>
      <c r="AL53" s="36"/>
      <c r="AM53" s="36">
        <f>SUM(AF53:AL53)+AT53+AV53+AX53</f>
        <v>1</v>
      </c>
      <c r="AN53" s="83"/>
      <c r="AO53" s="36"/>
      <c r="AP53" s="36"/>
      <c r="AQ53" s="36"/>
      <c r="AR53" s="36">
        <f>SUM(AN53:AQ53)</f>
        <v>0</v>
      </c>
      <c r="AS53" s="36"/>
      <c r="AT53" s="36"/>
      <c r="AU53" s="36"/>
      <c r="AV53" s="36"/>
      <c r="AW53" s="36"/>
      <c r="AX53" s="36"/>
      <c r="AY53" s="36"/>
      <c r="AZ53" s="36"/>
      <c r="BA53" s="36">
        <f>+AR53+AS53+AU53+AW53+AY53+AZ53</f>
        <v>0</v>
      </c>
      <c r="BB53" s="49"/>
      <c r="BC53" s="50">
        <v>0</v>
      </c>
      <c r="BD53" s="50"/>
      <c r="BE53" s="49"/>
      <c r="BF53" s="50"/>
    </row>
    <row r="54" spans="1:58" ht="12.95" customHeight="1">
      <c r="A54" s="39"/>
      <c r="B54" s="40"/>
      <c r="C54" s="416"/>
      <c r="D54" s="40"/>
      <c r="E54" s="41"/>
      <c r="F54" s="41"/>
      <c r="G54" s="459"/>
      <c r="H54" s="43"/>
      <c r="I54" s="44"/>
      <c r="J54" s="82"/>
      <c r="K54" s="82"/>
      <c r="L54" s="34"/>
      <c r="M54" s="34"/>
      <c r="N54" s="45"/>
      <c r="O54" s="46"/>
      <c r="P54" s="47"/>
      <c r="Q54" s="46"/>
      <c r="R54" s="384"/>
      <c r="S54" s="384"/>
      <c r="T54" s="36"/>
      <c r="U54" s="36"/>
      <c r="V54" s="36"/>
      <c r="W54" s="36"/>
      <c r="X54" s="37"/>
      <c r="Y54" s="208"/>
      <c r="Z54" s="615"/>
      <c r="AA54" s="36"/>
      <c r="AB54" s="36"/>
      <c r="AC54" s="36"/>
      <c r="AD54" s="36">
        <f>+AM54+BA54</f>
        <v>28</v>
      </c>
      <c r="AE54" s="225" t="s">
        <v>421</v>
      </c>
      <c r="AF54" s="32"/>
      <c r="AG54" s="32"/>
      <c r="AH54" s="32">
        <v>28</v>
      </c>
      <c r="AJ54" s="36"/>
      <c r="AK54" s="36"/>
      <c r="AL54" s="36"/>
      <c r="AM54" s="36">
        <f>SUM(AF54:AL54)+AT54+AV54+AX54</f>
        <v>28</v>
      </c>
      <c r="AN54" s="36"/>
      <c r="AO54" s="36"/>
      <c r="AP54" s="36"/>
      <c r="AQ54" s="36"/>
      <c r="AR54" s="36">
        <f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>
        <f>+AR54+AS54+AU54+AW54+AY54+AZ54</f>
        <v>0</v>
      </c>
      <c r="BB54" s="32"/>
      <c r="BC54" s="52"/>
      <c r="BD54" s="52"/>
      <c r="BE54" s="32"/>
      <c r="BF54" s="52"/>
    </row>
    <row r="55" spans="1:58" ht="12.95" customHeight="1">
      <c r="A55" s="39"/>
      <c r="B55" s="40"/>
      <c r="C55" s="416"/>
      <c r="D55" s="40"/>
      <c r="E55" s="41"/>
      <c r="F55" s="41"/>
      <c r="G55" s="42"/>
      <c r="H55" s="534"/>
      <c r="I55" s="44"/>
      <c r="J55" s="82"/>
      <c r="K55" s="82"/>
      <c r="L55" s="34"/>
      <c r="M55" s="34"/>
      <c r="N55" s="45"/>
      <c r="O55" s="46"/>
      <c r="P55" s="47"/>
      <c r="Q55" s="46"/>
      <c r="R55" s="384"/>
      <c r="S55" s="384"/>
      <c r="T55" s="36"/>
      <c r="U55" s="36"/>
      <c r="V55" s="36"/>
      <c r="W55" s="36"/>
      <c r="X55" s="381"/>
      <c r="Y55" s="208"/>
      <c r="Z55" s="615"/>
      <c r="AA55" s="48"/>
      <c r="AB55" s="48"/>
      <c r="AC55" s="36"/>
      <c r="AD55" s="36"/>
      <c r="AE55" s="228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2"/>
      <c r="BC55" s="52"/>
      <c r="BD55" s="52"/>
      <c r="BE55" s="32"/>
      <c r="BF55" s="52"/>
    </row>
    <row r="56" spans="1:58" ht="12.95" customHeight="1">
      <c r="A56" s="39">
        <v>46124</v>
      </c>
      <c r="B56" s="40" t="s">
        <v>403</v>
      </c>
      <c r="C56" s="416">
        <f>(M56*E56*O56*Q56)/100000000</f>
        <v>25.226510399999999</v>
      </c>
      <c r="D56" s="40" t="s">
        <v>276</v>
      </c>
      <c r="E56" s="41">
        <v>15.5</v>
      </c>
      <c r="F56" s="41">
        <v>1</v>
      </c>
      <c r="G56" s="459">
        <v>1050</v>
      </c>
      <c r="H56" s="43">
        <f>+N56</f>
        <v>0.21999999999999997</v>
      </c>
      <c r="I56" s="44">
        <v>0.88</v>
      </c>
      <c r="J56" s="82">
        <f>E56*G56*(1-H56)*1440/1000000*2.87</f>
        <v>52.463829600000004</v>
      </c>
      <c r="K56" s="82">
        <f>(IF(G56&lt;L56,L56,G56)*(1-IF(H56&lt;N56,H56,N56))*E56*O56*Q56)/100000000</f>
        <v>25.226510399999999</v>
      </c>
      <c r="L56" s="34">
        <v>1050</v>
      </c>
      <c r="M56" s="34">
        <f>+L56-L56*0.22</f>
        <v>819</v>
      </c>
      <c r="N56" s="45">
        <f>1-(M56/L56)</f>
        <v>0.21999999999999997</v>
      </c>
      <c r="O56" s="46">
        <f>+'Trim Rwd'!H37</f>
        <v>276</v>
      </c>
      <c r="P56" s="47">
        <f>O56*(Q56-R56-S56)</f>
        <v>186576</v>
      </c>
      <c r="Q56" s="46">
        <v>720</v>
      </c>
      <c r="R56" s="384">
        <v>15</v>
      </c>
      <c r="S56" s="384">
        <v>29</v>
      </c>
      <c r="T56" s="36">
        <f>E56*M56*O56*Q56/100000000</f>
        <v>25.226510399999999</v>
      </c>
      <c r="U56" s="36">
        <f>E56*M56*O56*(Q56-R56-S56)/100000000</f>
        <v>23.684890320000001</v>
      </c>
      <c r="V56" s="36">
        <f>E56*G56*(1-N56)*O56/100*(R56+S56)/1000000</f>
        <v>1.5416200800000002</v>
      </c>
      <c r="W56" s="36">
        <f>+'12'!K13/1000</f>
        <v>34.006</v>
      </c>
      <c r="X56" s="381">
        <f>SUM(W56:W59)/SUM(K56:K59)</f>
        <v>0.99683971035605357</v>
      </c>
      <c r="Y56" s="36">
        <v>0</v>
      </c>
      <c r="Z56" s="615">
        <v>0</v>
      </c>
      <c r="AA56" s="48">
        <f>SUM(U56:U59)-SUM(W56:W59)-SUM(Z56:Z59)-SUM(Y56:Y59)</f>
        <v>-3.0757423199999954</v>
      </c>
      <c r="AB56" s="48">
        <f>(SUM(K56:K59)-SUM(W56:W59)-SUM(Y56:Y59)-SUM(Z56:Z59)-SUM(AC56:AC59)-SUM(V56:V59))-AA56</f>
        <v>-3.5527136788005009E-15</v>
      </c>
      <c r="AC56" s="36">
        <f>K56-T56</f>
        <v>0</v>
      </c>
      <c r="AD56" s="36">
        <f>+AM56+BA56</f>
        <v>35</v>
      </c>
      <c r="AE56" s="225" t="s">
        <v>566</v>
      </c>
      <c r="AF56" s="36">
        <v>35</v>
      </c>
      <c r="AG56" s="36"/>
      <c r="AH56" s="36"/>
      <c r="AI56" s="461"/>
      <c r="AJ56" s="36"/>
      <c r="AK56" s="36"/>
      <c r="AL56" s="36"/>
      <c r="AM56" s="36">
        <f>SUM(AF56:AL56)+AT56+AV56+AX56</f>
        <v>35</v>
      </c>
      <c r="AN56" s="36"/>
      <c r="AO56" s="36"/>
      <c r="AP56" s="36"/>
      <c r="AQ56" s="36"/>
      <c r="AR56" s="36">
        <f>SUM(AN56:AQ56)</f>
        <v>0</v>
      </c>
      <c r="AS56" s="36"/>
      <c r="AT56" s="36"/>
      <c r="AU56" s="36"/>
      <c r="AV56" s="36"/>
      <c r="AW56" s="36"/>
      <c r="AX56" s="36"/>
      <c r="AY56" s="36"/>
      <c r="AZ56" s="36"/>
      <c r="BA56" s="36">
        <f>+AR56+AS56+AU56+AW56+AY56+AZ56</f>
        <v>0</v>
      </c>
      <c r="BB56" s="32">
        <v>0</v>
      </c>
      <c r="BC56" s="50"/>
      <c r="BD56" s="50"/>
      <c r="BE56" s="32"/>
      <c r="BF56" s="50"/>
    </row>
    <row r="57" spans="1:58" ht="12.95" customHeight="1">
      <c r="A57" s="39"/>
      <c r="B57" s="40" t="s">
        <v>403</v>
      </c>
      <c r="C57" s="416">
        <f>(M57*E57*O57*Q57)/100000000</f>
        <v>24.224769969230771</v>
      </c>
      <c r="D57" s="40" t="s">
        <v>276</v>
      </c>
      <c r="E57" s="41">
        <v>11</v>
      </c>
      <c r="F57" s="41">
        <v>1</v>
      </c>
      <c r="G57" s="459">
        <v>1370</v>
      </c>
      <c r="H57" s="43">
        <f>+N57</f>
        <v>0.19999999999999996</v>
      </c>
      <c r="I57" s="44">
        <v>0.88</v>
      </c>
      <c r="J57" s="82">
        <f>E57*G57*(1-H57)*1440/1000000*2.87</f>
        <v>49.825036799999999</v>
      </c>
      <c r="K57" s="82">
        <f>(IF(G57&lt;L57,L57,G57)*(1-IF(H57&lt;N57,H57,N57))*E57*O57*Q57)/100000000</f>
        <v>24.224769969230771</v>
      </c>
      <c r="L57" s="34">
        <v>1370</v>
      </c>
      <c r="M57" s="34">
        <f>+L57-L57*0.2</f>
        <v>1096</v>
      </c>
      <c r="N57" s="45">
        <f>1-(M57/L57)</f>
        <v>0.19999999999999996</v>
      </c>
      <c r="O57" s="46">
        <f>+'Trim Rwd'!H38</f>
        <v>279.07692307692309</v>
      </c>
      <c r="P57" s="47">
        <f>O57*(Q57-R57-S57)</f>
        <v>188656</v>
      </c>
      <c r="Q57" s="46">
        <v>720</v>
      </c>
      <c r="R57" s="384">
        <v>0</v>
      </c>
      <c r="S57" s="384">
        <f>35+9</f>
        <v>44</v>
      </c>
      <c r="T57" s="36">
        <f>E57*M57*O57*Q57/100000000</f>
        <v>24.224769969230771</v>
      </c>
      <c r="U57" s="36">
        <f>E57*M57*O57*(Q57-R57-S57)/100000000</f>
        <v>22.744367360000005</v>
      </c>
      <c r="V57" s="36">
        <f>E57*G57*(1-N57)*O57/100*(R57+S57)/1000000</f>
        <v>1.4804026092307696</v>
      </c>
      <c r="W57" s="36">
        <f>+'12'!K14/1000</f>
        <v>15.289</v>
      </c>
      <c r="X57" s="37"/>
      <c r="Y57" s="208"/>
      <c r="Z57" s="615">
        <f>+'12'!D26/1000</f>
        <v>0.21</v>
      </c>
      <c r="AA57" s="36"/>
      <c r="AB57" s="36"/>
      <c r="AC57" s="36"/>
      <c r="AD57" s="36">
        <f>+AM57+BA57</f>
        <v>0</v>
      </c>
      <c r="AE57" s="225" t="s">
        <v>399</v>
      </c>
      <c r="AF57" s="36"/>
      <c r="AG57" s="36">
        <v>0</v>
      </c>
      <c r="AH57" s="36"/>
      <c r="AI57" s="461"/>
      <c r="AJ57" s="36"/>
      <c r="AK57" s="36"/>
      <c r="AL57" s="36"/>
      <c r="AM57" s="36">
        <f>SUM(AF57:AL57)+AT57+AV57+AX57</f>
        <v>0</v>
      </c>
      <c r="AN57" s="83"/>
      <c r="AO57" s="36"/>
      <c r="AP57" s="36"/>
      <c r="AQ57" s="36"/>
      <c r="AR57" s="36">
        <f>SUM(AN57:AQ57)</f>
        <v>0</v>
      </c>
      <c r="AS57" s="36"/>
      <c r="AT57" s="36"/>
      <c r="AU57" s="36"/>
      <c r="AV57" s="36"/>
      <c r="AW57" s="36"/>
      <c r="AX57" s="36"/>
      <c r="AY57" s="36"/>
      <c r="AZ57" s="36"/>
      <c r="BA57" s="36">
        <f>+AR57+AS57+AU57+AW57+AY57+AZ57</f>
        <v>0</v>
      </c>
      <c r="BB57" s="49"/>
      <c r="BC57" s="50">
        <v>0</v>
      </c>
      <c r="BD57" s="50"/>
      <c r="BE57" s="49"/>
      <c r="BF57" s="50"/>
    </row>
    <row r="58" spans="1:58" ht="12.95" customHeight="1">
      <c r="A58" s="39"/>
      <c r="B58" s="40"/>
      <c r="C58" s="416"/>
      <c r="D58" s="40"/>
      <c r="E58" s="41"/>
      <c r="F58" s="41"/>
      <c r="G58" s="459"/>
      <c r="H58" s="43"/>
      <c r="I58" s="44"/>
      <c r="J58" s="82"/>
      <c r="K58" s="82"/>
      <c r="L58" s="34"/>
      <c r="M58" s="34"/>
      <c r="N58" s="45"/>
      <c r="O58" s="46"/>
      <c r="P58" s="47"/>
      <c r="Q58" s="46"/>
      <c r="R58" s="384"/>
      <c r="S58" s="384"/>
      <c r="T58" s="36"/>
      <c r="U58" s="36"/>
      <c r="V58" s="36"/>
      <c r="W58" s="36"/>
      <c r="X58" s="37"/>
      <c r="Y58" s="208"/>
      <c r="Z58" s="615"/>
      <c r="AA58" s="36"/>
      <c r="AB58" s="36"/>
      <c r="AC58" s="36"/>
      <c r="AD58" s="36">
        <f>+AM58+BA58</f>
        <v>29</v>
      </c>
      <c r="AE58" s="225" t="s">
        <v>421</v>
      </c>
      <c r="AF58" s="32"/>
      <c r="AG58" s="32"/>
      <c r="AH58" s="32">
        <v>29</v>
      </c>
      <c r="AJ58" s="36"/>
      <c r="AK58" s="36"/>
      <c r="AL58" s="36"/>
      <c r="AM58" s="36">
        <f>SUM(AF58:AL58)+AT58+AV58+AX58</f>
        <v>29</v>
      </c>
      <c r="AN58" s="36"/>
      <c r="AO58" s="36"/>
      <c r="AP58" s="36"/>
      <c r="AQ58" s="36"/>
      <c r="AR58" s="36">
        <f>SUM(AN58:AQ58)</f>
        <v>0</v>
      </c>
      <c r="AS58" s="36"/>
      <c r="AT58" s="36"/>
      <c r="AU58" s="36"/>
      <c r="AV58" s="36"/>
      <c r="AW58" s="36"/>
      <c r="AX58" s="36"/>
      <c r="AY58" s="36"/>
      <c r="AZ58" s="36"/>
      <c r="BA58" s="36">
        <f>+AR58+AS58+AU58+AW58+AY58+AZ58</f>
        <v>0</v>
      </c>
      <c r="BB58" s="32"/>
      <c r="BC58" s="52"/>
      <c r="BD58" s="52"/>
      <c r="BE58" s="32"/>
      <c r="BF58" s="52"/>
    </row>
    <row r="59" spans="1:58" ht="12.95" customHeight="1">
      <c r="A59" s="39"/>
      <c r="B59" s="40"/>
      <c r="C59" s="416"/>
      <c r="D59" s="40"/>
      <c r="E59" s="41"/>
      <c r="F59" s="41"/>
      <c r="G59" s="42"/>
      <c r="H59" s="534"/>
      <c r="I59" s="44"/>
      <c r="J59" s="82"/>
      <c r="K59" s="82"/>
      <c r="L59" s="34"/>
      <c r="M59" s="34"/>
      <c r="N59" s="45"/>
      <c r="O59" s="46"/>
      <c r="P59" s="47"/>
      <c r="Q59" s="46"/>
      <c r="R59" s="384"/>
      <c r="S59" s="384"/>
      <c r="T59" s="36"/>
      <c r="U59" s="36"/>
      <c r="V59" s="36"/>
      <c r="W59" s="36"/>
      <c r="X59" s="381"/>
      <c r="Y59" s="208"/>
      <c r="Z59" s="615"/>
      <c r="AA59" s="48"/>
      <c r="AB59" s="48"/>
      <c r="AC59" s="36"/>
      <c r="AD59" s="36">
        <f>+AM59+BA59</f>
        <v>15</v>
      </c>
      <c r="AE59" s="225" t="s">
        <v>561</v>
      </c>
      <c r="AF59" s="36"/>
      <c r="AG59" s="36"/>
      <c r="AH59" s="36"/>
      <c r="AI59" s="36"/>
      <c r="AJ59" s="36"/>
      <c r="AK59" s="36"/>
      <c r="AL59" s="36"/>
      <c r="AM59" s="36">
        <f>SUM(AF59:AL59)+AT59+AV59+AX59</f>
        <v>0</v>
      </c>
      <c r="AN59" s="36"/>
      <c r="AO59" s="36"/>
      <c r="AP59" s="36">
        <v>15</v>
      </c>
      <c r="AQ59" s="36"/>
      <c r="AR59" s="36">
        <f>SUM(AN59:AQ59)</f>
        <v>15</v>
      </c>
      <c r="AS59" s="36"/>
      <c r="AT59" s="36"/>
      <c r="AU59" s="36"/>
      <c r="AV59" s="36"/>
      <c r="AW59" s="36"/>
      <c r="AX59" s="36"/>
      <c r="AY59" s="36"/>
      <c r="AZ59" s="36"/>
      <c r="BA59" s="36">
        <f>+AR59+AS59+AU59+AW59+AY59+AZ59</f>
        <v>15</v>
      </c>
      <c r="BB59" s="32"/>
      <c r="BC59" s="52"/>
      <c r="BD59" s="52"/>
      <c r="BE59" s="32"/>
      <c r="BF59" s="52"/>
    </row>
    <row r="60" spans="1:58" ht="12.95" customHeight="1">
      <c r="A60" s="39"/>
      <c r="B60" s="40"/>
      <c r="C60" s="416"/>
      <c r="D60" s="40"/>
      <c r="E60" s="41"/>
      <c r="F60" s="41"/>
      <c r="G60" s="459"/>
      <c r="H60" s="534"/>
      <c r="I60" s="44"/>
      <c r="J60" s="82"/>
      <c r="K60" s="82"/>
      <c r="L60" s="34"/>
      <c r="M60" s="34"/>
      <c r="N60" s="45"/>
      <c r="O60" s="46"/>
      <c r="P60" s="47"/>
      <c r="Q60" s="46"/>
      <c r="R60" s="384"/>
      <c r="S60" s="384"/>
      <c r="T60" s="36"/>
      <c r="U60" s="36"/>
      <c r="V60" s="36"/>
      <c r="W60" s="36"/>
      <c r="X60" s="37"/>
      <c r="Y60" s="208"/>
      <c r="Z60" s="615"/>
      <c r="AA60" s="36"/>
      <c r="AB60" s="36"/>
      <c r="AC60" s="36"/>
      <c r="AD60" s="36">
        <f>+AM60+BA60</f>
        <v>9</v>
      </c>
      <c r="AE60" s="225" t="s">
        <v>551</v>
      </c>
      <c r="AF60" s="36"/>
      <c r="AG60" s="36"/>
      <c r="AH60" s="36"/>
      <c r="AI60" s="461"/>
      <c r="AJ60" s="36"/>
      <c r="AK60" s="36">
        <v>9</v>
      </c>
      <c r="AL60" s="36"/>
      <c r="AM60" s="36">
        <f>SUM(AF60:AL60)+AT60+AV60+AX60</f>
        <v>9</v>
      </c>
      <c r="AN60" s="36"/>
      <c r="AO60" s="36"/>
      <c r="AP60" s="36"/>
      <c r="AQ60" s="36"/>
      <c r="AR60" s="36">
        <f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>
        <f>+AR60+AS60+AU60+AW60+AY60+AZ60</f>
        <v>0</v>
      </c>
      <c r="BB60" s="32"/>
      <c r="BC60" s="52"/>
      <c r="BD60" s="52"/>
      <c r="BE60" s="32"/>
      <c r="BF60" s="52"/>
    </row>
    <row r="61" spans="1:58" ht="12.95" customHeight="1">
      <c r="A61" s="39"/>
      <c r="B61" s="40"/>
      <c r="C61" s="416"/>
      <c r="D61" s="40"/>
      <c r="E61" s="41"/>
      <c r="F61" s="41"/>
      <c r="G61" s="42"/>
      <c r="H61" s="534"/>
      <c r="I61" s="44"/>
      <c r="J61" s="82"/>
      <c r="K61" s="82"/>
      <c r="L61" s="34"/>
      <c r="M61" s="34"/>
      <c r="N61" s="45"/>
      <c r="O61" s="46"/>
      <c r="P61" s="47"/>
      <c r="Q61" s="46"/>
      <c r="R61" s="384"/>
      <c r="S61" s="384"/>
      <c r="T61" s="36"/>
      <c r="U61" s="36"/>
      <c r="V61" s="36"/>
      <c r="W61" s="36"/>
      <c r="X61" s="37"/>
      <c r="Y61" s="208"/>
      <c r="Z61" s="615"/>
      <c r="AA61" s="36"/>
      <c r="AB61" s="36"/>
      <c r="AC61" s="36"/>
      <c r="AD61" s="36"/>
      <c r="AE61" s="225"/>
      <c r="AF61" s="32"/>
      <c r="AG61" s="32"/>
      <c r="AH61" s="32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2"/>
      <c r="BC61" s="52"/>
      <c r="BD61" s="50"/>
      <c r="BE61" s="50"/>
      <c r="BF61" s="50"/>
    </row>
    <row r="62" spans="1:58" ht="12.95" customHeight="1">
      <c r="A62" s="39">
        <v>46125</v>
      </c>
      <c r="B62" s="40" t="s">
        <v>403</v>
      </c>
      <c r="C62" s="416">
        <f>(M62*E62*O62*Q62)/100000000</f>
        <v>31.168515840000001</v>
      </c>
      <c r="D62" s="40" t="s">
        <v>276</v>
      </c>
      <c r="E62" s="41">
        <v>11</v>
      </c>
      <c r="F62" s="41">
        <v>1</v>
      </c>
      <c r="G62" s="459">
        <v>1370</v>
      </c>
      <c r="H62" s="43">
        <f>+N62</f>
        <v>0.20000000000000007</v>
      </c>
      <c r="I62" s="44">
        <v>0.88</v>
      </c>
      <c r="J62" s="82">
        <f>E62*G62*(1-H62)*1440/1000000*2.87</f>
        <v>49.825036799999992</v>
      </c>
      <c r="K62" s="82">
        <f>(IF(G62&lt;L62,L62,G62)*(1-IF(H62&lt;N62,H62,N62))*E62*O62*Q62)/100000000</f>
        <v>34.972044799999999</v>
      </c>
      <c r="L62" s="34">
        <v>1221</v>
      </c>
      <c r="M62" s="34">
        <v>976.8</v>
      </c>
      <c r="N62" s="45">
        <f>1-(M62/L62)</f>
        <v>0.20000000000000007</v>
      </c>
      <c r="O62" s="46">
        <f>+'Trim Rwd'!H41</f>
        <v>280</v>
      </c>
      <c r="P62" s="47">
        <f>O62*(Q62-R62-S62)</f>
        <v>246400</v>
      </c>
      <c r="Q62" s="46">
        <f>1440-404</f>
        <v>1036</v>
      </c>
      <c r="R62" s="384">
        <f>498-404</f>
        <v>94</v>
      </c>
      <c r="S62" s="384">
        <v>62</v>
      </c>
      <c r="T62" s="36">
        <f>E62*M62*O62*Q62/100000000</f>
        <v>31.168515840000001</v>
      </c>
      <c r="U62" s="36">
        <f>E62*M62*O62*(Q62-R62-S62)/100000000</f>
        <v>26.475187200000001</v>
      </c>
      <c r="V62" s="36">
        <f>E62*G62*(1-N62)*O62/100*(R62+S62)/1000000</f>
        <v>5.2660607999999991</v>
      </c>
      <c r="W62" s="36">
        <f>+'13'!K34/1000</f>
        <v>18.167000000000002</v>
      </c>
      <c r="X62" s="381">
        <f>SUM(W62:W65)/SUM(K62:K65)</f>
        <v>0.51947205557737364</v>
      </c>
      <c r="Y62" s="36">
        <v>0</v>
      </c>
      <c r="Z62" s="615">
        <f>+'13'!D34/1000</f>
        <v>4.726</v>
      </c>
      <c r="AA62" s="48">
        <f>SUM(U62:U65)-SUM(W62:W65)-SUM(Z62:Z65)-SUM(Y62:Y65)</f>
        <v>3.582187199999999</v>
      </c>
      <c r="AB62" s="48">
        <f>(SUM(K62:K65)-SUM(W62:W65)-SUM(Y62:Y65)-SUM(Z62:Z65)-SUM(AC62:AC65)-SUM(V62:V65))-AA62</f>
        <v>-0.57273215999999749</v>
      </c>
      <c r="AC62" s="36">
        <f>K62-T62</f>
        <v>3.8035289599999977</v>
      </c>
      <c r="AD62" s="36">
        <f>+AM62+BA62</f>
        <v>35</v>
      </c>
      <c r="AE62" s="225" t="s">
        <v>566</v>
      </c>
      <c r="AF62" s="36">
        <v>35</v>
      </c>
      <c r="AG62" s="36"/>
      <c r="AH62" s="36"/>
      <c r="AI62" s="461"/>
      <c r="AJ62" s="36"/>
      <c r="AK62" s="36"/>
      <c r="AL62" s="36"/>
      <c r="AM62" s="36">
        <f>SUM(AF62:AL62)+AT62+AV62+AX62</f>
        <v>35</v>
      </c>
      <c r="AN62" s="36"/>
      <c r="AO62" s="36"/>
      <c r="AP62" s="36"/>
      <c r="AQ62" s="36"/>
      <c r="AR62" s="36">
        <f>SUM(AN62:AQ62)</f>
        <v>0</v>
      </c>
      <c r="AS62" s="36"/>
      <c r="AT62" s="36"/>
      <c r="AU62" s="36"/>
      <c r="AV62" s="36"/>
      <c r="AW62" s="36"/>
      <c r="AX62" s="36"/>
      <c r="AY62" s="36"/>
      <c r="AZ62" s="36"/>
      <c r="BA62" s="36">
        <f>+AR62+AS62+AU62+AW62+AY62+AZ62</f>
        <v>0</v>
      </c>
      <c r="BB62" s="32">
        <v>7</v>
      </c>
      <c r="BC62" s="50"/>
      <c r="BD62" s="50"/>
      <c r="BE62" s="32"/>
      <c r="BF62" s="50"/>
    </row>
    <row r="63" spans="1:58" ht="12.95" customHeight="1">
      <c r="A63" s="39"/>
      <c r="B63" s="40"/>
      <c r="C63" s="416"/>
      <c r="D63" s="40"/>
      <c r="E63" s="41"/>
      <c r="F63" s="41"/>
      <c r="G63" s="459"/>
      <c r="H63" s="534"/>
      <c r="I63" s="44"/>
      <c r="J63" s="82"/>
      <c r="K63" s="82"/>
      <c r="L63" s="34"/>
      <c r="M63" s="34"/>
      <c r="N63" s="45"/>
      <c r="O63" s="46"/>
      <c r="P63" s="47"/>
      <c r="Q63" s="46"/>
      <c r="R63" s="384"/>
      <c r="S63" s="384"/>
      <c r="T63" s="36"/>
      <c r="U63" s="36"/>
      <c r="V63" s="36"/>
      <c r="W63" s="36"/>
      <c r="X63" s="37"/>
      <c r="Y63" s="208"/>
      <c r="Z63" s="615"/>
      <c r="AA63" s="36"/>
      <c r="AB63" s="36"/>
      <c r="AC63" s="36"/>
      <c r="AD63" s="36">
        <f>+AM63+BA63</f>
        <v>3</v>
      </c>
      <c r="AE63" s="225" t="s">
        <v>589</v>
      </c>
      <c r="AF63" s="36"/>
      <c r="AG63" s="36">
        <v>3</v>
      </c>
      <c r="AH63" s="36"/>
      <c r="AI63" s="461"/>
      <c r="AJ63" s="36"/>
      <c r="AK63" s="36"/>
      <c r="AL63" s="36"/>
      <c r="AM63" s="36">
        <f>SUM(AF63:AL63)+AT63+AV63+AX63</f>
        <v>3</v>
      </c>
      <c r="AN63" s="83"/>
      <c r="AO63" s="36"/>
      <c r="AP63" s="36"/>
      <c r="AQ63" s="36"/>
      <c r="AR63" s="36">
        <f>SUM(AN63:AQ63)</f>
        <v>0</v>
      </c>
      <c r="AS63" s="36"/>
      <c r="AT63" s="36"/>
      <c r="AU63" s="36"/>
      <c r="AV63" s="36"/>
      <c r="AW63" s="36"/>
      <c r="AX63" s="36"/>
      <c r="AY63" s="36"/>
      <c r="AZ63" s="36"/>
      <c r="BA63" s="36">
        <f>+AR63+AS63+AU63+AW63+AY63+AZ63</f>
        <v>0</v>
      </c>
      <c r="BB63" s="49"/>
      <c r="BC63" s="50">
        <v>0</v>
      </c>
      <c r="BD63" s="50"/>
      <c r="BE63" s="49"/>
      <c r="BF63" s="50"/>
    </row>
    <row r="64" spans="1:58" ht="12.95" customHeight="1">
      <c r="A64" s="39"/>
      <c r="B64" s="40"/>
      <c r="C64" s="416"/>
      <c r="D64" s="40"/>
      <c r="E64" s="41"/>
      <c r="F64" s="41"/>
      <c r="G64" s="459"/>
      <c r="H64" s="43"/>
      <c r="I64" s="44"/>
      <c r="J64" s="82"/>
      <c r="K64" s="82"/>
      <c r="L64" s="34"/>
      <c r="M64" s="34"/>
      <c r="N64" s="45"/>
      <c r="O64" s="46"/>
      <c r="P64" s="47"/>
      <c r="Q64" s="46"/>
      <c r="R64" s="384"/>
      <c r="S64" s="384"/>
      <c r="T64" s="36"/>
      <c r="U64" s="36"/>
      <c r="V64" s="36"/>
      <c r="W64" s="36"/>
      <c r="X64" s="37"/>
      <c r="Y64" s="208"/>
      <c r="Z64" s="615"/>
      <c r="AA64" s="36"/>
      <c r="AB64" s="36"/>
      <c r="AC64" s="36"/>
      <c r="AD64" s="36">
        <f>+AM64+BA64</f>
        <v>24</v>
      </c>
      <c r="AE64" s="225" t="s">
        <v>590</v>
      </c>
      <c r="AF64" s="32"/>
      <c r="AG64" s="32"/>
      <c r="AH64" s="32">
        <v>24</v>
      </c>
      <c r="AJ64" s="36"/>
      <c r="AK64" s="36"/>
      <c r="AL64" s="36"/>
      <c r="AM64" s="36">
        <f>SUM(AF64:AL64)+AT64+AV64+AX64</f>
        <v>24</v>
      </c>
      <c r="AN64" s="36"/>
      <c r="AO64" s="36"/>
      <c r="AP64" s="36"/>
      <c r="AQ64" s="36"/>
      <c r="AR64" s="36">
        <f>SUM(AN64:AQ64)</f>
        <v>0</v>
      </c>
      <c r="AS64" s="36"/>
      <c r="AT64" s="36"/>
      <c r="AU64" s="36"/>
      <c r="AV64" s="36"/>
      <c r="AW64" s="36"/>
      <c r="AX64" s="36"/>
      <c r="AY64" s="36"/>
      <c r="AZ64" s="36"/>
      <c r="BA64" s="36">
        <f>+AR64+AS64+AU64+AW64+AY64+AZ64</f>
        <v>0</v>
      </c>
      <c r="BB64" s="32"/>
      <c r="BC64" s="52"/>
      <c r="BD64" s="52"/>
      <c r="BE64" s="32"/>
      <c r="BF64" s="52"/>
    </row>
    <row r="65" spans="1:58" ht="12.95" customHeight="1">
      <c r="A65" s="39"/>
      <c r="B65" s="40"/>
      <c r="C65" s="416"/>
      <c r="D65" s="40"/>
      <c r="E65" s="41"/>
      <c r="F65" s="41"/>
      <c r="G65" s="42"/>
      <c r="H65" s="534"/>
      <c r="I65" s="44"/>
      <c r="J65" s="82"/>
      <c r="K65" s="82"/>
      <c r="L65" s="34"/>
      <c r="M65" s="34"/>
      <c r="N65" s="45"/>
      <c r="O65" s="46"/>
      <c r="P65" s="47"/>
      <c r="Q65" s="46"/>
      <c r="R65" s="384"/>
      <c r="S65" s="384"/>
      <c r="T65" s="36"/>
      <c r="U65" s="36"/>
      <c r="V65" s="36"/>
      <c r="W65" s="36"/>
      <c r="X65" s="381"/>
      <c r="Y65" s="208"/>
      <c r="Z65" s="615"/>
      <c r="AA65" s="48"/>
      <c r="AB65" s="48"/>
      <c r="AC65" s="36"/>
      <c r="AD65" s="36">
        <f>+AM65+BA65</f>
        <v>94</v>
      </c>
      <c r="AE65" s="228" t="s">
        <v>591</v>
      </c>
      <c r="AF65" s="36"/>
      <c r="AG65" s="36"/>
      <c r="AH65" s="36"/>
      <c r="AI65" s="36"/>
      <c r="AJ65" s="36"/>
      <c r="AK65" s="36"/>
      <c r="AL65" s="36"/>
      <c r="AM65" s="36">
        <f>SUM(AF65:AL65)+AT65+AV65+AX65</f>
        <v>0</v>
      </c>
      <c r="AN65" s="36"/>
      <c r="AO65" s="36"/>
      <c r="AP65" s="36"/>
      <c r="AQ65" s="36"/>
      <c r="AR65" s="36">
        <f>SUM(AN65:AQ65)</f>
        <v>0</v>
      </c>
      <c r="AS65" s="36"/>
      <c r="AT65" s="36"/>
      <c r="AU65" s="36"/>
      <c r="AV65" s="36"/>
      <c r="AW65" s="36"/>
      <c r="AX65" s="36"/>
      <c r="AY65" s="36">
        <f>498-404</f>
        <v>94</v>
      </c>
      <c r="AZ65" s="36"/>
      <c r="BA65" s="36">
        <f>+AR65+AS65+AU65+AW65+AY65+AZ65</f>
        <v>94</v>
      </c>
      <c r="BB65" s="32"/>
      <c r="BC65" s="52"/>
      <c r="BD65" s="52"/>
      <c r="BE65" s="32"/>
      <c r="BF65" s="52"/>
    </row>
    <row r="66" spans="1:58" ht="12.95" customHeight="1">
      <c r="A66" s="39"/>
      <c r="B66" s="40"/>
      <c r="C66" s="416"/>
      <c r="D66" s="40"/>
      <c r="E66" s="41"/>
      <c r="F66" s="41"/>
      <c r="G66" s="459"/>
      <c r="H66" s="534"/>
      <c r="I66" s="44"/>
      <c r="J66" s="82"/>
      <c r="K66" s="82"/>
      <c r="L66" s="34"/>
      <c r="M66" s="34"/>
      <c r="N66" s="45"/>
      <c r="O66" s="46"/>
      <c r="P66" s="47"/>
      <c r="Q66" s="46"/>
      <c r="R66" s="384"/>
      <c r="S66" s="384"/>
      <c r="T66" s="36"/>
      <c r="U66" s="36"/>
      <c r="V66" s="36"/>
      <c r="W66" s="36"/>
      <c r="X66" s="37"/>
      <c r="Y66" s="208"/>
      <c r="Z66" s="615"/>
      <c r="AA66" s="48"/>
      <c r="AB66" s="48"/>
      <c r="AC66" s="36"/>
      <c r="AD66" s="36"/>
      <c r="AE66" s="225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2"/>
      <c r="BC66" s="50"/>
      <c r="BD66" s="50"/>
      <c r="BE66" s="50"/>
      <c r="BF66" s="50"/>
    </row>
    <row r="67" spans="1:58" ht="12.95" customHeight="1">
      <c r="A67" s="39">
        <v>46126</v>
      </c>
      <c r="B67" s="40" t="s">
        <v>403</v>
      </c>
      <c r="C67" s="416">
        <f>(M67*E67*O67*Q67)/100000000</f>
        <v>0.50265599999999999</v>
      </c>
      <c r="D67" s="40" t="s">
        <v>276</v>
      </c>
      <c r="E67" s="41">
        <v>11</v>
      </c>
      <c r="F67" s="41">
        <v>1</v>
      </c>
      <c r="G67" s="459">
        <v>1370</v>
      </c>
      <c r="H67" s="43">
        <f>+N67</f>
        <v>0.19999999999999996</v>
      </c>
      <c r="I67" s="44">
        <v>0.88</v>
      </c>
      <c r="J67" s="82">
        <f>E67*G67*(1-H67)*1440/1000000*2.87</f>
        <v>49.825036799999999</v>
      </c>
      <c r="K67" s="82">
        <f>(IF(G67&lt;L67,L67,G67)*(1-IF(H67&lt;N67,H67,N67))*E67*O67*Q67)/100000000</f>
        <v>0.50635200000000002</v>
      </c>
      <c r="L67" s="34">
        <v>1360</v>
      </c>
      <c r="M67" s="34">
        <f>+L67-L67*0.2</f>
        <v>1088</v>
      </c>
      <c r="N67" s="45">
        <f>1-(M67/L67)</f>
        <v>0.19999999999999996</v>
      </c>
      <c r="O67" s="46">
        <f>+'Trim Rwd'!H43</f>
        <v>280</v>
      </c>
      <c r="P67" s="47">
        <f>O67*(Q67-R67-S67)</f>
        <v>4200</v>
      </c>
      <c r="Q67" s="46">
        <v>15</v>
      </c>
      <c r="R67" s="384">
        <v>0</v>
      </c>
      <c r="S67" s="384">
        <v>0</v>
      </c>
      <c r="T67" s="36">
        <f>E67*M67*O67*Q67/100000000</f>
        <v>0.50265599999999999</v>
      </c>
      <c r="U67" s="36">
        <f>E67*M67*O67*(Q67-R67-S67)/100000000</f>
        <v>0.50265599999999999</v>
      </c>
      <c r="V67" s="36">
        <f>E67*G67*(1-N67)*O67/100*(R67+S67)/1000000</f>
        <v>0</v>
      </c>
      <c r="W67" s="36">
        <f>+'14'!K14/1000</f>
        <v>8.5190000000000001</v>
      </c>
      <c r="X67" s="381">
        <f>SUM(W67:W70)/SUM(K67:K70)</f>
        <v>1.0080822156168618</v>
      </c>
      <c r="Y67" s="36">
        <v>0</v>
      </c>
      <c r="Z67" s="615">
        <f>+'14'!D7/1000</f>
        <v>0.86</v>
      </c>
      <c r="AA67" s="48">
        <f>SUM(U67:U70)-SUM(W67:W70)-SUM(Z67:Z70)-SUM(Y67:Y70)</f>
        <v>-2.6533224999999949</v>
      </c>
      <c r="AB67" s="48">
        <f>(SUM(K67:K70)-SUM(W67:W70)-SUM(Y67:Y70)-SUM(Z67:Z70)-SUM(AC67:AC70)-SUM(V67:V70))-AA67</f>
        <v>1.7021399999997744E-2</v>
      </c>
      <c r="AC67" s="36">
        <f>K67-T67</f>
        <v>3.6960000000000326E-3</v>
      </c>
      <c r="AD67" s="36">
        <f>+AM67+BA67</f>
        <v>0</v>
      </c>
      <c r="AE67" s="225" t="s">
        <v>385</v>
      </c>
      <c r="AF67" s="36">
        <v>0</v>
      </c>
      <c r="AG67" s="36"/>
      <c r="AH67" s="36"/>
      <c r="AI67" s="461"/>
      <c r="AJ67" s="36"/>
      <c r="AK67" s="36"/>
      <c r="AL67" s="36"/>
      <c r="AM67" s="36">
        <f>SUM(AF67:AL67)+AT67+AV67+AX67</f>
        <v>0</v>
      </c>
      <c r="AN67" s="36"/>
      <c r="AO67" s="36"/>
      <c r="AP67" s="36"/>
      <c r="AQ67" s="36"/>
      <c r="AR67" s="36">
        <f>SUM(AN67:AQ67)</f>
        <v>0</v>
      </c>
      <c r="AS67" s="36"/>
      <c r="AT67" s="36"/>
      <c r="AU67" s="36"/>
      <c r="AV67" s="36"/>
      <c r="AW67" s="36"/>
      <c r="AX67" s="36"/>
      <c r="AY67" s="36"/>
      <c r="AZ67" s="36"/>
      <c r="BA67" s="36">
        <f>+AR67+AS67+AU67+AW67+AY67+AZ67</f>
        <v>0</v>
      </c>
      <c r="BB67" s="32">
        <v>0</v>
      </c>
      <c r="BC67" s="50"/>
      <c r="BD67" s="50"/>
      <c r="BE67" s="32"/>
      <c r="BF67" s="50"/>
    </row>
    <row r="68" spans="1:58" ht="12.95" customHeight="1">
      <c r="A68" s="39"/>
      <c r="B68" s="40" t="s">
        <v>610</v>
      </c>
      <c r="C68" s="416">
        <f>(M68*E68*O68*Q68)/100000000</f>
        <v>8.7602445000000007</v>
      </c>
      <c r="D68" s="40" t="s">
        <v>276</v>
      </c>
      <c r="E68" s="41">
        <v>14</v>
      </c>
      <c r="F68" s="41">
        <v>1</v>
      </c>
      <c r="G68" s="459">
        <v>1270</v>
      </c>
      <c r="H68" s="43">
        <f>+N68</f>
        <v>0.25</v>
      </c>
      <c r="I68" s="44">
        <v>0.88</v>
      </c>
      <c r="J68" s="82">
        <f>E68*G68*(1-H68)*1440/1000000*2.87</f>
        <v>55.110888000000003</v>
      </c>
      <c r="K68" s="82">
        <f>(IF(G68&lt;L68,L68,G68)*(1-IF(H68&lt;N68,H68,N68))*E68*O68*Q68)/100000000</f>
        <v>9.0451305000000009</v>
      </c>
      <c r="L68" s="34">
        <v>1230</v>
      </c>
      <c r="M68" s="34">
        <f>+L68-L68*0.25</f>
        <v>922.5</v>
      </c>
      <c r="N68" s="45">
        <f>1-(M68/L68)</f>
        <v>0.25</v>
      </c>
      <c r="O68" s="46">
        <f>+'Trim Rwd'!H44</f>
        <v>266</v>
      </c>
      <c r="P68" s="47">
        <f>O68*(Q68-R68-S68)</f>
        <v>65170</v>
      </c>
      <c r="Q68" s="46">
        <v>255</v>
      </c>
      <c r="R68" s="384">
        <v>0</v>
      </c>
      <c r="S68" s="384">
        <v>10</v>
      </c>
      <c r="T68" s="36">
        <f>E68*M68*O68*Q68/100000000</f>
        <v>8.7602445000000007</v>
      </c>
      <c r="U68" s="36">
        <f>E68*M68*O68*(Q68-R68-S68)/100000000</f>
        <v>8.4167055000000008</v>
      </c>
      <c r="V68" s="36">
        <f>E68*G68*(1-N68)*O68/100*(R68+S68)/1000000</f>
        <v>0.354711</v>
      </c>
      <c r="W68" s="36">
        <f>+'14'!K15/1000</f>
        <v>8.4039999999999999</v>
      </c>
      <c r="X68" s="37"/>
      <c r="Y68" s="208"/>
      <c r="Z68" s="615"/>
      <c r="AA68" s="36"/>
      <c r="AB68" s="36"/>
      <c r="AC68" s="36">
        <f>K68-T68</f>
        <v>0.28488600000000019</v>
      </c>
      <c r="AD68" s="36">
        <f>+AM68+BA68</f>
        <v>0</v>
      </c>
      <c r="AE68" s="225" t="s">
        <v>399</v>
      </c>
      <c r="AF68" s="36"/>
      <c r="AG68" s="36">
        <v>0</v>
      </c>
      <c r="AH68" s="36"/>
      <c r="AI68" s="461"/>
      <c r="AJ68" s="36"/>
      <c r="AK68" s="36"/>
      <c r="AL68" s="36"/>
      <c r="AM68" s="36">
        <f>SUM(AF68:AL68)+AT68+AV68+AX68</f>
        <v>0</v>
      </c>
      <c r="AN68" s="83"/>
      <c r="AO68" s="36"/>
      <c r="AP68" s="36"/>
      <c r="AQ68" s="36"/>
      <c r="AR68" s="36">
        <f>SUM(AN68:AQ68)</f>
        <v>0</v>
      </c>
      <c r="AS68" s="36"/>
      <c r="AT68" s="36"/>
      <c r="AU68" s="36"/>
      <c r="AV68" s="36"/>
      <c r="AW68" s="36"/>
      <c r="AX68" s="36"/>
      <c r="AY68" s="36"/>
      <c r="AZ68" s="36"/>
      <c r="BA68" s="36">
        <f>+AR68+AS68+AU68+AW68+AY68+AZ68</f>
        <v>0</v>
      </c>
      <c r="BB68" s="49"/>
      <c r="BC68" s="50">
        <v>0</v>
      </c>
      <c r="BD68" s="50"/>
      <c r="BE68" s="49"/>
      <c r="BF68" s="50"/>
    </row>
    <row r="69" spans="1:58" ht="12.95" customHeight="1">
      <c r="A69" s="39"/>
      <c r="B69" s="40" t="s">
        <v>610</v>
      </c>
      <c r="C69" s="416">
        <f>(M69*E69*O69*Q69)/100000000</f>
        <v>9.4193280000000001</v>
      </c>
      <c r="D69" s="40" t="s">
        <v>276</v>
      </c>
      <c r="E69" s="41">
        <v>16</v>
      </c>
      <c r="F69" s="41">
        <v>1</v>
      </c>
      <c r="G69" s="459">
        <v>1110</v>
      </c>
      <c r="H69" s="43">
        <f>+N69</f>
        <v>0.25</v>
      </c>
      <c r="I69" s="44">
        <v>0.88</v>
      </c>
      <c r="J69" s="82">
        <f>E69*G69*(1-H69)*1440/1000000*2.87</f>
        <v>55.048896000000006</v>
      </c>
      <c r="K69" s="82">
        <f>(IF(G69&lt;L69,L69,G69)*(1-IF(H69&lt;N69,H69,N69))*E69*O69*Q69)/100000000</f>
        <v>9.4193280000000001</v>
      </c>
      <c r="L69" s="34">
        <v>1185</v>
      </c>
      <c r="M69" s="34">
        <v>888.75</v>
      </c>
      <c r="N69" s="45">
        <f>1-(M69/L69)</f>
        <v>0.25</v>
      </c>
      <c r="O69" s="46">
        <f>+'Trim Rwd'!H45</f>
        <v>276</v>
      </c>
      <c r="P69" s="47">
        <f>O69*(Q69-R69-S69)</f>
        <v>63480</v>
      </c>
      <c r="Q69" s="46">
        <v>240</v>
      </c>
      <c r="R69" s="384">
        <v>0</v>
      </c>
      <c r="S69" s="384">
        <v>10</v>
      </c>
      <c r="T69" s="36">
        <f>E69*M69*O69*Q69/100000000</f>
        <v>9.4193280000000001</v>
      </c>
      <c r="U69" s="36">
        <f>E69*M69*O69*(Q69-R69-S69)/100000000</f>
        <v>9.0268560000000004</v>
      </c>
      <c r="V69" s="36">
        <f>E69*G69*(1-N69)*O69/100*(R69+S69)/1000000</f>
        <v>0.36763200000000001</v>
      </c>
      <c r="W69" s="36">
        <f>+'14'!K16/1000</f>
        <v>9.3510000000000009</v>
      </c>
      <c r="X69" s="37"/>
      <c r="Y69" s="208"/>
      <c r="Z69" s="615"/>
      <c r="AA69" s="36"/>
      <c r="AB69" s="36"/>
      <c r="AC69" s="36">
        <f>K69-T69</f>
        <v>0</v>
      </c>
      <c r="AD69" s="36">
        <f>+AM69+BA69</f>
        <v>29</v>
      </c>
      <c r="AE69" s="225" t="s">
        <v>611</v>
      </c>
      <c r="AF69" s="32"/>
      <c r="AG69" s="32"/>
      <c r="AH69" s="32">
        <v>29</v>
      </c>
      <c r="AJ69" s="36"/>
      <c r="AK69" s="36"/>
      <c r="AL69" s="36"/>
      <c r="AM69" s="36">
        <f>SUM(AF69:AL69)+AT69+AV69+AX69</f>
        <v>29</v>
      </c>
      <c r="AN69" s="36"/>
      <c r="AO69" s="36"/>
      <c r="AP69" s="36"/>
      <c r="AQ69" s="36"/>
      <c r="AR69" s="36">
        <f>SUM(AN69:AQ69)</f>
        <v>0</v>
      </c>
      <c r="AS69" s="36"/>
      <c r="AT69" s="36"/>
      <c r="AU69" s="36"/>
      <c r="AV69" s="36"/>
      <c r="AW69" s="36"/>
      <c r="AX69" s="36"/>
      <c r="AY69" s="36"/>
      <c r="AZ69" s="36"/>
      <c r="BA69" s="36">
        <f>+AR69+AS69+AU69+AW69+AY69+AZ69</f>
        <v>0</v>
      </c>
      <c r="BB69" s="32"/>
      <c r="BC69" s="52"/>
      <c r="BD69" s="52"/>
      <c r="BE69" s="32"/>
      <c r="BF69" s="52"/>
    </row>
    <row r="70" spans="1:58" ht="12.95" customHeight="1">
      <c r="A70" s="39"/>
      <c r="B70" s="40" t="s">
        <v>610</v>
      </c>
      <c r="C70" s="416">
        <f>(M70*E70*O70*Q70)/100000000</f>
        <v>34.651800000000001</v>
      </c>
      <c r="D70" s="40" t="s">
        <v>276</v>
      </c>
      <c r="E70" s="41">
        <v>18</v>
      </c>
      <c r="F70" s="41">
        <v>1</v>
      </c>
      <c r="G70" s="459">
        <v>990</v>
      </c>
      <c r="H70" s="43">
        <f>+N70</f>
        <v>0.25</v>
      </c>
      <c r="I70" s="44">
        <v>0.88</v>
      </c>
      <c r="J70" s="82">
        <f>E70*G70*(1-H70)*1440/1000000*2.87</f>
        <v>55.234872000000003</v>
      </c>
      <c r="K70" s="82">
        <f>(IF(G70&lt;L70,L70,G70)*(1-IF(H70&lt;N70,H70,N70))*E70*O70*Q70)/100000000</f>
        <v>34.651800000000001</v>
      </c>
      <c r="L70" s="34">
        <v>1000</v>
      </c>
      <c r="M70" s="34">
        <f>+L70-L70*0.25</f>
        <v>750</v>
      </c>
      <c r="N70" s="45">
        <f>1-(M70/L70)</f>
        <v>0.25</v>
      </c>
      <c r="O70" s="46">
        <f>+'Trim Rwd'!H46</f>
        <v>276</v>
      </c>
      <c r="P70" s="47">
        <f>O70*(Q70-R70-S70)</f>
        <v>254196</v>
      </c>
      <c r="Q70" s="46">
        <v>930</v>
      </c>
      <c r="R70" s="384">
        <v>0</v>
      </c>
      <c r="S70" s="384">
        <v>9</v>
      </c>
      <c r="T70" s="36">
        <f>E70*M70*O70*Q70/100000000</f>
        <v>34.651800000000001</v>
      </c>
      <c r="U70" s="36">
        <f>E70*M70*O70*(Q70-R70-S70)/100000000</f>
        <v>34.316459999999999</v>
      </c>
      <c r="V70" s="36">
        <f>E70*G70*(1-N70)*O70/100*(R70+S70)/1000000</f>
        <v>0.33198660000000002</v>
      </c>
      <c r="W70" s="36">
        <f>+'14'!K17/1000</f>
        <v>27.782</v>
      </c>
      <c r="X70" s="381"/>
      <c r="Y70" s="208"/>
      <c r="Z70" s="615"/>
      <c r="AA70" s="48"/>
      <c r="AB70" s="48"/>
      <c r="AC70" s="36">
        <f>K70-T70</f>
        <v>0</v>
      </c>
      <c r="AD70" s="36"/>
      <c r="AE70" s="225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2"/>
      <c r="BC70" s="50"/>
      <c r="BD70" s="52"/>
      <c r="BE70" s="32"/>
      <c r="BF70" s="52"/>
    </row>
    <row r="71" spans="1:58" ht="12.95" customHeight="1">
      <c r="A71" s="39"/>
      <c r="B71" s="40"/>
      <c r="C71" s="416"/>
      <c r="D71" s="40"/>
      <c r="E71" s="41"/>
      <c r="F71" s="41"/>
      <c r="G71" s="459"/>
      <c r="H71" s="534"/>
      <c r="I71" s="44"/>
      <c r="J71" s="82"/>
      <c r="K71" s="82"/>
      <c r="L71" s="34"/>
      <c r="M71" s="34"/>
      <c r="N71" s="45"/>
      <c r="O71" s="46"/>
      <c r="P71" s="47"/>
      <c r="Q71" s="46"/>
      <c r="R71" s="384"/>
      <c r="S71" s="384"/>
      <c r="T71" s="36"/>
      <c r="U71" s="36"/>
      <c r="V71" s="36"/>
      <c r="W71" s="36"/>
      <c r="X71" s="381"/>
      <c r="Y71" s="36"/>
      <c r="Z71" s="615"/>
      <c r="AA71" s="48"/>
      <c r="AB71" s="48"/>
      <c r="AC71" s="36"/>
      <c r="AD71" s="36"/>
      <c r="AE71" s="225"/>
      <c r="AF71" s="36"/>
      <c r="AG71" s="36"/>
      <c r="AH71" s="36"/>
      <c r="AI71" s="461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2"/>
      <c r="BC71" s="50"/>
      <c r="BD71" s="50"/>
      <c r="BE71" s="32"/>
      <c r="BF71" s="50"/>
    </row>
    <row r="72" spans="1:58" ht="12.95" customHeight="1">
      <c r="A72" s="39">
        <v>46127</v>
      </c>
      <c r="B72" s="40" t="s">
        <v>610</v>
      </c>
      <c r="C72" s="416">
        <f>(M72*E72*O72*Q72)/100000000</f>
        <v>11.997719999999999</v>
      </c>
      <c r="D72" s="40" t="s">
        <v>276</v>
      </c>
      <c r="E72" s="41">
        <v>18</v>
      </c>
      <c r="F72" s="41">
        <v>1</v>
      </c>
      <c r="G72" s="459">
        <v>990</v>
      </c>
      <c r="H72" s="43">
        <f>+N72</f>
        <v>0.25</v>
      </c>
      <c r="I72" s="44">
        <v>0.88</v>
      </c>
      <c r="J72" s="82">
        <f>E72*G72*(1-H72)*1440/1000000*2.87</f>
        <v>55.234872000000003</v>
      </c>
      <c r="K72" s="82">
        <f>(IF(G72&lt;L72,L72,G72)*(1-IF(H72&lt;N72,H72,N72))*E72*O72*Q72)/100000000</f>
        <v>11.997719999999999</v>
      </c>
      <c r="L72" s="34">
        <v>1000</v>
      </c>
      <c r="M72" s="34">
        <f>+L72-L72*0.25</f>
        <v>750</v>
      </c>
      <c r="N72" s="45">
        <f>1-(M72/L72)</f>
        <v>0.25</v>
      </c>
      <c r="O72" s="46">
        <f>+'Trim Rwd'!H48</f>
        <v>276</v>
      </c>
      <c r="P72" s="47">
        <f>O72*(Q72-R72-S72)</f>
        <v>88320</v>
      </c>
      <c r="Q72" s="46">
        <v>322</v>
      </c>
      <c r="R72" s="384">
        <v>0</v>
      </c>
      <c r="S72" s="384">
        <v>2</v>
      </c>
      <c r="T72" s="36">
        <f>E72*M72*O72*Q72/100000000</f>
        <v>11.997719999999999</v>
      </c>
      <c r="U72" s="36">
        <f>E72*M72*O72*(Q72-R72-S72)/100000000</f>
        <v>11.9232</v>
      </c>
      <c r="V72" s="36">
        <f>E72*G72*(1-N72)*O72/100*(R72+S72)/1000000</f>
        <v>7.3774800000000001E-2</v>
      </c>
      <c r="W72" s="36">
        <f>+'15'!K17/1000</f>
        <v>16.524000000000001</v>
      </c>
      <c r="X72" s="381">
        <f>SUM(W72:W75)/SUM(K72:K75)</f>
        <v>0.90977081719246988</v>
      </c>
      <c r="Y72" s="36">
        <v>0</v>
      </c>
      <c r="Z72" s="615">
        <v>0</v>
      </c>
      <c r="AA72" s="48">
        <f>SUM(U72:U75)-SUM(W72:W75)-SUM(Z72:Z75)-SUM(Y72:Y75)</f>
        <v>3.8561440000000005</v>
      </c>
      <c r="AB72" s="48">
        <f>(SUM(K72:K75)-SUM(W72:W75)-SUM(Y72:Y75)-SUM(Z72:Z75)-SUM(AC72:AC75)-SUM(V72:V75))-AA72</f>
        <v>6.5660399999996955E-2</v>
      </c>
      <c r="AC72" s="36">
        <f>K72-T72</f>
        <v>0</v>
      </c>
      <c r="AD72" s="36">
        <f>+AM72+BA72</f>
        <v>0</v>
      </c>
      <c r="AE72" s="225" t="s">
        <v>385</v>
      </c>
      <c r="AF72" s="36">
        <v>0</v>
      </c>
      <c r="AG72" s="36"/>
      <c r="AH72" s="36"/>
      <c r="AI72" s="461"/>
      <c r="AJ72" s="36"/>
      <c r="AK72" s="36"/>
      <c r="AL72" s="36"/>
      <c r="AM72" s="36">
        <f>SUM(AF72:AL72)+AT72+AV72+AX72</f>
        <v>0</v>
      </c>
      <c r="AN72" s="36"/>
      <c r="AO72" s="36"/>
      <c r="AP72" s="36"/>
      <c r="AQ72" s="36"/>
      <c r="AR72" s="36">
        <f>SUM(AN72:AQ72)</f>
        <v>0</v>
      </c>
      <c r="AS72" s="36"/>
      <c r="AT72" s="36"/>
      <c r="AU72" s="36"/>
      <c r="AV72" s="36"/>
      <c r="AW72" s="36"/>
      <c r="AX72" s="36"/>
      <c r="AY72" s="36"/>
      <c r="AZ72" s="36"/>
      <c r="BA72" s="36">
        <f>+AR72+AS72+AU72+AW72+AY72+AZ72</f>
        <v>0</v>
      </c>
      <c r="BB72" s="32">
        <v>0</v>
      </c>
      <c r="BC72" s="50"/>
      <c r="BD72" s="50"/>
      <c r="BE72" s="32"/>
      <c r="BF72" s="50"/>
    </row>
    <row r="73" spans="1:58" ht="12.95" customHeight="1">
      <c r="A73" s="39"/>
      <c r="B73" s="40" t="s">
        <v>610</v>
      </c>
      <c r="C73" s="416">
        <f>(M73*E73*O73*Q73)/100000000</f>
        <v>43.6932288</v>
      </c>
      <c r="D73" s="40" t="s">
        <v>276</v>
      </c>
      <c r="E73" s="41">
        <v>16</v>
      </c>
      <c r="F73" s="41">
        <v>1</v>
      </c>
      <c r="G73" s="459">
        <v>1110</v>
      </c>
      <c r="H73" s="43">
        <f>+N73</f>
        <v>0.25</v>
      </c>
      <c r="I73" s="44">
        <v>0.88</v>
      </c>
      <c r="J73" s="82">
        <f>E73*G73*(1-H73)*1440/1000000*2.87</f>
        <v>55.048896000000006</v>
      </c>
      <c r="K73" s="82">
        <f>(IF(G73&lt;L73,L73,G73)*(1-IF(H73&lt;N73,H73,N73))*E73*O73*Q73)/100000000</f>
        <v>43.6932288</v>
      </c>
      <c r="L73" s="34">
        <v>1180</v>
      </c>
      <c r="M73" s="34">
        <f>+L73-L73*0.25</f>
        <v>885</v>
      </c>
      <c r="N73" s="45">
        <f>1-(M73/L73)</f>
        <v>0.25</v>
      </c>
      <c r="O73" s="46">
        <f>+'Trim Rwd'!H49</f>
        <v>276</v>
      </c>
      <c r="P73" s="47">
        <f>O73*(Q73-R73-S73)</f>
        <v>300840</v>
      </c>
      <c r="Q73" s="46">
        <v>1118</v>
      </c>
      <c r="R73" s="384">
        <v>0</v>
      </c>
      <c r="S73" s="384">
        <v>28</v>
      </c>
      <c r="T73" s="36">
        <f>E73*M73*O73*Q73/100000000</f>
        <v>43.6932288</v>
      </c>
      <c r="U73" s="36">
        <f>E73*M73*O73*(Q73-R73-S73)/100000000</f>
        <v>42.598944000000003</v>
      </c>
      <c r="V73" s="36">
        <f>E73*G73*(1-N73)*O73/100*(R73+S73)/1000000</f>
        <v>1.0293695999999999</v>
      </c>
      <c r="W73" s="36">
        <f>+'15'!K16/1000</f>
        <v>34.142000000000003</v>
      </c>
      <c r="X73" s="37"/>
      <c r="Y73" s="208"/>
      <c r="Z73" s="615"/>
      <c r="AA73" s="36"/>
      <c r="AB73" s="36"/>
      <c r="AC73" s="36">
        <f>K73-T73</f>
        <v>0</v>
      </c>
      <c r="AD73" s="36">
        <f>+AM73+BA73</f>
        <v>2</v>
      </c>
      <c r="AE73" s="225" t="s">
        <v>419</v>
      </c>
      <c r="AF73" s="36"/>
      <c r="AG73" s="36">
        <v>2</v>
      </c>
      <c r="AH73" s="36"/>
      <c r="AI73" s="461"/>
      <c r="AJ73" s="36"/>
      <c r="AK73" s="36"/>
      <c r="AL73" s="36"/>
      <c r="AM73" s="36">
        <f>SUM(AF73:AL73)+AT73+AV73+AX73</f>
        <v>2</v>
      </c>
      <c r="AN73" s="83"/>
      <c r="AO73" s="36"/>
      <c r="AP73" s="36"/>
      <c r="AQ73" s="36"/>
      <c r="AR73" s="36">
        <f>SUM(AN73:AQ73)</f>
        <v>0</v>
      </c>
      <c r="AS73" s="36"/>
      <c r="AT73" s="36"/>
      <c r="AU73" s="36"/>
      <c r="AV73" s="36"/>
      <c r="AW73" s="36"/>
      <c r="AX73" s="36"/>
      <c r="AY73" s="36"/>
      <c r="AZ73" s="36"/>
      <c r="BA73" s="36">
        <f>+AR73+AS73+AU73+AW73+AY73+AZ73</f>
        <v>0</v>
      </c>
      <c r="BB73" s="49"/>
      <c r="BC73" s="50">
        <v>1</v>
      </c>
      <c r="BD73" s="50"/>
      <c r="BE73" s="49"/>
      <c r="BF73" s="50"/>
    </row>
    <row r="74" spans="1:58" ht="12.95" customHeight="1">
      <c r="A74" s="39"/>
      <c r="B74" s="40"/>
      <c r="C74" s="416"/>
      <c r="D74" s="40"/>
      <c r="E74" s="41"/>
      <c r="F74" s="41"/>
      <c r="G74" s="459"/>
      <c r="H74" s="43"/>
      <c r="I74" s="44"/>
      <c r="J74" s="82"/>
      <c r="K74" s="82"/>
      <c r="L74" s="34"/>
      <c r="M74" s="34"/>
      <c r="N74" s="45"/>
      <c r="O74" s="46"/>
      <c r="P74" s="47"/>
      <c r="Q74" s="46"/>
      <c r="R74" s="384"/>
      <c r="S74" s="384"/>
      <c r="T74" s="36"/>
      <c r="U74" s="36"/>
      <c r="V74" s="36"/>
      <c r="W74" s="36"/>
      <c r="X74" s="37"/>
      <c r="Y74" s="208"/>
      <c r="Z74" s="615"/>
      <c r="AA74" s="36"/>
      <c r="AB74" s="36"/>
      <c r="AC74" s="36"/>
      <c r="AD74" s="36">
        <f>+AM74+BA74</f>
        <v>28</v>
      </c>
      <c r="AE74" s="225" t="s">
        <v>629</v>
      </c>
      <c r="AF74" s="32"/>
      <c r="AG74" s="32"/>
      <c r="AH74" s="32">
        <v>28</v>
      </c>
      <c r="AJ74" s="36"/>
      <c r="AK74" s="36"/>
      <c r="AL74" s="36"/>
      <c r="AM74" s="36">
        <f>SUM(AF74:AL74)+AT74+AV74+AX74</f>
        <v>28</v>
      </c>
      <c r="AN74" s="36"/>
      <c r="AO74" s="36"/>
      <c r="AP74" s="36"/>
      <c r="AQ74" s="36"/>
      <c r="AR74" s="36">
        <f>SUM(AN74:AQ74)</f>
        <v>0</v>
      </c>
      <c r="AS74" s="36"/>
      <c r="AT74" s="36"/>
      <c r="AU74" s="36"/>
      <c r="AV74" s="36"/>
      <c r="AW74" s="36"/>
      <c r="AX74" s="36"/>
      <c r="AY74" s="36"/>
      <c r="AZ74" s="36"/>
      <c r="BA74" s="36">
        <f>+AR74+AS74+AU74+AW74+AY74+AZ74</f>
        <v>0</v>
      </c>
      <c r="BB74" s="32"/>
      <c r="BC74" s="52"/>
      <c r="BD74" s="52"/>
      <c r="BE74" s="32"/>
      <c r="BF74" s="52"/>
    </row>
    <row r="75" spans="1:58" ht="12.95" customHeight="1">
      <c r="A75" s="39"/>
      <c r="B75" s="40"/>
      <c r="C75" s="416"/>
      <c r="D75" s="40"/>
      <c r="E75" s="41"/>
      <c r="F75" s="41"/>
      <c r="G75" s="459"/>
      <c r="H75" s="534"/>
      <c r="I75" s="44"/>
      <c r="J75" s="82"/>
      <c r="K75" s="82"/>
      <c r="L75" s="34"/>
      <c r="M75" s="34"/>
      <c r="N75" s="45"/>
      <c r="O75" s="46"/>
      <c r="P75" s="47"/>
      <c r="Q75" s="46"/>
      <c r="R75" s="384"/>
      <c r="S75" s="384"/>
      <c r="T75" s="36"/>
      <c r="U75" s="36"/>
      <c r="V75" s="36"/>
      <c r="W75" s="36"/>
      <c r="X75" s="381"/>
      <c r="Y75" s="36"/>
      <c r="Z75" s="615"/>
      <c r="AA75" s="48"/>
      <c r="AB75" s="48"/>
      <c r="AC75" s="36"/>
      <c r="AD75" s="36"/>
      <c r="AE75" s="225"/>
      <c r="AF75" s="36"/>
      <c r="AG75" s="36"/>
      <c r="AH75" s="36"/>
      <c r="AI75" s="461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2"/>
      <c r="BC75" s="50"/>
      <c r="BD75" s="50"/>
      <c r="BE75" s="50"/>
      <c r="BF75" s="50"/>
    </row>
    <row r="76" spans="1:58" ht="12.95" customHeight="1">
      <c r="A76" s="39">
        <v>46128</v>
      </c>
      <c r="B76" s="40" t="s">
        <v>610</v>
      </c>
      <c r="C76" s="416">
        <f>(M76*E76*O76*Q76)/100000000</f>
        <v>11.333664000000001</v>
      </c>
      <c r="D76" s="40" t="s">
        <v>276</v>
      </c>
      <c r="E76" s="41">
        <v>16</v>
      </c>
      <c r="F76" s="41">
        <v>1</v>
      </c>
      <c r="G76" s="459">
        <v>1110</v>
      </c>
      <c r="H76" s="43">
        <f>+N76</f>
        <v>0.25</v>
      </c>
      <c r="I76" s="44">
        <v>0.88</v>
      </c>
      <c r="J76" s="82">
        <f>E76*G76*(1-H76)*1440/1000000*2.87</f>
        <v>55.048896000000006</v>
      </c>
      <c r="K76" s="82">
        <f>(IF(G76&lt;L76,L76,G76)*(1-IF(H76&lt;N76,H76,N76))*E76*O76*Q76)/100000000</f>
        <v>11.333664000000001</v>
      </c>
      <c r="L76" s="34">
        <v>1180</v>
      </c>
      <c r="M76" s="34">
        <f>+L76-L76*0.25</f>
        <v>885</v>
      </c>
      <c r="N76" s="45">
        <f>1-(M76/L76)</f>
        <v>0.25</v>
      </c>
      <c r="O76" s="46">
        <f>+'Trim Rwd'!H51</f>
        <v>276</v>
      </c>
      <c r="P76" s="47">
        <f>O76*(Q76-R76-S76)</f>
        <v>79212</v>
      </c>
      <c r="Q76" s="46">
        <v>290</v>
      </c>
      <c r="R76" s="384">
        <v>0</v>
      </c>
      <c r="S76" s="384">
        <v>3</v>
      </c>
      <c r="T76" s="36">
        <f>E76*M76*O76*Q76/100000000</f>
        <v>11.333664000000001</v>
      </c>
      <c r="U76" s="36">
        <f>E76*M76*O76*(Q76-R76-S76)/100000000</f>
        <v>11.216419200000001</v>
      </c>
      <c r="V76" s="36">
        <f>E76*G76*(1-N76)*O76/100*(R76+S76)/1000000</f>
        <v>0.11028959999999999</v>
      </c>
      <c r="W76" s="36">
        <f>+'16'!K16/1000</f>
        <v>18.672999999999998</v>
      </c>
      <c r="X76" s="381">
        <f>SUM(W76:W79)/SUM(K76:K79)</f>
        <v>0.76458268864379975</v>
      </c>
      <c r="Y76" s="36">
        <v>0</v>
      </c>
      <c r="Z76" s="615">
        <v>0</v>
      </c>
      <c r="AA76" s="48">
        <f>SUM(U76:U79)-SUM(W76:W79)-SUM(Z76:Z79)-SUM(Y76:Y79)</f>
        <v>9.7561630300000015</v>
      </c>
      <c r="AB76" s="36">
        <f>(SUM(K76:K79)-SUM(W76:W79)-SUM(Y76:Y79)-SUM(Z76:Z79)-SUM(AC76:AC79)-SUM(V76:V79))-AA76</f>
        <v>6.4889999999984127E-4</v>
      </c>
      <c r="AC76" s="36">
        <f>K76-T76</f>
        <v>0</v>
      </c>
      <c r="AD76" s="36">
        <f>+AM76+BA76</f>
        <v>10</v>
      </c>
      <c r="AE76" s="225" t="s">
        <v>564</v>
      </c>
      <c r="AF76" s="36">
        <v>10</v>
      </c>
      <c r="AG76" s="36"/>
      <c r="AH76" s="36"/>
      <c r="AI76" s="461"/>
      <c r="AJ76" s="36"/>
      <c r="AK76" s="36"/>
      <c r="AL76" s="36"/>
      <c r="AM76" s="36">
        <f>SUM(AF76:AL76)+AT76+AV76+AX76</f>
        <v>10</v>
      </c>
      <c r="AN76" s="83"/>
      <c r="AO76" s="36"/>
      <c r="AP76" s="36"/>
      <c r="AQ76" s="36"/>
      <c r="AR76" s="36">
        <f>SUM(AN76:AQ76)</f>
        <v>0</v>
      </c>
      <c r="AS76" s="36"/>
      <c r="AT76" s="36"/>
      <c r="AU76" s="36"/>
      <c r="AV76" s="36"/>
      <c r="AW76" s="36"/>
      <c r="AX76" s="36"/>
      <c r="AY76" s="36"/>
      <c r="AZ76" s="36"/>
      <c r="BA76" s="36">
        <f>+AR76+AS76+AU76+AW76+AY76+AZ76</f>
        <v>0</v>
      </c>
      <c r="BB76" s="49">
        <v>2</v>
      </c>
      <c r="BC76" s="50"/>
      <c r="BD76" s="50"/>
      <c r="BE76" s="50"/>
      <c r="BF76" s="50"/>
    </row>
    <row r="77" spans="1:58" ht="12.95" customHeight="1">
      <c r="A77" s="39"/>
      <c r="B77" s="40" t="s">
        <v>610</v>
      </c>
      <c r="C77" s="416">
        <f>(M77*E77*O77*Q77)/100000000</f>
        <v>9.9856800000000003</v>
      </c>
      <c r="D77" s="40" t="s">
        <v>276</v>
      </c>
      <c r="E77" s="41">
        <v>15</v>
      </c>
      <c r="F77" s="41">
        <v>1</v>
      </c>
      <c r="G77" s="459">
        <v>1200</v>
      </c>
      <c r="H77" s="43">
        <f>+N77</f>
        <v>0.25</v>
      </c>
      <c r="I77" s="44">
        <v>0.88</v>
      </c>
      <c r="J77" s="82">
        <f>E77*G77*(1-H77)*1440/1000000*2.87</f>
        <v>55.792800000000007</v>
      </c>
      <c r="K77" s="82">
        <f>(IF(G77&lt;L77,L77,G77)*(1-IF(H77&lt;N77,H77,N77))*E77*O77*Q77)/100000000</f>
        <v>9.9856800000000003</v>
      </c>
      <c r="L77" s="34">
        <v>1200</v>
      </c>
      <c r="M77" s="34">
        <f>+L77-L77*0.25</f>
        <v>900</v>
      </c>
      <c r="N77" s="45">
        <f>1-(M77/L77)</f>
        <v>0.25</v>
      </c>
      <c r="O77" s="46">
        <f>+'Trim Rwd'!H52</f>
        <v>276</v>
      </c>
      <c r="P77" s="47">
        <f>O77*(Q77-R77-S77)</f>
        <v>73140</v>
      </c>
      <c r="Q77" s="46">
        <v>268</v>
      </c>
      <c r="R77" s="384">
        <v>0</v>
      </c>
      <c r="S77" s="384">
        <v>3</v>
      </c>
      <c r="T77" s="36">
        <f>E77*M77*O77*Q77/100000000</f>
        <v>9.9856800000000003</v>
      </c>
      <c r="U77" s="36">
        <f>E77*M77*O77*(Q77-R77-S77)/100000000</f>
        <v>9.8739000000000008</v>
      </c>
      <c r="V77" s="36">
        <f>E77*G77*(1-N77)*O77/100*(R77+S77)/1000000</f>
        <v>0.11178</v>
      </c>
      <c r="W77" s="36">
        <f>+'16'!K18/1000</f>
        <v>9.9830000000000005</v>
      </c>
      <c r="X77" s="37"/>
      <c r="Y77" s="622"/>
      <c r="Z77" s="615">
        <f>+'16'!D17/1000</f>
        <v>0.56999999999999995</v>
      </c>
      <c r="AA77" s="36"/>
      <c r="AB77" s="36"/>
      <c r="AC77" s="36">
        <f>K77-T77</f>
        <v>0</v>
      </c>
      <c r="AD77" s="36">
        <f>+AM77+BA77</f>
        <v>2</v>
      </c>
      <c r="AE77" s="225" t="s">
        <v>420</v>
      </c>
      <c r="AF77" s="32"/>
      <c r="AG77" s="32">
        <v>2</v>
      </c>
      <c r="AH77" s="32"/>
      <c r="AJ77" s="36"/>
      <c r="AK77" s="36"/>
      <c r="AL77" s="36"/>
      <c r="AM77" s="36">
        <f>SUM(AF77:AL77)+AT77+AV77+AX77</f>
        <v>2</v>
      </c>
      <c r="AN77" s="36"/>
      <c r="AO77" s="36"/>
      <c r="AP77" s="36"/>
      <c r="AQ77" s="36"/>
      <c r="AR77" s="36">
        <f>SUM(AN77:AQ77)</f>
        <v>0</v>
      </c>
      <c r="AS77" s="36"/>
      <c r="AT77" s="36"/>
      <c r="AU77" s="36"/>
      <c r="AV77" s="36"/>
      <c r="AW77" s="36"/>
      <c r="AX77" s="36"/>
      <c r="AY77" s="36"/>
      <c r="AZ77" s="36"/>
      <c r="BA77" s="36">
        <f>+AR77+AS77+AU77+AW77+AY77+AZ77</f>
        <v>0</v>
      </c>
      <c r="BB77" s="32"/>
      <c r="BC77" s="52">
        <v>2</v>
      </c>
      <c r="BD77" s="50"/>
      <c r="BE77" s="50"/>
      <c r="BF77" s="50"/>
    </row>
    <row r="78" spans="1:58" ht="12.95" customHeight="1">
      <c r="A78" s="39"/>
      <c r="B78" s="40" t="s">
        <v>649</v>
      </c>
      <c r="C78" s="416">
        <f>(M78*E78*O78*Q78)/100000000</f>
        <v>31.101725654999999</v>
      </c>
      <c r="D78" s="40" t="s">
        <v>276</v>
      </c>
      <c r="E78" s="41">
        <v>13</v>
      </c>
      <c r="F78" s="41">
        <v>1</v>
      </c>
      <c r="G78" s="459">
        <v>1350</v>
      </c>
      <c r="H78" s="43">
        <f>+N78</f>
        <v>0.25</v>
      </c>
      <c r="I78" s="44">
        <v>0.88</v>
      </c>
      <c r="J78" s="82">
        <f>E78*G78*(1-H78)*1440/1000000*2.87</f>
        <v>54.397980000000004</v>
      </c>
      <c r="K78" s="82">
        <f>(IF(G78&lt;L78,L78,G78)*(1-IF(H78&lt;N78,H78,N78))*E78*O78*Q78)/100000000</f>
        <v>31.287130874999999</v>
      </c>
      <c r="L78" s="34">
        <v>1342</v>
      </c>
      <c r="M78" s="34">
        <f>+L78-L78*0.25</f>
        <v>1006.5</v>
      </c>
      <c r="N78" s="45">
        <f>1-(M78/L78)</f>
        <v>0.25</v>
      </c>
      <c r="O78" s="46">
        <f>+'Trim Rwd'!H53</f>
        <v>269.5</v>
      </c>
      <c r="P78" s="47">
        <f>O78*(Q78-R78-S78)</f>
        <v>229614</v>
      </c>
      <c r="Q78" s="46">
        <v>882</v>
      </c>
      <c r="R78" s="384">
        <v>0</v>
      </c>
      <c r="S78" s="384">
        <v>30</v>
      </c>
      <c r="T78" s="36">
        <f>E78*M78*O78*Q78/100000000</f>
        <v>31.101725654999999</v>
      </c>
      <c r="U78" s="36">
        <f>E78*M78*O78*(Q78-R78-S78)/100000000</f>
        <v>30.04384383</v>
      </c>
      <c r="V78" s="36">
        <f>E78*G78*(1-N78)*O78/100*(R78+S78)/1000000</f>
        <v>1.064188125</v>
      </c>
      <c r="W78" s="36">
        <f>+'16'!K9/1000</f>
        <v>11.566000000000001</v>
      </c>
      <c r="X78" s="37"/>
      <c r="Y78" s="622"/>
      <c r="Z78" s="615">
        <f>+'16'!D25/1000</f>
        <v>0.58599999999999997</v>
      </c>
      <c r="AA78" s="36"/>
      <c r="AB78" s="48"/>
      <c r="AC78" s="36">
        <f>K78-T78</f>
        <v>0.18540521999999982</v>
      </c>
      <c r="AD78" s="36">
        <f>+AM78+BA78</f>
        <v>24</v>
      </c>
      <c r="AE78" s="225" t="s">
        <v>611</v>
      </c>
      <c r="AF78" s="36"/>
      <c r="AG78" s="36"/>
      <c r="AH78" s="36">
        <v>24</v>
      </c>
      <c r="AI78" s="36"/>
      <c r="AJ78" s="36"/>
      <c r="AK78" s="36"/>
      <c r="AL78" s="36"/>
      <c r="AM78" s="36">
        <f>SUM(AF78:AL78)+AT78+AV78+AX78</f>
        <v>24</v>
      </c>
      <c r="AN78" s="36"/>
      <c r="AO78" s="36"/>
      <c r="AP78" s="36"/>
      <c r="AQ78" s="36"/>
      <c r="AR78" s="36">
        <f>SUM(AN78:AQ78)</f>
        <v>0</v>
      </c>
      <c r="AS78" s="36"/>
      <c r="AT78" s="36"/>
      <c r="AU78" s="36"/>
      <c r="AV78" s="36"/>
      <c r="AW78" s="36"/>
      <c r="AX78" s="36"/>
      <c r="AY78" s="36"/>
      <c r="AZ78" s="36"/>
      <c r="BA78" s="36">
        <f>+AR78+AS78+AU78+AW78+AY78+AZ78</f>
        <v>0</v>
      </c>
      <c r="BB78" s="32"/>
      <c r="BC78" s="50"/>
      <c r="BD78" s="50"/>
      <c r="BE78" s="50"/>
      <c r="BF78" s="50"/>
    </row>
    <row r="79" spans="1:58" ht="12.95" customHeight="1">
      <c r="A79" s="39"/>
      <c r="B79" s="40"/>
      <c r="C79" s="416"/>
      <c r="D79" s="40"/>
      <c r="E79" s="41"/>
      <c r="F79" s="41"/>
      <c r="G79" s="459"/>
      <c r="H79" s="534"/>
      <c r="I79" s="44"/>
      <c r="J79" s="82"/>
      <c r="K79" s="82"/>
      <c r="L79" s="34"/>
      <c r="M79" s="34"/>
      <c r="N79" s="45"/>
      <c r="O79" s="46"/>
      <c r="P79" s="47"/>
      <c r="Q79" s="46"/>
      <c r="R79" s="384"/>
      <c r="S79" s="384"/>
      <c r="T79" s="36"/>
      <c r="U79" s="36"/>
      <c r="V79" s="36"/>
      <c r="W79" s="36"/>
      <c r="X79" s="381"/>
      <c r="Y79" s="36"/>
      <c r="Z79" s="615"/>
      <c r="AA79" s="48"/>
      <c r="AB79" s="36"/>
      <c r="AC79" s="36"/>
      <c r="AD79" s="36"/>
      <c r="AE79" s="225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2"/>
      <c r="BC79" s="50"/>
      <c r="BD79" s="50"/>
      <c r="BE79" s="50"/>
      <c r="BF79" s="50"/>
    </row>
    <row r="80" spans="1:58" ht="12.95" customHeight="1">
      <c r="A80" s="39">
        <v>46129</v>
      </c>
      <c r="B80" s="40" t="s">
        <v>649</v>
      </c>
      <c r="C80" s="416">
        <f>(M80*E80*O80*Q80)/100000000</f>
        <v>51.246877499999997</v>
      </c>
      <c r="D80" s="40" t="s">
        <v>276</v>
      </c>
      <c r="E80" s="41">
        <v>13</v>
      </c>
      <c r="F80" s="41">
        <v>1</v>
      </c>
      <c r="G80" s="459">
        <v>1350</v>
      </c>
      <c r="H80" s="43">
        <f>+N80</f>
        <v>0.25</v>
      </c>
      <c r="I80" s="44">
        <v>0.88</v>
      </c>
      <c r="J80" s="82">
        <f>E80*G80*(1-H80)*1440/1000000*2.87</f>
        <v>54.397980000000004</v>
      </c>
      <c r="K80" s="82">
        <f>(IF(G80&lt;L80,L80,G80)*(1-IF(H80&lt;N80,H80,N80))*E80*O80*Q80)/100000000</f>
        <v>51.246877499999997</v>
      </c>
      <c r="L80" s="34">
        <v>1350</v>
      </c>
      <c r="M80" s="34">
        <v>1012.5</v>
      </c>
      <c r="N80" s="45">
        <f>1-(M80/L80)</f>
        <v>0.25</v>
      </c>
      <c r="O80" s="46">
        <f>+'Trim Rwd'!H55</f>
        <v>270.375</v>
      </c>
      <c r="P80" s="47">
        <f>O80*(Q80-R80-S80)</f>
        <v>377173.125</v>
      </c>
      <c r="Q80" s="46">
        <v>1440</v>
      </c>
      <c r="R80" s="384">
        <v>0</v>
      </c>
      <c r="S80" s="384">
        <v>45</v>
      </c>
      <c r="T80" s="36">
        <f>E80*M80*O80*Q80/100000000</f>
        <v>51.246877499999997</v>
      </c>
      <c r="U80" s="36">
        <f>E80*M80*O80*(Q80-R80-S80)/100000000</f>
        <v>49.645412578124997</v>
      </c>
      <c r="V80" s="36">
        <f>E80*G80*(1-N80)*O80/100*(R80+S80)/1000000</f>
        <v>1.6014649218749999</v>
      </c>
      <c r="W80" s="36">
        <f>+'17'!K9/1000</f>
        <v>41.671999999999997</v>
      </c>
      <c r="X80" s="381">
        <f>SUM(W80:W83)/SUM(K80:K83)</f>
        <v>0.8131617384883596</v>
      </c>
      <c r="Y80" s="36">
        <v>0</v>
      </c>
      <c r="Z80" s="615">
        <f>+'17'!D34/1000</f>
        <v>3.2959999999999998</v>
      </c>
      <c r="AA80" s="48">
        <f>SUM(U80:U83)-SUM(W80:W83)-SUM(Z80:Z83)-SUM(Y80:Y83)</f>
        <v>4.6774125781250007</v>
      </c>
      <c r="AB80" s="48">
        <f>(SUM(K80:K83)-SUM(W80:W83)-SUM(Y80:Y83)-SUM(Z80:Z83)-SUM(AC80:AC83)-SUM(V80:V83))-AA80</f>
        <v>0</v>
      </c>
      <c r="AC80" s="36">
        <f>K80-T80</f>
        <v>0</v>
      </c>
      <c r="AD80" s="36">
        <f>+AM80+BA80</f>
        <v>9</v>
      </c>
      <c r="AE80" s="225" t="s">
        <v>585</v>
      </c>
      <c r="AF80" s="36">
        <v>9</v>
      </c>
      <c r="AG80" s="36"/>
      <c r="AH80" s="36"/>
      <c r="AI80" s="461"/>
      <c r="AJ80" s="36"/>
      <c r="AK80" s="36"/>
      <c r="AL80" s="36"/>
      <c r="AM80" s="36">
        <f>SUM(AF80:AL80)+AT80+AV80+AX80</f>
        <v>9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>
        <f>+AR80+AS80+AU80+AW80+AY80+AZ80</f>
        <v>0</v>
      </c>
      <c r="BB80" s="32">
        <v>3</v>
      </c>
      <c r="BC80" s="50"/>
      <c r="BD80" s="50"/>
      <c r="BE80" s="32"/>
      <c r="BF80" s="50"/>
    </row>
    <row r="81" spans="1:58" ht="12.95" customHeight="1">
      <c r="A81" s="39"/>
      <c r="B81" s="40"/>
      <c r="C81" s="416"/>
      <c r="D81" s="40"/>
      <c r="E81" s="41"/>
      <c r="F81" s="41"/>
      <c r="G81" s="459"/>
      <c r="H81" s="43"/>
      <c r="I81" s="44"/>
      <c r="J81" s="82"/>
      <c r="K81" s="82"/>
      <c r="L81" s="34"/>
      <c r="M81" s="34"/>
      <c r="N81" s="45"/>
      <c r="O81" s="46"/>
      <c r="P81" s="47"/>
      <c r="Q81" s="46"/>
      <c r="R81" s="384"/>
      <c r="S81" s="384"/>
      <c r="T81" s="36"/>
      <c r="U81" s="36"/>
      <c r="V81" s="36"/>
      <c r="W81" s="36"/>
      <c r="X81" s="37"/>
      <c r="Y81" s="208"/>
      <c r="Z81" s="615"/>
      <c r="AA81" s="36"/>
      <c r="AB81" s="36"/>
      <c r="AC81" s="36"/>
      <c r="AD81" s="36">
        <f>+AM81+BA81</f>
        <v>6</v>
      </c>
      <c r="AE81" s="225" t="s">
        <v>661</v>
      </c>
      <c r="AF81" s="36"/>
      <c r="AG81" s="36">
        <v>6</v>
      </c>
      <c r="AH81" s="36"/>
      <c r="AI81" s="461"/>
      <c r="AJ81" s="36"/>
      <c r="AK81" s="36"/>
      <c r="AL81" s="36"/>
      <c r="AM81" s="36">
        <f>SUM(AF81:AL81)+AT81+AV81+AX81</f>
        <v>6</v>
      </c>
      <c r="AN81" s="83"/>
      <c r="AO81" s="36"/>
      <c r="AP81" s="36"/>
      <c r="AQ81" s="36"/>
      <c r="AR81" s="36">
        <f>SUM(AN81:AQ81)</f>
        <v>0</v>
      </c>
      <c r="AS81" s="36"/>
      <c r="AT81" s="36"/>
      <c r="AU81" s="36"/>
      <c r="AV81" s="36"/>
      <c r="AW81" s="36"/>
      <c r="AX81" s="36"/>
      <c r="AY81" s="36"/>
      <c r="AZ81" s="36"/>
      <c r="BA81" s="36">
        <f>+AR81+AS81+AU81+AW81+AY81+AZ81</f>
        <v>0</v>
      </c>
      <c r="BB81" s="49"/>
      <c r="BC81" s="50">
        <v>4</v>
      </c>
      <c r="BD81" s="50"/>
      <c r="BE81" s="49"/>
      <c r="BF81" s="50"/>
    </row>
    <row r="82" spans="1:58" ht="12.95" customHeight="1">
      <c r="A82" s="39"/>
      <c r="B82" s="40"/>
      <c r="C82" s="416"/>
      <c r="D82" s="40"/>
      <c r="E82" s="41"/>
      <c r="F82" s="41"/>
      <c r="G82" s="459"/>
      <c r="H82" s="43"/>
      <c r="I82" s="44"/>
      <c r="J82" s="82"/>
      <c r="K82" s="82"/>
      <c r="L82" s="34"/>
      <c r="M82" s="34"/>
      <c r="N82" s="45"/>
      <c r="O82" s="46"/>
      <c r="P82" s="47"/>
      <c r="Q82" s="46"/>
      <c r="R82" s="384"/>
      <c r="S82" s="384"/>
      <c r="T82" s="36"/>
      <c r="U82" s="36"/>
      <c r="V82" s="36"/>
      <c r="W82" s="36"/>
      <c r="X82" s="37"/>
      <c r="Y82" s="208"/>
      <c r="Z82" s="615"/>
      <c r="AA82" s="36"/>
      <c r="AB82" s="36"/>
      <c r="AC82" s="36"/>
      <c r="AD82" s="36">
        <f>+AM82+BA82</f>
        <v>30</v>
      </c>
      <c r="AE82" s="225" t="s">
        <v>421</v>
      </c>
      <c r="AF82" s="32"/>
      <c r="AG82" s="32"/>
      <c r="AH82" s="32">
        <v>30</v>
      </c>
      <c r="AJ82" s="36"/>
      <c r="AK82" s="36"/>
      <c r="AL82" s="36"/>
      <c r="AM82" s="36">
        <f>SUM(AF82:AL82)+AT82+AV82+AX82</f>
        <v>30</v>
      </c>
      <c r="AN82" s="36"/>
      <c r="AO82" s="36"/>
      <c r="AP82" s="36"/>
      <c r="AQ82" s="36"/>
      <c r="AR82" s="36">
        <f>SUM(AN82:AQ82)</f>
        <v>0</v>
      </c>
      <c r="AS82" s="36"/>
      <c r="AT82" s="36"/>
      <c r="AU82" s="36"/>
      <c r="AV82" s="36"/>
      <c r="AW82" s="36"/>
      <c r="AX82" s="36"/>
      <c r="AY82" s="36"/>
      <c r="AZ82" s="36"/>
      <c r="BA82" s="36">
        <f>+AR82+AS82+AU82+AW82+AY82+AZ82</f>
        <v>0</v>
      </c>
      <c r="BB82" s="32"/>
      <c r="BC82" s="52"/>
      <c r="BD82" s="52"/>
      <c r="BE82" s="32"/>
      <c r="BF82" s="52"/>
    </row>
    <row r="83" spans="1:58" ht="12.95" customHeight="1">
      <c r="A83" s="39"/>
      <c r="B83" s="40"/>
      <c r="C83" s="416"/>
      <c r="D83" s="40"/>
      <c r="E83" s="41"/>
      <c r="F83" s="41"/>
      <c r="G83" s="459"/>
      <c r="H83" s="534"/>
      <c r="I83" s="44"/>
      <c r="J83" s="82"/>
      <c r="K83" s="82"/>
      <c r="L83" s="34"/>
      <c r="M83" s="34"/>
      <c r="N83" s="45"/>
      <c r="O83" s="46"/>
      <c r="P83" s="47"/>
      <c r="Q83" s="46"/>
      <c r="R83" s="384"/>
      <c r="S83" s="384"/>
      <c r="T83" s="36"/>
      <c r="U83" s="36"/>
      <c r="V83" s="36"/>
      <c r="W83" s="36"/>
      <c r="X83" s="381"/>
      <c r="Y83" s="36"/>
      <c r="Z83" s="615"/>
      <c r="AA83" s="48"/>
      <c r="AB83" s="48"/>
      <c r="AC83" s="36"/>
      <c r="AD83" s="36"/>
      <c r="AE83" s="225"/>
      <c r="AF83" s="36"/>
      <c r="AG83" s="36"/>
      <c r="AH83" s="36"/>
      <c r="AI83" s="461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2"/>
      <c r="BC83" s="50"/>
      <c r="BD83" s="50"/>
      <c r="BE83" s="50"/>
      <c r="BF83" s="50"/>
    </row>
    <row r="84" spans="1:58" ht="12.95" customHeight="1">
      <c r="A84" s="39">
        <v>46130</v>
      </c>
      <c r="B84" s="40" t="s">
        <v>649</v>
      </c>
      <c r="C84" s="416">
        <f>(M84*E84*O84*Q84)/100000000</f>
        <v>51.081029999999998</v>
      </c>
      <c r="D84" s="40" t="s">
        <v>276</v>
      </c>
      <c r="E84" s="41">
        <v>13</v>
      </c>
      <c r="F84" s="41">
        <v>1</v>
      </c>
      <c r="G84" s="459">
        <v>1350</v>
      </c>
      <c r="H84" s="534">
        <f>+N84</f>
        <v>0.25</v>
      </c>
      <c r="I84" s="44">
        <v>0.88</v>
      </c>
      <c r="J84" s="82">
        <f>E84*G84*(1-H84)*1440/1000000*2.87</f>
        <v>54.397980000000004</v>
      </c>
      <c r="K84" s="82">
        <f>(IF(G84&lt;L84,L84,G84)*(1-IF(H84&lt;N84,H84,N84))*E84*O84*Q84)/100000000</f>
        <v>51.081029999999998</v>
      </c>
      <c r="L84" s="34">
        <v>1350</v>
      </c>
      <c r="M84" s="34">
        <v>1012.5</v>
      </c>
      <c r="N84" s="45">
        <f>1-(M84/L84)</f>
        <v>0.25</v>
      </c>
      <c r="O84" s="46">
        <f>+'Trim Rwd'!H58</f>
        <v>269.5</v>
      </c>
      <c r="P84" s="47">
        <f>O84*(Q84-R84-S84)</f>
        <v>381881.5</v>
      </c>
      <c r="Q84" s="46">
        <v>1440</v>
      </c>
      <c r="R84" s="384">
        <v>0</v>
      </c>
      <c r="S84" s="384">
        <v>23</v>
      </c>
      <c r="T84" s="36">
        <f>E84*M84*O84*Q84/100000000</f>
        <v>51.081029999999998</v>
      </c>
      <c r="U84" s="36">
        <f>E84*M84*O84*(Q84-R84-S84)/100000000</f>
        <v>50.265152437499999</v>
      </c>
      <c r="V84" s="36">
        <f>E84*G84*(1-N84)*O84/100*(R84+S84)/1000000</f>
        <v>0.81587756249999999</v>
      </c>
      <c r="W84" s="36">
        <f>+'18'!K34/1000</f>
        <v>51.387999999999998</v>
      </c>
      <c r="X84" s="381">
        <f>SUM(W84:W87)/SUM(K84:K87)</f>
        <v>1.0060094716179373</v>
      </c>
      <c r="Y84" s="36">
        <v>0</v>
      </c>
      <c r="Z84" s="615">
        <f>+'18'!D34/1000</f>
        <v>0.3</v>
      </c>
      <c r="AA84" s="48">
        <f>SUM(U84:U87)-SUM(W84:W87)-SUM(Z84:Z87)-SUM(Y84:Y87)</f>
        <v>-1.4228475624999988</v>
      </c>
      <c r="AB84" s="48">
        <f>(SUM(K84:K87)-SUM(W84:W87)-SUM(Y84:Y87)-SUM(Z84:Z87)-SUM(AC84:AC87)-SUM(V84:V87))-AA84</f>
        <v>0</v>
      </c>
      <c r="AC84" s="36">
        <f>K84-T84</f>
        <v>0</v>
      </c>
      <c r="AD84" s="36">
        <f>+AM84+BA84</f>
        <v>0</v>
      </c>
      <c r="AE84" s="225" t="s">
        <v>385</v>
      </c>
      <c r="AF84" s="36">
        <v>0</v>
      </c>
      <c r="AG84" s="36"/>
      <c r="AH84" s="36"/>
      <c r="AI84" s="461"/>
      <c r="AJ84" s="36"/>
      <c r="AK84" s="36"/>
      <c r="AL84" s="36"/>
      <c r="AM84" s="36">
        <f>SUM(AF84:AL84)+AT84+AV84+AX84</f>
        <v>0</v>
      </c>
      <c r="AN84" s="36"/>
      <c r="AO84" s="36"/>
      <c r="AP84" s="36"/>
      <c r="AQ84" s="36"/>
      <c r="AR84" s="36">
        <f>SUM(AN84:AQ84)</f>
        <v>0</v>
      </c>
      <c r="AS84" s="36"/>
      <c r="AT84" s="36"/>
      <c r="AU84" s="36"/>
      <c r="AV84" s="36"/>
      <c r="AW84" s="36"/>
      <c r="AX84" s="36"/>
      <c r="AY84" s="36"/>
      <c r="AZ84" s="36"/>
      <c r="BA84" s="36">
        <f>+AR84+AS84+AU84+AW84+AY84+AZ84</f>
        <v>0</v>
      </c>
      <c r="BB84" s="32">
        <v>0</v>
      </c>
      <c r="BC84" s="50"/>
      <c r="BD84" s="50"/>
      <c r="BE84" s="50"/>
      <c r="BF84" s="50"/>
    </row>
    <row r="85" spans="1:58" ht="12.95" customHeight="1">
      <c r="A85" s="39"/>
      <c r="B85" s="40"/>
      <c r="C85" s="416"/>
      <c r="D85" s="40"/>
      <c r="E85" s="41"/>
      <c r="F85" s="41"/>
      <c r="G85" s="459"/>
      <c r="H85" s="534"/>
      <c r="I85" s="44"/>
      <c r="J85" s="82"/>
      <c r="K85" s="82"/>
      <c r="L85" s="34"/>
      <c r="M85" s="34"/>
      <c r="N85" s="45"/>
      <c r="O85" s="46"/>
      <c r="P85" s="47"/>
      <c r="Q85" s="46"/>
      <c r="R85" s="384"/>
      <c r="S85" s="384"/>
      <c r="T85" s="36"/>
      <c r="U85" s="36"/>
      <c r="V85" s="36"/>
      <c r="W85" s="36"/>
      <c r="X85" s="37"/>
      <c r="Y85" s="208"/>
      <c r="Z85" s="615"/>
      <c r="AA85" s="36"/>
      <c r="AB85" s="36"/>
      <c r="AC85" s="36"/>
      <c r="AD85" s="36">
        <f>+AM85+BA85</f>
        <v>2</v>
      </c>
      <c r="AE85" s="225" t="s">
        <v>419</v>
      </c>
      <c r="AF85" s="36"/>
      <c r="AG85" s="36">
        <v>2</v>
      </c>
      <c r="AH85" s="36"/>
      <c r="AI85" s="461"/>
      <c r="AJ85" s="36"/>
      <c r="AK85" s="36"/>
      <c r="AL85" s="36"/>
      <c r="AM85" s="36">
        <f>SUM(AF85:AL85)+AT85+AV85+AX85</f>
        <v>2</v>
      </c>
      <c r="AN85" s="83"/>
      <c r="AO85" s="36"/>
      <c r="AP85" s="36"/>
      <c r="AQ85" s="36"/>
      <c r="AR85" s="36">
        <f>SUM(AN85:AQ85)</f>
        <v>0</v>
      </c>
      <c r="AS85" s="36"/>
      <c r="AT85" s="36"/>
      <c r="AU85" s="36"/>
      <c r="AV85" s="36"/>
      <c r="AW85" s="36"/>
      <c r="AX85" s="36"/>
      <c r="AY85" s="36"/>
      <c r="AZ85" s="36"/>
      <c r="BA85" s="36">
        <f>+AR85+AS85+AU85+AW85+AY85+AZ85</f>
        <v>0</v>
      </c>
      <c r="BB85" s="49"/>
      <c r="BC85" s="50">
        <v>1</v>
      </c>
      <c r="BD85" s="52"/>
      <c r="BE85" s="32"/>
      <c r="BF85" s="52"/>
    </row>
    <row r="86" spans="1:58" ht="12.95" customHeight="1">
      <c r="A86" s="39"/>
      <c r="B86" s="40"/>
      <c r="C86" s="416"/>
      <c r="D86" s="40"/>
      <c r="E86" s="41"/>
      <c r="F86" s="41"/>
      <c r="G86" s="42"/>
      <c r="H86" s="534"/>
      <c r="I86" s="44"/>
      <c r="J86" s="82"/>
      <c r="K86" s="82"/>
      <c r="L86" s="34"/>
      <c r="M86" s="34"/>
      <c r="N86" s="45"/>
      <c r="O86" s="46"/>
      <c r="P86" s="47"/>
      <c r="Q86" s="46"/>
      <c r="R86" s="384"/>
      <c r="S86" s="384"/>
      <c r="T86" s="36"/>
      <c r="U86" s="36"/>
      <c r="V86" s="36"/>
      <c r="W86" s="36"/>
      <c r="X86" s="37"/>
      <c r="Y86" s="208"/>
      <c r="Z86" s="615"/>
      <c r="AA86" s="36"/>
      <c r="AB86" s="36"/>
      <c r="AC86" s="36"/>
      <c r="AD86" s="36">
        <f>+AM86+BA86</f>
        <v>21</v>
      </c>
      <c r="AE86" s="225" t="s">
        <v>443</v>
      </c>
      <c r="AF86" s="32"/>
      <c r="AG86" s="32"/>
      <c r="AH86" s="32">
        <v>21</v>
      </c>
      <c r="AJ86" s="36"/>
      <c r="AK86" s="36"/>
      <c r="AL86" s="36"/>
      <c r="AM86" s="36">
        <f>SUM(AF86:AL86)+AT86+AV86+AX86</f>
        <v>21</v>
      </c>
      <c r="AN86" s="36"/>
      <c r="AO86" s="36"/>
      <c r="AP86" s="36"/>
      <c r="AQ86" s="36"/>
      <c r="AR86" s="36">
        <f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>
        <f>+AR86+AS86+AU86+AW86+AY86+AZ86</f>
        <v>0</v>
      </c>
      <c r="BB86" s="32"/>
      <c r="BC86" s="52"/>
      <c r="BD86" s="50"/>
      <c r="BE86" s="50"/>
      <c r="BF86" s="50"/>
    </row>
    <row r="87" spans="1:58" ht="12.95" customHeight="1">
      <c r="A87" s="39"/>
      <c r="B87" s="40"/>
      <c r="C87" s="416"/>
      <c r="D87" s="40"/>
      <c r="E87" s="41"/>
      <c r="F87" s="41"/>
      <c r="G87" s="459"/>
      <c r="H87" s="534"/>
      <c r="I87" s="44"/>
      <c r="J87" s="82"/>
      <c r="K87" s="82"/>
      <c r="L87" s="34"/>
      <c r="M87" s="34"/>
      <c r="N87" s="45"/>
      <c r="O87" s="46"/>
      <c r="P87" s="47"/>
      <c r="Q87" s="46"/>
      <c r="R87" s="384"/>
      <c r="S87" s="384"/>
      <c r="T87" s="36"/>
      <c r="U87" s="36"/>
      <c r="V87" s="36"/>
      <c r="W87" s="36"/>
      <c r="X87" s="381"/>
      <c r="Y87" s="36"/>
      <c r="Z87" s="615"/>
      <c r="AA87" s="48"/>
      <c r="AB87" s="48"/>
      <c r="AC87" s="36"/>
      <c r="AD87" s="36"/>
      <c r="AE87" s="225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2"/>
      <c r="BC87" s="50"/>
      <c r="BD87" s="50"/>
      <c r="BE87" s="50"/>
      <c r="BF87" s="50"/>
    </row>
    <row r="88" spans="1:58" ht="12.95" customHeight="1">
      <c r="A88" s="39">
        <v>46131</v>
      </c>
      <c r="B88" s="40" t="s">
        <v>649</v>
      </c>
      <c r="C88" s="416">
        <f>(M88*E88*O88*Q88)/100000000</f>
        <v>51.791804999999997</v>
      </c>
      <c r="D88" s="40" t="s">
        <v>276</v>
      </c>
      <c r="E88" s="41">
        <v>13</v>
      </c>
      <c r="F88" s="41">
        <v>1</v>
      </c>
      <c r="G88" s="459">
        <v>1350</v>
      </c>
      <c r="H88" s="534">
        <f>+N88</f>
        <v>0.25</v>
      </c>
      <c r="I88" s="44">
        <v>0.88</v>
      </c>
      <c r="J88" s="82">
        <f>E88*G88*(1-H88)*1440/1000000*2.87</f>
        <v>54.397980000000004</v>
      </c>
      <c r="K88" s="82">
        <f>(IF(G88&lt;L88,L88,G88)*(1-IF(H88&lt;N88,H88,N88))*E88*O88*Q88)/100000000</f>
        <v>51.791804999999997</v>
      </c>
      <c r="L88" s="34">
        <v>1350</v>
      </c>
      <c r="M88" s="34">
        <v>1012.5</v>
      </c>
      <c r="N88" s="45">
        <f>1-(M88/L88)</f>
        <v>0.25</v>
      </c>
      <c r="O88" s="46">
        <f>+'Trim Rwd'!H60</f>
        <v>273.25</v>
      </c>
      <c r="P88" s="47">
        <f>O88*(Q88-R88-S88)</f>
        <v>387741.75</v>
      </c>
      <c r="Q88" s="46">
        <v>1440</v>
      </c>
      <c r="R88" s="384">
        <v>0</v>
      </c>
      <c r="S88" s="384">
        <v>21</v>
      </c>
      <c r="T88" s="36">
        <f>E88*M88*O88*Q88/100000000</f>
        <v>51.791804999999997</v>
      </c>
      <c r="U88" s="36">
        <f>E88*M88*O88*(Q88-R88-S88)/100000000</f>
        <v>51.036507843750002</v>
      </c>
      <c r="V88" s="36">
        <f>E88*G88*(1-N88)*O88/100*(R88+S88)/1000000</f>
        <v>0.75529715625000005</v>
      </c>
      <c r="W88" s="36">
        <f>+'19'!K34/1000</f>
        <v>54.652000000000001</v>
      </c>
      <c r="X88" s="381">
        <f>SUM(W88:W91)/SUM(K88:K91)</f>
        <v>1.0552248565192892</v>
      </c>
      <c r="Y88" s="36">
        <v>0</v>
      </c>
      <c r="Z88" s="615">
        <v>0</v>
      </c>
      <c r="AA88" s="48">
        <f>SUM(U88:U91)-SUM(W88:W91)-SUM(Z88:Z91)-SUM(Y88:Y91)</f>
        <v>-3.6154921562499993</v>
      </c>
      <c r="AB88" s="48">
        <f>(SUM(K88:K91)-SUM(W88:W91)-SUM(Y88:Y91)-SUM(Z88:Z91)-SUM(AC88:AC91)-SUM(V88:V91))-AA88</f>
        <v>-5.3290705182007514E-15</v>
      </c>
      <c r="AC88" s="36">
        <f>K88-T88</f>
        <v>0</v>
      </c>
      <c r="AD88" s="36">
        <f>+AM88+BA88</f>
        <v>0</v>
      </c>
      <c r="AE88" s="225" t="s">
        <v>385</v>
      </c>
      <c r="AF88" s="36">
        <v>0</v>
      </c>
      <c r="AG88" s="36"/>
      <c r="AH88" s="36"/>
      <c r="AI88" s="461"/>
      <c r="AJ88" s="36"/>
      <c r="AK88" s="36"/>
      <c r="AL88" s="36"/>
      <c r="AM88" s="36">
        <f>SUM(AF88:AL88)+AT88+AV88+AX88</f>
        <v>0</v>
      </c>
      <c r="AN88" s="36"/>
      <c r="AO88" s="36"/>
      <c r="AP88" s="36"/>
      <c r="AQ88" s="36"/>
      <c r="AR88" s="36">
        <f>SUM(AN88:AQ88)</f>
        <v>0</v>
      </c>
      <c r="AS88" s="36"/>
      <c r="AT88" s="36"/>
      <c r="AU88" s="36"/>
      <c r="AV88" s="36"/>
      <c r="AW88" s="36"/>
      <c r="AX88" s="36"/>
      <c r="AY88" s="36"/>
      <c r="AZ88" s="36"/>
      <c r="BA88" s="36">
        <f>+AR88+AS88+AU88+AW88+AY88+AZ88</f>
        <v>0</v>
      </c>
      <c r="BB88" s="32">
        <v>0</v>
      </c>
      <c r="BC88" s="50"/>
      <c r="BD88" s="50"/>
      <c r="BE88" s="50"/>
      <c r="BF88" s="50"/>
    </row>
    <row r="89" spans="1:58" ht="12.95" customHeight="1">
      <c r="A89" s="39"/>
      <c r="B89" s="40"/>
      <c r="C89" s="416"/>
      <c r="D89" s="40"/>
      <c r="E89" s="41"/>
      <c r="F89" s="41"/>
      <c r="G89" s="459"/>
      <c r="H89" s="534"/>
      <c r="I89" s="44"/>
      <c r="J89" s="82"/>
      <c r="K89" s="82"/>
      <c r="L89" s="34"/>
      <c r="M89" s="34"/>
      <c r="N89" s="45"/>
      <c r="O89" s="46"/>
      <c r="P89" s="47"/>
      <c r="Q89" s="46"/>
      <c r="R89" s="384"/>
      <c r="S89" s="384"/>
      <c r="T89" s="36"/>
      <c r="U89" s="36"/>
      <c r="V89" s="36"/>
      <c r="W89" s="36"/>
      <c r="X89" s="37"/>
      <c r="Y89" s="208"/>
      <c r="Z89" s="615"/>
      <c r="AA89" s="36"/>
      <c r="AB89" s="36"/>
      <c r="AC89" s="36"/>
      <c r="AD89" s="36">
        <f>+AM89+BA89</f>
        <v>1</v>
      </c>
      <c r="AE89" s="225" t="s">
        <v>419</v>
      </c>
      <c r="AF89" s="36"/>
      <c r="AG89" s="36">
        <v>1</v>
      </c>
      <c r="AH89" s="36"/>
      <c r="AI89" s="461"/>
      <c r="AJ89" s="36"/>
      <c r="AK89" s="36"/>
      <c r="AL89" s="36"/>
      <c r="AM89" s="36">
        <f>SUM(AF89:AL89)+AT89+AV89+AX89</f>
        <v>1</v>
      </c>
      <c r="AN89" s="83"/>
      <c r="AO89" s="36"/>
      <c r="AP89" s="36"/>
      <c r="AQ89" s="36"/>
      <c r="AR89" s="36">
        <f>SUM(AN89:AQ89)</f>
        <v>0</v>
      </c>
      <c r="AS89" s="36"/>
      <c r="AT89" s="36"/>
      <c r="AU89" s="36"/>
      <c r="AV89" s="36"/>
      <c r="AW89" s="36"/>
      <c r="AX89" s="36"/>
      <c r="AY89" s="36"/>
      <c r="AZ89" s="36"/>
      <c r="BA89" s="36">
        <f>+AR89+AS89+AU89+AW89+AY89+AZ89</f>
        <v>0</v>
      </c>
      <c r="BB89" s="49"/>
      <c r="BC89" s="50">
        <v>1</v>
      </c>
      <c r="BD89" s="52"/>
      <c r="BE89" s="32"/>
      <c r="BF89" s="52"/>
    </row>
    <row r="90" spans="1:58" ht="12.95" customHeight="1">
      <c r="A90" s="39"/>
      <c r="B90" s="40"/>
      <c r="C90" s="416"/>
      <c r="D90" s="40"/>
      <c r="E90" s="41"/>
      <c r="F90" s="41"/>
      <c r="G90" s="459"/>
      <c r="H90" s="534"/>
      <c r="I90" s="44"/>
      <c r="J90" s="82"/>
      <c r="K90" s="82"/>
      <c r="L90" s="34"/>
      <c r="M90" s="34"/>
      <c r="N90" s="45"/>
      <c r="O90" s="46"/>
      <c r="P90" s="47"/>
      <c r="Q90" s="46"/>
      <c r="R90" s="384"/>
      <c r="S90" s="384"/>
      <c r="T90" s="36"/>
      <c r="U90" s="36"/>
      <c r="V90" s="36"/>
      <c r="W90" s="36"/>
      <c r="X90" s="37"/>
      <c r="Y90" s="208"/>
      <c r="Z90" s="615"/>
      <c r="AA90" s="36"/>
      <c r="AB90" s="36"/>
      <c r="AC90" s="36"/>
      <c r="AD90" s="36">
        <f>+AM90+BA90</f>
        <v>20</v>
      </c>
      <c r="AE90" s="225" t="s">
        <v>541</v>
      </c>
      <c r="AF90" s="36"/>
      <c r="AG90" s="36"/>
      <c r="AH90" s="36">
        <v>20</v>
      </c>
      <c r="AI90" s="461"/>
      <c r="AJ90" s="36"/>
      <c r="AK90" s="36"/>
      <c r="AL90" s="36"/>
      <c r="AM90" s="36">
        <f>SUM(AF90:AL90)+AT90+AV90+AX90</f>
        <v>20</v>
      </c>
      <c r="AN90" s="83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>
        <f>+AR90+AS90+AU90+AW90+AY90+AZ90</f>
        <v>0</v>
      </c>
      <c r="BB90" s="49"/>
      <c r="BC90" s="50"/>
      <c r="BD90" s="52"/>
      <c r="BE90" s="32"/>
      <c r="BF90" s="52"/>
    </row>
    <row r="91" spans="1:58" ht="12.95" customHeight="1">
      <c r="A91" s="39"/>
      <c r="B91" s="40"/>
      <c r="C91" s="416"/>
      <c r="D91" s="40"/>
      <c r="E91" s="41"/>
      <c r="F91" s="41"/>
      <c r="G91" s="42"/>
      <c r="H91" s="534"/>
      <c r="I91" s="44"/>
      <c r="J91" s="82"/>
      <c r="K91" s="82"/>
      <c r="L91" s="34"/>
      <c r="M91" s="34"/>
      <c r="N91" s="45"/>
      <c r="O91" s="46"/>
      <c r="P91" s="47"/>
      <c r="Q91" s="46"/>
      <c r="R91" s="384"/>
      <c r="S91" s="384"/>
      <c r="T91" s="36"/>
      <c r="U91" s="36"/>
      <c r="V91" s="36"/>
      <c r="W91" s="36"/>
      <c r="X91" s="381"/>
      <c r="Y91" s="36"/>
      <c r="Z91" s="615"/>
      <c r="AA91" s="48"/>
      <c r="AB91" s="36"/>
      <c r="AC91" s="36"/>
      <c r="AD91" s="36"/>
      <c r="AE91" s="225"/>
      <c r="AF91" s="32"/>
      <c r="AG91" s="32"/>
      <c r="AH91" s="32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2"/>
      <c r="BC91" s="52"/>
      <c r="BD91" s="50"/>
      <c r="BE91" s="50"/>
      <c r="BF91" s="50"/>
    </row>
    <row r="92" spans="1:58" ht="12.95" customHeight="1">
      <c r="A92" s="39">
        <v>46132</v>
      </c>
      <c r="B92" s="40" t="s">
        <v>649</v>
      </c>
      <c r="C92" s="416">
        <f>(M92*E92*O92*Q92)/100000000</f>
        <v>51.081029999999998</v>
      </c>
      <c r="D92" s="40" t="s">
        <v>276</v>
      </c>
      <c r="E92" s="41">
        <v>13</v>
      </c>
      <c r="F92" s="41">
        <v>1</v>
      </c>
      <c r="G92" s="459">
        <v>1350</v>
      </c>
      <c r="H92" s="534">
        <f>+N92</f>
        <v>0.25</v>
      </c>
      <c r="I92" s="44">
        <v>0.88</v>
      </c>
      <c r="J92" s="82">
        <f>E92*G92*(1-H92)*1440/1000000*2.87</f>
        <v>54.397980000000004</v>
      </c>
      <c r="K92" s="82">
        <f>(IF(G92&lt;L92,L92,G92)*(1-IF(H92&lt;N92,H92,N92))*E92*O92*Q92)/100000000</f>
        <v>51.081029999999998</v>
      </c>
      <c r="L92" s="34">
        <v>1350</v>
      </c>
      <c r="M92" s="34">
        <v>1012.5</v>
      </c>
      <c r="N92" s="45">
        <f>1-(M92/L92)</f>
        <v>0.25</v>
      </c>
      <c r="O92" s="46">
        <f>+'Trim Rwd'!H63</f>
        <v>269.5</v>
      </c>
      <c r="P92" s="47">
        <f>O92*(Q92-R92-S92)</f>
        <v>381342.5</v>
      </c>
      <c r="Q92" s="46">
        <v>1440</v>
      </c>
      <c r="R92" s="384">
        <v>0</v>
      </c>
      <c r="S92" s="384">
        <v>25</v>
      </c>
      <c r="T92" s="36">
        <f>E92*M92*O92*Q92/100000000</f>
        <v>51.081029999999998</v>
      </c>
      <c r="U92" s="36">
        <f>E92*M92*O92*(Q92-R92-S92)/100000000</f>
        <v>50.1942065625</v>
      </c>
      <c r="V92" s="36">
        <f>E92*G92*(1-N92)*O92/100*(R92+S92)/1000000</f>
        <v>0.88682343750000003</v>
      </c>
      <c r="W92" s="36">
        <f>+'20'!K34/1000</f>
        <v>44.97</v>
      </c>
      <c r="X92" s="381">
        <f>SUM(W92:W95)/SUM(K92:K95)</f>
        <v>0.88036595973103915</v>
      </c>
      <c r="Y92" s="36">
        <v>0</v>
      </c>
      <c r="Z92" s="615">
        <v>0</v>
      </c>
      <c r="AA92" s="48">
        <f>SUM(U92:U95)-SUM(W92:W95)-SUM(Z92:Z95)-SUM(Y92:Y95)</f>
        <v>5.2242065625000009</v>
      </c>
      <c r="AB92" s="48">
        <f>(SUM(K92:K95)-SUM(W92:W95)-SUM(Y92:Y95)-SUM(Z92:Z95)-SUM(AC92:AC95)-SUM(V92:V95))-AA92</f>
        <v>0</v>
      </c>
      <c r="AC92" s="36">
        <f>K92-T92</f>
        <v>0</v>
      </c>
      <c r="AD92" s="36">
        <f>+AM92+BA92</f>
        <v>5</v>
      </c>
      <c r="AE92" s="225" t="s">
        <v>496</v>
      </c>
      <c r="AF92" s="36">
        <v>5</v>
      </c>
      <c r="AG92" s="36"/>
      <c r="AH92" s="36"/>
      <c r="AI92" s="36"/>
      <c r="AJ92" s="36"/>
      <c r="AK92" s="36"/>
      <c r="AL92" s="36"/>
      <c r="AM92" s="36">
        <f>SUM(AF92:AL92)+AT92+AV92+AX92</f>
        <v>5</v>
      </c>
      <c r="AN92" s="36"/>
      <c r="AO92" s="36"/>
      <c r="AP92" s="36"/>
      <c r="AQ92" s="36"/>
      <c r="AR92" s="36">
        <f>SUM(AN92:AQ92)</f>
        <v>0</v>
      </c>
      <c r="AS92" s="36"/>
      <c r="AT92" s="36"/>
      <c r="AU92" s="36"/>
      <c r="AV92" s="36"/>
      <c r="AW92" s="36"/>
      <c r="AX92" s="36"/>
      <c r="AY92" s="36"/>
      <c r="AZ92" s="36"/>
      <c r="BA92" s="36">
        <f>+AR92+AS92+AU92+AW92+AY92+AZ92</f>
        <v>0</v>
      </c>
      <c r="BB92" s="32">
        <v>1</v>
      </c>
      <c r="BC92" s="50"/>
      <c r="BD92" s="50"/>
      <c r="BE92" s="50"/>
      <c r="BF92" s="50"/>
    </row>
    <row r="93" spans="1:58" ht="12.95" customHeight="1">
      <c r="A93" s="39"/>
      <c r="B93" s="40"/>
      <c r="C93" s="416"/>
      <c r="D93" s="40"/>
      <c r="E93" s="41"/>
      <c r="F93" s="41"/>
      <c r="G93" s="459"/>
      <c r="H93" s="534"/>
      <c r="I93" s="44"/>
      <c r="J93" s="82"/>
      <c r="K93" s="82"/>
      <c r="L93" s="34"/>
      <c r="M93" s="34"/>
      <c r="N93" s="45"/>
      <c r="O93" s="46"/>
      <c r="P93" s="47"/>
      <c r="Q93" s="46"/>
      <c r="R93" s="384"/>
      <c r="S93" s="384"/>
      <c r="T93" s="36"/>
      <c r="U93" s="36"/>
      <c r="V93" s="36"/>
      <c r="W93" s="36"/>
      <c r="X93" s="37"/>
      <c r="Y93" s="208"/>
      <c r="Z93" s="615"/>
      <c r="AA93" s="36"/>
      <c r="AB93" s="48"/>
      <c r="AC93" s="36"/>
      <c r="AD93" s="36">
        <f>+AM93+BA93</f>
        <v>1</v>
      </c>
      <c r="AE93" s="225" t="s">
        <v>419</v>
      </c>
      <c r="AF93" s="36"/>
      <c r="AG93" s="36">
        <v>1</v>
      </c>
      <c r="AH93" s="36"/>
      <c r="AI93" s="461"/>
      <c r="AJ93" s="36"/>
      <c r="AK93" s="36"/>
      <c r="AL93" s="36"/>
      <c r="AM93" s="36">
        <f>SUM(AF93:AL93)+AT93+AV93+AX93</f>
        <v>1</v>
      </c>
      <c r="AN93" s="36"/>
      <c r="AO93" s="36"/>
      <c r="AP93" s="36"/>
      <c r="AQ93" s="36"/>
      <c r="AR93" s="36">
        <f>SUM(AN93:AQ93)</f>
        <v>0</v>
      </c>
      <c r="AS93" s="36"/>
      <c r="AT93" s="36"/>
      <c r="AU93" s="36"/>
      <c r="AV93" s="36"/>
      <c r="AW93" s="36"/>
      <c r="AX93" s="36"/>
      <c r="AY93" s="36"/>
      <c r="AZ93" s="36"/>
      <c r="BA93" s="36">
        <f>+AR93+AS93+AU93+AW93+AY93+AZ93</f>
        <v>0</v>
      </c>
      <c r="BB93" s="32"/>
      <c r="BC93" s="50">
        <v>1</v>
      </c>
      <c r="BD93" s="50"/>
      <c r="BE93" s="50"/>
      <c r="BF93" s="50"/>
    </row>
    <row r="94" spans="1:58" ht="12.95" customHeight="1">
      <c r="A94" s="39"/>
      <c r="B94" s="40"/>
      <c r="C94" s="416"/>
      <c r="D94" s="40"/>
      <c r="E94" s="41"/>
      <c r="F94" s="41"/>
      <c r="G94" s="459"/>
      <c r="H94" s="534"/>
      <c r="I94" s="44"/>
      <c r="J94" s="82"/>
      <c r="K94" s="82"/>
      <c r="L94" s="34"/>
      <c r="M94" s="34"/>
      <c r="N94" s="45"/>
      <c r="O94" s="46"/>
      <c r="P94" s="47"/>
      <c r="Q94" s="46"/>
      <c r="R94" s="384"/>
      <c r="S94" s="384"/>
      <c r="T94" s="36"/>
      <c r="U94" s="36"/>
      <c r="V94" s="36"/>
      <c r="W94" s="36"/>
      <c r="X94" s="37"/>
      <c r="Y94" s="208"/>
      <c r="Z94" s="615"/>
      <c r="AA94" s="36"/>
      <c r="AB94" s="36"/>
      <c r="AC94" s="36"/>
      <c r="AD94" s="36">
        <f>+AM94+BA94</f>
        <v>19</v>
      </c>
      <c r="AE94" s="225" t="s">
        <v>675</v>
      </c>
      <c r="AF94" s="36"/>
      <c r="AG94" s="36"/>
      <c r="AH94" s="36">
        <v>19</v>
      </c>
      <c r="AI94" s="461"/>
      <c r="AJ94" s="36"/>
      <c r="AK94" s="36"/>
      <c r="AL94" s="36"/>
      <c r="AM94" s="36">
        <f>SUM(AF94:AL94)+AT94+AV94+AX94</f>
        <v>19</v>
      </c>
      <c r="AN94" s="83"/>
      <c r="AO94" s="36"/>
      <c r="AP94" s="36"/>
      <c r="AQ94" s="36"/>
      <c r="AR94" s="36">
        <f>SUM(AN94:AQ94)</f>
        <v>0</v>
      </c>
      <c r="AS94" s="36"/>
      <c r="AT94" s="36"/>
      <c r="AU94" s="36"/>
      <c r="AV94" s="36"/>
      <c r="AW94" s="36"/>
      <c r="AX94" s="36"/>
      <c r="AY94" s="36"/>
      <c r="AZ94" s="36"/>
      <c r="BA94" s="36">
        <f>+AR94+AS94+AU94+AW94+AY94+AZ94</f>
        <v>0</v>
      </c>
      <c r="BB94" s="49"/>
      <c r="BC94" s="50"/>
      <c r="BD94" s="50"/>
      <c r="BE94" s="50"/>
      <c r="BF94" s="50"/>
    </row>
    <row r="95" spans="1:58" ht="12.95" customHeight="1">
      <c r="A95" s="39"/>
      <c r="B95" s="40"/>
      <c r="C95" s="416"/>
      <c r="D95" s="40"/>
      <c r="E95" s="41"/>
      <c r="F95" s="41"/>
      <c r="G95" s="42"/>
      <c r="H95" s="534"/>
      <c r="I95" s="44"/>
      <c r="J95" s="82"/>
      <c r="K95" s="82"/>
      <c r="L95" s="34"/>
      <c r="M95" s="34"/>
      <c r="N95" s="45"/>
      <c r="O95" s="46"/>
      <c r="P95" s="47"/>
      <c r="Q95" s="46"/>
      <c r="R95" s="384"/>
      <c r="S95" s="384"/>
      <c r="T95" s="36"/>
      <c r="U95" s="36"/>
      <c r="V95" s="36"/>
      <c r="W95" s="36"/>
      <c r="X95" s="381"/>
      <c r="Y95" s="36"/>
      <c r="Z95" s="615"/>
      <c r="AA95" s="48"/>
      <c r="AB95" s="36"/>
      <c r="AC95" s="36"/>
      <c r="AD95" s="36"/>
      <c r="AE95" s="225"/>
      <c r="AF95" s="32"/>
      <c r="AG95" s="32"/>
      <c r="AH95" s="32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2"/>
      <c r="BC95" s="52"/>
      <c r="BD95" s="52"/>
      <c r="BE95" s="32"/>
      <c r="BF95" s="52"/>
    </row>
    <row r="96" spans="1:58" ht="12.95" customHeight="1">
      <c r="A96" s="39">
        <v>46133</v>
      </c>
      <c r="B96" s="40" t="s">
        <v>649</v>
      </c>
      <c r="C96" s="416">
        <f>(M96*E96*O96*Q96)/100000000</f>
        <v>51.081029999999998</v>
      </c>
      <c r="D96" s="40" t="s">
        <v>276</v>
      </c>
      <c r="E96" s="41">
        <v>13</v>
      </c>
      <c r="F96" s="41">
        <v>1</v>
      </c>
      <c r="G96" s="459">
        <v>1350</v>
      </c>
      <c r="H96" s="534">
        <f>+N96</f>
        <v>0.25</v>
      </c>
      <c r="I96" s="44">
        <v>0.88</v>
      </c>
      <c r="J96" s="82">
        <f>E96*G96*(1-H96)*1440/1000000*2.87</f>
        <v>54.397980000000004</v>
      </c>
      <c r="K96" s="82">
        <f>(IF(G96&lt;L96,L96,G96)*(1-IF(H96&lt;N96,H96,N96))*E96*O96*Q96)/100000000</f>
        <v>51.081029999999998</v>
      </c>
      <c r="L96" s="34">
        <v>1350</v>
      </c>
      <c r="M96" s="34">
        <v>1012.5</v>
      </c>
      <c r="N96" s="45">
        <f>1-(M96/L96)</f>
        <v>0.25</v>
      </c>
      <c r="O96" s="46">
        <f>+'Trim Rwd'!H65</f>
        <v>269.5</v>
      </c>
      <c r="P96" s="47">
        <f>O96*(Q96-R96-S96)</f>
        <v>382690</v>
      </c>
      <c r="Q96" s="46">
        <v>1440</v>
      </c>
      <c r="R96" s="384">
        <v>0</v>
      </c>
      <c r="S96" s="384">
        <v>20</v>
      </c>
      <c r="T96" s="36">
        <f>E96*M96*O96*Q96/100000000</f>
        <v>51.081029999999998</v>
      </c>
      <c r="U96" s="36">
        <f>E96*M96*O96*(Q96-R96-S96)/100000000</f>
        <v>50.371571250000002</v>
      </c>
      <c r="V96" s="36">
        <f>E96*G96*(1-N96)*O96/100*(R96+S96)/1000000</f>
        <v>0.70945875000000003</v>
      </c>
      <c r="W96" s="36">
        <f>+'21'!K34/1000</f>
        <v>51.795999999999999</v>
      </c>
      <c r="X96" s="381">
        <f>SUM(W96:W99)/SUM(K96:K99)</f>
        <v>1.0139967811925483</v>
      </c>
      <c r="Y96" s="36">
        <v>0</v>
      </c>
      <c r="Z96" s="615">
        <f>+'21'!D34/1000</f>
        <v>0.28000000000000003</v>
      </c>
      <c r="AA96" s="48">
        <f>SUM(U96:U99)-SUM(W96:W99)-SUM(Z96:Z99)-SUM(Y96:Y99)</f>
        <v>-1.7044287499999971</v>
      </c>
      <c r="AB96" s="48">
        <f>(SUM(K96:K99)-SUM(W96:W99)-SUM(Y96:Y99)-SUM(Z96:Z99)-SUM(AC96:AC99)-SUM(V96:V99))-AA96</f>
        <v>-3.9968028886505635E-15</v>
      </c>
      <c r="AC96" s="36">
        <f>K96-T96</f>
        <v>0</v>
      </c>
      <c r="AD96" s="36">
        <f>+AM96+BA96</f>
        <v>0</v>
      </c>
      <c r="AE96" s="225" t="s">
        <v>385</v>
      </c>
      <c r="AF96" s="36">
        <v>0</v>
      </c>
      <c r="AG96" s="36"/>
      <c r="AH96" s="36"/>
      <c r="AI96" s="461"/>
      <c r="AJ96" s="36"/>
      <c r="AK96" s="36"/>
      <c r="AL96" s="36"/>
      <c r="AM96" s="36">
        <f>SUM(AF96:AL96)+AT96+AV96+AX96</f>
        <v>0</v>
      </c>
      <c r="AN96" s="36"/>
      <c r="AO96" s="36"/>
      <c r="AP96" s="36"/>
      <c r="AQ96" s="36"/>
      <c r="AR96" s="36">
        <f>SUM(AN96:AQ96)</f>
        <v>0</v>
      </c>
      <c r="AS96" s="36"/>
      <c r="AT96" s="36"/>
      <c r="AU96" s="36"/>
      <c r="AV96" s="36"/>
      <c r="AW96" s="36"/>
      <c r="AX96" s="36"/>
      <c r="AY96" s="36"/>
      <c r="AZ96" s="36"/>
      <c r="BA96" s="36">
        <f>+AR96+AS96+AU96+AW96+AY96+AZ96</f>
        <v>0</v>
      </c>
      <c r="BB96" s="32">
        <v>0</v>
      </c>
      <c r="BC96" s="50"/>
      <c r="BD96" s="50"/>
      <c r="BE96" s="50"/>
      <c r="BF96" s="50"/>
    </row>
    <row r="97" spans="1:58" ht="12.95" customHeight="1">
      <c r="A97" s="39"/>
      <c r="B97" s="40"/>
      <c r="C97" s="416"/>
      <c r="D97" s="40"/>
      <c r="E97" s="41"/>
      <c r="F97" s="41"/>
      <c r="G97" s="459"/>
      <c r="H97" s="534"/>
      <c r="I97" s="44"/>
      <c r="J97" s="82"/>
      <c r="K97" s="82"/>
      <c r="L97" s="34"/>
      <c r="M97" s="34"/>
      <c r="N97" s="45"/>
      <c r="O97" s="46"/>
      <c r="P97" s="47"/>
      <c r="Q97" s="46"/>
      <c r="R97" s="384"/>
      <c r="S97" s="384"/>
      <c r="T97" s="36"/>
      <c r="U97" s="36"/>
      <c r="V97" s="36"/>
      <c r="W97" s="36"/>
      <c r="X97" s="37"/>
      <c r="Y97" s="208"/>
      <c r="Z97" s="615"/>
      <c r="AA97" s="36"/>
      <c r="AB97" s="36"/>
      <c r="AC97" s="36"/>
      <c r="AD97" s="36">
        <f>+AM97+BA97</f>
        <v>2</v>
      </c>
      <c r="AE97" s="225" t="s">
        <v>419</v>
      </c>
      <c r="AF97" s="36"/>
      <c r="AG97" s="36">
        <v>2</v>
      </c>
      <c r="AH97" s="36"/>
      <c r="AI97" s="461"/>
      <c r="AJ97" s="36"/>
      <c r="AK97" s="36"/>
      <c r="AL97" s="36"/>
      <c r="AM97" s="36">
        <f>SUM(AF97:AL97)+AT97+AV97+AX97</f>
        <v>2</v>
      </c>
      <c r="AN97" s="83"/>
      <c r="AO97" s="36"/>
      <c r="AP97" s="36"/>
      <c r="AQ97" s="36"/>
      <c r="AR97" s="36">
        <f>SUM(AN97:AQ97)</f>
        <v>0</v>
      </c>
      <c r="AS97" s="36"/>
      <c r="AT97" s="36"/>
      <c r="AU97" s="36"/>
      <c r="AV97" s="36"/>
      <c r="AW97" s="36"/>
      <c r="AX97" s="36"/>
      <c r="AY97" s="36"/>
      <c r="AZ97" s="36"/>
      <c r="BA97" s="36">
        <f>+AR97+AS97+AU97+AW97+AY97+AZ97</f>
        <v>0</v>
      </c>
      <c r="BB97" s="49"/>
      <c r="BC97" s="50">
        <v>1</v>
      </c>
      <c r="BD97" s="50"/>
      <c r="BE97" s="50"/>
      <c r="BF97" s="50"/>
    </row>
    <row r="98" spans="1:58" ht="12.95" customHeight="1">
      <c r="A98" s="39"/>
      <c r="B98" s="40"/>
      <c r="C98" s="416"/>
      <c r="D98" s="40"/>
      <c r="E98" s="41"/>
      <c r="F98" s="41"/>
      <c r="G98" s="42"/>
      <c r="H98" s="534"/>
      <c r="I98" s="44"/>
      <c r="J98" s="82"/>
      <c r="K98" s="82"/>
      <c r="L98" s="34"/>
      <c r="M98" s="34"/>
      <c r="N98" s="45"/>
      <c r="O98" s="46"/>
      <c r="P98" s="47"/>
      <c r="Q98" s="46"/>
      <c r="R98" s="384"/>
      <c r="S98" s="384"/>
      <c r="T98" s="36"/>
      <c r="U98" s="36"/>
      <c r="V98" s="36"/>
      <c r="W98" s="36"/>
      <c r="X98" s="37"/>
      <c r="Y98" s="208"/>
      <c r="Z98" s="615"/>
      <c r="AA98" s="36"/>
      <c r="AB98" s="36"/>
      <c r="AC98" s="36"/>
      <c r="AD98" s="36">
        <f>+AM98+BA98</f>
        <v>18</v>
      </c>
      <c r="AE98" s="225" t="s">
        <v>446</v>
      </c>
      <c r="AF98" s="32"/>
      <c r="AG98" s="32"/>
      <c r="AH98" s="32">
        <v>18</v>
      </c>
      <c r="AJ98" s="36"/>
      <c r="AK98" s="36"/>
      <c r="AL98" s="36"/>
      <c r="AM98" s="36">
        <f>SUM(AF98:AL98)+AT98+AV98+AX98</f>
        <v>18</v>
      </c>
      <c r="AN98" s="36"/>
      <c r="AO98" s="36"/>
      <c r="AP98" s="36"/>
      <c r="AQ98" s="36"/>
      <c r="AR98" s="36">
        <f>SUM(AN98:AQ98)</f>
        <v>0</v>
      </c>
      <c r="AS98" s="36"/>
      <c r="AT98" s="36"/>
      <c r="AU98" s="36"/>
      <c r="AV98" s="36"/>
      <c r="AW98" s="36"/>
      <c r="AX98" s="36"/>
      <c r="AY98" s="36"/>
      <c r="AZ98" s="36"/>
      <c r="BA98" s="36">
        <f>+AR98+AS98+AU98+AW98+AY98+AZ98</f>
        <v>0</v>
      </c>
      <c r="BB98" s="32"/>
      <c r="BC98" s="52"/>
      <c r="BD98" s="50"/>
      <c r="BE98" s="50"/>
      <c r="BF98" s="50"/>
    </row>
    <row r="99" spans="1:58" ht="12.95" customHeight="1">
      <c r="A99" s="39"/>
      <c r="B99" s="40"/>
      <c r="C99" s="416"/>
      <c r="D99" s="40"/>
      <c r="E99" s="41"/>
      <c r="F99" s="41"/>
      <c r="G99" s="459"/>
      <c r="H99" s="534"/>
      <c r="I99" s="44"/>
      <c r="J99" s="82"/>
      <c r="K99" s="82"/>
      <c r="L99" s="34"/>
      <c r="M99" s="34"/>
      <c r="N99" s="45"/>
      <c r="O99" s="46"/>
      <c r="P99" s="47"/>
      <c r="Q99" s="46"/>
      <c r="R99" s="384"/>
      <c r="S99" s="384"/>
      <c r="T99" s="36"/>
      <c r="U99" s="36"/>
      <c r="V99" s="36"/>
      <c r="W99" s="36"/>
      <c r="X99" s="381"/>
      <c r="Y99" s="208"/>
      <c r="Z99" s="615"/>
      <c r="AA99" s="48"/>
      <c r="AB99" s="48"/>
      <c r="AC99" s="36"/>
      <c r="AD99" s="36"/>
      <c r="AE99" s="225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2"/>
      <c r="BC99" s="50"/>
      <c r="BD99" s="50"/>
      <c r="BE99" s="50"/>
      <c r="BF99" s="50"/>
    </row>
    <row r="100" spans="1:58" ht="12.95" customHeight="1">
      <c r="A100" s="39">
        <v>46134</v>
      </c>
      <c r="B100" s="40" t="s">
        <v>649</v>
      </c>
      <c r="C100" s="416">
        <f>(M100*E100*O100*Q100)/100000000</f>
        <v>51.081029999999998</v>
      </c>
      <c r="D100" s="40" t="s">
        <v>276</v>
      </c>
      <c r="E100" s="41">
        <v>13</v>
      </c>
      <c r="F100" s="41">
        <v>1</v>
      </c>
      <c r="G100" s="459">
        <v>1350</v>
      </c>
      <c r="H100" s="534">
        <f>+N100</f>
        <v>0.25</v>
      </c>
      <c r="I100" s="44">
        <v>0.88</v>
      </c>
      <c r="J100" s="82">
        <f>E100*G100*(1-H100)*1440/1000000*2.87</f>
        <v>54.397980000000004</v>
      </c>
      <c r="K100" s="82">
        <f>(IF(G100&lt;L100,L100,G100)*(1-IF(H100&lt;N100,H100,N100))*E100*O100*Q100)/100000000</f>
        <v>51.081029999999998</v>
      </c>
      <c r="L100" s="34">
        <v>1350</v>
      </c>
      <c r="M100" s="34">
        <v>1012.5</v>
      </c>
      <c r="N100" s="45">
        <f>1-(M100/L100)</f>
        <v>0.25</v>
      </c>
      <c r="O100" s="46">
        <f>+'Trim Rwd'!H67</f>
        <v>269.5</v>
      </c>
      <c r="P100" s="47">
        <f>O100*(Q100-R100-S100)</f>
        <v>378647.5</v>
      </c>
      <c r="Q100" s="46">
        <v>1440</v>
      </c>
      <c r="R100" s="384">
        <v>0</v>
      </c>
      <c r="S100" s="384">
        <v>35</v>
      </c>
      <c r="T100" s="36">
        <f>E100*M100*O100*Q100/100000000</f>
        <v>51.081029999999998</v>
      </c>
      <c r="U100" s="36">
        <f>E100*M100*O100*(Q100-R100-S100)/100000000</f>
        <v>49.839477187500002</v>
      </c>
      <c r="V100" s="36">
        <f>E100*G100*(1-N100)*O100/100*(R100+S100)/1000000</f>
        <v>1.2415528124999999</v>
      </c>
      <c r="W100" s="36">
        <f>+'22'!K34/1000</f>
        <v>48.822000000000003</v>
      </c>
      <c r="X100" s="381">
        <f>SUM(W100:W103)/SUM(K100:K103)</f>
        <v>0.9557755589501622</v>
      </c>
      <c r="Y100" s="36">
        <v>0</v>
      </c>
      <c r="Z100" s="615">
        <f>+'22'!D34/1000</f>
        <v>0.26</v>
      </c>
      <c r="AA100" s="48">
        <f>SUM(U100:U103)-SUM(W100:W103)-SUM(Z100:Z103)-SUM(Y100:Y103)</f>
        <v>0.75747718749999904</v>
      </c>
      <c r="AB100" s="48">
        <f>(SUM(K100:K103)-SUM(W100:W103)-SUM(Y100:Y103)-SUM(Z100:Z103)-SUM(AC100:AC103)-SUM(V100:V103))-AA100</f>
        <v>-3.3306690738754696E-15</v>
      </c>
      <c r="AC100" s="36">
        <f>K100-T100</f>
        <v>0</v>
      </c>
      <c r="AD100" s="36">
        <f>+AM100+BA100</f>
        <v>0</v>
      </c>
      <c r="AE100" s="225" t="s">
        <v>385</v>
      </c>
      <c r="AF100" s="36">
        <v>0</v>
      </c>
      <c r="AG100" s="36"/>
      <c r="AH100" s="36"/>
      <c r="AI100" s="461"/>
      <c r="AJ100" s="36"/>
      <c r="AK100" s="36"/>
      <c r="AL100" s="36"/>
      <c r="AM100" s="36">
        <f>SUM(AF100:AL100)+AT100+AV100+AX100</f>
        <v>0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>
        <f>+AR100+AS100+AU100+AW100+AY100+AZ100</f>
        <v>0</v>
      </c>
      <c r="BB100" s="32">
        <v>0</v>
      </c>
      <c r="BC100" s="50"/>
      <c r="BD100" s="50"/>
      <c r="BE100" s="50"/>
      <c r="BF100" s="50"/>
    </row>
    <row r="101" spans="1:58" ht="12.95" customHeight="1">
      <c r="A101" s="39"/>
      <c r="B101" s="40"/>
      <c r="C101" s="416"/>
      <c r="D101" s="40"/>
      <c r="E101" s="41"/>
      <c r="F101" s="41"/>
      <c r="G101" s="459"/>
      <c r="H101" s="534"/>
      <c r="I101" s="44"/>
      <c r="J101" s="82"/>
      <c r="K101" s="82"/>
      <c r="L101" s="34"/>
      <c r="M101" s="34"/>
      <c r="N101" s="45"/>
      <c r="O101" s="46"/>
      <c r="P101" s="47"/>
      <c r="Q101" s="46"/>
      <c r="R101" s="384"/>
      <c r="S101" s="384"/>
      <c r="T101" s="36"/>
      <c r="U101" s="36"/>
      <c r="V101" s="36"/>
      <c r="W101" s="36"/>
      <c r="X101" s="37"/>
      <c r="Y101" s="208"/>
      <c r="Z101" s="615"/>
      <c r="AA101" s="36"/>
      <c r="AB101" s="48"/>
      <c r="AC101" s="36"/>
      <c r="AD101" s="36">
        <f>+AM101+BA101</f>
        <v>1</v>
      </c>
      <c r="AE101" s="225" t="s">
        <v>419</v>
      </c>
      <c r="AF101" s="36"/>
      <c r="AG101" s="36">
        <v>1</v>
      </c>
      <c r="AH101" s="36"/>
      <c r="AI101" s="461"/>
      <c r="AJ101" s="36"/>
      <c r="AK101" s="36"/>
      <c r="AL101" s="36"/>
      <c r="AM101" s="36">
        <f>SUM(AF101:AL101)+AT101+AV101+AX101</f>
        <v>1</v>
      </c>
      <c r="AN101" s="36"/>
      <c r="AO101" s="36"/>
      <c r="AP101" s="36"/>
      <c r="AQ101" s="36"/>
      <c r="AR101" s="36">
        <f>SUM(AN101:AQ101)</f>
        <v>0</v>
      </c>
      <c r="AS101" s="36"/>
      <c r="AT101" s="36"/>
      <c r="AU101" s="36"/>
      <c r="AV101" s="36"/>
      <c r="AW101" s="36"/>
      <c r="AX101" s="36"/>
      <c r="AY101" s="36"/>
      <c r="AZ101" s="36"/>
      <c r="BA101" s="36">
        <f>+AR101+AS101+AU101+AW101+AY101+AZ101</f>
        <v>0</v>
      </c>
      <c r="BB101" s="32"/>
      <c r="BC101" s="50">
        <v>1</v>
      </c>
      <c r="BD101" s="50"/>
      <c r="BE101" s="50"/>
      <c r="BF101" s="50"/>
    </row>
    <row r="102" spans="1:58" ht="12.95" customHeight="1">
      <c r="A102" s="39"/>
      <c r="B102" s="40"/>
      <c r="C102" s="416"/>
      <c r="D102" s="40"/>
      <c r="E102" s="41"/>
      <c r="F102" s="41"/>
      <c r="G102" s="459"/>
      <c r="H102" s="534"/>
      <c r="I102" s="44"/>
      <c r="J102" s="82"/>
      <c r="K102" s="82"/>
      <c r="L102" s="34"/>
      <c r="M102" s="34"/>
      <c r="N102" s="45"/>
      <c r="O102" s="46"/>
      <c r="P102" s="47"/>
      <c r="Q102" s="46"/>
      <c r="R102" s="384"/>
      <c r="S102" s="384"/>
      <c r="T102" s="36"/>
      <c r="U102" s="36"/>
      <c r="V102" s="36"/>
      <c r="W102" s="36"/>
      <c r="X102" s="37"/>
      <c r="Y102" s="208"/>
      <c r="Z102" s="615"/>
      <c r="AA102" s="36"/>
      <c r="AB102" s="36"/>
      <c r="AC102" s="36"/>
      <c r="AD102" s="36">
        <f>+AM102+BA102</f>
        <v>26</v>
      </c>
      <c r="AE102" s="225" t="s">
        <v>446</v>
      </c>
      <c r="AF102" s="36"/>
      <c r="AG102" s="36"/>
      <c r="AH102" s="36">
        <v>26</v>
      </c>
      <c r="AI102" s="461"/>
      <c r="AJ102" s="36"/>
      <c r="AK102" s="36"/>
      <c r="AL102" s="36"/>
      <c r="AM102" s="36">
        <f>SUM(AF102:AL102)+AT102+AV102+AX102</f>
        <v>26</v>
      </c>
      <c r="AN102" s="83"/>
      <c r="AO102" s="36"/>
      <c r="AP102" s="36"/>
      <c r="AQ102" s="36"/>
      <c r="AR102" s="36">
        <f>SUM(AN102:AQ102)</f>
        <v>0</v>
      </c>
      <c r="AS102" s="36"/>
      <c r="AT102" s="36"/>
      <c r="AU102" s="36"/>
      <c r="AV102" s="36"/>
      <c r="AW102" s="36"/>
      <c r="AX102" s="36"/>
      <c r="AY102" s="36"/>
      <c r="AZ102" s="36"/>
      <c r="BA102" s="36">
        <f>+AR102+AS102+AU102+AW102+AY102+AZ102</f>
        <v>0</v>
      </c>
      <c r="BB102" s="49"/>
      <c r="BC102" s="50"/>
      <c r="BD102" s="50"/>
      <c r="BE102" s="50"/>
      <c r="BF102" s="50"/>
    </row>
    <row r="103" spans="1:58" ht="12.95" customHeight="1">
      <c r="A103" s="39"/>
      <c r="B103" s="40"/>
      <c r="C103" s="416"/>
      <c r="D103" s="40"/>
      <c r="E103" s="41"/>
      <c r="F103" s="41"/>
      <c r="G103" s="42"/>
      <c r="H103" s="534"/>
      <c r="I103" s="44"/>
      <c r="J103" s="82"/>
      <c r="K103" s="82"/>
      <c r="L103" s="34"/>
      <c r="M103" s="34"/>
      <c r="N103" s="45"/>
      <c r="O103" s="46"/>
      <c r="P103" s="47"/>
      <c r="Q103" s="46"/>
      <c r="R103" s="384"/>
      <c r="S103" s="384"/>
      <c r="T103" s="36"/>
      <c r="U103" s="36"/>
      <c r="V103" s="36"/>
      <c r="W103" s="36"/>
      <c r="X103" s="381"/>
      <c r="Y103" s="208"/>
      <c r="Z103" s="615"/>
      <c r="AA103" s="48"/>
      <c r="AB103" s="36"/>
      <c r="AC103" s="36"/>
      <c r="AD103" s="36">
        <f>+AM103+BA103</f>
        <v>8</v>
      </c>
      <c r="AE103" s="225" t="s">
        <v>679</v>
      </c>
      <c r="AF103" s="32"/>
      <c r="AG103" s="32"/>
      <c r="AH103" s="32"/>
      <c r="AJ103" s="36">
        <v>8</v>
      </c>
      <c r="AK103" s="36"/>
      <c r="AL103" s="36"/>
      <c r="AM103" s="36">
        <f>SUM(AF103:AL103)+AT103+AV103+AX103</f>
        <v>8</v>
      </c>
      <c r="AN103" s="36"/>
      <c r="AO103" s="36"/>
      <c r="AP103" s="36"/>
      <c r="AQ103" s="36"/>
      <c r="AR103" s="36">
        <f>SUM(AN103:AQ103)</f>
        <v>0</v>
      </c>
      <c r="AS103" s="36"/>
      <c r="AT103" s="36"/>
      <c r="AU103" s="36"/>
      <c r="AV103" s="36"/>
      <c r="AW103" s="36"/>
      <c r="AX103" s="36"/>
      <c r="AY103" s="36"/>
      <c r="AZ103" s="36"/>
      <c r="BA103" s="36">
        <f>+AR103+AS103+AU103+AW103+AY103+AZ103</f>
        <v>0</v>
      </c>
      <c r="BB103" s="32"/>
      <c r="BC103" s="52"/>
      <c r="BD103" s="50"/>
      <c r="BE103" s="50"/>
      <c r="BF103" s="50"/>
    </row>
    <row r="104" spans="1:58" ht="12.95" customHeight="1">
      <c r="A104" s="39"/>
      <c r="B104" s="40"/>
      <c r="C104" s="416"/>
      <c r="D104" s="40"/>
      <c r="E104" s="41"/>
      <c r="F104" s="41"/>
      <c r="G104" s="42"/>
      <c r="H104" s="534"/>
      <c r="I104" s="44"/>
      <c r="J104" s="82"/>
      <c r="K104" s="82"/>
      <c r="L104" s="34"/>
      <c r="M104" s="34"/>
      <c r="N104" s="45"/>
      <c r="O104" s="46"/>
      <c r="P104" s="47"/>
      <c r="Q104" s="46"/>
      <c r="R104" s="384"/>
      <c r="S104" s="384"/>
      <c r="T104" s="36"/>
      <c r="U104" s="36"/>
      <c r="V104" s="36"/>
      <c r="W104" s="36"/>
      <c r="X104" s="381"/>
      <c r="Y104" s="36"/>
      <c r="Z104" s="615"/>
      <c r="AA104" s="48"/>
      <c r="AB104" s="48"/>
      <c r="AC104" s="36"/>
      <c r="AD104" s="36"/>
      <c r="AE104" s="225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2"/>
      <c r="BC104" s="50"/>
      <c r="BD104" s="50"/>
      <c r="BE104" s="50"/>
      <c r="BF104" s="50"/>
    </row>
    <row r="105" spans="1:58" ht="12.95" customHeight="1">
      <c r="A105" s="39">
        <v>46135</v>
      </c>
      <c r="B105" s="40" t="s">
        <v>649</v>
      </c>
      <c r="C105" s="416">
        <f>(M105*E105*O105*Q105)/100000000</f>
        <v>51.081029999999998</v>
      </c>
      <c r="D105" s="40" t="s">
        <v>276</v>
      </c>
      <c r="E105" s="41">
        <v>13</v>
      </c>
      <c r="F105" s="41">
        <v>1</v>
      </c>
      <c r="G105" s="459">
        <v>1350</v>
      </c>
      <c r="H105" s="534">
        <f>+N105</f>
        <v>0.25</v>
      </c>
      <c r="I105" s="44">
        <v>0.88</v>
      </c>
      <c r="J105" s="82">
        <f>E105*G105*(1-H105)*1440/1000000*2.87</f>
        <v>54.397980000000004</v>
      </c>
      <c r="K105" s="82">
        <f>(IF(G105&lt;L105,L105,G105)*(1-IF(H105&lt;N105,H105,N105))*E105*O105*Q105)/100000000</f>
        <v>51.081029999999998</v>
      </c>
      <c r="L105" s="34">
        <v>1350</v>
      </c>
      <c r="M105" s="34">
        <v>1012.5</v>
      </c>
      <c r="N105" s="45">
        <f>1-(M105/L105)</f>
        <v>0.25</v>
      </c>
      <c r="O105" s="46">
        <f>+'Trim Rwd'!H69</f>
        <v>269.5</v>
      </c>
      <c r="P105" s="47">
        <f>O105*(Q105-R105-S105)</f>
        <v>382690</v>
      </c>
      <c r="Q105" s="46">
        <v>1440</v>
      </c>
      <c r="R105" s="384">
        <v>0</v>
      </c>
      <c r="S105" s="384">
        <v>20</v>
      </c>
      <c r="T105" s="36">
        <f>E105*M105*O105*Q105/100000000</f>
        <v>51.081029999999998</v>
      </c>
      <c r="U105" s="36">
        <f>E105*M105*O105*(Q105-R105-S105)/100000000</f>
        <v>50.371571250000002</v>
      </c>
      <c r="V105" s="36">
        <f>E105*G105*(1-N105)*O105/100*(R105+S105)/1000000</f>
        <v>0.70945875000000003</v>
      </c>
      <c r="W105" s="36">
        <f>+'23'!K34/1000</f>
        <v>47.997</v>
      </c>
      <c r="X105" s="37">
        <f>SUM(W105:W108)/SUM(K105:K108)</f>
        <v>0.93962474914855865</v>
      </c>
      <c r="Y105" s="36">
        <v>0</v>
      </c>
      <c r="Z105" s="615">
        <f>+'23'!D34/1000</f>
        <v>0.28000000000000003</v>
      </c>
      <c r="AA105" s="36">
        <f>SUM(U105:U108)-SUM(W105:W108)-SUM(Z105:Z108)-SUM(Y105:Y108)</f>
        <v>2.0945712500000022</v>
      </c>
      <c r="AB105" s="48">
        <f>(SUM(K105:K108)-SUM(W105:W108)-SUM(Y105:Y108)-SUM(Z105:Z108)-SUM(AC105:AC108)-SUM(V105:V108))-AA105</f>
        <v>-3.9968028886505635E-15</v>
      </c>
      <c r="AC105" s="36">
        <f>K105-T105</f>
        <v>0</v>
      </c>
      <c r="AD105" s="36">
        <f>+AM105+BA105</f>
        <v>0</v>
      </c>
      <c r="AE105" s="225" t="s">
        <v>385</v>
      </c>
      <c r="AF105" s="36">
        <v>0</v>
      </c>
      <c r="AG105" s="36"/>
      <c r="AH105" s="36"/>
      <c r="AI105" s="461"/>
      <c r="AJ105" s="36"/>
      <c r="AK105" s="36"/>
      <c r="AL105" s="36"/>
      <c r="AM105" s="36">
        <f>SUM(AF105:AL105)+AT105+AV105+AX105</f>
        <v>0</v>
      </c>
      <c r="AN105" s="36"/>
      <c r="AO105" s="36"/>
      <c r="AP105" s="36"/>
      <c r="AQ105" s="36"/>
      <c r="AR105" s="36">
        <f>SUM(AN105:AQ105)</f>
        <v>0</v>
      </c>
      <c r="AS105" s="36"/>
      <c r="AT105" s="36"/>
      <c r="AU105" s="36"/>
      <c r="AV105" s="36"/>
      <c r="AW105" s="36"/>
      <c r="AX105" s="36"/>
      <c r="AY105" s="36"/>
      <c r="AZ105" s="36"/>
      <c r="BA105" s="36">
        <f>+AR105+AS105+AU105+AW105+AY105+AZ105</f>
        <v>0</v>
      </c>
      <c r="BB105" s="32">
        <v>0</v>
      </c>
      <c r="BC105" s="50"/>
      <c r="BD105" s="50"/>
      <c r="BE105" s="50"/>
      <c r="BF105" s="50"/>
    </row>
    <row r="106" spans="1:58" ht="12.95" customHeight="1">
      <c r="A106" s="39"/>
      <c r="B106" s="40"/>
      <c r="C106" s="416"/>
      <c r="D106" s="40"/>
      <c r="E106" s="41"/>
      <c r="F106" s="41"/>
      <c r="G106" s="459"/>
      <c r="H106" s="534"/>
      <c r="I106" s="44"/>
      <c r="J106" s="82"/>
      <c r="K106" s="82"/>
      <c r="L106" s="34"/>
      <c r="M106" s="34"/>
      <c r="N106" s="45"/>
      <c r="O106" s="46"/>
      <c r="P106" s="47"/>
      <c r="Q106" s="46"/>
      <c r="R106" s="384"/>
      <c r="S106" s="384"/>
      <c r="T106" s="36"/>
      <c r="U106" s="36"/>
      <c r="V106" s="36"/>
      <c r="W106" s="36"/>
      <c r="X106" s="37"/>
      <c r="Y106" s="208"/>
      <c r="Z106" s="615"/>
      <c r="AA106" s="36"/>
      <c r="AB106" s="36"/>
      <c r="AC106" s="36"/>
      <c r="AD106" s="36">
        <f>+AM106+BA106</f>
        <v>0</v>
      </c>
      <c r="AE106" s="225" t="s">
        <v>399</v>
      </c>
      <c r="AF106" s="36"/>
      <c r="AG106" s="36">
        <v>0</v>
      </c>
      <c r="AH106" s="36"/>
      <c r="AI106" s="461"/>
      <c r="AJ106" s="36"/>
      <c r="AK106" s="36"/>
      <c r="AL106" s="36"/>
      <c r="AM106" s="36">
        <f>SUM(AF106:AL106)+AT106+AV106+AX106</f>
        <v>0</v>
      </c>
      <c r="AN106" s="83"/>
      <c r="AO106" s="36"/>
      <c r="AP106" s="36"/>
      <c r="AQ106" s="36"/>
      <c r="AR106" s="36">
        <f>SUM(AN106:AQ106)</f>
        <v>0</v>
      </c>
      <c r="AS106" s="36"/>
      <c r="AT106" s="36"/>
      <c r="AU106" s="36"/>
      <c r="AV106" s="36"/>
      <c r="AW106" s="36"/>
      <c r="AX106" s="36"/>
      <c r="AY106" s="36"/>
      <c r="AZ106" s="36"/>
      <c r="BA106" s="36">
        <f>+AR106+AS106+AU106+AW106+AY106+AZ106</f>
        <v>0</v>
      </c>
      <c r="BB106" s="49"/>
      <c r="BC106" s="50">
        <v>0</v>
      </c>
      <c r="BD106" s="50"/>
      <c r="BE106" s="50"/>
      <c r="BF106" s="50"/>
    </row>
    <row r="107" spans="1:58" ht="12.95" customHeight="1">
      <c r="A107" s="39"/>
      <c r="B107" s="40"/>
      <c r="C107" s="416"/>
      <c r="D107" s="40"/>
      <c r="E107" s="41"/>
      <c r="F107" s="41"/>
      <c r="G107" s="42"/>
      <c r="H107" s="534"/>
      <c r="I107" s="44"/>
      <c r="J107" s="82"/>
      <c r="K107" s="82"/>
      <c r="L107" s="34"/>
      <c r="M107" s="34"/>
      <c r="N107" s="45"/>
      <c r="O107" s="46"/>
      <c r="P107" s="47"/>
      <c r="Q107" s="46"/>
      <c r="R107" s="384"/>
      <c r="S107" s="384"/>
      <c r="T107" s="36"/>
      <c r="U107" s="36"/>
      <c r="V107" s="36"/>
      <c r="W107" s="36"/>
      <c r="X107" s="37"/>
      <c r="Y107" s="208"/>
      <c r="Z107" s="615"/>
      <c r="AA107" s="48"/>
      <c r="AB107" s="36"/>
      <c r="AC107" s="36"/>
      <c r="AD107" s="36">
        <f>+AM107+BA107</f>
        <v>20</v>
      </c>
      <c r="AE107" s="225" t="s">
        <v>541</v>
      </c>
      <c r="AF107" s="32"/>
      <c r="AG107" s="32"/>
      <c r="AH107" s="32">
        <v>20</v>
      </c>
      <c r="AJ107" s="36"/>
      <c r="AK107" s="36"/>
      <c r="AL107" s="36"/>
      <c r="AM107" s="36">
        <f>SUM(AF107:AL107)+AT107+AV107+AX107</f>
        <v>20</v>
      </c>
      <c r="AN107" s="36"/>
      <c r="AO107" s="36"/>
      <c r="AP107" s="36"/>
      <c r="AQ107" s="36"/>
      <c r="AR107" s="36">
        <f>SUM(AN107:AQ107)</f>
        <v>0</v>
      </c>
      <c r="AS107" s="36"/>
      <c r="AT107" s="36"/>
      <c r="AU107" s="36"/>
      <c r="AV107" s="36"/>
      <c r="AW107" s="36"/>
      <c r="AX107" s="36"/>
      <c r="AY107" s="36"/>
      <c r="AZ107" s="36"/>
      <c r="BA107" s="36">
        <f>+AR107+AS107+AU107+AW107+AY107+AZ107</f>
        <v>0</v>
      </c>
      <c r="BB107" s="32"/>
      <c r="BC107" s="52"/>
      <c r="BD107" s="50"/>
      <c r="BE107" s="50"/>
      <c r="BF107" s="50"/>
    </row>
    <row r="108" spans="1:58" ht="12.95" customHeight="1">
      <c r="A108" s="39"/>
      <c r="B108" s="40"/>
      <c r="C108" s="416"/>
      <c r="D108" s="40"/>
      <c r="E108" s="41"/>
      <c r="F108" s="41"/>
      <c r="G108" s="459"/>
      <c r="H108" s="534"/>
      <c r="I108" s="44"/>
      <c r="J108" s="82"/>
      <c r="K108" s="82"/>
      <c r="L108" s="34"/>
      <c r="M108" s="34"/>
      <c r="N108" s="45"/>
      <c r="O108" s="46"/>
      <c r="P108" s="47"/>
      <c r="Q108" s="46"/>
      <c r="R108" s="384"/>
      <c r="S108" s="384"/>
      <c r="T108" s="36"/>
      <c r="U108" s="36"/>
      <c r="V108" s="36"/>
      <c r="W108" s="36"/>
      <c r="X108" s="381"/>
      <c r="Y108" s="208"/>
      <c r="Z108" s="615"/>
      <c r="AA108" s="48"/>
      <c r="AB108" s="48"/>
      <c r="AC108" s="36"/>
      <c r="AD108" s="36"/>
      <c r="AE108" s="225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2"/>
      <c r="BC108" s="50"/>
      <c r="BD108" s="50"/>
      <c r="BE108" s="50"/>
      <c r="BF108" s="50"/>
    </row>
    <row r="109" spans="1:58" ht="12.95" customHeight="1">
      <c r="A109" s="39">
        <v>46136</v>
      </c>
      <c r="B109" s="40" t="s">
        <v>649</v>
      </c>
      <c r="C109" s="416">
        <f>(M109*E109*O109*Q109)/100000000</f>
        <v>51.081029999999998</v>
      </c>
      <c r="D109" s="40" t="s">
        <v>276</v>
      </c>
      <c r="E109" s="41">
        <v>13</v>
      </c>
      <c r="F109" s="41">
        <v>1</v>
      </c>
      <c r="G109" s="42">
        <v>1350</v>
      </c>
      <c r="H109" s="534">
        <f>+N109</f>
        <v>0.25</v>
      </c>
      <c r="I109" s="44">
        <v>0.88</v>
      </c>
      <c r="J109" s="82">
        <f>E109*G109*(1-H109)*1440/1000000*2.87</f>
        <v>54.397980000000004</v>
      </c>
      <c r="K109" s="82">
        <f>(IF(G109&lt;L109,L109,G109)*(1-IF(H109&lt;N109,H109,N109))*E109*O109*Q109)/100000000</f>
        <v>51.081029999999998</v>
      </c>
      <c r="L109" s="34">
        <v>1350</v>
      </c>
      <c r="M109" s="34">
        <v>1012.5</v>
      </c>
      <c r="N109" s="45">
        <f>1-(M109/L109)</f>
        <v>0.25</v>
      </c>
      <c r="O109" s="46">
        <f>+'Trim Rwd'!H71</f>
        <v>269.5</v>
      </c>
      <c r="P109" s="47">
        <f>O109*(Q109-R109-S109)</f>
        <v>381612</v>
      </c>
      <c r="Q109" s="46">
        <v>1440</v>
      </c>
      <c r="R109" s="384">
        <v>0</v>
      </c>
      <c r="S109" s="384">
        <v>24</v>
      </c>
      <c r="T109" s="36">
        <f>E109*M109*O109*Q109/100000000</f>
        <v>51.081029999999998</v>
      </c>
      <c r="U109" s="36">
        <f>E109*M109*O109*(Q109-R109-S109)/100000000</f>
        <v>50.229679500000003</v>
      </c>
      <c r="V109" s="36">
        <f>E109*G109*(1-N109)*O109/100*(R109+S109)/1000000</f>
        <v>0.85135050000000001</v>
      </c>
      <c r="W109" s="36">
        <f>+'24'!K34/1000</f>
        <v>53.771000000000001</v>
      </c>
      <c r="X109" s="381">
        <f>SUM(W109:W112)/SUM(K109:K112)</f>
        <v>1.0526608410206295</v>
      </c>
      <c r="Y109" s="36">
        <v>0</v>
      </c>
      <c r="Z109" s="615">
        <v>0</v>
      </c>
      <c r="AA109" s="48">
        <f>SUM(U109:U112)-SUM(W109:W112)-SUM(Z109:Z112)-SUM(Y109:Y112)</f>
        <v>-3.5413204999999977</v>
      </c>
      <c r="AB109" s="48">
        <f>(SUM(K109:K112)-SUM(W109:W112)-SUM(Y109:Y112)-SUM(Z109:Z112)-SUM(AC109:AC112)-SUM(V109:V112))-AA109</f>
        <v>-4.8849813083506888E-15</v>
      </c>
      <c r="AC109" s="36">
        <f>K109-T109</f>
        <v>0</v>
      </c>
      <c r="AD109" s="36">
        <f>+AM109+BA109</f>
        <v>0</v>
      </c>
      <c r="AE109" s="225" t="s">
        <v>385</v>
      </c>
      <c r="AF109" s="36">
        <v>0</v>
      </c>
      <c r="AG109" s="36"/>
      <c r="AH109" s="36"/>
      <c r="AI109" s="36"/>
      <c r="AJ109" s="36"/>
      <c r="AK109" s="36"/>
      <c r="AL109" s="36"/>
      <c r="AM109" s="36">
        <f>SUM(AF109:AL109)+AT109+AV109+AX109</f>
        <v>0</v>
      </c>
      <c r="AN109" s="36"/>
      <c r="AO109" s="36"/>
      <c r="AP109" s="36"/>
      <c r="AQ109" s="36"/>
      <c r="AR109" s="36">
        <f>SUM(AN109:AQ109)</f>
        <v>0</v>
      </c>
      <c r="AS109" s="36"/>
      <c r="AT109" s="36"/>
      <c r="AU109" s="36"/>
      <c r="AV109" s="36"/>
      <c r="AW109" s="36"/>
      <c r="AX109" s="36"/>
      <c r="AY109" s="36"/>
      <c r="AZ109" s="36"/>
      <c r="BA109" s="36">
        <f>+AR109+AS109+AU109+AW109+AY109+AZ109</f>
        <v>0</v>
      </c>
      <c r="BB109" s="32">
        <v>0</v>
      </c>
      <c r="BC109" s="50"/>
      <c r="BD109" s="50"/>
      <c r="BE109" s="50"/>
      <c r="BF109" s="50"/>
    </row>
    <row r="110" spans="1:58" ht="12.95" customHeight="1">
      <c r="A110" s="39"/>
      <c r="B110" s="40"/>
      <c r="C110" s="416"/>
      <c r="D110" s="40"/>
      <c r="E110" s="41"/>
      <c r="F110" s="41"/>
      <c r="G110" s="459"/>
      <c r="H110" s="534"/>
      <c r="I110" s="44"/>
      <c r="J110" s="82"/>
      <c r="K110" s="82"/>
      <c r="L110" s="34"/>
      <c r="M110" s="34"/>
      <c r="N110" s="45"/>
      <c r="O110" s="46"/>
      <c r="P110" s="47"/>
      <c r="Q110" s="46"/>
      <c r="R110" s="384"/>
      <c r="S110" s="384"/>
      <c r="T110" s="36"/>
      <c r="U110" s="36"/>
      <c r="V110" s="36"/>
      <c r="W110" s="36"/>
      <c r="X110" s="37"/>
      <c r="Y110" s="208"/>
      <c r="Z110" s="615"/>
      <c r="AA110" s="36"/>
      <c r="AB110" s="48"/>
      <c r="AC110" s="36"/>
      <c r="AD110" s="36">
        <f>+AM110+BA110</f>
        <v>2</v>
      </c>
      <c r="AE110" s="225" t="s">
        <v>419</v>
      </c>
      <c r="AF110" s="36"/>
      <c r="AG110" s="36">
        <v>2</v>
      </c>
      <c r="AH110" s="36"/>
      <c r="AI110" s="461"/>
      <c r="AJ110" s="36"/>
      <c r="AK110" s="36"/>
      <c r="AL110" s="36"/>
      <c r="AM110" s="36">
        <f>SUM(AF110:AL110)+AT110+AV110+AX110</f>
        <v>2</v>
      </c>
      <c r="AN110" s="36"/>
      <c r="AO110" s="36"/>
      <c r="AP110" s="36"/>
      <c r="AQ110" s="36"/>
      <c r="AR110" s="36">
        <f>SUM(AN110:AQ110)</f>
        <v>0</v>
      </c>
      <c r="AS110" s="36"/>
      <c r="AT110" s="36"/>
      <c r="AU110" s="36"/>
      <c r="AV110" s="36"/>
      <c r="AW110" s="36"/>
      <c r="AX110" s="36"/>
      <c r="AY110" s="36"/>
      <c r="AZ110" s="36"/>
      <c r="BA110" s="36">
        <f>+AR110+AS110+AU110+AW110+AY110+AZ110</f>
        <v>0</v>
      </c>
      <c r="BB110" s="32"/>
      <c r="BC110" s="50">
        <v>1</v>
      </c>
      <c r="BD110" s="50"/>
      <c r="BE110" s="50"/>
      <c r="BF110" s="50"/>
    </row>
    <row r="111" spans="1:58" ht="12.95" customHeight="1">
      <c r="A111" s="39"/>
      <c r="B111" s="531"/>
      <c r="C111" s="532"/>
      <c r="D111" s="531"/>
      <c r="E111" s="41"/>
      <c r="F111" s="41"/>
      <c r="G111" s="533"/>
      <c r="H111" s="534"/>
      <c r="I111" s="44"/>
      <c r="J111" s="82"/>
      <c r="K111" s="82"/>
      <c r="L111" s="535"/>
      <c r="M111" s="535"/>
      <c r="N111" s="45"/>
      <c r="O111" s="46"/>
      <c r="P111" s="47"/>
      <c r="Q111" s="46"/>
      <c r="R111" s="536"/>
      <c r="S111" s="536"/>
      <c r="T111" s="36"/>
      <c r="U111" s="36"/>
      <c r="V111" s="36"/>
      <c r="W111" s="36"/>
      <c r="X111" s="37"/>
      <c r="Y111" s="208"/>
      <c r="Z111" s="615"/>
      <c r="AA111" s="36"/>
      <c r="AB111" s="36"/>
      <c r="AC111" s="36"/>
      <c r="AD111" s="36">
        <f>+AM111+BA111</f>
        <v>22</v>
      </c>
      <c r="AE111" s="225" t="s">
        <v>675</v>
      </c>
      <c r="AF111" s="36"/>
      <c r="AG111" s="36"/>
      <c r="AH111" s="36">
        <v>22</v>
      </c>
      <c r="AI111" s="461"/>
      <c r="AJ111" s="36"/>
      <c r="AK111" s="36"/>
      <c r="AL111" s="36"/>
      <c r="AM111" s="36">
        <f>SUM(AF111:AL111)+AT111+AV111+AX111</f>
        <v>22</v>
      </c>
      <c r="AN111" s="83"/>
      <c r="AO111" s="36"/>
      <c r="AP111" s="36"/>
      <c r="AQ111" s="36"/>
      <c r="AR111" s="36">
        <f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>
        <f>+AR111+AS111+AU111+AW111+AY111+AZ111</f>
        <v>0</v>
      </c>
      <c r="BB111" s="49"/>
      <c r="BC111" s="50"/>
      <c r="BD111" s="50"/>
      <c r="BE111" s="50"/>
      <c r="BF111" s="50"/>
    </row>
    <row r="112" spans="1:58" ht="12.95" customHeight="1">
      <c r="A112" s="39"/>
      <c r="B112" s="40"/>
      <c r="C112" s="416"/>
      <c r="D112" s="40"/>
      <c r="E112" s="41"/>
      <c r="F112" s="41"/>
      <c r="G112" s="42"/>
      <c r="H112" s="534"/>
      <c r="I112" s="44"/>
      <c r="J112" s="82"/>
      <c r="K112" s="82"/>
      <c r="L112" s="34"/>
      <c r="M112" s="34"/>
      <c r="N112" s="45"/>
      <c r="O112" s="46"/>
      <c r="P112" s="47"/>
      <c r="Q112" s="46"/>
      <c r="R112" s="384"/>
      <c r="S112" s="384"/>
      <c r="T112" s="36"/>
      <c r="U112" s="36"/>
      <c r="V112" s="36"/>
      <c r="W112" s="36"/>
      <c r="X112" s="37"/>
      <c r="Y112" s="208"/>
      <c r="Z112" s="615"/>
      <c r="AA112" s="48"/>
      <c r="AB112" s="36"/>
      <c r="AC112" s="36"/>
      <c r="AD112" s="36"/>
      <c r="AE112" s="225"/>
      <c r="AF112" s="32"/>
      <c r="AG112" s="32"/>
      <c r="AH112" s="32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2"/>
      <c r="BC112" s="52"/>
      <c r="BD112" s="52"/>
      <c r="BE112" s="32"/>
      <c r="BF112" s="52"/>
    </row>
    <row r="113" spans="1:58" ht="12.95" customHeight="1">
      <c r="A113" s="39">
        <v>46137</v>
      </c>
      <c r="B113" s="40" t="s">
        <v>649</v>
      </c>
      <c r="C113" s="416">
        <f>(M113*E113*O113*Q113)/100000000</f>
        <v>51.081029999999998</v>
      </c>
      <c r="D113" s="40" t="s">
        <v>276</v>
      </c>
      <c r="E113" s="41">
        <v>13</v>
      </c>
      <c r="F113" s="41">
        <v>1</v>
      </c>
      <c r="G113" s="459">
        <v>1350</v>
      </c>
      <c r="H113" s="534">
        <f>+N113</f>
        <v>0.25</v>
      </c>
      <c r="I113" s="44">
        <v>0.88</v>
      </c>
      <c r="J113" s="82">
        <f>E113*G113*(1-H113)*1440/1000000*2.87</f>
        <v>54.397980000000004</v>
      </c>
      <c r="K113" s="82">
        <f>(IF(G113&lt;L113,L113,G113)*(1-IF(H113&lt;N113,H113,N113))*E113*O113*Q113)/100000000</f>
        <v>51.081029999999998</v>
      </c>
      <c r="L113" s="34">
        <v>1350</v>
      </c>
      <c r="M113" s="34">
        <v>1012.5</v>
      </c>
      <c r="N113" s="45">
        <f>1-(M113/L113)</f>
        <v>0.25</v>
      </c>
      <c r="O113" s="46">
        <f>+'Trim Rwd'!H73</f>
        <v>269.5</v>
      </c>
      <c r="P113" s="47">
        <f>O113*(Q113-R113-S113)</f>
        <v>381612</v>
      </c>
      <c r="Q113" s="46">
        <v>1440</v>
      </c>
      <c r="R113" s="384">
        <v>0</v>
      </c>
      <c r="S113" s="384">
        <v>24</v>
      </c>
      <c r="T113" s="36">
        <f>E113*M113*O113*Q113/100000000</f>
        <v>51.081029999999998</v>
      </c>
      <c r="U113" s="36">
        <f>E113*M113*O113*(Q113-R113-S113)/100000000</f>
        <v>50.229679500000003</v>
      </c>
      <c r="V113" s="36">
        <f>E113*G113*(1-N113)*O113/100*(R113+S113)/1000000</f>
        <v>0.85135050000000001</v>
      </c>
      <c r="W113" s="36">
        <f>+'25'!K34/1000</f>
        <v>43.970999999999997</v>
      </c>
      <c r="X113" s="381">
        <f>SUM(W113:W116)/SUM(K113:K116)</f>
        <v>0.86080879731673376</v>
      </c>
      <c r="Y113" s="36">
        <v>0</v>
      </c>
      <c r="Z113" s="615">
        <f>+'25'!D34/1000</f>
        <v>0.28000000000000003</v>
      </c>
      <c r="AA113" s="48">
        <f>SUM(U113:U116)-SUM(W113:W116)-SUM(Z113:Z116)-SUM(Y113:Y116)</f>
        <v>5.9786795000000064</v>
      </c>
      <c r="AB113" s="48">
        <f>(SUM(K113:K116)-SUM(W113:W116)-SUM(Y113:Y116)-SUM(Z113:Z116)-SUM(AC113:AC116)-SUM(V113:V116))-AA113</f>
        <v>0</v>
      </c>
      <c r="AC113" s="36">
        <f>K113-T113</f>
        <v>0</v>
      </c>
      <c r="AD113" s="36">
        <f>+AM113+BA113</f>
        <v>0</v>
      </c>
      <c r="AE113" s="225" t="s">
        <v>385</v>
      </c>
      <c r="AF113" s="36">
        <v>0</v>
      </c>
      <c r="AG113" s="36"/>
      <c r="AH113" s="36"/>
      <c r="AI113" s="36"/>
      <c r="AJ113" s="36"/>
      <c r="AK113" s="36"/>
      <c r="AL113" s="36"/>
      <c r="AM113" s="36">
        <f>SUM(AF113:AL113)+AT113+AV113+AX113</f>
        <v>0</v>
      </c>
      <c r="AN113" s="36"/>
      <c r="AO113" s="36"/>
      <c r="AP113" s="36"/>
      <c r="AQ113" s="36"/>
      <c r="AR113" s="36">
        <f>SUM(AN113:AQ113)</f>
        <v>0</v>
      </c>
      <c r="AS113" s="36"/>
      <c r="AT113" s="36"/>
      <c r="AU113" s="36"/>
      <c r="AV113" s="36"/>
      <c r="AW113" s="36"/>
      <c r="AX113" s="36"/>
      <c r="AY113" s="36"/>
      <c r="AZ113" s="36"/>
      <c r="BA113" s="36">
        <f>+AR113+AS113+AU113+AW113+AY113+AZ113</f>
        <v>0</v>
      </c>
      <c r="BB113" s="32">
        <v>0</v>
      </c>
      <c r="BC113" s="50"/>
      <c r="BD113" s="50"/>
      <c r="BE113" s="50"/>
      <c r="BF113" s="50"/>
    </row>
    <row r="114" spans="1:58" ht="12.95" customHeight="1">
      <c r="A114" s="39"/>
      <c r="B114" s="40"/>
      <c r="C114" s="416"/>
      <c r="D114" s="40"/>
      <c r="E114" s="41"/>
      <c r="F114" s="41"/>
      <c r="G114" s="459"/>
      <c r="H114" s="534"/>
      <c r="I114" s="44"/>
      <c r="J114" s="82"/>
      <c r="K114" s="82"/>
      <c r="L114" s="34"/>
      <c r="M114" s="34"/>
      <c r="N114" s="45"/>
      <c r="O114" s="46"/>
      <c r="P114" s="47"/>
      <c r="Q114" s="46"/>
      <c r="R114" s="384"/>
      <c r="S114" s="384"/>
      <c r="T114" s="36"/>
      <c r="U114" s="36"/>
      <c r="V114" s="36"/>
      <c r="W114" s="36"/>
      <c r="X114" s="37"/>
      <c r="Y114" s="208"/>
      <c r="Z114" s="615"/>
      <c r="AA114" s="36"/>
      <c r="AB114" s="48"/>
      <c r="AC114" s="36"/>
      <c r="AD114" s="36">
        <f>+AM114+BA114</f>
        <v>3</v>
      </c>
      <c r="AE114" s="225" t="s">
        <v>420</v>
      </c>
      <c r="AF114" s="36"/>
      <c r="AG114" s="36">
        <v>3</v>
      </c>
      <c r="AH114" s="36"/>
      <c r="AI114" s="36"/>
      <c r="AJ114" s="36"/>
      <c r="AK114" s="36"/>
      <c r="AL114" s="36"/>
      <c r="AM114" s="36">
        <f>SUM(AF114:AL114)+AT114+AV114+AX114</f>
        <v>3</v>
      </c>
      <c r="AN114" s="36"/>
      <c r="AO114" s="36"/>
      <c r="AP114" s="36"/>
      <c r="AQ114" s="36"/>
      <c r="AR114" s="36">
        <f>SUM(AN114:AQ114)</f>
        <v>0</v>
      </c>
      <c r="AS114" s="36"/>
      <c r="AT114" s="36"/>
      <c r="AU114" s="36"/>
      <c r="AV114" s="36"/>
      <c r="AW114" s="36"/>
      <c r="AX114" s="36"/>
      <c r="AY114" s="36"/>
      <c r="AZ114" s="36"/>
      <c r="BA114" s="36">
        <f>+AR114+AS114+AU114+AW114+AY114+AZ114</f>
        <v>0</v>
      </c>
      <c r="BB114" s="32"/>
      <c r="BC114" s="50">
        <v>2</v>
      </c>
      <c r="BD114" s="50"/>
      <c r="BE114" s="50"/>
      <c r="BF114" s="50"/>
    </row>
    <row r="115" spans="1:58" ht="12.95" customHeight="1">
      <c r="A115" s="39"/>
      <c r="B115" s="40"/>
      <c r="C115" s="416"/>
      <c r="D115" s="40"/>
      <c r="E115" s="41"/>
      <c r="F115" s="41"/>
      <c r="G115" s="459"/>
      <c r="H115" s="534"/>
      <c r="I115" s="44"/>
      <c r="J115" s="82"/>
      <c r="K115" s="82"/>
      <c r="L115" s="34"/>
      <c r="M115" s="34"/>
      <c r="N115" s="45"/>
      <c r="O115" s="46"/>
      <c r="P115" s="47"/>
      <c r="Q115" s="46"/>
      <c r="R115" s="384"/>
      <c r="S115" s="384"/>
      <c r="T115" s="36"/>
      <c r="U115" s="36"/>
      <c r="V115" s="36"/>
      <c r="W115" s="36"/>
      <c r="X115" s="37"/>
      <c r="Y115" s="208"/>
      <c r="Z115" s="615"/>
      <c r="AA115" s="36"/>
      <c r="AB115" s="48"/>
      <c r="AC115" s="36"/>
      <c r="AD115" s="36">
        <f>+AM115+BA115</f>
        <v>21</v>
      </c>
      <c r="AE115" s="225" t="s">
        <v>675</v>
      </c>
      <c r="AF115" s="36"/>
      <c r="AG115" s="36"/>
      <c r="AH115" s="36">
        <v>21</v>
      </c>
      <c r="AI115" s="461"/>
      <c r="AJ115" s="36"/>
      <c r="AK115" s="36"/>
      <c r="AL115" s="36"/>
      <c r="AM115" s="36">
        <f>SUM(AF115:AL115)+AT115+AV115+AX115</f>
        <v>21</v>
      </c>
      <c r="AN115" s="36"/>
      <c r="AO115" s="36"/>
      <c r="AP115" s="36"/>
      <c r="AQ115" s="36"/>
      <c r="AR115" s="36">
        <f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>
        <f>+AR115+AS115+AU115+AW115+AY115+AZ115</f>
        <v>0</v>
      </c>
      <c r="BB115" s="32"/>
      <c r="BC115" s="50"/>
      <c r="BD115" s="50"/>
      <c r="BE115" s="50"/>
      <c r="BF115" s="50"/>
    </row>
    <row r="116" spans="1:58" ht="12.95" customHeight="1">
      <c r="A116" s="39"/>
      <c r="B116" s="531"/>
      <c r="C116" s="532"/>
      <c r="D116" s="531"/>
      <c r="E116" s="41"/>
      <c r="F116" s="41"/>
      <c r="G116" s="533"/>
      <c r="H116" s="534"/>
      <c r="I116" s="44"/>
      <c r="J116" s="82"/>
      <c r="K116" s="82"/>
      <c r="L116" s="535"/>
      <c r="M116" s="535"/>
      <c r="N116" s="45"/>
      <c r="O116" s="46"/>
      <c r="P116" s="47"/>
      <c r="Q116" s="46"/>
      <c r="R116" s="536"/>
      <c r="S116" s="536"/>
      <c r="T116" s="36"/>
      <c r="U116" s="36"/>
      <c r="V116" s="36"/>
      <c r="W116" s="36"/>
      <c r="X116" s="37"/>
      <c r="Y116" s="208"/>
      <c r="Z116" s="615"/>
      <c r="AA116" s="48"/>
      <c r="AB116" s="36"/>
      <c r="AC116" s="36"/>
      <c r="AD116" s="36"/>
      <c r="AE116" s="225"/>
      <c r="AF116" s="36"/>
      <c r="AG116" s="36"/>
      <c r="AH116" s="36"/>
      <c r="AI116" s="461"/>
      <c r="AJ116" s="36"/>
      <c r="AK116" s="36"/>
      <c r="AL116" s="36"/>
      <c r="AM116" s="36"/>
      <c r="AN116" s="83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49"/>
      <c r="BC116" s="50"/>
      <c r="BD116" s="50"/>
      <c r="BE116" s="50"/>
      <c r="BF116" s="50"/>
    </row>
    <row r="117" spans="1:58" ht="12.95" customHeight="1">
      <c r="A117" s="39">
        <v>46138</v>
      </c>
      <c r="B117" s="40" t="s">
        <v>649</v>
      </c>
      <c r="C117" s="416">
        <f>(M117*E117*O117*Q117)/100000000</f>
        <v>51.081029999999998</v>
      </c>
      <c r="D117" s="40" t="s">
        <v>276</v>
      </c>
      <c r="E117" s="41">
        <v>13</v>
      </c>
      <c r="F117" s="41">
        <v>1</v>
      </c>
      <c r="G117" s="42">
        <v>1350</v>
      </c>
      <c r="H117" s="534">
        <f>+N117</f>
        <v>0.25</v>
      </c>
      <c r="I117" s="44">
        <v>0.88</v>
      </c>
      <c r="J117" s="82">
        <f>E117*G117*(1-H117)*1440/1000000*2.87</f>
        <v>54.397980000000004</v>
      </c>
      <c r="K117" s="82">
        <f>(IF(G117&lt;L117,L117,G117)*(1-IF(H117&lt;N117,H117,N117))*E117*O117*Q117)/100000000</f>
        <v>51.081029999999998</v>
      </c>
      <c r="L117" s="34">
        <v>1350</v>
      </c>
      <c r="M117" s="34">
        <v>1012.5</v>
      </c>
      <c r="N117" s="45">
        <f>1-(M117/L117)</f>
        <v>0.25</v>
      </c>
      <c r="O117" s="46">
        <f>+'Trim Rwd'!H75</f>
        <v>269.5</v>
      </c>
      <c r="P117" s="47">
        <f>O117*(Q117-R117-S117)</f>
        <v>380803.5</v>
      </c>
      <c r="Q117" s="46">
        <v>1440</v>
      </c>
      <c r="R117" s="384">
        <v>0</v>
      </c>
      <c r="S117" s="384">
        <v>27</v>
      </c>
      <c r="T117" s="36">
        <f>E117*M117*O117*Q117/100000000</f>
        <v>51.081029999999998</v>
      </c>
      <c r="U117" s="36">
        <f>E117*M117*O117*(Q117-R117-S117)/100000000</f>
        <v>50.1232606875</v>
      </c>
      <c r="V117" s="36">
        <f>E117*G117*(1-N117)*O117/100*(R117+S117)/1000000</f>
        <v>0.95776931249999997</v>
      </c>
      <c r="W117" s="36">
        <f>+'26'!K34/1000</f>
        <v>45.142000000000003</v>
      </c>
      <c r="X117" s="381">
        <f>SUM(W117:W120)/SUM(K117:K120)</f>
        <v>0.88373315886543413</v>
      </c>
      <c r="Y117" s="36">
        <v>0</v>
      </c>
      <c r="Z117" s="615">
        <v>0</v>
      </c>
      <c r="AA117" s="48">
        <f>SUM(U117:U120)-SUM(W117:W120)-SUM(Z117:Z120)-SUM(Y117:Y120)</f>
        <v>4.9812606874999972</v>
      </c>
      <c r="AB117" s="36">
        <f>(SUM(K117:K120)-SUM(W117:W120)-SUM(Y117:Y120)-SUM(Z117:Z120)-SUM(AC117:AC120)-SUM(V117:V120))-AA117</f>
        <v>0</v>
      </c>
      <c r="AC117" s="36">
        <f>K117-T117</f>
        <v>0</v>
      </c>
      <c r="AD117" s="36">
        <f>+AM117+BA117</f>
        <v>0</v>
      </c>
      <c r="AE117" s="225" t="s">
        <v>385</v>
      </c>
      <c r="AF117" s="32">
        <v>0</v>
      </c>
      <c r="AG117" s="32"/>
      <c r="AH117" s="32"/>
      <c r="AJ117" s="36"/>
      <c r="AK117" s="36"/>
      <c r="AL117" s="36"/>
      <c r="AM117" s="36">
        <f>SUM(AF117:AL117)+AT117+AV117+AX117</f>
        <v>0</v>
      </c>
      <c r="AN117" s="36"/>
      <c r="AO117" s="36"/>
      <c r="AP117" s="36"/>
      <c r="AQ117" s="36"/>
      <c r="AR117" s="36">
        <f>SUM(AN117:AQ117)</f>
        <v>0</v>
      </c>
      <c r="AS117" s="36"/>
      <c r="AT117" s="36"/>
      <c r="AU117" s="36"/>
      <c r="AV117" s="36"/>
      <c r="AW117" s="36"/>
      <c r="AX117" s="36"/>
      <c r="AY117" s="36"/>
      <c r="AZ117" s="36"/>
      <c r="BA117" s="36">
        <f>+AR117+AS117+AU117+AW117+AY117+AZ117</f>
        <v>0</v>
      </c>
      <c r="BB117" s="32">
        <v>0</v>
      </c>
      <c r="BC117" s="52"/>
      <c r="BD117" s="52"/>
      <c r="BE117" s="32"/>
      <c r="BF117" s="52"/>
    </row>
    <row r="118" spans="1:58" ht="12.95" customHeight="1">
      <c r="A118" s="39"/>
      <c r="B118" s="40"/>
      <c r="C118" s="416"/>
      <c r="D118" s="40"/>
      <c r="E118" s="41"/>
      <c r="F118" s="41"/>
      <c r="G118" s="459"/>
      <c r="H118" s="534"/>
      <c r="I118" s="44"/>
      <c r="J118" s="82"/>
      <c r="K118" s="82"/>
      <c r="L118" s="34"/>
      <c r="M118" s="34"/>
      <c r="N118" s="45"/>
      <c r="O118" s="46"/>
      <c r="P118" s="47"/>
      <c r="Q118" s="46"/>
      <c r="R118" s="384"/>
      <c r="S118" s="384"/>
      <c r="T118" s="36"/>
      <c r="U118" s="36"/>
      <c r="V118" s="36"/>
      <c r="W118" s="36"/>
      <c r="X118" s="37"/>
      <c r="Y118" s="208"/>
      <c r="Z118" s="615"/>
      <c r="AA118" s="36"/>
      <c r="AB118" s="48"/>
      <c r="AC118" s="36"/>
      <c r="AD118" s="36">
        <f>+AM118+BA118</f>
        <v>1</v>
      </c>
      <c r="AE118" s="225" t="s">
        <v>419</v>
      </c>
      <c r="AF118" s="36"/>
      <c r="AG118" s="36">
        <v>1</v>
      </c>
      <c r="AH118" s="36"/>
      <c r="AI118" s="36"/>
      <c r="AJ118" s="36"/>
      <c r="AK118" s="36"/>
      <c r="AL118" s="36"/>
      <c r="AM118" s="36">
        <f>SUM(AF118:AL118)+AT118+AV118+AX118</f>
        <v>1</v>
      </c>
      <c r="AN118" s="36"/>
      <c r="AO118" s="36"/>
      <c r="AP118" s="36"/>
      <c r="AQ118" s="36"/>
      <c r="AR118" s="36">
        <f>SUM(AN118:AQ118)</f>
        <v>0</v>
      </c>
      <c r="AS118" s="36"/>
      <c r="AT118" s="36"/>
      <c r="AU118" s="36"/>
      <c r="AV118" s="36"/>
      <c r="AW118" s="36"/>
      <c r="AX118" s="36"/>
      <c r="AY118" s="36"/>
      <c r="AZ118" s="36"/>
      <c r="BA118" s="36">
        <f>+AR118+AS118+AU118+AW118+AY118+AZ118</f>
        <v>0</v>
      </c>
      <c r="BB118" s="32"/>
      <c r="BC118" s="50">
        <v>1</v>
      </c>
      <c r="BD118" s="50"/>
      <c r="BE118" s="50"/>
      <c r="BF118" s="50"/>
    </row>
    <row r="119" spans="1:58" ht="12.95" customHeight="1">
      <c r="A119" s="39"/>
      <c r="B119" s="40"/>
      <c r="C119" s="416"/>
      <c r="D119" s="40"/>
      <c r="E119" s="41"/>
      <c r="F119" s="41"/>
      <c r="G119" s="459"/>
      <c r="H119" s="534"/>
      <c r="I119" s="44"/>
      <c r="J119" s="82"/>
      <c r="K119" s="82"/>
      <c r="L119" s="34"/>
      <c r="M119" s="34"/>
      <c r="N119" s="45"/>
      <c r="O119" s="46"/>
      <c r="P119" s="47"/>
      <c r="Q119" s="46"/>
      <c r="R119" s="384"/>
      <c r="S119" s="384"/>
      <c r="T119" s="36"/>
      <c r="U119" s="36"/>
      <c r="V119" s="36"/>
      <c r="W119" s="36"/>
      <c r="X119" s="37"/>
      <c r="Y119" s="208"/>
      <c r="Z119" s="615"/>
      <c r="AA119" s="36"/>
      <c r="AB119" s="48"/>
      <c r="AC119" s="36"/>
      <c r="AD119" s="36">
        <f>+AM119+BA119</f>
        <v>26</v>
      </c>
      <c r="AE119" s="225" t="s">
        <v>675</v>
      </c>
      <c r="AF119" s="36"/>
      <c r="AG119" s="36"/>
      <c r="AH119" s="36">
        <v>26</v>
      </c>
      <c r="AI119" s="36"/>
      <c r="AJ119" s="36"/>
      <c r="AK119" s="36"/>
      <c r="AL119" s="36"/>
      <c r="AM119" s="36">
        <f>SUM(AF119:AL119)+AT119+AV119+AX119</f>
        <v>26</v>
      </c>
      <c r="AN119" s="36"/>
      <c r="AO119" s="36"/>
      <c r="AP119" s="36"/>
      <c r="AQ119" s="36"/>
      <c r="AR119" s="36">
        <f>SUM(AN119:AQ119)</f>
        <v>0</v>
      </c>
      <c r="AS119" s="36"/>
      <c r="AT119" s="36"/>
      <c r="AU119" s="36"/>
      <c r="AV119" s="36"/>
      <c r="AW119" s="36"/>
      <c r="AX119" s="36"/>
      <c r="AY119" s="36"/>
      <c r="AZ119" s="36"/>
      <c r="BA119" s="36">
        <f>+AR119+AS119+AU119+AW119+AY119+AZ119</f>
        <v>0</v>
      </c>
      <c r="BB119" s="32"/>
      <c r="BC119" s="50"/>
      <c r="BD119" s="50"/>
      <c r="BE119" s="50"/>
      <c r="BF119" s="50"/>
    </row>
    <row r="120" spans="1:58" ht="12.95" customHeight="1">
      <c r="A120" s="39"/>
      <c r="B120" s="40"/>
      <c r="C120" s="416"/>
      <c r="D120" s="40"/>
      <c r="E120" s="41"/>
      <c r="F120" s="41"/>
      <c r="G120" s="459"/>
      <c r="H120" s="534"/>
      <c r="I120" s="44"/>
      <c r="J120" s="82"/>
      <c r="K120" s="82"/>
      <c r="L120" s="34"/>
      <c r="M120" s="34"/>
      <c r="N120" s="45"/>
      <c r="O120" s="46"/>
      <c r="P120" s="47"/>
      <c r="Q120" s="46"/>
      <c r="R120" s="384"/>
      <c r="S120" s="384"/>
      <c r="T120" s="36"/>
      <c r="U120" s="36"/>
      <c r="V120" s="36"/>
      <c r="W120" s="36"/>
      <c r="X120" s="37"/>
      <c r="Y120" s="208"/>
      <c r="Z120" s="615"/>
      <c r="AA120" s="48"/>
      <c r="AB120" s="36"/>
      <c r="AC120" s="36"/>
      <c r="AD120" s="36"/>
      <c r="AE120" s="225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2"/>
      <c r="BC120" s="50"/>
      <c r="BD120" s="50"/>
      <c r="BE120" s="50"/>
      <c r="BF120" s="50"/>
    </row>
    <row r="121" spans="1:58" ht="12.95" customHeight="1">
      <c r="A121" s="39">
        <v>46139</v>
      </c>
      <c r="B121" s="40" t="s">
        <v>649</v>
      </c>
      <c r="C121" s="416">
        <f>(M121*E121*O121*Q121)/100000000</f>
        <v>41.609755687499998</v>
      </c>
      <c r="D121" s="40" t="s">
        <v>276</v>
      </c>
      <c r="E121" s="41">
        <v>13</v>
      </c>
      <c r="F121" s="41">
        <v>1</v>
      </c>
      <c r="G121" s="459">
        <v>1350</v>
      </c>
      <c r="H121" s="534">
        <f>+N121</f>
        <v>0.25</v>
      </c>
      <c r="I121" s="44">
        <v>0.88</v>
      </c>
      <c r="J121" s="82">
        <f>E121*G121*(1-H121)*1440/1000000*2.87</f>
        <v>54.397980000000004</v>
      </c>
      <c r="K121" s="82">
        <f>(IF(G121&lt;L121,L121,G121)*(1-IF(H121&lt;N121,H121,N121))*E121*O121*Q121)/100000000</f>
        <v>41.609755687499998</v>
      </c>
      <c r="L121" s="34">
        <v>1350</v>
      </c>
      <c r="M121" s="34">
        <f>+L121-L121*0.25</f>
        <v>1012.5</v>
      </c>
      <c r="N121" s="45">
        <f>1-(M121/L121)</f>
        <v>0.25</v>
      </c>
      <c r="O121" s="46">
        <f>+'Trim Rwd'!H77</f>
        <v>269.5</v>
      </c>
      <c r="P121" s="47">
        <f>O121*(Q121-R121-S121)</f>
        <v>256833.5</v>
      </c>
      <c r="Q121" s="46">
        <v>1173</v>
      </c>
      <c r="R121" s="384">
        <v>200</v>
      </c>
      <c r="S121" s="384">
        <v>20</v>
      </c>
      <c r="T121" s="36">
        <f>E121*M121*O121*Q121/100000000</f>
        <v>41.609755687499998</v>
      </c>
      <c r="U121" s="36">
        <f>E121*M121*O121*(Q121-R121-S121)/100000000</f>
        <v>33.805709437499999</v>
      </c>
      <c r="V121" s="36">
        <f>E121*G121*(1-N121)*O121/100*(R121+S121)/1000000</f>
        <v>7.8040462499999999</v>
      </c>
      <c r="W121" s="36">
        <f>+'27'!K9/1000</f>
        <v>42.764000000000003</v>
      </c>
      <c r="X121" s="381">
        <f>SUM(W121:W124)/SUM(K121:K124)</f>
        <v>0.98523372841485601</v>
      </c>
      <c r="Y121" s="36">
        <v>0</v>
      </c>
      <c r="Z121" s="615">
        <v>0</v>
      </c>
      <c r="AA121" s="48">
        <f>SUM(U121:U124)-SUM(W121:W124)-SUM(Z121:Z124)-SUM(Y121:Y124)</f>
        <v>-7.950090562500006</v>
      </c>
      <c r="AB121" s="48">
        <f>(SUM(K121:K124)-SUM(W121:W124)-SUM(Y121:Y124)-SUM(Z121:Z124)-SUM(AC121:AC124)-SUM(V121:V124))-AA121</f>
        <v>-8.8200000000036027E-3</v>
      </c>
      <c r="AC121" s="36">
        <f>K121-T121</f>
        <v>0</v>
      </c>
      <c r="AD121" s="36">
        <f>+AM121+BA121</f>
        <v>0</v>
      </c>
      <c r="AE121" s="225" t="s">
        <v>385</v>
      </c>
      <c r="AF121" s="36">
        <v>0</v>
      </c>
      <c r="AG121" s="36"/>
      <c r="AH121" s="36"/>
      <c r="AI121" s="461"/>
      <c r="AJ121" s="36"/>
      <c r="AK121" s="36"/>
      <c r="AL121" s="36"/>
      <c r="AM121" s="36">
        <f>SUM(AF121:AL121)+AT121+AV121+AX121</f>
        <v>0</v>
      </c>
      <c r="AN121" s="36"/>
      <c r="AO121" s="36"/>
      <c r="AP121" s="36"/>
      <c r="AQ121" s="36"/>
      <c r="AR121" s="36">
        <f>SUM(AN121:AQ121)</f>
        <v>0</v>
      </c>
      <c r="AS121" s="36"/>
      <c r="AT121" s="36"/>
      <c r="AU121" s="36"/>
      <c r="AV121" s="36"/>
      <c r="AW121" s="36"/>
      <c r="AX121" s="36"/>
      <c r="AY121" s="36"/>
      <c r="AZ121" s="36"/>
      <c r="BA121" s="36">
        <f>+AR121+AS121+AU121+AW121+AY121+AZ121</f>
        <v>0</v>
      </c>
      <c r="BB121" s="32">
        <v>0</v>
      </c>
      <c r="BC121" s="50"/>
      <c r="BD121" s="50"/>
      <c r="BE121" s="50"/>
      <c r="BF121" s="50"/>
    </row>
    <row r="122" spans="1:58" ht="12.95" customHeight="1">
      <c r="A122" s="39"/>
      <c r="B122" s="40" t="s">
        <v>649</v>
      </c>
      <c r="C122" s="416">
        <f>(M122*E122*O122*Q122)/100000000</f>
        <v>9.0833399999999997</v>
      </c>
      <c r="D122" s="40" t="s">
        <v>276</v>
      </c>
      <c r="E122" s="41">
        <v>12</v>
      </c>
      <c r="F122" s="41">
        <v>1</v>
      </c>
      <c r="G122" s="459">
        <v>1400</v>
      </c>
      <c r="H122" s="534">
        <f>+N122</f>
        <v>0.25</v>
      </c>
      <c r="I122" s="44">
        <v>0.88</v>
      </c>
      <c r="J122" s="82">
        <f>E122*G122*(1-H122)*1440/1000000*2.87</f>
        <v>52.073279999999997</v>
      </c>
      <c r="K122" s="82">
        <f>(IF(G122&lt;L122,L122,G122)*(1-IF(H122&lt;N122,H122,N122))*E122*O122*Q122)/100000000</f>
        <v>9.4197600000000001</v>
      </c>
      <c r="L122" s="34">
        <v>1350</v>
      </c>
      <c r="M122" s="34">
        <f>+L122-L122*0.25</f>
        <v>1012.5</v>
      </c>
      <c r="N122" s="45">
        <f>1-(M122/L122)</f>
        <v>0.25</v>
      </c>
      <c r="O122" s="46">
        <f>+'Trim Rwd'!H78</f>
        <v>280</v>
      </c>
      <c r="P122" s="47">
        <f>O122*(Q122-R122-S122)</f>
        <v>72800</v>
      </c>
      <c r="Q122" s="46">
        <v>267</v>
      </c>
      <c r="R122" s="384">
        <v>0</v>
      </c>
      <c r="S122" s="384">
        <v>7</v>
      </c>
      <c r="T122" s="36">
        <f>E122*M122*O122*Q122/100000000</f>
        <v>9.0833399999999997</v>
      </c>
      <c r="U122" s="36">
        <f>E122*M122*O122*(Q122-R122-S122)/100000000</f>
        <v>8.8452000000000002</v>
      </c>
      <c r="V122" s="36">
        <f>E122*G122*(1-N122)*O122/100*(R122+S122)/1000000</f>
        <v>0.24696000000000001</v>
      </c>
      <c r="W122" s="36">
        <f>+'27'!K19/1000</f>
        <v>7.5119999999999996</v>
      </c>
      <c r="X122" s="37"/>
      <c r="Y122" s="208"/>
      <c r="Z122" s="615">
        <f>+'27'!D26/1000</f>
        <v>0.32500000000000001</v>
      </c>
      <c r="AA122" s="36"/>
      <c r="AB122" s="36"/>
      <c r="AC122" s="36">
        <f>K122-T122</f>
        <v>0.33642000000000039</v>
      </c>
      <c r="AD122" s="36">
        <f>+AM122+BA122</f>
        <v>2</v>
      </c>
      <c r="AE122" s="225" t="s">
        <v>420</v>
      </c>
      <c r="AF122" s="36"/>
      <c r="AG122" s="36">
        <v>2</v>
      </c>
      <c r="AH122" s="36"/>
      <c r="AI122" s="461"/>
      <c r="AJ122" s="36"/>
      <c r="AK122" s="36"/>
      <c r="AL122" s="36"/>
      <c r="AM122" s="36">
        <f>SUM(AF122:AL122)+AT122+AV122+AX122</f>
        <v>2</v>
      </c>
      <c r="AN122" s="83"/>
      <c r="AO122" s="36"/>
      <c r="AP122" s="36"/>
      <c r="AQ122" s="36"/>
      <c r="AR122" s="36">
        <f>SUM(AN122:AQ122)</f>
        <v>0</v>
      </c>
      <c r="AS122" s="36"/>
      <c r="AT122" s="36"/>
      <c r="AU122" s="36"/>
      <c r="AV122" s="36"/>
      <c r="AW122" s="36"/>
      <c r="AX122" s="36"/>
      <c r="AY122" s="36"/>
      <c r="AZ122" s="36"/>
      <c r="BA122" s="36">
        <f>+AR122+AS122+AU122+AW122+AY122+AZ122</f>
        <v>0</v>
      </c>
      <c r="BB122" s="49"/>
      <c r="BC122" s="50">
        <v>2</v>
      </c>
      <c r="BD122" s="50"/>
      <c r="BE122" s="50"/>
      <c r="BF122" s="50"/>
    </row>
    <row r="123" spans="1:58" ht="12.95" customHeight="1">
      <c r="A123" s="39"/>
      <c r="B123" s="40"/>
      <c r="C123" s="416"/>
      <c r="D123" s="40"/>
      <c r="E123" s="41"/>
      <c r="F123" s="41"/>
      <c r="G123" s="42"/>
      <c r="H123" s="534"/>
      <c r="I123" s="44"/>
      <c r="J123" s="82"/>
      <c r="K123" s="82"/>
      <c r="L123" s="34"/>
      <c r="M123" s="34"/>
      <c r="N123" s="45"/>
      <c r="O123" s="46"/>
      <c r="P123" s="47"/>
      <c r="Q123" s="46"/>
      <c r="R123" s="384"/>
      <c r="S123" s="384"/>
      <c r="T123" s="36"/>
      <c r="U123" s="36"/>
      <c r="V123" s="36"/>
      <c r="W123" s="36"/>
      <c r="X123" s="37"/>
      <c r="Y123" s="208"/>
      <c r="Z123" s="615"/>
      <c r="AA123" s="36"/>
      <c r="AB123" s="36"/>
      <c r="AC123" s="36"/>
      <c r="AD123" s="36">
        <f>+AM123+BA123</f>
        <v>25</v>
      </c>
      <c r="AE123" s="225" t="s">
        <v>541</v>
      </c>
      <c r="AF123" s="32"/>
      <c r="AG123" s="32"/>
      <c r="AH123" s="32">
        <v>25</v>
      </c>
      <c r="AJ123" s="36"/>
      <c r="AK123" s="36"/>
      <c r="AL123" s="36"/>
      <c r="AM123" s="36">
        <f>SUM(AF123:AL123)+AT123+AV123+AX123</f>
        <v>25</v>
      </c>
      <c r="AN123" s="36"/>
      <c r="AO123" s="36"/>
      <c r="AP123" s="36"/>
      <c r="AQ123" s="36"/>
      <c r="AR123" s="36">
        <f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>
        <f>+AR123+AS123+AU123+AW123+AY123+AZ123</f>
        <v>0</v>
      </c>
      <c r="BB123" s="32"/>
      <c r="BC123" s="52"/>
      <c r="BD123" s="50"/>
      <c r="BE123" s="50"/>
      <c r="BF123" s="50"/>
    </row>
    <row r="124" spans="1:58" ht="12.95" customHeight="1">
      <c r="A124" s="39"/>
      <c r="B124" s="40"/>
      <c r="C124" s="416"/>
      <c r="D124" s="40"/>
      <c r="E124" s="41"/>
      <c r="F124" s="41"/>
      <c r="G124" s="459"/>
      <c r="H124" s="534"/>
      <c r="I124" s="44"/>
      <c r="J124" s="82"/>
      <c r="K124" s="82"/>
      <c r="L124" s="34"/>
      <c r="M124" s="34"/>
      <c r="N124" s="45"/>
      <c r="O124" s="46"/>
      <c r="P124" s="47"/>
      <c r="Q124" s="46"/>
      <c r="R124" s="384"/>
      <c r="S124" s="384"/>
      <c r="T124" s="36"/>
      <c r="U124" s="36"/>
      <c r="V124" s="36"/>
      <c r="W124" s="36"/>
      <c r="X124" s="37"/>
      <c r="Y124" s="208"/>
      <c r="Z124" s="615"/>
      <c r="AA124" s="48"/>
      <c r="AB124" s="48"/>
      <c r="AC124" s="36"/>
      <c r="AD124" s="36">
        <f>+AM124+BA124</f>
        <v>200</v>
      </c>
      <c r="AE124" s="225" t="s">
        <v>716</v>
      </c>
      <c r="AF124" s="36"/>
      <c r="AG124" s="36"/>
      <c r="AH124" s="36"/>
      <c r="AI124" s="36"/>
      <c r="AJ124" s="36"/>
      <c r="AK124" s="36"/>
      <c r="AL124" s="36"/>
      <c r="AM124" s="36">
        <f>SUM(AF124:AL124)+AT124+AV124+AX124</f>
        <v>0</v>
      </c>
      <c r="AN124" s="36">
        <v>200</v>
      </c>
      <c r="AO124" s="36"/>
      <c r="AP124" s="36"/>
      <c r="AQ124" s="36"/>
      <c r="AR124" s="36">
        <f>SUM(AN124:AQ124)</f>
        <v>200</v>
      </c>
      <c r="AS124" s="36"/>
      <c r="AT124" s="36"/>
      <c r="AU124" s="36"/>
      <c r="AV124" s="36"/>
      <c r="AW124" s="36"/>
      <c r="AX124" s="36"/>
      <c r="AY124" s="36"/>
      <c r="AZ124" s="36"/>
      <c r="BA124" s="36">
        <f>+AR124+AS124+AU124+AW124+AY124+AZ124</f>
        <v>200</v>
      </c>
      <c r="BB124" s="32"/>
      <c r="BC124" s="50"/>
      <c r="BD124" s="50"/>
      <c r="BE124" s="50"/>
      <c r="BF124" s="50">
        <v>1</v>
      </c>
    </row>
    <row r="125" spans="1:58" ht="12.95" customHeight="1">
      <c r="A125" s="39"/>
      <c r="B125" s="40"/>
      <c r="C125" s="416"/>
      <c r="D125" s="40"/>
      <c r="E125" s="41"/>
      <c r="F125" s="41"/>
      <c r="G125" s="42"/>
      <c r="H125" s="534"/>
      <c r="I125" s="44"/>
      <c r="J125" s="82"/>
      <c r="K125" s="82"/>
      <c r="L125" s="34"/>
      <c r="M125" s="34"/>
      <c r="N125" s="45"/>
      <c r="O125" s="46"/>
      <c r="P125" s="47"/>
      <c r="Q125" s="46"/>
      <c r="R125" s="384"/>
      <c r="S125" s="384"/>
      <c r="T125" s="36"/>
      <c r="U125" s="36"/>
      <c r="V125" s="36"/>
      <c r="W125" s="36"/>
      <c r="X125" s="37"/>
      <c r="Y125" s="208"/>
      <c r="Z125" s="615"/>
      <c r="AA125" s="36"/>
      <c r="AB125" s="48"/>
      <c r="AC125" s="36"/>
      <c r="AD125" s="36"/>
      <c r="AE125" s="225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2"/>
      <c r="BC125" s="50"/>
      <c r="BD125" s="50"/>
      <c r="BE125" s="50"/>
      <c r="BF125" s="50"/>
    </row>
    <row r="126" spans="1:58" ht="12.95" customHeight="1">
      <c r="A126" s="39">
        <v>46140</v>
      </c>
      <c r="B126" s="40" t="s">
        <v>649</v>
      </c>
      <c r="C126" s="416">
        <f>(M126*E126*O126*Q126)/100000000</f>
        <v>39.682943999999999</v>
      </c>
      <c r="D126" s="40" t="s">
        <v>276</v>
      </c>
      <c r="E126" s="41">
        <v>14</v>
      </c>
      <c r="F126" s="41">
        <v>1</v>
      </c>
      <c r="G126" s="459">
        <v>1350</v>
      </c>
      <c r="H126" s="534">
        <f>+N126</f>
        <v>0.25</v>
      </c>
      <c r="I126" s="44">
        <v>0.88</v>
      </c>
      <c r="J126" s="82">
        <f>E126*G126*(1-H126)*1440/1000000*2.87</f>
        <v>58.582439999999998</v>
      </c>
      <c r="K126" s="82">
        <f>(IF(G126&lt;L126,L126,G126)*(1-IF(H126&lt;N126,H126,N126))*E126*O126*Q126)/100000000</f>
        <v>41.853104999999999</v>
      </c>
      <c r="L126" s="34">
        <v>1280</v>
      </c>
      <c r="M126" s="34">
        <f t="shared" ref="M126:M128" si="0">+L126-L126*0.25</f>
        <v>960</v>
      </c>
      <c r="N126" s="45">
        <f>1-(M126/L126)</f>
        <v>0.25</v>
      </c>
      <c r="O126" s="46">
        <f>+'Trim Rwd'!H81</f>
        <v>266</v>
      </c>
      <c r="P126" s="47">
        <f>O126*(Q126-R126-S126)</f>
        <v>146300</v>
      </c>
      <c r="Q126" s="46">
        <f>570+540</f>
        <v>1110</v>
      </c>
      <c r="R126" s="384">
        <v>540</v>
      </c>
      <c r="S126" s="384">
        <v>20</v>
      </c>
      <c r="T126" s="36">
        <f>E126*M126*O126*Q126/100000000</f>
        <v>39.682943999999999</v>
      </c>
      <c r="U126" s="36">
        <f>E126*M126*O126*(Q126-R126-S126)/100000000</f>
        <v>19.66272</v>
      </c>
      <c r="V126" s="36">
        <f>E126*G126*(1-N126)*O126/100*(R126+S126)/1000000</f>
        <v>21.115079999999999</v>
      </c>
      <c r="W126" s="36">
        <f>+'28'!K20/1000</f>
        <v>18.329999999999998</v>
      </c>
      <c r="X126" s="381">
        <f>SUM(W126:W129)/SUM(K126:K129)</f>
        <v>0.46980518040938829</v>
      </c>
      <c r="Y126" s="36">
        <v>0</v>
      </c>
      <c r="Z126" s="615">
        <v>0</v>
      </c>
      <c r="AA126" s="48">
        <f>SUM(U126:U129)-SUM(W126:W129)-SUM(Z126:Z129)-SUM(Y126:Y129)</f>
        <v>3.3819727999999998</v>
      </c>
      <c r="AB126" s="48">
        <f>(SUM(K126:K129)-SUM(W126:W129)-SUM(Y126:Y129)-SUM(Z126:Z129)-SUM(AC126:AC129)-SUM(V126:V129))-AA126</f>
        <v>-1.0948559999999929</v>
      </c>
      <c r="AC126" s="36">
        <f>K126-T126</f>
        <v>2.1701610000000002</v>
      </c>
      <c r="AD126" s="36">
        <f>+AM126+BA126</f>
        <v>0</v>
      </c>
      <c r="AE126" s="225" t="s">
        <v>385</v>
      </c>
      <c r="AF126" s="36">
        <v>0</v>
      </c>
      <c r="AG126" s="36"/>
      <c r="AH126" s="36"/>
      <c r="AI126" s="461"/>
      <c r="AJ126" s="36"/>
      <c r="AK126" s="36"/>
      <c r="AL126" s="36"/>
      <c r="AM126" s="36">
        <f>SUM(AF126:AL126)+AT126+AV126+AX126</f>
        <v>0</v>
      </c>
      <c r="AN126" s="36"/>
      <c r="AO126" s="36"/>
      <c r="AP126" s="36"/>
      <c r="AQ126" s="36"/>
      <c r="AR126" s="36">
        <f>SUM(AN126:AQ126)</f>
        <v>0</v>
      </c>
      <c r="AS126" s="36"/>
      <c r="AT126" s="36"/>
      <c r="AU126" s="36"/>
      <c r="AV126" s="36"/>
      <c r="AW126" s="36"/>
      <c r="AX126" s="36"/>
      <c r="AY126" s="36"/>
      <c r="AZ126" s="36"/>
      <c r="BA126" s="36">
        <f>+AR126+AS126+AU126+AW126+AY126+AZ126</f>
        <v>0</v>
      </c>
      <c r="BB126" s="32">
        <v>0</v>
      </c>
      <c r="BC126" s="50"/>
      <c r="BD126" s="50"/>
      <c r="BE126" s="50"/>
      <c r="BF126" s="50"/>
    </row>
    <row r="127" spans="1:58" ht="12.95" customHeight="1">
      <c r="A127" s="39"/>
      <c r="B127" s="40" t="s">
        <v>649</v>
      </c>
      <c r="C127" s="416">
        <f>(M127*E127*O127*Q127)/100000000</f>
        <v>5.3490527999999999</v>
      </c>
      <c r="D127" s="40" t="s">
        <v>276</v>
      </c>
      <c r="E127" s="41">
        <v>13</v>
      </c>
      <c r="F127" s="41">
        <v>1</v>
      </c>
      <c r="G127" s="459">
        <v>1400</v>
      </c>
      <c r="H127" s="534">
        <f>+N127</f>
        <v>0.25</v>
      </c>
      <c r="I127" s="44">
        <v>0.88</v>
      </c>
      <c r="J127" s="82">
        <f>E127*G127*(1-H127)*1440/1000000*2.87</f>
        <v>56.41272</v>
      </c>
      <c r="K127" s="82">
        <f>(IF(G127&lt;L127,L127,G127)*(1-IF(H127&lt;N127,H127,N127))*E127*O127*Q127)/100000000</f>
        <v>5.8505265</v>
      </c>
      <c r="L127" s="34">
        <v>1280</v>
      </c>
      <c r="M127" s="34">
        <f t="shared" si="0"/>
        <v>960</v>
      </c>
      <c r="N127" s="45">
        <f>1-(M127/L127)</f>
        <v>0.25</v>
      </c>
      <c r="O127" s="46">
        <f>+'Trim Rwd'!H82</f>
        <v>273</v>
      </c>
      <c r="P127" s="47">
        <f>O127*(Q127-R127-S127)</f>
        <v>42861</v>
      </c>
      <c r="Q127" s="46">
        <f>290-133</f>
        <v>157</v>
      </c>
      <c r="R127" s="384">
        <f>133-133</f>
        <v>0</v>
      </c>
      <c r="S127" s="384">
        <v>0</v>
      </c>
      <c r="T127" s="36">
        <f>E127*M127*O127*Q127/100000000</f>
        <v>5.3490527999999999</v>
      </c>
      <c r="U127" s="36">
        <f>E127*M127*O127*(Q127-R127-S127)/100000000</f>
        <v>5.3490527999999999</v>
      </c>
      <c r="V127" s="36">
        <f>E127*G127*(1-N127)*O127/100*(R127+S127)/1000000</f>
        <v>0</v>
      </c>
      <c r="W127" s="36">
        <f>+'28'!K9/1000</f>
        <v>4.1059999999999999</v>
      </c>
      <c r="X127" s="37"/>
      <c r="Y127" s="208"/>
      <c r="Z127" s="615"/>
      <c r="AA127" s="36"/>
      <c r="AB127" s="36"/>
      <c r="AC127" s="36">
        <f>K127-T127</f>
        <v>0.50147370000000002</v>
      </c>
      <c r="AD127" s="36">
        <f>+AM127+BA127</f>
        <v>2</v>
      </c>
      <c r="AE127" s="225" t="s">
        <v>419</v>
      </c>
      <c r="AF127" s="36"/>
      <c r="AG127" s="36">
        <v>2</v>
      </c>
      <c r="AH127" s="36"/>
      <c r="AI127" s="461"/>
      <c r="AJ127" s="36"/>
      <c r="AK127" s="36"/>
      <c r="AL127" s="36"/>
      <c r="AM127" s="36">
        <f>SUM(AF127:AL127)+AT127+AV127+AX127</f>
        <v>2</v>
      </c>
      <c r="AN127" s="83"/>
      <c r="AO127" s="36"/>
      <c r="AP127" s="36"/>
      <c r="AQ127" s="36"/>
      <c r="AR127" s="36">
        <f>SUM(AN127:AQ127)</f>
        <v>0</v>
      </c>
      <c r="AS127" s="36"/>
      <c r="AT127" s="36"/>
      <c r="AU127" s="36"/>
      <c r="AV127" s="36"/>
      <c r="AW127" s="36"/>
      <c r="AX127" s="36"/>
      <c r="AY127" s="36"/>
      <c r="AZ127" s="36"/>
      <c r="BA127" s="36">
        <f>+AR127+AS127+AU127+AW127+AY127+AZ127</f>
        <v>0</v>
      </c>
      <c r="BB127" s="49"/>
      <c r="BC127" s="50">
        <v>2</v>
      </c>
      <c r="BD127" s="50"/>
      <c r="BE127" s="50"/>
      <c r="BF127" s="50"/>
    </row>
    <row r="128" spans="1:58" ht="12.95" customHeight="1">
      <c r="A128" s="39"/>
      <c r="B128" s="40" t="s">
        <v>610</v>
      </c>
      <c r="C128" s="416">
        <f>(M128*E128*O128*Q128)/100000000</f>
        <v>1.4742</v>
      </c>
      <c r="D128" s="40" t="s">
        <v>276</v>
      </c>
      <c r="E128" s="41">
        <v>15</v>
      </c>
      <c r="F128" s="41">
        <v>1</v>
      </c>
      <c r="G128" s="42">
        <v>1200</v>
      </c>
      <c r="H128" s="534">
        <f>+N128</f>
        <v>0.25</v>
      </c>
      <c r="I128" s="44">
        <v>0.88</v>
      </c>
      <c r="J128" s="82">
        <f>E128*G128*(1-H128)*1440/1000000*2.87</f>
        <v>55.792800000000007</v>
      </c>
      <c r="K128" s="82">
        <f>(IF(G128&lt;L128,L128,G128)*(1-IF(H128&lt;N128,H128,N128))*E128*O128*Q128)/100000000</f>
        <v>1.4742</v>
      </c>
      <c r="L128" s="34">
        <v>1200</v>
      </c>
      <c r="M128" s="34">
        <f t="shared" si="0"/>
        <v>900</v>
      </c>
      <c r="N128" s="45">
        <f>1-(M128/L128)</f>
        <v>0.25</v>
      </c>
      <c r="O128" s="46">
        <f>+'Trim Rwd'!H83</f>
        <v>273</v>
      </c>
      <c r="P128" s="47">
        <f>O128*(Q128-R128-S128)</f>
        <v>10920</v>
      </c>
      <c r="Q128" s="46">
        <v>40</v>
      </c>
      <c r="R128" s="384">
        <v>0</v>
      </c>
      <c r="S128" s="384">
        <v>0</v>
      </c>
      <c r="T128" s="36">
        <f>E128*M128*O128*Q128/100000000</f>
        <v>1.4742</v>
      </c>
      <c r="U128" s="36">
        <f>E128*M128*O128*(Q128-R128-S128)/100000000</f>
        <v>1.4742</v>
      </c>
      <c r="V128" s="36">
        <f>E128*G128*(1-N128)*O128/100*(R128+S128)/1000000</f>
        <v>0</v>
      </c>
      <c r="W128" s="36">
        <f>+'28'!K18/1000</f>
        <v>0</v>
      </c>
      <c r="X128" s="37"/>
      <c r="Y128" s="208"/>
      <c r="Z128" s="615"/>
      <c r="AA128" s="36"/>
      <c r="AB128" s="36"/>
      <c r="AC128" s="36">
        <f>K128-T128</f>
        <v>0</v>
      </c>
      <c r="AD128" s="36">
        <f>+AM128+BA128</f>
        <v>18</v>
      </c>
      <c r="AE128" s="225" t="s">
        <v>590</v>
      </c>
      <c r="AF128" s="32"/>
      <c r="AG128" s="32"/>
      <c r="AH128" s="32">
        <v>18</v>
      </c>
      <c r="AJ128" s="36"/>
      <c r="AK128" s="36"/>
      <c r="AL128" s="36"/>
      <c r="AM128" s="36">
        <f>SUM(AF128:AL128)+AT128+AV128+AX128</f>
        <v>18</v>
      </c>
      <c r="AN128" s="36"/>
      <c r="AO128" s="36"/>
      <c r="AP128" s="36"/>
      <c r="AQ128" s="36"/>
      <c r="AR128" s="36">
        <f>SUM(AN128:AQ128)</f>
        <v>0</v>
      </c>
      <c r="AS128" s="36"/>
      <c r="AT128" s="36"/>
      <c r="AU128" s="36"/>
      <c r="AV128" s="36"/>
      <c r="AW128" s="36"/>
      <c r="AX128" s="36"/>
      <c r="AY128" s="36"/>
      <c r="AZ128" s="36"/>
      <c r="BA128" s="36">
        <f>+AR128+AS128+AU128+AW128+AY128+AZ128</f>
        <v>0</v>
      </c>
      <c r="BB128" s="32"/>
      <c r="BC128" s="52"/>
      <c r="BD128" s="52"/>
      <c r="BE128" s="32"/>
      <c r="BF128" s="52"/>
    </row>
    <row r="129" spans="1:58" ht="12.95" customHeight="1">
      <c r="A129" s="39"/>
      <c r="B129" s="40" t="s">
        <v>649</v>
      </c>
      <c r="C129" s="416"/>
      <c r="D129" s="40"/>
      <c r="E129" s="41"/>
      <c r="F129" s="41"/>
      <c r="G129" s="42"/>
      <c r="H129" s="534"/>
      <c r="I129" s="44"/>
      <c r="J129" s="82"/>
      <c r="K129" s="82"/>
      <c r="L129" s="34"/>
      <c r="M129" s="34"/>
      <c r="N129" s="45"/>
      <c r="O129" s="46"/>
      <c r="P129" s="47"/>
      <c r="Q129" s="46"/>
      <c r="R129" s="384"/>
      <c r="S129" s="384"/>
      <c r="T129" s="36"/>
      <c r="U129" s="36"/>
      <c r="V129" s="36"/>
      <c r="W129" s="36">
        <f>+'28'!K19/1000</f>
        <v>0.66800000000000004</v>
      </c>
      <c r="X129" s="37"/>
      <c r="Y129" s="208"/>
      <c r="Z129" s="615"/>
      <c r="AA129" s="48"/>
      <c r="AB129" s="48"/>
      <c r="AC129" s="36">
        <f>K129-T129</f>
        <v>0</v>
      </c>
      <c r="AD129" s="36">
        <f>+AM129+BA129</f>
        <v>540</v>
      </c>
      <c r="AE129" s="225" t="s">
        <v>730</v>
      </c>
      <c r="AF129" s="36"/>
      <c r="AG129" s="36"/>
      <c r="AH129" s="36"/>
      <c r="AI129" s="36"/>
      <c r="AJ129" s="36"/>
      <c r="AK129" s="36"/>
      <c r="AL129" s="36"/>
      <c r="AM129" s="36">
        <f>SUM(AF129:AL129)+AT129+AV129+AX129</f>
        <v>0</v>
      </c>
      <c r="AN129" s="36"/>
      <c r="AO129" s="36"/>
      <c r="AP129" s="36"/>
      <c r="AQ129" s="36"/>
      <c r="AR129" s="36">
        <f>SUM(AN129:AQ129)</f>
        <v>0</v>
      </c>
      <c r="AS129" s="36">
        <v>540</v>
      </c>
      <c r="AT129" s="36"/>
      <c r="AU129" s="36"/>
      <c r="AV129" s="36"/>
      <c r="AW129" s="36"/>
      <c r="AX129" s="36"/>
      <c r="AY129" s="36"/>
      <c r="AZ129" s="36"/>
      <c r="BA129" s="36">
        <f>+AR129+AS129+AU129+AW129+AY129+AZ129</f>
        <v>540</v>
      </c>
      <c r="BB129" s="32"/>
      <c r="BC129" s="50"/>
      <c r="BD129" s="50"/>
      <c r="BE129" s="50"/>
      <c r="BF129" s="50"/>
    </row>
    <row r="130" spans="1:58" ht="12.95" customHeight="1">
      <c r="A130" s="39"/>
      <c r="B130" s="40"/>
      <c r="C130" s="416"/>
      <c r="D130" s="40"/>
      <c r="E130" s="41"/>
      <c r="F130" s="41"/>
      <c r="G130" s="459"/>
      <c r="H130" s="534"/>
      <c r="I130" s="44"/>
      <c r="J130" s="82"/>
      <c r="K130" s="82"/>
      <c r="L130" s="34"/>
      <c r="M130" s="34"/>
      <c r="N130" s="45"/>
      <c r="O130" s="46"/>
      <c r="P130" s="47"/>
      <c r="Q130" s="46"/>
      <c r="R130" s="384"/>
      <c r="S130" s="384"/>
      <c r="T130" s="36"/>
      <c r="U130" s="36"/>
      <c r="V130" s="36"/>
      <c r="W130" s="36"/>
      <c r="X130" s="37"/>
      <c r="Y130" s="208"/>
      <c r="Z130" s="615"/>
      <c r="AA130" s="36"/>
      <c r="AB130" s="48"/>
      <c r="AC130" s="36"/>
      <c r="AD130" s="36">
        <f>+AM130+BA130</f>
        <v>0</v>
      </c>
      <c r="AE130" s="225" t="s">
        <v>724</v>
      </c>
      <c r="AF130" s="36"/>
      <c r="AG130" s="36"/>
      <c r="AH130" s="36"/>
      <c r="AI130" s="461"/>
      <c r="AJ130" s="36"/>
      <c r="AK130" s="36"/>
      <c r="AL130" s="36"/>
      <c r="AM130" s="36">
        <f>SUM(AF130:AL130)+AT130+AV130+AX130</f>
        <v>0</v>
      </c>
      <c r="AN130" s="36"/>
      <c r="AO130" s="36"/>
      <c r="AP130" s="36"/>
      <c r="AQ130" s="36"/>
      <c r="AR130" s="36">
        <f>SUM(AN130:AQ130)</f>
        <v>0</v>
      </c>
      <c r="AS130" s="36"/>
      <c r="AT130" s="36"/>
      <c r="AU130" s="36"/>
      <c r="AV130" s="36"/>
      <c r="AW130" s="36">
        <f>133-133</f>
        <v>0</v>
      </c>
      <c r="AX130" s="36"/>
      <c r="AY130" s="36"/>
      <c r="AZ130" s="36"/>
      <c r="BA130" s="36">
        <f>+AR130+AS130+AU130+AW130+AY130+AZ130</f>
        <v>0</v>
      </c>
      <c r="BB130" s="32"/>
      <c r="BC130" s="50"/>
      <c r="BD130" s="50">
        <v>1</v>
      </c>
      <c r="BE130" s="50"/>
      <c r="BF130" s="50"/>
    </row>
    <row r="131" spans="1:58" ht="12.95" customHeight="1">
      <c r="A131" s="39"/>
      <c r="B131" s="40"/>
      <c r="C131" s="416"/>
      <c r="D131" s="40"/>
      <c r="E131" s="41"/>
      <c r="F131" s="41"/>
      <c r="G131" s="459"/>
      <c r="H131" s="534"/>
      <c r="I131" s="44"/>
      <c r="J131" s="82"/>
      <c r="K131" s="82"/>
      <c r="L131" s="34"/>
      <c r="M131" s="34"/>
      <c r="N131" s="45"/>
      <c r="O131" s="46"/>
      <c r="P131" s="47"/>
      <c r="Q131" s="46"/>
      <c r="R131" s="384"/>
      <c r="S131" s="384"/>
      <c r="T131" s="36"/>
      <c r="U131" s="36"/>
      <c r="V131" s="36"/>
      <c r="W131" s="36"/>
      <c r="X131" s="37"/>
      <c r="Y131" s="208"/>
      <c r="Z131" s="615"/>
      <c r="AA131" s="36"/>
      <c r="AB131" s="36"/>
      <c r="AC131" s="36"/>
      <c r="AD131" s="36"/>
      <c r="AE131" s="225"/>
      <c r="AF131" s="36"/>
      <c r="AG131" s="36"/>
      <c r="AH131" s="36"/>
      <c r="AI131" s="461"/>
      <c r="AJ131" s="36"/>
      <c r="AK131" s="36"/>
      <c r="AL131" s="36"/>
      <c r="AM131" s="36"/>
      <c r="AN131" s="83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49"/>
      <c r="BC131" s="50"/>
      <c r="BD131" s="50"/>
      <c r="BE131" s="50"/>
      <c r="BF131" s="50"/>
    </row>
    <row r="132" spans="1:58" ht="12.95" customHeight="1">
      <c r="A132" s="39">
        <v>46141</v>
      </c>
      <c r="B132" s="40" t="s">
        <v>610</v>
      </c>
      <c r="C132" s="416">
        <f>(M132*E132*O132*Q132)/100000000</f>
        <v>39.122999999999998</v>
      </c>
      <c r="D132" s="40" t="s">
        <v>276</v>
      </c>
      <c r="E132" s="41">
        <v>15</v>
      </c>
      <c r="F132" s="41">
        <v>1</v>
      </c>
      <c r="G132" s="459">
        <v>1200</v>
      </c>
      <c r="H132" s="43">
        <f>+N132</f>
        <v>0.25</v>
      </c>
      <c r="I132" s="44">
        <v>0.88</v>
      </c>
      <c r="J132" s="82">
        <f>E132*G132*(1-H132)*1440/1000000*2.87</f>
        <v>55.792800000000007</v>
      </c>
      <c r="K132" s="82">
        <f>(IF(G132&lt;L132,L132,G132)*(1-IF(H132&lt;N132,H132,N132))*E132*O132*Q132)/100000000</f>
        <v>39.122999999999998</v>
      </c>
      <c r="L132" s="34">
        <v>1200</v>
      </c>
      <c r="M132" s="34">
        <f t="shared" ref="M132:M133" si="1">+L132-L132*0.25</f>
        <v>900</v>
      </c>
      <c r="N132" s="45">
        <f>1-(M132/L132)</f>
        <v>0.25</v>
      </c>
      <c r="O132" s="46">
        <f>+'Trim Rwd'!H85</f>
        <v>276</v>
      </c>
      <c r="P132" s="47">
        <f>O132*(Q132-R132-S132)</f>
        <v>284280</v>
      </c>
      <c r="Q132" s="46">
        <f>1270-220</f>
        <v>1050</v>
      </c>
      <c r="R132" s="384">
        <f>220-220</f>
        <v>0</v>
      </c>
      <c r="S132" s="384">
        <v>20</v>
      </c>
      <c r="T132" s="36">
        <f>E132*M132*O132*Q132/100000000</f>
        <v>39.122999999999998</v>
      </c>
      <c r="U132" s="36">
        <f>E132*M132*O132*(Q132-R132-S132)/100000000</f>
        <v>38.377800000000001</v>
      </c>
      <c r="V132" s="36">
        <f>E132*G132*(1-N132)*O132/100*(R132+S132)/1000000</f>
        <v>0.74519999999999997</v>
      </c>
      <c r="W132" s="36">
        <f>+'29'!K18/1000</f>
        <v>38.301000000000002</v>
      </c>
      <c r="X132" s="381">
        <f>SUM(W132:W135)/SUM(K132:K135)</f>
        <v>0.88705964012523331</v>
      </c>
      <c r="Y132" s="36">
        <v>0</v>
      </c>
      <c r="Z132" s="615">
        <f>+'29'!D16/1000</f>
        <v>1.274</v>
      </c>
      <c r="AA132" s="48">
        <f>SUM(U132:U135)-SUM(W132:W135)-SUM(Z132:Z135)-SUM(Y132:Y135)</f>
        <v>2.7378672000000002</v>
      </c>
      <c r="AB132" s="48">
        <f>(SUM(K132:K135)-SUM(W132:W135)-SUM(Y132:Y135)-SUM(Z132:Z135)-SUM(AC132:AC135)-SUM(V132:V135))-AA132</f>
        <v>3.3119999999926542E-3</v>
      </c>
      <c r="AC132" s="36">
        <f>K132-T132</f>
        <v>0</v>
      </c>
      <c r="AD132" s="36">
        <f>+AM132+BA132</f>
        <v>0</v>
      </c>
      <c r="AE132" s="225" t="s">
        <v>385</v>
      </c>
      <c r="AF132" s="36">
        <v>0</v>
      </c>
      <c r="AG132" s="36"/>
      <c r="AH132" s="36"/>
      <c r="AI132" s="461"/>
      <c r="AJ132" s="36"/>
      <c r="AK132" s="36"/>
      <c r="AL132" s="36"/>
      <c r="AM132" s="36">
        <f>SUM(AF132:AL132)+AT132+AV132+AX132</f>
        <v>0</v>
      </c>
      <c r="AN132" s="36"/>
      <c r="AO132" s="36"/>
      <c r="AP132" s="36"/>
      <c r="AQ132" s="36"/>
      <c r="AR132" s="36">
        <f>SUM(AN132:AQ132)</f>
        <v>0</v>
      </c>
      <c r="AS132" s="36"/>
      <c r="AT132" s="36"/>
      <c r="AU132" s="36"/>
      <c r="AV132" s="36"/>
      <c r="AW132" s="36"/>
      <c r="AX132" s="36"/>
      <c r="AY132" s="36"/>
      <c r="AZ132" s="36"/>
      <c r="BA132" s="36">
        <f>+AR132+AS132+AU132+AW132+AY132+AZ132</f>
        <v>0</v>
      </c>
      <c r="BB132" s="32">
        <v>0</v>
      </c>
      <c r="BC132" s="50"/>
      <c r="BD132" s="50"/>
      <c r="BE132" s="50"/>
      <c r="BF132" s="50"/>
    </row>
    <row r="133" spans="1:58" ht="12.95" customHeight="1">
      <c r="A133" s="39"/>
      <c r="B133" s="40" t="s">
        <v>610</v>
      </c>
      <c r="C133" s="416">
        <f>(M133*E133*O133*Q133)/100000000</f>
        <v>6.5875680000000001</v>
      </c>
      <c r="D133" s="40" t="s">
        <v>276</v>
      </c>
      <c r="E133" s="41">
        <v>16</v>
      </c>
      <c r="F133" s="41">
        <v>1</v>
      </c>
      <c r="G133" s="459">
        <v>1120</v>
      </c>
      <c r="H133" s="534">
        <f>+N133</f>
        <v>0.25</v>
      </c>
      <c r="I133" s="44">
        <v>0.88</v>
      </c>
      <c r="J133" s="82">
        <f>E133*G133*(1-H133)*1440/1000000*2.87</f>
        <v>55.544832</v>
      </c>
      <c r="K133" s="82">
        <f>(IF(G133&lt;L133,L133,G133)*(1-IF(H133&lt;N133,H133,N133))*E133*O133*Q133)/100000000</f>
        <v>6.5875680000000001</v>
      </c>
      <c r="L133" s="34">
        <v>1170</v>
      </c>
      <c r="M133" s="34">
        <f t="shared" si="1"/>
        <v>877.5</v>
      </c>
      <c r="N133" s="45">
        <f>1-(M133/L133)</f>
        <v>0.25</v>
      </c>
      <c r="O133" s="46">
        <f>+'Trim Rwd'!H86</f>
        <v>276</v>
      </c>
      <c r="P133" s="47">
        <f>O133*(Q133-R133-S133)</f>
        <v>46368</v>
      </c>
      <c r="Q133" s="46">
        <v>170</v>
      </c>
      <c r="R133" s="384">
        <v>0</v>
      </c>
      <c r="S133" s="384">
        <v>2</v>
      </c>
      <c r="T133" s="36">
        <f>E133*M133*O133*Q133/100000000</f>
        <v>6.5875680000000001</v>
      </c>
      <c r="U133" s="36">
        <f>E133*M133*O133*(Q133-R133-S133)/100000000</f>
        <v>6.5100671999999999</v>
      </c>
      <c r="V133" s="36">
        <f>E133*G133*(1-N133)*O133/100*(R133+S133)/1000000</f>
        <v>7.4188799999999999E-2</v>
      </c>
      <c r="W133" s="36">
        <f>+'29'!K16/1000</f>
        <v>1.238</v>
      </c>
      <c r="X133" s="37"/>
      <c r="Y133" s="208"/>
      <c r="Z133" s="615">
        <v>0</v>
      </c>
      <c r="AA133" s="36"/>
      <c r="AB133" s="36"/>
      <c r="AC133" s="36">
        <f>K133-T133</f>
        <v>0</v>
      </c>
      <c r="AD133" s="36">
        <f>+AM133+BA133</f>
        <v>3</v>
      </c>
      <c r="AE133" s="225" t="s">
        <v>589</v>
      </c>
      <c r="AF133" s="36"/>
      <c r="AG133" s="36">
        <v>3</v>
      </c>
      <c r="AH133" s="36"/>
      <c r="AI133" s="461"/>
      <c r="AJ133" s="36"/>
      <c r="AK133" s="36"/>
      <c r="AL133" s="36"/>
      <c r="AM133" s="36">
        <f>SUM(AF133:AL133)+AT133+AV133+AX133</f>
        <v>3</v>
      </c>
      <c r="AN133" s="83"/>
      <c r="AO133" s="36"/>
      <c r="AP133" s="36"/>
      <c r="AQ133" s="36"/>
      <c r="AR133" s="36">
        <f>SUM(AN133:AQ133)</f>
        <v>0</v>
      </c>
      <c r="AS133" s="36"/>
      <c r="AT133" s="36"/>
      <c r="AU133" s="36"/>
      <c r="AV133" s="36"/>
      <c r="AW133" s="36"/>
      <c r="AX133" s="36"/>
      <c r="AY133" s="36"/>
      <c r="AZ133" s="36"/>
      <c r="BA133" s="36">
        <f>+AR133+AS133+AU133+AW133+AY133+AZ133</f>
        <v>0</v>
      </c>
      <c r="BB133" s="49"/>
      <c r="BC133" s="50">
        <v>3</v>
      </c>
      <c r="BD133" s="50"/>
      <c r="BE133" s="50"/>
      <c r="BF133" s="50"/>
    </row>
    <row r="134" spans="1:58" ht="12.95" customHeight="1">
      <c r="A134" s="39"/>
      <c r="B134" s="40" t="s">
        <v>649</v>
      </c>
      <c r="C134" s="416"/>
      <c r="D134" s="40"/>
      <c r="E134" s="41">
        <v>13</v>
      </c>
      <c r="F134" s="41"/>
      <c r="G134" s="459"/>
      <c r="H134" s="43"/>
      <c r="I134" s="44"/>
      <c r="J134" s="82"/>
      <c r="K134" s="82"/>
      <c r="L134" s="34"/>
      <c r="M134" s="34"/>
      <c r="N134" s="45"/>
      <c r="O134" s="46"/>
      <c r="P134" s="47"/>
      <c r="Q134" s="46"/>
      <c r="R134" s="384"/>
      <c r="S134" s="384"/>
      <c r="T134" s="36"/>
      <c r="U134" s="36"/>
      <c r="V134" s="36"/>
      <c r="W134" s="36">
        <f>+'29'!K9/1000</f>
        <v>1.0089999999999999</v>
      </c>
      <c r="X134" s="37"/>
      <c r="Y134" s="208"/>
      <c r="Z134" s="615">
        <f>+'29'!D7/1000</f>
        <v>0.32800000000000001</v>
      </c>
      <c r="AA134" s="36"/>
      <c r="AB134" s="36"/>
      <c r="AC134" s="36"/>
      <c r="AD134" s="36">
        <f>+AM134+BA134</f>
        <v>19</v>
      </c>
      <c r="AE134" s="225" t="s">
        <v>756</v>
      </c>
      <c r="AF134" s="32"/>
      <c r="AG134" s="32"/>
      <c r="AH134" s="32">
        <v>19</v>
      </c>
      <c r="AI134" s="461"/>
      <c r="AJ134" s="36"/>
      <c r="AK134" s="36"/>
      <c r="AL134" s="36"/>
      <c r="AM134" s="36">
        <f>SUM(AF134:AL134)+AT134+AV134+AX134</f>
        <v>19</v>
      </c>
      <c r="AN134" s="36"/>
      <c r="AO134" s="36"/>
      <c r="AP134" s="36"/>
      <c r="AQ134" s="36"/>
      <c r="AR134" s="36">
        <f>SUM(AN134:AQ134)</f>
        <v>0</v>
      </c>
      <c r="AS134" s="36"/>
      <c r="AT134" s="36"/>
      <c r="AU134" s="36"/>
      <c r="AV134" s="36"/>
      <c r="AW134" s="36"/>
      <c r="AX134" s="36"/>
      <c r="AY134" s="36"/>
      <c r="AZ134" s="36"/>
      <c r="BA134" s="36">
        <f>+AR134+AS134+AU134+AW134+AY134+AZ134</f>
        <v>0</v>
      </c>
      <c r="BB134" s="32"/>
      <c r="BC134" s="52"/>
      <c r="BD134" s="52"/>
      <c r="BE134" s="32"/>
      <c r="BF134" s="52"/>
    </row>
    <row r="135" spans="1:58" ht="12.95" customHeight="1">
      <c r="A135" s="39"/>
      <c r="B135" s="40"/>
      <c r="C135" s="416"/>
      <c r="D135" s="40"/>
      <c r="E135" s="41"/>
      <c r="F135" s="41"/>
      <c r="G135" s="459"/>
      <c r="H135" s="43"/>
      <c r="I135" s="44"/>
      <c r="J135" s="82"/>
      <c r="K135" s="82"/>
      <c r="L135" s="34"/>
      <c r="M135" s="34"/>
      <c r="N135" s="45"/>
      <c r="O135" s="46"/>
      <c r="P135" s="47"/>
      <c r="Q135" s="46"/>
      <c r="R135" s="384"/>
      <c r="S135" s="384"/>
      <c r="T135" s="36"/>
      <c r="U135" s="36"/>
      <c r="V135" s="36"/>
      <c r="W135" s="36"/>
      <c r="X135" s="37"/>
      <c r="Y135" s="208"/>
      <c r="Z135" s="615"/>
      <c r="AA135" s="36"/>
      <c r="AB135" s="36"/>
      <c r="AC135" s="36"/>
      <c r="AD135" s="36">
        <f>+AM135+BA135</f>
        <v>0</v>
      </c>
      <c r="AE135" s="225" t="s">
        <v>757</v>
      </c>
      <c r="AF135" s="32"/>
      <c r="AG135" s="32"/>
      <c r="AH135" s="32"/>
      <c r="AJ135" s="36"/>
      <c r="AK135" s="36"/>
      <c r="AL135" s="36"/>
      <c r="AM135" s="36">
        <f>SUM(AF135:AL135)+AT135+AV135+AX135</f>
        <v>0</v>
      </c>
      <c r="AN135" s="36"/>
      <c r="AO135" s="36"/>
      <c r="AP135" s="36"/>
      <c r="AQ135" s="36"/>
      <c r="AR135" s="36">
        <f>SUM(AN135:AQ135)</f>
        <v>0</v>
      </c>
      <c r="AS135" s="36"/>
      <c r="AT135" s="36"/>
      <c r="AU135" s="36"/>
      <c r="AV135" s="36"/>
      <c r="AW135" s="36">
        <f>220-220</f>
        <v>0</v>
      </c>
      <c r="AX135" s="36"/>
      <c r="AY135" s="36"/>
      <c r="AZ135" s="36"/>
      <c r="BA135" s="36">
        <f>+AR135+AS135+AU135+AW135+AY135+AZ135</f>
        <v>0</v>
      </c>
      <c r="BB135" s="32"/>
      <c r="BC135" s="52"/>
      <c r="BD135" s="52">
        <v>1</v>
      </c>
      <c r="BE135" s="50"/>
      <c r="BF135" s="50"/>
    </row>
    <row r="136" spans="1:58" ht="12.95" customHeight="1">
      <c r="A136" s="39"/>
      <c r="B136" s="496"/>
      <c r="C136" s="416"/>
      <c r="D136" s="40"/>
      <c r="E136" s="242"/>
      <c r="F136" s="41"/>
      <c r="G136" s="42"/>
      <c r="H136" s="534"/>
      <c r="I136" s="44"/>
      <c r="J136" s="82"/>
      <c r="K136" s="82"/>
      <c r="L136" s="34"/>
      <c r="M136" s="34"/>
      <c r="N136" s="45"/>
      <c r="O136" s="46"/>
      <c r="P136" s="47"/>
      <c r="Q136" s="327"/>
      <c r="R136" s="49"/>
      <c r="S136" s="49"/>
      <c r="T136" s="36"/>
      <c r="U136" s="36"/>
      <c r="V136" s="36"/>
      <c r="W136" s="32"/>
      <c r="X136" s="37"/>
      <c r="Y136" s="37"/>
      <c r="Z136" s="616"/>
      <c r="AA136" s="48"/>
      <c r="AB136" s="48"/>
      <c r="AC136" s="36"/>
      <c r="AD136" s="36"/>
      <c r="AE136" s="19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2"/>
      <c r="BC136" s="50"/>
      <c r="BD136" s="50"/>
      <c r="BE136" s="50"/>
      <c r="BF136" s="50"/>
    </row>
    <row r="137" spans="1:58" ht="12.95" customHeight="1">
      <c r="A137" s="39">
        <v>46142</v>
      </c>
      <c r="B137" s="40" t="s">
        <v>649</v>
      </c>
      <c r="C137" s="416">
        <f>(M137*E137*O137*Q137)/100000000</f>
        <v>13.038408000000002</v>
      </c>
      <c r="D137" s="40" t="s">
        <v>276</v>
      </c>
      <c r="E137" s="41">
        <v>12</v>
      </c>
      <c r="F137" s="41">
        <v>1</v>
      </c>
      <c r="G137" s="459">
        <v>1400</v>
      </c>
      <c r="H137" s="534">
        <f>+N137</f>
        <v>0.25</v>
      </c>
      <c r="I137" s="44">
        <v>0.88</v>
      </c>
      <c r="J137" s="82">
        <f>E137*G137*(1-H137)*1440/1000000*2.87</f>
        <v>52.073279999999997</v>
      </c>
      <c r="K137" s="82">
        <f>(IF(G137&lt;L137,L137,G137)*(1-IF(H137&lt;N137,H137,N137))*E137*O137*Q137)/100000000</f>
        <v>15.10488</v>
      </c>
      <c r="L137" s="34">
        <v>1208.4684684684685</v>
      </c>
      <c r="M137" s="34">
        <v>906.35135135135135</v>
      </c>
      <c r="N137" s="45">
        <f>1-(M137/L137)</f>
        <v>0.25</v>
      </c>
      <c r="O137" s="46">
        <f>+'Trim Rwd'!H89</f>
        <v>270</v>
      </c>
      <c r="P137" s="47">
        <f>O137*(Q137-R137-S137)</f>
        <v>117180</v>
      </c>
      <c r="Q137" s="46">
        <f>574-130</f>
        <v>444</v>
      </c>
      <c r="R137" s="384">
        <f>130-130</f>
        <v>0</v>
      </c>
      <c r="S137" s="384">
        <v>10</v>
      </c>
      <c r="T137" s="36">
        <f>E137*M137*O137*Q137/100000000</f>
        <v>13.038408000000002</v>
      </c>
      <c r="U137" s="36">
        <f>E137*M137*O137*(Q137-R137-S137)/100000000</f>
        <v>12.744750162162163</v>
      </c>
      <c r="V137" s="36">
        <f>E137*G137*(1-N137)*O137/100*(R137+S137)/1000000</f>
        <v>0.3402</v>
      </c>
      <c r="W137" s="36">
        <f>+'30'!K19/1000</f>
        <v>11.055</v>
      </c>
      <c r="X137" s="381">
        <f>SUM(W137:W141)/SUM(K137:K141)</f>
        <v>0.80465211067286124</v>
      </c>
      <c r="Y137" s="36">
        <v>0</v>
      </c>
      <c r="Z137" s="615">
        <v>0</v>
      </c>
      <c r="AA137" s="48">
        <f>SUM(U137:U141)-SUM(W137:W141)-SUM(Z137:Z141)-SUM(Y137:Y141)</f>
        <v>5.2833809621621626</v>
      </c>
      <c r="AB137" s="48">
        <f>(SUM(K137:K141)-SUM(W137:W141)-SUM(Y137:Y141)-SUM(Z137:Z141)-SUM(AC137:AC141)-SUM(V137:V141))-AA137</f>
        <v>0.2660638378378426</v>
      </c>
      <c r="AC137" s="36">
        <f>K137-T137</f>
        <v>2.0664719999999974</v>
      </c>
      <c r="AD137" s="36">
        <f>+AM137+BA137</f>
        <v>0</v>
      </c>
      <c r="AE137" s="225" t="s">
        <v>385</v>
      </c>
      <c r="AF137" s="36">
        <v>0</v>
      </c>
      <c r="AG137" s="36"/>
      <c r="AH137" s="36"/>
      <c r="AI137" s="461"/>
      <c r="AJ137" s="36"/>
      <c r="AK137" s="36"/>
      <c r="AL137" s="36"/>
      <c r="AM137" s="36">
        <f>SUM(AF137:AL137)+AT137+AV137+AX137</f>
        <v>0</v>
      </c>
      <c r="AN137" s="36"/>
      <c r="AO137" s="36"/>
      <c r="AP137" s="36"/>
      <c r="AQ137" s="36"/>
      <c r="AR137" s="36">
        <f>SUM(AN137:AQ137)</f>
        <v>0</v>
      </c>
      <c r="AS137" s="36"/>
      <c r="AT137" s="36"/>
      <c r="AU137" s="36"/>
      <c r="AV137" s="36"/>
      <c r="AW137" s="36"/>
      <c r="AX137" s="36"/>
      <c r="AY137" s="36"/>
      <c r="AZ137" s="36"/>
      <c r="BA137" s="36">
        <f>+AR137+AS137+AU137+AW137+AY137+AZ137</f>
        <v>0</v>
      </c>
      <c r="BB137" s="32">
        <v>0</v>
      </c>
      <c r="BC137" s="50"/>
      <c r="BD137" s="50"/>
      <c r="BE137" s="50"/>
      <c r="BF137" s="50"/>
    </row>
    <row r="138" spans="1:58" ht="12.95" customHeight="1">
      <c r="A138" s="39"/>
      <c r="B138" s="40" t="s">
        <v>610</v>
      </c>
      <c r="C138" s="416">
        <f>(M138*E138*O138*Q138)/100000000</f>
        <v>20.643167999999999</v>
      </c>
      <c r="D138" s="40" t="s">
        <v>276</v>
      </c>
      <c r="E138" s="41">
        <v>14</v>
      </c>
      <c r="F138" s="41">
        <v>1</v>
      </c>
      <c r="G138" s="459">
        <v>1120</v>
      </c>
      <c r="H138" s="534">
        <f>+N138</f>
        <v>0.25</v>
      </c>
      <c r="I138" s="44">
        <v>0.88</v>
      </c>
      <c r="J138" s="82">
        <f>E138*G138*(1-H138)*1440/1000000*2.87</f>
        <v>48.601728000000001</v>
      </c>
      <c r="K138" s="82">
        <f>(IF(G138&lt;L138,L138,G138)*(1-IF(H138&lt;N138,H138,N138))*E138*O138*Q138)/100000000</f>
        <v>20.643167999999999</v>
      </c>
      <c r="L138" s="34">
        <v>1300</v>
      </c>
      <c r="M138" s="34">
        <f>+L138-L138*0.25</f>
        <v>975</v>
      </c>
      <c r="N138" s="45">
        <f>1-(M138/L138)</f>
        <v>0.25</v>
      </c>
      <c r="O138" s="46">
        <f>+'Trim Rwd'!H90</f>
        <v>272</v>
      </c>
      <c r="P138" s="47">
        <f>O138*(Q138-R138-S138)</f>
        <v>149872</v>
      </c>
      <c r="Q138" s="46">
        <v>556</v>
      </c>
      <c r="R138" s="384">
        <v>0</v>
      </c>
      <c r="S138" s="384">
        <v>5</v>
      </c>
      <c r="T138" s="36">
        <f>E138*M138*O138*Q138/100000000</f>
        <v>20.643167999999999</v>
      </c>
      <c r="U138" s="36">
        <f>E138*M138*O138*(Q138-R138-S138)/100000000</f>
        <v>20.457528</v>
      </c>
      <c r="V138" s="36">
        <f>E138*G138*(1-N138)*O138/100*(R138+S138)/1000000</f>
        <v>0.15993599999999999</v>
      </c>
      <c r="W138" s="36">
        <f>+'30'!K15/1000</f>
        <v>20.956</v>
      </c>
      <c r="X138" s="37"/>
      <c r="Y138" s="208"/>
      <c r="Z138" s="615"/>
      <c r="AA138" s="36"/>
      <c r="AB138" s="36"/>
      <c r="AC138" s="36">
        <f>K138-T138</f>
        <v>0</v>
      </c>
      <c r="AD138" s="36">
        <f>+AM138+BA138</f>
        <v>0</v>
      </c>
      <c r="AE138" s="225" t="s">
        <v>399</v>
      </c>
      <c r="AF138" s="36"/>
      <c r="AG138" s="36">
        <v>0</v>
      </c>
      <c r="AH138" s="36"/>
      <c r="AI138" s="461"/>
      <c r="AJ138" s="36"/>
      <c r="AK138" s="36"/>
      <c r="AL138" s="36"/>
      <c r="AM138" s="36">
        <f>SUM(AF138:AL138)+AT138+AV138+AX138</f>
        <v>0</v>
      </c>
      <c r="AN138" s="83"/>
      <c r="AO138" s="36"/>
      <c r="AP138" s="36"/>
      <c r="AQ138" s="36"/>
      <c r="AR138" s="36">
        <f>SUM(AN138:AQ138)</f>
        <v>0</v>
      </c>
      <c r="AS138" s="36"/>
      <c r="AT138" s="36"/>
      <c r="AU138" s="36"/>
      <c r="AV138" s="36"/>
      <c r="AW138" s="36"/>
      <c r="AX138" s="36"/>
      <c r="AY138" s="36"/>
      <c r="AZ138" s="36"/>
      <c r="BA138" s="36">
        <f>+AR138+AS138+AU138+AW138+AY138+AZ138</f>
        <v>0</v>
      </c>
      <c r="BB138" s="49"/>
      <c r="BC138" s="50">
        <v>0</v>
      </c>
      <c r="BD138" s="50"/>
      <c r="BE138" s="50"/>
      <c r="BF138" s="50"/>
    </row>
    <row r="139" spans="1:58" ht="12.95" customHeight="1">
      <c r="A139" s="39"/>
      <c r="B139" s="40" t="s">
        <v>610</v>
      </c>
      <c r="C139" s="416">
        <f t="shared" ref="C139:C140" si="2">(M139*E139*O139*Q139)/100000000</f>
        <v>9.3477888</v>
      </c>
      <c r="D139" s="40" t="s">
        <v>276</v>
      </c>
      <c r="E139" s="41">
        <v>18</v>
      </c>
      <c r="F139" s="41">
        <v>1</v>
      </c>
      <c r="G139" s="459">
        <v>1120</v>
      </c>
      <c r="H139" s="534">
        <f t="shared" ref="H139:H140" si="3">+N139</f>
        <v>0.25</v>
      </c>
      <c r="I139" s="44">
        <v>0.88</v>
      </c>
      <c r="J139" s="82">
        <f t="shared" ref="J139:J140" si="4">E139*G139*(1-H139)*1440/1000000*2.87</f>
        <v>62.487936000000005</v>
      </c>
      <c r="K139" s="82">
        <f t="shared" ref="K139:K140" si="5">(IF(G139&lt;L139,L139,G139)*(1-IF(H139&lt;N139,H139,N139))*E139*O139*Q139)/100000000</f>
        <v>10.683187200000001</v>
      </c>
      <c r="L139" s="34">
        <v>980</v>
      </c>
      <c r="M139" s="34">
        <f>+L139-L139*0.25</f>
        <v>735</v>
      </c>
      <c r="N139" s="45">
        <f t="shared" ref="N139:N140" si="6">1-(M139/L139)</f>
        <v>0.25</v>
      </c>
      <c r="O139" s="46">
        <f>+'Trim Rwd'!H91</f>
        <v>276</v>
      </c>
      <c r="P139" s="47">
        <f t="shared" ref="P139:P140" si="7">O139*(Q139-R139-S139)</f>
        <v>70104</v>
      </c>
      <c r="Q139" s="46">
        <v>256</v>
      </c>
      <c r="R139" s="384">
        <v>0</v>
      </c>
      <c r="S139" s="384">
        <v>2</v>
      </c>
      <c r="T139" s="36">
        <f t="shared" ref="T139:T140" si="8">E139*M139*O139*Q139/100000000</f>
        <v>9.3477888</v>
      </c>
      <c r="U139" s="36">
        <f t="shared" ref="U139:U140" si="9">E139*M139*O139*(Q139-R139-S139)/100000000</f>
        <v>9.2747592000000001</v>
      </c>
      <c r="V139" s="36">
        <f t="shared" ref="V139:V140" si="10">E139*G139*(1-N139)*O139/100*(R139+S139)/1000000</f>
        <v>8.3462399999999992E-2</v>
      </c>
      <c r="W139" s="36">
        <f>+'30'!K17/1000</f>
        <v>2.8969999999999998</v>
      </c>
      <c r="X139" s="37"/>
      <c r="Y139" s="208"/>
      <c r="Z139" s="615"/>
      <c r="AA139" s="36"/>
      <c r="AB139" s="36"/>
      <c r="AC139" s="36">
        <f t="shared" ref="AC139" si="11">K139-T139</f>
        <v>1.3353984000000008</v>
      </c>
      <c r="AD139" s="36">
        <f>+AM139+BA139</f>
        <v>17</v>
      </c>
      <c r="AE139" s="225" t="s">
        <v>675</v>
      </c>
      <c r="AF139" s="32"/>
      <c r="AG139" s="32"/>
      <c r="AH139" s="32">
        <v>17</v>
      </c>
      <c r="AI139" s="461"/>
      <c r="AJ139" s="36"/>
      <c r="AK139" s="36"/>
      <c r="AL139" s="36"/>
      <c r="AM139" s="36">
        <f>SUM(AF139:AL139)+AT139+AV139+AX139</f>
        <v>17</v>
      </c>
      <c r="AN139" s="36"/>
      <c r="AO139" s="36"/>
      <c r="AP139" s="36"/>
      <c r="AQ139" s="36"/>
      <c r="AR139" s="36">
        <f>SUM(AN139:AQ139)</f>
        <v>0</v>
      </c>
      <c r="AS139" s="36"/>
      <c r="AT139" s="36"/>
      <c r="AU139" s="36"/>
      <c r="AV139" s="36"/>
      <c r="AW139" s="36"/>
      <c r="AX139" s="36"/>
      <c r="AY139" s="36"/>
      <c r="AZ139" s="36"/>
      <c r="BA139" s="36">
        <f>+AR139+AS139+AU139+AW139+AY139+AZ139</f>
        <v>0</v>
      </c>
      <c r="BB139" s="32"/>
      <c r="BC139" s="52"/>
      <c r="BD139" s="52"/>
      <c r="BE139" s="32"/>
      <c r="BF139" s="52"/>
    </row>
    <row r="140" spans="1:58" ht="12.95" customHeight="1">
      <c r="A140" s="39"/>
      <c r="B140" s="40" t="s">
        <v>610</v>
      </c>
      <c r="C140" s="416">
        <f t="shared" si="2"/>
        <v>2.0813435999999998</v>
      </c>
      <c r="D140" s="40" t="s">
        <v>276</v>
      </c>
      <c r="E140" s="41">
        <v>19</v>
      </c>
      <c r="F140" s="41">
        <v>1</v>
      </c>
      <c r="G140" s="459">
        <v>1120</v>
      </c>
      <c r="H140" s="534">
        <f t="shared" si="3"/>
        <v>0.25</v>
      </c>
      <c r="I140" s="44">
        <v>0.88</v>
      </c>
      <c r="J140" s="82">
        <f t="shared" si="4"/>
        <v>65.959487999999993</v>
      </c>
      <c r="K140" s="82">
        <f t="shared" si="5"/>
        <v>2.3786784000000001</v>
      </c>
      <c r="L140" s="34">
        <v>980</v>
      </c>
      <c r="M140" s="34">
        <f>+L140-L140*0.25</f>
        <v>735</v>
      </c>
      <c r="N140" s="45">
        <f t="shared" si="6"/>
        <v>0.25</v>
      </c>
      <c r="O140" s="46">
        <f>+'Trim Rwd'!H92</f>
        <v>276</v>
      </c>
      <c r="P140" s="47">
        <f t="shared" si="7"/>
        <v>14904</v>
      </c>
      <c r="Q140" s="46">
        <v>54</v>
      </c>
      <c r="R140" s="384">
        <v>0</v>
      </c>
      <c r="S140" s="384">
        <v>0</v>
      </c>
      <c r="T140" s="36">
        <f t="shared" si="8"/>
        <v>2.0813435999999998</v>
      </c>
      <c r="U140" s="36">
        <f t="shared" si="9"/>
        <v>2.0813435999999998</v>
      </c>
      <c r="V140" s="36">
        <f t="shared" si="10"/>
        <v>0</v>
      </c>
      <c r="W140" s="36">
        <f>+'30'!K21/1000</f>
        <v>0</v>
      </c>
      <c r="X140" s="37"/>
      <c r="Y140" s="208"/>
      <c r="Z140" s="615"/>
      <c r="AA140" s="36"/>
      <c r="AB140" s="36"/>
      <c r="AC140" s="36">
        <f>K141-T141</f>
        <v>0</v>
      </c>
      <c r="AD140" s="36">
        <f>+AM140+BA140</f>
        <v>0</v>
      </c>
      <c r="AE140" s="225" t="s">
        <v>771</v>
      </c>
      <c r="AF140" s="32"/>
      <c r="AG140" s="32"/>
      <c r="AH140" s="32"/>
      <c r="AJ140" s="36"/>
      <c r="AK140" s="36"/>
      <c r="AL140" s="36"/>
      <c r="AM140" s="36">
        <f>SUM(AF140:AL140)+AT140+AV140+AX140</f>
        <v>0</v>
      </c>
      <c r="AN140" s="36"/>
      <c r="AO140" s="36"/>
      <c r="AP140" s="36"/>
      <c r="AQ140" s="36"/>
      <c r="AR140" s="36">
        <f>SUM(AN140:AQ140)</f>
        <v>0</v>
      </c>
      <c r="AS140" s="36"/>
      <c r="AT140" s="36"/>
      <c r="AU140" s="36"/>
      <c r="AV140" s="36"/>
      <c r="AW140" s="36">
        <f>130-130</f>
        <v>0</v>
      </c>
      <c r="AX140" s="36"/>
      <c r="AY140" s="36"/>
      <c r="AZ140" s="36"/>
      <c r="BA140" s="36">
        <f>+AR140+AS140+AU140+AW140+AY140+AZ140</f>
        <v>0</v>
      </c>
      <c r="BB140" s="32"/>
      <c r="BC140" s="52"/>
      <c r="BD140" s="52">
        <v>1</v>
      </c>
      <c r="BE140" s="50"/>
      <c r="BF140" s="50"/>
    </row>
    <row r="141" spans="1:58" ht="12.95" customHeight="1">
      <c r="A141" s="39"/>
      <c r="B141" s="40" t="s">
        <v>610</v>
      </c>
      <c r="C141" s="416"/>
      <c r="D141" s="40"/>
      <c r="E141" s="41">
        <v>16</v>
      </c>
      <c r="F141" s="41"/>
      <c r="G141" s="42"/>
      <c r="H141" s="43"/>
      <c r="I141" s="44"/>
      <c r="J141" s="82"/>
      <c r="K141" s="82"/>
      <c r="L141" s="34"/>
      <c r="M141" s="34"/>
      <c r="N141" s="45"/>
      <c r="O141" s="46"/>
      <c r="P141" s="47"/>
      <c r="Q141" s="327"/>
      <c r="R141" s="49"/>
      <c r="S141" s="49"/>
      <c r="T141" s="36"/>
      <c r="U141" s="36"/>
      <c r="V141" s="36"/>
      <c r="W141" s="32">
        <f>+'30'!K16/1000</f>
        <v>4.367</v>
      </c>
      <c r="X141" s="37"/>
      <c r="Y141" s="37"/>
      <c r="Z141" s="616"/>
      <c r="AA141" s="48"/>
      <c r="AB141" s="48"/>
      <c r="AC141" s="36"/>
      <c r="AD141" s="36"/>
      <c r="AE141" s="19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2"/>
      <c r="BC141" s="50"/>
      <c r="BD141" s="50"/>
      <c r="BE141" s="50"/>
      <c r="BF141" s="50"/>
    </row>
    <row r="142" spans="1:58" s="26" customFormat="1" ht="12.95" customHeight="1">
      <c r="A142" s="28"/>
      <c r="B142" s="28"/>
      <c r="C142" s="28"/>
      <c r="D142" s="28"/>
      <c r="E142" s="28"/>
      <c r="F142" s="54"/>
      <c r="G142" s="28"/>
      <c r="H142" s="28"/>
      <c r="I142" s="28"/>
      <c r="J142" s="83"/>
      <c r="K142" s="83"/>
      <c r="L142" s="55"/>
      <c r="M142" s="55"/>
      <c r="N142" s="28"/>
      <c r="O142" s="28"/>
      <c r="P142" s="28"/>
      <c r="Q142" s="328"/>
      <c r="R142" s="385"/>
      <c r="S142" s="385"/>
      <c r="T142" s="28"/>
      <c r="U142" s="28"/>
      <c r="V142" s="28"/>
      <c r="W142" s="28"/>
      <c r="X142" s="28"/>
      <c r="Y142" s="28"/>
      <c r="Z142" s="617"/>
      <c r="AA142" s="243">
        <f>U142-W142-Z142</f>
        <v>0</v>
      </c>
      <c r="AB142" s="243"/>
      <c r="AC142" s="244">
        <f>K142-T142</f>
        <v>0</v>
      </c>
      <c r="AD142" s="36"/>
      <c r="AE142" s="28"/>
      <c r="AF142" s="51"/>
      <c r="AG142" s="51"/>
      <c r="AH142" s="51"/>
      <c r="AI142" s="51"/>
      <c r="AJ142" s="51"/>
      <c r="AK142" s="51"/>
      <c r="AL142" s="51"/>
      <c r="AM142" s="36"/>
      <c r="AN142" s="51"/>
      <c r="AO142" s="51"/>
      <c r="AP142" s="51"/>
      <c r="AQ142" s="51"/>
      <c r="AR142" s="36"/>
      <c r="AS142" s="51"/>
      <c r="AT142" s="51"/>
      <c r="AU142" s="51"/>
      <c r="AV142" s="51"/>
      <c r="AW142" s="51"/>
      <c r="AX142" s="51"/>
      <c r="AY142" s="51"/>
      <c r="AZ142" s="51"/>
      <c r="BA142" s="36"/>
      <c r="BB142" s="63"/>
      <c r="BC142" s="63"/>
      <c r="BD142" s="52"/>
      <c r="BE142" s="32"/>
      <c r="BF142" s="52"/>
    </row>
    <row r="143" spans="1:58" ht="12.95" customHeight="1">
      <c r="A143" s="56"/>
      <c r="B143" s="57"/>
      <c r="C143" s="417">
        <f>SUM(C6:C141)</f>
        <v>1534.7725270153671</v>
      </c>
      <c r="D143" s="57"/>
      <c r="E143" s="58"/>
      <c r="F143" s="58"/>
      <c r="G143" s="59"/>
      <c r="H143" s="59"/>
      <c r="I143" s="60">
        <v>0.85</v>
      </c>
      <c r="J143" s="82"/>
      <c r="K143" s="84">
        <f>SUM(K6:K141)</f>
        <v>1548.021967531731</v>
      </c>
      <c r="L143" s="62"/>
      <c r="M143" s="62"/>
      <c r="N143" s="63"/>
      <c r="O143" s="64">
        <f>P143/(Q143-R143-S143)</f>
        <v>274.20166782877209</v>
      </c>
      <c r="P143" s="61">
        <f>SUM(P6:P141)</f>
        <v>11011116.375</v>
      </c>
      <c r="Q143" s="329">
        <f>SUM(Q6:Q142)</f>
        <v>42313</v>
      </c>
      <c r="R143" s="61">
        <f t="shared" ref="R143:W143" si="12">SUM(R6:R141)</f>
        <v>1226</v>
      </c>
      <c r="S143" s="61">
        <f t="shared" si="12"/>
        <v>930</v>
      </c>
      <c r="T143" s="61">
        <f t="shared" si="12"/>
        <v>1534.7725270153671</v>
      </c>
      <c r="U143" s="61">
        <f t="shared" si="12"/>
        <v>1457.30186588381</v>
      </c>
      <c r="V143" s="354">
        <f t="shared" si="12"/>
        <v>78.794295097355786</v>
      </c>
      <c r="W143" s="462">
        <f t="shared" si="12"/>
        <v>1378.1909999999998</v>
      </c>
      <c r="X143" s="463">
        <f>W143/K143</f>
        <v>0.89029162951574847</v>
      </c>
      <c r="Y143" s="355">
        <f>SUM(Y6:Y141)</f>
        <v>0</v>
      </c>
      <c r="Z143" s="462">
        <f>SUM(Z6:Z141)</f>
        <v>28.846000000000004</v>
      </c>
      <c r="AA143" s="61">
        <f>SUM(AA6:AA141)</f>
        <v>50.264865883809925</v>
      </c>
      <c r="AB143" s="61">
        <f>SUM(AB6:AB141)</f>
        <v>-1.0262991657985572</v>
      </c>
      <c r="AC143" s="61">
        <f>SUM(AC6:AC141)</f>
        <v>12.952105716363606</v>
      </c>
      <c r="AD143" s="36">
        <f>SUM(AD6:AD142)</f>
        <v>2156</v>
      </c>
      <c r="AE143" s="65"/>
      <c r="AF143" s="61">
        <f t="shared" ref="AF143:BF143" si="13">SUM(AF6:AF142)</f>
        <v>119</v>
      </c>
      <c r="AG143" s="61">
        <f t="shared" si="13"/>
        <v>50</v>
      </c>
      <c r="AH143" s="61">
        <f t="shared" si="13"/>
        <v>682</v>
      </c>
      <c r="AI143" s="61">
        <f t="shared" si="13"/>
        <v>0</v>
      </c>
      <c r="AJ143" s="61">
        <f t="shared" si="13"/>
        <v>8</v>
      </c>
      <c r="AK143" s="61">
        <f t="shared" si="13"/>
        <v>9</v>
      </c>
      <c r="AL143" s="61">
        <f t="shared" si="13"/>
        <v>0</v>
      </c>
      <c r="AM143" s="61">
        <f t="shared" si="13"/>
        <v>930</v>
      </c>
      <c r="AN143" s="51">
        <f t="shared" si="13"/>
        <v>391</v>
      </c>
      <c r="AO143" s="51">
        <f t="shared" si="13"/>
        <v>0</v>
      </c>
      <c r="AP143" s="51">
        <f t="shared" si="13"/>
        <v>141</v>
      </c>
      <c r="AQ143" s="51">
        <f t="shared" si="13"/>
        <v>0</v>
      </c>
      <c r="AR143" s="61">
        <f t="shared" si="13"/>
        <v>532</v>
      </c>
      <c r="AS143" s="61">
        <f t="shared" si="13"/>
        <v>540</v>
      </c>
      <c r="AT143" s="61">
        <f t="shared" si="13"/>
        <v>0</v>
      </c>
      <c r="AU143" s="61">
        <f t="shared" si="13"/>
        <v>0</v>
      </c>
      <c r="AV143" s="61">
        <f t="shared" si="13"/>
        <v>62</v>
      </c>
      <c r="AW143" s="61">
        <f t="shared" si="13"/>
        <v>0</v>
      </c>
      <c r="AX143" s="61">
        <f t="shared" si="13"/>
        <v>0</v>
      </c>
      <c r="AY143" s="61">
        <f t="shared" si="13"/>
        <v>154</v>
      </c>
      <c r="AZ143" s="61">
        <f t="shared" si="13"/>
        <v>0</v>
      </c>
      <c r="BA143" s="61">
        <f t="shared" si="13"/>
        <v>1226</v>
      </c>
      <c r="BB143" s="51">
        <f t="shared" si="13"/>
        <v>18</v>
      </c>
      <c r="BC143" s="51">
        <f t="shared" si="13"/>
        <v>30</v>
      </c>
      <c r="BD143" s="51">
        <f t="shared" si="13"/>
        <v>4</v>
      </c>
      <c r="BE143" s="51">
        <f t="shared" si="13"/>
        <v>0</v>
      </c>
      <c r="BF143" s="51">
        <f t="shared" si="13"/>
        <v>1</v>
      </c>
    </row>
    <row r="144" spans="1:58">
      <c r="A144" s="56"/>
      <c r="B144" s="57"/>
      <c r="C144" s="57"/>
      <c r="D144" s="57"/>
      <c r="E144" s="58"/>
      <c r="F144" s="58"/>
      <c r="G144" s="59"/>
      <c r="H144" s="59"/>
      <c r="I144" s="59"/>
      <c r="J144" s="85"/>
      <c r="K144" s="85"/>
      <c r="L144" s="62"/>
      <c r="M144" s="62"/>
      <c r="N144" s="63"/>
      <c r="O144" s="741"/>
      <c r="P144" s="742"/>
      <c r="Q144" s="59">
        <f>30*1440-Q143</f>
        <v>887</v>
      </c>
      <c r="R144" s="66">
        <f>R143/Q143</f>
        <v>2.8974546829579562E-2</v>
      </c>
      <c r="S144" s="66">
        <f>S143/Q143</f>
        <v>2.1979060808734904E-2</v>
      </c>
      <c r="T144" s="340"/>
      <c r="U144" s="340"/>
      <c r="V144" s="342">
        <f>V143/K143</f>
        <v>5.0899985110024401E-2</v>
      </c>
      <c r="W144" s="359" t="s">
        <v>163</v>
      </c>
      <c r="X144" s="464">
        <v>0.85</v>
      </c>
      <c r="Y144" s="356">
        <f>Y143/K143</f>
        <v>0</v>
      </c>
      <c r="Z144" s="618">
        <f>Z143/K143</f>
        <v>1.8634102490156505E-2</v>
      </c>
      <c r="AA144" s="67">
        <f>AA143/K143</f>
        <v>3.247038280984834E-2</v>
      </c>
      <c r="AB144" s="67">
        <f>AB143/K143</f>
        <v>-6.6297454902074595E-4</v>
      </c>
      <c r="AC144" s="465">
        <f>AC143/K143</f>
        <v>8.3668746232427853E-3</v>
      </c>
      <c r="AD144" s="343"/>
      <c r="AE144" s="38"/>
      <c r="AF144" s="67">
        <f>AF143/$AD$143*$V$144</f>
        <v>2.8094147625662819E-3</v>
      </c>
      <c r="AG144" s="67">
        <f>AG143/$AD$143*$V$144</f>
        <v>1.1804263708261689E-3</v>
      </c>
      <c r="AH144" s="67">
        <f>AH143/$AD$143*$V$144</f>
        <v>1.6101015698068943E-2</v>
      </c>
      <c r="AI144" s="67">
        <f>AI143/$AD$143*$V$144</f>
        <v>0</v>
      </c>
      <c r="AJ144" s="67">
        <f t="shared" ref="AJ144:BA144" si="14">AJ143/$AD$143*$V$144</f>
        <v>1.8886821933218701E-4</v>
      </c>
      <c r="AK144" s="67">
        <f t="shared" si="14"/>
        <v>2.1247674674871038E-4</v>
      </c>
      <c r="AL144" s="67">
        <f t="shared" si="14"/>
        <v>0</v>
      </c>
      <c r="AM144" s="67">
        <f t="shared" si="14"/>
        <v>2.1955930497366744E-2</v>
      </c>
      <c r="AN144" s="67">
        <f t="shared" si="14"/>
        <v>9.2309342198606398E-3</v>
      </c>
      <c r="AO144" s="67">
        <f t="shared" si="14"/>
        <v>0</v>
      </c>
      <c r="AP144" s="67">
        <f t="shared" si="14"/>
        <v>3.3288023657297963E-3</v>
      </c>
      <c r="AQ144" s="67">
        <f t="shared" si="14"/>
        <v>0</v>
      </c>
      <c r="AR144" s="67">
        <f t="shared" si="14"/>
        <v>1.2559736585590437E-2</v>
      </c>
      <c r="AS144" s="67">
        <f t="shared" si="14"/>
        <v>1.2748604804922622E-2</v>
      </c>
      <c r="AT144" s="67">
        <f t="shared" si="14"/>
        <v>0</v>
      </c>
      <c r="AU144" s="67">
        <f t="shared" si="14"/>
        <v>0</v>
      </c>
      <c r="AV144" s="67">
        <f t="shared" si="14"/>
        <v>1.4637286998244496E-3</v>
      </c>
      <c r="AW144" s="67">
        <f t="shared" si="14"/>
        <v>0</v>
      </c>
      <c r="AX144" s="67">
        <f t="shared" si="14"/>
        <v>0</v>
      </c>
      <c r="AY144" s="67">
        <f t="shared" si="14"/>
        <v>3.6357132221446001E-3</v>
      </c>
      <c r="AZ144" s="67">
        <f t="shared" si="14"/>
        <v>0</v>
      </c>
      <c r="BA144" s="67">
        <f t="shared" si="14"/>
        <v>2.8944054612657658E-2</v>
      </c>
      <c r="BB144" s="33" t="s">
        <v>162</v>
      </c>
      <c r="BC144" s="33" t="s">
        <v>162</v>
      </c>
      <c r="BD144" s="33" t="s">
        <v>389</v>
      </c>
      <c r="BE144" s="33" t="s">
        <v>389</v>
      </c>
      <c r="BF144" s="33" t="s">
        <v>389</v>
      </c>
    </row>
    <row r="145" spans="1:58">
      <c r="A145" s="56"/>
      <c r="B145" s="57"/>
      <c r="C145" s="57"/>
      <c r="D145" s="57"/>
      <c r="E145" s="58"/>
      <c r="F145" s="58"/>
      <c r="G145" s="33"/>
      <c r="H145" s="33"/>
      <c r="I145" s="33"/>
      <c r="J145" s="82"/>
      <c r="K145" s="82"/>
      <c r="L145" s="34"/>
      <c r="M145" s="34"/>
      <c r="N145" s="32"/>
      <c r="O145" s="35"/>
      <c r="P145" s="27"/>
      <c r="Q145" s="33"/>
      <c r="R145" s="36">
        <f>+R143-BA143</f>
        <v>0</v>
      </c>
      <c r="S145" s="36">
        <f>+S143-AM143</f>
        <v>0</v>
      </c>
      <c r="T145" s="32"/>
      <c r="U145" s="32"/>
      <c r="V145" s="32"/>
      <c r="W145" s="357">
        <f>+W143-'31'!M34/1000</f>
        <v>0</v>
      </c>
      <c r="X145" s="358"/>
      <c r="Y145" s="68"/>
      <c r="Z145" s="615">
        <f>+Z143-'31'!J56/1000</f>
        <v>0</v>
      </c>
      <c r="AA145" s="32"/>
      <c r="AB145" s="32"/>
      <c r="AC145" s="32"/>
      <c r="AD145" s="32"/>
      <c r="AE145" s="38"/>
      <c r="AF145" s="330"/>
      <c r="AG145" s="330"/>
      <c r="AH145" s="330"/>
      <c r="AI145" s="330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609">
        <v>0</v>
      </c>
      <c r="AU145" s="609">
        <v>0</v>
      </c>
      <c r="AV145" s="609">
        <v>62</v>
      </c>
      <c r="AW145" s="609">
        <v>483</v>
      </c>
      <c r="AX145" s="609">
        <v>0</v>
      </c>
      <c r="AY145" s="609">
        <v>558</v>
      </c>
      <c r="AZ145" s="609">
        <v>0</v>
      </c>
      <c r="BA145" s="609"/>
      <c r="BB145" s="466">
        <f>BB143/($Q$143/1440)/2</f>
        <v>0.30628884739914447</v>
      </c>
      <c r="BC145" s="466">
        <f>BC143/($Q$143/1440)/2</f>
        <v>0.51048141233190747</v>
      </c>
      <c r="BD145" s="466">
        <f>BD143/($Q$143/1440)</f>
        <v>0.13612837662184199</v>
      </c>
      <c r="BE145" s="466">
        <f>BE143/($Q$143/1440)</f>
        <v>0</v>
      </c>
      <c r="BF145" s="466">
        <f>BF143/($Q$143/1440)</f>
        <v>3.4032094155460497E-2</v>
      </c>
    </row>
    <row r="146" spans="1:58">
      <c r="A146" s="69"/>
      <c r="B146" s="70"/>
      <c r="C146" s="70"/>
      <c r="D146" s="70"/>
      <c r="E146" s="71"/>
      <c r="F146" s="71"/>
      <c r="G146" s="72"/>
      <c r="H146" s="72"/>
      <c r="I146" s="72"/>
      <c r="J146" s="86"/>
      <c r="K146" s="86"/>
      <c r="O146" s="73"/>
      <c r="P146" s="74"/>
      <c r="Q146" s="72"/>
      <c r="R146" s="53"/>
      <c r="S146" s="53"/>
      <c r="U146" s="75"/>
      <c r="V146" s="75"/>
      <c r="W146" s="76" t="s">
        <v>116</v>
      </c>
      <c r="X146" s="467">
        <f>W143/U143</f>
        <v>0.94571415316494378</v>
      </c>
      <c r="Y146" s="467"/>
      <c r="Z146" s="53"/>
      <c r="AD146" s="83"/>
      <c r="AE146" s="78"/>
      <c r="AF146" s="79"/>
      <c r="AG146" s="79"/>
      <c r="AH146" s="79"/>
      <c r="AI146" s="79"/>
      <c r="AJ146" s="79"/>
      <c r="AK146" s="79"/>
      <c r="AL146" s="79"/>
      <c r="AM146" s="79"/>
      <c r="AN146" s="77"/>
      <c r="AO146" s="77"/>
      <c r="AP146" s="77"/>
      <c r="AQ146" s="77"/>
      <c r="AR146" s="77"/>
      <c r="AS146" s="79"/>
      <c r="AT146" s="79"/>
      <c r="AU146" s="79"/>
      <c r="AV146" s="79"/>
      <c r="AW146" s="79"/>
      <c r="AX146" s="609">
        <f>0.5%*1440*30</f>
        <v>216</v>
      </c>
      <c r="AY146" s="79"/>
      <c r="AZ146" s="79"/>
      <c r="BA146" s="77"/>
      <c r="BB146" s="26"/>
      <c r="BC146" s="77"/>
      <c r="BD146" s="77"/>
      <c r="BE146" s="26"/>
      <c r="BF146" s="77"/>
    </row>
    <row r="147" spans="1:58">
      <c r="A147" s="69"/>
      <c r="B147" s="70"/>
      <c r="C147" s="70"/>
      <c r="D147" s="70"/>
      <c r="E147" s="71"/>
      <c r="F147" s="71"/>
      <c r="G147" s="72"/>
      <c r="H147" s="72"/>
      <c r="I147" s="72"/>
      <c r="J147" s="86"/>
      <c r="K147" s="86"/>
      <c r="O147" s="73"/>
      <c r="P147" s="74"/>
      <c r="Q147" s="72"/>
      <c r="R147" s="53"/>
      <c r="S147" s="53"/>
      <c r="U147" s="75"/>
      <c r="V147" s="75"/>
      <c r="W147" s="76"/>
      <c r="X147" s="77"/>
      <c r="Y147" s="77"/>
      <c r="Z147" s="53"/>
      <c r="AA147" s="89"/>
      <c r="AB147" s="89"/>
      <c r="AD147" s="83"/>
      <c r="AE147" s="78"/>
      <c r="AF147" s="79"/>
      <c r="AG147" s="79"/>
      <c r="AH147" s="79"/>
      <c r="AI147" s="79"/>
      <c r="AJ147" s="79"/>
      <c r="AK147" s="79"/>
      <c r="AL147" s="79"/>
      <c r="AM147" s="79"/>
      <c r="AN147" s="79"/>
      <c r="AO147" s="77"/>
      <c r="AP147" s="77"/>
      <c r="AQ147" s="77"/>
      <c r="AR147" s="79"/>
      <c r="AS147" s="77"/>
      <c r="AT147" s="77"/>
      <c r="AU147" s="77"/>
      <c r="AV147" s="77"/>
      <c r="AW147" s="77"/>
      <c r="AX147" s="609">
        <f>+AV145+AW145+AX145+AY145-AX146-Q144</f>
        <v>0</v>
      </c>
      <c r="AY147" s="77"/>
      <c r="AZ147" s="77"/>
      <c r="BA147" s="77"/>
      <c r="BB147" s="26"/>
      <c r="BC147" s="77"/>
      <c r="BD147" s="77"/>
      <c r="BE147" s="26"/>
      <c r="BF147" s="77"/>
    </row>
    <row r="148" spans="1:58">
      <c r="A148" s="69"/>
      <c r="B148" s="70"/>
      <c r="C148" s="70"/>
      <c r="D148" s="70"/>
      <c r="E148" s="71"/>
      <c r="F148" s="71"/>
      <c r="G148" s="72"/>
      <c r="H148" s="72"/>
      <c r="I148" s="72"/>
      <c r="J148" s="86"/>
      <c r="K148" s="86"/>
      <c r="O148" s="73"/>
      <c r="P148" s="74"/>
      <c r="Q148" s="72"/>
      <c r="R148" s="341"/>
      <c r="S148" s="53"/>
      <c r="U148" s="75"/>
      <c r="V148" s="75"/>
      <c r="W148" s="76" t="s">
        <v>139</v>
      </c>
      <c r="X148" s="330">
        <f>+W143+Y143</f>
        <v>1378.1909999999998</v>
      </c>
      <c r="Y148" s="77"/>
      <c r="Z148" s="53"/>
      <c r="AD148" s="83"/>
      <c r="AE148" s="78"/>
      <c r="AF148" s="83"/>
      <c r="AG148" s="83"/>
      <c r="AH148" s="83"/>
      <c r="AI148" s="83"/>
      <c r="AJ148" s="77"/>
      <c r="AK148" s="77"/>
      <c r="AL148" s="77"/>
      <c r="AM148" s="79"/>
      <c r="AN148" s="77"/>
      <c r="AO148" s="77"/>
      <c r="AP148" s="77"/>
      <c r="AQ148" s="77"/>
      <c r="AR148" s="79"/>
      <c r="AS148" s="77"/>
      <c r="AT148" s="77"/>
      <c r="AU148" s="77"/>
      <c r="AV148" s="77"/>
      <c r="AW148" s="77"/>
      <c r="AX148" s="77"/>
      <c r="AY148" s="77"/>
      <c r="AZ148" s="77"/>
      <c r="BA148" s="77"/>
      <c r="BB148" s="26"/>
      <c r="BC148" s="77"/>
      <c r="BD148" s="77"/>
      <c r="BE148" s="26"/>
      <c r="BF148" s="77"/>
    </row>
    <row r="149" spans="1:58">
      <c r="A149" s="69"/>
      <c r="C149" s="70" t="s">
        <v>273</v>
      </c>
      <c r="D149" s="70"/>
      <c r="E149" s="71"/>
      <c r="F149" s="71"/>
      <c r="G149" s="72"/>
      <c r="H149" s="72"/>
      <c r="I149" s="72"/>
      <c r="J149" s="86"/>
      <c r="K149" s="86"/>
      <c r="O149" s="73"/>
      <c r="P149" s="74"/>
      <c r="Q149" s="72"/>
      <c r="R149" s="341"/>
      <c r="S149" s="53"/>
      <c r="U149" s="75"/>
      <c r="V149" s="352"/>
      <c r="W149" s="353"/>
      <c r="X149" s="346"/>
      <c r="Y149" s="353"/>
      <c r="Z149" s="346"/>
      <c r="AD149" s="339"/>
      <c r="AE149" s="78"/>
      <c r="AF149" s="339"/>
      <c r="AG149" s="339"/>
      <c r="AH149" s="339"/>
      <c r="AI149" s="339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26"/>
      <c r="BC149" s="77"/>
      <c r="BD149" s="77"/>
      <c r="BE149" s="26"/>
      <c r="BF149" s="77"/>
    </row>
    <row r="150" spans="1:58">
      <c r="A150" s="69"/>
      <c r="B150" s="70"/>
      <c r="C150" s="70" t="s">
        <v>274</v>
      </c>
      <c r="D150" s="70"/>
      <c r="E150" s="71"/>
      <c r="F150" s="71"/>
      <c r="G150" s="72"/>
      <c r="H150" s="72"/>
      <c r="I150" s="72"/>
      <c r="J150" s="86"/>
      <c r="K150" s="86"/>
      <c r="O150" s="73"/>
      <c r="P150" s="74"/>
      <c r="Q150" s="72"/>
      <c r="R150" s="341"/>
      <c r="S150" s="53"/>
      <c r="V150" s="344"/>
      <c r="W150" s="345" t="s">
        <v>282</v>
      </c>
      <c r="X150" s="344"/>
      <c r="Y150" s="344"/>
      <c r="Z150" s="346"/>
      <c r="AE150" s="78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26"/>
      <c r="BE150" s="26"/>
    </row>
    <row r="151" spans="1:58">
      <c r="A151" s="69"/>
      <c r="B151" s="70"/>
      <c r="C151" s="70"/>
      <c r="D151" s="70"/>
      <c r="E151" s="71"/>
      <c r="F151" s="71"/>
      <c r="G151" s="72"/>
      <c r="H151" s="72"/>
      <c r="I151" s="72"/>
      <c r="J151" s="86"/>
      <c r="K151" s="86"/>
      <c r="O151" s="73"/>
      <c r="P151" s="74"/>
      <c r="Q151" s="72"/>
      <c r="R151" s="341"/>
      <c r="S151" s="53"/>
      <c r="V151" s="344"/>
      <c r="W151" s="347" t="s">
        <v>272</v>
      </c>
      <c r="X151" s="351">
        <f>Y144</f>
        <v>0</v>
      </c>
      <c r="Y151" s="348"/>
      <c r="Z151" s="346"/>
      <c r="AE151" s="78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26"/>
      <c r="BE151" s="26"/>
    </row>
    <row r="152" spans="1:58">
      <c r="R152" s="89"/>
      <c r="V152" s="344"/>
      <c r="W152" s="347" t="s">
        <v>142</v>
      </c>
      <c r="X152" s="350">
        <f>Z144</f>
        <v>1.8634102490156505E-2</v>
      </c>
      <c r="Y152" s="349"/>
      <c r="Z152" s="344"/>
    </row>
    <row r="153" spans="1:58">
      <c r="R153" s="89"/>
      <c r="V153" s="344"/>
      <c r="W153" s="347" t="s">
        <v>143</v>
      </c>
      <c r="X153" s="350">
        <f>AC144</f>
        <v>8.3668746232427853E-3</v>
      </c>
      <c r="Y153" s="350"/>
      <c r="Z153" s="344"/>
    </row>
    <row r="154" spans="1:58">
      <c r="R154" s="89"/>
      <c r="V154" s="344"/>
      <c r="W154" s="347" t="s">
        <v>144</v>
      </c>
      <c r="X154" s="350">
        <f>AA144</f>
        <v>3.247038280984834E-2</v>
      </c>
      <c r="Y154" s="349"/>
      <c r="Z154" s="344"/>
    </row>
    <row r="155" spans="1:58">
      <c r="V155" s="344"/>
      <c r="W155" s="347" t="s">
        <v>160</v>
      </c>
      <c r="X155" s="350">
        <f>AB144</f>
        <v>-6.6297454902074595E-4</v>
      </c>
      <c r="Y155" s="349" t="s">
        <v>158</v>
      </c>
      <c r="Z155" s="344"/>
    </row>
    <row r="156" spans="1:58">
      <c r="V156" s="344"/>
      <c r="W156" s="347" t="s">
        <v>211</v>
      </c>
      <c r="X156" s="350">
        <f>AF144</f>
        <v>2.8094147625662819E-3</v>
      </c>
      <c r="Y156" s="349"/>
      <c r="Z156" s="344"/>
    </row>
    <row r="157" spans="1:58">
      <c r="V157" s="344"/>
      <c r="W157" s="347" t="s">
        <v>212</v>
      </c>
      <c r="X157" s="350">
        <f>+AG144</f>
        <v>1.1804263708261689E-3</v>
      </c>
      <c r="Y157" s="349"/>
      <c r="Z157" s="344"/>
    </row>
    <row r="158" spans="1:58">
      <c r="V158" s="344"/>
      <c r="W158" s="347" t="s">
        <v>213</v>
      </c>
      <c r="X158" s="350">
        <f>+AH144</f>
        <v>1.6101015698068943E-2</v>
      </c>
      <c r="Y158" s="349"/>
      <c r="Z158" s="344"/>
    </row>
    <row r="159" spans="1:58">
      <c r="V159" s="344"/>
      <c r="W159" s="347" t="s">
        <v>214</v>
      </c>
      <c r="X159" s="350">
        <f>+AI144</f>
        <v>0</v>
      </c>
      <c r="Y159" s="349"/>
      <c r="Z159" s="344"/>
    </row>
    <row r="160" spans="1:58">
      <c r="V160" s="344"/>
      <c r="W160" s="347" t="s">
        <v>151</v>
      </c>
      <c r="X160" s="350">
        <f>+AJ144</f>
        <v>1.8886821933218701E-4</v>
      </c>
      <c r="Y160" s="349"/>
      <c r="Z160" s="344"/>
    </row>
    <row r="161" spans="22:26" s="28" customFormat="1">
      <c r="V161" s="344"/>
      <c r="W161" s="347" t="s">
        <v>153</v>
      </c>
      <c r="X161" s="350">
        <f>+AK144</f>
        <v>2.1247674674871038E-4</v>
      </c>
      <c r="Y161" s="349"/>
      <c r="Z161" s="344"/>
    </row>
    <row r="162" spans="22:26" s="28" customFormat="1">
      <c r="V162" s="344"/>
      <c r="W162" s="347" t="s">
        <v>152</v>
      </c>
      <c r="X162" s="350">
        <f>+AL144</f>
        <v>0</v>
      </c>
      <c r="Y162" s="349"/>
      <c r="Z162" s="344"/>
    </row>
    <row r="163" spans="22:26" s="28" customFormat="1">
      <c r="V163" s="344"/>
      <c r="W163" s="347" t="s">
        <v>145</v>
      </c>
      <c r="X163" s="350">
        <f>+AN144</f>
        <v>9.2309342198606398E-3</v>
      </c>
      <c r="Y163" s="349"/>
      <c r="Z163" s="344"/>
    </row>
    <row r="164" spans="22:26" s="28" customFormat="1">
      <c r="V164" s="344"/>
      <c r="W164" s="347" t="s">
        <v>155</v>
      </c>
      <c r="X164" s="350">
        <f>+AO144</f>
        <v>0</v>
      </c>
      <c r="Y164" s="349"/>
      <c r="Z164" s="344"/>
    </row>
    <row r="165" spans="22:26" s="28" customFormat="1">
      <c r="V165" s="344"/>
      <c r="W165" s="347" t="s">
        <v>146</v>
      </c>
      <c r="X165" s="350">
        <f>+AP144</f>
        <v>3.3288023657297963E-3</v>
      </c>
      <c r="Y165" s="349"/>
      <c r="Z165" s="344"/>
    </row>
    <row r="166" spans="22:26" s="28" customFormat="1">
      <c r="V166" s="344"/>
      <c r="W166" s="347" t="s">
        <v>154</v>
      </c>
      <c r="X166" s="350">
        <f>+AQ144</f>
        <v>0</v>
      </c>
      <c r="Y166" s="349"/>
      <c r="Z166" s="344"/>
    </row>
    <row r="167" spans="22:26" s="28" customFormat="1">
      <c r="V167" s="344"/>
      <c r="W167" s="347" t="s">
        <v>157</v>
      </c>
      <c r="X167" s="350">
        <f>+AS144</f>
        <v>1.2748604804922622E-2</v>
      </c>
      <c r="Y167" s="349"/>
      <c r="Z167" s="344"/>
    </row>
    <row r="168" spans="22:26" s="28" customFormat="1">
      <c r="V168" s="344"/>
      <c r="W168" s="347" t="s">
        <v>275</v>
      </c>
      <c r="X168" s="350">
        <f>+AT144</f>
        <v>0</v>
      </c>
      <c r="Y168" s="349"/>
      <c r="Z168" s="344"/>
    </row>
    <row r="169" spans="22:26" s="28" customFormat="1">
      <c r="V169" s="344"/>
      <c r="W169" s="347" t="s">
        <v>252</v>
      </c>
      <c r="X169" s="350">
        <f>+AU144</f>
        <v>0</v>
      </c>
      <c r="Y169" s="349"/>
      <c r="Z169" s="344"/>
    </row>
    <row r="170" spans="22:26" s="28" customFormat="1">
      <c r="V170" s="344"/>
      <c r="W170" s="347" t="s">
        <v>284</v>
      </c>
      <c r="X170" s="350">
        <f>+AW144</f>
        <v>0</v>
      </c>
      <c r="Y170" s="349"/>
      <c r="Z170" s="344"/>
    </row>
    <row r="171" spans="22:26" s="28" customFormat="1">
      <c r="V171" s="344"/>
      <c r="W171" s="347" t="s">
        <v>285</v>
      </c>
      <c r="X171" s="350">
        <f>+AV144</f>
        <v>1.4637286998244496E-3</v>
      </c>
      <c r="Y171" s="349"/>
      <c r="Z171" s="344"/>
    </row>
    <row r="172" spans="22:26" s="28" customFormat="1">
      <c r="V172" s="344"/>
      <c r="W172" s="344" t="s">
        <v>156</v>
      </c>
      <c r="X172" s="350">
        <f>+AX144+AY144</f>
        <v>3.6357132221446001E-3</v>
      </c>
      <c r="Y172" s="350"/>
      <c r="Z172" s="344"/>
    </row>
    <row r="173" spans="22:26" s="28" customFormat="1">
      <c r="V173" s="344"/>
      <c r="W173" s="344" t="s">
        <v>283</v>
      </c>
      <c r="X173" s="350">
        <f>+AZ144</f>
        <v>0</v>
      </c>
      <c r="Y173" s="344"/>
      <c r="Z173" s="344"/>
    </row>
    <row r="174" spans="22:26" s="28" customFormat="1">
      <c r="V174" s="344"/>
      <c r="W174" s="344"/>
      <c r="X174" s="481">
        <f>SUM(X151:X173)</f>
        <v>0.10970837048425128</v>
      </c>
      <c r="Y174" s="344"/>
      <c r="Z174" s="344"/>
    </row>
    <row r="175" spans="22:26" s="28" customFormat="1"/>
    <row r="176" spans="22:26" s="28" customFormat="1">
      <c r="X176" s="89">
        <f>+X174+X143</f>
        <v>0.99999999999999978</v>
      </c>
    </row>
    <row r="177" s="28" customFormat="1"/>
    <row r="178" s="28" customFormat="1"/>
    <row r="179" s="28" customFormat="1"/>
    <row r="180" s="28" customFormat="1"/>
    <row r="181" s="28" customFormat="1"/>
    <row r="182" s="28" customFormat="1"/>
    <row r="183" s="28" customFormat="1"/>
    <row r="184" s="28" customFormat="1"/>
    <row r="185" s="28" customFormat="1"/>
    <row r="186" s="28" customFormat="1"/>
    <row r="187" s="28" customFormat="1"/>
    <row r="188" s="28" customFormat="1"/>
    <row r="189" s="28" customFormat="1"/>
    <row r="190" s="28" customFormat="1"/>
    <row r="191" s="28" customFormat="1"/>
    <row r="192" s="28" customFormat="1"/>
    <row r="193" s="28" customFormat="1"/>
    <row r="194" s="28" customFormat="1"/>
    <row r="195" s="28" customFormat="1"/>
    <row r="196" s="28" customFormat="1"/>
    <row r="197" s="28" customFormat="1"/>
    <row r="198" s="28" customFormat="1"/>
    <row r="199" s="28" customFormat="1"/>
    <row r="200" s="28" customFormat="1"/>
    <row r="201" s="28" customFormat="1"/>
    <row r="202" s="28" customFormat="1"/>
    <row r="203" s="28" customFormat="1"/>
    <row r="204" s="28" customFormat="1"/>
    <row r="205" s="28" customFormat="1"/>
    <row r="206" s="28" customFormat="1"/>
    <row r="207" s="28" customFormat="1"/>
    <row r="208" s="28" customFormat="1"/>
    <row r="209" s="28" customFormat="1"/>
    <row r="210" s="28" customFormat="1"/>
    <row r="211" s="28" customFormat="1"/>
    <row r="213" s="28" customFormat="1"/>
    <row r="214" s="28" customForma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44:P144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B104:C104 B109:C109 B129:C129 C144 C142 B142:B144">
    <cfRule type="cellIs" dxfId="360" priority="12678" stopIfTrue="1" operator="equal">
      <formula>"Towel"</formula>
    </cfRule>
    <cfRule type="cellIs" dxfId="359" priority="12679" stopIfTrue="1" operator="equal">
      <formula>"Napkin Hs"</formula>
    </cfRule>
  </conditionalFormatting>
  <conditionalFormatting sqref="C104 C109 C129">
    <cfRule type="cellIs" dxfId="358" priority="12677" stopIfTrue="1" operator="equal">
      <formula>"Napkin Hs"</formula>
    </cfRule>
  </conditionalFormatting>
  <conditionalFormatting sqref="C90:C91">
    <cfRule type="cellIs" dxfId="357" priority="12109" stopIfTrue="1" operator="equal">
      <formula>"Napkin Hs"</formula>
    </cfRule>
  </conditionalFormatting>
  <conditionalFormatting sqref="C93:C95">
    <cfRule type="cellIs" dxfId="356" priority="12093" stopIfTrue="1" operator="equal">
      <formula>"Napkin Hs"</formula>
    </cfRule>
  </conditionalFormatting>
  <conditionalFormatting sqref="C101:C103">
    <cfRule type="cellIs" dxfId="355" priority="12075" stopIfTrue="1" operator="equal">
      <formula>"Napkin Hs"</formula>
    </cfRule>
  </conditionalFormatting>
  <conditionalFormatting sqref="C105 C107">
    <cfRule type="cellIs" dxfId="354" priority="12063" stopIfTrue="1" operator="equal">
      <formula>"Napkin Hs"</formula>
    </cfRule>
  </conditionalFormatting>
  <conditionalFormatting sqref="C106">
    <cfRule type="cellIs" dxfId="353" priority="12051" stopIfTrue="1" operator="equal">
      <formula>"Napkin Hs"</formula>
    </cfRule>
  </conditionalFormatting>
  <conditionalFormatting sqref="C110 C112">
    <cfRule type="cellIs" dxfId="352" priority="12027" stopIfTrue="1" operator="equal">
      <formula>"Napkin Hs"</formula>
    </cfRule>
  </conditionalFormatting>
  <conditionalFormatting sqref="C111">
    <cfRule type="cellIs" dxfId="351" priority="12015" stopIfTrue="1" operator="equal">
      <formula>"Napkin Hs"</formula>
    </cfRule>
  </conditionalFormatting>
  <conditionalFormatting sqref="C115 C117">
    <cfRule type="cellIs" dxfId="350" priority="12003" stopIfTrue="1" operator="equal">
      <formula>"Napkin Hs"</formula>
    </cfRule>
  </conditionalFormatting>
  <conditionalFormatting sqref="C116">
    <cfRule type="cellIs" dxfId="349" priority="11991" stopIfTrue="1" operator="equal">
      <formula>"Napkin Hs"</formula>
    </cfRule>
  </conditionalFormatting>
  <conditionalFormatting sqref="C126:C128">
    <cfRule type="cellIs" dxfId="348" priority="11967" stopIfTrue="1" operator="equal">
      <formula>"Napkin Hs"</formula>
    </cfRule>
  </conditionalFormatting>
  <conditionalFormatting sqref="C130:C131">
    <cfRule type="cellIs" dxfId="347" priority="11961" stopIfTrue="1" operator="equal">
      <formula>"Napkin Hs"</formula>
    </cfRule>
  </conditionalFormatting>
  <conditionalFormatting sqref="C9">
    <cfRule type="cellIs" dxfId="346" priority="11865" stopIfTrue="1" operator="equal">
      <formula>"Napkin Hs"</formula>
    </cfRule>
  </conditionalFormatting>
  <conditionalFormatting sqref="C8">
    <cfRule type="cellIs" dxfId="345" priority="11853" stopIfTrue="1" operator="equal">
      <formula>"Napkin Hs"</formula>
    </cfRule>
  </conditionalFormatting>
  <conditionalFormatting sqref="C10">
    <cfRule type="cellIs" dxfId="344" priority="11847" stopIfTrue="1" operator="equal">
      <formula>"Napkin Hs"</formula>
    </cfRule>
  </conditionalFormatting>
  <conditionalFormatting sqref="C7">
    <cfRule type="cellIs" dxfId="343" priority="11817" stopIfTrue="1" operator="equal">
      <formula>"Napkin Hs"</formula>
    </cfRule>
  </conditionalFormatting>
  <conditionalFormatting sqref="C6">
    <cfRule type="cellIs" dxfId="342" priority="11741" stopIfTrue="1" operator="equal">
      <formula>"Napkin Hs"</formula>
    </cfRule>
  </conditionalFormatting>
  <conditionalFormatting sqref="C15">
    <cfRule type="cellIs" dxfId="341" priority="11667" stopIfTrue="1" operator="equal">
      <formula>"Napkin Hs"</formula>
    </cfRule>
  </conditionalFormatting>
  <conditionalFormatting sqref="C14">
    <cfRule type="cellIs" dxfId="340" priority="11655" stopIfTrue="1" operator="equal">
      <formula>"Napkin Hs"</formula>
    </cfRule>
  </conditionalFormatting>
  <conditionalFormatting sqref="C13">
    <cfRule type="cellIs" dxfId="339" priority="11649" stopIfTrue="1" operator="equal">
      <formula>"Napkin Hs"</formula>
    </cfRule>
  </conditionalFormatting>
  <conditionalFormatting sqref="C12">
    <cfRule type="cellIs" dxfId="338" priority="11643" stopIfTrue="1" operator="equal">
      <formula>"Napkin Hs"</formula>
    </cfRule>
  </conditionalFormatting>
  <conditionalFormatting sqref="C11">
    <cfRule type="cellIs" dxfId="337" priority="11567" stopIfTrue="1" operator="equal">
      <formula>"Napkin Hs"</formula>
    </cfRule>
  </conditionalFormatting>
  <conditionalFormatting sqref="C19">
    <cfRule type="cellIs" dxfId="336" priority="11493" stopIfTrue="1" operator="equal">
      <formula>"Napkin Hs"</formula>
    </cfRule>
  </conditionalFormatting>
  <conditionalFormatting sqref="C18">
    <cfRule type="cellIs" dxfId="335" priority="11487" stopIfTrue="1" operator="equal">
      <formula>"Napkin Hs"</formula>
    </cfRule>
  </conditionalFormatting>
  <conditionalFormatting sqref="C16">
    <cfRule type="cellIs" dxfId="334" priority="11481" stopIfTrue="1" operator="equal">
      <formula>"Napkin Hs"</formula>
    </cfRule>
  </conditionalFormatting>
  <conditionalFormatting sqref="C17">
    <cfRule type="cellIs" dxfId="333" priority="11407" stopIfTrue="1" operator="equal">
      <formula>"Napkin Hs"</formula>
    </cfRule>
  </conditionalFormatting>
  <conditionalFormatting sqref="C21">
    <cfRule type="cellIs" dxfId="332" priority="10475" stopIfTrue="1" operator="equal">
      <formula>"Napkin Hs"</formula>
    </cfRule>
  </conditionalFormatting>
  <conditionalFormatting sqref="C23">
    <cfRule type="cellIs" dxfId="331" priority="10469" stopIfTrue="1" operator="equal">
      <formula>"Napkin Hs"</formula>
    </cfRule>
  </conditionalFormatting>
  <conditionalFormatting sqref="C29">
    <cfRule type="cellIs" dxfId="330" priority="10457" stopIfTrue="1" operator="equal">
      <formula>"Napkin Hs"</formula>
    </cfRule>
  </conditionalFormatting>
  <conditionalFormatting sqref="C27">
    <cfRule type="cellIs" dxfId="329" priority="10451" stopIfTrue="1" operator="equal">
      <formula>"Napkin Hs"</formula>
    </cfRule>
  </conditionalFormatting>
  <conditionalFormatting sqref="C28">
    <cfRule type="cellIs" dxfId="328" priority="10445" stopIfTrue="1" operator="equal">
      <formula>"Napkin Hs"</formula>
    </cfRule>
  </conditionalFormatting>
  <conditionalFormatting sqref="C23">
    <cfRule type="cellIs" dxfId="327" priority="10439" stopIfTrue="1" operator="equal">
      <formula>"Napkin Hs"</formula>
    </cfRule>
  </conditionalFormatting>
  <conditionalFormatting sqref="C21">
    <cfRule type="cellIs" dxfId="326" priority="10433" stopIfTrue="1" operator="equal">
      <formula>"Napkin Hs"</formula>
    </cfRule>
  </conditionalFormatting>
  <conditionalFormatting sqref="C20">
    <cfRule type="cellIs" dxfId="325" priority="10359" stopIfTrue="1" operator="equal">
      <formula>"Napkin Hs"</formula>
    </cfRule>
  </conditionalFormatting>
  <conditionalFormatting sqref="C20">
    <cfRule type="cellIs" dxfId="324" priority="10353" stopIfTrue="1" operator="equal">
      <formula>"Napkin Hs"</formula>
    </cfRule>
  </conditionalFormatting>
  <conditionalFormatting sqref="C26">
    <cfRule type="cellIs" dxfId="323" priority="10279" stopIfTrue="1" operator="equal">
      <formula>"Napkin Hs"</formula>
    </cfRule>
  </conditionalFormatting>
  <conditionalFormatting sqref="C25">
    <cfRule type="cellIs" dxfId="322" priority="10273" stopIfTrue="1" operator="equal">
      <formula>"Napkin Hs"</formula>
    </cfRule>
  </conditionalFormatting>
  <conditionalFormatting sqref="C26">
    <cfRule type="cellIs" dxfId="321" priority="10267" stopIfTrue="1" operator="equal">
      <formula>"Napkin Hs"</formula>
    </cfRule>
  </conditionalFormatting>
  <conditionalFormatting sqref="C25">
    <cfRule type="cellIs" dxfId="320" priority="10261" stopIfTrue="1" operator="equal">
      <formula>"Napkin Hs"</formula>
    </cfRule>
  </conditionalFormatting>
  <conditionalFormatting sqref="C24">
    <cfRule type="cellIs" dxfId="319" priority="10187" stopIfTrue="1" operator="equal">
      <formula>"Napkin Hs"</formula>
    </cfRule>
  </conditionalFormatting>
  <conditionalFormatting sqref="C24">
    <cfRule type="cellIs" dxfId="318" priority="10181" stopIfTrue="1" operator="equal">
      <formula>"Napkin Hs"</formula>
    </cfRule>
  </conditionalFormatting>
  <conditionalFormatting sqref="C22">
    <cfRule type="cellIs" dxfId="317" priority="10107" stopIfTrue="1" operator="equal">
      <formula>"Napkin Hs"</formula>
    </cfRule>
  </conditionalFormatting>
  <conditionalFormatting sqref="C22">
    <cfRule type="cellIs" dxfId="316" priority="10101" stopIfTrue="1" operator="equal">
      <formula>"Napkin Hs"</formula>
    </cfRule>
  </conditionalFormatting>
  <conditionalFormatting sqref="C24">
    <cfRule type="cellIs" dxfId="315" priority="10027" stopIfTrue="1" operator="equal">
      <formula>"Napkin Hs"</formula>
    </cfRule>
  </conditionalFormatting>
  <conditionalFormatting sqref="C28">
    <cfRule type="cellIs" dxfId="314" priority="10009" stopIfTrue="1" operator="equal">
      <formula>"Napkin Hs"</formula>
    </cfRule>
  </conditionalFormatting>
  <conditionalFormatting sqref="C29">
    <cfRule type="cellIs" dxfId="313" priority="10003" stopIfTrue="1" operator="equal">
      <formula>"Napkin Hs"</formula>
    </cfRule>
  </conditionalFormatting>
  <conditionalFormatting sqref="C24">
    <cfRule type="cellIs" dxfId="312" priority="9997" stopIfTrue="1" operator="equal">
      <formula>"Napkin Hs"</formula>
    </cfRule>
  </conditionalFormatting>
  <conditionalFormatting sqref="C27">
    <cfRule type="cellIs" dxfId="311" priority="9991" stopIfTrue="1" operator="equal">
      <formula>"Napkin Hs"</formula>
    </cfRule>
  </conditionalFormatting>
  <conditionalFormatting sqref="C26">
    <cfRule type="cellIs" dxfId="310" priority="9985" stopIfTrue="1" operator="equal">
      <formula>"Napkin Hs"</formula>
    </cfRule>
  </conditionalFormatting>
  <conditionalFormatting sqref="C27">
    <cfRule type="cellIs" dxfId="309" priority="9979" stopIfTrue="1" operator="equal">
      <formula>"Napkin Hs"</formula>
    </cfRule>
  </conditionalFormatting>
  <conditionalFormatting sqref="C26">
    <cfRule type="cellIs" dxfId="308" priority="9973" stopIfTrue="1" operator="equal">
      <formula>"Napkin Hs"</formula>
    </cfRule>
  </conditionalFormatting>
  <conditionalFormatting sqref="C25">
    <cfRule type="cellIs" dxfId="307" priority="9899" stopIfTrue="1" operator="equal">
      <formula>"Napkin Hs"</formula>
    </cfRule>
  </conditionalFormatting>
  <conditionalFormatting sqref="C25">
    <cfRule type="cellIs" dxfId="306" priority="9893" stopIfTrue="1" operator="equal">
      <formula>"Napkin Hs"</formula>
    </cfRule>
  </conditionalFormatting>
  <conditionalFormatting sqref="C32">
    <cfRule type="cellIs" dxfId="305" priority="9807" stopIfTrue="1" operator="equal">
      <formula>"Napkin Hs"</formula>
    </cfRule>
  </conditionalFormatting>
  <conditionalFormatting sqref="C31">
    <cfRule type="cellIs" dxfId="304" priority="9801" stopIfTrue="1" operator="equal">
      <formula>"Napkin Hs"</formula>
    </cfRule>
  </conditionalFormatting>
  <conditionalFormatting sqref="C30:C32">
    <cfRule type="cellIs" dxfId="303" priority="9795" stopIfTrue="1" operator="equal">
      <formula>"Napkin Hs"</formula>
    </cfRule>
  </conditionalFormatting>
  <conditionalFormatting sqref="C31">
    <cfRule type="cellIs" dxfId="302" priority="9789" stopIfTrue="1" operator="equal">
      <formula>"Napkin Hs"</formula>
    </cfRule>
  </conditionalFormatting>
  <conditionalFormatting sqref="C30:C32">
    <cfRule type="cellIs" dxfId="301" priority="9783" stopIfTrue="1" operator="equal">
      <formula>"Napkin Hs"</formula>
    </cfRule>
  </conditionalFormatting>
  <conditionalFormatting sqref="C32">
    <cfRule type="cellIs" dxfId="300" priority="9709" stopIfTrue="1" operator="equal">
      <formula>"Napkin Hs"</formula>
    </cfRule>
  </conditionalFormatting>
  <conditionalFormatting sqref="C31">
    <cfRule type="cellIs" dxfId="299" priority="9703" stopIfTrue="1" operator="equal">
      <formula>"Napkin Hs"</formula>
    </cfRule>
  </conditionalFormatting>
  <conditionalFormatting sqref="C32">
    <cfRule type="cellIs" dxfId="298" priority="9697" stopIfTrue="1" operator="equal">
      <formula>"Napkin Hs"</formula>
    </cfRule>
  </conditionalFormatting>
  <conditionalFormatting sqref="C31">
    <cfRule type="cellIs" dxfId="297" priority="9691" stopIfTrue="1" operator="equal">
      <formula>"Napkin Hs"</formula>
    </cfRule>
  </conditionalFormatting>
  <conditionalFormatting sqref="C30:C32">
    <cfRule type="cellIs" dxfId="296" priority="9617" stopIfTrue="1" operator="equal">
      <formula>"Napkin Hs"</formula>
    </cfRule>
  </conditionalFormatting>
  <conditionalFormatting sqref="C30:C32">
    <cfRule type="cellIs" dxfId="295" priority="9611" stopIfTrue="1" operator="equal">
      <formula>"Napkin Hs"</formula>
    </cfRule>
  </conditionalFormatting>
  <conditionalFormatting sqref="C36">
    <cfRule type="cellIs" dxfId="294" priority="9065" stopIfTrue="1" operator="equal">
      <formula>"Napkin Hs"</formula>
    </cfRule>
  </conditionalFormatting>
  <conditionalFormatting sqref="C35">
    <cfRule type="cellIs" dxfId="293" priority="9059" stopIfTrue="1" operator="equal">
      <formula>"Napkin Hs"</formula>
    </cfRule>
  </conditionalFormatting>
  <conditionalFormatting sqref="C35:C36">
    <cfRule type="cellIs" dxfId="292" priority="9053" stopIfTrue="1" operator="equal">
      <formula>"Napkin Hs"</formula>
    </cfRule>
  </conditionalFormatting>
  <conditionalFormatting sqref="C35">
    <cfRule type="cellIs" dxfId="291" priority="9047" stopIfTrue="1" operator="equal">
      <formula>"Napkin Hs"</formula>
    </cfRule>
  </conditionalFormatting>
  <conditionalFormatting sqref="C35:C36">
    <cfRule type="cellIs" dxfId="290" priority="9041" stopIfTrue="1" operator="equal">
      <formula>"Napkin Hs"</formula>
    </cfRule>
  </conditionalFormatting>
  <conditionalFormatting sqref="C36">
    <cfRule type="cellIs" dxfId="289" priority="8967" stopIfTrue="1" operator="equal">
      <formula>"Napkin Hs"</formula>
    </cfRule>
  </conditionalFormatting>
  <conditionalFormatting sqref="C35">
    <cfRule type="cellIs" dxfId="288" priority="8961" stopIfTrue="1" operator="equal">
      <formula>"Napkin Hs"</formula>
    </cfRule>
  </conditionalFormatting>
  <conditionalFormatting sqref="C36">
    <cfRule type="cellIs" dxfId="287" priority="8955" stopIfTrue="1" operator="equal">
      <formula>"Napkin Hs"</formula>
    </cfRule>
  </conditionalFormatting>
  <conditionalFormatting sqref="C35">
    <cfRule type="cellIs" dxfId="286" priority="8949" stopIfTrue="1" operator="equal">
      <formula>"Napkin Hs"</formula>
    </cfRule>
  </conditionalFormatting>
  <conditionalFormatting sqref="C35:C36">
    <cfRule type="cellIs" dxfId="285" priority="8875" stopIfTrue="1" operator="equal">
      <formula>"Napkin Hs"</formula>
    </cfRule>
  </conditionalFormatting>
  <conditionalFormatting sqref="C35:C36">
    <cfRule type="cellIs" dxfId="284" priority="8869" stopIfTrue="1" operator="equal">
      <formula>"Napkin Hs"</formula>
    </cfRule>
  </conditionalFormatting>
  <conditionalFormatting sqref="C34">
    <cfRule type="cellIs" dxfId="283" priority="8795" stopIfTrue="1" operator="equal">
      <formula>"Napkin Hs"</formula>
    </cfRule>
  </conditionalFormatting>
  <conditionalFormatting sqref="C34">
    <cfRule type="cellIs" dxfId="282" priority="8789" stopIfTrue="1" operator="equal">
      <formula>"Napkin Hs"</formula>
    </cfRule>
  </conditionalFormatting>
  <conditionalFormatting sqref="C34">
    <cfRule type="cellIs" dxfId="281" priority="8783" stopIfTrue="1" operator="equal">
      <formula>"Napkin Hs"</formula>
    </cfRule>
  </conditionalFormatting>
  <conditionalFormatting sqref="C34">
    <cfRule type="cellIs" dxfId="280" priority="8709" stopIfTrue="1" operator="equal">
      <formula>"Napkin Hs"</formula>
    </cfRule>
  </conditionalFormatting>
  <conditionalFormatting sqref="C34">
    <cfRule type="cellIs" dxfId="279" priority="8703" stopIfTrue="1" operator="equal">
      <formula>"Napkin Hs"</formula>
    </cfRule>
  </conditionalFormatting>
  <conditionalFormatting sqref="C34">
    <cfRule type="cellIs" dxfId="278" priority="8697" stopIfTrue="1" operator="equal">
      <formula>"Napkin Hs"</formula>
    </cfRule>
  </conditionalFormatting>
  <conditionalFormatting sqref="C34">
    <cfRule type="cellIs" dxfId="277" priority="8691" stopIfTrue="1" operator="equal">
      <formula>"Napkin Hs"</formula>
    </cfRule>
  </conditionalFormatting>
  <conditionalFormatting sqref="C38:C40">
    <cfRule type="cellIs" dxfId="276" priority="8133" stopIfTrue="1" operator="equal">
      <formula>"Napkin Hs"</formula>
    </cfRule>
  </conditionalFormatting>
  <conditionalFormatting sqref="C42">
    <cfRule type="cellIs" dxfId="275" priority="8117" stopIfTrue="1" operator="equal">
      <formula>"Napkin Hs"</formula>
    </cfRule>
  </conditionalFormatting>
  <conditionalFormatting sqref="C42">
    <cfRule type="cellIs" dxfId="274" priority="8105" stopIfTrue="1" operator="equal">
      <formula>"Napkin Hs"</formula>
    </cfRule>
  </conditionalFormatting>
  <conditionalFormatting sqref="C40">
    <cfRule type="cellIs" dxfId="273" priority="8099" stopIfTrue="1" operator="equal">
      <formula>"Napkin Hs"</formula>
    </cfRule>
  </conditionalFormatting>
  <conditionalFormatting sqref="C39">
    <cfRule type="cellIs" dxfId="272" priority="8093" stopIfTrue="1" operator="equal">
      <formula>"Napkin Hs"</formula>
    </cfRule>
  </conditionalFormatting>
  <conditionalFormatting sqref="C39:C40">
    <cfRule type="cellIs" dxfId="271" priority="8087" stopIfTrue="1" operator="equal">
      <formula>"Napkin Hs"</formula>
    </cfRule>
  </conditionalFormatting>
  <conditionalFormatting sqref="C39">
    <cfRule type="cellIs" dxfId="270" priority="8081" stopIfTrue="1" operator="equal">
      <formula>"Napkin Hs"</formula>
    </cfRule>
  </conditionalFormatting>
  <conditionalFormatting sqref="C39:C40">
    <cfRule type="cellIs" dxfId="269" priority="8075" stopIfTrue="1" operator="equal">
      <formula>"Napkin Hs"</formula>
    </cfRule>
  </conditionalFormatting>
  <conditionalFormatting sqref="C40">
    <cfRule type="cellIs" dxfId="268" priority="8001" stopIfTrue="1" operator="equal">
      <formula>"Napkin Hs"</formula>
    </cfRule>
  </conditionalFormatting>
  <conditionalFormatting sqref="C39">
    <cfRule type="cellIs" dxfId="267" priority="7995" stopIfTrue="1" operator="equal">
      <formula>"Napkin Hs"</formula>
    </cfRule>
  </conditionalFormatting>
  <conditionalFormatting sqref="C40">
    <cfRule type="cellIs" dxfId="266" priority="7989" stopIfTrue="1" operator="equal">
      <formula>"Napkin Hs"</formula>
    </cfRule>
  </conditionalFormatting>
  <conditionalFormatting sqref="C39">
    <cfRule type="cellIs" dxfId="265" priority="7983" stopIfTrue="1" operator="equal">
      <formula>"Napkin Hs"</formula>
    </cfRule>
  </conditionalFormatting>
  <conditionalFormatting sqref="C39:C40">
    <cfRule type="cellIs" dxfId="264" priority="7909" stopIfTrue="1" operator="equal">
      <formula>"Napkin Hs"</formula>
    </cfRule>
  </conditionalFormatting>
  <conditionalFormatting sqref="C39:C40">
    <cfRule type="cellIs" dxfId="263" priority="7903" stopIfTrue="1" operator="equal">
      <formula>"Napkin Hs"</formula>
    </cfRule>
  </conditionalFormatting>
  <conditionalFormatting sqref="C38">
    <cfRule type="cellIs" dxfId="262" priority="7829" stopIfTrue="1" operator="equal">
      <formula>"Napkin Hs"</formula>
    </cfRule>
  </conditionalFormatting>
  <conditionalFormatting sqref="C38">
    <cfRule type="cellIs" dxfId="261" priority="7823" stopIfTrue="1" operator="equal">
      <formula>"Napkin Hs"</formula>
    </cfRule>
  </conditionalFormatting>
  <conditionalFormatting sqref="C38">
    <cfRule type="cellIs" dxfId="260" priority="7817" stopIfTrue="1" operator="equal">
      <formula>"Napkin Hs"</formula>
    </cfRule>
  </conditionalFormatting>
  <conditionalFormatting sqref="C38">
    <cfRule type="cellIs" dxfId="259" priority="7743" stopIfTrue="1" operator="equal">
      <formula>"Napkin Hs"</formula>
    </cfRule>
  </conditionalFormatting>
  <conditionalFormatting sqref="C38">
    <cfRule type="cellIs" dxfId="258" priority="7737" stopIfTrue="1" operator="equal">
      <formula>"Napkin Hs"</formula>
    </cfRule>
  </conditionalFormatting>
  <conditionalFormatting sqref="C38">
    <cfRule type="cellIs" dxfId="257" priority="7731" stopIfTrue="1" operator="equal">
      <formula>"Napkin Hs"</formula>
    </cfRule>
  </conditionalFormatting>
  <conditionalFormatting sqref="C38">
    <cfRule type="cellIs" dxfId="256" priority="7725" stopIfTrue="1" operator="equal">
      <formula>"Napkin Hs"</formula>
    </cfRule>
  </conditionalFormatting>
  <conditionalFormatting sqref="C43:C45">
    <cfRule type="cellIs" dxfId="255" priority="7173" stopIfTrue="1" operator="equal">
      <formula>"Napkin Hs"</formula>
    </cfRule>
  </conditionalFormatting>
  <conditionalFormatting sqref="C45">
    <cfRule type="cellIs" dxfId="254" priority="7167" stopIfTrue="1" operator="equal">
      <formula>"Napkin Hs"</formula>
    </cfRule>
  </conditionalFormatting>
  <conditionalFormatting sqref="C44">
    <cfRule type="cellIs" dxfId="253" priority="7161" stopIfTrue="1" operator="equal">
      <formula>"Napkin Hs"</formula>
    </cfRule>
  </conditionalFormatting>
  <conditionalFormatting sqref="C44:C45">
    <cfRule type="cellIs" dxfId="252" priority="7155" stopIfTrue="1" operator="equal">
      <formula>"Napkin Hs"</formula>
    </cfRule>
  </conditionalFormatting>
  <conditionalFormatting sqref="C44">
    <cfRule type="cellIs" dxfId="251" priority="7149" stopIfTrue="1" operator="equal">
      <formula>"Napkin Hs"</formula>
    </cfRule>
  </conditionalFormatting>
  <conditionalFormatting sqref="C44:C45">
    <cfRule type="cellIs" dxfId="250" priority="7143" stopIfTrue="1" operator="equal">
      <formula>"Napkin Hs"</formula>
    </cfRule>
  </conditionalFormatting>
  <conditionalFormatting sqref="C45">
    <cfRule type="cellIs" dxfId="249" priority="7069" stopIfTrue="1" operator="equal">
      <formula>"Napkin Hs"</formula>
    </cfRule>
  </conditionalFormatting>
  <conditionalFormatting sqref="C44">
    <cfRule type="cellIs" dxfId="248" priority="7063" stopIfTrue="1" operator="equal">
      <formula>"Napkin Hs"</formula>
    </cfRule>
  </conditionalFormatting>
  <conditionalFormatting sqref="C45">
    <cfRule type="cellIs" dxfId="247" priority="7057" stopIfTrue="1" operator="equal">
      <formula>"Napkin Hs"</formula>
    </cfRule>
  </conditionalFormatting>
  <conditionalFormatting sqref="C44">
    <cfRule type="cellIs" dxfId="246" priority="7051" stopIfTrue="1" operator="equal">
      <formula>"Napkin Hs"</formula>
    </cfRule>
  </conditionalFormatting>
  <conditionalFormatting sqref="C44:C45">
    <cfRule type="cellIs" dxfId="245" priority="6977" stopIfTrue="1" operator="equal">
      <formula>"Napkin Hs"</formula>
    </cfRule>
  </conditionalFormatting>
  <conditionalFormatting sqref="C44:C45">
    <cfRule type="cellIs" dxfId="244" priority="6971" stopIfTrue="1" operator="equal">
      <formula>"Napkin Hs"</formula>
    </cfRule>
  </conditionalFormatting>
  <conditionalFormatting sqref="C43">
    <cfRule type="cellIs" dxfId="243" priority="6897" stopIfTrue="1" operator="equal">
      <formula>"Napkin Hs"</formula>
    </cfRule>
  </conditionalFormatting>
  <conditionalFormatting sqref="C43">
    <cfRule type="cellIs" dxfId="242" priority="6891" stopIfTrue="1" operator="equal">
      <formula>"Napkin Hs"</formula>
    </cfRule>
  </conditionalFormatting>
  <conditionalFormatting sqref="C43">
    <cfRule type="cellIs" dxfId="241" priority="6885" stopIfTrue="1" operator="equal">
      <formula>"Napkin Hs"</formula>
    </cfRule>
  </conditionalFormatting>
  <conditionalFormatting sqref="C43">
    <cfRule type="cellIs" dxfId="240" priority="6811" stopIfTrue="1" operator="equal">
      <formula>"Napkin Hs"</formula>
    </cfRule>
  </conditionalFormatting>
  <conditionalFormatting sqref="C43">
    <cfRule type="cellIs" dxfId="239" priority="6805" stopIfTrue="1" operator="equal">
      <formula>"Napkin Hs"</formula>
    </cfRule>
  </conditionalFormatting>
  <conditionalFormatting sqref="C43">
    <cfRule type="cellIs" dxfId="238" priority="6799" stopIfTrue="1" operator="equal">
      <formula>"Napkin Hs"</formula>
    </cfRule>
  </conditionalFormatting>
  <conditionalFormatting sqref="C43">
    <cfRule type="cellIs" dxfId="237" priority="6793" stopIfTrue="1" operator="equal">
      <formula>"Napkin Hs"</formula>
    </cfRule>
  </conditionalFormatting>
  <conditionalFormatting sqref="C48:C50">
    <cfRule type="cellIs" dxfId="236" priority="6235" stopIfTrue="1" operator="equal">
      <formula>"Napkin Hs"</formula>
    </cfRule>
  </conditionalFormatting>
  <conditionalFormatting sqref="C50">
    <cfRule type="cellIs" dxfId="235" priority="6229" stopIfTrue="1" operator="equal">
      <formula>"Napkin Hs"</formula>
    </cfRule>
  </conditionalFormatting>
  <conditionalFormatting sqref="C49">
    <cfRule type="cellIs" dxfId="234" priority="6223" stopIfTrue="1" operator="equal">
      <formula>"Napkin Hs"</formula>
    </cfRule>
  </conditionalFormatting>
  <conditionalFormatting sqref="C49:C50">
    <cfRule type="cellIs" dxfId="233" priority="6217" stopIfTrue="1" operator="equal">
      <formula>"Napkin Hs"</formula>
    </cfRule>
  </conditionalFormatting>
  <conditionalFormatting sqref="C49">
    <cfRule type="cellIs" dxfId="232" priority="6211" stopIfTrue="1" operator="equal">
      <formula>"Napkin Hs"</formula>
    </cfRule>
  </conditionalFormatting>
  <conditionalFormatting sqref="C49:C50">
    <cfRule type="cellIs" dxfId="231" priority="6205" stopIfTrue="1" operator="equal">
      <formula>"Napkin Hs"</formula>
    </cfRule>
  </conditionalFormatting>
  <conditionalFormatting sqref="C50">
    <cfRule type="cellIs" dxfId="230" priority="6131" stopIfTrue="1" operator="equal">
      <formula>"Napkin Hs"</formula>
    </cfRule>
  </conditionalFormatting>
  <conditionalFormatting sqref="C49">
    <cfRule type="cellIs" dxfId="229" priority="6125" stopIfTrue="1" operator="equal">
      <formula>"Napkin Hs"</formula>
    </cfRule>
  </conditionalFormatting>
  <conditionalFormatting sqref="C50">
    <cfRule type="cellIs" dxfId="228" priority="6119" stopIfTrue="1" operator="equal">
      <formula>"Napkin Hs"</formula>
    </cfRule>
  </conditionalFormatting>
  <conditionalFormatting sqref="C49">
    <cfRule type="cellIs" dxfId="227" priority="6113" stopIfTrue="1" operator="equal">
      <formula>"Napkin Hs"</formula>
    </cfRule>
  </conditionalFormatting>
  <conditionalFormatting sqref="C49:C50">
    <cfRule type="cellIs" dxfId="226" priority="6039" stopIfTrue="1" operator="equal">
      <formula>"Napkin Hs"</formula>
    </cfRule>
  </conditionalFormatting>
  <conditionalFormatting sqref="C49:C50">
    <cfRule type="cellIs" dxfId="225" priority="6033" stopIfTrue="1" operator="equal">
      <formula>"Napkin Hs"</formula>
    </cfRule>
  </conditionalFormatting>
  <conditionalFormatting sqref="C48">
    <cfRule type="cellIs" dxfId="224" priority="5959" stopIfTrue="1" operator="equal">
      <formula>"Napkin Hs"</formula>
    </cfRule>
  </conditionalFormatting>
  <conditionalFormatting sqref="C48">
    <cfRule type="cellIs" dxfId="223" priority="5953" stopIfTrue="1" operator="equal">
      <formula>"Napkin Hs"</formula>
    </cfRule>
  </conditionalFormatting>
  <conditionalFormatting sqref="C48">
    <cfRule type="cellIs" dxfId="222" priority="5947" stopIfTrue="1" operator="equal">
      <formula>"Napkin Hs"</formula>
    </cfRule>
  </conditionalFormatting>
  <conditionalFormatting sqref="C48">
    <cfRule type="cellIs" dxfId="221" priority="5873" stopIfTrue="1" operator="equal">
      <formula>"Napkin Hs"</formula>
    </cfRule>
  </conditionalFormatting>
  <conditionalFormatting sqref="C48">
    <cfRule type="cellIs" dxfId="220" priority="5867" stopIfTrue="1" operator="equal">
      <formula>"Napkin Hs"</formula>
    </cfRule>
  </conditionalFormatting>
  <conditionalFormatting sqref="C48">
    <cfRule type="cellIs" dxfId="219" priority="5861" stopIfTrue="1" operator="equal">
      <formula>"Napkin Hs"</formula>
    </cfRule>
  </conditionalFormatting>
  <conditionalFormatting sqref="C48">
    <cfRule type="cellIs" dxfId="218" priority="5855" stopIfTrue="1" operator="equal">
      <formula>"Napkin Hs"</formula>
    </cfRule>
  </conditionalFormatting>
  <conditionalFormatting sqref="C60:C61">
    <cfRule type="cellIs" dxfId="217" priority="5775" stopIfTrue="1" operator="equal">
      <formula>"Napkin Hs"</formula>
    </cfRule>
  </conditionalFormatting>
  <conditionalFormatting sqref="C52 C54">
    <cfRule type="cellIs" dxfId="216" priority="5757" stopIfTrue="1" operator="equal">
      <formula>"Napkin Hs"</formula>
    </cfRule>
  </conditionalFormatting>
  <conditionalFormatting sqref="C54">
    <cfRule type="cellIs" dxfId="215" priority="5751" stopIfTrue="1" operator="equal">
      <formula>"Napkin Hs"</formula>
    </cfRule>
  </conditionalFormatting>
  <conditionalFormatting sqref="C54">
    <cfRule type="cellIs" dxfId="214" priority="5745" stopIfTrue="1" operator="equal">
      <formula>"Napkin Hs"</formula>
    </cfRule>
  </conditionalFormatting>
  <conditionalFormatting sqref="C54">
    <cfRule type="cellIs" dxfId="213" priority="5739" stopIfTrue="1" operator="equal">
      <formula>"Napkin Hs"</formula>
    </cfRule>
  </conditionalFormatting>
  <conditionalFormatting sqref="C54">
    <cfRule type="cellIs" dxfId="212" priority="5665" stopIfTrue="1" operator="equal">
      <formula>"Napkin Hs"</formula>
    </cfRule>
  </conditionalFormatting>
  <conditionalFormatting sqref="C54">
    <cfRule type="cellIs" dxfId="211" priority="5659" stopIfTrue="1" operator="equal">
      <formula>"Napkin Hs"</formula>
    </cfRule>
  </conditionalFormatting>
  <conditionalFormatting sqref="C54">
    <cfRule type="cellIs" dxfId="210" priority="5653" stopIfTrue="1" operator="equal">
      <formula>"Napkin Hs"</formula>
    </cfRule>
  </conditionalFormatting>
  <conditionalFormatting sqref="C54">
    <cfRule type="cellIs" dxfId="209" priority="5647" stopIfTrue="1" operator="equal">
      <formula>"Napkin Hs"</formula>
    </cfRule>
  </conditionalFormatting>
  <conditionalFormatting sqref="C52">
    <cfRule type="cellIs" dxfId="208" priority="5573" stopIfTrue="1" operator="equal">
      <formula>"Napkin Hs"</formula>
    </cfRule>
  </conditionalFormatting>
  <conditionalFormatting sqref="C52">
    <cfRule type="cellIs" dxfId="207" priority="5567" stopIfTrue="1" operator="equal">
      <formula>"Napkin Hs"</formula>
    </cfRule>
  </conditionalFormatting>
  <conditionalFormatting sqref="C52">
    <cfRule type="cellIs" dxfId="206" priority="5561" stopIfTrue="1" operator="equal">
      <formula>"Napkin Hs"</formula>
    </cfRule>
  </conditionalFormatting>
  <conditionalFormatting sqref="C52">
    <cfRule type="cellIs" dxfId="205" priority="5487" stopIfTrue="1" operator="equal">
      <formula>"Napkin Hs"</formula>
    </cfRule>
  </conditionalFormatting>
  <conditionalFormatting sqref="C52">
    <cfRule type="cellIs" dxfId="204" priority="5481" stopIfTrue="1" operator="equal">
      <formula>"Napkin Hs"</formula>
    </cfRule>
  </conditionalFormatting>
  <conditionalFormatting sqref="C52">
    <cfRule type="cellIs" dxfId="203" priority="5475" stopIfTrue="1" operator="equal">
      <formula>"Napkin Hs"</formula>
    </cfRule>
  </conditionalFormatting>
  <conditionalFormatting sqref="C52">
    <cfRule type="cellIs" dxfId="202" priority="5469" stopIfTrue="1" operator="equal">
      <formula>"Napkin Hs"</formula>
    </cfRule>
  </conditionalFormatting>
  <conditionalFormatting sqref="C56 C58">
    <cfRule type="cellIs" dxfId="201" priority="5389" stopIfTrue="1" operator="equal">
      <formula>"Napkin Hs"</formula>
    </cfRule>
  </conditionalFormatting>
  <conditionalFormatting sqref="C58">
    <cfRule type="cellIs" dxfId="200" priority="5383" stopIfTrue="1" operator="equal">
      <formula>"Napkin Hs"</formula>
    </cfRule>
  </conditionalFormatting>
  <conditionalFormatting sqref="C58">
    <cfRule type="cellIs" dxfId="199" priority="5377" stopIfTrue="1" operator="equal">
      <formula>"Napkin Hs"</formula>
    </cfRule>
  </conditionalFormatting>
  <conditionalFormatting sqref="C58">
    <cfRule type="cellIs" dxfId="198" priority="5371" stopIfTrue="1" operator="equal">
      <formula>"Napkin Hs"</formula>
    </cfRule>
  </conditionalFormatting>
  <conditionalFormatting sqref="C58">
    <cfRule type="cellIs" dxfId="197" priority="5297" stopIfTrue="1" operator="equal">
      <formula>"Napkin Hs"</formula>
    </cfRule>
  </conditionalFormatting>
  <conditionalFormatting sqref="C58">
    <cfRule type="cellIs" dxfId="196" priority="5291" stopIfTrue="1" operator="equal">
      <formula>"Napkin Hs"</formula>
    </cfRule>
  </conditionalFormatting>
  <conditionalFormatting sqref="C58">
    <cfRule type="cellIs" dxfId="195" priority="5285" stopIfTrue="1" operator="equal">
      <formula>"Napkin Hs"</formula>
    </cfRule>
  </conditionalFormatting>
  <conditionalFormatting sqref="C58">
    <cfRule type="cellIs" dxfId="194" priority="5279" stopIfTrue="1" operator="equal">
      <formula>"Napkin Hs"</formula>
    </cfRule>
  </conditionalFormatting>
  <conditionalFormatting sqref="C56">
    <cfRule type="cellIs" dxfId="193" priority="5205" stopIfTrue="1" operator="equal">
      <formula>"Napkin Hs"</formula>
    </cfRule>
  </conditionalFormatting>
  <conditionalFormatting sqref="C56">
    <cfRule type="cellIs" dxfId="192" priority="5199" stopIfTrue="1" operator="equal">
      <formula>"Napkin Hs"</formula>
    </cfRule>
  </conditionalFormatting>
  <conditionalFormatting sqref="C56">
    <cfRule type="cellIs" dxfId="191" priority="5193" stopIfTrue="1" operator="equal">
      <formula>"Napkin Hs"</formula>
    </cfRule>
  </conditionalFormatting>
  <conditionalFormatting sqref="C56">
    <cfRule type="cellIs" dxfId="190" priority="5119" stopIfTrue="1" operator="equal">
      <formula>"Napkin Hs"</formula>
    </cfRule>
  </conditionalFormatting>
  <conditionalFormatting sqref="C56">
    <cfRule type="cellIs" dxfId="189" priority="5113" stopIfTrue="1" operator="equal">
      <formula>"Napkin Hs"</formula>
    </cfRule>
  </conditionalFormatting>
  <conditionalFormatting sqref="C56">
    <cfRule type="cellIs" dxfId="188" priority="5107" stopIfTrue="1" operator="equal">
      <formula>"Napkin Hs"</formula>
    </cfRule>
  </conditionalFormatting>
  <conditionalFormatting sqref="C56">
    <cfRule type="cellIs" dxfId="187" priority="5101" stopIfTrue="1" operator="equal">
      <formula>"Napkin Hs"</formula>
    </cfRule>
  </conditionalFormatting>
  <conditionalFormatting sqref="C53">
    <cfRule type="cellIs" dxfId="186" priority="5027" stopIfTrue="1" operator="equal">
      <formula>"Napkin Hs"</formula>
    </cfRule>
  </conditionalFormatting>
  <conditionalFormatting sqref="C53">
    <cfRule type="cellIs" dxfId="185" priority="5021" stopIfTrue="1" operator="equal">
      <formula>"Napkin Hs"</formula>
    </cfRule>
  </conditionalFormatting>
  <conditionalFormatting sqref="C53">
    <cfRule type="cellIs" dxfId="184" priority="5015" stopIfTrue="1" operator="equal">
      <formula>"Napkin Hs"</formula>
    </cfRule>
  </conditionalFormatting>
  <conditionalFormatting sqref="C53">
    <cfRule type="cellIs" dxfId="183" priority="5009" stopIfTrue="1" operator="equal">
      <formula>"Napkin Hs"</formula>
    </cfRule>
  </conditionalFormatting>
  <conditionalFormatting sqref="C53">
    <cfRule type="cellIs" dxfId="182" priority="4935" stopIfTrue="1" operator="equal">
      <formula>"Napkin Hs"</formula>
    </cfRule>
  </conditionalFormatting>
  <conditionalFormatting sqref="C53">
    <cfRule type="cellIs" dxfId="181" priority="4929" stopIfTrue="1" operator="equal">
      <formula>"Napkin Hs"</formula>
    </cfRule>
  </conditionalFormatting>
  <conditionalFormatting sqref="C53">
    <cfRule type="cellIs" dxfId="180" priority="4923" stopIfTrue="1" operator="equal">
      <formula>"Napkin Hs"</formula>
    </cfRule>
  </conditionalFormatting>
  <conditionalFormatting sqref="C53">
    <cfRule type="cellIs" dxfId="179" priority="4917" stopIfTrue="1" operator="equal">
      <formula>"Napkin Hs"</formula>
    </cfRule>
  </conditionalFormatting>
  <conditionalFormatting sqref="C57">
    <cfRule type="cellIs" dxfId="178" priority="4843" stopIfTrue="1" operator="equal">
      <formula>"Napkin Hs"</formula>
    </cfRule>
  </conditionalFormatting>
  <conditionalFormatting sqref="C57">
    <cfRule type="cellIs" dxfId="177" priority="4837" stopIfTrue="1" operator="equal">
      <formula>"Napkin Hs"</formula>
    </cfRule>
  </conditionalFormatting>
  <conditionalFormatting sqref="C57">
    <cfRule type="cellIs" dxfId="176" priority="4831" stopIfTrue="1" operator="equal">
      <formula>"Napkin Hs"</formula>
    </cfRule>
  </conditionalFormatting>
  <conditionalFormatting sqref="C57">
    <cfRule type="cellIs" dxfId="175" priority="4825" stopIfTrue="1" operator="equal">
      <formula>"Napkin Hs"</formula>
    </cfRule>
  </conditionalFormatting>
  <conditionalFormatting sqref="C57">
    <cfRule type="cellIs" dxfId="174" priority="4751" stopIfTrue="1" operator="equal">
      <formula>"Napkin Hs"</formula>
    </cfRule>
  </conditionalFormatting>
  <conditionalFormatting sqref="C57">
    <cfRule type="cellIs" dxfId="173" priority="4745" stopIfTrue="1" operator="equal">
      <formula>"Napkin Hs"</formula>
    </cfRule>
  </conditionalFormatting>
  <conditionalFormatting sqref="C57">
    <cfRule type="cellIs" dxfId="172" priority="4739" stopIfTrue="1" operator="equal">
      <formula>"Napkin Hs"</formula>
    </cfRule>
  </conditionalFormatting>
  <conditionalFormatting sqref="C57">
    <cfRule type="cellIs" dxfId="171" priority="4733" stopIfTrue="1" operator="equal">
      <formula>"Napkin Hs"</formula>
    </cfRule>
  </conditionalFormatting>
  <conditionalFormatting sqref="C64">
    <cfRule type="cellIs" dxfId="170" priority="4071" stopIfTrue="1" operator="equal">
      <formula>"Napkin Hs"</formula>
    </cfRule>
  </conditionalFormatting>
  <conditionalFormatting sqref="C64">
    <cfRule type="cellIs" dxfId="169" priority="4065" stopIfTrue="1" operator="equal">
      <formula>"Napkin Hs"</formula>
    </cfRule>
  </conditionalFormatting>
  <conditionalFormatting sqref="C64">
    <cfRule type="cellIs" dxfId="168" priority="4059" stopIfTrue="1" operator="equal">
      <formula>"Napkin Hs"</formula>
    </cfRule>
  </conditionalFormatting>
  <conditionalFormatting sqref="C64">
    <cfRule type="cellIs" dxfId="167" priority="4053" stopIfTrue="1" operator="equal">
      <formula>"Napkin Hs"</formula>
    </cfRule>
  </conditionalFormatting>
  <conditionalFormatting sqref="C64">
    <cfRule type="cellIs" dxfId="166" priority="3979" stopIfTrue="1" operator="equal">
      <formula>"Napkin Hs"</formula>
    </cfRule>
  </conditionalFormatting>
  <conditionalFormatting sqref="C64">
    <cfRule type="cellIs" dxfId="165" priority="3973" stopIfTrue="1" operator="equal">
      <formula>"Napkin Hs"</formula>
    </cfRule>
  </conditionalFormatting>
  <conditionalFormatting sqref="C64">
    <cfRule type="cellIs" dxfId="164" priority="3967" stopIfTrue="1" operator="equal">
      <formula>"Napkin Hs"</formula>
    </cfRule>
  </conditionalFormatting>
  <conditionalFormatting sqref="C64">
    <cfRule type="cellIs" dxfId="163" priority="3961" stopIfTrue="1" operator="equal">
      <formula>"Napkin Hs"</formula>
    </cfRule>
  </conditionalFormatting>
  <conditionalFormatting sqref="C63">
    <cfRule type="cellIs" dxfId="162" priority="3887" stopIfTrue="1" operator="equal">
      <formula>"Napkin Hs"</formula>
    </cfRule>
  </conditionalFormatting>
  <conditionalFormatting sqref="C63">
    <cfRule type="cellIs" dxfId="161" priority="3881" stopIfTrue="1" operator="equal">
      <formula>"Napkin Hs"</formula>
    </cfRule>
  </conditionalFormatting>
  <conditionalFormatting sqref="C63">
    <cfRule type="cellIs" dxfId="160" priority="3875" stopIfTrue="1" operator="equal">
      <formula>"Napkin Hs"</formula>
    </cfRule>
  </conditionalFormatting>
  <conditionalFormatting sqref="C63">
    <cfRule type="cellIs" dxfId="159" priority="3869" stopIfTrue="1" operator="equal">
      <formula>"Napkin Hs"</formula>
    </cfRule>
  </conditionalFormatting>
  <conditionalFormatting sqref="C63">
    <cfRule type="cellIs" dxfId="158" priority="3795" stopIfTrue="1" operator="equal">
      <formula>"Napkin Hs"</formula>
    </cfRule>
  </conditionalFormatting>
  <conditionalFormatting sqref="C63">
    <cfRule type="cellIs" dxfId="157" priority="3789" stopIfTrue="1" operator="equal">
      <formula>"Napkin Hs"</formula>
    </cfRule>
  </conditionalFormatting>
  <conditionalFormatting sqref="C63">
    <cfRule type="cellIs" dxfId="156" priority="3783" stopIfTrue="1" operator="equal">
      <formula>"Napkin Hs"</formula>
    </cfRule>
  </conditionalFormatting>
  <conditionalFormatting sqref="C63">
    <cfRule type="cellIs" dxfId="155" priority="3777" stopIfTrue="1" operator="equal">
      <formula>"Napkin Hs"</formula>
    </cfRule>
  </conditionalFormatting>
  <conditionalFormatting sqref="C62">
    <cfRule type="cellIs" dxfId="154" priority="3703" stopIfTrue="1" operator="equal">
      <formula>"Napkin Hs"</formula>
    </cfRule>
  </conditionalFormatting>
  <conditionalFormatting sqref="C62">
    <cfRule type="cellIs" dxfId="153" priority="3697" stopIfTrue="1" operator="equal">
      <formula>"Napkin Hs"</formula>
    </cfRule>
  </conditionalFormatting>
  <conditionalFormatting sqref="C62">
    <cfRule type="cellIs" dxfId="152" priority="3691" stopIfTrue="1" operator="equal">
      <formula>"Napkin Hs"</formula>
    </cfRule>
  </conditionalFormatting>
  <conditionalFormatting sqref="C62">
    <cfRule type="cellIs" dxfId="151" priority="3685" stopIfTrue="1" operator="equal">
      <formula>"Napkin Hs"</formula>
    </cfRule>
  </conditionalFormatting>
  <conditionalFormatting sqref="C62">
    <cfRule type="cellIs" dxfId="150" priority="3611" stopIfTrue="1" operator="equal">
      <formula>"Napkin Hs"</formula>
    </cfRule>
  </conditionalFormatting>
  <conditionalFormatting sqref="C62">
    <cfRule type="cellIs" dxfId="149" priority="3605" stopIfTrue="1" operator="equal">
      <formula>"Napkin Hs"</formula>
    </cfRule>
  </conditionalFormatting>
  <conditionalFormatting sqref="C62">
    <cfRule type="cellIs" dxfId="148" priority="3599" stopIfTrue="1" operator="equal">
      <formula>"Napkin Hs"</formula>
    </cfRule>
  </conditionalFormatting>
  <conditionalFormatting sqref="C62">
    <cfRule type="cellIs" dxfId="147" priority="3593" stopIfTrue="1" operator="equal">
      <formula>"Napkin Hs"</formula>
    </cfRule>
  </conditionalFormatting>
  <conditionalFormatting sqref="C71">
    <cfRule type="cellIs" dxfId="146" priority="3127" stopIfTrue="1" operator="equal">
      <formula>"Napkin Hs"</formula>
    </cfRule>
  </conditionalFormatting>
  <conditionalFormatting sqref="C67:C70">
    <cfRule type="cellIs" dxfId="145" priority="3121" stopIfTrue="1" operator="equal">
      <formula>"Napkin Hs"</formula>
    </cfRule>
  </conditionalFormatting>
  <conditionalFormatting sqref="C67:C70">
    <cfRule type="cellIs" dxfId="144" priority="3115" stopIfTrue="1" operator="equal">
      <formula>"Napkin Hs"</formula>
    </cfRule>
  </conditionalFormatting>
  <conditionalFormatting sqref="C67:C70">
    <cfRule type="cellIs" dxfId="143" priority="3109" stopIfTrue="1" operator="equal">
      <formula>"Napkin Hs"</formula>
    </cfRule>
  </conditionalFormatting>
  <conditionalFormatting sqref="C67:C70">
    <cfRule type="cellIs" dxfId="142" priority="3103" stopIfTrue="1" operator="equal">
      <formula>"Napkin Hs"</formula>
    </cfRule>
  </conditionalFormatting>
  <conditionalFormatting sqref="C67:C70">
    <cfRule type="cellIs" dxfId="141" priority="3029" stopIfTrue="1" operator="equal">
      <formula>"Napkin Hs"</formula>
    </cfRule>
  </conditionalFormatting>
  <conditionalFormatting sqref="C67:C70">
    <cfRule type="cellIs" dxfId="140" priority="3023" stopIfTrue="1" operator="equal">
      <formula>"Napkin Hs"</formula>
    </cfRule>
  </conditionalFormatting>
  <conditionalFormatting sqref="C67:C70">
    <cfRule type="cellIs" dxfId="139" priority="3017" stopIfTrue="1" operator="equal">
      <formula>"Napkin Hs"</formula>
    </cfRule>
  </conditionalFormatting>
  <conditionalFormatting sqref="C67:C70">
    <cfRule type="cellIs" dxfId="138" priority="3011" stopIfTrue="1" operator="equal">
      <formula>"Napkin Hs"</formula>
    </cfRule>
  </conditionalFormatting>
  <conditionalFormatting sqref="C75">
    <cfRule type="cellIs" dxfId="137" priority="2379" stopIfTrue="1" operator="equal">
      <formula>"Napkin Hs"</formula>
    </cfRule>
  </conditionalFormatting>
  <conditionalFormatting sqref="C74">
    <cfRule type="cellIs" dxfId="136" priority="2373" stopIfTrue="1" operator="equal">
      <formula>"Napkin Hs"</formula>
    </cfRule>
  </conditionalFormatting>
  <conditionalFormatting sqref="C74">
    <cfRule type="cellIs" dxfId="135" priority="2367" stopIfTrue="1" operator="equal">
      <formula>"Napkin Hs"</formula>
    </cfRule>
  </conditionalFormatting>
  <conditionalFormatting sqref="C74">
    <cfRule type="cellIs" dxfId="134" priority="2361" stopIfTrue="1" operator="equal">
      <formula>"Napkin Hs"</formula>
    </cfRule>
  </conditionalFormatting>
  <conditionalFormatting sqref="C74">
    <cfRule type="cellIs" dxfId="133" priority="2355" stopIfTrue="1" operator="equal">
      <formula>"Napkin Hs"</formula>
    </cfRule>
  </conditionalFormatting>
  <conditionalFormatting sqref="C74">
    <cfRule type="cellIs" dxfId="132" priority="2281" stopIfTrue="1" operator="equal">
      <formula>"Napkin Hs"</formula>
    </cfRule>
  </conditionalFormatting>
  <conditionalFormatting sqref="C74">
    <cfRule type="cellIs" dxfId="131" priority="2275" stopIfTrue="1" operator="equal">
      <formula>"Napkin Hs"</formula>
    </cfRule>
  </conditionalFormatting>
  <conditionalFormatting sqref="C74">
    <cfRule type="cellIs" dxfId="130" priority="2269" stopIfTrue="1" operator="equal">
      <formula>"Napkin Hs"</formula>
    </cfRule>
  </conditionalFormatting>
  <conditionalFormatting sqref="C74">
    <cfRule type="cellIs" dxfId="129" priority="2263" stopIfTrue="1" operator="equal">
      <formula>"Napkin Hs"</formula>
    </cfRule>
  </conditionalFormatting>
  <conditionalFormatting sqref="C73">
    <cfRule type="cellIs" dxfId="128" priority="2189" stopIfTrue="1" operator="equal">
      <formula>"Napkin Hs"</formula>
    </cfRule>
  </conditionalFormatting>
  <conditionalFormatting sqref="C73">
    <cfRule type="cellIs" dxfId="127" priority="2183" stopIfTrue="1" operator="equal">
      <formula>"Napkin Hs"</formula>
    </cfRule>
  </conditionalFormatting>
  <conditionalFormatting sqref="C73">
    <cfRule type="cellIs" dxfId="126" priority="2177" stopIfTrue="1" operator="equal">
      <formula>"Napkin Hs"</formula>
    </cfRule>
  </conditionalFormatting>
  <conditionalFormatting sqref="C73">
    <cfRule type="cellIs" dxfId="125" priority="2171" stopIfTrue="1" operator="equal">
      <formula>"Napkin Hs"</formula>
    </cfRule>
  </conditionalFormatting>
  <conditionalFormatting sqref="C73">
    <cfRule type="cellIs" dxfId="124" priority="2097" stopIfTrue="1" operator="equal">
      <formula>"Napkin Hs"</formula>
    </cfRule>
  </conditionalFormatting>
  <conditionalFormatting sqref="C73">
    <cfRule type="cellIs" dxfId="123" priority="2091" stopIfTrue="1" operator="equal">
      <formula>"Napkin Hs"</formula>
    </cfRule>
  </conditionalFormatting>
  <conditionalFormatting sqref="C73">
    <cfRule type="cellIs" dxfId="122" priority="2085" stopIfTrue="1" operator="equal">
      <formula>"Napkin Hs"</formula>
    </cfRule>
  </conditionalFormatting>
  <conditionalFormatting sqref="C73">
    <cfRule type="cellIs" dxfId="121" priority="2079" stopIfTrue="1" operator="equal">
      <formula>"Napkin Hs"</formula>
    </cfRule>
  </conditionalFormatting>
  <conditionalFormatting sqref="C72">
    <cfRule type="cellIs" dxfId="120" priority="2005" stopIfTrue="1" operator="equal">
      <formula>"Napkin Hs"</formula>
    </cfRule>
  </conditionalFormatting>
  <conditionalFormatting sqref="C72">
    <cfRule type="cellIs" dxfId="119" priority="1999" stopIfTrue="1" operator="equal">
      <formula>"Napkin Hs"</formula>
    </cfRule>
  </conditionalFormatting>
  <conditionalFormatting sqref="C72">
    <cfRule type="cellIs" dxfId="118" priority="1993" stopIfTrue="1" operator="equal">
      <formula>"Napkin Hs"</formula>
    </cfRule>
  </conditionalFormatting>
  <conditionalFormatting sqref="C72">
    <cfRule type="cellIs" dxfId="117" priority="1987" stopIfTrue="1" operator="equal">
      <formula>"Napkin Hs"</formula>
    </cfRule>
  </conditionalFormatting>
  <conditionalFormatting sqref="C72">
    <cfRule type="cellIs" dxfId="116" priority="1913" stopIfTrue="1" operator="equal">
      <formula>"Napkin Hs"</formula>
    </cfRule>
  </conditionalFormatting>
  <conditionalFormatting sqref="C72">
    <cfRule type="cellIs" dxfId="115" priority="1907" stopIfTrue="1" operator="equal">
      <formula>"Napkin Hs"</formula>
    </cfRule>
  </conditionalFormatting>
  <conditionalFormatting sqref="C72">
    <cfRule type="cellIs" dxfId="114" priority="1901" stopIfTrue="1" operator="equal">
      <formula>"Napkin Hs"</formula>
    </cfRule>
  </conditionalFormatting>
  <conditionalFormatting sqref="C72">
    <cfRule type="cellIs" dxfId="113" priority="1895" stopIfTrue="1" operator="equal">
      <formula>"Napkin Hs"</formula>
    </cfRule>
  </conditionalFormatting>
  <conditionalFormatting sqref="C77">
    <cfRule type="cellIs" dxfId="112" priority="1815" stopIfTrue="1" operator="equal">
      <formula>"Napkin Hs"</formula>
    </cfRule>
  </conditionalFormatting>
  <conditionalFormatting sqref="C79">
    <cfRule type="cellIs" dxfId="111" priority="1809" stopIfTrue="1" operator="equal">
      <formula>"Napkin Hs"</formula>
    </cfRule>
  </conditionalFormatting>
  <conditionalFormatting sqref="C77">
    <cfRule type="cellIs" dxfId="110" priority="1803" stopIfTrue="1" operator="equal">
      <formula>"Napkin Hs"</formula>
    </cfRule>
  </conditionalFormatting>
  <conditionalFormatting sqref="C77">
    <cfRule type="cellIs" dxfId="109" priority="1797" stopIfTrue="1" operator="equal">
      <formula>"Napkin Hs"</formula>
    </cfRule>
  </conditionalFormatting>
  <conditionalFormatting sqref="C77">
    <cfRule type="cellIs" dxfId="108" priority="1791" stopIfTrue="1" operator="equal">
      <formula>"Napkin Hs"</formula>
    </cfRule>
  </conditionalFormatting>
  <conditionalFormatting sqref="C77">
    <cfRule type="cellIs" dxfId="107" priority="1785" stopIfTrue="1" operator="equal">
      <formula>"Napkin Hs"</formula>
    </cfRule>
  </conditionalFormatting>
  <conditionalFormatting sqref="C77">
    <cfRule type="cellIs" dxfId="106" priority="1713" stopIfTrue="1" operator="equal">
      <formula>"Napkin Hs"</formula>
    </cfRule>
  </conditionalFormatting>
  <conditionalFormatting sqref="C77">
    <cfRule type="cellIs" dxfId="105" priority="1707" stopIfTrue="1" operator="equal">
      <formula>"Napkin Hs"</formula>
    </cfRule>
  </conditionalFormatting>
  <conditionalFormatting sqref="C77">
    <cfRule type="cellIs" dxfId="104" priority="1701" stopIfTrue="1" operator="equal">
      <formula>"Napkin Hs"</formula>
    </cfRule>
  </conditionalFormatting>
  <conditionalFormatting sqref="C77">
    <cfRule type="cellIs" dxfId="103" priority="1695" stopIfTrue="1" operator="equal">
      <formula>"Napkin Hs"</formula>
    </cfRule>
  </conditionalFormatting>
  <conditionalFormatting sqref="C76">
    <cfRule type="cellIs" dxfId="102" priority="1623" stopIfTrue="1" operator="equal">
      <formula>"Napkin Hs"</formula>
    </cfRule>
  </conditionalFormatting>
  <conditionalFormatting sqref="C76">
    <cfRule type="cellIs" dxfId="101" priority="1617" stopIfTrue="1" operator="equal">
      <formula>"Napkin Hs"</formula>
    </cfRule>
  </conditionalFormatting>
  <conditionalFormatting sqref="C76">
    <cfRule type="cellIs" dxfId="100" priority="1611" stopIfTrue="1" operator="equal">
      <formula>"Napkin Hs"</formula>
    </cfRule>
  </conditionalFormatting>
  <conditionalFormatting sqref="C76">
    <cfRule type="cellIs" dxfId="99" priority="1605" stopIfTrue="1" operator="equal">
      <formula>"Napkin Hs"</formula>
    </cfRule>
  </conditionalFormatting>
  <conditionalFormatting sqref="C76">
    <cfRule type="cellIs" dxfId="98" priority="1599" stopIfTrue="1" operator="equal">
      <formula>"Napkin Hs"</formula>
    </cfRule>
  </conditionalFormatting>
  <conditionalFormatting sqref="C76">
    <cfRule type="cellIs" dxfId="97" priority="1527" stopIfTrue="1" operator="equal">
      <formula>"Napkin Hs"</formula>
    </cfRule>
  </conditionalFormatting>
  <conditionalFormatting sqref="C76">
    <cfRule type="cellIs" dxfId="96" priority="1521" stopIfTrue="1" operator="equal">
      <formula>"Napkin Hs"</formula>
    </cfRule>
  </conditionalFormatting>
  <conditionalFormatting sqref="C76">
    <cfRule type="cellIs" dxfId="95" priority="1515" stopIfTrue="1" operator="equal">
      <formula>"Napkin Hs"</formula>
    </cfRule>
  </conditionalFormatting>
  <conditionalFormatting sqref="C76">
    <cfRule type="cellIs" dxfId="94" priority="1509" stopIfTrue="1" operator="equal">
      <formula>"Napkin Hs"</formula>
    </cfRule>
  </conditionalFormatting>
  <conditionalFormatting sqref="C78">
    <cfRule type="cellIs" dxfId="93" priority="1437" stopIfTrue="1" operator="equal">
      <formula>"Napkin Hs"</formula>
    </cfRule>
  </conditionalFormatting>
  <conditionalFormatting sqref="C78">
    <cfRule type="cellIs" dxfId="92" priority="1431" stopIfTrue="1" operator="equal">
      <formula>"Napkin Hs"</formula>
    </cfRule>
  </conditionalFormatting>
  <conditionalFormatting sqref="C78">
    <cfRule type="cellIs" dxfId="91" priority="1425" stopIfTrue="1" operator="equal">
      <formula>"Napkin Hs"</formula>
    </cfRule>
  </conditionalFormatting>
  <conditionalFormatting sqref="C78">
    <cfRule type="cellIs" dxfId="90" priority="1419" stopIfTrue="1" operator="equal">
      <formula>"Napkin Hs"</formula>
    </cfRule>
  </conditionalFormatting>
  <conditionalFormatting sqref="C78">
    <cfRule type="cellIs" dxfId="89" priority="1413" stopIfTrue="1" operator="equal">
      <formula>"Napkin Hs"</formula>
    </cfRule>
  </conditionalFormatting>
  <conditionalFormatting sqref="C78">
    <cfRule type="cellIs" dxfId="88" priority="1341" stopIfTrue="1" operator="equal">
      <formula>"Napkin Hs"</formula>
    </cfRule>
  </conditionalFormatting>
  <conditionalFormatting sqref="C78">
    <cfRule type="cellIs" dxfId="87" priority="1335" stopIfTrue="1" operator="equal">
      <formula>"Napkin Hs"</formula>
    </cfRule>
  </conditionalFormatting>
  <conditionalFormatting sqref="C78">
    <cfRule type="cellIs" dxfId="86" priority="1329" stopIfTrue="1" operator="equal">
      <formula>"Napkin Hs"</formula>
    </cfRule>
  </conditionalFormatting>
  <conditionalFormatting sqref="C78">
    <cfRule type="cellIs" dxfId="85" priority="1323" stopIfTrue="1" operator="equal">
      <formula>"Napkin Hs"</formula>
    </cfRule>
  </conditionalFormatting>
  <conditionalFormatting sqref="C86">
    <cfRule type="cellIs" dxfId="84" priority="1245" stopIfTrue="1" operator="equal">
      <formula>"Napkin Hs"</formula>
    </cfRule>
  </conditionalFormatting>
  <conditionalFormatting sqref="C88:C89">
    <cfRule type="cellIs" dxfId="83" priority="1239" stopIfTrue="1" operator="equal">
      <formula>"Napkin Hs"</formula>
    </cfRule>
  </conditionalFormatting>
  <conditionalFormatting sqref="C84:C85">
    <cfRule type="cellIs" dxfId="82" priority="651" stopIfTrue="1" operator="equal">
      <formula>"Napkin Hs"</formula>
    </cfRule>
  </conditionalFormatting>
  <conditionalFormatting sqref="C81">
    <cfRule type="cellIs" dxfId="81" priority="639" stopIfTrue="1" operator="equal">
      <formula>"Napkin Hs"</formula>
    </cfRule>
  </conditionalFormatting>
  <conditionalFormatting sqref="C83">
    <cfRule type="cellIs" dxfId="80" priority="633" stopIfTrue="1" operator="equal">
      <formula>"Napkin Hs"</formula>
    </cfRule>
  </conditionalFormatting>
  <conditionalFormatting sqref="C81">
    <cfRule type="cellIs" dxfId="79" priority="627" stopIfTrue="1" operator="equal">
      <formula>"Napkin Hs"</formula>
    </cfRule>
  </conditionalFormatting>
  <conditionalFormatting sqref="C81">
    <cfRule type="cellIs" dxfId="78" priority="621" stopIfTrue="1" operator="equal">
      <formula>"Napkin Hs"</formula>
    </cfRule>
  </conditionalFormatting>
  <conditionalFormatting sqref="C81">
    <cfRule type="cellIs" dxfId="77" priority="615" stopIfTrue="1" operator="equal">
      <formula>"Napkin Hs"</formula>
    </cfRule>
  </conditionalFormatting>
  <conditionalFormatting sqref="C81">
    <cfRule type="cellIs" dxfId="76" priority="609" stopIfTrue="1" operator="equal">
      <formula>"Napkin Hs"</formula>
    </cfRule>
  </conditionalFormatting>
  <conditionalFormatting sqref="C81">
    <cfRule type="cellIs" dxfId="75" priority="535" stopIfTrue="1" operator="equal">
      <formula>"Napkin Hs"</formula>
    </cfRule>
  </conditionalFormatting>
  <conditionalFormatting sqref="C81">
    <cfRule type="cellIs" dxfId="74" priority="529" stopIfTrue="1" operator="equal">
      <formula>"Napkin Hs"</formula>
    </cfRule>
  </conditionalFormatting>
  <conditionalFormatting sqref="C81">
    <cfRule type="cellIs" dxfId="73" priority="523" stopIfTrue="1" operator="equal">
      <formula>"Napkin Hs"</formula>
    </cfRule>
  </conditionalFormatting>
  <conditionalFormatting sqref="C81">
    <cfRule type="cellIs" dxfId="72" priority="517" stopIfTrue="1" operator="equal">
      <formula>"Napkin Hs"</formula>
    </cfRule>
  </conditionalFormatting>
  <conditionalFormatting sqref="C82">
    <cfRule type="cellIs" dxfId="71" priority="443" stopIfTrue="1" operator="equal">
      <formula>"Napkin Hs"</formula>
    </cfRule>
  </conditionalFormatting>
  <conditionalFormatting sqref="C82">
    <cfRule type="cellIs" dxfId="70" priority="437" stopIfTrue="1" operator="equal">
      <formula>"Napkin Hs"</formula>
    </cfRule>
  </conditionalFormatting>
  <conditionalFormatting sqref="C82">
    <cfRule type="cellIs" dxfId="69" priority="431" stopIfTrue="1" operator="equal">
      <formula>"Napkin Hs"</formula>
    </cfRule>
  </conditionalFormatting>
  <conditionalFormatting sqref="C82">
    <cfRule type="cellIs" dxfId="68" priority="425" stopIfTrue="1" operator="equal">
      <formula>"Napkin Hs"</formula>
    </cfRule>
  </conditionalFormatting>
  <conditionalFormatting sqref="C82">
    <cfRule type="cellIs" dxfId="67" priority="419" stopIfTrue="1" operator="equal">
      <formula>"Napkin Hs"</formula>
    </cfRule>
  </conditionalFormatting>
  <conditionalFormatting sqref="C82">
    <cfRule type="cellIs" dxfId="66" priority="345" stopIfTrue="1" operator="equal">
      <formula>"Napkin Hs"</formula>
    </cfRule>
  </conditionalFormatting>
  <conditionalFormatting sqref="C82">
    <cfRule type="cellIs" dxfId="65" priority="339" stopIfTrue="1" operator="equal">
      <formula>"Napkin Hs"</formula>
    </cfRule>
  </conditionalFormatting>
  <conditionalFormatting sqref="C82">
    <cfRule type="cellIs" dxfId="64" priority="333" stopIfTrue="1" operator="equal">
      <formula>"Napkin Hs"</formula>
    </cfRule>
  </conditionalFormatting>
  <conditionalFormatting sqref="C82">
    <cfRule type="cellIs" dxfId="63" priority="327" stopIfTrue="1" operator="equal">
      <formula>"Napkin Hs"</formula>
    </cfRule>
  </conditionalFormatting>
  <conditionalFormatting sqref="C80">
    <cfRule type="cellIs" dxfId="62" priority="253" stopIfTrue="1" operator="equal">
      <formula>"Napkin Hs"</formula>
    </cfRule>
  </conditionalFormatting>
  <conditionalFormatting sqref="C80">
    <cfRule type="cellIs" dxfId="61" priority="247" stopIfTrue="1" operator="equal">
      <formula>"Napkin Hs"</formula>
    </cfRule>
  </conditionalFormatting>
  <conditionalFormatting sqref="C80">
    <cfRule type="cellIs" dxfId="60" priority="241" stopIfTrue="1" operator="equal">
      <formula>"Napkin Hs"</formula>
    </cfRule>
  </conditionalFormatting>
  <conditionalFormatting sqref="C80">
    <cfRule type="cellIs" dxfId="59" priority="235" stopIfTrue="1" operator="equal">
      <formula>"Napkin Hs"</formula>
    </cfRule>
  </conditionalFormatting>
  <conditionalFormatting sqref="C80">
    <cfRule type="cellIs" dxfId="58" priority="229" stopIfTrue="1" operator="equal">
      <formula>"Napkin Hs"</formula>
    </cfRule>
  </conditionalFormatting>
  <conditionalFormatting sqref="C80">
    <cfRule type="cellIs" dxfId="57" priority="155" stopIfTrue="1" operator="equal">
      <formula>"Napkin Hs"</formula>
    </cfRule>
  </conditionalFormatting>
  <conditionalFormatting sqref="C80">
    <cfRule type="cellIs" dxfId="56" priority="149" stopIfTrue="1" operator="equal">
      <formula>"Napkin Hs"</formula>
    </cfRule>
  </conditionalFormatting>
  <conditionalFormatting sqref="C80">
    <cfRule type="cellIs" dxfId="55" priority="143" stopIfTrue="1" operator="equal">
      <formula>"Napkin Hs"</formula>
    </cfRule>
  </conditionalFormatting>
  <conditionalFormatting sqref="C80">
    <cfRule type="cellIs" dxfId="54" priority="137" stopIfTrue="1" operator="equal">
      <formula>"Napkin Hs"</formula>
    </cfRule>
  </conditionalFormatting>
  <conditionalFormatting sqref="C96:C98">
    <cfRule type="cellIs" dxfId="53" priority="65" stopIfTrue="1" operator="equal">
      <formula>"Napkin Hs"</formula>
    </cfRule>
  </conditionalFormatting>
  <conditionalFormatting sqref="C100">
    <cfRule type="cellIs" dxfId="52" priority="64" stopIfTrue="1" operator="equal">
      <formula>"Napkin Hs"</formula>
    </cfRule>
  </conditionalFormatting>
  <conditionalFormatting sqref="C96">
    <cfRule type="cellIs" dxfId="51" priority="63" stopIfTrue="1" operator="equal">
      <formula>"Napkin Hs"</formula>
    </cfRule>
  </conditionalFormatting>
  <conditionalFormatting sqref="C96">
    <cfRule type="cellIs" dxfId="50" priority="62" stopIfTrue="1" operator="equal">
      <formula>"Napkin Hs"</formula>
    </cfRule>
  </conditionalFormatting>
  <conditionalFormatting sqref="C96">
    <cfRule type="cellIs" dxfId="49" priority="61" stopIfTrue="1" operator="equal">
      <formula>"Napkin Hs"</formula>
    </cfRule>
  </conditionalFormatting>
  <conditionalFormatting sqref="C121:C122">
    <cfRule type="cellIs" dxfId="48" priority="58" stopIfTrue="1" operator="equal">
      <formula>"Napkin Hs"</formula>
    </cfRule>
  </conditionalFormatting>
  <conditionalFormatting sqref="C121:C123">
    <cfRule type="cellIs" dxfId="47" priority="57" stopIfTrue="1" operator="equal">
      <formula>"Napkin Hs"</formula>
    </cfRule>
  </conditionalFormatting>
  <conditionalFormatting sqref="B136:C136">
    <cfRule type="cellIs" dxfId="46" priority="55" stopIfTrue="1" operator="equal">
      <formula>"Towel"</formula>
    </cfRule>
    <cfRule type="cellIs" dxfId="45" priority="56" stopIfTrue="1" operator="equal">
      <formula>"Napkin Hs"</formula>
    </cfRule>
  </conditionalFormatting>
  <conditionalFormatting sqref="C136">
    <cfRule type="cellIs" dxfId="44" priority="54" stopIfTrue="1" operator="equal">
      <formula>"Napkin Hs"</formula>
    </cfRule>
  </conditionalFormatting>
  <conditionalFormatting sqref="C133">
    <cfRule type="cellIs" dxfId="43" priority="53" stopIfTrue="1" operator="equal">
      <formula>"Napkin Hs"</formula>
    </cfRule>
  </conditionalFormatting>
  <conditionalFormatting sqref="C133">
    <cfRule type="cellIs" dxfId="42" priority="52" stopIfTrue="1" operator="equal">
      <formula>"Napkin Hs"</formula>
    </cfRule>
  </conditionalFormatting>
  <conditionalFormatting sqref="C135">
    <cfRule type="cellIs" dxfId="41" priority="51" stopIfTrue="1" operator="equal">
      <formula>"Napkin Hs"</formula>
    </cfRule>
  </conditionalFormatting>
  <conditionalFormatting sqref="C135">
    <cfRule type="cellIs" dxfId="40" priority="50" stopIfTrue="1" operator="equal">
      <formula>"Napkin Hs"</formula>
    </cfRule>
  </conditionalFormatting>
  <conditionalFormatting sqref="C135">
    <cfRule type="cellIs" dxfId="39" priority="49" stopIfTrue="1" operator="equal">
      <formula>"Napkin Hs"</formula>
    </cfRule>
  </conditionalFormatting>
  <conditionalFormatting sqref="C135">
    <cfRule type="cellIs" dxfId="38" priority="48" stopIfTrue="1" operator="equal">
      <formula>"Napkin Hs"</formula>
    </cfRule>
  </conditionalFormatting>
  <conditionalFormatting sqref="C135">
    <cfRule type="cellIs" dxfId="37" priority="47" stopIfTrue="1" operator="equal">
      <formula>"Napkin Hs"</formula>
    </cfRule>
  </conditionalFormatting>
  <conditionalFormatting sqref="C135">
    <cfRule type="cellIs" dxfId="36" priority="46" stopIfTrue="1" operator="equal">
      <formula>"Napkin Hs"</formula>
    </cfRule>
  </conditionalFormatting>
  <conditionalFormatting sqref="C135">
    <cfRule type="cellIs" dxfId="35" priority="45" stopIfTrue="1" operator="equal">
      <formula>"Napkin Hs"</formula>
    </cfRule>
  </conditionalFormatting>
  <conditionalFormatting sqref="C135">
    <cfRule type="cellIs" dxfId="34" priority="44" stopIfTrue="1" operator="equal">
      <formula>"Napkin Hs"</formula>
    </cfRule>
  </conditionalFormatting>
  <conditionalFormatting sqref="C132">
    <cfRule type="cellIs" dxfId="33" priority="43" stopIfTrue="1" operator="equal">
      <formula>"Napkin Hs"</formula>
    </cfRule>
  </conditionalFormatting>
  <conditionalFormatting sqref="C132">
    <cfRule type="cellIs" dxfId="32" priority="42" stopIfTrue="1" operator="equal">
      <formula>"Napkin Hs"</formula>
    </cfRule>
  </conditionalFormatting>
  <conditionalFormatting sqref="C132">
    <cfRule type="cellIs" dxfId="31" priority="41" stopIfTrue="1" operator="equal">
      <formula>"Napkin Hs"</formula>
    </cfRule>
  </conditionalFormatting>
  <conditionalFormatting sqref="C132">
    <cfRule type="cellIs" dxfId="30" priority="40" stopIfTrue="1" operator="equal">
      <formula>"Napkin Hs"</formula>
    </cfRule>
  </conditionalFormatting>
  <conditionalFormatting sqref="C132">
    <cfRule type="cellIs" dxfId="29" priority="39" stopIfTrue="1" operator="equal">
      <formula>"Napkin Hs"</formula>
    </cfRule>
  </conditionalFormatting>
  <conditionalFormatting sqref="C132">
    <cfRule type="cellIs" dxfId="28" priority="38" stopIfTrue="1" operator="equal">
      <formula>"Napkin Hs"</formula>
    </cfRule>
  </conditionalFormatting>
  <conditionalFormatting sqref="C132">
    <cfRule type="cellIs" dxfId="27" priority="37" stopIfTrue="1" operator="equal">
      <formula>"Napkin Hs"</formula>
    </cfRule>
  </conditionalFormatting>
  <conditionalFormatting sqref="C132">
    <cfRule type="cellIs" dxfId="26" priority="36" stopIfTrue="1" operator="equal">
      <formula>"Napkin Hs"</formula>
    </cfRule>
  </conditionalFormatting>
  <conditionalFormatting sqref="C134">
    <cfRule type="cellIs" dxfId="25" priority="35" stopIfTrue="1" operator="equal">
      <formula>"Napkin Hs"</formula>
    </cfRule>
  </conditionalFormatting>
  <conditionalFormatting sqref="C134">
    <cfRule type="cellIs" dxfId="24" priority="34" stopIfTrue="1" operator="equal">
      <formula>"Napkin Hs"</formula>
    </cfRule>
  </conditionalFormatting>
  <conditionalFormatting sqref="C134">
    <cfRule type="cellIs" dxfId="23" priority="33" stopIfTrue="1" operator="equal">
      <formula>"Napkin Hs"</formula>
    </cfRule>
  </conditionalFormatting>
  <conditionalFormatting sqref="C134">
    <cfRule type="cellIs" dxfId="22" priority="32" stopIfTrue="1" operator="equal">
      <formula>"Napkin Hs"</formula>
    </cfRule>
  </conditionalFormatting>
  <conditionalFormatting sqref="C134">
    <cfRule type="cellIs" dxfId="21" priority="31" stopIfTrue="1" operator="equal">
      <formula>"Napkin Hs"</formula>
    </cfRule>
  </conditionalFormatting>
  <conditionalFormatting sqref="C134">
    <cfRule type="cellIs" dxfId="20" priority="30" stopIfTrue="1" operator="equal">
      <formula>"Napkin Hs"</formula>
    </cfRule>
  </conditionalFormatting>
  <conditionalFormatting sqref="C134">
    <cfRule type="cellIs" dxfId="19" priority="29" stopIfTrue="1" operator="equal">
      <formula>"Napkin Hs"</formula>
    </cfRule>
  </conditionalFormatting>
  <conditionalFormatting sqref="C134">
    <cfRule type="cellIs" dxfId="18" priority="28" stopIfTrue="1" operator="equal">
      <formula>"Napkin Hs"</formula>
    </cfRule>
  </conditionalFormatting>
  <conditionalFormatting sqref="C141">
    <cfRule type="cellIs" dxfId="17" priority="8" stopIfTrue="1" operator="equal">
      <formula>"Towel"</formula>
    </cfRule>
    <cfRule type="cellIs" dxfId="16" priority="9" stopIfTrue="1" operator="equal">
      <formula>"Napkin Hs"</formula>
    </cfRule>
  </conditionalFormatting>
  <conditionalFormatting sqref="C141">
    <cfRule type="cellIs" dxfId="15" priority="7" stopIfTrue="1" operator="equal">
      <formula>"Napkin Hs"</formula>
    </cfRule>
  </conditionalFormatting>
  <conditionalFormatting sqref="C138">
    <cfRule type="cellIs" dxfId="14" priority="6" stopIfTrue="1" operator="equal">
      <formula>"Napkin Hs"</formula>
    </cfRule>
  </conditionalFormatting>
  <conditionalFormatting sqref="C138">
    <cfRule type="cellIs" dxfId="13" priority="5" stopIfTrue="1" operator="equal">
      <formula>"Napkin Hs"</formula>
    </cfRule>
  </conditionalFormatting>
  <conditionalFormatting sqref="C139:C140">
    <cfRule type="cellIs" dxfId="12" priority="4" stopIfTrue="1" operator="equal">
      <formula>"Napkin Hs"</formula>
    </cfRule>
  </conditionalFormatting>
  <conditionalFormatting sqref="C139:C140">
    <cfRule type="cellIs" dxfId="11" priority="3" stopIfTrue="1" operator="equal">
      <formula>"Napkin Hs"</formula>
    </cfRule>
  </conditionalFormatting>
  <conditionalFormatting sqref="C137">
    <cfRule type="cellIs" dxfId="10" priority="2" stopIfTrue="1" operator="equal">
      <formula>"Napkin Hs"</formula>
    </cfRule>
  </conditionalFormatting>
  <conditionalFormatting sqref="C137">
    <cfRule type="cellIs" dxfId="9" priority="1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45"/>
  <sheetViews>
    <sheetView zoomScale="85" workbookViewId="0">
      <pane xSplit="5" ySplit="8" topLeftCell="W15" activePane="bottomRight" state="frozen"/>
      <selection pane="topRight" activeCell="E1" sqref="E1"/>
      <selection pane="bottomLeft" activeCell="A9" sqref="A9"/>
      <selection pane="bottomRight" activeCell="AV34" sqref="AV34"/>
    </sheetView>
  </sheetViews>
  <sheetFormatPr defaultColWidth="10.42578125" defaultRowHeight="15" customHeight="1"/>
  <cols>
    <col min="1" max="1" width="8.140625" style="256" customWidth="1"/>
    <col min="2" max="2" width="13.5703125" style="256" customWidth="1"/>
    <col min="3" max="3" width="13.28515625" style="257" customWidth="1"/>
    <col min="4" max="4" width="11.140625" style="257" customWidth="1"/>
    <col min="5" max="5" width="11" style="258" customWidth="1"/>
    <col min="6" max="8" width="12.42578125" style="482" hidden="1" customWidth="1"/>
    <col min="9" max="11" width="12.42578125" style="482" customWidth="1"/>
    <col min="12" max="14" width="12.42578125" style="482" hidden="1" customWidth="1"/>
    <col min="15" max="23" width="12.42578125" style="482" customWidth="1"/>
    <col min="24" max="38" width="12.42578125" style="482" hidden="1" customWidth="1"/>
    <col min="39" max="41" width="12.42578125" style="482" customWidth="1"/>
    <col min="42" max="47" width="12.42578125" style="482" hidden="1" customWidth="1"/>
    <col min="48" max="53" width="12.42578125" style="482" customWidth="1"/>
    <col min="54" max="65" width="12.42578125" style="482" hidden="1" customWidth="1"/>
    <col min="66" max="68" width="12.42578125" style="482" customWidth="1"/>
    <col min="69" max="80" width="12.42578125" style="482" hidden="1" customWidth="1"/>
    <col min="81" max="86" width="12.42578125" style="482" customWidth="1"/>
    <col min="87" max="128" width="12.42578125" style="482" hidden="1" customWidth="1"/>
    <col min="129" max="140" width="12.42578125" style="482" customWidth="1"/>
    <col min="141" max="269" width="12.42578125" style="482" hidden="1" customWidth="1"/>
    <col min="270" max="303" width="5.5703125" style="482" hidden="1" customWidth="1"/>
    <col min="304" max="304" width="8.7109375" style="482" hidden="1" customWidth="1"/>
    <col min="305" max="305" width="7.7109375" style="482" hidden="1" customWidth="1"/>
    <col min="306" max="306" width="21" style="482" bestFit="1" customWidth="1"/>
    <col min="307" max="307" width="19.85546875" style="482" bestFit="1" customWidth="1"/>
    <col min="308" max="16384" width="10.42578125" style="256"/>
  </cols>
  <sheetData>
    <row r="1" spans="1:309" ht="15" customHeight="1">
      <c r="A1" s="252"/>
      <c r="B1" s="253"/>
      <c r="C1" s="254"/>
      <c r="D1" s="254"/>
      <c r="E1" s="255"/>
    </row>
    <row r="2" spans="1:309" ht="15" customHeight="1">
      <c r="A2" s="252"/>
    </row>
    <row r="3" spans="1:309" ht="15" customHeight="1">
      <c r="A3" s="260"/>
    </row>
    <row r="4" spans="1:309" ht="15" customHeight="1">
      <c r="A4" s="460" t="s">
        <v>267</v>
      </c>
    </row>
    <row r="5" spans="1:309" ht="15" customHeight="1" thickBot="1"/>
    <row r="6" spans="1:309" ht="15" customHeight="1">
      <c r="A6" s="759" t="s">
        <v>28</v>
      </c>
      <c r="B6" s="759" t="s">
        <v>4</v>
      </c>
      <c r="C6" s="759" t="s">
        <v>5</v>
      </c>
      <c r="D6" s="762" t="s">
        <v>39</v>
      </c>
      <c r="E6" s="765" t="s">
        <v>37</v>
      </c>
      <c r="F6" s="757" t="s">
        <v>286</v>
      </c>
      <c r="G6" s="757"/>
      <c r="H6" s="757"/>
      <c r="I6" s="757"/>
      <c r="J6" s="757"/>
      <c r="K6" s="757"/>
      <c r="L6" s="757"/>
      <c r="M6" s="757"/>
      <c r="N6" s="757"/>
      <c r="O6" s="757"/>
      <c r="P6" s="757"/>
      <c r="Q6" s="757"/>
      <c r="R6" s="757"/>
      <c r="S6" s="757"/>
      <c r="T6" s="757"/>
      <c r="U6" s="757"/>
      <c r="V6" s="757"/>
      <c r="W6" s="757"/>
      <c r="X6" s="757"/>
      <c r="Y6" s="757"/>
      <c r="Z6" s="757"/>
      <c r="AA6" s="757"/>
      <c r="AB6" s="757"/>
      <c r="AC6" s="757"/>
      <c r="AD6" s="757"/>
      <c r="AE6" s="757"/>
      <c r="AF6" s="757"/>
      <c r="AG6" s="757"/>
      <c r="AH6" s="757"/>
      <c r="AI6" s="757"/>
      <c r="AJ6" s="757"/>
      <c r="AK6" s="757"/>
      <c r="AL6" s="757"/>
      <c r="AM6" s="757"/>
      <c r="AN6" s="757"/>
      <c r="AO6" s="757"/>
      <c r="AP6" s="757"/>
      <c r="AQ6" s="757"/>
      <c r="AR6" s="757"/>
      <c r="AS6" s="757"/>
      <c r="AT6" s="757"/>
      <c r="AU6" s="757"/>
      <c r="AV6" s="757"/>
      <c r="AW6" s="757"/>
      <c r="AX6" s="757"/>
      <c r="AY6" s="757"/>
      <c r="AZ6" s="757"/>
      <c r="BA6" s="757"/>
      <c r="BB6" s="757"/>
      <c r="BC6" s="757"/>
      <c r="BD6" s="757"/>
      <c r="BE6" s="757"/>
      <c r="BF6" s="757"/>
      <c r="BG6" s="757"/>
      <c r="BH6" s="757"/>
      <c r="BI6" s="757"/>
      <c r="BJ6" s="757"/>
      <c r="BK6" s="757"/>
      <c r="BL6" s="757"/>
      <c r="BM6" s="757"/>
      <c r="BN6" s="757"/>
      <c r="BO6" s="757"/>
      <c r="BP6" s="757"/>
      <c r="BQ6" s="757"/>
      <c r="BR6" s="757"/>
      <c r="BS6" s="757"/>
      <c r="BT6" s="757"/>
      <c r="BU6" s="757"/>
      <c r="BV6" s="757"/>
      <c r="BW6" s="757"/>
      <c r="BX6" s="757"/>
      <c r="BY6" s="757"/>
      <c r="BZ6" s="757"/>
      <c r="CA6" s="757"/>
      <c r="CB6" s="757"/>
      <c r="CC6" s="757"/>
      <c r="CD6" s="757"/>
      <c r="CE6" s="757"/>
      <c r="CF6" s="757"/>
      <c r="CG6" s="757"/>
      <c r="CH6" s="757"/>
      <c r="CI6" s="757"/>
      <c r="CJ6" s="757"/>
      <c r="CK6" s="757"/>
      <c r="CL6" s="757"/>
      <c r="CM6" s="757"/>
      <c r="CN6" s="757"/>
      <c r="CO6" s="757"/>
      <c r="CP6" s="757"/>
      <c r="CQ6" s="757"/>
      <c r="CR6" s="757"/>
      <c r="CS6" s="757"/>
      <c r="CT6" s="757"/>
      <c r="CU6" s="757"/>
      <c r="CV6" s="757"/>
      <c r="CW6" s="757"/>
      <c r="CX6" s="757"/>
      <c r="CY6" s="757"/>
      <c r="CZ6" s="757"/>
      <c r="DA6" s="757"/>
      <c r="DB6" s="757"/>
      <c r="DC6" s="757"/>
      <c r="DD6" s="757"/>
      <c r="DE6" s="757"/>
      <c r="DF6" s="757"/>
      <c r="DG6" s="757"/>
      <c r="DH6" s="757"/>
      <c r="DI6" s="757"/>
      <c r="DJ6" s="757"/>
      <c r="DK6" s="757"/>
      <c r="DL6" s="757"/>
      <c r="DM6" s="757"/>
      <c r="DN6" s="757"/>
      <c r="DO6" s="757"/>
      <c r="DP6" s="757"/>
      <c r="DQ6" s="757"/>
      <c r="DR6" s="757"/>
      <c r="DS6" s="757"/>
      <c r="DT6" s="757"/>
      <c r="DU6" s="757"/>
      <c r="DV6" s="757"/>
      <c r="DW6" s="757"/>
      <c r="DX6" s="757"/>
      <c r="DY6" s="757"/>
      <c r="DZ6" s="757"/>
      <c r="EA6" s="757"/>
      <c r="EB6" s="757"/>
      <c r="EC6" s="757"/>
      <c r="ED6" s="757"/>
      <c r="EE6" s="757"/>
      <c r="EF6" s="757"/>
      <c r="EG6" s="757"/>
      <c r="EH6" s="757"/>
      <c r="EI6" s="757"/>
      <c r="EJ6" s="757"/>
      <c r="EK6" s="757"/>
      <c r="EL6" s="757"/>
      <c r="EM6" s="757"/>
      <c r="EN6" s="757"/>
      <c r="EO6" s="757"/>
      <c r="EP6" s="757"/>
      <c r="EQ6" s="757"/>
      <c r="ER6" s="757"/>
      <c r="ES6" s="757"/>
      <c r="ET6" s="757"/>
      <c r="EU6" s="757"/>
      <c r="EV6" s="757"/>
      <c r="EW6" s="757"/>
      <c r="EX6" s="757"/>
      <c r="EY6" s="757"/>
      <c r="EZ6" s="757"/>
      <c r="FA6" s="757"/>
      <c r="FB6" s="757"/>
      <c r="FC6" s="757"/>
      <c r="FD6" s="757"/>
      <c r="FE6" s="757"/>
      <c r="FF6" s="757"/>
      <c r="FG6" s="757"/>
      <c r="FH6" s="757"/>
      <c r="FI6" s="757"/>
      <c r="FJ6" s="757"/>
      <c r="FK6" s="757"/>
      <c r="FL6" s="757"/>
      <c r="FM6" s="757"/>
      <c r="FN6" s="757"/>
      <c r="FO6" s="757"/>
      <c r="FP6" s="757"/>
      <c r="FQ6" s="757"/>
      <c r="FR6" s="757"/>
      <c r="FS6" s="757"/>
      <c r="FT6" s="757"/>
      <c r="FU6" s="757"/>
      <c r="FV6" s="757"/>
      <c r="FW6" s="757"/>
      <c r="FX6" s="757"/>
      <c r="FY6" s="757"/>
      <c r="FZ6" s="757"/>
      <c r="GA6" s="757"/>
      <c r="GB6" s="757"/>
      <c r="GC6" s="758"/>
      <c r="GD6" s="753" t="s">
        <v>287</v>
      </c>
      <c r="GE6" s="754"/>
      <c r="GF6" s="754"/>
      <c r="GG6" s="754"/>
      <c r="GH6" s="754"/>
      <c r="GI6" s="754"/>
      <c r="GJ6" s="754"/>
      <c r="GK6" s="754"/>
      <c r="GL6" s="754"/>
      <c r="GM6" s="754"/>
      <c r="GN6" s="754"/>
      <c r="GO6" s="754"/>
      <c r="GP6" s="754"/>
      <c r="GQ6" s="754"/>
      <c r="GR6" s="754"/>
      <c r="GS6" s="754"/>
      <c r="GT6" s="754"/>
      <c r="GU6" s="754"/>
      <c r="GV6" s="754"/>
      <c r="GW6" s="754"/>
      <c r="GX6" s="754"/>
      <c r="GY6" s="754"/>
      <c r="GZ6" s="754"/>
      <c r="HA6" s="754"/>
      <c r="HB6" s="754"/>
      <c r="HC6" s="754"/>
      <c r="HD6" s="754"/>
      <c r="HE6" s="754"/>
      <c r="HF6" s="754"/>
      <c r="HG6" s="754"/>
      <c r="HH6" s="754"/>
      <c r="HI6" s="754"/>
      <c r="HJ6" s="754"/>
      <c r="HK6" s="754"/>
      <c r="HL6" s="754"/>
      <c r="HM6" s="754"/>
      <c r="HN6" s="754"/>
      <c r="HO6" s="754"/>
      <c r="HP6" s="754"/>
      <c r="HQ6" s="754"/>
      <c r="HR6" s="754"/>
      <c r="HS6" s="754"/>
      <c r="HT6" s="754"/>
      <c r="HU6" s="754"/>
      <c r="HV6" s="754"/>
      <c r="HW6" s="754"/>
      <c r="HX6" s="754"/>
      <c r="HY6" s="754"/>
      <c r="HZ6" s="754"/>
      <c r="IA6" s="754"/>
      <c r="IB6" s="754"/>
      <c r="IC6" s="754"/>
      <c r="ID6" s="754"/>
      <c r="IE6" s="754"/>
      <c r="IF6" s="754"/>
      <c r="IG6" s="754"/>
      <c r="IH6" s="754"/>
      <c r="II6" s="754"/>
      <c r="IJ6" s="754"/>
      <c r="IK6" s="754"/>
      <c r="IL6" s="754"/>
      <c r="IM6" s="754"/>
      <c r="IN6" s="754"/>
      <c r="IO6" s="754"/>
      <c r="IP6" s="754"/>
      <c r="IQ6" s="754"/>
      <c r="IR6" s="754"/>
      <c r="IS6" s="754"/>
      <c r="IT6" s="754"/>
      <c r="IU6" s="754"/>
      <c r="IV6" s="754"/>
      <c r="IW6" s="754"/>
      <c r="IX6" s="754"/>
      <c r="IY6" s="754"/>
      <c r="IZ6" s="754"/>
      <c r="JA6" s="754"/>
      <c r="JB6" s="754"/>
      <c r="JC6" s="754"/>
      <c r="JD6" s="754"/>
      <c r="JE6" s="754"/>
      <c r="JF6" s="754"/>
      <c r="JG6" s="754"/>
      <c r="JH6" s="754"/>
      <c r="JI6" s="754"/>
      <c r="JJ6" s="754"/>
      <c r="JK6" s="754"/>
      <c r="JL6" s="754"/>
      <c r="JM6" s="754"/>
      <c r="JN6" s="754"/>
      <c r="JO6" s="754"/>
      <c r="JP6" s="754"/>
      <c r="JQ6" s="754"/>
      <c r="JR6" s="754"/>
      <c r="JS6" s="754"/>
      <c r="JT6" s="754"/>
      <c r="JU6" s="754"/>
      <c r="JV6" s="754"/>
      <c r="JW6" s="754"/>
      <c r="JX6" s="754"/>
      <c r="JY6" s="754"/>
      <c r="JZ6" s="754"/>
      <c r="KA6" s="754"/>
      <c r="KB6" s="754"/>
      <c r="KC6" s="754"/>
      <c r="KD6" s="754"/>
      <c r="KE6" s="754"/>
      <c r="KF6" s="754"/>
      <c r="KG6" s="754"/>
      <c r="KH6" s="754"/>
      <c r="KI6" s="754"/>
      <c r="KJ6" s="754"/>
      <c r="KK6" s="754"/>
      <c r="KL6" s="754"/>
      <c r="KM6" s="754"/>
      <c r="KN6" s="754"/>
      <c r="KO6" s="754"/>
      <c r="KP6" s="754"/>
      <c r="KQ6" s="754"/>
      <c r="KR6" s="754"/>
      <c r="KS6" s="755"/>
      <c r="KT6" s="756" t="s">
        <v>288</v>
      </c>
      <c r="KU6" s="756" t="s">
        <v>287</v>
      </c>
    </row>
    <row r="7" spans="1:309" ht="15" customHeight="1">
      <c r="A7" s="760"/>
      <c r="B7" s="760"/>
      <c r="C7" s="760"/>
      <c r="D7" s="763"/>
      <c r="E7" s="766"/>
      <c r="F7" s="746" t="s">
        <v>289</v>
      </c>
      <c r="G7" s="746"/>
      <c r="H7" s="744"/>
      <c r="I7" s="743" t="s">
        <v>290</v>
      </c>
      <c r="J7" s="746"/>
      <c r="K7" s="744"/>
      <c r="L7" s="743" t="s">
        <v>291</v>
      </c>
      <c r="M7" s="746"/>
      <c r="N7" s="744"/>
      <c r="O7" s="743" t="s">
        <v>292</v>
      </c>
      <c r="P7" s="746"/>
      <c r="Q7" s="744"/>
      <c r="R7" s="743" t="s">
        <v>293</v>
      </c>
      <c r="S7" s="746"/>
      <c r="T7" s="744"/>
      <c r="U7" s="743" t="s">
        <v>295</v>
      </c>
      <c r="V7" s="746"/>
      <c r="W7" s="744"/>
      <c r="X7" s="743" t="s">
        <v>294</v>
      </c>
      <c r="Y7" s="746"/>
      <c r="Z7" s="744"/>
      <c r="AA7" s="743" t="s">
        <v>295</v>
      </c>
      <c r="AB7" s="746"/>
      <c r="AC7" s="744"/>
      <c r="AD7" s="743" t="s">
        <v>296</v>
      </c>
      <c r="AE7" s="746"/>
      <c r="AF7" s="744"/>
      <c r="AG7" s="743" t="s">
        <v>297</v>
      </c>
      <c r="AH7" s="746"/>
      <c r="AI7" s="744"/>
      <c r="AJ7" s="743" t="s">
        <v>298</v>
      </c>
      <c r="AK7" s="746"/>
      <c r="AL7" s="744"/>
      <c r="AM7" s="743" t="s">
        <v>428</v>
      </c>
      <c r="AN7" s="746"/>
      <c r="AO7" s="744"/>
      <c r="AP7" s="743" t="s">
        <v>299</v>
      </c>
      <c r="AQ7" s="746"/>
      <c r="AR7" s="744"/>
      <c r="AS7" s="743" t="s">
        <v>300</v>
      </c>
      <c r="AT7" s="746"/>
      <c r="AU7" s="744"/>
      <c r="AV7" s="743" t="s">
        <v>301</v>
      </c>
      <c r="AW7" s="746"/>
      <c r="AX7" s="744"/>
      <c r="AY7" s="747" t="s">
        <v>302</v>
      </c>
      <c r="AZ7" s="748"/>
      <c r="BA7" s="748"/>
      <c r="BB7" s="747" t="s">
        <v>303</v>
      </c>
      <c r="BC7" s="748"/>
      <c r="BD7" s="749"/>
      <c r="BE7" s="747" t="s">
        <v>304</v>
      </c>
      <c r="BF7" s="748"/>
      <c r="BG7" s="748"/>
      <c r="BH7" s="747" t="s">
        <v>305</v>
      </c>
      <c r="BI7" s="748"/>
      <c r="BJ7" s="749"/>
      <c r="BK7" s="747" t="s">
        <v>306</v>
      </c>
      <c r="BL7" s="748"/>
      <c r="BM7" s="748"/>
      <c r="BN7" s="747" t="s">
        <v>307</v>
      </c>
      <c r="BO7" s="748"/>
      <c r="BP7" s="749"/>
      <c r="BQ7" s="747" t="s">
        <v>308</v>
      </c>
      <c r="BR7" s="748"/>
      <c r="BS7" s="748"/>
      <c r="BT7" s="747" t="s">
        <v>309</v>
      </c>
      <c r="BU7" s="748"/>
      <c r="BV7" s="749"/>
      <c r="BW7" s="747" t="s">
        <v>310</v>
      </c>
      <c r="BX7" s="748"/>
      <c r="BY7" s="748"/>
      <c r="BZ7" s="747" t="s">
        <v>311</v>
      </c>
      <c r="CA7" s="748"/>
      <c r="CB7" s="749"/>
      <c r="CC7" s="747" t="s">
        <v>312</v>
      </c>
      <c r="CD7" s="748"/>
      <c r="CE7" s="748"/>
      <c r="CF7" s="747" t="s">
        <v>313</v>
      </c>
      <c r="CG7" s="748"/>
      <c r="CH7" s="749"/>
      <c r="CI7" s="747" t="s">
        <v>314</v>
      </c>
      <c r="CJ7" s="748"/>
      <c r="CK7" s="748"/>
      <c r="CL7" s="747" t="s">
        <v>315</v>
      </c>
      <c r="CM7" s="748"/>
      <c r="CN7" s="749"/>
      <c r="CO7" s="747" t="s">
        <v>316</v>
      </c>
      <c r="CP7" s="748"/>
      <c r="CQ7" s="748"/>
      <c r="CR7" s="747" t="s">
        <v>317</v>
      </c>
      <c r="CS7" s="748"/>
      <c r="CT7" s="749"/>
      <c r="CU7" s="747" t="s">
        <v>318</v>
      </c>
      <c r="CV7" s="748"/>
      <c r="CW7" s="748"/>
      <c r="CX7" s="747" t="s">
        <v>319</v>
      </c>
      <c r="CY7" s="748"/>
      <c r="CZ7" s="749"/>
      <c r="DA7" s="747" t="s">
        <v>320</v>
      </c>
      <c r="DB7" s="748"/>
      <c r="DC7" s="748"/>
      <c r="DD7" s="747" t="s">
        <v>321</v>
      </c>
      <c r="DE7" s="748"/>
      <c r="DF7" s="749"/>
      <c r="DG7" s="747" t="s">
        <v>322</v>
      </c>
      <c r="DH7" s="748"/>
      <c r="DI7" s="748"/>
      <c r="DJ7" s="747" t="s">
        <v>323</v>
      </c>
      <c r="DK7" s="748"/>
      <c r="DL7" s="749"/>
      <c r="DM7" s="747" t="s">
        <v>324</v>
      </c>
      <c r="DN7" s="748"/>
      <c r="DO7" s="748"/>
      <c r="DP7" s="747" t="s">
        <v>325</v>
      </c>
      <c r="DQ7" s="748"/>
      <c r="DR7" s="749"/>
      <c r="DS7" s="747" t="s">
        <v>326</v>
      </c>
      <c r="DT7" s="748"/>
      <c r="DU7" s="748"/>
      <c r="DV7" s="747" t="s">
        <v>327</v>
      </c>
      <c r="DW7" s="748"/>
      <c r="DX7" s="749"/>
      <c r="DY7" s="747" t="s">
        <v>328</v>
      </c>
      <c r="DZ7" s="748"/>
      <c r="EA7" s="748"/>
      <c r="EB7" s="747" t="s">
        <v>429</v>
      </c>
      <c r="EC7" s="748"/>
      <c r="ED7" s="749"/>
      <c r="EE7" s="747" t="s">
        <v>430</v>
      </c>
      <c r="EF7" s="748"/>
      <c r="EG7" s="748"/>
      <c r="EH7" s="747"/>
      <c r="EI7" s="748"/>
      <c r="EJ7" s="749"/>
      <c r="EK7" s="747"/>
      <c r="EL7" s="748"/>
      <c r="EM7" s="748"/>
      <c r="EN7" s="747"/>
      <c r="EO7" s="748"/>
      <c r="EP7" s="749"/>
      <c r="EQ7" s="747"/>
      <c r="ER7" s="748"/>
      <c r="ES7" s="748"/>
      <c r="ET7" s="747"/>
      <c r="EU7" s="748"/>
      <c r="EV7" s="749"/>
      <c r="EW7" s="747"/>
      <c r="EX7" s="748"/>
      <c r="EY7" s="748"/>
      <c r="EZ7" s="747"/>
      <c r="FA7" s="748"/>
      <c r="FB7" s="749"/>
      <c r="FC7" s="747"/>
      <c r="FD7" s="748"/>
      <c r="FE7" s="748"/>
      <c r="FF7" s="747"/>
      <c r="FG7" s="748"/>
      <c r="FH7" s="749"/>
      <c r="FI7" s="747"/>
      <c r="FJ7" s="748"/>
      <c r="FK7" s="748"/>
      <c r="FL7" s="747"/>
      <c r="FM7" s="748"/>
      <c r="FN7" s="749"/>
      <c r="FO7" s="747"/>
      <c r="FP7" s="748"/>
      <c r="FQ7" s="748"/>
      <c r="FR7" s="747"/>
      <c r="FS7" s="748"/>
      <c r="FT7" s="749"/>
      <c r="FU7" s="747"/>
      <c r="FV7" s="748"/>
      <c r="FW7" s="748"/>
      <c r="FX7" s="747"/>
      <c r="FY7" s="748"/>
      <c r="FZ7" s="749"/>
      <c r="GA7" s="747"/>
      <c r="GB7" s="748"/>
      <c r="GC7" s="748"/>
      <c r="GD7" s="747" t="s">
        <v>329</v>
      </c>
      <c r="GE7" s="748"/>
      <c r="GF7" s="749"/>
      <c r="GG7" s="747" t="s">
        <v>330</v>
      </c>
      <c r="GH7" s="748"/>
      <c r="GI7" s="748"/>
      <c r="GJ7" s="747" t="s">
        <v>331</v>
      </c>
      <c r="GK7" s="748"/>
      <c r="GL7" s="749"/>
      <c r="GM7" s="747" t="s">
        <v>332</v>
      </c>
      <c r="GN7" s="748"/>
      <c r="GO7" s="748"/>
      <c r="GP7" s="747" t="s">
        <v>333</v>
      </c>
      <c r="GQ7" s="748"/>
      <c r="GR7" s="749"/>
      <c r="GS7" s="747" t="s">
        <v>334</v>
      </c>
      <c r="GT7" s="748"/>
      <c r="GU7" s="748"/>
      <c r="GV7" s="747" t="s">
        <v>335</v>
      </c>
      <c r="GW7" s="748"/>
      <c r="GX7" s="749"/>
      <c r="GY7" s="747" t="s">
        <v>336</v>
      </c>
      <c r="GZ7" s="748"/>
      <c r="HA7" s="748"/>
      <c r="HB7" s="747" t="s">
        <v>311</v>
      </c>
      <c r="HC7" s="748"/>
      <c r="HD7" s="749"/>
      <c r="HE7" s="747" t="s">
        <v>327</v>
      </c>
      <c r="HF7" s="748"/>
      <c r="HG7" s="748"/>
      <c r="HH7" s="747" t="s">
        <v>326</v>
      </c>
      <c r="HI7" s="748"/>
      <c r="HJ7" s="749"/>
      <c r="HK7" s="747" t="s">
        <v>307</v>
      </c>
      <c r="HL7" s="748"/>
      <c r="HM7" s="748"/>
      <c r="HN7" s="747" t="s">
        <v>337</v>
      </c>
      <c r="HO7" s="748"/>
      <c r="HP7" s="749"/>
      <c r="HQ7" s="747" t="s">
        <v>318</v>
      </c>
      <c r="HR7" s="748"/>
      <c r="HS7" s="748"/>
      <c r="HT7" s="747" t="s">
        <v>338</v>
      </c>
      <c r="HU7" s="748"/>
      <c r="HV7" s="749"/>
      <c r="HW7" s="747" t="s">
        <v>339</v>
      </c>
      <c r="HX7" s="748"/>
      <c r="HY7" s="748"/>
      <c r="HZ7" s="747" t="s">
        <v>340</v>
      </c>
      <c r="IA7" s="748"/>
      <c r="IB7" s="749"/>
      <c r="IC7" s="747" t="s">
        <v>341</v>
      </c>
      <c r="ID7" s="748"/>
      <c r="IE7" s="748"/>
      <c r="IF7" s="747" t="s">
        <v>342</v>
      </c>
      <c r="IG7" s="748"/>
      <c r="IH7" s="749"/>
      <c r="II7" s="745" t="s">
        <v>313</v>
      </c>
      <c r="IJ7" s="745"/>
      <c r="IK7" s="745"/>
      <c r="IL7" s="747" t="s">
        <v>316</v>
      </c>
      <c r="IM7" s="748"/>
      <c r="IN7" s="749"/>
      <c r="IO7" s="747" t="s">
        <v>317</v>
      </c>
      <c r="IP7" s="748"/>
      <c r="IQ7" s="748"/>
      <c r="IR7" s="747" t="s">
        <v>312</v>
      </c>
      <c r="IS7" s="748"/>
      <c r="IT7" s="749"/>
      <c r="IU7" s="747" t="s">
        <v>343</v>
      </c>
      <c r="IV7" s="748"/>
      <c r="IW7" s="748"/>
      <c r="IX7" s="747" t="s">
        <v>320</v>
      </c>
      <c r="IY7" s="748"/>
      <c r="IZ7" s="749"/>
      <c r="JA7" s="747" t="s">
        <v>344</v>
      </c>
      <c r="JB7" s="748"/>
      <c r="JC7" s="748"/>
      <c r="JD7" s="747" t="s">
        <v>345</v>
      </c>
      <c r="JE7" s="748"/>
      <c r="JF7" s="749"/>
      <c r="JG7" s="747" t="s">
        <v>346</v>
      </c>
      <c r="JH7" s="748"/>
      <c r="JI7" s="748"/>
      <c r="JJ7" s="747"/>
      <c r="JK7" s="748"/>
      <c r="JL7" s="749"/>
      <c r="JM7" s="747"/>
      <c r="JN7" s="748"/>
      <c r="JO7" s="748"/>
      <c r="JP7" s="747"/>
      <c r="JQ7" s="748"/>
      <c r="JR7" s="749"/>
      <c r="JS7" s="747"/>
      <c r="JT7" s="748"/>
      <c r="JU7" s="748"/>
      <c r="JV7" s="747"/>
      <c r="JW7" s="748"/>
      <c r="JX7" s="749"/>
      <c r="JY7" s="747"/>
      <c r="JZ7" s="748"/>
      <c r="KA7" s="748"/>
      <c r="KB7" s="747"/>
      <c r="KC7" s="748"/>
      <c r="KD7" s="749"/>
      <c r="KE7" s="747"/>
      <c r="KF7" s="748"/>
      <c r="KG7" s="748"/>
      <c r="KH7" s="747"/>
      <c r="KI7" s="748"/>
      <c r="KJ7" s="749"/>
      <c r="KK7" s="747"/>
      <c r="KL7" s="748"/>
      <c r="KM7" s="748"/>
      <c r="KN7" s="747"/>
      <c r="KO7" s="748"/>
      <c r="KP7" s="749"/>
      <c r="KQ7" s="745"/>
      <c r="KR7" s="745"/>
      <c r="KS7" s="745"/>
      <c r="KT7" s="756"/>
      <c r="KU7" s="756"/>
    </row>
    <row r="8" spans="1:309" ht="15" customHeight="1">
      <c r="A8" s="760"/>
      <c r="B8" s="760"/>
      <c r="C8" s="760"/>
      <c r="D8" s="763"/>
      <c r="E8" s="766"/>
      <c r="F8" s="746" t="s">
        <v>131</v>
      </c>
      <c r="G8" s="744"/>
      <c r="H8" s="483" t="s">
        <v>347</v>
      </c>
      <c r="I8" s="743" t="s">
        <v>131</v>
      </c>
      <c r="J8" s="744"/>
      <c r="K8" s="483" t="s">
        <v>347</v>
      </c>
      <c r="L8" s="743" t="s">
        <v>131</v>
      </c>
      <c r="M8" s="744"/>
      <c r="N8" s="483" t="s">
        <v>347</v>
      </c>
      <c r="O8" s="743" t="s">
        <v>131</v>
      </c>
      <c r="P8" s="744"/>
      <c r="Q8" s="483" t="s">
        <v>347</v>
      </c>
      <c r="R8" s="743" t="s">
        <v>131</v>
      </c>
      <c r="S8" s="744"/>
      <c r="T8" s="483" t="s">
        <v>347</v>
      </c>
      <c r="U8" s="743" t="s">
        <v>131</v>
      </c>
      <c r="V8" s="744"/>
      <c r="W8" s="483" t="s">
        <v>347</v>
      </c>
      <c r="X8" s="743" t="s">
        <v>131</v>
      </c>
      <c r="Y8" s="744"/>
      <c r="Z8" s="483" t="s">
        <v>347</v>
      </c>
      <c r="AA8" s="743" t="s">
        <v>131</v>
      </c>
      <c r="AB8" s="744"/>
      <c r="AC8" s="483" t="s">
        <v>347</v>
      </c>
      <c r="AD8" s="743" t="s">
        <v>131</v>
      </c>
      <c r="AE8" s="744"/>
      <c r="AF8" s="483" t="s">
        <v>347</v>
      </c>
      <c r="AG8" s="743" t="s">
        <v>131</v>
      </c>
      <c r="AH8" s="744"/>
      <c r="AI8" s="483" t="s">
        <v>347</v>
      </c>
      <c r="AJ8" s="743" t="s">
        <v>131</v>
      </c>
      <c r="AK8" s="744"/>
      <c r="AL8" s="483" t="s">
        <v>347</v>
      </c>
      <c r="AM8" s="743" t="s">
        <v>131</v>
      </c>
      <c r="AN8" s="744"/>
      <c r="AO8" s="483" t="s">
        <v>347</v>
      </c>
      <c r="AP8" s="743" t="s">
        <v>131</v>
      </c>
      <c r="AQ8" s="744"/>
      <c r="AR8" s="483" t="s">
        <v>347</v>
      </c>
      <c r="AS8" s="743" t="s">
        <v>131</v>
      </c>
      <c r="AT8" s="744"/>
      <c r="AU8" s="483" t="s">
        <v>347</v>
      </c>
      <c r="AV8" s="743" t="s">
        <v>131</v>
      </c>
      <c r="AW8" s="744"/>
      <c r="AX8" s="483" t="s">
        <v>347</v>
      </c>
      <c r="AY8" s="743" t="s">
        <v>131</v>
      </c>
      <c r="AZ8" s="744"/>
      <c r="BA8" s="483" t="s">
        <v>347</v>
      </c>
      <c r="BB8" s="743" t="s">
        <v>131</v>
      </c>
      <c r="BC8" s="744"/>
      <c r="BD8" s="483" t="s">
        <v>347</v>
      </c>
      <c r="BE8" s="743" t="s">
        <v>131</v>
      </c>
      <c r="BF8" s="744"/>
      <c r="BG8" s="483" t="s">
        <v>347</v>
      </c>
      <c r="BH8" s="743" t="s">
        <v>131</v>
      </c>
      <c r="BI8" s="744"/>
      <c r="BJ8" s="483" t="s">
        <v>347</v>
      </c>
      <c r="BK8" s="743" t="s">
        <v>131</v>
      </c>
      <c r="BL8" s="744"/>
      <c r="BM8" s="483" t="s">
        <v>347</v>
      </c>
      <c r="BN8" s="743" t="s">
        <v>131</v>
      </c>
      <c r="BO8" s="744"/>
      <c r="BP8" s="483" t="s">
        <v>347</v>
      </c>
      <c r="BQ8" s="743" t="s">
        <v>131</v>
      </c>
      <c r="BR8" s="744"/>
      <c r="BS8" s="483" t="s">
        <v>347</v>
      </c>
      <c r="BT8" s="743" t="s">
        <v>131</v>
      </c>
      <c r="BU8" s="744"/>
      <c r="BV8" s="483" t="s">
        <v>347</v>
      </c>
      <c r="BW8" s="743" t="s">
        <v>131</v>
      </c>
      <c r="BX8" s="744"/>
      <c r="BY8" s="483" t="s">
        <v>347</v>
      </c>
      <c r="BZ8" s="743" t="s">
        <v>131</v>
      </c>
      <c r="CA8" s="744"/>
      <c r="CB8" s="483" t="s">
        <v>347</v>
      </c>
      <c r="CC8" s="743" t="s">
        <v>131</v>
      </c>
      <c r="CD8" s="744"/>
      <c r="CE8" s="483" t="s">
        <v>347</v>
      </c>
      <c r="CF8" s="743" t="s">
        <v>131</v>
      </c>
      <c r="CG8" s="744"/>
      <c r="CH8" s="483" t="s">
        <v>347</v>
      </c>
      <c r="CI8" s="743" t="s">
        <v>131</v>
      </c>
      <c r="CJ8" s="744"/>
      <c r="CK8" s="483" t="s">
        <v>347</v>
      </c>
      <c r="CL8" s="743" t="s">
        <v>131</v>
      </c>
      <c r="CM8" s="744"/>
      <c r="CN8" s="483" t="s">
        <v>347</v>
      </c>
      <c r="CO8" s="743" t="s">
        <v>131</v>
      </c>
      <c r="CP8" s="744"/>
      <c r="CQ8" s="483" t="s">
        <v>347</v>
      </c>
      <c r="CR8" s="743" t="s">
        <v>131</v>
      </c>
      <c r="CS8" s="744"/>
      <c r="CT8" s="483" t="s">
        <v>347</v>
      </c>
      <c r="CU8" s="743" t="s">
        <v>131</v>
      </c>
      <c r="CV8" s="744"/>
      <c r="CW8" s="483" t="s">
        <v>347</v>
      </c>
      <c r="CX8" s="743" t="s">
        <v>131</v>
      </c>
      <c r="CY8" s="744"/>
      <c r="CZ8" s="483" t="s">
        <v>347</v>
      </c>
      <c r="DA8" s="743" t="s">
        <v>131</v>
      </c>
      <c r="DB8" s="744"/>
      <c r="DC8" s="483" t="s">
        <v>347</v>
      </c>
      <c r="DD8" s="743" t="s">
        <v>131</v>
      </c>
      <c r="DE8" s="744"/>
      <c r="DF8" s="483" t="s">
        <v>347</v>
      </c>
      <c r="DG8" s="743" t="s">
        <v>131</v>
      </c>
      <c r="DH8" s="744"/>
      <c r="DI8" s="483" t="s">
        <v>347</v>
      </c>
      <c r="DJ8" s="743" t="s">
        <v>131</v>
      </c>
      <c r="DK8" s="744"/>
      <c r="DL8" s="483" t="s">
        <v>347</v>
      </c>
      <c r="DM8" s="743" t="s">
        <v>131</v>
      </c>
      <c r="DN8" s="744"/>
      <c r="DO8" s="483" t="s">
        <v>347</v>
      </c>
      <c r="DP8" s="743" t="s">
        <v>131</v>
      </c>
      <c r="DQ8" s="744"/>
      <c r="DR8" s="483" t="s">
        <v>347</v>
      </c>
      <c r="DS8" s="743" t="s">
        <v>131</v>
      </c>
      <c r="DT8" s="744"/>
      <c r="DU8" s="483" t="s">
        <v>347</v>
      </c>
      <c r="DV8" s="743" t="s">
        <v>131</v>
      </c>
      <c r="DW8" s="744"/>
      <c r="DX8" s="483" t="s">
        <v>347</v>
      </c>
      <c r="DY8" s="743" t="s">
        <v>131</v>
      </c>
      <c r="DZ8" s="744"/>
      <c r="EA8" s="483" t="s">
        <v>347</v>
      </c>
      <c r="EB8" s="743" t="s">
        <v>131</v>
      </c>
      <c r="EC8" s="744"/>
      <c r="ED8" s="483" t="s">
        <v>347</v>
      </c>
      <c r="EE8" s="743" t="s">
        <v>131</v>
      </c>
      <c r="EF8" s="744"/>
      <c r="EG8" s="483" t="s">
        <v>347</v>
      </c>
      <c r="EH8" s="743" t="s">
        <v>131</v>
      </c>
      <c r="EI8" s="744"/>
      <c r="EJ8" s="483" t="s">
        <v>347</v>
      </c>
      <c r="EK8" s="743" t="s">
        <v>131</v>
      </c>
      <c r="EL8" s="744"/>
      <c r="EM8" s="483" t="s">
        <v>347</v>
      </c>
      <c r="EN8" s="743" t="s">
        <v>131</v>
      </c>
      <c r="EO8" s="744"/>
      <c r="EP8" s="483" t="s">
        <v>347</v>
      </c>
      <c r="EQ8" s="743" t="s">
        <v>131</v>
      </c>
      <c r="ER8" s="744"/>
      <c r="ES8" s="483" t="s">
        <v>347</v>
      </c>
      <c r="ET8" s="743" t="s">
        <v>131</v>
      </c>
      <c r="EU8" s="744"/>
      <c r="EV8" s="483" t="s">
        <v>347</v>
      </c>
      <c r="EW8" s="743" t="s">
        <v>131</v>
      </c>
      <c r="EX8" s="744"/>
      <c r="EY8" s="483" t="s">
        <v>347</v>
      </c>
      <c r="EZ8" s="743" t="s">
        <v>131</v>
      </c>
      <c r="FA8" s="744"/>
      <c r="FB8" s="483" t="s">
        <v>347</v>
      </c>
      <c r="FC8" s="743" t="s">
        <v>131</v>
      </c>
      <c r="FD8" s="744"/>
      <c r="FE8" s="483" t="s">
        <v>347</v>
      </c>
      <c r="FF8" s="743" t="s">
        <v>131</v>
      </c>
      <c r="FG8" s="744"/>
      <c r="FH8" s="483" t="s">
        <v>347</v>
      </c>
      <c r="FI8" s="743" t="s">
        <v>131</v>
      </c>
      <c r="FJ8" s="744"/>
      <c r="FK8" s="483" t="s">
        <v>347</v>
      </c>
      <c r="FL8" s="743" t="s">
        <v>131</v>
      </c>
      <c r="FM8" s="744"/>
      <c r="FN8" s="483" t="s">
        <v>347</v>
      </c>
      <c r="FO8" s="743" t="s">
        <v>131</v>
      </c>
      <c r="FP8" s="744"/>
      <c r="FQ8" s="483" t="s">
        <v>347</v>
      </c>
      <c r="FR8" s="743" t="s">
        <v>131</v>
      </c>
      <c r="FS8" s="744"/>
      <c r="FT8" s="483" t="s">
        <v>347</v>
      </c>
      <c r="FU8" s="743" t="s">
        <v>131</v>
      </c>
      <c r="FV8" s="744"/>
      <c r="FW8" s="483" t="s">
        <v>347</v>
      </c>
      <c r="FX8" s="743" t="s">
        <v>131</v>
      </c>
      <c r="FY8" s="744"/>
      <c r="FZ8" s="483" t="s">
        <v>347</v>
      </c>
      <c r="GA8" s="743" t="s">
        <v>131</v>
      </c>
      <c r="GB8" s="744"/>
      <c r="GC8" s="483" t="s">
        <v>347</v>
      </c>
      <c r="GD8" s="743" t="s">
        <v>131</v>
      </c>
      <c r="GE8" s="744"/>
      <c r="GF8" s="483" t="s">
        <v>347</v>
      </c>
      <c r="GG8" s="743" t="s">
        <v>131</v>
      </c>
      <c r="GH8" s="744"/>
      <c r="GI8" s="483" t="s">
        <v>347</v>
      </c>
      <c r="GJ8" s="743" t="s">
        <v>131</v>
      </c>
      <c r="GK8" s="744"/>
      <c r="GL8" s="483" t="s">
        <v>347</v>
      </c>
      <c r="GM8" s="743" t="s">
        <v>131</v>
      </c>
      <c r="GN8" s="744"/>
      <c r="GO8" s="483" t="s">
        <v>347</v>
      </c>
      <c r="GP8" s="743" t="s">
        <v>131</v>
      </c>
      <c r="GQ8" s="744"/>
      <c r="GR8" s="483" t="s">
        <v>347</v>
      </c>
      <c r="GS8" s="743" t="s">
        <v>131</v>
      </c>
      <c r="GT8" s="744"/>
      <c r="GU8" s="483" t="s">
        <v>347</v>
      </c>
      <c r="GV8" s="743" t="s">
        <v>131</v>
      </c>
      <c r="GW8" s="744"/>
      <c r="GX8" s="483" t="s">
        <v>347</v>
      </c>
      <c r="GY8" s="743" t="s">
        <v>131</v>
      </c>
      <c r="GZ8" s="744"/>
      <c r="HA8" s="483" t="s">
        <v>347</v>
      </c>
      <c r="HB8" s="743" t="s">
        <v>131</v>
      </c>
      <c r="HC8" s="744"/>
      <c r="HD8" s="483" t="s">
        <v>347</v>
      </c>
      <c r="HE8" s="743" t="s">
        <v>131</v>
      </c>
      <c r="HF8" s="744"/>
      <c r="HG8" s="483" t="s">
        <v>347</v>
      </c>
      <c r="HH8" s="743" t="s">
        <v>131</v>
      </c>
      <c r="HI8" s="744"/>
      <c r="HJ8" s="483" t="s">
        <v>347</v>
      </c>
      <c r="HK8" s="743" t="s">
        <v>131</v>
      </c>
      <c r="HL8" s="744"/>
      <c r="HM8" s="483" t="s">
        <v>347</v>
      </c>
      <c r="HN8" s="743" t="s">
        <v>131</v>
      </c>
      <c r="HO8" s="744"/>
      <c r="HP8" s="483" t="s">
        <v>347</v>
      </c>
      <c r="HQ8" s="743" t="s">
        <v>131</v>
      </c>
      <c r="HR8" s="744"/>
      <c r="HS8" s="483" t="s">
        <v>347</v>
      </c>
      <c r="HT8" s="743" t="s">
        <v>131</v>
      </c>
      <c r="HU8" s="744"/>
      <c r="HV8" s="483" t="s">
        <v>347</v>
      </c>
      <c r="HW8" s="743" t="s">
        <v>131</v>
      </c>
      <c r="HX8" s="744"/>
      <c r="HY8" s="483" t="s">
        <v>347</v>
      </c>
      <c r="HZ8" s="743" t="s">
        <v>131</v>
      </c>
      <c r="IA8" s="744"/>
      <c r="IB8" s="483" t="s">
        <v>347</v>
      </c>
      <c r="IC8" s="743" t="s">
        <v>131</v>
      </c>
      <c r="ID8" s="744"/>
      <c r="IE8" s="483" t="s">
        <v>347</v>
      </c>
      <c r="IF8" s="743" t="s">
        <v>131</v>
      </c>
      <c r="IG8" s="744"/>
      <c r="IH8" s="483" t="s">
        <v>347</v>
      </c>
      <c r="II8" s="745" t="s">
        <v>131</v>
      </c>
      <c r="IJ8" s="745"/>
      <c r="IK8" s="484" t="s">
        <v>347</v>
      </c>
      <c r="IL8" s="743" t="s">
        <v>131</v>
      </c>
      <c r="IM8" s="744"/>
      <c r="IN8" s="483" t="s">
        <v>347</v>
      </c>
      <c r="IO8" s="743" t="s">
        <v>131</v>
      </c>
      <c r="IP8" s="744"/>
      <c r="IQ8" s="483" t="s">
        <v>347</v>
      </c>
      <c r="IR8" s="743" t="s">
        <v>131</v>
      </c>
      <c r="IS8" s="744"/>
      <c r="IT8" s="483" t="s">
        <v>347</v>
      </c>
      <c r="IU8" s="743" t="s">
        <v>131</v>
      </c>
      <c r="IV8" s="744"/>
      <c r="IW8" s="483" t="s">
        <v>347</v>
      </c>
      <c r="IX8" s="743" t="s">
        <v>131</v>
      </c>
      <c r="IY8" s="744"/>
      <c r="IZ8" s="483" t="s">
        <v>347</v>
      </c>
      <c r="JA8" s="743" t="s">
        <v>131</v>
      </c>
      <c r="JB8" s="744"/>
      <c r="JC8" s="483" t="s">
        <v>347</v>
      </c>
      <c r="JD8" s="743" t="s">
        <v>131</v>
      </c>
      <c r="JE8" s="744"/>
      <c r="JF8" s="483" t="s">
        <v>347</v>
      </c>
      <c r="JG8" s="743" t="s">
        <v>131</v>
      </c>
      <c r="JH8" s="744"/>
      <c r="JI8" s="483" t="s">
        <v>347</v>
      </c>
      <c r="JJ8" s="743" t="s">
        <v>131</v>
      </c>
      <c r="JK8" s="744"/>
      <c r="JL8" s="483" t="s">
        <v>347</v>
      </c>
      <c r="JM8" s="743" t="s">
        <v>131</v>
      </c>
      <c r="JN8" s="744"/>
      <c r="JO8" s="483" t="s">
        <v>347</v>
      </c>
      <c r="JP8" s="743" t="s">
        <v>131</v>
      </c>
      <c r="JQ8" s="744"/>
      <c r="JR8" s="483" t="s">
        <v>347</v>
      </c>
      <c r="JS8" s="743" t="s">
        <v>131</v>
      </c>
      <c r="JT8" s="744"/>
      <c r="JU8" s="483" t="s">
        <v>347</v>
      </c>
      <c r="JV8" s="743" t="s">
        <v>131</v>
      </c>
      <c r="JW8" s="744"/>
      <c r="JX8" s="483" t="s">
        <v>347</v>
      </c>
      <c r="JY8" s="743" t="s">
        <v>131</v>
      </c>
      <c r="JZ8" s="744"/>
      <c r="KA8" s="483" t="s">
        <v>347</v>
      </c>
      <c r="KB8" s="743" t="s">
        <v>131</v>
      </c>
      <c r="KC8" s="744"/>
      <c r="KD8" s="483" t="s">
        <v>347</v>
      </c>
      <c r="KE8" s="743" t="s">
        <v>131</v>
      </c>
      <c r="KF8" s="744"/>
      <c r="KG8" s="483" t="s">
        <v>347</v>
      </c>
      <c r="KH8" s="743" t="s">
        <v>131</v>
      </c>
      <c r="KI8" s="744"/>
      <c r="KJ8" s="483" t="s">
        <v>347</v>
      </c>
      <c r="KK8" s="743" t="s">
        <v>131</v>
      </c>
      <c r="KL8" s="744"/>
      <c r="KM8" s="483" t="s">
        <v>347</v>
      </c>
      <c r="KN8" s="743" t="s">
        <v>131</v>
      </c>
      <c r="KO8" s="744"/>
      <c r="KP8" s="483" t="s">
        <v>347</v>
      </c>
      <c r="KQ8" s="745" t="s">
        <v>131</v>
      </c>
      <c r="KR8" s="745"/>
      <c r="KS8" s="484" t="s">
        <v>347</v>
      </c>
      <c r="KT8" s="756"/>
      <c r="KU8" s="756"/>
    </row>
    <row r="9" spans="1:309" ht="15" customHeight="1" thickBot="1">
      <c r="A9" s="761"/>
      <c r="B9" s="761"/>
      <c r="C9" s="761"/>
      <c r="D9" s="764"/>
      <c r="E9" s="767"/>
      <c r="F9" s="506" t="s">
        <v>132</v>
      </c>
      <c r="G9" s="485" t="s">
        <v>38</v>
      </c>
      <c r="H9" s="486"/>
      <c r="I9" s="485" t="s">
        <v>132</v>
      </c>
      <c r="J9" s="485" t="s">
        <v>38</v>
      </c>
      <c r="K9" s="486"/>
      <c r="L9" s="485" t="s">
        <v>132</v>
      </c>
      <c r="M9" s="485" t="s">
        <v>38</v>
      </c>
      <c r="N9" s="486"/>
      <c r="O9" s="485" t="s">
        <v>132</v>
      </c>
      <c r="P9" s="485" t="s">
        <v>38</v>
      </c>
      <c r="Q9" s="486"/>
      <c r="R9" s="485" t="s">
        <v>132</v>
      </c>
      <c r="S9" s="485" t="s">
        <v>38</v>
      </c>
      <c r="T9" s="486"/>
      <c r="U9" s="485" t="s">
        <v>132</v>
      </c>
      <c r="V9" s="485" t="s">
        <v>38</v>
      </c>
      <c r="W9" s="486"/>
      <c r="X9" s="485" t="s">
        <v>132</v>
      </c>
      <c r="Y9" s="485" t="s">
        <v>38</v>
      </c>
      <c r="Z9" s="486"/>
      <c r="AA9" s="485" t="s">
        <v>132</v>
      </c>
      <c r="AB9" s="485" t="s">
        <v>38</v>
      </c>
      <c r="AC9" s="486"/>
      <c r="AD9" s="485" t="s">
        <v>132</v>
      </c>
      <c r="AE9" s="485" t="s">
        <v>38</v>
      </c>
      <c r="AF9" s="486"/>
      <c r="AG9" s="485" t="s">
        <v>132</v>
      </c>
      <c r="AH9" s="485" t="s">
        <v>38</v>
      </c>
      <c r="AI9" s="486"/>
      <c r="AJ9" s="485" t="s">
        <v>132</v>
      </c>
      <c r="AK9" s="485" t="s">
        <v>38</v>
      </c>
      <c r="AL9" s="486"/>
      <c r="AM9" s="485" t="s">
        <v>132</v>
      </c>
      <c r="AN9" s="485" t="s">
        <v>38</v>
      </c>
      <c r="AO9" s="486"/>
      <c r="AP9" s="485" t="s">
        <v>132</v>
      </c>
      <c r="AQ9" s="485" t="s">
        <v>38</v>
      </c>
      <c r="AR9" s="486"/>
      <c r="AS9" s="485" t="s">
        <v>132</v>
      </c>
      <c r="AT9" s="485" t="s">
        <v>38</v>
      </c>
      <c r="AU9" s="486"/>
      <c r="AV9" s="485" t="s">
        <v>132</v>
      </c>
      <c r="AW9" s="485" t="s">
        <v>38</v>
      </c>
      <c r="AX9" s="486"/>
      <c r="AY9" s="485" t="s">
        <v>132</v>
      </c>
      <c r="AZ9" s="485" t="s">
        <v>38</v>
      </c>
      <c r="BA9" s="486"/>
      <c r="BB9" s="485" t="s">
        <v>132</v>
      </c>
      <c r="BC9" s="485" t="s">
        <v>38</v>
      </c>
      <c r="BD9" s="486"/>
      <c r="BE9" s="485" t="s">
        <v>132</v>
      </c>
      <c r="BF9" s="485" t="s">
        <v>38</v>
      </c>
      <c r="BG9" s="486"/>
      <c r="BH9" s="485" t="s">
        <v>132</v>
      </c>
      <c r="BI9" s="485" t="s">
        <v>38</v>
      </c>
      <c r="BJ9" s="486"/>
      <c r="BK9" s="485" t="s">
        <v>132</v>
      </c>
      <c r="BL9" s="485" t="s">
        <v>38</v>
      </c>
      <c r="BM9" s="486"/>
      <c r="BN9" s="485" t="s">
        <v>132</v>
      </c>
      <c r="BO9" s="485" t="s">
        <v>38</v>
      </c>
      <c r="BP9" s="486"/>
      <c r="BQ9" s="485" t="s">
        <v>132</v>
      </c>
      <c r="BR9" s="485" t="s">
        <v>38</v>
      </c>
      <c r="BS9" s="486"/>
      <c r="BT9" s="485" t="s">
        <v>132</v>
      </c>
      <c r="BU9" s="485" t="s">
        <v>38</v>
      </c>
      <c r="BV9" s="486"/>
      <c r="BW9" s="485" t="s">
        <v>132</v>
      </c>
      <c r="BX9" s="485" t="s">
        <v>38</v>
      </c>
      <c r="BY9" s="486"/>
      <c r="BZ9" s="485" t="s">
        <v>132</v>
      </c>
      <c r="CA9" s="485" t="s">
        <v>38</v>
      </c>
      <c r="CB9" s="486"/>
      <c r="CC9" s="485" t="s">
        <v>132</v>
      </c>
      <c r="CD9" s="485" t="s">
        <v>38</v>
      </c>
      <c r="CE9" s="486"/>
      <c r="CF9" s="485" t="s">
        <v>132</v>
      </c>
      <c r="CG9" s="485" t="s">
        <v>38</v>
      </c>
      <c r="CH9" s="486"/>
      <c r="CI9" s="485" t="s">
        <v>132</v>
      </c>
      <c r="CJ9" s="485" t="s">
        <v>38</v>
      </c>
      <c r="CK9" s="486"/>
      <c r="CL9" s="485" t="s">
        <v>132</v>
      </c>
      <c r="CM9" s="485" t="s">
        <v>38</v>
      </c>
      <c r="CN9" s="486"/>
      <c r="CO9" s="485" t="s">
        <v>132</v>
      </c>
      <c r="CP9" s="485" t="s">
        <v>38</v>
      </c>
      <c r="CQ9" s="486"/>
      <c r="CR9" s="485" t="s">
        <v>132</v>
      </c>
      <c r="CS9" s="485" t="s">
        <v>38</v>
      </c>
      <c r="CT9" s="486"/>
      <c r="CU9" s="485" t="s">
        <v>132</v>
      </c>
      <c r="CV9" s="485" t="s">
        <v>38</v>
      </c>
      <c r="CW9" s="486"/>
      <c r="CX9" s="485" t="s">
        <v>132</v>
      </c>
      <c r="CY9" s="485" t="s">
        <v>38</v>
      </c>
      <c r="CZ9" s="486"/>
      <c r="DA9" s="485" t="s">
        <v>132</v>
      </c>
      <c r="DB9" s="485" t="s">
        <v>38</v>
      </c>
      <c r="DC9" s="486"/>
      <c r="DD9" s="485" t="s">
        <v>132</v>
      </c>
      <c r="DE9" s="485" t="s">
        <v>38</v>
      </c>
      <c r="DF9" s="486"/>
      <c r="DG9" s="485" t="s">
        <v>132</v>
      </c>
      <c r="DH9" s="485" t="s">
        <v>38</v>
      </c>
      <c r="DI9" s="486"/>
      <c r="DJ9" s="485" t="s">
        <v>132</v>
      </c>
      <c r="DK9" s="485" t="s">
        <v>38</v>
      </c>
      <c r="DL9" s="486"/>
      <c r="DM9" s="485" t="s">
        <v>132</v>
      </c>
      <c r="DN9" s="485" t="s">
        <v>38</v>
      </c>
      <c r="DO9" s="486"/>
      <c r="DP9" s="485" t="s">
        <v>132</v>
      </c>
      <c r="DQ9" s="485" t="s">
        <v>38</v>
      </c>
      <c r="DR9" s="486"/>
      <c r="DS9" s="485" t="s">
        <v>132</v>
      </c>
      <c r="DT9" s="485" t="s">
        <v>38</v>
      </c>
      <c r="DU9" s="486"/>
      <c r="DV9" s="485" t="s">
        <v>132</v>
      </c>
      <c r="DW9" s="485" t="s">
        <v>38</v>
      </c>
      <c r="DX9" s="486"/>
      <c r="DY9" s="485" t="s">
        <v>132</v>
      </c>
      <c r="DZ9" s="485" t="s">
        <v>38</v>
      </c>
      <c r="EA9" s="486"/>
      <c r="EB9" s="485" t="s">
        <v>132</v>
      </c>
      <c r="EC9" s="485" t="s">
        <v>38</v>
      </c>
      <c r="ED9" s="483"/>
      <c r="EE9" s="485" t="s">
        <v>132</v>
      </c>
      <c r="EF9" s="485" t="s">
        <v>38</v>
      </c>
      <c r="EG9" s="486"/>
      <c r="EH9" s="485" t="s">
        <v>132</v>
      </c>
      <c r="EI9" s="485" t="s">
        <v>38</v>
      </c>
      <c r="EJ9" s="486"/>
      <c r="EK9" s="485" t="s">
        <v>132</v>
      </c>
      <c r="EL9" s="485" t="s">
        <v>38</v>
      </c>
      <c r="EM9" s="486"/>
      <c r="EN9" s="485" t="s">
        <v>132</v>
      </c>
      <c r="EO9" s="485" t="s">
        <v>38</v>
      </c>
      <c r="EP9" s="486"/>
      <c r="EQ9" s="485" t="s">
        <v>132</v>
      </c>
      <c r="ER9" s="485" t="s">
        <v>38</v>
      </c>
      <c r="ES9" s="486"/>
      <c r="ET9" s="485" t="s">
        <v>132</v>
      </c>
      <c r="EU9" s="485" t="s">
        <v>38</v>
      </c>
      <c r="EV9" s="486"/>
      <c r="EW9" s="485" t="s">
        <v>132</v>
      </c>
      <c r="EX9" s="485" t="s">
        <v>38</v>
      </c>
      <c r="EY9" s="486"/>
      <c r="EZ9" s="485" t="s">
        <v>132</v>
      </c>
      <c r="FA9" s="485" t="s">
        <v>38</v>
      </c>
      <c r="FB9" s="486"/>
      <c r="FC9" s="485" t="s">
        <v>132</v>
      </c>
      <c r="FD9" s="485" t="s">
        <v>38</v>
      </c>
      <c r="FE9" s="486"/>
      <c r="FF9" s="485" t="s">
        <v>132</v>
      </c>
      <c r="FG9" s="485" t="s">
        <v>38</v>
      </c>
      <c r="FH9" s="486"/>
      <c r="FI9" s="485" t="s">
        <v>132</v>
      </c>
      <c r="FJ9" s="485" t="s">
        <v>38</v>
      </c>
      <c r="FK9" s="486"/>
      <c r="FL9" s="485" t="s">
        <v>132</v>
      </c>
      <c r="FM9" s="485" t="s">
        <v>38</v>
      </c>
      <c r="FN9" s="486"/>
      <c r="FO9" s="485" t="s">
        <v>132</v>
      </c>
      <c r="FP9" s="485" t="s">
        <v>38</v>
      </c>
      <c r="FQ9" s="486"/>
      <c r="FR9" s="485" t="s">
        <v>132</v>
      </c>
      <c r="FS9" s="485" t="s">
        <v>38</v>
      </c>
      <c r="FT9" s="486"/>
      <c r="FU9" s="485" t="s">
        <v>132</v>
      </c>
      <c r="FV9" s="485" t="s">
        <v>38</v>
      </c>
      <c r="FW9" s="486"/>
      <c r="FX9" s="485" t="s">
        <v>132</v>
      </c>
      <c r="FY9" s="485" t="s">
        <v>38</v>
      </c>
      <c r="FZ9" s="486"/>
      <c r="GA9" s="485" t="s">
        <v>132</v>
      </c>
      <c r="GB9" s="485" t="s">
        <v>38</v>
      </c>
      <c r="GC9" s="486"/>
      <c r="GD9" s="485" t="s">
        <v>132</v>
      </c>
      <c r="GE9" s="485" t="s">
        <v>38</v>
      </c>
      <c r="GF9" s="486"/>
      <c r="GG9" s="485" t="s">
        <v>132</v>
      </c>
      <c r="GH9" s="485" t="s">
        <v>38</v>
      </c>
      <c r="GI9" s="486"/>
      <c r="GJ9" s="485" t="s">
        <v>132</v>
      </c>
      <c r="GK9" s="485" t="s">
        <v>38</v>
      </c>
      <c r="GL9" s="486"/>
      <c r="GM9" s="485" t="s">
        <v>132</v>
      </c>
      <c r="GN9" s="485" t="s">
        <v>38</v>
      </c>
      <c r="GO9" s="486"/>
      <c r="GP9" s="485" t="s">
        <v>132</v>
      </c>
      <c r="GQ9" s="485" t="s">
        <v>38</v>
      </c>
      <c r="GR9" s="486"/>
      <c r="GS9" s="485" t="s">
        <v>132</v>
      </c>
      <c r="GT9" s="485" t="s">
        <v>38</v>
      </c>
      <c r="GU9" s="486"/>
      <c r="GV9" s="485" t="s">
        <v>132</v>
      </c>
      <c r="GW9" s="485" t="s">
        <v>38</v>
      </c>
      <c r="GX9" s="486"/>
      <c r="GY9" s="485" t="s">
        <v>132</v>
      </c>
      <c r="GZ9" s="485" t="s">
        <v>38</v>
      </c>
      <c r="HA9" s="486"/>
      <c r="HB9" s="485" t="s">
        <v>132</v>
      </c>
      <c r="HC9" s="485" t="s">
        <v>38</v>
      </c>
      <c r="HD9" s="486"/>
      <c r="HE9" s="485" t="s">
        <v>132</v>
      </c>
      <c r="HF9" s="485" t="s">
        <v>38</v>
      </c>
      <c r="HG9" s="486"/>
      <c r="HH9" s="485" t="s">
        <v>132</v>
      </c>
      <c r="HI9" s="485" t="s">
        <v>38</v>
      </c>
      <c r="HJ9" s="486"/>
      <c r="HK9" s="485" t="s">
        <v>132</v>
      </c>
      <c r="HL9" s="485" t="s">
        <v>38</v>
      </c>
      <c r="HM9" s="486"/>
      <c r="HN9" s="485" t="s">
        <v>132</v>
      </c>
      <c r="HO9" s="485" t="s">
        <v>38</v>
      </c>
      <c r="HP9" s="486"/>
      <c r="HQ9" s="485" t="s">
        <v>132</v>
      </c>
      <c r="HR9" s="485" t="s">
        <v>38</v>
      </c>
      <c r="HS9" s="486"/>
      <c r="HT9" s="485" t="s">
        <v>132</v>
      </c>
      <c r="HU9" s="485" t="s">
        <v>38</v>
      </c>
      <c r="HV9" s="486"/>
      <c r="HW9" s="485" t="s">
        <v>132</v>
      </c>
      <c r="HX9" s="485" t="s">
        <v>38</v>
      </c>
      <c r="HY9" s="486"/>
      <c r="HZ9" s="485" t="s">
        <v>132</v>
      </c>
      <c r="IA9" s="485" t="s">
        <v>38</v>
      </c>
      <c r="IB9" s="486"/>
      <c r="IC9" s="485" t="s">
        <v>132</v>
      </c>
      <c r="ID9" s="485" t="s">
        <v>38</v>
      </c>
      <c r="IE9" s="486"/>
      <c r="IF9" s="485" t="s">
        <v>132</v>
      </c>
      <c r="IG9" s="485" t="s">
        <v>38</v>
      </c>
      <c r="IH9" s="486"/>
      <c r="II9" s="485" t="s">
        <v>132</v>
      </c>
      <c r="IJ9" s="485" t="s">
        <v>38</v>
      </c>
      <c r="IK9" s="486"/>
      <c r="IL9" s="485" t="s">
        <v>132</v>
      </c>
      <c r="IM9" s="485" t="s">
        <v>38</v>
      </c>
      <c r="IN9" s="486"/>
      <c r="IO9" s="485" t="s">
        <v>132</v>
      </c>
      <c r="IP9" s="485" t="s">
        <v>38</v>
      </c>
      <c r="IQ9" s="486"/>
      <c r="IR9" s="485" t="s">
        <v>132</v>
      </c>
      <c r="IS9" s="485" t="s">
        <v>38</v>
      </c>
      <c r="IT9" s="486"/>
      <c r="IU9" s="485" t="s">
        <v>132</v>
      </c>
      <c r="IV9" s="485" t="s">
        <v>38</v>
      </c>
      <c r="IW9" s="486"/>
      <c r="IX9" s="485" t="s">
        <v>132</v>
      </c>
      <c r="IY9" s="485" t="s">
        <v>38</v>
      </c>
      <c r="IZ9" s="486"/>
      <c r="JA9" s="485" t="s">
        <v>132</v>
      </c>
      <c r="JB9" s="485" t="s">
        <v>38</v>
      </c>
      <c r="JC9" s="486"/>
      <c r="JD9" s="485" t="s">
        <v>132</v>
      </c>
      <c r="JE9" s="485" t="s">
        <v>38</v>
      </c>
      <c r="JF9" s="486"/>
      <c r="JG9" s="485" t="s">
        <v>132</v>
      </c>
      <c r="JH9" s="485" t="s">
        <v>38</v>
      </c>
      <c r="JI9" s="486"/>
      <c r="JJ9" s="485" t="s">
        <v>132</v>
      </c>
      <c r="JK9" s="485" t="s">
        <v>38</v>
      </c>
      <c r="JL9" s="486" t="s">
        <v>374</v>
      </c>
      <c r="JM9" s="485" t="s">
        <v>132</v>
      </c>
      <c r="JN9" s="485" t="s">
        <v>38</v>
      </c>
      <c r="JO9" s="486" t="s">
        <v>374</v>
      </c>
      <c r="JP9" s="485" t="s">
        <v>132</v>
      </c>
      <c r="JQ9" s="485" t="s">
        <v>38</v>
      </c>
      <c r="JR9" s="486" t="s">
        <v>374</v>
      </c>
      <c r="JS9" s="485" t="s">
        <v>132</v>
      </c>
      <c r="JT9" s="485" t="s">
        <v>38</v>
      </c>
      <c r="JU9" s="486" t="s">
        <v>374</v>
      </c>
      <c r="JV9" s="485" t="s">
        <v>132</v>
      </c>
      <c r="JW9" s="485" t="s">
        <v>38</v>
      </c>
      <c r="JX9" s="486" t="s">
        <v>374</v>
      </c>
      <c r="JY9" s="485" t="s">
        <v>132</v>
      </c>
      <c r="JZ9" s="485" t="s">
        <v>38</v>
      </c>
      <c r="KA9" s="486" t="s">
        <v>374</v>
      </c>
      <c r="KB9" s="485" t="s">
        <v>132</v>
      </c>
      <c r="KC9" s="485" t="s">
        <v>38</v>
      </c>
      <c r="KD9" s="486" t="s">
        <v>374</v>
      </c>
      <c r="KE9" s="485" t="s">
        <v>132</v>
      </c>
      <c r="KF9" s="485" t="s">
        <v>38</v>
      </c>
      <c r="KG9" s="486" t="s">
        <v>374</v>
      </c>
      <c r="KH9" s="485" t="s">
        <v>132</v>
      </c>
      <c r="KI9" s="485" t="s">
        <v>38</v>
      </c>
      <c r="KJ9" s="486" t="s">
        <v>374</v>
      </c>
      <c r="KK9" s="485" t="s">
        <v>132</v>
      </c>
      <c r="KL9" s="485" t="s">
        <v>38</v>
      </c>
      <c r="KM9" s="486" t="s">
        <v>374</v>
      </c>
      <c r="KN9" s="485" t="s">
        <v>132</v>
      </c>
      <c r="KO9" s="485" t="s">
        <v>38</v>
      </c>
      <c r="KP9" s="486" t="s">
        <v>374</v>
      </c>
      <c r="KQ9" s="485" t="s">
        <v>132</v>
      </c>
      <c r="KR9" s="485" t="s">
        <v>38</v>
      </c>
      <c r="KS9" s="486" t="s">
        <v>374</v>
      </c>
      <c r="KT9" s="756"/>
      <c r="KU9" s="756"/>
    </row>
    <row r="10" spans="1:309" ht="15" customHeight="1">
      <c r="A10" s="502">
        <f>+Report1!A9</f>
        <v>46113</v>
      </c>
      <c r="B10" s="503" t="str">
        <f>+Report1!B9</f>
        <v>Napkin</v>
      </c>
      <c r="C10" s="504" t="str">
        <f>+Report1!C9</f>
        <v>12</v>
      </c>
      <c r="D10" s="505">
        <f>+Report1!P9</f>
        <v>38.25</v>
      </c>
      <c r="E10" s="507">
        <f>+Report1!R9</f>
        <v>36.936999999999998</v>
      </c>
      <c r="F10" s="487"/>
      <c r="G10" s="488">
        <f t="shared" ref="G10:G39" si="0">+F10/$E10</f>
        <v>0</v>
      </c>
      <c r="H10" s="489">
        <f>+F10*$H$9</f>
        <v>0</v>
      </c>
      <c r="I10" s="487">
        <v>523.25581395348854</v>
      </c>
      <c r="J10" s="488">
        <f t="shared" ref="J10:J39" si="1">+I10/$E10</f>
        <v>14.166169801377713</v>
      </c>
      <c r="K10" s="489">
        <f>+I10*$H$9</f>
        <v>0</v>
      </c>
      <c r="L10" s="487"/>
      <c r="M10" s="488">
        <f t="shared" ref="M10:M39" si="2">+L10/$E10</f>
        <v>0</v>
      </c>
      <c r="N10" s="489">
        <f>+L10*$H$9</f>
        <v>0</v>
      </c>
      <c r="O10" s="487">
        <v>9</v>
      </c>
      <c r="P10" s="488">
        <f t="shared" ref="P10:P39" si="3">+O10/$E10</f>
        <v>0.24365812058369657</v>
      </c>
      <c r="Q10" s="489">
        <f>+O10*$H$9</f>
        <v>0</v>
      </c>
      <c r="R10" s="487">
        <v>7.6875</v>
      </c>
      <c r="S10" s="488">
        <f t="shared" ref="S10:S39" si="4">+R10/$E10</f>
        <v>0.20812464466524083</v>
      </c>
      <c r="T10" s="489">
        <f>+R10*$H$9</f>
        <v>0</v>
      </c>
      <c r="U10" s="487">
        <v>3.1250000000000142</v>
      </c>
      <c r="V10" s="488">
        <f t="shared" ref="V10:V39" si="5">+U10/$E10</f>
        <v>8.4603514091561693E-2</v>
      </c>
      <c r="W10" s="489">
        <f>+U10*$H$9</f>
        <v>0</v>
      </c>
      <c r="X10" s="487"/>
      <c r="Y10" s="488">
        <f t="shared" ref="Y10:Y39" si="6">+X10/$E10</f>
        <v>0</v>
      </c>
      <c r="Z10" s="489">
        <f>+X10*$H$9</f>
        <v>0</v>
      </c>
      <c r="AA10" s="487"/>
      <c r="AB10" s="488">
        <f t="shared" ref="AB10:AB39" si="7">+AA10/$E10</f>
        <v>0</v>
      </c>
      <c r="AC10" s="489">
        <f>+AA10*$H$9</f>
        <v>0</v>
      </c>
      <c r="AD10" s="487"/>
      <c r="AE10" s="488">
        <f t="shared" ref="AE10:AE39" si="8">+AD10/$E10</f>
        <v>0</v>
      </c>
      <c r="AF10" s="489">
        <f>+AD10*$H$9</f>
        <v>0</v>
      </c>
      <c r="AG10" s="487"/>
      <c r="AH10" s="488">
        <f t="shared" ref="AH10:AH39" si="9">+AG10/$E10</f>
        <v>0</v>
      </c>
      <c r="AI10" s="489">
        <f>+AG10*$H$9</f>
        <v>0</v>
      </c>
      <c r="AJ10" s="487"/>
      <c r="AK10" s="488">
        <f t="shared" ref="AK10:AK39" si="10">+AJ10/$E10</f>
        <v>0</v>
      </c>
      <c r="AL10" s="489">
        <f>+AJ10*$H$9</f>
        <v>0</v>
      </c>
      <c r="AM10" s="487">
        <v>46.153846153846189</v>
      </c>
      <c r="AN10" s="488">
        <f t="shared" ref="AN10:AN39" si="11">+AM10/$E10</f>
        <v>1.2495288235061373</v>
      </c>
      <c r="AO10" s="489">
        <f>+AM10*$H$9</f>
        <v>0</v>
      </c>
      <c r="AP10" s="487"/>
      <c r="AQ10" s="488">
        <f t="shared" ref="AQ10:AQ39" si="12">+AP10/$E10</f>
        <v>0</v>
      </c>
      <c r="AR10" s="489">
        <f>+AP10*$H$9</f>
        <v>0</v>
      </c>
      <c r="AS10" s="487"/>
      <c r="AT10" s="488">
        <f t="shared" ref="AT10:AT39" si="13">+AS10/$E10</f>
        <v>0</v>
      </c>
      <c r="AU10" s="489">
        <f>+AS10*$H$9</f>
        <v>0</v>
      </c>
      <c r="AV10" s="487">
        <v>5.5499999999999545</v>
      </c>
      <c r="AW10" s="488">
        <f t="shared" ref="AW10:AW39" si="14">+AV10/$E10</f>
        <v>0.15025584102661166</v>
      </c>
      <c r="AX10" s="489">
        <f>+AV10*$H$9</f>
        <v>0</v>
      </c>
      <c r="AY10" s="487">
        <v>58.333333333333258</v>
      </c>
      <c r="AZ10" s="488">
        <f t="shared" ref="AZ10:AZ39" si="15">+AY10/$E10</f>
        <v>1.5792655963758091</v>
      </c>
      <c r="BA10" s="489">
        <f>+AY10*$H$9</f>
        <v>0</v>
      </c>
      <c r="BB10" s="487"/>
      <c r="BC10" s="488">
        <f t="shared" ref="BC10:BC39" si="16">+BB10/$E10</f>
        <v>0</v>
      </c>
      <c r="BD10" s="489">
        <f>+BB10*$H$9</f>
        <v>0</v>
      </c>
      <c r="BE10" s="487"/>
      <c r="BF10" s="488">
        <f t="shared" ref="BF10:BF39" si="17">+BE10/$E10</f>
        <v>0</v>
      </c>
      <c r="BG10" s="489">
        <f>+BE10*$H$9</f>
        <v>0</v>
      </c>
      <c r="BH10" s="487"/>
      <c r="BI10" s="488">
        <f t="shared" ref="BI10:BI39" si="18">+BH10/$E10</f>
        <v>0</v>
      </c>
      <c r="BJ10" s="489">
        <f>+BH10*$H$9</f>
        <v>0</v>
      </c>
      <c r="BK10" s="487"/>
      <c r="BL10" s="488">
        <f t="shared" ref="BL10:BL39" si="19">+BK10/$E10</f>
        <v>0</v>
      </c>
      <c r="BM10" s="489">
        <f>+BK10*$H$9</f>
        <v>0</v>
      </c>
      <c r="BN10" s="487">
        <v>27.839506172839549</v>
      </c>
      <c r="BO10" s="488">
        <f t="shared" ref="BO10:BO39" si="20">+BN10/$E10</f>
        <v>0.75370241689470041</v>
      </c>
      <c r="BP10" s="489">
        <f>+BN10*$H$9</f>
        <v>0</v>
      </c>
      <c r="BQ10" s="487"/>
      <c r="BR10" s="488">
        <f t="shared" ref="BR10:BR39" si="21">+BQ10/$E10</f>
        <v>0</v>
      </c>
      <c r="BS10" s="489">
        <f>+BQ10*$H$9</f>
        <v>0</v>
      </c>
      <c r="BT10" s="487"/>
      <c r="BU10" s="488">
        <f t="shared" ref="BU10:BU39" si="22">+BT10/$E10</f>
        <v>0</v>
      </c>
      <c r="BV10" s="489">
        <f>+BT10*$H$9</f>
        <v>0</v>
      </c>
      <c r="BW10" s="487"/>
      <c r="BX10" s="488">
        <f t="shared" ref="BX10:BX39" si="23">+BW10/$E10</f>
        <v>0</v>
      </c>
      <c r="BY10" s="489">
        <f>+BW10*$H$9</f>
        <v>0</v>
      </c>
      <c r="BZ10" s="487"/>
      <c r="CA10" s="488">
        <f t="shared" ref="CA10:CA39" si="24">+BZ10/$E10</f>
        <v>0</v>
      </c>
      <c r="CB10" s="489">
        <f>+BZ10*$H$9</f>
        <v>0</v>
      </c>
      <c r="CC10" s="487">
        <v>2</v>
      </c>
      <c r="CD10" s="488">
        <f t="shared" ref="CD10:CD39" si="25">+CC10/$E10</f>
        <v>5.4146249018599241E-2</v>
      </c>
      <c r="CE10" s="489">
        <f>+CC10*$H$9</f>
        <v>0</v>
      </c>
      <c r="CF10" s="487">
        <v>4</v>
      </c>
      <c r="CG10" s="488">
        <f t="shared" ref="CG10:CG39" si="26">+CF10/$E10</f>
        <v>0.10829249803719848</v>
      </c>
      <c r="CH10" s="489">
        <f>+CF10*$H$9</f>
        <v>0</v>
      </c>
      <c r="CI10" s="487"/>
      <c r="CJ10" s="488">
        <f t="shared" ref="CJ10:CJ39" si="27">+CI10/$E10</f>
        <v>0</v>
      </c>
      <c r="CK10" s="489">
        <f>+CI10*$H$9</f>
        <v>0</v>
      </c>
      <c r="CL10" s="487"/>
      <c r="CM10" s="488">
        <f t="shared" ref="CM10:CM39" si="28">+CL10/$E10</f>
        <v>0</v>
      </c>
      <c r="CN10" s="489">
        <f>+CL10*$H$9</f>
        <v>0</v>
      </c>
      <c r="CO10" s="487"/>
      <c r="CP10" s="488">
        <f t="shared" ref="CP10:CP39" si="29">+CO10/$E10</f>
        <v>0</v>
      </c>
      <c r="CQ10" s="489">
        <f>+CO10*$H$9</f>
        <v>0</v>
      </c>
      <c r="CR10" s="487"/>
      <c r="CS10" s="488">
        <f t="shared" ref="CS10:CS39" si="30">+CR10/$E10</f>
        <v>0</v>
      </c>
      <c r="CT10" s="489">
        <f>+CR10*$H$9</f>
        <v>0</v>
      </c>
      <c r="CU10" s="487"/>
      <c r="CV10" s="488">
        <f t="shared" ref="CV10:CV39" si="31">+CU10/$E10</f>
        <v>0</v>
      </c>
      <c r="CW10" s="489">
        <f>+CU10*$H$9</f>
        <v>0</v>
      </c>
      <c r="CX10" s="487"/>
      <c r="CY10" s="488">
        <f t="shared" ref="CY10:CY39" si="32">+CX10/$E10</f>
        <v>0</v>
      </c>
      <c r="CZ10" s="489">
        <f>+CX10*$H$9</f>
        <v>0</v>
      </c>
      <c r="DA10" s="487"/>
      <c r="DB10" s="488">
        <f t="shared" ref="DB10:DB39" si="33">+DA10/$E10</f>
        <v>0</v>
      </c>
      <c r="DC10" s="489">
        <f>+DA10*$H$9</f>
        <v>0</v>
      </c>
      <c r="DD10" s="487"/>
      <c r="DE10" s="488">
        <f t="shared" ref="DE10:DE39" si="34">+DD10/$E10</f>
        <v>0</v>
      </c>
      <c r="DF10" s="489">
        <f>+DD10*$H$9</f>
        <v>0</v>
      </c>
      <c r="DG10" s="487"/>
      <c r="DH10" s="488">
        <f t="shared" ref="DH10:DH39" si="35">+DG10/$E10</f>
        <v>0</v>
      </c>
      <c r="DI10" s="489">
        <v>0</v>
      </c>
      <c r="DJ10" s="487"/>
      <c r="DK10" s="488">
        <f t="shared" ref="DK10:DK39" si="36">+DJ10/$E10</f>
        <v>0</v>
      </c>
      <c r="DL10" s="489">
        <f>+DJ10*$H$9</f>
        <v>0</v>
      </c>
      <c r="DM10" s="487"/>
      <c r="DN10" s="488">
        <f t="shared" ref="DN10:DN39" si="37">+DM10/$E10</f>
        <v>0</v>
      </c>
      <c r="DO10" s="489">
        <f>+DM10*$H$9</f>
        <v>0</v>
      </c>
      <c r="DP10" s="487"/>
      <c r="DQ10" s="488">
        <f t="shared" ref="DQ10:DQ39" si="38">+DP10/$E10</f>
        <v>0</v>
      </c>
      <c r="DR10" s="489">
        <f>+DP10*$H$9</f>
        <v>0</v>
      </c>
      <c r="DS10" s="487"/>
      <c r="DT10" s="488">
        <f t="shared" ref="DT10:DT39" si="39">+DS10/$E10</f>
        <v>0</v>
      </c>
      <c r="DU10" s="489">
        <f>+DS10*$H$9</f>
        <v>0</v>
      </c>
      <c r="DV10" s="487"/>
      <c r="DW10" s="488">
        <f t="shared" ref="DW10:DW39" si="40">+DV10/$E10</f>
        <v>0</v>
      </c>
      <c r="DX10" s="489">
        <f>+DV10*$H$9</f>
        <v>0</v>
      </c>
      <c r="DY10" s="487">
        <v>15.1</v>
      </c>
      <c r="DZ10" s="488">
        <f t="shared" ref="DZ10:DZ39" si="41">+DY10/$E10</f>
        <v>0.40880418009042424</v>
      </c>
      <c r="EA10" s="489">
        <f>+DY10*$H$9</f>
        <v>0</v>
      </c>
      <c r="EB10" s="487">
        <v>21.802325581395337</v>
      </c>
      <c r="EC10" s="488">
        <f t="shared" ref="EC10:EC39" si="42">+EB10/$E10</f>
        <v>0.59025707505740421</v>
      </c>
      <c r="ED10" s="489">
        <f>+EB10*$H$9</f>
        <v>0</v>
      </c>
      <c r="EE10" s="487">
        <v>6</v>
      </c>
      <c r="EF10" s="488">
        <f t="shared" ref="EF10:EF39" si="43">+EE10/$E10</f>
        <v>0.16243874705579772</v>
      </c>
      <c r="EG10" s="489">
        <f>+EE10*$H$9</f>
        <v>0</v>
      </c>
      <c r="EH10" s="487"/>
      <c r="EI10" s="488">
        <f t="shared" ref="EI10:EI39" si="44">+EH10/$E10</f>
        <v>0</v>
      </c>
      <c r="EJ10" s="489">
        <f>+EH10*$H$9</f>
        <v>0</v>
      </c>
      <c r="EK10" s="487"/>
      <c r="EL10" s="488">
        <f t="shared" ref="EL10:EL39" si="45">+EK10/$E10</f>
        <v>0</v>
      </c>
      <c r="EM10" s="489">
        <f>+EK10*$H$9</f>
        <v>0</v>
      </c>
      <c r="EN10" s="487"/>
      <c r="EO10" s="488">
        <f t="shared" ref="EO10:EO39" si="46">+EN10/$E10</f>
        <v>0</v>
      </c>
      <c r="EP10" s="489">
        <f>+EN10*$H$9</f>
        <v>0</v>
      </c>
      <c r="EQ10" s="487"/>
      <c r="ER10" s="488">
        <f t="shared" ref="ER10:ER39" si="47">+EQ10/$E10</f>
        <v>0</v>
      </c>
      <c r="ES10" s="489">
        <f>+EQ10*$H$9</f>
        <v>0</v>
      </c>
      <c r="ET10" s="487"/>
      <c r="EU10" s="488">
        <f t="shared" ref="EU10:EU39" si="48">+ET10/$E10</f>
        <v>0</v>
      </c>
      <c r="EV10" s="489">
        <f>+ET10*$H$9</f>
        <v>0</v>
      </c>
      <c r="EW10" s="487"/>
      <c r="EX10" s="488">
        <f t="shared" ref="EX10:EX39" si="49">+EW10/$E10</f>
        <v>0</v>
      </c>
      <c r="EY10" s="489">
        <f>+EW10*$H$9</f>
        <v>0</v>
      </c>
      <c r="EZ10" s="487"/>
      <c r="FA10" s="488">
        <f t="shared" ref="FA10:FA39" si="50">+EZ10/$E10</f>
        <v>0</v>
      </c>
      <c r="FB10" s="489">
        <f>+EZ10*$H$9</f>
        <v>0</v>
      </c>
      <c r="FC10" s="487"/>
      <c r="FD10" s="488">
        <f t="shared" ref="FD10:FD39" si="51">+FC10/$E10</f>
        <v>0</v>
      </c>
      <c r="FE10" s="489">
        <f>+FC10*$H$9</f>
        <v>0</v>
      </c>
      <c r="FF10" s="487"/>
      <c r="FG10" s="488">
        <f t="shared" ref="FG10:FG39" si="52">+FF10/$E10</f>
        <v>0</v>
      </c>
      <c r="FH10" s="489">
        <f>+FF10*$H$9</f>
        <v>0</v>
      </c>
      <c r="FI10" s="487"/>
      <c r="FJ10" s="488">
        <f t="shared" ref="FJ10:FJ39" si="53">+FI10/$E10</f>
        <v>0</v>
      </c>
      <c r="FK10" s="489">
        <f>+FI10*$H$9</f>
        <v>0</v>
      </c>
      <c r="FL10" s="487"/>
      <c r="FM10" s="488">
        <f t="shared" ref="FM10:FM39" si="54">+FL10/$E10</f>
        <v>0</v>
      </c>
      <c r="FN10" s="489">
        <f>+FL10*$H$9</f>
        <v>0</v>
      </c>
      <c r="FO10" s="487"/>
      <c r="FP10" s="488">
        <f t="shared" ref="FP10:FP39" si="55">+FO10/$E10</f>
        <v>0</v>
      </c>
      <c r="FQ10" s="489">
        <f>+FO10*$H$9</f>
        <v>0</v>
      </c>
      <c r="FR10" s="487"/>
      <c r="FS10" s="488">
        <f t="shared" ref="FS10:FS39" si="56">+FR10/$E10</f>
        <v>0</v>
      </c>
      <c r="FT10" s="489">
        <f>+FR10*$H$9</f>
        <v>0</v>
      </c>
      <c r="FU10" s="487"/>
      <c r="FV10" s="488">
        <f t="shared" ref="FV10:FV39" si="57">+FU10/$E10</f>
        <v>0</v>
      </c>
      <c r="FW10" s="489">
        <f>+FU10*$H$9</f>
        <v>0</v>
      </c>
      <c r="FX10" s="487"/>
      <c r="FY10" s="488">
        <f t="shared" ref="FY10:FY39" si="58">+FX10/$E10</f>
        <v>0</v>
      </c>
      <c r="FZ10" s="489">
        <f>+FX10*$H$9</f>
        <v>0</v>
      </c>
      <c r="GA10" s="487"/>
      <c r="GB10" s="488">
        <f t="shared" ref="GB10:GB39" si="59">+GA10/$E10</f>
        <v>0</v>
      </c>
      <c r="GC10" s="489">
        <f>+GA10*$H$9</f>
        <v>0</v>
      </c>
      <c r="GD10" s="487"/>
      <c r="GE10" s="488">
        <f t="shared" ref="GE10:GE39" si="60">+GD10/$E10</f>
        <v>0</v>
      </c>
      <c r="GF10" s="489">
        <f>+GD10*$H$9</f>
        <v>0</v>
      </c>
      <c r="GG10" s="487"/>
      <c r="GH10" s="488">
        <f t="shared" ref="GH10:GH39" si="61">+GG10/$E10</f>
        <v>0</v>
      </c>
      <c r="GI10" s="489">
        <f>+GG10*$H$9</f>
        <v>0</v>
      </c>
      <c r="GJ10" s="487"/>
      <c r="GK10" s="488">
        <f t="shared" ref="GK10:GK39" si="62">+GJ10/$E10</f>
        <v>0</v>
      </c>
      <c r="GL10" s="489">
        <f>+GJ10*$H$9</f>
        <v>0</v>
      </c>
      <c r="GM10" s="487"/>
      <c r="GN10" s="488">
        <f t="shared" ref="GN10:GN39" si="63">+GM10/$E10</f>
        <v>0</v>
      </c>
      <c r="GO10" s="489">
        <f>+GM10*$H$9</f>
        <v>0</v>
      </c>
      <c r="GP10" s="487"/>
      <c r="GQ10" s="488">
        <f t="shared" ref="GQ10:GQ39" si="64">+GP10/$E10</f>
        <v>0</v>
      </c>
      <c r="GR10" s="489">
        <f>+GP10*$H$9</f>
        <v>0</v>
      </c>
      <c r="GS10" s="487"/>
      <c r="GT10" s="488">
        <f t="shared" ref="GT10:GT39" si="65">+GS10/$E10</f>
        <v>0</v>
      </c>
      <c r="GU10" s="489">
        <f>+GS10*$H$9</f>
        <v>0</v>
      </c>
      <c r="GV10" s="487"/>
      <c r="GW10" s="488">
        <f t="shared" ref="GW10:GW39" si="66">+GV10/$E10</f>
        <v>0</v>
      </c>
      <c r="GX10" s="489">
        <f>+GV10*$H$9</f>
        <v>0</v>
      </c>
      <c r="GY10" s="487"/>
      <c r="GZ10" s="488">
        <f t="shared" ref="GZ10:GZ39" si="67">+GY10/$E10</f>
        <v>0</v>
      </c>
      <c r="HA10" s="489">
        <f>+GY10*$H$9</f>
        <v>0</v>
      </c>
      <c r="HB10" s="487"/>
      <c r="HC10" s="488">
        <f t="shared" ref="HC10:HC39" si="68">+HB10/$E10</f>
        <v>0</v>
      </c>
      <c r="HD10" s="489">
        <f>+HB10*$H$9</f>
        <v>0</v>
      </c>
      <c r="HE10" s="487"/>
      <c r="HF10" s="488">
        <f t="shared" ref="HF10:HF39" si="69">+HE10/$E10</f>
        <v>0</v>
      </c>
      <c r="HG10" s="489">
        <f>+HE10*$H$9</f>
        <v>0</v>
      </c>
      <c r="HH10" s="487"/>
      <c r="HI10" s="488">
        <f t="shared" ref="HI10:HI39" si="70">+HH10/$E10</f>
        <v>0</v>
      </c>
      <c r="HJ10" s="489">
        <f>+HH10*$H$9</f>
        <v>0</v>
      </c>
      <c r="HK10" s="487"/>
      <c r="HL10" s="488">
        <f t="shared" ref="HL10:HL39" si="71">+HK10/$E10</f>
        <v>0</v>
      </c>
      <c r="HM10" s="489">
        <f>+HK10*$H$9</f>
        <v>0</v>
      </c>
      <c r="HN10" s="487"/>
      <c r="HO10" s="488">
        <f t="shared" ref="HO10:HO39" si="72">+HN10/$E10</f>
        <v>0</v>
      </c>
      <c r="HP10" s="489">
        <f>+HN10*$H$9</f>
        <v>0</v>
      </c>
      <c r="HQ10" s="487"/>
      <c r="HR10" s="488">
        <f t="shared" ref="HR10:HR39" si="73">+HQ10/$E10</f>
        <v>0</v>
      </c>
      <c r="HS10" s="489">
        <f>+HQ10*$H$9</f>
        <v>0</v>
      </c>
      <c r="HT10" s="487"/>
      <c r="HU10" s="488">
        <f t="shared" ref="HU10:HU39" si="74">+HT10/$E10</f>
        <v>0</v>
      </c>
      <c r="HV10" s="489">
        <f>+HT10*$H$9</f>
        <v>0</v>
      </c>
      <c r="HW10" s="487"/>
      <c r="HX10" s="488">
        <f t="shared" ref="HX10:HX39" si="75">+HW10/$E10</f>
        <v>0</v>
      </c>
      <c r="HY10" s="489">
        <f>+HW10*$H$9</f>
        <v>0</v>
      </c>
      <c r="HZ10" s="487"/>
      <c r="IA10" s="488">
        <f t="shared" ref="IA10:IA39" si="76">+HZ10/$E10</f>
        <v>0</v>
      </c>
      <c r="IB10" s="489">
        <f>+HZ10*$H$9</f>
        <v>0</v>
      </c>
      <c r="IC10" s="487"/>
      <c r="ID10" s="488">
        <f t="shared" ref="ID10:ID39" si="77">+IC10/$E10</f>
        <v>0</v>
      </c>
      <c r="IE10" s="489">
        <f>+IC10*$H$9</f>
        <v>0</v>
      </c>
      <c r="IF10" s="487"/>
      <c r="IG10" s="488">
        <f t="shared" ref="IG10:IG39" si="78">+IF10/$E10</f>
        <v>0</v>
      </c>
      <c r="IH10" s="489">
        <f>+IF10*$H$9</f>
        <v>0</v>
      </c>
      <c r="II10" s="487"/>
      <c r="IJ10" s="488">
        <f t="shared" ref="IJ10:IJ39" si="79">+II10/$E10</f>
        <v>0</v>
      </c>
      <c r="IK10" s="489">
        <f>+II10*$H$9</f>
        <v>0</v>
      </c>
      <c r="IL10" s="487"/>
      <c r="IM10" s="488">
        <f t="shared" ref="IM10:IM39" si="80">+IL10/$E10</f>
        <v>0</v>
      </c>
      <c r="IN10" s="489">
        <f>+IL10*$H$9</f>
        <v>0</v>
      </c>
      <c r="IO10" s="487"/>
      <c r="IP10" s="488">
        <f t="shared" ref="IP10:IP39" si="81">+IO10/$E10</f>
        <v>0</v>
      </c>
      <c r="IQ10" s="489">
        <f>+IO10*$H$9</f>
        <v>0</v>
      </c>
      <c r="IR10" s="487"/>
      <c r="IS10" s="488">
        <f t="shared" ref="IS10:IS39" si="82">+IR10/$E10</f>
        <v>0</v>
      </c>
      <c r="IT10" s="489">
        <f>+IR10*$H$9</f>
        <v>0</v>
      </c>
      <c r="IU10" s="487"/>
      <c r="IV10" s="488">
        <f t="shared" ref="IV10:IV39" si="83">+IU10/$E10</f>
        <v>0</v>
      </c>
      <c r="IW10" s="489">
        <f>+IU10*$H$9</f>
        <v>0</v>
      </c>
      <c r="IX10" s="487"/>
      <c r="IY10" s="488">
        <f t="shared" ref="IY10:IY39" si="84">+IX10/$E10</f>
        <v>0</v>
      </c>
      <c r="IZ10" s="489">
        <f>+IX10*$H$9</f>
        <v>0</v>
      </c>
      <c r="JA10" s="487"/>
      <c r="JB10" s="488">
        <f t="shared" ref="JB10:JB39" si="85">+JA10/$E10</f>
        <v>0</v>
      </c>
      <c r="JC10" s="489">
        <f>+JA10*$H$9</f>
        <v>0</v>
      </c>
      <c r="JD10" s="487"/>
      <c r="JE10" s="488">
        <f t="shared" ref="JE10:JE39" si="86">+JD10/$E10</f>
        <v>0</v>
      </c>
      <c r="JF10" s="489">
        <f>+JD10*$H$9</f>
        <v>0</v>
      </c>
      <c r="JG10" s="487"/>
      <c r="JH10" s="488">
        <f t="shared" ref="JH10:JH39" si="87">+JG10/$E10</f>
        <v>0</v>
      </c>
      <c r="JI10" s="489">
        <f>+JG10*$H$9</f>
        <v>0</v>
      </c>
      <c r="JJ10" s="487"/>
      <c r="JK10" s="489" t="str">
        <f t="shared" ref="JK10:JK39" si="88">IFERROR((JJ10/$L10),"0")</f>
        <v>0</v>
      </c>
      <c r="JL10" s="489" t="str">
        <f t="shared" ref="JL10:JL39" si="89">IFERROR(((JJ10*JL$9)/$L10),"0")</f>
        <v>0</v>
      </c>
      <c r="JM10" s="487"/>
      <c r="JN10" s="489" t="str">
        <f t="shared" ref="JN10:JN39" si="90">IFERROR((JM10/$L10),"0")</f>
        <v>0</v>
      </c>
      <c r="JO10" s="489" t="str">
        <f t="shared" ref="JO10:JO39" si="91">IFERROR(((JM10*JO$9)/$L10),"0")</f>
        <v>0</v>
      </c>
      <c r="JP10" s="487"/>
      <c r="JQ10" s="489" t="str">
        <f t="shared" ref="JQ10:JQ39" si="92">IFERROR((JP10/$L10),"0")</f>
        <v>0</v>
      </c>
      <c r="JR10" s="489" t="str">
        <f t="shared" ref="JR10:JR39" si="93">IFERROR(((JP10*JR$9)/$L10),"0")</f>
        <v>0</v>
      </c>
      <c r="JS10" s="487"/>
      <c r="JT10" s="489" t="str">
        <f t="shared" ref="JT10:JT39" si="94">IFERROR((JS10/$L10),"0")</f>
        <v>0</v>
      </c>
      <c r="JU10" s="489" t="str">
        <f t="shared" ref="JU10:JU39" si="95">IFERROR(((JS10*JU$9)/$L10),"0")</f>
        <v>0</v>
      </c>
      <c r="JV10" s="487"/>
      <c r="JW10" s="489" t="str">
        <f t="shared" ref="JW10:JW39" si="96">IFERROR((JV10/$L10),"0")</f>
        <v>0</v>
      </c>
      <c r="JX10" s="489" t="str">
        <f t="shared" ref="JX10:JX39" si="97">IFERROR(((JV10*JX$9)/$L10),"0")</f>
        <v>0</v>
      </c>
      <c r="JY10" s="487"/>
      <c r="JZ10" s="489" t="str">
        <f t="shared" ref="JZ10:JZ39" si="98">IFERROR((JY10/$L10),"0")</f>
        <v>0</v>
      </c>
      <c r="KA10" s="489" t="str">
        <f t="shared" ref="KA10:KA39" si="99">IFERROR(((JY10*KA$9)/$L10),"0")</f>
        <v>0</v>
      </c>
      <c r="KB10" s="487"/>
      <c r="KC10" s="489" t="str">
        <f t="shared" ref="KC10:KC39" si="100">IFERROR((KB10/$L10),"0")</f>
        <v>0</v>
      </c>
      <c r="KD10" s="489" t="str">
        <f t="shared" ref="KD10:KD39" si="101">IFERROR(((KB10*KD$9)/$L10),"0")</f>
        <v>0</v>
      </c>
      <c r="KE10" s="487"/>
      <c r="KF10" s="489" t="str">
        <f t="shared" ref="KF10:KF39" si="102">IFERROR((KE10/$L10),"0")</f>
        <v>0</v>
      </c>
      <c r="KG10" s="489" t="str">
        <f t="shared" ref="KG10:KG39" si="103">IFERROR(((KE10*KG$9)/$L10),"0")</f>
        <v>0</v>
      </c>
      <c r="KH10" s="487"/>
      <c r="KI10" s="489" t="str">
        <f t="shared" ref="KI10:KI39" si="104">IFERROR((KH10/$L10),"0")</f>
        <v>0</v>
      </c>
      <c r="KJ10" s="489" t="str">
        <f t="shared" ref="KJ10:KJ39" si="105">IFERROR(((KH10*KJ$9)/$L10),"0")</f>
        <v>0</v>
      </c>
      <c r="KK10" s="487"/>
      <c r="KL10" s="489" t="str">
        <f t="shared" ref="KL10:KL39" si="106">IFERROR((KK10/$L10),"0")</f>
        <v>0</v>
      </c>
      <c r="KM10" s="489" t="str">
        <f t="shared" ref="KM10:KM39" si="107">IFERROR(((KK10*KM$9)/$L10),"0")</f>
        <v>0</v>
      </c>
      <c r="KN10" s="487"/>
      <c r="KO10" s="489" t="str">
        <f t="shared" ref="KO10:KO39" si="108">IFERROR((KN10/$L10),"0")</f>
        <v>0</v>
      </c>
      <c r="KP10" s="489" t="str">
        <f t="shared" ref="KP10:KP39" si="109">IFERROR(((KN10*KP$9)/$L10),"0")</f>
        <v>0</v>
      </c>
      <c r="KQ10" s="487"/>
      <c r="KR10" s="489" t="str">
        <f t="shared" ref="KR10:KR39" si="110">IFERROR((KQ10/$L10),"0")</f>
        <v>0</v>
      </c>
      <c r="KS10" s="489" t="str">
        <f t="shared" ref="KS10:KS39" si="111">IFERROR(((KQ10*KS$9)/$L10),"0")</f>
        <v>0</v>
      </c>
      <c r="KT10" s="489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489">
        <f>GF10+GI10+GL10+GO10+GR10+GU10+GX10+HA10+HD10+HG10+HJ10+HM10+HP10+HS10+HV10+HY10+IB10+IE10+IH10+IK10+IN10+IQ10+IT10+IW10+IZ10+JC10+JF10+JI10+JL10+JO10+JR10+JU10+JX10++KA10+KD10+KG10+KJ10++KM10+KP10+KS10</f>
        <v>0</v>
      </c>
      <c r="KV10" s="259">
        <f>+F10+I10+L10+O10+R10+U10+X10+AA10+AD10+AG10+AJ10+AM10+AP10+AS10+AV10+AY10+BB10+BE10+BH10+BK10+BN10+BQ10+BT10+BW10+BZ10+CC10+CF10+CI10+CL10+CO10+CR10+CU10+CX10+DA10+DD10+DJ10+DM10+DP10+DS10+DV10+DY10+EB10+EE10+EH10+EK10+EN10</f>
        <v>729.84732519490285</v>
      </c>
      <c r="KW10" s="259"/>
    </row>
    <row r="11" spans="1:309" ht="15" customHeight="1">
      <c r="A11" s="261">
        <f>+A10+1</f>
        <v>46114</v>
      </c>
      <c r="B11" s="262" t="str">
        <f>+Report1!B10</f>
        <v>Napkin</v>
      </c>
      <c r="C11" s="382" t="str">
        <f>+Report1!C10</f>
        <v>12</v>
      </c>
      <c r="D11" s="263">
        <f>+Report1!P10</f>
        <v>52.483000000000004</v>
      </c>
      <c r="E11" s="264">
        <f>+Report1!R10</f>
        <v>53.685000000000002</v>
      </c>
      <c r="F11" s="487"/>
      <c r="G11" s="488">
        <f t="shared" si="0"/>
        <v>0</v>
      </c>
      <c r="H11" s="489">
        <f t="shared" ref="H11:H39" si="112">+F11*$H$9</f>
        <v>0</v>
      </c>
      <c r="I11" s="487">
        <v>551.58859069767459</v>
      </c>
      <c r="J11" s="488">
        <f t="shared" si="1"/>
        <v>10.274538338412491</v>
      </c>
      <c r="K11" s="489">
        <f t="shared" ref="K11:K39" si="113">+I11*$H$9</f>
        <v>0</v>
      </c>
      <c r="L11" s="487"/>
      <c r="M11" s="488">
        <f t="shared" si="2"/>
        <v>0</v>
      </c>
      <c r="N11" s="489">
        <f t="shared" ref="N11:N39" si="114">+L11*$H$9</f>
        <v>0</v>
      </c>
      <c r="O11" s="487">
        <v>15</v>
      </c>
      <c r="P11" s="488">
        <f t="shared" si="3"/>
        <v>0.27940765576976806</v>
      </c>
      <c r="Q11" s="489">
        <f t="shared" ref="Q11:Q39" si="115">+O11*$H$9</f>
        <v>0</v>
      </c>
      <c r="R11" s="487">
        <v>7.6874999999999716</v>
      </c>
      <c r="S11" s="488">
        <f t="shared" si="4"/>
        <v>0.1431964235820056</v>
      </c>
      <c r="T11" s="489">
        <f t="shared" ref="T11:T39" si="116">+R11*$H$9</f>
        <v>0</v>
      </c>
      <c r="U11" s="487">
        <v>6.25</v>
      </c>
      <c r="V11" s="488">
        <f t="shared" si="5"/>
        <v>0.1164198565707367</v>
      </c>
      <c r="W11" s="489">
        <f t="shared" ref="W11:W39" si="117">+U11*$H$9</f>
        <v>0</v>
      </c>
      <c r="X11" s="487"/>
      <c r="Y11" s="488">
        <f t="shared" si="6"/>
        <v>0</v>
      </c>
      <c r="Z11" s="489">
        <f t="shared" ref="Z11:Z39" si="118">+X11*$H$9</f>
        <v>0</v>
      </c>
      <c r="AA11" s="487"/>
      <c r="AB11" s="488">
        <f t="shared" si="7"/>
        <v>0</v>
      </c>
      <c r="AC11" s="489">
        <f t="shared" ref="AC11:AC39" si="119">+AA11*$H$9</f>
        <v>0</v>
      </c>
      <c r="AD11" s="487"/>
      <c r="AE11" s="488">
        <f t="shared" si="8"/>
        <v>0</v>
      </c>
      <c r="AF11" s="489">
        <f t="shared" ref="AF11:AF39" si="120">+AD11*$H$9</f>
        <v>0</v>
      </c>
      <c r="AG11" s="487"/>
      <c r="AH11" s="488">
        <f t="shared" si="9"/>
        <v>0</v>
      </c>
      <c r="AI11" s="489">
        <f t="shared" ref="AI11:AI39" si="121">+AG11*$H$9</f>
        <v>0</v>
      </c>
      <c r="AJ11" s="487"/>
      <c r="AK11" s="488">
        <f t="shared" si="10"/>
        <v>0</v>
      </c>
      <c r="AL11" s="489">
        <f t="shared" ref="AL11:AL39" si="122">+AJ11*$H$9</f>
        <v>0</v>
      </c>
      <c r="AM11" s="487">
        <v>50.021646153846177</v>
      </c>
      <c r="AN11" s="488">
        <f t="shared" si="11"/>
        <v>0.93176205930606637</v>
      </c>
      <c r="AO11" s="489">
        <f t="shared" ref="AO11:AO39" si="123">+AM11*$H$9</f>
        <v>0</v>
      </c>
      <c r="AP11" s="487"/>
      <c r="AQ11" s="488">
        <f t="shared" si="12"/>
        <v>0</v>
      </c>
      <c r="AR11" s="489">
        <f t="shared" ref="AR11:AR39" si="124">+AP11*$H$9</f>
        <v>0</v>
      </c>
      <c r="AS11" s="487"/>
      <c r="AT11" s="488">
        <f t="shared" si="13"/>
        <v>0</v>
      </c>
      <c r="AU11" s="489">
        <f t="shared" ref="AU11:AU39" si="125">+AS11*$H$9</f>
        <v>0</v>
      </c>
      <c r="AV11" s="487">
        <v>5.5500000000000682</v>
      </c>
      <c r="AW11" s="488">
        <f t="shared" si="14"/>
        <v>0.10338083263481546</v>
      </c>
      <c r="AX11" s="489">
        <f t="shared" ref="AX11:AX39" si="126">+AV11*$H$9</f>
        <v>0</v>
      </c>
      <c r="AY11" s="487">
        <v>61.887866666666582</v>
      </c>
      <c r="AZ11" s="488">
        <f t="shared" si="15"/>
        <v>1.1527962497283522</v>
      </c>
      <c r="BA11" s="489">
        <f t="shared" ref="BA11:BA39" si="127">+AY11*$H$9</f>
        <v>0</v>
      </c>
      <c r="BB11" s="487"/>
      <c r="BC11" s="488">
        <f t="shared" si="16"/>
        <v>0</v>
      </c>
      <c r="BD11" s="489">
        <f t="shared" ref="BD11:BD39" si="128">+BB11*$H$9</f>
        <v>0</v>
      </c>
      <c r="BE11" s="487"/>
      <c r="BF11" s="488">
        <f t="shared" si="17"/>
        <v>0</v>
      </c>
      <c r="BG11" s="489">
        <f t="shared" ref="BG11:BG39" si="129">+BE11*$H$9</f>
        <v>0</v>
      </c>
      <c r="BH11" s="487"/>
      <c r="BI11" s="488">
        <f t="shared" si="18"/>
        <v>0</v>
      </c>
      <c r="BJ11" s="489">
        <f t="shared" ref="BJ11:BJ39" si="130">+BH11*$H$9</f>
        <v>0</v>
      </c>
      <c r="BK11" s="487"/>
      <c r="BL11" s="488">
        <f t="shared" si="19"/>
        <v>0</v>
      </c>
      <c r="BM11" s="489">
        <f t="shared" ref="BM11:BM39" si="131">+BK11*$H$9</f>
        <v>0</v>
      </c>
      <c r="BN11" s="487">
        <v>30.370370370370352</v>
      </c>
      <c r="BO11" s="488">
        <f t="shared" si="20"/>
        <v>0.56571426600298691</v>
      </c>
      <c r="BP11" s="489">
        <f t="shared" ref="BP11:BP39" si="132">+BN11*$H$9</f>
        <v>0</v>
      </c>
      <c r="BQ11" s="487"/>
      <c r="BR11" s="488">
        <f t="shared" si="21"/>
        <v>0</v>
      </c>
      <c r="BS11" s="489">
        <f t="shared" ref="BS11:BS39" si="133">+BQ11*$H$9</f>
        <v>0</v>
      </c>
      <c r="BT11" s="487"/>
      <c r="BU11" s="488">
        <f t="shared" si="22"/>
        <v>0</v>
      </c>
      <c r="BV11" s="489">
        <f t="shared" ref="BV11:BV39" si="134">+BT11*$H$9</f>
        <v>0</v>
      </c>
      <c r="BW11" s="487"/>
      <c r="BX11" s="488">
        <f t="shared" si="23"/>
        <v>0</v>
      </c>
      <c r="BY11" s="489">
        <f t="shared" ref="BY11:BY39" si="135">+BW11*$H$9</f>
        <v>0</v>
      </c>
      <c r="BZ11" s="487"/>
      <c r="CA11" s="488">
        <f t="shared" si="24"/>
        <v>0</v>
      </c>
      <c r="CB11" s="489">
        <f t="shared" ref="CB11:CB39" si="136">+BZ11*$H$9</f>
        <v>0</v>
      </c>
      <c r="CC11" s="487">
        <v>15</v>
      </c>
      <c r="CD11" s="488">
        <f t="shared" si="25"/>
        <v>0.27940765576976806</v>
      </c>
      <c r="CE11" s="489">
        <f t="shared" ref="CE11:CE39" si="137">+CC11*$H$9</f>
        <v>0</v>
      </c>
      <c r="CF11" s="487">
        <v>5</v>
      </c>
      <c r="CG11" s="488">
        <f t="shared" si="26"/>
        <v>9.3135885256589362E-2</v>
      </c>
      <c r="CH11" s="489">
        <f t="shared" ref="CH11:CH39" si="138">+CF11*$H$9</f>
        <v>0</v>
      </c>
      <c r="CI11" s="487"/>
      <c r="CJ11" s="488">
        <f t="shared" si="27"/>
        <v>0</v>
      </c>
      <c r="CK11" s="489">
        <f t="shared" ref="CK11:CK39" si="139">+CI11*$H$9</f>
        <v>0</v>
      </c>
      <c r="CL11" s="487"/>
      <c r="CM11" s="488">
        <f t="shared" si="28"/>
        <v>0</v>
      </c>
      <c r="CN11" s="489">
        <f t="shared" ref="CN11:CN39" si="140">+CL11*$H$9</f>
        <v>0</v>
      </c>
      <c r="CO11" s="487"/>
      <c r="CP11" s="488">
        <f t="shared" si="29"/>
        <v>0</v>
      </c>
      <c r="CQ11" s="489">
        <f t="shared" ref="CQ11:CQ39" si="141">+CO11*$H$9</f>
        <v>0</v>
      </c>
      <c r="CR11" s="487"/>
      <c r="CS11" s="488">
        <f t="shared" si="30"/>
        <v>0</v>
      </c>
      <c r="CT11" s="489">
        <f t="shared" ref="CT11:CT39" si="142">+CR11*$H$9</f>
        <v>0</v>
      </c>
      <c r="CU11" s="487"/>
      <c r="CV11" s="488">
        <f t="shared" si="31"/>
        <v>0</v>
      </c>
      <c r="CW11" s="489">
        <f t="shared" ref="CW11:CW39" si="143">+CU11*$H$9</f>
        <v>0</v>
      </c>
      <c r="CX11" s="487"/>
      <c r="CY11" s="488">
        <f t="shared" si="32"/>
        <v>0</v>
      </c>
      <c r="CZ11" s="489">
        <f t="shared" ref="CZ11:CZ39" si="144">+CX11*$H$9</f>
        <v>0</v>
      </c>
      <c r="DA11" s="487"/>
      <c r="DB11" s="488">
        <f t="shared" si="33"/>
        <v>0</v>
      </c>
      <c r="DC11" s="489">
        <f t="shared" ref="DC11:DC39" si="145">+DA11*$H$9</f>
        <v>0</v>
      </c>
      <c r="DD11" s="487"/>
      <c r="DE11" s="488">
        <f t="shared" si="34"/>
        <v>0</v>
      </c>
      <c r="DF11" s="489">
        <f t="shared" ref="DF11:DF39" si="146">+DD11*$H$9</f>
        <v>0</v>
      </c>
      <c r="DG11" s="487"/>
      <c r="DH11" s="488">
        <f t="shared" si="35"/>
        <v>0</v>
      </c>
      <c r="DI11" s="489">
        <v>0</v>
      </c>
      <c r="DJ11" s="487"/>
      <c r="DK11" s="488">
        <f t="shared" si="36"/>
        <v>0</v>
      </c>
      <c r="DL11" s="489">
        <f t="shared" ref="DL11:DL39" si="147">+DJ11*$H$9</f>
        <v>0</v>
      </c>
      <c r="DM11" s="487"/>
      <c r="DN11" s="488">
        <f t="shared" si="37"/>
        <v>0</v>
      </c>
      <c r="DO11" s="489">
        <f t="shared" ref="DO11:DO39" si="148">+DM11*$H$9</f>
        <v>0</v>
      </c>
      <c r="DP11" s="487"/>
      <c r="DQ11" s="488">
        <f t="shared" si="38"/>
        <v>0</v>
      </c>
      <c r="DR11" s="489">
        <f t="shared" ref="DR11:DR39" si="149">+DP11*$H$9</f>
        <v>0</v>
      </c>
      <c r="DS11" s="487"/>
      <c r="DT11" s="488">
        <f t="shared" si="39"/>
        <v>0</v>
      </c>
      <c r="DU11" s="489">
        <f t="shared" ref="DU11:DU39" si="150">+DS11*$H$9</f>
        <v>0</v>
      </c>
      <c r="DV11" s="487"/>
      <c r="DW11" s="488">
        <f t="shared" si="40"/>
        <v>0</v>
      </c>
      <c r="DX11" s="489">
        <f t="shared" ref="DX11:DX39" si="151">+DV11*$H$9</f>
        <v>0</v>
      </c>
      <c r="DY11" s="487">
        <v>0</v>
      </c>
      <c r="DZ11" s="488">
        <f t="shared" si="41"/>
        <v>0</v>
      </c>
      <c r="EA11" s="489">
        <f t="shared" ref="EA11:EA39" si="152">+DY11*$H$9</f>
        <v>0</v>
      </c>
      <c r="EB11" s="487">
        <v>14.534883720930253</v>
      </c>
      <c r="EC11" s="488">
        <f t="shared" si="42"/>
        <v>0.27074385249008576</v>
      </c>
      <c r="ED11" s="489">
        <f t="shared" ref="ED11:ED39" si="153">+EB11*$H$9</f>
        <v>0</v>
      </c>
      <c r="EE11" s="487">
        <v>6</v>
      </c>
      <c r="EF11" s="488">
        <f t="shared" si="43"/>
        <v>0.11176306230790724</v>
      </c>
      <c r="EG11" s="489">
        <f t="shared" ref="EG11:EG39" si="154">+EE11*$H$9</f>
        <v>0</v>
      </c>
      <c r="EH11" s="487"/>
      <c r="EI11" s="488">
        <f t="shared" si="44"/>
        <v>0</v>
      </c>
      <c r="EJ11" s="489">
        <f t="shared" ref="EJ11:EJ39" si="155">+EH11*$H$9</f>
        <v>0</v>
      </c>
      <c r="EK11" s="487"/>
      <c r="EL11" s="488">
        <f t="shared" si="45"/>
        <v>0</v>
      </c>
      <c r="EM11" s="489">
        <f t="shared" ref="EM11:EM39" si="156">+EK11*$H$9</f>
        <v>0</v>
      </c>
      <c r="EN11" s="487"/>
      <c r="EO11" s="488">
        <f t="shared" si="46"/>
        <v>0</v>
      </c>
      <c r="EP11" s="489">
        <f t="shared" ref="EP11:EP39" si="157">+EN11*$H$9</f>
        <v>0</v>
      </c>
      <c r="EQ11" s="487"/>
      <c r="ER11" s="488">
        <f t="shared" si="47"/>
        <v>0</v>
      </c>
      <c r="ES11" s="489">
        <f t="shared" ref="ES11:ES39" si="158">+EQ11*$H$9</f>
        <v>0</v>
      </c>
      <c r="ET11" s="487"/>
      <c r="EU11" s="488">
        <f t="shared" si="48"/>
        <v>0</v>
      </c>
      <c r="EV11" s="489">
        <f t="shared" ref="EV11:EV39" si="159">+ET11*$H$9</f>
        <v>0</v>
      </c>
      <c r="EW11" s="487"/>
      <c r="EX11" s="488">
        <f t="shared" si="49"/>
        <v>0</v>
      </c>
      <c r="EY11" s="489">
        <f t="shared" ref="EY11:EY39" si="160">+EW11*$H$9</f>
        <v>0</v>
      </c>
      <c r="EZ11" s="487"/>
      <c r="FA11" s="488">
        <f t="shared" si="50"/>
        <v>0</v>
      </c>
      <c r="FB11" s="489">
        <f t="shared" ref="FB11:FB39" si="161">+EZ11*$H$9</f>
        <v>0</v>
      </c>
      <c r="FC11" s="487"/>
      <c r="FD11" s="488">
        <f t="shared" si="51"/>
        <v>0</v>
      </c>
      <c r="FE11" s="489">
        <f t="shared" ref="FE11:FE39" si="162">+FC11*$H$9</f>
        <v>0</v>
      </c>
      <c r="FF11" s="487"/>
      <c r="FG11" s="488">
        <f t="shared" si="52"/>
        <v>0</v>
      </c>
      <c r="FH11" s="489">
        <f t="shared" ref="FH11:FH39" si="163">+FF11*$H$9</f>
        <v>0</v>
      </c>
      <c r="FI11" s="487"/>
      <c r="FJ11" s="488">
        <f t="shared" si="53"/>
        <v>0</v>
      </c>
      <c r="FK11" s="489">
        <f t="shared" ref="FK11:FK39" si="164">+FI11*$H$9</f>
        <v>0</v>
      </c>
      <c r="FL11" s="487"/>
      <c r="FM11" s="488">
        <f t="shared" si="54"/>
        <v>0</v>
      </c>
      <c r="FN11" s="489">
        <f t="shared" ref="FN11:FN39" si="165">+FL11*$H$9</f>
        <v>0</v>
      </c>
      <c r="FO11" s="487"/>
      <c r="FP11" s="488">
        <f t="shared" si="55"/>
        <v>0</v>
      </c>
      <c r="FQ11" s="489">
        <f t="shared" ref="FQ11:FQ39" si="166">+FO11*$H$9</f>
        <v>0</v>
      </c>
      <c r="FR11" s="487"/>
      <c r="FS11" s="488">
        <f t="shared" si="56"/>
        <v>0</v>
      </c>
      <c r="FT11" s="489">
        <f t="shared" ref="FT11:FT39" si="167">+FR11*$H$9</f>
        <v>0</v>
      </c>
      <c r="FU11" s="487"/>
      <c r="FV11" s="488">
        <f t="shared" si="57"/>
        <v>0</v>
      </c>
      <c r="FW11" s="489">
        <f t="shared" ref="FW11:FW39" si="168">+FU11*$H$9</f>
        <v>0</v>
      </c>
      <c r="FX11" s="487"/>
      <c r="FY11" s="488">
        <f t="shared" si="58"/>
        <v>0</v>
      </c>
      <c r="FZ11" s="489">
        <f t="shared" ref="FZ11:FZ39" si="169">+FX11*$H$9</f>
        <v>0</v>
      </c>
      <c r="GA11" s="487"/>
      <c r="GB11" s="488">
        <f t="shared" si="59"/>
        <v>0</v>
      </c>
      <c r="GC11" s="489">
        <f t="shared" ref="GC11:GC39" si="170">+GA11*$H$9</f>
        <v>0</v>
      </c>
      <c r="GD11" s="487"/>
      <c r="GE11" s="488">
        <f t="shared" si="60"/>
        <v>0</v>
      </c>
      <c r="GF11" s="489">
        <f t="shared" ref="GF11:GF39" si="171">+GD11*$H$9</f>
        <v>0</v>
      </c>
      <c r="GG11" s="487"/>
      <c r="GH11" s="488">
        <f t="shared" si="61"/>
        <v>0</v>
      </c>
      <c r="GI11" s="489">
        <f t="shared" ref="GI11:GI39" si="172">+GG11*$H$9</f>
        <v>0</v>
      </c>
      <c r="GJ11" s="487"/>
      <c r="GK11" s="488">
        <f t="shared" si="62"/>
        <v>0</v>
      </c>
      <c r="GL11" s="489">
        <f t="shared" ref="GL11:GL39" si="173">+GJ11*$H$9</f>
        <v>0</v>
      </c>
      <c r="GM11" s="487"/>
      <c r="GN11" s="488">
        <f t="shared" si="63"/>
        <v>0</v>
      </c>
      <c r="GO11" s="489">
        <f t="shared" ref="GO11:GO39" si="174">+GM11*$H$9</f>
        <v>0</v>
      </c>
      <c r="GP11" s="487"/>
      <c r="GQ11" s="488">
        <f t="shared" si="64"/>
        <v>0</v>
      </c>
      <c r="GR11" s="489">
        <f t="shared" ref="GR11:GR39" si="175">+GP11*$H$9</f>
        <v>0</v>
      </c>
      <c r="GS11" s="487"/>
      <c r="GT11" s="488">
        <f t="shared" si="65"/>
        <v>0</v>
      </c>
      <c r="GU11" s="489">
        <f t="shared" ref="GU11:GU39" si="176">+GS11*$H$9</f>
        <v>0</v>
      </c>
      <c r="GV11" s="487"/>
      <c r="GW11" s="488">
        <f t="shared" si="66"/>
        <v>0</v>
      </c>
      <c r="GX11" s="489">
        <f t="shared" ref="GX11:GX39" si="177">+GV11*$H$9</f>
        <v>0</v>
      </c>
      <c r="GY11" s="487"/>
      <c r="GZ11" s="488">
        <f t="shared" si="67"/>
        <v>0</v>
      </c>
      <c r="HA11" s="489">
        <f t="shared" ref="HA11:HA39" si="178">+GY11*$H$9</f>
        <v>0</v>
      </c>
      <c r="HB11" s="487"/>
      <c r="HC11" s="488">
        <f t="shared" si="68"/>
        <v>0</v>
      </c>
      <c r="HD11" s="489">
        <f t="shared" ref="HD11:HD39" si="179">+HB11*$H$9</f>
        <v>0</v>
      </c>
      <c r="HE11" s="487"/>
      <c r="HF11" s="488">
        <f t="shared" si="69"/>
        <v>0</v>
      </c>
      <c r="HG11" s="489">
        <f t="shared" ref="HG11:HG39" si="180">+HE11*$H$9</f>
        <v>0</v>
      </c>
      <c r="HH11" s="487"/>
      <c r="HI11" s="488">
        <f t="shared" si="70"/>
        <v>0</v>
      </c>
      <c r="HJ11" s="489">
        <f t="shared" ref="HJ11:HJ39" si="181">+HH11*$H$9</f>
        <v>0</v>
      </c>
      <c r="HK11" s="487"/>
      <c r="HL11" s="488">
        <f t="shared" si="71"/>
        <v>0</v>
      </c>
      <c r="HM11" s="489">
        <f t="shared" ref="HM11:HM39" si="182">+HK11*$H$9</f>
        <v>0</v>
      </c>
      <c r="HN11" s="487"/>
      <c r="HO11" s="488">
        <f t="shared" si="72"/>
        <v>0</v>
      </c>
      <c r="HP11" s="489">
        <f t="shared" ref="HP11:HP39" si="183">+HN11*$H$9</f>
        <v>0</v>
      </c>
      <c r="HQ11" s="487"/>
      <c r="HR11" s="488">
        <f t="shared" si="73"/>
        <v>0</v>
      </c>
      <c r="HS11" s="489">
        <f t="shared" ref="HS11:HS39" si="184">+HQ11*$H$9</f>
        <v>0</v>
      </c>
      <c r="HT11" s="487"/>
      <c r="HU11" s="488">
        <f t="shared" si="74"/>
        <v>0</v>
      </c>
      <c r="HV11" s="489">
        <f t="shared" ref="HV11:HV39" si="185">+HT11*$H$9</f>
        <v>0</v>
      </c>
      <c r="HW11" s="487"/>
      <c r="HX11" s="488">
        <f t="shared" si="75"/>
        <v>0</v>
      </c>
      <c r="HY11" s="489">
        <f t="shared" ref="HY11:HY39" si="186">+HW11*$H$9</f>
        <v>0</v>
      </c>
      <c r="HZ11" s="487"/>
      <c r="IA11" s="488">
        <f t="shared" si="76"/>
        <v>0</v>
      </c>
      <c r="IB11" s="489">
        <f t="shared" ref="IB11:IB39" si="187">+HZ11*$H$9</f>
        <v>0</v>
      </c>
      <c r="IC11" s="487"/>
      <c r="ID11" s="488">
        <f t="shared" si="77"/>
        <v>0</v>
      </c>
      <c r="IE11" s="489">
        <f t="shared" ref="IE11:IE39" si="188">+IC11*$H$9</f>
        <v>0</v>
      </c>
      <c r="IF11" s="487"/>
      <c r="IG11" s="488">
        <f t="shared" si="78"/>
        <v>0</v>
      </c>
      <c r="IH11" s="489">
        <f t="shared" ref="IH11:IH39" si="189">+IF11*$H$9</f>
        <v>0</v>
      </c>
      <c r="II11" s="487"/>
      <c r="IJ11" s="488">
        <f t="shared" si="79"/>
        <v>0</v>
      </c>
      <c r="IK11" s="489">
        <f t="shared" ref="IK11:IK39" si="190">+II11*$H$9</f>
        <v>0</v>
      </c>
      <c r="IL11" s="487"/>
      <c r="IM11" s="488">
        <f t="shared" si="80"/>
        <v>0</v>
      </c>
      <c r="IN11" s="489">
        <f t="shared" ref="IN11:IN39" si="191">+IL11*$H$9</f>
        <v>0</v>
      </c>
      <c r="IO11" s="487"/>
      <c r="IP11" s="488">
        <f t="shared" si="81"/>
        <v>0</v>
      </c>
      <c r="IQ11" s="489">
        <f t="shared" ref="IQ11:IQ39" si="192">+IO11*$H$9</f>
        <v>0</v>
      </c>
      <c r="IR11" s="487"/>
      <c r="IS11" s="488">
        <f t="shared" si="82"/>
        <v>0</v>
      </c>
      <c r="IT11" s="489">
        <f t="shared" ref="IT11:IT39" si="193">+IR11*$H$9</f>
        <v>0</v>
      </c>
      <c r="IU11" s="487"/>
      <c r="IV11" s="488">
        <f t="shared" si="83"/>
        <v>0</v>
      </c>
      <c r="IW11" s="489">
        <f t="shared" ref="IW11:IW39" si="194">+IU11*$H$9</f>
        <v>0</v>
      </c>
      <c r="IX11" s="487"/>
      <c r="IY11" s="488">
        <f t="shared" si="84"/>
        <v>0</v>
      </c>
      <c r="IZ11" s="489">
        <f t="shared" ref="IZ11:IZ39" si="195">+IX11*$H$9</f>
        <v>0</v>
      </c>
      <c r="JA11" s="487"/>
      <c r="JB11" s="488">
        <f t="shared" si="85"/>
        <v>0</v>
      </c>
      <c r="JC11" s="489">
        <f t="shared" ref="JC11:JC39" si="196">+JA11*$H$9</f>
        <v>0</v>
      </c>
      <c r="JD11" s="487"/>
      <c r="JE11" s="488">
        <f t="shared" si="86"/>
        <v>0</v>
      </c>
      <c r="JF11" s="489">
        <f t="shared" ref="JF11:JF39" si="197">+JD11*$H$9</f>
        <v>0</v>
      </c>
      <c r="JG11" s="487"/>
      <c r="JH11" s="488">
        <f t="shared" si="87"/>
        <v>0</v>
      </c>
      <c r="JI11" s="489">
        <f t="shared" ref="JI11:JI39" si="198">+JG11*$H$9</f>
        <v>0</v>
      </c>
      <c r="JJ11" s="487"/>
      <c r="JK11" s="489" t="str">
        <f t="shared" si="88"/>
        <v>0</v>
      </c>
      <c r="JL11" s="489" t="str">
        <f t="shared" si="89"/>
        <v>0</v>
      </c>
      <c r="JM11" s="487"/>
      <c r="JN11" s="489" t="str">
        <f t="shared" si="90"/>
        <v>0</v>
      </c>
      <c r="JO11" s="489" t="str">
        <f t="shared" si="91"/>
        <v>0</v>
      </c>
      <c r="JP11" s="487"/>
      <c r="JQ11" s="489" t="str">
        <f t="shared" si="92"/>
        <v>0</v>
      </c>
      <c r="JR11" s="489" t="str">
        <f t="shared" si="93"/>
        <v>0</v>
      </c>
      <c r="JS11" s="487"/>
      <c r="JT11" s="489" t="str">
        <f t="shared" si="94"/>
        <v>0</v>
      </c>
      <c r="JU11" s="489" t="str">
        <f t="shared" si="95"/>
        <v>0</v>
      </c>
      <c r="JV11" s="487"/>
      <c r="JW11" s="489" t="str">
        <f t="shared" si="96"/>
        <v>0</v>
      </c>
      <c r="JX11" s="489" t="str">
        <f t="shared" si="97"/>
        <v>0</v>
      </c>
      <c r="JY11" s="487"/>
      <c r="JZ11" s="489" t="str">
        <f t="shared" si="98"/>
        <v>0</v>
      </c>
      <c r="KA11" s="489" t="str">
        <f t="shared" si="99"/>
        <v>0</v>
      </c>
      <c r="KB11" s="487"/>
      <c r="KC11" s="489" t="str">
        <f t="shared" si="100"/>
        <v>0</v>
      </c>
      <c r="KD11" s="489" t="str">
        <f t="shared" si="101"/>
        <v>0</v>
      </c>
      <c r="KE11" s="487"/>
      <c r="KF11" s="489" t="str">
        <f t="shared" si="102"/>
        <v>0</v>
      </c>
      <c r="KG11" s="489" t="str">
        <f t="shared" si="103"/>
        <v>0</v>
      </c>
      <c r="KH11" s="487"/>
      <c r="KI11" s="489" t="str">
        <f t="shared" si="104"/>
        <v>0</v>
      </c>
      <c r="KJ11" s="489" t="str">
        <f t="shared" si="105"/>
        <v>0</v>
      </c>
      <c r="KK11" s="487"/>
      <c r="KL11" s="489" t="str">
        <f t="shared" si="106"/>
        <v>0</v>
      </c>
      <c r="KM11" s="489" t="str">
        <f t="shared" si="107"/>
        <v>0</v>
      </c>
      <c r="KN11" s="487"/>
      <c r="KO11" s="489" t="str">
        <f t="shared" si="108"/>
        <v>0</v>
      </c>
      <c r="KP11" s="489" t="str">
        <f t="shared" si="109"/>
        <v>0</v>
      </c>
      <c r="KQ11" s="487"/>
      <c r="KR11" s="489" t="str">
        <f t="shared" si="110"/>
        <v>0</v>
      </c>
      <c r="KS11" s="489" t="str">
        <f t="shared" si="111"/>
        <v>0</v>
      </c>
      <c r="KT11" s="489">
        <f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489">
        <f>GF11+GI11+GL11+GO11+GR11+GU11+GX11+HA11+HD11+HG11+HJ11+HM11+HP11+HS11+HV11+HY11+IB11+IE11+IH11+IK11+IN11+IQ11+IT11+IW11+IZ11+JC11+JF11+JI11+JL11+JO11+JR11+JU11+JX11++KA11+KD11+KG11+KJ11++KM11+KP11+KS11</f>
        <v>0</v>
      </c>
      <c r="KV11" s="259">
        <f t="shared" ref="KV11:KV39" si="199">+F11+I11+L11+O11+R11+U11+X11+AA11+AD11+AG11+AJ11+AM11+AP11+AS11+AV11+AY11+BB11+BE11+BH11+BK11+BN11+BQ11+BT11+BW11+BZ11+CC11+CF11+CI11+CL11+CO11+CR11+CU11+CX11+DA11+DD11+DJ11+DM11+DP11+DS11+DV11+DY11+EB11+EE11+EH11+EK11+EN11</f>
        <v>768.89085760948797</v>
      </c>
    </row>
    <row r="12" spans="1:309" ht="15" customHeight="1">
      <c r="A12" s="261">
        <f t="shared" ref="A12:A39" si="200">+A11+1</f>
        <v>46115</v>
      </c>
      <c r="B12" s="262" t="str">
        <f>+Report1!B11</f>
        <v>Napkin</v>
      </c>
      <c r="C12" s="382" t="str">
        <f>+Report1!C11</f>
        <v>12/11</v>
      </c>
      <c r="D12" s="263">
        <f>+Report1!P11</f>
        <v>50.410999999999994</v>
      </c>
      <c r="E12" s="264">
        <f>+Report1!R11</f>
        <v>56.16</v>
      </c>
      <c r="F12" s="487"/>
      <c r="G12" s="488">
        <f t="shared" si="0"/>
        <v>0</v>
      </c>
      <c r="H12" s="489">
        <f t="shared" si="112"/>
        <v>0</v>
      </c>
      <c r="I12" s="487">
        <v>529.80840000000012</v>
      </c>
      <c r="J12" s="488">
        <f t="shared" si="1"/>
        <v>9.4339102564102593</v>
      </c>
      <c r="K12" s="489">
        <f t="shared" si="113"/>
        <v>0</v>
      </c>
      <c r="L12" s="487"/>
      <c r="M12" s="488">
        <f t="shared" si="2"/>
        <v>0</v>
      </c>
      <c r="N12" s="489">
        <f t="shared" si="114"/>
        <v>0</v>
      </c>
      <c r="O12" s="487">
        <v>12.000000000000014</v>
      </c>
      <c r="P12" s="488">
        <f t="shared" si="3"/>
        <v>0.21367521367521394</v>
      </c>
      <c r="Q12" s="489">
        <f t="shared" si="115"/>
        <v>0</v>
      </c>
      <c r="R12" s="487">
        <v>7.6875</v>
      </c>
      <c r="S12" s="488">
        <f t="shared" si="4"/>
        <v>0.13688568376068377</v>
      </c>
      <c r="T12" s="489">
        <f t="shared" si="116"/>
        <v>0</v>
      </c>
      <c r="U12" s="487">
        <v>6.2499999999999858</v>
      </c>
      <c r="V12" s="488">
        <f t="shared" si="5"/>
        <v>0.11128917378917354</v>
      </c>
      <c r="W12" s="489">
        <f t="shared" si="117"/>
        <v>0</v>
      </c>
      <c r="X12" s="487"/>
      <c r="Y12" s="488">
        <f t="shared" si="6"/>
        <v>0</v>
      </c>
      <c r="Z12" s="489">
        <f t="shared" si="118"/>
        <v>0</v>
      </c>
      <c r="AA12" s="487"/>
      <c r="AB12" s="488">
        <f t="shared" si="7"/>
        <v>0</v>
      </c>
      <c r="AC12" s="489">
        <f t="shared" si="119"/>
        <v>0</v>
      </c>
      <c r="AD12" s="487"/>
      <c r="AE12" s="488">
        <f t="shared" si="8"/>
        <v>0</v>
      </c>
      <c r="AF12" s="489">
        <f t="shared" si="120"/>
        <v>0</v>
      </c>
      <c r="AG12" s="487"/>
      <c r="AH12" s="488">
        <f t="shared" si="9"/>
        <v>0</v>
      </c>
      <c r="AI12" s="489">
        <f t="shared" si="121"/>
        <v>0</v>
      </c>
      <c r="AJ12" s="487"/>
      <c r="AK12" s="488">
        <f t="shared" si="10"/>
        <v>0</v>
      </c>
      <c r="AL12" s="489">
        <f t="shared" si="122"/>
        <v>0</v>
      </c>
      <c r="AM12" s="487">
        <v>48.053700000000049</v>
      </c>
      <c r="AN12" s="488">
        <f t="shared" si="11"/>
        <v>0.85565705128205216</v>
      </c>
      <c r="AO12" s="489">
        <f t="shared" si="123"/>
        <v>0</v>
      </c>
      <c r="AP12" s="487"/>
      <c r="AQ12" s="488">
        <f t="shared" si="12"/>
        <v>0</v>
      </c>
      <c r="AR12" s="489">
        <f t="shared" si="124"/>
        <v>0</v>
      </c>
      <c r="AS12" s="487"/>
      <c r="AT12" s="488">
        <f t="shared" si="13"/>
        <v>0</v>
      </c>
      <c r="AU12" s="489">
        <f t="shared" si="125"/>
        <v>0</v>
      </c>
      <c r="AV12" s="487">
        <v>5.5499999999998408</v>
      </c>
      <c r="AW12" s="488">
        <f t="shared" si="14"/>
        <v>9.8824786324783503E-2</v>
      </c>
      <c r="AX12" s="489">
        <f t="shared" si="126"/>
        <v>0</v>
      </c>
      <c r="AY12" s="487">
        <v>59.441200000000094</v>
      </c>
      <c r="AZ12" s="488">
        <f t="shared" si="15"/>
        <v>1.0584259259259277</v>
      </c>
      <c r="BA12" s="489">
        <f t="shared" si="127"/>
        <v>0</v>
      </c>
      <c r="BB12" s="487"/>
      <c r="BC12" s="488">
        <f t="shared" si="16"/>
        <v>0</v>
      </c>
      <c r="BD12" s="489">
        <f t="shared" si="128"/>
        <v>0</v>
      </c>
      <c r="BE12" s="487"/>
      <c r="BF12" s="488">
        <f t="shared" si="17"/>
        <v>0</v>
      </c>
      <c r="BG12" s="489">
        <f t="shared" si="129"/>
        <v>0</v>
      </c>
      <c r="BH12" s="487"/>
      <c r="BI12" s="488">
        <f t="shared" si="18"/>
        <v>0</v>
      </c>
      <c r="BJ12" s="489">
        <f t="shared" si="130"/>
        <v>0</v>
      </c>
      <c r="BK12" s="487"/>
      <c r="BL12" s="488">
        <f t="shared" si="19"/>
        <v>0</v>
      </c>
      <c r="BM12" s="489">
        <f t="shared" si="131"/>
        <v>0</v>
      </c>
      <c r="BN12" s="487">
        <v>30.370370370370409</v>
      </c>
      <c r="BO12" s="488">
        <f t="shared" si="20"/>
        <v>0.54078294819035633</v>
      </c>
      <c r="BP12" s="489">
        <f t="shared" si="132"/>
        <v>0</v>
      </c>
      <c r="BQ12" s="487"/>
      <c r="BR12" s="488">
        <f t="shared" si="21"/>
        <v>0</v>
      </c>
      <c r="BS12" s="489">
        <f t="shared" si="133"/>
        <v>0</v>
      </c>
      <c r="BT12" s="487"/>
      <c r="BU12" s="488">
        <f t="shared" si="22"/>
        <v>0</v>
      </c>
      <c r="BV12" s="489">
        <f t="shared" si="134"/>
        <v>0</v>
      </c>
      <c r="BW12" s="487"/>
      <c r="BX12" s="488">
        <f t="shared" si="23"/>
        <v>0</v>
      </c>
      <c r="BY12" s="489">
        <f t="shared" si="135"/>
        <v>0</v>
      </c>
      <c r="BZ12" s="487"/>
      <c r="CA12" s="488">
        <f t="shared" si="24"/>
        <v>0</v>
      </c>
      <c r="CB12" s="489">
        <f t="shared" si="136"/>
        <v>0</v>
      </c>
      <c r="CC12" s="487">
        <v>0</v>
      </c>
      <c r="CD12" s="488">
        <f t="shared" si="25"/>
        <v>0</v>
      </c>
      <c r="CE12" s="489">
        <f t="shared" si="137"/>
        <v>0</v>
      </c>
      <c r="CF12" s="487">
        <v>5</v>
      </c>
      <c r="CG12" s="488">
        <f t="shared" si="26"/>
        <v>8.9031339031339043E-2</v>
      </c>
      <c r="CH12" s="489">
        <f t="shared" si="138"/>
        <v>0</v>
      </c>
      <c r="CI12" s="487"/>
      <c r="CJ12" s="488">
        <f t="shared" si="27"/>
        <v>0</v>
      </c>
      <c r="CK12" s="489">
        <f t="shared" si="139"/>
        <v>0</v>
      </c>
      <c r="CL12" s="487"/>
      <c r="CM12" s="488">
        <f t="shared" si="28"/>
        <v>0</v>
      </c>
      <c r="CN12" s="489">
        <f t="shared" si="140"/>
        <v>0</v>
      </c>
      <c r="CO12" s="487"/>
      <c r="CP12" s="488">
        <f t="shared" si="29"/>
        <v>0</v>
      </c>
      <c r="CQ12" s="489">
        <f t="shared" si="141"/>
        <v>0</v>
      </c>
      <c r="CR12" s="487"/>
      <c r="CS12" s="488">
        <f t="shared" si="30"/>
        <v>0</v>
      </c>
      <c r="CT12" s="489">
        <f t="shared" si="142"/>
        <v>0</v>
      </c>
      <c r="CU12" s="487"/>
      <c r="CV12" s="488">
        <f t="shared" si="31"/>
        <v>0</v>
      </c>
      <c r="CW12" s="489">
        <f t="shared" si="143"/>
        <v>0</v>
      </c>
      <c r="CX12" s="487"/>
      <c r="CY12" s="488">
        <f t="shared" si="32"/>
        <v>0</v>
      </c>
      <c r="CZ12" s="489">
        <f t="shared" si="144"/>
        <v>0</v>
      </c>
      <c r="DA12" s="487"/>
      <c r="DB12" s="488">
        <f t="shared" si="33"/>
        <v>0</v>
      </c>
      <c r="DC12" s="489">
        <f t="shared" si="145"/>
        <v>0</v>
      </c>
      <c r="DD12" s="487"/>
      <c r="DE12" s="488">
        <f t="shared" si="34"/>
        <v>0</v>
      </c>
      <c r="DF12" s="489">
        <f t="shared" si="146"/>
        <v>0</v>
      </c>
      <c r="DG12" s="487"/>
      <c r="DH12" s="488">
        <f t="shared" si="35"/>
        <v>0</v>
      </c>
      <c r="DI12" s="489">
        <v>0</v>
      </c>
      <c r="DJ12" s="487"/>
      <c r="DK12" s="488">
        <f t="shared" si="36"/>
        <v>0</v>
      </c>
      <c r="DL12" s="489">
        <f t="shared" si="147"/>
        <v>0</v>
      </c>
      <c r="DM12" s="487"/>
      <c r="DN12" s="488">
        <f t="shared" si="37"/>
        <v>0</v>
      </c>
      <c r="DO12" s="489">
        <f t="shared" si="148"/>
        <v>0</v>
      </c>
      <c r="DP12" s="487"/>
      <c r="DQ12" s="488">
        <f t="shared" si="38"/>
        <v>0</v>
      </c>
      <c r="DR12" s="489">
        <f t="shared" si="149"/>
        <v>0</v>
      </c>
      <c r="DS12" s="487"/>
      <c r="DT12" s="488">
        <f t="shared" si="39"/>
        <v>0</v>
      </c>
      <c r="DU12" s="489">
        <f t="shared" si="150"/>
        <v>0</v>
      </c>
      <c r="DV12" s="487"/>
      <c r="DW12" s="488">
        <f t="shared" si="40"/>
        <v>0</v>
      </c>
      <c r="DX12" s="489">
        <f t="shared" si="151"/>
        <v>0</v>
      </c>
      <c r="DY12" s="487">
        <v>0</v>
      </c>
      <c r="DZ12" s="488">
        <f t="shared" si="41"/>
        <v>0</v>
      </c>
      <c r="EA12" s="489">
        <f t="shared" si="152"/>
        <v>0</v>
      </c>
      <c r="EB12" s="487">
        <v>14.534883720930225</v>
      </c>
      <c r="EC12" s="488">
        <f t="shared" si="42"/>
        <v>0.25881203206784592</v>
      </c>
      <c r="ED12" s="489">
        <f t="shared" si="153"/>
        <v>0</v>
      </c>
      <c r="EE12" s="487">
        <v>6</v>
      </c>
      <c r="EF12" s="488">
        <f t="shared" si="43"/>
        <v>0.10683760683760685</v>
      </c>
      <c r="EG12" s="489">
        <f t="shared" si="154"/>
        <v>0</v>
      </c>
      <c r="EH12" s="487"/>
      <c r="EI12" s="488">
        <f t="shared" si="44"/>
        <v>0</v>
      </c>
      <c r="EJ12" s="489">
        <f t="shared" si="155"/>
        <v>0</v>
      </c>
      <c r="EK12" s="487"/>
      <c r="EL12" s="488">
        <f t="shared" si="45"/>
        <v>0</v>
      </c>
      <c r="EM12" s="489">
        <f t="shared" si="156"/>
        <v>0</v>
      </c>
      <c r="EN12" s="487"/>
      <c r="EO12" s="488">
        <f t="shared" si="46"/>
        <v>0</v>
      </c>
      <c r="EP12" s="489">
        <f t="shared" si="157"/>
        <v>0</v>
      </c>
      <c r="EQ12" s="487"/>
      <c r="ER12" s="488">
        <f t="shared" si="47"/>
        <v>0</v>
      </c>
      <c r="ES12" s="489">
        <f t="shared" si="158"/>
        <v>0</v>
      </c>
      <c r="ET12" s="487"/>
      <c r="EU12" s="488">
        <f t="shared" si="48"/>
        <v>0</v>
      </c>
      <c r="EV12" s="489">
        <f t="shared" si="159"/>
        <v>0</v>
      </c>
      <c r="EW12" s="487"/>
      <c r="EX12" s="488">
        <f t="shared" si="49"/>
        <v>0</v>
      </c>
      <c r="EY12" s="489">
        <f t="shared" si="160"/>
        <v>0</v>
      </c>
      <c r="EZ12" s="487"/>
      <c r="FA12" s="488">
        <f t="shared" si="50"/>
        <v>0</v>
      </c>
      <c r="FB12" s="489">
        <f t="shared" si="161"/>
        <v>0</v>
      </c>
      <c r="FC12" s="487"/>
      <c r="FD12" s="488">
        <f t="shared" si="51"/>
        <v>0</v>
      </c>
      <c r="FE12" s="489">
        <f t="shared" si="162"/>
        <v>0</v>
      </c>
      <c r="FF12" s="487"/>
      <c r="FG12" s="488">
        <f t="shared" si="52"/>
        <v>0</v>
      </c>
      <c r="FH12" s="489">
        <f t="shared" si="163"/>
        <v>0</v>
      </c>
      <c r="FI12" s="487"/>
      <c r="FJ12" s="488">
        <f t="shared" si="53"/>
        <v>0</v>
      </c>
      <c r="FK12" s="489">
        <f t="shared" si="164"/>
        <v>0</v>
      </c>
      <c r="FL12" s="487"/>
      <c r="FM12" s="488">
        <f t="shared" si="54"/>
        <v>0</v>
      </c>
      <c r="FN12" s="489">
        <f t="shared" si="165"/>
        <v>0</v>
      </c>
      <c r="FO12" s="487"/>
      <c r="FP12" s="488">
        <f t="shared" si="55"/>
        <v>0</v>
      </c>
      <c r="FQ12" s="489">
        <f t="shared" si="166"/>
        <v>0</v>
      </c>
      <c r="FR12" s="487"/>
      <c r="FS12" s="488">
        <f t="shared" si="56"/>
        <v>0</v>
      </c>
      <c r="FT12" s="489">
        <f t="shared" si="167"/>
        <v>0</v>
      </c>
      <c r="FU12" s="487"/>
      <c r="FV12" s="488">
        <f t="shared" si="57"/>
        <v>0</v>
      </c>
      <c r="FW12" s="489">
        <f t="shared" si="168"/>
        <v>0</v>
      </c>
      <c r="FX12" s="487"/>
      <c r="FY12" s="488">
        <f t="shared" si="58"/>
        <v>0</v>
      </c>
      <c r="FZ12" s="489">
        <f t="shared" si="169"/>
        <v>0</v>
      </c>
      <c r="GA12" s="487"/>
      <c r="GB12" s="488">
        <f t="shared" si="59"/>
        <v>0</v>
      </c>
      <c r="GC12" s="489">
        <f t="shared" si="170"/>
        <v>0</v>
      </c>
      <c r="GD12" s="487"/>
      <c r="GE12" s="488">
        <f t="shared" si="60"/>
        <v>0</v>
      </c>
      <c r="GF12" s="489">
        <f t="shared" si="171"/>
        <v>0</v>
      </c>
      <c r="GG12" s="487"/>
      <c r="GH12" s="488">
        <f t="shared" si="61"/>
        <v>0</v>
      </c>
      <c r="GI12" s="489">
        <f t="shared" si="172"/>
        <v>0</v>
      </c>
      <c r="GJ12" s="487"/>
      <c r="GK12" s="488">
        <f t="shared" si="62"/>
        <v>0</v>
      </c>
      <c r="GL12" s="489">
        <f t="shared" si="173"/>
        <v>0</v>
      </c>
      <c r="GM12" s="487"/>
      <c r="GN12" s="488">
        <f t="shared" si="63"/>
        <v>0</v>
      </c>
      <c r="GO12" s="489">
        <f t="shared" si="174"/>
        <v>0</v>
      </c>
      <c r="GP12" s="487"/>
      <c r="GQ12" s="488">
        <f t="shared" si="64"/>
        <v>0</v>
      </c>
      <c r="GR12" s="489">
        <f t="shared" si="175"/>
        <v>0</v>
      </c>
      <c r="GS12" s="487"/>
      <c r="GT12" s="488">
        <f t="shared" si="65"/>
        <v>0</v>
      </c>
      <c r="GU12" s="489">
        <f t="shared" si="176"/>
        <v>0</v>
      </c>
      <c r="GV12" s="487"/>
      <c r="GW12" s="488">
        <f t="shared" si="66"/>
        <v>0</v>
      </c>
      <c r="GX12" s="489">
        <f t="shared" si="177"/>
        <v>0</v>
      </c>
      <c r="GY12" s="487"/>
      <c r="GZ12" s="488">
        <f t="shared" si="67"/>
        <v>0</v>
      </c>
      <c r="HA12" s="489">
        <f t="shared" si="178"/>
        <v>0</v>
      </c>
      <c r="HB12" s="487"/>
      <c r="HC12" s="488">
        <f t="shared" si="68"/>
        <v>0</v>
      </c>
      <c r="HD12" s="489">
        <f t="shared" si="179"/>
        <v>0</v>
      </c>
      <c r="HE12" s="487"/>
      <c r="HF12" s="488">
        <f t="shared" si="69"/>
        <v>0</v>
      </c>
      <c r="HG12" s="489">
        <f t="shared" si="180"/>
        <v>0</v>
      </c>
      <c r="HH12" s="487"/>
      <c r="HI12" s="488">
        <f t="shared" si="70"/>
        <v>0</v>
      </c>
      <c r="HJ12" s="489">
        <f t="shared" si="181"/>
        <v>0</v>
      </c>
      <c r="HK12" s="487"/>
      <c r="HL12" s="488">
        <f t="shared" si="71"/>
        <v>0</v>
      </c>
      <c r="HM12" s="489">
        <f t="shared" si="182"/>
        <v>0</v>
      </c>
      <c r="HN12" s="487"/>
      <c r="HO12" s="488">
        <f t="shared" si="72"/>
        <v>0</v>
      </c>
      <c r="HP12" s="489">
        <f t="shared" si="183"/>
        <v>0</v>
      </c>
      <c r="HQ12" s="487"/>
      <c r="HR12" s="488">
        <f t="shared" si="73"/>
        <v>0</v>
      </c>
      <c r="HS12" s="489">
        <f t="shared" si="184"/>
        <v>0</v>
      </c>
      <c r="HT12" s="487"/>
      <c r="HU12" s="488">
        <f t="shared" si="74"/>
        <v>0</v>
      </c>
      <c r="HV12" s="489">
        <f t="shared" si="185"/>
        <v>0</v>
      </c>
      <c r="HW12" s="487"/>
      <c r="HX12" s="488">
        <f t="shared" si="75"/>
        <v>0</v>
      </c>
      <c r="HY12" s="489">
        <f t="shared" si="186"/>
        <v>0</v>
      </c>
      <c r="HZ12" s="487"/>
      <c r="IA12" s="488">
        <f t="shared" si="76"/>
        <v>0</v>
      </c>
      <c r="IB12" s="489">
        <f t="shared" si="187"/>
        <v>0</v>
      </c>
      <c r="IC12" s="487"/>
      <c r="ID12" s="488">
        <f t="shared" si="77"/>
        <v>0</v>
      </c>
      <c r="IE12" s="489">
        <f t="shared" si="188"/>
        <v>0</v>
      </c>
      <c r="IF12" s="487"/>
      <c r="IG12" s="488">
        <f t="shared" si="78"/>
        <v>0</v>
      </c>
      <c r="IH12" s="489">
        <f t="shared" si="189"/>
        <v>0</v>
      </c>
      <c r="II12" s="487"/>
      <c r="IJ12" s="488">
        <f t="shared" si="79"/>
        <v>0</v>
      </c>
      <c r="IK12" s="489">
        <f t="shared" si="190"/>
        <v>0</v>
      </c>
      <c r="IL12" s="487"/>
      <c r="IM12" s="488">
        <f t="shared" si="80"/>
        <v>0</v>
      </c>
      <c r="IN12" s="489">
        <f t="shared" si="191"/>
        <v>0</v>
      </c>
      <c r="IO12" s="487"/>
      <c r="IP12" s="488">
        <f t="shared" si="81"/>
        <v>0</v>
      </c>
      <c r="IQ12" s="489">
        <f t="shared" si="192"/>
        <v>0</v>
      </c>
      <c r="IR12" s="487"/>
      <c r="IS12" s="488">
        <f t="shared" si="82"/>
        <v>0</v>
      </c>
      <c r="IT12" s="489">
        <f t="shared" si="193"/>
        <v>0</v>
      </c>
      <c r="IU12" s="487"/>
      <c r="IV12" s="488">
        <f t="shared" si="83"/>
        <v>0</v>
      </c>
      <c r="IW12" s="489">
        <f t="shared" si="194"/>
        <v>0</v>
      </c>
      <c r="IX12" s="487"/>
      <c r="IY12" s="488">
        <f t="shared" si="84"/>
        <v>0</v>
      </c>
      <c r="IZ12" s="489">
        <f t="shared" si="195"/>
        <v>0</v>
      </c>
      <c r="JA12" s="487"/>
      <c r="JB12" s="488">
        <f t="shared" si="85"/>
        <v>0</v>
      </c>
      <c r="JC12" s="489">
        <f t="shared" si="196"/>
        <v>0</v>
      </c>
      <c r="JD12" s="487"/>
      <c r="JE12" s="488">
        <f t="shared" si="86"/>
        <v>0</v>
      </c>
      <c r="JF12" s="489">
        <f t="shared" si="197"/>
        <v>0</v>
      </c>
      <c r="JG12" s="487"/>
      <c r="JH12" s="488">
        <f t="shared" si="87"/>
        <v>0</v>
      </c>
      <c r="JI12" s="489">
        <f t="shared" si="198"/>
        <v>0</v>
      </c>
      <c r="JJ12" s="487"/>
      <c r="JK12" s="489" t="str">
        <f t="shared" si="88"/>
        <v>0</v>
      </c>
      <c r="JL12" s="489" t="str">
        <f t="shared" si="89"/>
        <v>0</v>
      </c>
      <c r="JM12" s="487"/>
      <c r="JN12" s="489" t="str">
        <f t="shared" si="90"/>
        <v>0</v>
      </c>
      <c r="JO12" s="489" t="str">
        <f t="shared" si="91"/>
        <v>0</v>
      </c>
      <c r="JP12" s="487"/>
      <c r="JQ12" s="489" t="str">
        <f t="shared" si="92"/>
        <v>0</v>
      </c>
      <c r="JR12" s="489" t="str">
        <f t="shared" si="93"/>
        <v>0</v>
      </c>
      <c r="JS12" s="487"/>
      <c r="JT12" s="489" t="str">
        <f t="shared" si="94"/>
        <v>0</v>
      </c>
      <c r="JU12" s="489" t="str">
        <f t="shared" si="95"/>
        <v>0</v>
      </c>
      <c r="JV12" s="487"/>
      <c r="JW12" s="489" t="str">
        <f t="shared" si="96"/>
        <v>0</v>
      </c>
      <c r="JX12" s="489" t="str">
        <f t="shared" si="97"/>
        <v>0</v>
      </c>
      <c r="JY12" s="487"/>
      <c r="JZ12" s="489" t="str">
        <f t="shared" si="98"/>
        <v>0</v>
      </c>
      <c r="KA12" s="489" t="str">
        <f t="shared" si="99"/>
        <v>0</v>
      </c>
      <c r="KB12" s="487"/>
      <c r="KC12" s="489" t="str">
        <f t="shared" si="100"/>
        <v>0</v>
      </c>
      <c r="KD12" s="489" t="str">
        <f t="shared" si="101"/>
        <v>0</v>
      </c>
      <c r="KE12" s="487"/>
      <c r="KF12" s="489" t="str">
        <f t="shared" si="102"/>
        <v>0</v>
      </c>
      <c r="KG12" s="489" t="str">
        <f t="shared" si="103"/>
        <v>0</v>
      </c>
      <c r="KH12" s="487"/>
      <c r="KI12" s="489" t="str">
        <f t="shared" si="104"/>
        <v>0</v>
      </c>
      <c r="KJ12" s="489" t="str">
        <f t="shared" si="105"/>
        <v>0</v>
      </c>
      <c r="KK12" s="487"/>
      <c r="KL12" s="489" t="str">
        <f t="shared" si="106"/>
        <v>0</v>
      </c>
      <c r="KM12" s="489" t="str">
        <f t="shared" si="107"/>
        <v>0</v>
      </c>
      <c r="KN12" s="487"/>
      <c r="KO12" s="489" t="str">
        <f t="shared" si="108"/>
        <v>0</v>
      </c>
      <c r="KP12" s="489" t="str">
        <f t="shared" si="109"/>
        <v>0</v>
      </c>
      <c r="KQ12" s="487"/>
      <c r="KR12" s="489" t="str">
        <f t="shared" si="110"/>
        <v>0</v>
      </c>
      <c r="KS12" s="489" t="str">
        <f t="shared" si="111"/>
        <v>0</v>
      </c>
      <c r="KT12" s="489">
        <f t="shared" ref="KT12:KT42" si="201">H12+K12+N12+Q12+T12+W12+Z12+AC12+AF12+AI12+AL12+AO12+AR12+AU12+AX12+BA12+BD12+BG12+BJ12+BM12+BP12+BS12+BV12+BY12+CB12+CE12+CH12+CK12+CN12+CQ12+CT12+CW12+CZ12+DC12+DF12+DI12+DL12+DO12+DR12+DU12+DX12+EA12+ED12+EG12+EJ12+EM12+EP12+ES12+EV12+EY12+FB12+FE12+FH12+FK12+FN12+FQ12+FT12+FW12+FZ12+GC12</f>
        <v>0</v>
      </c>
      <c r="KU12" s="489">
        <f t="shared" ref="KU12:KU42" si="202">GF12+GI12+GL12+GO12+GR12+GU12+GX12+HA12+HD12+HG12+HJ12+HM12+HP12+HS12+HV12+HY12+IB12+IE12+IH12+IK12+IN12+IQ12+IT12+IW12+IZ12+JC12+JF12+JI12+JL12+JO12+JR12+JU12+JX12++KA12+KD12+KG12+KJ12++KM12+KP12+KS12</f>
        <v>0</v>
      </c>
      <c r="KV12" s="259">
        <f t="shared" si="199"/>
        <v>724.69605409130077</v>
      </c>
    </row>
    <row r="13" spans="1:309" ht="15" customHeight="1">
      <c r="A13" s="261">
        <f t="shared" si="200"/>
        <v>46116</v>
      </c>
      <c r="B13" s="262" t="str">
        <f>+Report1!B12</f>
        <v>Napkin</v>
      </c>
      <c r="C13" s="382" t="str">
        <f>+Report1!C12</f>
        <v>11/16,5/17</v>
      </c>
      <c r="D13" s="263">
        <f>+Report1!P12</f>
        <v>50.426000000000002</v>
      </c>
      <c r="E13" s="264">
        <f>+Report1!R12</f>
        <v>45.530999999999999</v>
      </c>
      <c r="F13" s="487"/>
      <c r="G13" s="488">
        <f t="shared" si="0"/>
        <v>0</v>
      </c>
      <c r="H13" s="489">
        <f t="shared" si="112"/>
        <v>0</v>
      </c>
      <c r="I13" s="487">
        <v>662.78905581395361</v>
      </c>
      <c r="J13" s="488">
        <f t="shared" si="1"/>
        <v>14.556874564888837</v>
      </c>
      <c r="K13" s="489">
        <f t="shared" si="113"/>
        <v>0</v>
      </c>
      <c r="L13" s="487"/>
      <c r="M13" s="488">
        <f t="shared" si="2"/>
        <v>0</v>
      </c>
      <c r="N13" s="489">
        <f t="shared" si="114"/>
        <v>0</v>
      </c>
      <c r="O13" s="487">
        <v>10.5</v>
      </c>
      <c r="P13" s="488">
        <f t="shared" si="3"/>
        <v>0.23061211043025631</v>
      </c>
      <c r="Q13" s="489">
        <f t="shared" si="115"/>
        <v>0</v>
      </c>
      <c r="R13" s="487">
        <v>7.6875000000000284</v>
      </c>
      <c r="S13" s="488">
        <f t="shared" si="4"/>
        <v>0.16884100942215258</v>
      </c>
      <c r="T13" s="489">
        <f t="shared" si="116"/>
        <v>0</v>
      </c>
      <c r="U13" s="487">
        <v>2.3437500000000142</v>
      </c>
      <c r="V13" s="488">
        <f t="shared" si="5"/>
        <v>5.1475917506753954E-2</v>
      </c>
      <c r="W13" s="489">
        <f t="shared" si="117"/>
        <v>0</v>
      </c>
      <c r="X13" s="487"/>
      <c r="Y13" s="488">
        <f t="shared" si="6"/>
        <v>0</v>
      </c>
      <c r="Z13" s="489">
        <f t="shared" si="118"/>
        <v>0</v>
      </c>
      <c r="AA13" s="487"/>
      <c r="AB13" s="488">
        <f t="shared" si="7"/>
        <v>0</v>
      </c>
      <c r="AC13" s="489">
        <f t="shared" si="119"/>
        <v>0</v>
      </c>
      <c r="AD13" s="487"/>
      <c r="AE13" s="488">
        <f t="shared" si="8"/>
        <v>0</v>
      </c>
      <c r="AF13" s="489">
        <f t="shared" si="120"/>
        <v>0</v>
      </c>
      <c r="AG13" s="487"/>
      <c r="AH13" s="488">
        <f t="shared" si="9"/>
        <v>0</v>
      </c>
      <c r="AI13" s="489">
        <f t="shared" si="121"/>
        <v>0</v>
      </c>
      <c r="AJ13" s="487"/>
      <c r="AK13" s="488">
        <f t="shared" si="10"/>
        <v>0</v>
      </c>
      <c r="AL13" s="489">
        <f t="shared" si="122"/>
        <v>0</v>
      </c>
      <c r="AM13" s="487">
        <v>75.18889999999999</v>
      </c>
      <c r="AN13" s="488">
        <f t="shared" si="11"/>
        <v>1.6513781818980473</v>
      </c>
      <c r="AO13" s="489">
        <f t="shared" si="123"/>
        <v>0</v>
      </c>
      <c r="AP13" s="487"/>
      <c r="AQ13" s="488">
        <f t="shared" si="12"/>
        <v>0</v>
      </c>
      <c r="AR13" s="489">
        <f t="shared" si="124"/>
        <v>0</v>
      </c>
      <c r="AS13" s="487"/>
      <c r="AT13" s="488">
        <f t="shared" si="13"/>
        <v>0</v>
      </c>
      <c r="AU13" s="489">
        <f t="shared" si="125"/>
        <v>0</v>
      </c>
      <c r="AV13" s="487">
        <v>5.5500000000000682</v>
      </c>
      <c r="AW13" s="488">
        <f t="shared" si="14"/>
        <v>0.12189497265599412</v>
      </c>
      <c r="AX13" s="489">
        <f t="shared" si="126"/>
        <v>0</v>
      </c>
      <c r="AY13" s="487">
        <v>36.974799999999959</v>
      </c>
      <c r="AZ13" s="488">
        <f t="shared" si="15"/>
        <v>0.81207968197491731</v>
      </c>
      <c r="BA13" s="489">
        <f t="shared" si="127"/>
        <v>0</v>
      </c>
      <c r="BB13" s="487"/>
      <c r="BC13" s="488">
        <f t="shared" si="16"/>
        <v>0</v>
      </c>
      <c r="BD13" s="489">
        <f t="shared" si="128"/>
        <v>0</v>
      </c>
      <c r="BE13" s="487"/>
      <c r="BF13" s="488">
        <f t="shared" si="17"/>
        <v>0</v>
      </c>
      <c r="BG13" s="489">
        <f t="shared" si="129"/>
        <v>0</v>
      </c>
      <c r="BH13" s="487"/>
      <c r="BI13" s="488">
        <f t="shared" si="18"/>
        <v>0</v>
      </c>
      <c r="BJ13" s="489">
        <f t="shared" si="130"/>
        <v>0</v>
      </c>
      <c r="BK13" s="487"/>
      <c r="BL13" s="488">
        <f t="shared" si="19"/>
        <v>0</v>
      </c>
      <c r="BM13" s="489">
        <f t="shared" si="131"/>
        <v>0</v>
      </c>
      <c r="BN13" s="487">
        <v>26.574074074074048</v>
      </c>
      <c r="BO13" s="488">
        <f t="shared" si="20"/>
        <v>0.58364793380496915</v>
      </c>
      <c r="BP13" s="489">
        <f t="shared" si="132"/>
        <v>0</v>
      </c>
      <c r="BQ13" s="487"/>
      <c r="BR13" s="488">
        <f t="shared" si="21"/>
        <v>0</v>
      </c>
      <c r="BS13" s="489">
        <f t="shared" si="133"/>
        <v>0</v>
      </c>
      <c r="BT13" s="487"/>
      <c r="BU13" s="488">
        <f t="shared" si="22"/>
        <v>0</v>
      </c>
      <c r="BV13" s="489">
        <f t="shared" si="134"/>
        <v>0</v>
      </c>
      <c r="BW13" s="487"/>
      <c r="BX13" s="488">
        <f t="shared" si="23"/>
        <v>0</v>
      </c>
      <c r="BY13" s="489">
        <f t="shared" si="135"/>
        <v>0</v>
      </c>
      <c r="BZ13" s="487"/>
      <c r="CA13" s="488">
        <f t="shared" si="24"/>
        <v>0</v>
      </c>
      <c r="CB13" s="489">
        <f t="shared" si="136"/>
        <v>0</v>
      </c>
      <c r="CC13" s="487">
        <v>10</v>
      </c>
      <c r="CD13" s="488">
        <f t="shared" si="25"/>
        <v>0.21963058136214886</v>
      </c>
      <c r="CE13" s="489">
        <f t="shared" si="137"/>
        <v>0</v>
      </c>
      <c r="CF13" s="487">
        <v>6</v>
      </c>
      <c r="CG13" s="488">
        <f t="shared" si="26"/>
        <v>0.13177834881728931</v>
      </c>
      <c r="CH13" s="489">
        <f t="shared" si="138"/>
        <v>0</v>
      </c>
      <c r="CI13" s="487"/>
      <c r="CJ13" s="488">
        <f t="shared" si="27"/>
        <v>0</v>
      </c>
      <c r="CK13" s="489">
        <f t="shared" si="139"/>
        <v>0</v>
      </c>
      <c r="CL13" s="487"/>
      <c r="CM13" s="488">
        <f t="shared" si="28"/>
        <v>0</v>
      </c>
      <c r="CN13" s="489">
        <f t="shared" si="140"/>
        <v>0</v>
      </c>
      <c r="CO13" s="487"/>
      <c r="CP13" s="488">
        <f t="shared" si="29"/>
        <v>0</v>
      </c>
      <c r="CQ13" s="489">
        <f t="shared" si="141"/>
        <v>0</v>
      </c>
      <c r="CR13" s="487"/>
      <c r="CS13" s="488">
        <f t="shared" si="30"/>
        <v>0</v>
      </c>
      <c r="CT13" s="489">
        <f t="shared" si="142"/>
        <v>0</v>
      </c>
      <c r="CU13" s="487"/>
      <c r="CV13" s="488">
        <f t="shared" si="31"/>
        <v>0</v>
      </c>
      <c r="CW13" s="489">
        <f t="shared" si="143"/>
        <v>0</v>
      </c>
      <c r="CX13" s="487"/>
      <c r="CY13" s="488">
        <f t="shared" si="32"/>
        <v>0</v>
      </c>
      <c r="CZ13" s="489">
        <f t="shared" si="144"/>
        <v>0</v>
      </c>
      <c r="DA13" s="487"/>
      <c r="DB13" s="488">
        <f t="shared" si="33"/>
        <v>0</v>
      </c>
      <c r="DC13" s="489">
        <f t="shared" si="145"/>
        <v>0</v>
      </c>
      <c r="DD13" s="487"/>
      <c r="DE13" s="488">
        <f t="shared" si="34"/>
        <v>0</v>
      </c>
      <c r="DF13" s="489">
        <f t="shared" si="146"/>
        <v>0</v>
      </c>
      <c r="DG13" s="487"/>
      <c r="DH13" s="488">
        <f t="shared" si="35"/>
        <v>0</v>
      </c>
      <c r="DI13" s="489">
        <v>0</v>
      </c>
      <c r="DJ13" s="487"/>
      <c r="DK13" s="488">
        <f t="shared" si="36"/>
        <v>0</v>
      </c>
      <c r="DL13" s="489">
        <f t="shared" si="147"/>
        <v>0</v>
      </c>
      <c r="DM13" s="487"/>
      <c r="DN13" s="488">
        <f t="shared" si="37"/>
        <v>0</v>
      </c>
      <c r="DO13" s="489">
        <f t="shared" si="148"/>
        <v>0</v>
      </c>
      <c r="DP13" s="487"/>
      <c r="DQ13" s="488">
        <f t="shared" si="38"/>
        <v>0</v>
      </c>
      <c r="DR13" s="489">
        <f t="shared" si="149"/>
        <v>0</v>
      </c>
      <c r="DS13" s="487"/>
      <c r="DT13" s="488">
        <f t="shared" si="39"/>
        <v>0</v>
      </c>
      <c r="DU13" s="489">
        <f t="shared" si="150"/>
        <v>0</v>
      </c>
      <c r="DV13" s="487"/>
      <c r="DW13" s="488">
        <f t="shared" si="40"/>
        <v>0</v>
      </c>
      <c r="DX13" s="489">
        <f t="shared" si="151"/>
        <v>0</v>
      </c>
      <c r="DY13" s="487">
        <v>0</v>
      </c>
      <c r="DZ13" s="488">
        <f t="shared" si="41"/>
        <v>0</v>
      </c>
      <c r="EA13" s="489">
        <f t="shared" si="152"/>
        <v>0</v>
      </c>
      <c r="EB13" s="487">
        <v>25.436046511627922</v>
      </c>
      <c r="EC13" s="488">
        <f t="shared" si="42"/>
        <v>0.55865336829034995</v>
      </c>
      <c r="ED13" s="489">
        <f t="shared" si="153"/>
        <v>0</v>
      </c>
      <c r="EE13" s="487">
        <v>5</v>
      </c>
      <c r="EF13" s="488">
        <f t="shared" si="43"/>
        <v>0.10981529068107443</v>
      </c>
      <c r="EG13" s="489">
        <f t="shared" si="154"/>
        <v>0</v>
      </c>
      <c r="EH13" s="487"/>
      <c r="EI13" s="488">
        <f t="shared" si="44"/>
        <v>0</v>
      </c>
      <c r="EJ13" s="489">
        <f t="shared" si="155"/>
        <v>0</v>
      </c>
      <c r="EK13" s="487"/>
      <c r="EL13" s="488">
        <f t="shared" si="45"/>
        <v>0</v>
      </c>
      <c r="EM13" s="489">
        <f t="shared" si="156"/>
        <v>0</v>
      </c>
      <c r="EN13" s="487"/>
      <c r="EO13" s="488">
        <f t="shared" si="46"/>
        <v>0</v>
      </c>
      <c r="EP13" s="489">
        <f t="shared" si="157"/>
        <v>0</v>
      </c>
      <c r="EQ13" s="487"/>
      <c r="ER13" s="488">
        <f t="shared" si="47"/>
        <v>0</v>
      </c>
      <c r="ES13" s="489">
        <f t="shared" si="158"/>
        <v>0</v>
      </c>
      <c r="ET13" s="487"/>
      <c r="EU13" s="488">
        <f t="shared" si="48"/>
        <v>0</v>
      </c>
      <c r="EV13" s="489">
        <f t="shared" si="159"/>
        <v>0</v>
      </c>
      <c r="EW13" s="487"/>
      <c r="EX13" s="488">
        <f t="shared" si="49"/>
        <v>0</v>
      </c>
      <c r="EY13" s="489">
        <f t="shared" si="160"/>
        <v>0</v>
      </c>
      <c r="EZ13" s="487"/>
      <c r="FA13" s="488">
        <f t="shared" si="50"/>
        <v>0</v>
      </c>
      <c r="FB13" s="489">
        <f t="shared" si="161"/>
        <v>0</v>
      </c>
      <c r="FC13" s="487"/>
      <c r="FD13" s="488">
        <f t="shared" si="51"/>
        <v>0</v>
      </c>
      <c r="FE13" s="489">
        <f t="shared" si="162"/>
        <v>0</v>
      </c>
      <c r="FF13" s="487"/>
      <c r="FG13" s="488">
        <f t="shared" si="52"/>
        <v>0</v>
      </c>
      <c r="FH13" s="489">
        <f t="shared" si="163"/>
        <v>0</v>
      </c>
      <c r="FI13" s="487"/>
      <c r="FJ13" s="488">
        <f t="shared" si="53"/>
        <v>0</v>
      </c>
      <c r="FK13" s="489">
        <f t="shared" si="164"/>
        <v>0</v>
      </c>
      <c r="FL13" s="487"/>
      <c r="FM13" s="488">
        <f t="shared" si="54"/>
        <v>0</v>
      </c>
      <c r="FN13" s="489">
        <f t="shared" si="165"/>
        <v>0</v>
      </c>
      <c r="FO13" s="487"/>
      <c r="FP13" s="488">
        <f t="shared" si="55"/>
        <v>0</v>
      </c>
      <c r="FQ13" s="489">
        <f t="shared" si="166"/>
        <v>0</v>
      </c>
      <c r="FR13" s="487"/>
      <c r="FS13" s="488">
        <f t="shared" si="56"/>
        <v>0</v>
      </c>
      <c r="FT13" s="489">
        <f t="shared" si="167"/>
        <v>0</v>
      </c>
      <c r="FU13" s="487"/>
      <c r="FV13" s="488">
        <f t="shared" si="57"/>
        <v>0</v>
      </c>
      <c r="FW13" s="489">
        <f t="shared" si="168"/>
        <v>0</v>
      </c>
      <c r="FX13" s="487"/>
      <c r="FY13" s="488">
        <f t="shared" si="58"/>
        <v>0</v>
      </c>
      <c r="FZ13" s="489">
        <f t="shared" si="169"/>
        <v>0</v>
      </c>
      <c r="GA13" s="487"/>
      <c r="GB13" s="488">
        <f t="shared" si="59"/>
        <v>0</v>
      </c>
      <c r="GC13" s="489">
        <f t="shared" si="170"/>
        <v>0</v>
      </c>
      <c r="GD13" s="487"/>
      <c r="GE13" s="488">
        <f t="shared" si="60"/>
        <v>0</v>
      </c>
      <c r="GF13" s="489">
        <f t="shared" si="171"/>
        <v>0</v>
      </c>
      <c r="GG13" s="487"/>
      <c r="GH13" s="488">
        <f t="shared" si="61"/>
        <v>0</v>
      </c>
      <c r="GI13" s="489">
        <f t="shared" si="172"/>
        <v>0</v>
      </c>
      <c r="GJ13" s="487"/>
      <c r="GK13" s="488">
        <f t="shared" si="62"/>
        <v>0</v>
      </c>
      <c r="GL13" s="489">
        <f t="shared" si="173"/>
        <v>0</v>
      </c>
      <c r="GM13" s="487"/>
      <c r="GN13" s="488">
        <f t="shared" si="63"/>
        <v>0</v>
      </c>
      <c r="GO13" s="489">
        <f t="shared" si="174"/>
        <v>0</v>
      </c>
      <c r="GP13" s="487"/>
      <c r="GQ13" s="488">
        <f t="shared" si="64"/>
        <v>0</v>
      </c>
      <c r="GR13" s="489">
        <f t="shared" si="175"/>
        <v>0</v>
      </c>
      <c r="GS13" s="487"/>
      <c r="GT13" s="488">
        <f t="shared" si="65"/>
        <v>0</v>
      </c>
      <c r="GU13" s="489">
        <f t="shared" si="176"/>
        <v>0</v>
      </c>
      <c r="GV13" s="487"/>
      <c r="GW13" s="488">
        <f t="shared" si="66"/>
        <v>0</v>
      </c>
      <c r="GX13" s="489">
        <f t="shared" si="177"/>
        <v>0</v>
      </c>
      <c r="GY13" s="487"/>
      <c r="GZ13" s="488">
        <f t="shared" si="67"/>
        <v>0</v>
      </c>
      <c r="HA13" s="489">
        <f t="shared" si="178"/>
        <v>0</v>
      </c>
      <c r="HB13" s="487"/>
      <c r="HC13" s="488">
        <f t="shared" si="68"/>
        <v>0</v>
      </c>
      <c r="HD13" s="489">
        <f t="shared" si="179"/>
        <v>0</v>
      </c>
      <c r="HE13" s="487"/>
      <c r="HF13" s="488">
        <f t="shared" si="69"/>
        <v>0</v>
      </c>
      <c r="HG13" s="489">
        <f t="shared" si="180"/>
        <v>0</v>
      </c>
      <c r="HH13" s="487"/>
      <c r="HI13" s="488">
        <f t="shared" si="70"/>
        <v>0</v>
      </c>
      <c r="HJ13" s="489">
        <f t="shared" si="181"/>
        <v>0</v>
      </c>
      <c r="HK13" s="487"/>
      <c r="HL13" s="488">
        <f t="shared" si="71"/>
        <v>0</v>
      </c>
      <c r="HM13" s="489">
        <f t="shared" si="182"/>
        <v>0</v>
      </c>
      <c r="HN13" s="487"/>
      <c r="HO13" s="488">
        <f t="shared" si="72"/>
        <v>0</v>
      </c>
      <c r="HP13" s="489">
        <f t="shared" si="183"/>
        <v>0</v>
      </c>
      <c r="HQ13" s="487"/>
      <c r="HR13" s="488">
        <f t="shared" si="73"/>
        <v>0</v>
      </c>
      <c r="HS13" s="489">
        <f t="shared" si="184"/>
        <v>0</v>
      </c>
      <c r="HT13" s="487"/>
      <c r="HU13" s="488">
        <f t="shared" si="74"/>
        <v>0</v>
      </c>
      <c r="HV13" s="489">
        <f t="shared" si="185"/>
        <v>0</v>
      </c>
      <c r="HW13" s="487"/>
      <c r="HX13" s="488">
        <f t="shared" si="75"/>
        <v>0</v>
      </c>
      <c r="HY13" s="489">
        <f t="shared" si="186"/>
        <v>0</v>
      </c>
      <c r="HZ13" s="487"/>
      <c r="IA13" s="488">
        <f t="shared" si="76"/>
        <v>0</v>
      </c>
      <c r="IB13" s="489">
        <f t="shared" si="187"/>
        <v>0</v>
      </c>
      <c r="IC13" s="487"/>
      <c r="ID13" s="488">
        <f t="shared" si="77"/>
        <v>0</v>
      </c>
      <c r="IE13" s="489">
        <f t="shared" si="188"/>
        <v>0</v>
      </c>
      <c r="IF13" s="487"/>
      <c r="IG13" s="488">
        <f t="shared" si="78"/>
        <v>0</v>
      </c>
      <c r="IH13" s="489">
        <f t="shared" si="189"/>
        <v>0</v>
      </c>
      <c r="II13" s="487"/>
      <c r="IJ13" s="488">
        <f t="shared" si="79"/>
        <v>0</v>
      </c>
      <c r="IK13" s="489">
        <f t="shared" si="190"/>
        <v>0</v>
      </c>
      <c r="IL13" s="487"/>
      <c r="IM13" s="488">
        <f t="shared" si="80"/>
        <v>0</v>
      </c>
      <c r="IN13" s="489">
        <f t="shared" si="191"/>
        <v>0</v>
      </c>
      <c r="IO13" s="487"/>
      <c r="IP13" s="488">
        <f t="shared" si="81"/>
        <v>0</v>
      </c>
      <c r="IQ13" s="489">
        <f t="shared" si="192"/>
        <v>0</v>
      </c>
      <c r="IR13" s="487"/>
      <c r="IS13" s="488">
        <f t="shared" si="82"/>
        <v>0</v>
      </c>
      <c r="IT13" s="489">
        <f t="shared" si="193"/>
        <v>0</v>
      </c>
      <c r="IU13" s="487"/>
      <c r="IV13" s="488">
        <f t="shared" si="83"/>
        <v>0</v>
      </c>
      <c r="IW13" s="489">
        <f t="shared" si="194"/>
        <v>0</v>
      </c>
      <c r="IX13" s="487"/>
      <c r="IY13" s="488">
        <f t="shared" si="84"/>
        <v>0</v>
      </c>
      <c r="IZ13" s="489">
        <f t="shared" si="195"/>
        <v>0</v>
      </c>
      <c r="JA13" s="487"/>
      <c r="JB13" s="488">
        <f t="shared" si="85"/>
        <v>0</v>
      </c>
      <c r="JC13" s="489">
        <f t="shared" si="196"/>
        <v>0</v>
      </c>
      <c r="JD13" s="487"/>
      <c r="JE13" s="488">
        <f t="shared" si="86"/>
        <v>0</v>
      </c>
      <c r="JF13" s="489">
        <f t="shared" si="197"/>
        <v>0</v>
      </c>
      <c r="JG13" s="487"/>
      <c r="JH13" s="488">
        <f t="shared" si="87"/>
        <v>0</v>
      </c>
      <c r="JI13" s="489">
        <f t="shared" si="198"/>
        <v>0</v>
      </c>
      <c r="JJ13" s="487"/>
      <c r="JK13" s="489" t="str">
        <f t="shared" si="88"/>
        <v>0</v>
      </c>
      <c r="JL13" s="489" t="str">
        <f t="shared" si="89"/>
        <v>0</v>
      </c>
      <c r="JM13" s="487"/>
      <c r="JN13" s="489" t="str">
        <f t="shared" si="90"/>
        <v>0</v>
      </c>
      <c r="JO13" s="489" t="str">
        <f t="shared" si="91"/>
        <v>0</v>
      </c>
      <c r="JP13" s="487"/>
      <c r="JQ13" s="489" t="str">
        <f t="shared" si="92"/>
        <v>0</v>
      </c>
      <c r="JR13" s="489" t="str">
        <f t="shared" si="93"/>
        <v>0</v>
      </c>
      <c r="JS13" s="487"/>
      <c r="JT13" s="489" t="str">
        <f t="shared" si="94"/>
        <v>0</v>
      </c>
      <c r="JU13" s="489" t="str">
        <f t="shared" si="95"/>
        <v>0</v>
      </c>
      <c r="JV13" s="487"/>
      <c r="JW13" s="489" t="str">
        <f t="shared" si="96"/>
        <v>0</v>
      </c>
      <c r="JX13" s="489" t="str">
        <f t="shared" si="97"/>
        <v>0</v>
      </c>
      <c r="JY13" s="487"/>
      <c r="JZ13" s="489" t="str">
        <f t="shared" si="98"/>
        <v>0</v>
      </c>
      <c r="KA13" s="489" t="str">
        <f t="shared" si="99"/>
        <v>0</v>
      </c>
      <c r="KB13" s="487"/>
      <c r="KC13" s="489" t="str">
        <f t="shared" si="100"/>
        <v>0</v>
      </c>
      <c r="KD13" s="489" t="str">
        <f t="shared" si="101"/>
        <v>0</v>
      </c>
      <c r="KE13" s="487"/>
      <c r="KF13" s="489" t="str">
        <f t="shared" si="102"/>
        <v>0</v>
      </c>
      <c r="KG13" s="489" t="str">
        <f t="shared" si="103"/>
        <v>0</v>
      </c>
      <c r="KH13" s="487"/>
      <c r="KI13" s="489" t="str">
        <f t="shared" si="104"/>
        <v>0</v>
      </c>
      <c r="KJ13" s="489" t="str">
        <f t="shared" si="105"/>
        <v>0</v>
      </c>
      <c r="KK13" s="487"/>
      <c r="KL13" s="489" t="str">
        <f t="shared" si="106"/>
        <v>0</v>
      </c>
      <c r="KM13" s="489" t="str">
        <f t="shared" si="107"/>
        <v>0</v>
      </c>
      <c r="KN13" s="487"/>
      <c r="KO13" s="489" t="str">
        <f t="shared" si="108"/>
        <v>0</v>
      </c>
      <c r="KP13" s="489" t="str">
        <f t="shared" si="109"/>
        <v>0</v>
      </c>
      <c r="KQ13" s="487"/>
      <c r="KR13" s="489" t="str">
        <f t="shared" si="110"/>
        <v>0</v>
      </c>
      <c r="KS13" s="489" t="str">
        <f t="shared" si="111"/>
        <v>0</v>
      </c>
      <c r="KT13" s="489">
        <f t="shared" si="201"/>
        <v>0</v>
      </c>
      <c r="KU13" s="489">
        <f t="shared" si="202"/>
        <v>0</v>
      </c>
      <c r="KV13" s="259">
        <f t="shared" si="199"/>
        <v>874.04412639965562</v>
      </c>
    </row>
    <row r="14" spans="1:309" ht="15" customHeight="1">
      <c r="A14" s="261">
        <f t="shared" si="200"/>
        <v>46117</v>
      </c>
      <c r="B14" s="262" t="str">
        <f>+Report1!B13</f>
        <v>Napkin</v>
      </c>
      <c r="C14" s="382" t="str">
        <f>+Report1!C13</f>
        <v>17</v>
      </c>
      <c r="D14" s="263">
        <f>+Report1!P13</f>
        <v>48.241</v>
      </c>
      <c r="E14" s="264">
        <f>+Report1!R13</f>
        <v>37.146999999999998</v>
      </c>
      <c r="F14" s="487"/>
      <c r="G14" s="488">
        <f t="shared" si="0"/>
        <v>0</v>
      </c>
      <c r="H14" s="489">
        <f t="shared" si="112"/>
        <v>0</v>
      </c>
      <c r="I14" s="487">
        <v>500</v>
      </c>
      <c r="J14" s="488">
        <f t="shared" si="1"/>
        <v>13.460037149702535</v>
      </c>
      <c r="K14" s="489">
        <f t="shared" si="113"/>
        <v>0</v>
      </c>
      <c r="L14" s="487"/>
      <c r="M14" s="488">
        <f t="shared" si="2"/>
        <v>0</v>
      </c>
      <c r="N14" s="489">
        <f t="shared" si="114"/>
        <v>0</v>
      </c>
      <c r="O14" s="487">
        <v>10.499999999999986</v>
      </c>
      <c r="P14" s="488">
        <f t="shared" si="3"/>
        <v>0.28266078014375284</v>
      </c>
      <c r="Q14" s="489">
        <f t="shared" si="115"/>
        <v>0</v>
      </c>
      <c r="R14" s="487">
        <v>7.6875</v>
      </c>
      <c r="S14" s="488">
        <f t="shared" si="4"/>
        <v>0.20694807117667646</v>
      </c>
      <c r="T14" s="489">
        <f t="shared" si="116"/>
        <v>0</v>
      </c>
      <c r="U14" s="487">
        <v>2.34375</v>
      </c>
      <c r="V14" s="488">
        <f t="shared" si="5"/>
        <v>6.3093924139230623E-2</v>
      </c>
      <c r="W14" s="489">
        <f t="shared" si="117"/>
        <v>0</v>
      </c>
      <c r="X14" s="487"/>
      <c r="Y14" s="488">
        <f t="shared" si="6"/>
        <v>0</v>
      </c>
      <c r="Z14" s="489">
        <f t="shared" si="118"/>
        <v>0</v>
      </c>
      <c r="AA14" s="487"/>
      <c r="AB14" s="488">
        <f t="shared" si="7"/>
        <v>0</v>
      </c>
      <c r="AC14" s="489">
        <f t="shared" si="119"/>
        <v>0</v>
      </c>
      <c r="AD14" s="487"/>
      <c r="AE14" s="488">
        <f t="shared" si="8"/>
        <v>0</v>
      </c>
      <c r="AF14" s="489">
        <f t="shared" si="120"/>
        <v>0</v>
      </c>
      <c r="AG14" s="487"/>
      <c r="AH14" s="488">
        <f t="shared" si="9"/>
        <v>0</v>
      </c>
      <c r="AI14" s="489">
        <f t="shared" si="121"/>
        <v>0</v>
      </c>
      <c r="AJ14" s="487"/>
      <c r="AK14" s="488">
        <f t="shared" si="10"/>
        <v>0</v>
      </c>
      <c r="AL14" s="489">
        <f t="shared" si="122"/>
        <v>0</v>
      </c>
      <c r="AM14" s="487">
        <v>71.928061538461634</v>
      </c>
      <c r="AN14" s="488">
        <f t="shared" si="11"/>
        <v>1.9363087608275671</v>
      </c>
      <c r="AO14" s="489">
        <f t="shared" si="123"/>
        <v>0</v>
      </c>
      <c r="AP14" s="487"/>
      <c r="AQ14" s="488">
        <f t="shared" si="12"/>
        <v>0</v>
      </c>
      <c r="AR14" s="489">
        <f t="shared" si="124"/>
        <v>0</v>
      </c>
      <c r="AS14" s="487"/>
      <c r="AT14" s="488">
        <f t="shared" si="13"/>
        <v>0</v>
      </c>
      <c r="AU14" s="489">
        <f t="shared" si="125"/>
        <v>0</v>
      </c>
      <c r="AV14" s="487">
        <v>5.5499999999999545</v>
      </c>
      <c r="AW14" s="488">
        <f t="shared" si="14"/>
        <v>0.14940641236169691</v>
      </c>
      <c r="AX14" s="489">
        <f t="shared" si="126"/>
        <v>0</v>
      </c>
      <c r="AY14" s="487">
        <v>35.362800000000107</v>
      </c>
      <c r="AZ14" s="488">
        <f t="shared" si="15"/>
        <v>0.95196920343500435</v>
      </c>
      <c r="BA14" s="489">
        <f t="shared" si="127"/>
        <v>0</v>
      </c>
      <c r="BB14" s="487"/>
      <c r="BC14" s="488">
        <f t="shared" si="16"/>
        <v>0</v>
      </c>
      <c r="BD14" s="489">
        <f t="shared" si="128"/>
        <v>0</v>
      </c>
      <c r="BE14" s="487"/>
      <c r="BF14" s="488">
        <f t="shared" si="17"/>
        <v>0</v>
      </c>
      <c r="BG14" s="489">
        <f t="shared" si="129"/>
        <v>0</v>
      </c>
      <c r="BH14" s="487"/>
      <c r="BI14" s="488">
        <f t="shared" si="18"/>
        <v>0</v>
      </c>
      <c r="BJ14" s="489">
        <f t="shared" si="130"/>
        <v>0</v>
      </c>
      <c r="BK14" s="487"/>
      <c r="BL14" s="488">
        <f t="shared" si="19"/>
        <v>0</v>
      </c>
      <c r="BM14" s="489">
        <f t="shared" si="131"/>
        <v>0</v>
      </c>
      <c r="BN14" s="487">
        <v>26.574074074074076</v>
      </c>
      <c r="BO14" s="488">
        <f t="shared" si="20"/>
        <v>0.71537604851196801</v>
      </c>
      <c r="BP14" s="489">
        <f t="shared" si="132"/>
        <v>0</v>
      </c>
      <c r="BQ14" s="487"/>
      <c r="BR14" s="488">
        <f t="shared" si="21"/>
        <v>0</v>
      </c>
      <c r="BS14" s="489">
        <f t="shared" si="133"/>
        <v>0</v>
      </c>
      <c r="BT14" s="487"/>
      <c r="BU14" s="488">
        <f t="shared" si="22"/>
        <v>0</v>
      </c>
      <c r="BV14" s="489">
        <f t="shared" si="134"/>
        <v>0</v>
      </c>
      <c r="BW14" s="487"/>
      <c r="BX14" s="488">
        <f t="shared" si="23"/>
        <v>0</v>
      </c>
      <c r="BY14" s="489">
        <f t="shared" si="135"/>
        <v>0</v>
      </c>
      <c r="BZ14" s="487"/>
      <c r="CA14" s="488">
        <f t="shared" si="24"/>
        <v>0</v>
      </c>
      <c r="CB14" s="489">
        <f t="shared" si="136"/>
        <v>0</v>
      </c>
      <c r="CC14" s="487">
        <v>0</v>
      </c>
      <c r="CD14" s="488">
        <f t="shared" si="25"/>
        <v>0</v>
      </c>
      <c r="CE14" s="489">
        <f t="shared" si="137"/>
        <v>0</v>
      </c>
      <c r="CF14" s="487">
        <v>6</v>
      </c>
      <c r="CG14" s="488">
        <f t="shared" si="26"/>
        <v>0.16152044579643041</v>
      </c>
      <c r="CH14" s="489">
        <f t="shared" si="138"/>
        <v>0</v>
      </c>
      <c r="CI14" s="487"/>
      <c r="CJ14" s="488">
        <f t="shared" si="27"/>
        <v>0</v>
      </c>
      <c r="CK14" s="489">
        <f t="shared" si="139"/>
        <v>0</v>
      </c>
      <c r="CL14" s="487"/>
      <c r="CM14" s="488">
        <f t="shared" si="28"/>
        <v>0</v>
      </c>
      <c r="CN14" s="489">
        <f t="shared" si="140"/>
        <v>0</v>
      </c>
      <c r="CO14" s="487"/>
      <c r="CP14" s="488">
        <f t="shared" si="29"/>
        <v>0</v>
      </c>
      <c r="CQ14" s="489">
        <f t="shared" si="141"/>
        <v>0</v>
      </c>
      <c r="CR14" s="487"/>
      <c r="CS14" s="488">
        <f t="shared" si="30"/>
        <v>0</v>
      </c>
      <c r="CT14" s="489">
        <f t="shared" si="142"/>
        <v>0</v>
      </c>
      <c r="CU14" s="487"/>
      <c r="CV14" s="488">
        <f t="shared" si="31"/>
        <v>0</v>
      </c>
      <c r="CW14" s="489">
        <f t="shared" si="143"/>
        <v>0</v>
      </c>
      <c r="CX14" s="487"/>
      <c r="CY14" s="488">
        <f t="shared" si="32"/>
        <v>0</v>
      </c>
      <c r="CZ14" s="489">
        <f t="shared" si="144"/>
        <v>0</v>
      </c>
      <c r="DA14" s="487"/>
      <c r="DB14" s="488">
        <f t="shared" si="33"/>
        <v>0</v>
      </c>
      <c r="DC14" s="489">
        <f t="shared" si="145"/>
        <v>0</v>
      </c>
      <c r="DD14" s="487"/>
      <c r="DE14" s="488">
        <f t="shared" si="34"/>
        <v>0</v>
      </c>
      <c r="DF14" s="489">
        <f t="shared" si="146"/>
        <v>0</v>
      </c>
      <c r="DG14" s="487"/>
      <c r="DH14" s="488">
        <f t="shared" si="35"/>
        <v>0</v>
      </c>
      <c r="DI14" s="489">
        <v>0</v>
      </c>
      <c r="DJ14" s="487"/>
      <c r="DK14" s="488">
        <f t="shared" si="36"/>
        <v>0</v>
      </c>
      <c r="DL14" s="489">
        <f t="shared" si="147"/>
        <v>0</v>
      </c>
      <c r="DM14" s="487"/>
      <c r="DN14" s="488">
        <f t="shared" si="37"/>
        <v>0</v>
      </c>
      <c r="DO14" s="489">
        <f t="shared" si="148"/>
        <v>0</v>
      </c>
      <c r="DP14" s="487"/>
      <c r="DQ14" s="488">
        <f t="shared" si="38"/>
        <v>0</v>
      </c>
      <c r="DR14" s="489">
        <f t="shared" si="149"/>
        <v>0</v>
      </c>
      <c r="DS14" s="487"/>
      <c r="DT14" s="488">
        <f t="shared" si="39"/>
        <v>0</v>
      </c>
      <c r="DU14" s="489">
        <f t="shared" si="150"/>
        <v>0</v>
      </c>
      <c r="DV14" s="487"/>
      <c r="DW14" s="488">
        <f t="shared" si="40"/>
        <v>0</v>
      </c>
      <c r="DX14" s="489">
        <f t="shared" si="151"/>
        <v>0</v>
      </c>
      <c r="DY14" s="487">
        <v>0</v>
      </c>
      <c r="DZ14" s="488">
        <f t="shared" si="41"/>
        <v>0</v>
      </c>
      <c r="EA14" s="489">
        <f t="shared" si="152"/>
        <v>0</v>
      </c>
      <c r="EB14" s="487">
        <v>25.436046511627922</v>
      </c>
      <c r="EC14" s="488">
        <f t="shared" si="42"/>
        <v>0.68474026197614668</v>
      </c>
      <c r="ED14" s="489">
        <f t="shared" si="153"/>
        <v>0</v>
      </c>
      <c r="EE14" s="487">
        <v>5</v>
      </c>
      <c r="EF14" s="488">
        <f t="shared" si="43"/>
        <v>0.13460037149702533</v>
      </c>
      <c r="EG14" s="489">
        <f t="shared" si="154"/>
        <v>0</v>
      </c>
      <c r="EH14" s="487"/>
      <c r="EI14" s="488">
        <f t="shared" si="44"/>
        <v>0</v>
      </c>
      <c r="EJ14" s="489">
        <f t="shared" si="155"/>
        <v>0</v>
      </c>
      <c r="EK14" s="487"/>
      <c r="EL14" s="488">
        <f t="shared" si="45"/>
        <v>0</v>
      </c>
      <c r="EM14" s="489">
        <f t="shared" si="156"/>
        <v>0</v>
      </c>
      <c r="EN14" s="487"/>
      <c r="EO14" s="488">
        <f t="shared" si="46"/>
        <v>0</v>
      </c>
      <c r="EP14" s="489">
        <f t="shared" si="157"/>
        <v>0</v>
      </c>
      <c r="EQ14" s="487"/>
      <c r="ER14" s="488">
        <f t="shared" si="47"/>
        <v>0</v>
      </c>
      <c r="ES14" s="489">
        <f t="shared" si="158"/>
        <v>0</v>
      </c>
      <c r="ET14" s="487"/>
      <c r="EU14" s="488">
        <f t="shared" si="48"/>
        <v>0</v>
      </c>
      <c r="EV14" s="489">
        <f t="shared" si="159"/>
        <v>0</v>
      </c>
      <c r="EW14" s="487"/>
      <c r="EX14" s="488">
        <f t="shared" si="49"/>
        <v>0</v>
      </c>
      <c r="EY14" s="489">
        <f t="shared" si="160"/>
        <v>0</v>
      </c>
      <c r="EZ14" s="487"/>
      <c r="FA14" s="488">
        <f t="shared" si="50"/>
        <v>0</v>
      </c>
      <c r="FB14" s="489">
        <f t="shared" si="161"/>
        <v>0</v>
      </c>
      <c r="FC14" s="487"/>
      <c r="FD14" s="488">
        <f t="shared" si="51"/>
        <v>0</v>
      </c>
      <c r="FE14" s="489">
        <f t="shared" si="162"/>
        <v>0</v>
      </c>
      <c r="FF14" s="487"/>
      <c r="FG14" s="488">
        <f t="shared" si="52"/>
        <v>0</v>
      </c>
      <c r="FH14" s="489">
        <f t="shared" si="163"/>
        <v>0</v>
      </c>
      <c r="FI14" s="487"/>
      <c r="FJ14" s="488">
        <f t="shared" si="53"/>
        <v>0</v>
      </c>
      <c r="FK14" s="489">
        <f t="shared" si="164"/>
        <v>0</v>
      </c>
      <c r="FL14" s="487"/>
      <c r="FM14" s="488">
        <f t="shared" si="54"/>
        <v>0</v>
      </c>
      <c r="FN14" s="489">
        <f t="shared" si="165"/>
        <v>0</v>
      </c>
      <c r="FO14" s="487"/>
      <c r="FP14" s="488">
        <f t="shared" si="55"/>
        <v>0</v>
      </c>
      <c r="FQ14" s="489">
        <f t="shared" si="166"/>
        <v>0</v>
      </c>
      <c r="FR14" s="487"/>
      <c r="FS14" s="488">
        <f t="shared" si="56"/>
        <v>0</v>
      </c>
      <c r="FT14" s="489">
        <f t="shared" si="167"/>
        <v>0</v>
      </c>
      <c r="FU14" s="487"/>
      <c r="FV14" s="488">
        <f t="shared" si="57"/>
        <v>0</v>
      </c>
      <c r="FW14" s="489">
        <f t="shared" si="168"/>
        <v>0</v>
      </c>
      <c r="FX14" s="487"/>
      <c r="FY14" s="488">
        <f t="shared" si="58"/>
        <v>0</v>
      </c>
      <c r="FZ14" s="489">
        <f t="shared" si="169"/>
        <v>0</v>
      </c>
      <c r="GA14" s="487"/>
      <c r="GB14" s="488">
        <f t="shared" si="59"/>
        <v>0</v>
      </c>
      <c r="GC14" s="489">
        <f t="shared" si="170"/>
        <v>0</v>
      </c>
      <c r="GD14" s="487"/>
      <c r="GE14" s="488">
        <f t="shared" si="60"/>
        <v>0</v>
      </c>
      <c r="GF14" s="489">
        <f t="shared" si="171"/>
        <v>0</v>
      </c>
      <c r="GG14" s="487"/>
      <c r="GH14" s="488">
        <f t="shared" si="61"/>
        <v>0</v>
      </c>
      <c r="GI14" s="489">
        <f t="shared" si="172"/>
        <v>0</v>
      </c>
      <c r="GJ14" s="487"/>
      <c r="GK14" s="488">
        <f t="shared" si="62"/>
        <v>0</v>
      </c>
      <c r="GL14" s="489">
        <f t="shared" si="173"/>
        <v>0</v>
      </c>
      <c r="GM14" s="487"/>
      <c r="GN14" s="488">
        <f t="shared" si="63"/>
        <v>0</v>
      </c>
      <c r="GO14" s="489">
        <f t="shared" si="174"/>
        <v>0</v>
      </c>
      <c r="GP14" s="487"/>
      <c r="GQ14" s="488">
        <f t="shared" si="64"/>
        <v>0</v>
      </c>
      <c r="GR14" s="489">
        <f t="shared" si="175"/>
        <v>0</v>
      </c>
      <c r="GS14" s="487"/>
      <c r="GT14" s="488">
        <f t="shared" si="65"/>
        <v>0</v>
      </c>
      <c r="GU14" s="489">
        <f t="shared" si="176"/>
        <v>0</v>
      </c>
      <c r="GV14" s="487"/>
      <c r="GW14" s="488">
        <f t="shared" si="66"/>
        <v>0</v>
      </c>
      <c r="GX14" s="489">
        <f t="shared" si="177"/>
        <v>0</v>
      </c>
      <c r="GY14" s="487"/>
      <c r="GZ14" s="488">
        <f t="shared" si="67"/>
        <v>0</v>
      </c>
      <c r="HA14" s="489">
        <f t="shared" si="178"/>
        <v>0</v>
      </c>
      <c r="HB14" s="487"/>
      <c r="HC14" s="488">
        <f t="shared" si="68"/>
        <v>0</v>
      </c>
      <c r="HD14" s="489">
        <f t="shared" si="179"/>
        <v>0</v>
      </c>
      <c r="HE14" s="487"/>
      <c r="HF14" s="488">
        <f t="shared" si="69"/>
        <v>0</v>
      </c>
      <c r="HG14" s="489">
        <f t="shared" si="180"/>
        <v>0</v>
      </c>
      <c r="HH14" s="487"/>
      <c r="HI14" s="488">
        <f t="shared" si="70"/>
        <v>0</v>
      </c>
      <c r="HJ14" s="489">
        <f t="shared" si="181"/>
        <v>0</v>
      </c>
      <c r="HK14" s="487"/>
      <c r="HL14" s="488">
        <f t="shared" si="71"/>
        <v>0</v>
      </c>
      <c r="HM14" s="489">
        <f t="shared" si="182"/>
        <v>0</v>
      </c>
      <c r="HN14" s="487"/>
      <c r="HO14" s="488">
        <f t="shared" si="72"/>
        <v>0</v>
      </c>
      <c r="HP14" s="489">
        <f t="shared" si="183"/>
        <v>0</v>
      </c>
      <c r="HQ14" s="487"/>
      <c r="HR14" s="488">
        <f t="shared" si="73"/>
        <v>0</v>
      </c>
      <c r="HS14" s="489">
        <f t="shared" si="184"/>
        <v>0</v>
      </c>
      <c r="HT14" s="487"/>
      <c r="HU14" s="488">
        <f t="shared" si="74"/>
        <v>0</v>
      </c>
      <c r="HV14" s="489">
        <f t="shared" si="185"/>
        <v>0</v>
      </c>
      <c r="HW14" s="487"/>
      <c r="HX14" s="488">
        <f t="shared" si="75"/>
        <v>0</v>
      </c>
      <c r="HY14" s="489">
        <f t="shared" si="186"/>
        <v>0</v>
      </c>
      <c r="HZ14" s="487"/>
      <c r="IA14" s="488">
        <f t="shared" si="76"/>
        <v>0</v>
      </c>
      <c r="IB14" s="489">
        <f t="shared" si="187"/>
        <v>0</v>
      </c>
      <c r="IC14" s="487"/>
      <c r="ID14" s="488">
        <f t="shared" si="77"/>
        <v>0</v>
      </c>
      <c r="IE14" s="489">
        <f t="shared" si="188"/>
        <v>0</v>
      </c>
      <c r="IF14" s="487"/>
      <c r="IG14" s="488">
        <f t="shared" si="78"/>
        <v>0</v>
      </c>
      <c r="IH14" s="489">
        <f t="shared" si="189"/>
        <v>0</v>
      </c>
      <c r="II14" s="487"/>
      <c r="IJ14" s="488">
        <f t="shared" si="79"/>
        <v>0</v>
      </c>
      <c r="IK14" s="489">
        <f t="shared" si="190"/>
        <v>0</v>
      </c>
      <c r="IL14" s="487"/>
      <c r="IM14" s="488">
        <f t="shared" si="80"/>
        <v>0</v>
      </c>
      <c r="IN14" s="489">
        <f t="shared" si="191"/>
        <v>0</v>
      </c>
      <c r="IO14" s="487"/>
      <c r="IP14" s="488">
        <f t="shared" si="81"/>
        <v>0</v>
      </c>
      <c r="IQ14" s="489">
        <f t="shared" si="192"/>
        <v>0</v>
      </c>
      <c r="IR14" s="487"/>
      <c r="IS14" s="488">
        <f t="shared" si="82"/>
        <v>0</v>
      </c>
      <c r="IT14" s="489">
        <f t="shared" si="193"/>
        <v>0</v>
      </c>
      <c r="IU14" s="487"/>
      <c r="IV14" s="488">
        <f t="shared" si="83"/>
        <v>0</v>
      </c>
      <c r="IW14" s="489">
        <f t="shared" si="194"/>
        <v>0</v>
      </c>
      <c r="IX14" s="487"/>
      <c r="IY14" s="488">
        <f t="shared" si="84"/>
        <v>0</v>
      </c>
      <c r="IZ14" s="489">
        <f t="shared" si="195"/>
        <v>0</v>
      </c>
      <c r="JA14" s="487"/>
      <c r="JB14" s="488">
        <f t="shared" si="85"/>
        <v>0</v>
      </c>
      <c r="JC14" s="489">
        <f t="shared" si="196"/>
        <v>0</v>
      </c>
      <c r="JD14" s="487"/>
      <c r="JE14" s="488">
        <f t="shared" si="86"/>
        <v>0</v>
      </c>
      <c r="JF14" s="489">
        <f t="shared" si="197"/>
        <v>0</v>
      </c>
      <c r="JG14" s="487"/>
      <c r="JH14" s="488">
        <f t="shared" si="87"/>
        <v>0</v>
      </c>
      <c r="JI14" s="489">
        <f t="shared" si="198"/>
        <v>0</v>
      </c>
      <c r="JJ14" s="487"/>
      <c r="JK14" s="489" t="str">
        <f t="shared" si="88"/>
        <v>0</v>
      </c>
      <c r="JL14" s="489" t="str">
        <f t="shared" si="89"/>
        <v>0</v>
      </c>
      <c r="JM14" s="487"/>
      <c r="JN14" s="489" t="str">
        <f t="shared" si="90"/>
        <v>0</v>
      </c>
      <c r="JO14" s="489" t="str">
        <f t="shared" si="91"/>
        <v>0</v>
      </c>
      <c r="JP14" s="487"/>
      <c r="JQ14" s="489" t="str">
        <f t="shared" si="92"/>
        <v>0</v>
      </c>
      <c r="JR14" s="489" t="str">
        <f t="shared" si="93"/>
        <v>0</v>
      </c>
      <c r="JS14" s="487"/>
      <c r="JT14" s="489" t="str">
        <f t="shared" si="94"/>
        <v>0</v>
      </c>
      <c r="JU14" s="489" t="str">
        <f t="shared" si="95"/>
        <v>0</v>
      </c>
      <c r="JV14" s="487"/>
      <c r="JW14" s="489" t="str">
        <f t="shared" si="96"/>
        <v>0</v>
      </c>
      <c r="JX14" s="489" t="str">
        <f t="shared" si="97"/>
        <v>0</v>
      </c>
      <c r="JY14" s="487"/>
      <c r="JZ14" s="489" t="str">
        <f t="shared" si="98"/>
        <v>0</v>
      </c>
      <c r="KA14" s="489" t="str">
        <f t="shared" si="99"/>
        <v>0</v>
      </c>
      <c r="KB14" s="487"/>
      <c r="KC14" s="489" t="str">
        <f t="shared" si="100"/>
        <v>0</v>
      </c>
      <c r="KD14" s="489" t="str">
        <f t="shared" si="101"/>
        <v>0</v>
      </c>
      <c r="KE14" s="487"/>
      <c r="KF14" s="489" t="str">
        <f t="shared" si="102"/>
        <v>0</v>
      </c>
      <c r="KG14" s="489" t="str">
        <f t="shared" si="103"/>
        <v>0</v>
      </c>
      <c r="KH14" s="487"/>
      <c r="KI14" s="489" t="str">
        <f t="shared" si="104"/>
        <v>0</v>
      </c>
      <c r="KJ14" s="489" t="str">
        <f t="shared" si="105"/>
        <v>0</v>
      </c>
      <c r="KK14" s="487"/>
      <c r="KL14" s="489" t="str">
        <f t="shared" si="106"/>
        <v>0</v>
      </c>
      <c r="KM14" s="489" t="str">
        <f t="shared" si="107"/>
        <v>0</v>
      </c>
      <c r="KN14" s="487"/>
      <c r="KO14" s="489" t="str">
        <f t="shared" si="108"/>
        <v>0</v>
      </c>
      <c r="KP14" s="489" t="str">
        <f t="shared" si="109"/>
        <v>0</v>
      </c>
      <c r="KQ14" s="487"/>
      <c r="KR14" s="489" t="str">
        <f t="shared" si="110"/>
        <v>0</v>
      </c>
      <c r="KS14" s="489" t="str">
        <f t="shared" si="111"/>
        <v>0</v>
      </c>
      <c r="KT14" s="489">
        <f t="shared" si="201"/>
        <v>0</v>
      </c>
      <c r="KU14" s="489">
        <f t="shared" si="202"/>
        <v>0</v>
      </c>
      <c r="KV14" s="259">
        <f t="shared" si="199"/>
        <v>696.38223212416369</v>
      </c>
    </row>
    <row r="15" spans="1:309" ht="15" customHeight="1">
      <c r="A15" s="261">
        <f t="shared" si="200"/>
        <v>46118</v>
      </c>
      <c r="B15" s="262" t="str">
        <f>+Report1!B14</f>
        <v>Napkin/Towel</v>
      </c>
      <c r="C15" s="382" t="str">
        <f>+Report1!C14</f>
        <v>17/17,5/17</v>
      </c>
      <c r="D15" s="263">
        <f>+Report1!P14</f>
        <v>54.048000000000002</v>
      </c>
      <c r="E15" s="264">
        <f>+Report1!R14</f>
        <v>42.652000000000001</v>
      </c>
      <c r="F15" s="487"/>
      <c r="G15" s="488">
        <f t="shared" si="0"/>
        <v>0</v>
      </c>
      <c r="H15" s="489">
        <f t="shared" si="112"/>
        <v>0</v>
      </c>
      <c r="I15" s="487">
        <v>441.86046511627887</v>
      </c>
      <c r="J15" s="488">
        <f t="shared" si="1"/>
        <v>10.359665786276819</v>
      </c>
      <c r="K15" s="489">
        <f t="shared" si="113"/>
        <v>0</v>
      </c>
      <c r="L15" s="487"/>
      <c r="M15" s="488">
        <f t="shared" si="2"/>
        <v>0</v>
      </c>
      <c r="N15" s="489">
        <f t="shared" si="114"/>
        <v>0</v>
      </c>
      <c r="O15" s="487">
        <v>12</v>
      </c>
      <c r="P15" s="488">
        <f t="shared" si="3"/>
        <v>0.28134671293257058</v>
      </c>
      <c r="Q15" s="489">
        <f t="shared" si="115"/>
        <v>0</v>
      </c>
      <c r="R15" s="487">
        <v>10.25</v>
      </c>
      <c r="S15" s="488">
        <f t="shared" si="4"/>
        <v>0.24031698396323736</v>
      </c>
      <c r="T15" s="489">
        <f t="shared" si="116"/>
        <v>0</v>
      </c>
      <c r="U15" s="487">
        <v>3.125</v>
      </c>
      <c r="V15" s="488">
        <f t="shared" si="5"/>
        <v>7.3267373159523586E-2</v>
      </c>
      <c r="W15" s="489">
        <f t="shared" si="117"/>
        <v>0</v>
      </c>
      <c r="X15" s="487"/>
      <c r="Y15" s="488">
        <f t="shared" si="6"/>
        <v>0</v>
      </c>
      <c r="Z15" s="489">
        <f t="shared" si="118"/>
        <v>0</v>
      </c>
      <c r="AA15" s="487"/>
      <c r="AB15" s="488">
        <f t="shared" si="7"/>
        <v>0</v>
      </c>
      <c r="AC15" s="489">
        <f t="shared" si="119"/>
        <v>0</v>
      </c>
      <c r="AD15" s="487"/>
      <c r="AE15" s="488">
        <f t="shared" si="8"/>
        <v>0</v>
      </c>
      <c r="AF15" s="489">
        <f t="shared" si="120"/>
        <v>0</v>
      </c>
      <c r="AG15" s="487"/>
      <c r="AH15" s="488">
        <f t="shared" si="9"/>
        <v>0</v>
      </c>
      <c r="AI15" s="489">
        <f t="shared" si="121"/>
        <v>0</v>
      </c>
      <c r="AJ15" s="487"/>
      <c r="AK15" s="488">
        <f t="shared" si="10"/>
        <v>0</v>
      </c>
      <c r="AL15" s="489">
        <f t="shared" si="122"/>
        <v>0</v>
      </c>
      <c r="AM15" s="487">
        <v>54.807692307692264</v>
      </c>
      <c r="AN15" s="488">
        <f t="shared" si="11"/>
        <v>1.2849970061824125</v>
      </c>
      <c r="AO15" s="489">
        <f t="shared" si="123"/>
        <v>0</v>
      </c>
      <c r="AP15" s="487"/>
      <c r="AQ15" s="488">
        <f t="shared" si="12"/>
        <v>0</v>
      </c>
      <c r="AR15" s="489">
        <f t="shared" si="124"/>
        <v>0</v>
      </c>
      <c r="AS15" s="487"/>
      <c r="AT15" s="488">
        <f t="shared" si="13"/>
        <v>0</v>
      </c>
      <c r="AU15" s="489">
        <f t="shared" si="125"/>
        <v>0</v>
      </c>
      <c r="AV15" s="487">
        <v>0</v>
      </c>
      <c r="AW15" s="488">
        <f t="shared" si="14"/>
        <v>0</v>
      </c>
      <c r="AX15" s="489">
        <f t="shared" si="126"/>
        <v>0</v>
      </c>
      <c r="AY15" s="487">
        <v>32.666666666666515</v>
      </c>
      <c r="AZ15" s="488">
        <f t="shared" si="15"/>
        <v>0.76588827409421634</v>
      </c>
      <c r="BA15" s="489">
        <f t="shared" si="127"/>
        <v>0</v>
      </c>
      <c r="BB15" s="487"/>
      <c r="BC15" s="488">
        <f t="shared" si="16"/>
        <v>0</v>
      </c>
      <c r="BD15" s="489">
        <f t="shared" si="128"/>
        <v>0</v>
      </c>
      <c r="BE15" s="487"/>
      <c r="BF15" s="488">
        <f t="shared" si="17"/>
        <v>0</v>
      </c>
      <c r="BG15" s="489">
        <f t="shared" si="129"/>
        <v>0</v>
      </c>
      <c r="BH15" s="487"/>
      <c r="BI15" s="488">
        <f t="shared" si="18"/>
        <v>0</v>
      </c>
      <c r="BJ15" s="489">
        <f t="shared" si="130"/>
        <v>0</v>
      </c>
      <c r="BK15" s="487"/>
      <c r="BL15" s="488">
        <f t="shared" si="19"/>
        <v>0</v>
      </c>
      <c r="BM15" s="489">
        <f t="shared" si="131"/>
        <v>0</v>
      </c>
      <c r="BN15" s="487">
        <v>25.308641975308603</v>
      </c>
      <c r="BO15" s="488">
        <f t="shared" si="20"/>
        <v>0.59337526904502957</v>
      </c>
      <c r="BP15" s="489">
        <f t="shared" si="132"/>
        <v>0</v>
      </c>
      <c r="BQ15" s="487"/>
      <c r="BR15" s="488">
        <f t="shared" si="21"/>
        <v>0</v>
      </c>
      <c r="BS15" s="489">
        <f t="shared" si="133"/>
        <v>0</v>
      </c>
      <c r="BT15" s="487"/>
      <c r="BU15" s="488">
        <f t="shared" si="22"/>
        <v>0</v>
      </c>
      <c r="BV15" s="489">
        <f t="shared" si="134"/>
        <v>0</v>
      </c>
      <c r="BW15" s="487"/>
      <c r="BX15" s="488">
        <f t="shared" si="23"/>
        <v>0</v>
      </c>
      <c r="BY15" s="489">
        <f t="shared" si="135"/>
        <v>0</v>
      </c>
      <c r="BZ15" s="487"/>
      <c r="CA15" s="488">
        <f t="shared" si="24"/>
        <v>0</v>
      </c>
      <c r="CB15" s="489">
        <f t="shared" si="136"/>
        <v>0</v>
      </c>
      <c r="CC15" s="487">
        <v>35</v>
      </c>
      <c r="CD15" s="488">
        <f t="shared" si="25"/>
        <v>0.82059457938666414</v>
      </c>
      <c r="CE15" s="489">
        <f t="shared" si="137"/>
        <v>0</v>
      </c>
      <c r="CF15" s="487">
        <v>6</v>
      </c>
      <c r="CG15" s="488">
        <f t="shared" si="26"/>
        <v>0.14067335646628529</v>
      </c>
      <c r="CH15" s="489">
        <f t="shared" si="138"/>
        <v>0</v>
      </c>
      <c r="CI15" s="487"/>
      <c r="CJ15" s="488">
        <f t="shared" si="27"/>
        <v>0</v>
      </c>
      <c r="CK15" s="489">
        <f t="shared" si="139"/>
        <v>0</v>
      </c>
      <c r="CL15" s="487"/>
      <c r="CM15" s="488">
        <f t="shared" si="28"/>
        <v>0</v>
      </c>
      <c r="CN15" s="489">
        <f t="shared" si="140"/>
        <v>0</v>
      </c>
      <c r="CO15" s="487"/>
      <c r="CP15" s="488">
        <f t="shared" si="29"/>
        <v>0</v>
      </c>
      <c r="CQ15" s="489">
        <f t="shared" si="141"/>
        <v>0</v>
      </c>
      <c r="CR15" s="487"/>
      <c r="CS15" s="488">
        <f t="shared" si="30"/>
        <v>0</v>
      </c>
      <c r="CT15" s="489">
        <f t="shared" si="142"/>
        <v>0</v>
      </c>
      <c r="CU15" s="487"/>
      <c r="CV15" s="488">
        <f t="shared" si="31"/>
        <v>0</v>
      </c>
      <c r="CW15" s="489">
        <f t="shared" si="143"/>
        <v>0</v>
      </c>
      <c r="CX15" s="487"/>
      <c r="CY15" s="488">
        <f t="shared" si="32"/>
        <v>0</v>
      </c>
      <c r="CZ15" s="489">
        <f t="shared" si="144"/>
        <v>0</v>
      </c>
      <c r="DA15" s="487"/>
      <c r="DB15" s="488">
        <f t="shared" si="33"/>
        <v>0</v>
      </c>
      <c r="DC15" s="489">
        <f t="shared" si="145"/>
        <v>0</v>
      </c>
      <c r="DD15" s="487"/>
      <c r="DE15" s="488">
        <f t="shared" si="34"/>
        <v>0</v>
      </c>
      <c r="DF15" s="489">
        <f t="shared" si="146"/>
        <v>0</v>
      </c>
      <c r="DG15" s="487"/>
      <c r="DH15" s="488">
        <f t="shared" si="35"/>
        <v>0</v>
      </c>
      <c r="DI15" s="489">
        <f t="shared" ref="DI15:DI39" si="203">+DG15*$H$9</f>
        <v>0</v>
      </c>
      <c r="DJ15" s="487"/>
      <c r="DK15" s="488">
        <f t="shared" si="36"/>
        <v>0</v>
      </c>
      <c r="DL15" s="489">
        <f t="shared" si="147"/>
        <v>0</v>
      </c>
      <c r="DM15" s="487"/>
      <c r="DN15" s="488">
        <f t="shared" si="37"/>
        <v>0</v>
      </c>
      <c r="DO15" s="489">
        <f t="shared" si="148"/>
        <v>0</v>
      </c>
      <c r="DP15" s="487"/>
      <c r="DQ15" s="488">
        <f t="shared" si="38"/>
        <v>0</v>
      </c>
      <c r="DR15" s="489">
        <f t="shared" si="149"/>
        <v>0</v>
      </c>
      <c r="DS15" s="487"/>
      <c r="DT15" s="488">
        <f t="shared" si="39"/>
        <v>0</v>
      </c>
      <c r="DU15" s="489">
        <f t="shared" si="150"/>
        <v>0</v>
      </c>
      <c r="DV15" s="487"/>
      <c r="DW15" s="488">
        <f t="shared" si="40"/>
        <v>0</v>
      </c>
      <c r="DX15" s="489">
        <f t="shared" si="151"/>
        <v>0</v>
      </c>
      <c r="DY15" s="487">
        <v>0</v>
      </c>
      <c r="DZ15" s="488">
        <f t="shared" si="41"/>
        <v>0</v>
      </c>
      <c r="EA15" s="489">
        <f t="shared" si="152"/>
        <v>0</v>
      </c>
      <c r="EB15" s="487">
        <v>21.802325581395337</v>
      </c>
      <c r="EC15" s="488">
        <f t="shared" si="42"/>
        <v>0.51116771971760611</v>
      </c>
      <c r="ED15" s="489">
        <f t="shared" si="153"/>
        <v>0</v>
      </c>
      <c r="EE15" s="487">
        <v>4</v>
      </c>
      <c r="EF15" s="488">
        <f t="shared" si="43"/>
        <v>9.3782237644190192E-2</v>
      </c>
      <c r="EG15" s="489">
        <f t="shared" si="154"/>
        <v>0</v>
      </c>
      <c r="EH15" s="487"/>
      <c r="EI15" s="488">
        <f t="shared" si="44"/>
        <v>0</v>
      </c>
      <c r="EJ15" s="489">
        <f t="shared" si="155"/>
        <v>0</v>
      </c>
      <c r="EK15" s="487"/>
      <c r="EL15" s="488">
        <f t="shared" si="45"/>
        <v>0</v>
      </c>
      <c r="EM15" s="489">
        <f t="shared" si="156"/>
        <v>0</v>
      </c>
      <c r="EN15" s="487"/>
      <c r="EO15" s="488">
        <f t="shared" si="46"/>
        <v>0</v>
      </c>
      <c r="EP15" s="489">
        <f t="shared" si="157"/>
        <v>0</v>
      </c>
      <c r="EQ15" s="487"/>
      <c r="ER15" s="488">
        <f t="shared" si="47"/>
        <v>0</v>
      </c>
      <c r="ES15" s="489">
        <f t="shared" si="158"/>
        <v>0</v>
      </c>
      <c r="ET15" s="487"/>
      <c r="EU15" s="488">
        <f t="shared" si="48"/>
        <v>0</v>
      </c>
      <c r="EV15" s="489">
        <f t="shared" si="159"/>
        <v>0</v>
      </c>
      <c r="EW15" s="487"/>
      <c r="EX15" s="488">
        <f t="shared" si="49"/>
        <v>0</v>
      </c>
      <c r="EY15" s="489">
        <f t="shared" si="160"/>
        <v>0</v>
      </c>
      <c r="EZ15" s="487"/>
      <c r="FA15" s="488">
        <f t="shared" si="50"/>
        <v>0</v>
      </c>
      <c r="FB15" s="489">
        <f t="shared" si="161"/>
        <v>0</v>
      </c>
      <c r="FC15" s="487"/>
      <c r="FD15" s="488">
        <f t="shared" si="51"/>
        <v>0</v>
      </c>
      <c r="FE15" s="489">
        <f t="shared" si="162"/>
        <v>0</v>
      </c>
      <c r="FF15" s="487"/>
      <c r="FG15" s="488">
        <f t="shared" si="52"/>
        <v>0</v>
      </c>
      <c r="FH15" s="489">
        <f t="shared" si="163"/>
        <v>0</v>
      </c>
      <c r="FI15" s="487"/>
      <c r="FJ15" s="488">
        <f t="shared" si="53"/>
        <v>0</v>
      </c>
      <c r="FK15" s="489">
        <f t="shared" si="164"/>
        <v>0</v>
      </c>
      <c r="FL15" s="487"/>
      <c r="FM15" s="488">
        <f t="shared" si="54"/>
        <v>0</v>
      </c>
      <c r="FN15" s="489">
        <f t="shared" si="165"/>
        <v>0</v>
      </c>
      <c r="FO15" s="487"/>
      <c r="FP15" s="488">
        <f t="shared" si="55"/>
        <v>0</v>
      </c>
      <c r="FQ15" s="489">
        <f t="shared" si="166"/>
        <v>0</v>
      </c>
      <c r="FR15" s="487"/>
      <c r="FS15" s="488">
        <f t="shared" si="56"/>
        <v>0</v>
      </c>
      <c r="FT15" s="489">
        <f t="shared" si="167"/>
        <v>0</v>
      </c>
      <c r="FU15" s="487"/>
      <c r="FV15" s="488">
        <f t="shared" si="57"/>
        <v>0</v>
      </c>
      <c r="FW15" s="489">
        <f t="shared" si="168"/>
        <v>0</v>
      </c>
      <c r="FX15" s="487"/>
      <c r="FY15" s="488">
        <f t="shared" si="58"/>
        <v>0</v>
      </c>
      <c r="FZ15" s="489">
        <f t="shared" si="169"/>
        <v>0</v>
      </c>
      <c r="GA15" s="487"/>
      <c r="GB15" s="488">
        <f t="shared" si="59"/>
        <v>0</v>
      </c>
      <c r="GC15" s="489">
        <f t="shared" si="170"/>
        <v>0</v>
      </c>
      <c r="GD15" s="487"/>
      <c r="GE15" s="488">
        <f t="shared" si="60"/>
        <v>0</v>
      </c>
      <c r="GF15" s="489">
        <f t="shared" si="171"/>
        <v>0</v>
      </c>
      <c r="GG15" s="487"/>
      <c r="GH15" s="488">
        <f t="shared" si="61"/>
        <v>0</v>
      </c>
      <c r="GI15" s="489">
        <f t="shared" si="172"/>
        <v>0</v>
      </c>
      <c r="GJ15" s="487"/>
      <c r="GK15" s="488">
        <f t="shared" si="62"/>
        <v>0</v>
      </c>
      <c r="GL15" s="489">
        <f t="shared" si="173"/>
        <v>0</v>
      </c>
      <c r="GM15" s="487"/>
      <c r="GN15" s="488">
        <f t="shared" si="63"/>
        <v>0</v>
      </c>
      <c r="GO15" s="489">
        <f t="shared" si="174"/>
        <v>0</v>
      </c>
      <c r="GP15" s="487"/>
      <c r="GQ15" s="488">
        <f t="shared" si="64"/>
        <v>0</v>
      </c>
      <c r="GR15" s="489">
        <f t="shared" si="175"/>
        <v>0</v>
      </c>
      <c r="GS15" s="487"/>
      <c r="GT15" s="488">
        <f t="shared" si="65"/>
        <v>0</v>
      </c>
      <c r="GU15" s="489">
        <f t="shared" si="176"/>
        <v>0</v>
      </c>
      <c r="GV15" s="487"/>
      <c r="GW15" s="488">
        <f t="shared" si="66"/>
        <v>0</v>
      </c>
      <c r="GX15" s="489">
        <f t="shared" si="177"/>
        <v>0</v>
      </c>
      <c r="GY15" s="487"/>
      <c r="GZ15" s="488">
        <f t="shared" si="67"/>
        <v>0</v>
      </c>
      <c r="HA15" s="489">
        <f t="shared" si="178"/>
        <v>0</v>
      </c>
      <c r="HB15" s="487"/>
      <c r="HC15" s="488">
        <f t="shared" si="68"/>
        <v>0</v>
      </c>
      <c r="HD15" s="489">
        <f t="shared" si="179"/>
        <v>0</v>
      </c>
      <c r="HE15" s="487"/>
      <c r="HF15" s="488">
        <f t="shared" si="69"/>
        <v>0</v>
      </c>
      <c r="HG15" s="489">
        <f t="shared" si="180"/>
        <v>0</v>
      </c>
      <c r="HH15" s="487"/>
      <c r="HI15" s="488">
        <f t="shared" si="70"/>
        <v>0</v>
      </c>
      <c r="HJ15" s="489">
        <f t="shared" si="181"/>
        <v>0</v>
      </c>
      <c r="HK15" s="487"/>
      <c r="HL15" s="488">
        <f t="shared" si="71"/>
        <v>0</v>
      </c>
      <c r="HM15" s="489">
        <f t="shared" si="182"/>
        <v>0</v>
      </c>
      <c r="HN15" s="487"/>
      <c r="HO15" s="488">
        <f t="shared" si="72"/>
        <v>0</v>
      </c>
      <c r="HP15" s="489">
        <f t="shared" si="183"/>
        <v>0</v>
      </c>
      <c r="HQ15" s="487"/>
      <c r="HR15" s="488">
        <f t="shared" si="73"/>
        <v>0</v>
      </c>
      <c r="HS15" s="489">
        <f t="shared" si="184"/>
        <v>0</v>
      </c>
      <c r="HT15" s="487"/>
      <c r="HU15" s="488">
        <f t="shared" si="74"/>
        <v>0</v>
      </c>
      <c r="HV15" s="489">
        <f t="shared" si="185"/>
        <v>0</v>
      </c>
      <c r="HW15" s="487"/>
      <c r="HX15" s="488">
        <f t="shared" si="75"/>
        <v>0</v>
      </c>
      <c r="HY15" s="489">
        <f t="shared" si="186"/>
        <v>0</v>
      </c>
      <c r="HZ15" s="487"/>
      <c r="IA15" s="488">
        <f t="shared" si="76"/>
        <v>0</v>
      </c>
      <c r="IB15" s="489">
        <f t="shared" si="187"/>
        <v>0</v>
      </c>
      <c r="IC15" s="487"/>
      <c r="ID15" s="488">
        <f t="shared" si="77"/>
        <v>0</v>
      </c>
      <c r="IE15" s="489">
        <f t="shared" si="188"/>
        <v>0</v>
      </c>
      <c r="IF15" s="487"/>
      <c r="IG15" s="488">
        <f t="shared" si="78"/>
        <v>0</v>
      </c>
      <c r="IH15" s="489">
        <f t="shared" si="189"/>
        <v>0</v>
      </c>
      <c r="II15" s="487"/>
      <c r="IJ15" s="488">
        <f t="shared" si="79"/>
        <v>0</v>
      </c>
      <c r="IK15" s="489">
        <f t="shared" si="190"/>
        <v>0</v>
      </c>
      <c r="IL15" s="487"/>
      <c r="IM15" s="488">
        <f t="shared" si="80"/>
        <v>0</v>
      </c>
      <c r="IN15" s="489">
        <f t="shared" si="191"/>
        <v>0</v>
      </c>
      <c r="IO15" s="487"/>
      <c r="IP15" s="488">
        <f t="shared" si="81"/>
        <v>0</v>
      </c>
      <c r="IQ15" s="489">
        <f t="shared" si="192"/>
        <v>0</v>
      </c>
      <c r="IR15" s="487"/>
      <c r="IS15" s="488">
        <f t="shared" si="82"/>
        <v>0</v>
      </c>
      <c r="IT15" s="489">
        <f t="shared" si="193"/>
        <v>0</v>
      </c>
      <c r="IU15" s="487"/>
      <c r="IV15" s="488">
        <f t="shared" si="83"/>
        <v>0</v>
      </c>
      <c r="IW15" s="489">
        <f t="shared" si="194"/>
        <v>0</v>
      </c>
      <c r="IX15" s="487"/>
      <c r="IY15" s="488">
        <f t="shared" si="84"/>
        <v>0</v>
      </c>
      <c r="IZ15" s="489">
        <f t="shared" si="195"/>
        <v>0</v>
      </c>
      <c r="JA15" s="487"/>
      <c r="JB15" s="488">
        <f t="shared" si="85"/>
        <v>0</v>
      </c>
      <c r="JC15" s="489">
        <f t="shared" si="196"/>
        <v>0</v>
      </c>
      <c r="JD15" s="487"/>
      <c r="JE15" s="488">
        <f t="shared" si="86"/>
        <v>0</v>
      </c>
      <c r="JF15" s="489">
        <f t="shared" si="197"/>
        <v>0</v>
      </c>
      <c r="JG15" s="487"/>
      <c r="JH15" s="488">
        <f t="shared" si="87"/>
        <v>0</v>
      </c>
      <c r="JI15" s="489">
        <f t="shared" si="198"/>
        <v>0</v>
      </c>
      <c r="JJ15" s="487"/>
      <c r="JK15" s="489" t="str">
        <f t="shared" si="88"/>
        <v>0</v>
      </c>
      <c r="JL15" s="489" t="str">
        <f t="shared" si="89"/>
        <v>0</v>
      </c>
      <c r="JM15" s="487"/>
      <c r="JN15" s="489" t="str">
        <f t="shared" si="90"/>
        <v>0</v>
      </c>
      <c r="JO15" s="489" t="str">
        <f t="shared" si="91"/>
        <v>0</v>
      </c>
      <c r="JP15" s="487"/>
      <c r="JQ15" s="489" t="str">
        <f t="shared" si="92"/>
        <v>0</v>
      </c>
      <c r="JR15" s="489" t="str">
        <f t="shared" si="93"/>
        <v>0</v>
      </c>
      <c r="JS15" s="487"/>
      <c r="JT15" s="489" t="str">
        <f t="shared" si="94"/>
        <v>0</v>
      </c>
      <c r="JU15" s="489" t="str">
        <f t="shared" si="95"/>
        <v>0</v>
      </c>
      <c r="JV15" s="487"/>
      <c r="JW15" s="489" t="str">
        <f t="shared" si="96"/>
        <v>0</v>
      </c>
      <c r="JX15" s="489" t="str">
        <f t="shared" si="97"/>
        <v>0</v>
      </c>
      <c r="JY15" s="487"/>
      <c r="JZ15" s="489" t="str">
        <f t="shared" si="98"/>
        <v>0</v>
      </c>
      <c r="KA15" s="489" t="str">
        <f t="shared" si="99"/>
        <v>0</v>
      </c>
      <c r="KB15" s="487"/>
      <c r="KC15" s="489" t="str">
        <f t="shared" si="100"/>
        <v>0</v>
      </c>
      <c r="KD15" s="489" t="str">
        <f t="shared" si="101"/>
        <v>0</v>
      </c>
      <c r="KE15" s="487"/>
      <c r="KF15" s="489" t="str">
        <f t="shared" si="102"/>
        <v>0</v>
      </c>
      <c r="KG15" s="489" t="str">
        <f t="shared" si="103"/>
        <v>0</v>
      </c>
      <c r="KH15" s="487"/>
      <c r="KI15" s="489" t="str">
        <f t="shared" si="104"/>
        <v>0</v>
      </c>
      <c r="KJ15" s="489" t="str">
        <f t="shared" si="105"/>
        <v>0</v>
      </c>
      <c r="KK15" s="487"/>
      <c r="KL15" s="489" t="str">
        <f t="shared" si="106"/>
        <v>0</v>
      </c>
      <c r="KM15" s="489" t="str">
        <f t="shared" si="107"/>
        <v>0</v>
      </c>
      <c r="KN15" s="487"/>
      <c r="KO15" s="489" t="str">
        <f t="shared" si="108"/>
        <v>0</v>
      </c>
      <c r="KP15" s="489" t="str">
        <f t="shared" si="109"/>
        <v>0</v>
      </c>
      <c r="KQ15" s="487"/>
      <c r="KR15" s="489" t="str">
        <f t="shared" si="110"/>
        <v>0</v>
      </c>
      <c r="KS15" s="489" t="str">
        <f t="shared" si="111"/>
        <v>0</v>
      </c>
      <c r="KT15" s="489">
        <f t="shared" si="201"/>
        <v>0</v>
      </c>
      <c r="KU15" s="489">
        <f t="shared" si="202"/>
        <v>0</v>
      </c>
      <c r="KV15" s="259">
        <f t="shared" si="199"/>
        <v>646.82079164734159</v>
      </c>
    </row>
    <row r="16" spans="1:309" ht="15" customHeight="1">
      <c r="A16" s="261">
        <f t="shared" si="200"/>
        <v>46119</v>
      </c>
      <c r="B16" s="262" t="str">
        <f>+Report1!B15</f>
        <v>Towel</v>
      </c>
      <c r="C16" s="382" t="str">
        <f>+Report1!C15</f>
        <v>17</v>
      </c>
      <c r="D16" s="263">
        <f>+Report1!P15</f>
        <v>52.462999999999994</v>
      </c>
      <c r="E16" s="264">
        <f>+Report1!R15</f>
        <v>60.290999999999997</v>
      </c>
      <c r="F16" s="487"/>
      <c r="G16" s="488">
        <f t="shared" si="0"/>
        <v>0</v>
      </c>
      <c r="H16" s="489">
        <f t="shared" si="112"/>
        <v>0</v>
      </c>
      <c r="I16" s="487">
        <v>418.60465116279079</v>
      </c>
      <c r="J16" s="488">
        <f t="shared" si="1"/>
        <v>6.9430702951152048</v>
      </c>
      <c r="K16" s="489">
        <f t="shared" si="113"/>
        <v>0</v>
      </c>
      <c r="L16" s="487"/>
      <c r="M16" s="488">
        <f t="shared" si="2"/>
        <v>0</v>
      </c>
      <c r="N16" s="489">
        <f t="shared" si="114"/>
        <v>0</v>
      </c>
      <c r="O16" s="487">
        <v>12.000000000000057</v>
      </c>
      <c r="P16" s="488">
        <f t="shared" si="3"/>
        <v>0.19903468179330344</v>
      </c>
      <c r="Q16" s="489">
        <f t="shared" si="115"/>
        <v>0</v>
      </c>
      <c r="R16" s="487">
        <v>12.812499999999972</v>
      </c>
      <c r="S16" s="488">
        <f t="shared" si="4"/>
        <v>0.21251098837305687</v>
      </c>
      <c r="T16" s="489">
        <f t="shared" si="116"/>
        <v>0</v>
      </c>
      <c r="U16" s="487">
        <v>4.6874999999999858</v>
      </c>
      <c r="V16" s="488">
        <f t="shared" si="5"/>
        <v>7.7747922575508555E-2</v>
      </c>
      <c r="W16" s="489">
        <f t="shared" si="117"/>
        <v>0</v>
      </c>
      <c r="X16" s="487"/>
      <c r="Y16" s="488">
        <f t="shared" si="6"/>
        <v>0</v>
      </c>
      <c r="Z16" s="489">
        <f t="shared" si="118"/>
        <v>0</v>
      </c>
      <c r="AA16" s="487"/>
      <c r="AB16" s="488">
        <f t="shared" si="7"/>
        <v>0</v>
      </c>
      <c r="AC16" s="489">
        <f t="shared" si="119"/>
        <v>0</v>
      </c>
      <c r="AD16" s="487"/>
      <c r="AE16" s="488">
        <f t="shared" si="8"/>
        <v>0</v>
      </c>
      <c r="AF16" s="489">
        <f t="shared" si="120"/>
        <v>0</v>
      </c>
      <c r="AG16" s="487"/>
      <c r="AH16" s="488">
        <f t="shared" si="9"/>
        <v>0</v>
      </c>
      <c r="AI16" s="489">
        <f t="shared" si="121"/>
        <v>0</v>
      </c>
      <c r="AJ16" s="487"/>
      <c r="AK16" s="488">
        <f t="shared" si="10"/>
        <v>0</v>
      </c>
      <c r="AL16" s="489">
        <f t="shared" si="122"/>
        <v>0</v>
      </c>
      <c r="AM16" s="487">
        <v>49.038461538461434</v>
      </c>
      <c r="AN16" s="488">
        <f t="shared" si="11"/>
        <v>0.81336288232839782</v>
      </c>
      <c r="AO16" s="489">
        <f t="shared" si="123"/>
        <v>0</v>
      </c>
      <c r="AP16" s="487"/>
      <c r="AQ16" s="488">
        <f t="shared" si="12"/>
        <v>0</v>
      </c>
      <c r="AR16" s="489">
        <f t="shared" si="124"/>
        <v>0</v>
      </c>
      <c r="AS16" s="487"/>
      <c r="AT16" s="488">
        <f t="shared" si="13"/>
        <v>0</v>
      </c>
      <c r="AU16" s="489">
        <f t="shared" si="125"/>
        <v>0</v>
      </c>
      <c r="AV16" s="487">
        <v>0</v>
      </c>
      <c r="AW16" s="488">
        <f t="shared" si="14"/>
        <v>0</v>
      </c>
      <c r="AX16" s="489">
        <f t="shared" si="126"/>
        <v>0</v>
      </c>
      <c r="AY16" s="487">
        <v>37.333333333333371</v>
      </c>
      <c r="AZ16" s="488">
        <f t="shared" si="15"/>
        <v>0.61921901002360835</v>
      </c>
      <c r="BA16" s="489">
        <f t="shared" si="127"/>
        <v>0</v>
      </c>
      <c r="BB16" s="487"/>
      <c r="BC16" s="488">
        <f t="shared" si="16"/>
        <v>0</v>
      </c>
      <c r="BD16" s="489">
        <f t="shared" si="128"/>
        <v>0</v>
      </c>
      <c r="BE16" s="487"/>
      <c r="BF16" s="488">
        <f t="shared" si="17"/>
        <v>0</v>
      </c>
      <c r="BG16" s="489">
        <f t="shared" si="129"/>
        <v>0</v>
      </c>
      <c r="BH16" s="487"/>
      <c r="BI16" s="488">
        <f t="shared" si="18"/>
        <v>0</v>
      </c>
      <c r="BJ16" s="489">
        <f t="shared" si="130"/>
        <v>0</v>
      </c>
      <c r="BK16" s="487"/>
      <c r="BL16" s="488">
        <f t="shared" si="19"/>
        <v>0</v>
      </c>
      <c r="BM16" s="489">
        <f t="shared" si="131"/>
        <v>0</v>
      </c>
      <c r="BN16" s="487">
        <v>25.30864197530866</v>
      </c>
      <c r="BO16" s="488">
        <f t="shared" si="20"/>
        <v>0.41977479184801481</v>
      </c>
      <c r="BP16" s="489">
        <f t="shared" si="132"/>
        <v>0</v>
      </c>
      <c r="BQ16" s="487"/>
      <c r="BR16" s="488">
        <f t="shared" si="21"/>
        <v>0</v>
      </c>
      <c r="BS16" s="489">
        <f t="shared" si="133"/>
        <v>0</v>
      </c>
      <c r="BT16" s="487"/>
      <c r="BU16" s="488">
        <f t="shared" si="22"/>
        <v>0</v>
      </c>
      <c r="BV16" s="489">
        <f t="shared" si="134"/>
        <v>0</v>
      </c>
      <c r="BW16" s="487"/>
      <c r="BX16" s="488">
        <f t="shared" si="23"/>
        <v>0</v>
      </c>
      <c r="BY16" s="489">
        <f t="shared" si="135"/>
        <v>0</v>
      </c>
      <c r="BZ16" s="487"/>
      <c r="CA16" s="488">
        <f t="shared" si="24"/>
        <v>0</v>
      </c>
      <c r="CB16" s="489">
        <f t="shared" si="136"/>
        <v>0</v>
      </c>
      <c r="CC16" s="487">
        <v>20</v>
      </c>
      <c r="CD16" s="488">
        <f t="shared" si="25"/>
        <v>0.33172446965550417</v>
      </c>
      <c r="CE16" s="489">
        <f t="shared" si="137"/>
        <v>0</v>
      </c>
      <c r="CF16" s="487">
        <v>7</v>
      </c>
      <c r="CG16" s="488">
        <f t="shared" si="26"/>
        <v>0.11610356437942645</v>
      </c>
      <c r="CH16" s="489">
        <f t="shared" si="138"/>
        <v>0</v>
      </c>
      <c r="CI16" s="487"/>
      <c r="CJ16" s="488">
        <f t="shared" si="27"/>
        <v>0</v>
      </c>
      <c r="CK16" s="489">
        <f t="shared" si="139"/>
        <v>0</v>
      </c>
      <c r="CL16" s="487"/>
      <c r="CM16" s="488">
        <f t="shared" si="28"/>
        <v>0</v>
      </c>
      <c r="CN16" s="489">
        <f t="shared" si="140"/>
        <v>0</v>
      </c>
      <c r="CO16" s="487"/>
      <c r="CP16" s="488">
        <f t="shared" si="29"/>
        <v>0</v>
      </c>
      <c r="CQ16" s="489">
        <f t="shared" si="141"/>
        <v>0</v>
      </c>
      <c r="CR16" s="487"/>
      <c r="CS16" s="488">
        <f t="shared" si="30"/>
        <v>0</v>
      </c>
      <c r="CT16" s="489">
        <f t="shared" si="142"/>
        <v>0</v>
      </c>
      <c r="CU16" s="487"/>
      <c r="CV16" s="488">
        <f t="shared" si="31"/>
        <v>0</v>
      </c>
      <c r="CW16" s="489">
        <f t="shared" si="143"/>
        <v>0</v>
      </c>
      <c r="CX16" s="487"/>
      <c r="CY16" s="488">
        <f t="shared" si="32"/>
        <v>0</v>
      </c>
      <c r="CZ16" s="489">
        <f t="shared" si="144"/>
        <v>0</v>
      </c>
      <c r="DA16" s="487"/>
      <c r="DB16" s="488">
        <f t="shared" si="33"/>
        <v>0</v>
      </c>
      <c r="DC16" s="489">
        <f t="shared" si="145"/>
        <v>0</v>
      </c>
      <c r="DD16" s="487"/>
      <c r="DE16" s="488">
        <f t="shared" si="34"/>
        <v>0</v>
      </c>
      <c r="DF16" s="489">
        <f t="shared" si="146"/>
        <v>0</v>
      </c>
      <c r="DG16" s="487"/>
      <c r="DH16" s="488">
        <f t="shared" si="35"/>
        <v>0</v>
      </c>
      <c r="DI16" s="489">
        <f t="shared" si="203"/>
        <v>0</v>
      </c>
      <c r="DJ16" s="487"/>
      <c r="DK16" s="488">
        <f t="shared" si="36"/>
        <v>0</v>
      </c>
      <c r="DL16" s="489">
        <f t="shared" si="147"/>
        <v>0</v>
      </c>
      <c r="DM16" s="487"/>
      <c r="DN16" s="488">
        <f t="shared" si="37"/>
        <v>0</v>
      </c>
      <c r="DO16" s="489">
        <f t="shared" si="148"/>
        <v>0</v>
      </c>
      <c r="DP16" s="487"/>
      <c r="DQ16" s="488">
        <f t="shared" si="38"/>
        <v>0</v>
      </c>
      <c r="DR16" s="489">
        <f t="shared" si="149"/>
        <v>0</v>
      </c>
      <c r="DS16" s="487"/>
      <c r="DT16" s="488">
        <f t="shared" si="39"/>
        <v>0</v>
      </c>
      <c r="DU16" s="489">
        <f t="shared" si="150"/>
        <v>0</v>
      </c>
      <c r="DV16" s="487"/>
      <c r="DW16" s="488">
        <f t="shared" si="40"/>
        <v>0</v>
      </c>
      <c r="DX16" s="489">
        <f t="shared" si="151"/>
        <v>0</v>
      </c>
      <c r="DY16" s="487">
        <v>0</v>
      </c>
      <c r="DZ16" s="488">
        <f t="shared" si="41"/>
        <v>0</v>
      </c>
      <c r="EA16" s="489">
        <f t="shared" si="152"/>
        <v>0</v>
      </c>
      <c r="EB16" s="487">
        <v>21.80232558139528</v>
      </c>
      <c r="EC16" s="488">
        <f t="shared" si="42"/>
        <v>0.36161824453724906</v>
      </c>
      <c r="ED16" s="489">
        <f t="shared" si="153"/>
        <v>0</v>
      </c>
      <c r="EE16" s="487">
        <v>4</v>
      </c>
      <c r="EF16" s="488">
        <f t="shared" si="43"/>
        <v>6.6344893931100837E-2</v>
      </c>
      <c r="EG16" s="489">
        <f t="shared" si="154"/>
        <v>0</v>
      </c>
      <c r="EH16" s="487"/>
      <c r="EI16" s="488">
        <f t="shared" si="44"/>
        <v>0</v>
      </c>
      <c r="EJ16" s="489">
        <f t="shared" si="155"/>
        <v>0</v>
      </c>
      <c r="EK16" s="487"/>
      <c r="EL16" s="488">
        <f t="shared" si="45"/>
        <v>0</v>
      </c>
      <c r="EM16" s="489">
        <f t="shared" si="156"/>
        <v>0</v>
      </c>
      <c r="EN16" s="487"/>
      <c r="EO16" s="488">
        <f t="shared" si="46"/>
        <v>0</v>
      </c>
      <c r="EP16" s="489">
        <f t="shared" si="157"/>
        <v>0</v>
      </c>
      <c r="EQ16" s="487"/>
      <c r="ER16" s="488">
        <f t="shared" si="47"/>
        <v>0</v>
      </c>
      <c r="ES16" s="489">
        <f t="shared" si="158"/>
        <v>0</v>
      </c>
      <c r="ET16" s="487"/>
      <c r="EU16" s="488">
        <f t="shared" si="48"/>
        <v>0</v>
      </c>
      <c r="EV16" s="489">
        <f t="shared" si="159"/>
        <v>0</v>
      </c>
      <c r="EW16" s="487"/>
      <c r="EX16" s="488">
        <f t="shared" si="49"/>
        <v>0</v>
      </c>
      <c r="EY16" s="489">
        <f t="shared" si="160"/>
        <v>0</v>
      </c>
      <c r="EZ16" s="487"/>
      <c r="FA16" s="488">
        <f t="shared" si="50"/>
        <v>0</v>
      </c>
      <c r="FB16" s="489">
        <f t="shared" si="161"/>
        <v>0</v>
      </c>
      <c r="FC16" s="487"/>
      <c r="FD16" s="488">
        <f t="shared" si="51"/>
        <v>0</v>
      </c>
      <c r="FE16" s="489">
        <f t="shared" si="162"/>
        <v>0</v>
      </c>
      <c r="FF16" s="487"/>
      <c r="FG16" s="488">
        <f t="shared" si="52"/>
        <v>0</v>
      </c>
      <c r="FH16" s="489">
        <f t="shared" si="163"/>
        <v>0</v>
      </c>
      <c r="FI16" s="487"/>
      <c r="FJ16" s="488">
        <f t="shared" si="53"/>
        <v>0</v>
      </c>
      <c r="FK16" s="489">
        <f t="shared" si="164"/>
        <v>0</v>
      </c>
      <c r="FL16" s="487"/>
      <c r="FM16" s="488">
        <f t="shared" si="54"/>
        <v>0</v>
      </c>
      <c r="FN16" s="489">
        <f t="shared" si="165"/>
        <v>0</v>
      </c>
      <c r="FO16" s="487"/>
      <c r="FP16" s="488">
        <f t="shared" si="55"/>
        <v>0</v>
      </c>
      <c r="FQ16" s="489">
        <f t="shared" si="166"/>
        <v>0</v>
      </c>
      <c r="FR16" s="487"/>
      <c r="FS16" s="488">
        <f t="shared" si="56"/>
        <v>0</v>
      </c>
      <c r="FT16" s="489">
        <f t="shared" si="167"/>
        <v>0</v>
      </c>
      <c r="FU16" s="487"/>
      <c r="FV16" s="488">
        <f t="shared" si="57"/>
        <v>0</v>
      </c>
      <c r="FW16" s="489">
        <f t="shared" si="168"/>
        <v>0</v>
      </c>
      <c r="FX16" s="487"/>
      <c r="FY16" s="488">
        <f t="shared" si="58"/>
        <v>0</v>
      </c>
      <c r="FZ16" s="489">
        <f t="shared" si="169"/>
        <v>0</v>
      </c>
      <c r="GA16" s="487"/>
      <c r="GB16" s="488">
        <f t="shared" si="59"/>
        <v>0</v>
      </c>
      <c r="GC16" s="489">
        <f t="shared" si="170"/>
        <v>0</v>
      </c>
      <c r="GD16" s="487"/>
      <c r="GE16" s="488">
        <f t="shared" si="60"/>
        <v>0</v>
      </c>
      <c r="GF16" s="489">
        <f t="shared" si="171"/>
        <v>0</v>
      </c>
      <c r="GG16" s="487"/>
      <c r="GH16" s="488">
        <f t="shared" si="61"/>
        <v>0</v>
      </c>
      <c r="GI16" s="489">
        <f t="shared" si="172"/>
        <v>0</v>
      </c>
      <c r="GJ16" s="487"/>
      <c r="GK16" s="488">
        <f t="shared" si="62"/>
        <v>0</v>
      </c>
      <c r="GL16" s="489">
        <f t="shared" si="173"/>
        <v>0</v>
      </c>
      <c r="GM16" s="487"/>
      <c r="GN16" s="488">
        <f t="shared" si="63"/>
        <v>0</v>
      </c>
      <c r="GO16" s="489">
        <f t="shared" si="174"/>
        <v>0</v>
      </c>
      <c r="GP16" s="487"/>
      <c r="GQ16" s="488">
        <f t="shared" si="64"/>
        <v>0</v>
      </c>
      <c r="GR16" s="489">
        <f t="shared" si="175"/>
        <v>0</v>
      </c>
      <c r="GS16" s="487"/>
      <c r="GT16" s="488">
        <f t="shared" si="65"/>
        <v>0</v>
      </c>
      <c r="GU16" s="489">
        <f t="shared" si="176"/>
        <v>0</v>
      </c>
      <c r="GV16" s="487"/>
      <c r="GW16" s="488">
        <f t="shared" si="66"/>
        <v>0</v>
      </c>
      <c r="GX16" s="489">
        <f t="shared" si="177"/>
        <v>0</v>
      </c>
      <c r="GY16" s="487"/>
      <c r="GZ16" s="488">
        <f t="shared" si="67"/>
        <v>0</v>
      </c>
      <c r="HA16" s="489">
        <f t="shared" si="178"/>
        <v>0</v>
      </c>
      <c r="HB16" s="487"/>
      <c r="HC16" s="488">
        <f t="shared" si="68"/>
        <v>0</v>
      </c>
      <c r="HD16" s="489">
        <f t="shared" si="179"/>
        <v>0</v>
      </c>
      <c r="HE16" s="487"/>
      <c r="HF16" s="488">
        <f t="shared" si="69"/>
        <v>0</v>
      </c>
      <c r="HG16" s="489">
        <f t="shared" si="180"/>
        <v>0</v>
      </c>
      <c r="HH16" s="487"/>
      <c r="HI16" s="488">
        <f t="shared" si="70"/>
        <v>0</v>
      </c>
      <c r="HJ16" s="489">
        <f t="shared" si="181"/>
        <v>0</v>
      </c>
      <c r="HK16" s="487"/>
      <c r="HL16" s="488">
        <f t="shared" si="71"/>
        <v>0</v>
      </c>
      <c r="HM16" s="489">
        <f t="shared" si="182"/>
        <v>0</v>
      </c>
      <c r="HN16" s="487"/>
      <c r="HO16" s="488">
        <f t="shared" si="72"/>
        <v>0</v>
      </c>
      <c r="HP16" s="489">
        <f t="shared" si="183"/>
        <v>0</v>
      </c>
      <c r="HQ16" s="487"/>
      <c r="HR16" s="488">
        <f t="shared" si="73"/>
        <v>0</v>
      </c>
      <c r="HS16" s="489">
        <f t="shared" si="184"/>
        <v>0</v>
      </c>
      <c r="HT16" s="487"/>
      <c r="HU16" s="488">
        <f t="shared" si="74"/>
        <v>0</v>
      </c>
      <c r="HV16" s="489">
        <f t="shared" si="185"/>
        <v>0</v>
      </c>
      <c r="HW16" s="487"/>
      <c r="HX16" s="488">
        <f t="shared" si="75"/>
        <v>0</v>
      </c>
      <c r="HY16" s="489">
        <f t="shared" si="186"/>
        <v>0</v>
      </c>
      <c r="HZ16" s="487"/>
      <c r="IA16" s="488">
        <f t="shared" si="76"/>
        <v>0</v>
      </c>
      <c r="IB16" s="489">
        <f t="shared" si="187"/>
        <v>0</v>
      </c>
      <c r="IC16" s="487"/>
      <c r="ID16" s="488">
        <f t="shared" si="77"/>
        <v>0</v>
      </c>
      <c r="IE16" s="489">
        <f t="shared" si="188"/>
        <v>0</v>
      </c>
      <c r="IF16" s="487"/>
      <c r="IG16" s="488">
        <f t="shared" si="78"/>
        <v>0</v>
      </c>
      <c r="IH16" s="489">
        <f t="shared" si="189"/>
        <v>0</v>
      </c>
      <c r="II16" s="487"/>
      <c r="IJ16" s="488">
        <f t="shared" si="79"/>
        <v>0</v>
      </c>
      <c r="IK16" s="489">
        <f t="shared" si="190"/>
        <v>0</v>
      </c>
      <c r="IL16" s="487"/>
      <c r="IM16" s="488">
        <f t="shared" si="80"/>
        <v>0</v>
      </c>
      <c r="IN16" s="489">
        <f t="shared" si="191"/>
        <v>0</v>
      </c>
      <c r="IO16" s="487"/>
      <c r="IP16" s="488">
        <f t="shared" si="81"/>
        <v>0</v>
      </c>
      <c r="IQ16" s="489">
        <f t="shared" si="192"/>
        <v>0</v>
      </c>
      <c r="IR16" s="487"/>
      <c r="IS16" s="488">
        <f t="shared" si="82"/>
        <v>0</v>
      </c>
      <c r="IT16" s="489">
        <f t="shared" si="193"/>
        <v>0</v>
      </c>
      <c r="IU16" s="487"/>
      <c r="IV16" s="488">
        <f t="shared" si="83"/>
        <v>0</v>
      </c>
      <c r="IW16" s="489">
        <f t="shared" si="194"/>
        <v>0</v>
      </c>
      <c r="IX16" s="487"/>
      <c r="IY16" s="488">
        <f t="shared" si="84"/>
        <v>0</v>
      </c>
      <c r="IZ16" s="489">
        <f t="shared" si="195"/>
        <v>0</v>
      </c>
      <c r="JA16" s="487"/>
      <c r="JB16" s="488">
        <f t="shared" si="85"/>
        <v>0</v>
      </c>
      <c r="JC16" s="489">
        <f t="shared" si="196"/>
        <v>0</v>
      </c>
      <c r="JD16" s="487"/>
      <c r="JE16" s="488">
        <f t="shared" si="86"/>
        <v>0</v>
      </c>
      <c r="JF16" s="489">
        <f t="shared" si="197"/>
        <v>0</v>
      </c>
      <c r="JG16" s="487"/>
      <c r="JH16" s="488">
        <f t="shared" si="87"/>
        <v>0</v>
      </c>
      <c r="JI16" s="489">
        <f t="shared" si="198"/>
        <v>0</v>
      </c>
      <c r="JJ16" s="487"/>
      <c r="JK16" s="489" t="str">
        <f t="shared" si="88"/>
        <v>0</v>
      </c>
      <c r="JL16" s="489" t="str">
        <f t="shared" si="89"/>
        <v>0</v>
      </c>
      <c r="JM16" s="487"/>
      <c r="JN16" s="489" t="str">
        <f t="shared" si="90"/>
        <v>0</v>
      </c>
      <c r="JO16" s="489" t="str">
        <f t="shared" si="91"/>
        <v>0</v>
      </c>
      <c r="JP16" s="487"/>
      <c r="JQ16" s="489" t="str">
        <f t="shared" si="92"/>
        <v>0</v>
      </c>
      <c r="JR16" s="489" t="str">
        <f t="shared" si="93"/>
        <v>0</v>
      </c>
      <c r="JS16" s="487"/>
      <c r="JT16" s="489" t="str">
        <f t="shared" si="94"/>
        <v>0</v>
      </c>
      <c r="JU16" s="489" t="str">
        <f t="shared" si="95"/>
        <v>0</v>
      </c>
      <c r="JV16" s="487"/>
      <c r="JW16" s="489" t="str">
        <f t="shared" si="96"/>
        <v>0</v>
      </c>
      <c r="JX16" s="489" t="str">
        <f t="shared" si="97"/>
        <v>0</v>
      </c>
      <c r="JY16" s="487"/>
      <c r="JZ16" s="489" t="str">
        <f t="shared" si="98"/>
        <v>0</v>
      </c>
      <c r="KA16" s="489" t="str">
        <f t="shared" si="99"/>
        <v>0</v>
      </c>
      <c r="KB16" s="487"/>
      <c r="KC16" s="489" t="str">
        <f t="shared" si="100"/>
        <v>0</v>
      </c>
      <c r="KD16" s="489" t="str">
        <f t="shared" si="101"/>
        <v>0</v>
      </c>
      <c r="KE16" s="487"/>
      <c r="KF16" s="489" t="str">
        <f t="shared" si="102"/>
        <v>0</v>
      </c>
      <c r="KG16" s="489" t="str">
        <f t="shared" si="103"/>
        <v>0</v>
      </c>
      <c r="KH16" s="487"/>
      <c r="KI16" s="489" t="str">
        <f t="shared" si="104"/>
        <v>0</v>
      </c>
      <c r="KJ16" s="489" t="str">
        <f t="shared" si="105"/>
        <v>0</v>
      </c>
      <c r="KK16" s="487"/>
      <c r="KL16" s="489" t="str">
        <f t="shared" si="106"/>
        <v>0</v>
      </c>
      <c r="KM16" s="489" t="str">
        <f t="shared" si="107"/>
        <v>0</v>
      </c>
      <c r="KN16" s="487"/>
      <c r="KO16" s="489" t="str">
        <f t="shared" si="108"/>
        <v>0</v>
      </c>
      <c r="KP16" s="489" t="str">
        <f t="shared" si="109"/>
        <v>0</v>
      </c>
      <c r="KQ16" s="487"/>
      <c r="KR16" s="489" t="str">
        <f t="shared" si="110"/>
        <v>0</v>
      </c>
      <c r="KS16" s="489" t="str">
        <f t="shared" si="111"/>
        <v>0</v>
      </c>
      <c r="KT16" s="489">
        <f t="shared" si="201"/>
        <v>0</v>
      </c>
      <c r="KU16" s="489">
        <f t="shared" si="202"/>
        <v>0</v>
      </c>
      <c r="KV16" s="259">
        <f t="shared" si="199"/>
        <v>612.58741359128953</v>
      </c>
    </row>
    <row r="17" spans="1:308" ht="15" customHeight="1">
      <c r="A17" s="261">
        <f t="shared" si="200"/>
        <v>46120</v>
      </c>
      <c r="B17" s="262" t="str">
        <f>+Report1!B16</f>
        <v>Towel</v>
      </c>
      <c r="C17" s="382" t="str">
        <f>+Report1!C16</f>
        <v>17</v>
      </c>
      <c r="D17" s="263">
        <f>+Report1!P16</f>
        <v>48.456999999999994</v>
      </c>
      <c r="E17" s="264">
        <f>+Report1!R16</f>
        <v>46.26</v>
      </c>
      <c r="F17" s="487"/>
      <c r="G17" s="488">
        <f t="shared" si="0"/>
        <v>0</v>
      </c>
      <c r="H17" s="489">
        <f t="shared" si="112"/>
        <v>0</v>
      </c>
      <c r="I17" s="487">
        <v>325.58139534883719</v>
      </c>
      <c r="J17" s="488">
        <f t="shared" si="1"/>
        <v>7.0380759911119153</v>
      </c>
      <c r="K17" s="489">
        <f t="shared" si="113"/>
        <v>0</v>
      </c>
      <c r="L17" s="487"/>
      <c r="M17" s="488">
        <f t="shared" si="2"/>
        <v>0</v>
      </c>
      <c r="N17" s="489">
        <f t="shared" si="114"/>
        <v>0</v>
      </c>
      <c r="O17" s="487">
        <v>5.9999999999999432</v>
      </c>
      <c r="P17" s="488">
        <f t="shared" si="3"/>
        <v>0.12970168612191837</v>
      </c>
      <c r="Q17" s="489">
        <f t="shared" si="115"/>
        <v>0</v>
      </c>
      <c r="R17" s="487">
        <v>10.250000000000028</v>
      </c>
      <c r="S17" s="488">
        <f t="shared" si="4"/>
        <v>0.22157371379161325</v>
      </c>
      <c r="T17" s="489">
        <f t="shared" si="116"/>
        <v>0</v>
      </c>
      <c r="U17" s="487">
        <v>6.2500000000000142</v>
      </c>
      <c r="V17" s="488">
        <f t="shared" si="5"/>
        <v>0.13510592304366656</v>
      </c>
      <c r="W17" s="489">
        <f t="shared" si="117"/>
        <v>0</v>
      </c>
      <c r="X17" s="487"/>
      <c r="Y17" s="488">
        <f t="shared" si="6"/>
        <v>0</v>
      </c>
      <c r="Z17" s="489">
        <f t="shared" si="118"/>
        <v>0</v>
      </c>
      <c r="AA17" s="487"/>
      <c r="AB17" s="488">
        <f t="shared" si="7"/>
        <v>0</v>
      </c>
      <c r="AC17" s="489">
        <f t="shared" si="119"/>
        <v>0</v>
      </c>
      <c r="AD17" s="487"/>
      <c r="AE17" s="488">
        <f t="shared" si="8"/>
        <v>0</v>
      </c>
      <c r="AF17" s="489">
        <f t="shared" si="120"/>
        <v>0</v>
      </c>
      <c r="AG17" s="487"/>
      <c r="AH17" s="488">
        <f t="shared" si="9"/>
        <v>0</v>
      </c>
      <c r="AI17" s="489">
        <f t="shared" si="121"/>
        <v>0</v>
      </c>
      <c r="AJ17" s="487"/>
      <c r="AK17" s="488">
        <f t="shared" si="10"/>
        <v>0</v>
      </c>
      <c r="AL17" s="489">
        <f t="shared" si="122"/>
        <v>0</v>
      </c>
      <c r="AM17" s="487">
        <v>37.500000000000114</v>
      </c>
      <c r="AN17" s="488">
        <f t="shared" si="11"/>
        <v>0.81063553826199986</v>
      </c>
      <c r="AO17" s="489">
        <f t="shared" si="123"/>
        <v>0</v>
      </c>
      <c r="AP17" s="487"/>
      <c r="AQ17" s="488">
        <f t="shared" si="12"/>
        <v>0</v>
      </c>
      <c r="AR17" s="489">
        <f t="shared" si="124"/>
        <v>0</v>
      </c>
      <c r="AS17" s="487"/>
      <c r="AT17" s="488">
        <f t="shared" si="13"/>
        <v>0</v>
      </c>
      <c r="AU17" s="489">
        <f t="shared" si="125"/>
        <v>0</v>
      </c>
      <c r="AV17" s="487">
        <v>0</v>
      </c>
      <c r="AW17" s="488">
        <f t="shared" si="14"/>
        <v>0</v>
      </c>
      <c r="AX17" s="489">
        <f t="shared" si="126"/>
        <v>0</v>
      </c>
      <c r="AY17" s="487">
        <v>30.333333333333371</v>
      </c>
      <c r="AZ17" s="488">
        <f t="shared" si="15"/>
        <v>0.65571407983859431</v>
      </c>
      <c r="BA17" s="489">
        <f t="shared" si="127"/>
        <v>0</v>
      </c>
      <c r="BB17" s="487"/>
      <c r="BC17" s="488">
        <f t="shared" si="16"/>
        <v>0</v>
      </c>
      <c r="BD17" s="489">
        <f t="shared" si="128"/>
        <v>0</v>
      </c>
      <c r="BE17" s="487"/>
      <c r="BF17" s="488">
        <f t="shared" si="17"/>
        <v>0</v>
      </c>
      <c r="BG17" s="489">
        <f t="shared" si="129"/>
        <v>0</v>
      </c>
      <c r="BH17" s="487"/>
      <c r="BI17" s="488">
        <f t="shared" si="18"/>
        <v>0</v>
      </c>
      <c r="BJ17" s="489">
        <f t="shared" si="130"/>
        <v>0</v>
      </c>
      <c r="BK17" s="487"/>
      <c r="BL17" s="488">
        <f t="shared" si="19"/>
        <v>0</v>
      </c>
      <c r="BM17" s="489">
        <f t="shared" si="131"/>
        <v>0</v>
      </c>
      <c r="BN17" s="487">
        <v>25.30864197530866</v>
      </c>
      <c r="BO17" s="488">
        <f t="shared" si="20"/>
        <v>0.54709558960892046</v>
      </c>
      <c r="BP17" s="489">
        <f t="shared" si="132"/>
        <v>0</v>
      </c>
      <c r="BQ17" s="487"/>
      <c r="BR17" s="488">
        <f t="shared" si="21"/>
        <v>0</v>
      </c>
      <c r="BS17" s="489">
        <f t="shared" si="133"/>
        <v>0</v>
      </c>
      <c r="BT17" s="487"/>
      <c r="BU17" s="488">
        <f t="shared" si="22"/>
        <v>0</v>
      </c>
      <c r="BV17" s="489">
        <f t="shared" si="134"/>
        <v>0</v>
      </c>
      <c r="BW17" s="487"/>
      <c r="BX17" s="488">
        <f t="shared" si="23"/>
        <v>0</v>
      </c>
      <c r="BY17" s="489">
        <f t="shared" si="135"/>
        <v>0</v>
      </c>
      <c r="BZ17" s="487"/>
      <c r="CA17" s="488">
        <f t="shared" si="24"/>
        <v>0</v>
      </c>
      <c r="CB17" s="489">
        <f t="shared" si="136"/>
        <v>0</v>
      </c>
      <c r="CC17" s="487">
        <v>22</v>
      </c>
      <c r="CD17" s="488">
        <f t="shared" si="25"/>
        <v>0.47557284911370518</v>
      </c>
      <c r="CE17" s="489">
        <f t="shared" si="137"/>
        <v>0</v>
      </c>
      <c r="CF17" s="487">
        <v>7</v>
      </c>
      <c r="CG17" s="488">
        <f t="shared" si="26"/>
        <v>0.1513186338089062</v>
      </c>
      <c r="CH17" s="489">
        <f t="shared" si="138"/>
        <v>0</v>
      </c>
      <c r="CI17" s="487"/>
      <c r="CJ17" s="488">
        <f t="shared" si="27"/>
        <v>0</v>
      </c>
      <c r="CK17" s="489">
        <f t="shared" si="139"/>
        <v>0</v>
      </c>
      <c r="CL17" s="487"/>
      <c r="CM17" s="488">
        <f t="shared" si="28"/>
        <v>0</v>
      </c>
      <c r="CN17" s="489">
        <f t="shared" si="140"/>
        <v>0</v>
      </c>
      <c r="CO17" s="487"/>
      <c r="CP17" s="488">
        <f t="shared" si="29"/>
        <v>0</v>
      </c>
      <c r="CQ17" s="489">
        <f t="shared" si="141"/>
        <v>0</v>
      </c>
      <c r="CR17" s="487"/>
      <c r="CS17" s="488">
        <f t="shared" si="30"/>
        <v>0</v>
      </c>
      <c r="CT17" s="489">
        <f t="shared" si="142"/>
        <v>0</v>
      </c>
      <c r="CU17" s="487"/>
      <c r="CV17" s="488">
        <f t="shared" si="31"/>
        <v>0</v>
      </c>
      <c r="CW17" s="489">
        <f t="shared" si="143"/>
        <v>0</v>
      </c>
      <c r="CX17" s="487"/>
      <c r="CY17" s="488">
        <f t="shared" si="32"/>
        <v>0</v>
      </c>
      <c r="CZ17" s="489">
        <f t="shared" si="144"/>
        <v>0</v>
      </c>
      <c r="DA17" s="487"/>
      <c r="DB17" s="488">
        <f t="shared" si="33"/>
        <v>0</v>
      </c>
      <c r="DC17" s="489">
        <f t="shared" si="145"/>
        <v>0</v>
      </c>
      <c r="DD17" s="487"/>
      <c r="DE17" s="488">
        <f t="shared" si="34"/>
        <v>0</v>
      </c>
      <c r="DF17" s="489">
        <f t="shared" si="146"/>
        <v>0</v>
      </c>
      <c r="DG17" s="487"/>
      <c r="DH17" s="488">
        <f t="shared" si="35"/>
        <v>0</v>
      </c>
      <c r="DI17" s="489">
        <f t="shared" si="203"/>
        <v>0</v>
      </c>
      <c r="DJ17" s="487"/>
      <c r="DK17" s="488">
        <f t="shared" si="36"/>
        <v>0</v>
      </c>
      <c r="DL17" s="489">
        <f t="shared" si="147"/>
        <v>0</v>
      </c>
      <c r="DM17" s="487"/>
      <c r="DN17" s="488">
        <f t="shared" si="37"/>
        <v>0</v>
      </c>
      <c r="DO17" s="489">
        <f t="shared" si="148"/>
        <v>0</v>
      </c>
      <c r="DP17" s="487"/>
      <c r="DQ17" s="488">
        <f t="shared" si="38"/>
        <v>0</v>
      </c>
      <c r="DR17" s="489">
        <f t="shared" si="149"/>
        <v>0</v>
      </c>
      <c r="DS17" s="487"/>
      <c r="DT17" s="488">
        <f t="shared" si="39"/>
        <v>0</v>
      </c>
      <c r="DU17" s="489">
        <f t="shared" si="150"/>
        <v>0</v>
      </c>
      <c r="DV17" s="487"/>
      <c r="DW17" s="488">
        <f t="shared" si="40"/>
        <v>0</v>
      </c>
      <c r="DX17" s="489">
        <f t="shared" si="151"/>
        <v>0</v>
      </c>
      <c r="DY17" s="487">
        <v>0</v>
      </c>
      <c r="DZ17" s="488">
        <f t="shared" si="41"/>
        <v>0</v>
      </c>
      <c r="EA17" s="489">
        <f t="shared" si="152"/>
        <v>0</v>
      </c>
      <c r="EB17" s="487">
        <v>29.069767441860563</v>
      </c>
      <c r="EC17" s="488">
        <f t="shared" si="42"/>
        <v>0.62839964206356602</v>
      </c>
      <c r="ED17" s="489">
        <f t="shared" si="153"/>
        <v>0</v>
      </c>
      <c r="EE17" s="487">
        <v>5</v>
      </c>
      <c r="EF17" s="488">
        <f t="shared" si="43"/>
        <v>0.10808473843493299</v>
      </c>
      <c r="EG17" s="489">
        <f t="shared" si="154"/>
        <v>0</v>
      </c>
      <c r="EH17" s="487"/>
      <c r="EI17" s="488">
        <f t="shared" si="44"/>
        <v>0</v>
      </c>
      <c r="EJ17" s="489">
        <f t="shared" si="155"/>
        <v>0</v>
      </c>
      <c r="EK17" s="487"/>
      <c r="EL17" s="488">
        <f t="shared" si="45"/>
        <v>0</v>
      </c>
      <c r="EM17" s="489">
        <f t="shared" si="156"/>
        <v>0</v>
      </c>
      <c r="EN17" s="487"/>
      <c r="EO17" s="488">
        <f t="shared" si="46"/>
        <v>0</v>
      </c>
      <c r="EP17" s="489">
        <f t="shared" si="157"/>
        <v>0</v>
      </c>
      <c r="EQ17" s="487"/>
      <c r="ER17" s="488">
        <f t="shared" si="47"/>
        <v>0</v>
      </c>
      <c r="ES17" s="489">
        <f t="shared" si="158"/>
        <v>0</v>
      </c>
      <c r="ET17" s="487"/>
      <c r="EU17" s="488">
        <f t="shared" si="48"/>
        <v>0</v>
      </c>
      <c r="EV17" s="489">
        <f t="shared" si="159"/>
        <v>0</v>
      </c>
      <c r="EW17" s="487"/>
      <c r="EX17" s="488">
        <f t="shared" si="49"/>
        <v>0</v>
      </c>
      <c r="EY17" s="489">
        <f t="shared" si="160"/>
        <v>0</v>
      </c>
      <c r="EZ17" s="487"/>
      <c r="FA17" s="488">
        <f t="shared" si="50"/>
        <v>0</v>
      </c>
      <c r="FB17" s="489">
        <f t="shared" si="161"/>
        <v>0</v>
      </c>
      <c r="FC17" s="487"/>
      <c r="FD17" s="488">
        <f t="shared" si="51"/>
        <v>0</v>
      </c>
      <c r="FE17" s="489">
        <f t="shared" si="162"/>
        <v>0</v>
      </c>
      <c r="FF17" s="487"/>
      <c r="FG17" s="488">
        <f t="shared" si="52"/>
        <v>0</v>
      </c>
      <c r="FH17" s="489">
        <f t="shared" si="163"/>
        <v>0</v>
      </c>
      <c r="FI17" s="487"/>
      <c r="FJ17" s="488">
        <f t="shared" si="53"/>
        <v>0</v>
      </c>
      <c r="FK17" s="489">
        <f t="shared" si="164"/>
        <v>0</v>
      </c>
      <c r="FL17" s="487"/>
      <c r="FM17" s="488">
        <f t="shared" si="54"/>
        <v>0</v>
      </c>
      <c r="FN17" s="489">
        <f t="shared" si="165"/>
        <v>0</v>
      </c>
      <c r="FO17" s="487"/>
      <c r="FP17" s="488">
        <f t="shared" si="55"/>
        <v>0</v>
      </c>
      <c r="FQ17" s="489">
        <f t="shared" si="166"/>
        <v>0</v>
      </c>
      <c r="FR17" s="487"/>
      <c r="FS17" s="488">
        <f t="shared" si="56"/>
        <v>0</v>
      </c>
      <c r="FT17" s="489">
        <f t="shared" si="167"/>
        <v>0</v>
      </c>
      <c r="FU17" s="487"/>
      <c r="FV17" s="488">
        <f t="shared" si="57"/>
        <v>0</v>
      </c>
      <c r="FW17" s="489">
        <f t="shared" si="168"/>
        <v>0</v>
      </c>
      <c r="FX17" s="487"/>
      <c r="FY17" s="488">
        <f t="shared" si="58"/>
        <v>0</v>
      </c>
      <c r="FZ17" s="489">
        <f t="shared" si="169"/>
        <v>0</v>
      </c>
      <c r="GA17" s="487"/>
      <c r="GB17" s="488">
        <f t="shared" si="59"/>
        <v>0</v>
      </c>
      <c r="GC17" s="489">
        <f t="shared" si="170"/>
        <v>0</v>
      </c>
      <c r="GD17" s="487"/>
      <c r="GE17" s="488">
        <f t="shared" si="60"/>
        <v>0</v>
      </c>
      <c r="GF17" s="489">
        <f t="shared" si="171"/>
        <v>0</v>
      </c>
      <c r="GG17" s="487"/>
      <c r="GH17" s="488">
        <f t="shared" si="61"/>
        <v>0</v>
      </c>
      <c r="GI17" s="489">
        <f t="shared" si="172"/>
        <v>0</v>
      </c>
      <c r="GJ17" s="487"/>
      <c r="GK17" s="488">
        <f t="shared" si="62"/>
        <v>0</v>
      </c>
      <c r="GL17" s="489">
        <f t="shared" si="173"/>
        <v>0</v>
      </c>
      <c r="GM17" s="487"/>
      <c r="GN17" s="488">
        <f t="shared" si="63"/>
        <v>0</v>
      </c>
      <c r="GO17" s="489">
        <f t="shared" si="174"/>
        <v>0</v>
      </c>
      <c r="GP17" s="487"/>
      <c r="GQ17" s="488">
        <f t="shared" si="64"/>
        <v>0</v>
      </c>
      <c r="GR17" s="489">
        <f t="shared" si="175"/>
        <v>0</v>
      </c>
      <c r="GS17" s="487"/>
      <c r="GT17" s="488">
        <f t="shared" si="65"/>
        <v>0</v>
      </c>
      <c r="GU17" s="489">
        <f t="shared" si="176"/>
        <v>0</v>
      </c>
      <c r="GV17" s="487"/>
      <c r="GW17" s="488">
        <f t="shared" si="66"/>
        <v>0</v>
      </c>
      <c r="GX17" s="489">
        <f t="shared" si="177"/>
        <v>0</v>
      </c>
      <c r="GY17" s="487"/>
      <c r="GZ17" s="488">
        <f t="shared" si="67"/>
        <v>0</v>
      </c>
      <c r="HA17" s="489">
        <f t="shared" si="178"/>
        <v>0</v>
      </c>
      <c r="HB17" s="487"/>
      <c r="HC17" s="488">
        <f t="shared" si="68"/>
        <v>0</v>
      </c>
      <c r="HD17" s="489">
        <f t="shared" si="179"/>
        <v>0</v>
      </c>
      <c r="HE17" s="487"/>
      <c r="HF17" s="488">
        <f t="shared" si="69"/>
        <v>0</v>
      </c>
      <c r="HG17" s="489">
        <f t="shared" si="180"/>
        <v>0</v>
      </c>
      <c r="HH17" s="487"/>
      <c r="HI17" s="488">
        <f t="shared" si="70"/>
        <v>0</v>
      </c>
      <c r="HJ17" s="489">
        <f t="shared" si="181"/>
        <v>0</v>
      </c>
      <c r="HK17" s="487"/>
      <c r="HL17" s="488">
        <f t="shared" si="71"/>
        <v>0</v>
      </c>
      <c r="HM17" s="489">
        <f t="shared" si="182"/>
        <v>0</v>
      </c>
      <c r="HN17" s="487"/>
      <c r="HO17" s="488">
        <f t="shared" si="72"/>
        <v>0</v>
      </c>
      <c r="HP17" s="489">
        <f t="shared" si="183"/>
        <v>0</v>
      </c>
      <c r="HQ17" s="487"/>
      <c r="HR17" s="488">
        <f t="shared" si="73"/>
        <v>0</v>
      </c>
      <c r="HS17" s="489">
        <f t="shared" si="184"/>
        <v>0</v>
      </c>
      <c r="HT17" s="487"/>
      <c r="HU17" s="488">
        <f t="shared" si="74"/>
        <v>0</v>
      </c>
      <c r="HV17" s="489">
        <f t="shared" si="185"/>
        <v>0</v>
      </c>
      <c r="HW17" s="487"/>
      <c r="HX17" s="488">
        <f t="shared" si="75"/>
        <v>0</v>
      </c>
      <c r="HY17" s="489">
        <f t="shared" si="186"/>
        <v>0</v>
      </c>
      <c r="HZ17" s="487"/>
      <c r="IA17" s="488">
        <f t="shared" si="76"/>
        <v>0</v>
      </c>
      <c r="IB17" s="489">
        <f t="shared" si="187"/>
        <v>0</v>
      </c>
      <c r="IC17" s="487"/>
      <c r="ID17" s="488">
        <f t="shared" si="77"/>
        <v>0</v>
      </c>
      <c r="IE17" s="489">
        <f t="shared" si="188"/>
        <v>0</v>
      </c>
      <c r="IF17" s="487"/>
      <c r="IG17" s="488">
        <f t="shared" si="78"/>
        <v>0</v>
      </c>
      <c r="IH17" s="489">
        <f t="shared" si="189"/>
        <v>0</v>
      </c>
      <c r="II17" s="487"/>
      <c r="IJ17" s="488">
        <f t="shared" si="79"/>
        <v>0</v>
      </c>
      <c r="IK17" s="489">
        <f t="shared" si="190"/>
        <v>0</v>
      </c>
      <c r="IL17" s="487"/>
      <c r="IM17" s="488">
        <f t="shared" si="80"/>
        <v>0</v>
      </c>
      <c r="IN17" s="489">
        <f t="shared" si="191"/>
        <v>0</v>
      </c>
      <c r="IO17" s="487"/>
      <c r="IP17" s="488">
        <f t="shared" si="81"/>
        <v>0</v>
      </c>
      <c r="IQ17" s="489">
        <f t="shared" si="192"/>
        <v>0</v>
      </c>
      <c r="IR17" s="487"/>
      <c r="IS17" s="488">
        <f t="shared" si="82"/>
        <v>0</v>
      </c>
      <c r="IT17" s="489">
        <f t="shared" si="193"/>
        <v>0</v>
      </c>
      <c r="IU17" s="487"/>
      <c r="IV17" s="488">
        <f t="shared" si="83"/>
        <v>0</v>
      </c>
      <c r="IW17" s="489">
        <f t="shared" si="194"/>
        <v>0</v>
      </c>
      <c r="IX17" s="487"/>
      <c r="IY17" s="488">
        <f t="shared" si="84"/>
        <v>0</v>
      </c>
      <c r="IZ17" s="489">
        <f t="shared" si="195"/>
        <v>0</v>
      </c>
      <c r="JA17" s="487"/>
      <c r="JB17" s="488">
        <f t="shared" si="85"/>
        <v>0</v>
      </c>
      <c r="JC17" s="489">
        <f t="shared" si="196"/>
        <v>0</v>
      </c>
      <c r="JD17" s="487"/>
      <c r="JE17" s="488">
        <f t="shared" si="86"/>
        <v>0</v>
      </c>
      <c r="JF17" s="489">
        <f t="shared" si="197"/>
        <v>0</v>
      </c>
      <c r="JG17" s="487"/>
      <c r="JH17" s="488">
        <f t="shared" si="87"/>
        <v>0</v>
      </c>
      <c r="JI17" s="489">
        <f t="shared" si="198"/>
        <v>0</v>
      </c>
      <c r="JJ17" s="487"/>
      <c r="JK17" s="489" t="str">
        <f t="shared" si="88"/>
        <v>0</v>
      </c>
      <c r="JL17" s="489" t="str">
        <f t="shared" si="89"/>
        <v>0</v>
      </c>
      <c r="JM17" s="487"/>
      <c r="JN17" s="489" t="str">
        <f t="shared" si="90"/>
        <v>0</v>
      </c>
      <c r="JO17" s="489" t="str">
        <f t="shared" si="91"/>
        <v>0</v>
      </c>
      <c r="JP17" s="487"/>
      <c r="JQ17" s="489" t="str">
        <f t="shared" si="92"/>
        <v>0</v>
      </c>
      <c r="JR17" s="489" t="str">
        <f t="shared" si="93"/>
        <v>0</v>
      </c>
      <c r="JS17" s="487"/>
      <c r="JT17" s="489" t="str">
        <f t="shared" si="94"/>
        <v>0</v>
      </c>
      <c r="JU17" s="489" t="str">
        <f t="shared" si="95"/>
        <v>0</v>
      </c>
      <c r="JV17" s="487"/>
      <c r="JW17" s="489" t="str">
        <f t="shared" si="96"/>
        <v>0</v>
      </c>
      <c r="JX17" s="489" t="str">
        <f t="shared" si="97"/>
        <v>0</v>
      </c>
      <c r="JY17" s="487"/>
      <c r="JZ17" s="489" t="str">
        <f t="shared" si="98"/>
        <v>0</v>
      </c>
      <c r="KA17" s="489" t="str">
        <f t="shared" si="99"/>
        <v>0</v>
      </c>
      <c r="KB17" s="487"/>
      <c r="KC17" s="489" t="str">
        <f t="shared" si="100"/>
        <v>0</v>
      </c>
      <c r="KD17" s="489" t="str">
        <f t="shared" si="101"/>
        <v>0</v>
      </c>
      <c r="KE17" s="487"/>
      <c r="KF17" s="489" t="str">
        <f t="shared" si="102"/>
        <v>0</v>
      </c>
      <c r="KG17" s="489" t="str">
        <f t="shared" si="103"/>
        <v>0</v>
      </c>
      <c r="KH17" s="487"/>
      <c r="KI17" s="489" t="str">
        <f t="shared" si="104"/>
        <v>0</v>
      </c>
      <c r="KJ17" s="489" t="str">
        <f t="shared" si="105"/>
        <v>0</v>
      </c>
      <c r="KK17" s="487"/>
      <c r="KL17" s="489" t="str">
        <f t="shared" si="106"/>
        <v>0</v>
      </c>
      <c r="KM17" s="489" t="str">
        <f t="shared" si="107"/>
        <v>0</v>
      </c>
      <c r="KN17" s="487"/>
      <c r="KO17" s="489" t="str">
        <f t="shared" si="108"/>
        <v>0</v>
      </c>
      <c r="KP17" s="489" t="str">
        <f t="shared" si="109"/>
        <v>0</v>
      </c>
      <c r="KQ17" s="487"/>
      <c r="KR17" s="489" t="str">
        <f t="shared" si="110"/>
        <v>0</v>
      </c>
      <c r="KS17" s="489" t="str">
        <f t="shared" si="111"/>
        <v>0</v>
      </c>
      <c r="KT17" s="489">
        <f t="shared" si="201"/>
        <v>0</v>
      </c>
      <c r="KU17" s="489">
        <f t="shared" si="202"/>
        <v>0</v>
      </c>
      <c r="KV17" s="259">
        <f t="shared" si="199"/>
        <v>504.2931380993399</v>
      </c>
    </row>
    <row r="18" spans="1:308" ht="15" customHeight="1">
      <c r="A18" s="261">
        <f t="shared" si="200"/>
        <v>46121</v>
      </c>
      <c r="B18" s="262" t="str">
        <f>+Report1!B17</f>
        <v>Towel</v>
      </c>
      <c r="C18" s="382" t="str">
        <f>+Report1!C17</f>
        <v>17</v>
      </c>
      <c r="D18" s="263">
        <f>+Report1!P17</f>
        <v>54.501999999999995</v>
      </c>
      <c r="E18" s="264">
        <f>+Report1!R17</f>
        <v>49.106000000000002</v>
      </c>
      <c r="F18" s="487"/>
      <c r="G18" s="488">
        <f t="shared" si="0"/>
        <v>0</v>
      </c>
      <c r="H18" s="489">
        <f t="shared" si="112"/>
        <v>0</v>
      </c>
      <c r="I18" s="487">
        <v>406.97674418604674</v>
      </c>
      <c r="J18" s="488">
        <f t="shared" si="1"/>
        <v>8.2877193048924109</v>
      </c>
      <c r="K18" s="489">
        <f t="shared" si="113"/>
        <v>0</v>
      </c>
      <c r="L18" s="487"/>
      <c r="M18" s="488">
        <f t="shared" si="2"/>
        <v>0</v>
      </c>
      <c r="N18" s="489">
        <f t="shared" si="114"/>
        <v>0</v>
      </c>
      <c r="O18" s="487">
        <v>0</v>
      </c>
      <c r="P18" s="488">
        <f t="shared" si="3"/>
        <v>0</v>
      </c>
      <c r="Q18" s="489">
        <f t="shared" si="115"/>
        <v>0</v>
      </c>
      <c r="R18" s="487">
        <v>0</v>
      </c>
      <c r="S18" s="488">
        <f t="shared" si="4"/>
        <v>0</v>
      </c>
      <c r="T18" s="489">
        <f t="shared" si="116"/>
        <v>0</v>
      </c>
      <c r="U18" s="487">
        <v>3.125</v>
      </c>
      <c r="V18" s="488">
        <f t="shared" si="5"/>
        <v>6.3637844662566695E-2</v>
      </c>
      <c r="W18" s="489">
        <f t="shared" si="117"/>
        <v>0</v>
      </c>
      <c r="X18" s="487"/>
      <c r="Y18" s="488">
        <f t="shared" si="6"/>
        <v>0</v>
      </c>
      <c r="Z18" s="489">
        <f t="shared" si="118"/>
        <v>0</v>
      </c>
      <c r="AA18" s="487"/>
      <c r="AB18" s="488">
        <f t="shared" si="7"/>
        <v>0</v>
      </c>
      <c r="AC18" s="489">
        <f t="shared" si="119"/>
        <v>0</v>
      </c>
      <c r="AD18" s="487"/>
      <c r="AE18" s="488">
        <f t="shared" si="8"/>
        <v>0</v>
      </c>
      <c r="AF18" s="489">
        <f t="shared" si="120"/>
        <v>0</v>
      </c>
      <c r="AG18" s="487"/>
      <c r="AH18" s="488">
        <f t="shared" si="9"/>
        <v>0</v>
      </c>
      <c r="AI18" s="489">
        <f t="shared" si="121"/>
        <v>0</v>
      </c>
      <c r="AJ18" s="487"/>
      <c r="AK18" s="488">
        <f t="shared" si="10"/>
        <v>0</v>
      </c>
      <c r="AL18" s="489">
        <f t="shared" si="122"/>
        <v>0</v>
      </c>
      <c r="AM18" s="487">
        <v>25.961538461538453</v>
      </c>
      <c r="AN18" s="488">
        <f t="shared" si="11"/>
        <v>0.52868363258132312</v>
      </c>
      <c r="AO18" s="489">
        <f t="shared" si="123"/>
        <v>0</v>
      </c>
      <c r="AP18" s="487"/>
      <c r="AQ18" s="488">
        <f t="shared" si="12"/>
        <v>0</v>
      </c>
      <c r="AR18" s="489">
        <f t="shared" si="124"/>
        <v>0</v>
      </c>
      <c r="AS18" s="487"/>
      <c r="AT18" s="488">
        <f t="shared" si="13"/>
        <v>0</v>
      </c>
      <c r="AU18" s="489">
        <f t="shared" si="125"/>
        <v>0</v>
      </c>
      <c r="AV18" s="487">
        <v>0</v>
      </c>
      <c r="AW18" s="488">
        <f t="shared" si="14"/>
        <v>0</v>
      </c>
      <c r="AX18" s="489">
        <f t="shared" si="126"/>
        <v>0</v>
      </c>
      <c r="AY18" s="487">
        <v>23.333333333333371</v>
      </c>
      <c r="AZ18" s="488">
        <f t="shared" si="15"/>
        <v>0.47516257348049873</v>
      </c>
      <c r="BA18" s="489">
        <f t="shared" si="127"/>
        <v>0</v>
      </c>
      <c r="BB18" s="487"/>
      <c r="BC18" s="488">
        <f t="shared" si="16"/>
        <v>0</v>
      </c>
      <c r="BD18" s="489">
        <f t="shared" si="128"/>
        <v>0</v>
      </c>
      <c r="BE18" s="487"/>
      <c r="BF18" s="488">
        <f t="shared" si="17"/>
        <v>0</v>
      </c>
      <c r="BG18" s="489">
        <f t="shared" si="129"/>
        <v>0</v>
      </c>
      <c r="BH18" s="487"/>
      <c r="BI18" s="488">
        <f t="shared" si="18"/>
        <v>0</v>
      </c>
      <c r="BJ18" s="489">
        <f t="shared" si="130"/>
        <v>0</v>
      </c>
      <c r="BK18" s="487"/>
      <c r="BL18" s="488">
        <f t="shared" si="19"/>
        <v>0</v>
      </c>
      <c r="BM18" s="489">
        <f t="shared" si="131"/>
        <v>0</v>
      </c>
      <c r="BN18" s="487">
        <v>22.777777777777771</v>
      </c>
      <c r="BO18" s="488">
        <f t="shared" si="20"/>
        <v>0.46384917887381932</v>
      </c>
      <c r="BP18" s="489">
        <f t="shared" si="132"/>
        <v>0</v>
      </c>
      <c r="BQ18" s="487"/>
      <c r="BR18" s="488">
        <f t="shared" si="21"/>
        <v>0</v>
      </c>
      <c r="BS18" s="489">
        <f t="shared" si="133"/>
        <v>0</v>
      </c>
      <c r="BT18" s="487"/>
      <c r="BU18" s="488">
        <f t="shared" si="22"/>
        <v>0</v>
      </c>
      <c r="BV18" s="489">
        <f t="shared" si="134"/>
        <v>0</v>
      </c>
      <c r="BW18" s="487"/>
      <c r="BX18" s="488">
        <f t="shared" si="23"/>
        <v>0</v>
      </c>
      <c r="BY18" s="489">
        <f t="shared" si="135"/>
        <v>0</v>
      </c>
      <c r="BZ18" s="487"/>
      <c r="CA18" s="488">
        <f t="shared" si="24"/>
        <v>0</v>
      </c>
      <c r="CB18" s="489">
        <f t="shared" si="136"/>
        <v>0</v>
      </c>
      <c r="CC18" s="487">
        <v>21</v>
      </c>
      <c r="CD18" s="488">
        <f t="shared" si="25"/>
        <v>0.42764631613244813</v>
      </c>
      <c r="CE18" s="489">
        <f t="shared" si="137"/>
        <v>0</v>
      </c>
      <c r="CF18" s="487">
        <v>7</v>
      </c>
      <c r="CG18" s="488">
        <f t="shared" si="26"/>
        <v>0.1425487720441494</v>
      </c>
      <c r="CH18" s="489">
        <f t="shared" si="138"/>
        <v>0</v>
      </c>
      <c r="CI18" s="487"/>
      <c r="CJ18" s="488">
        <f t="shared" si="27"/>
        <v>0</v>
      </c>
      <c r="CK18" s="489">
        <f t="shared" si="139"/>
        <v>0</v>
      </c>
      <c r="CL18" s="487"/>
      <c r="CM18" s="488">
        <f t="shared" si="28"/>
        <v>0</v>
      </c>
      <c r="CN18" s="489">
        <f t="shared" si="140"/>
        <v>0</v>
      </c>
      <c r="CO18" s="487"/>
      <c r="CP18" s="488">
        <f t="shared" si="29"/>
        <v>0</v>
      </c>
      <c r="CQ18" s="489">
        <f t="shared" si="141"/>
        <v>0</v>
      </c>
      <c r="CR18" s="487"/>
      <c r="CS18" s="488">
        <f t="shared" si="30"/>
        <v>0</v>
      </c>
      <c r="CT18" s="489">
        <f t="shared" si="142"/>
        <v>0</v>
      </c>
      <c r="CU18" s="487"/>
      <c r="CV18" s="488">
        <f t="shared" si="31"/>
        <v>0</v>
      </c>
      <c r="CW18" s="489">
        <f t="shared" si="143"/>
        <v>0</v>
      </c>
      <c r="CX18" s="487"/>
      <c r="CY18" s="488">
        <f t="shared" si="32"/>
        <v>0</v>
      </c>
      <c r="CZ18" s="489">
        <f t="shared" si="144"/>
        <v>0</v>
      </c>
      <c r="DA18" s="487"/>
      <c r="DB18" s="488">
        <f t="shared" si="33"/>
        <v>0</v>
      </c>
      <c r="DC18" s="489">
        <f t="shared" si="145"/>
        <v>0</v>
      </c>
      <c r="DD18" s="487"/>
      <c r="DE18" s="488">
        <f t="shared" si="34"/>
        <v>0</v>
      </c>
      <c r="DF18" s="489">
        <f t="shared" si="146"/>
        <v>0</v>
      </c>
      <c r="DG18" s="487"/>
      <c r="DH18" s="488">
        <f t="shared" si="35"/>
        <v>0</v>
      </c>
      <c r="DI18" s="489">
        <f t="shared" si="203"/>
        <v>0</v>
      </c>
      <c r="DJ18" s="487"/>
      <c r="DK18" s="488">
        <f t="shared" si="36"/>
        <v>0</v>
      </c>
      <c r="DL18" s="489">
        <f t="shared" si="147"/>
        <v>0</v>
      </c>
      <c r="DM18" s="487"/>
      <c r="DN18" s="488">
        <f t="shared" si="37"/>
        <v>0</v>
      </c>
      <c r="DO18" s="489">
        <f t="shared" si="148"/>
        <v>0</v>
      </c>
      <c r="DP18" s="487"/>
      <c r="DQ18" s="488">
        <f t="shared" si="38"/>
        <v>0</v>
      </c>
      <c r="DR18" s="489">
        <f t="shared" si="149"/>
        <v>0</v>
      </c>
      <c r="DS18" s="487"/>
      <c r="DT18" s="488">
        <f t="shared" si="39"/>
        <v>0</v>
      </c>
      <c r="DU18" s="489">
        <f t="shared" si="150"/>
        <v>0</v>
      </c>
      <c r="DV18" s="487"/>
      <c r="DW18" s="488">
        <f t="shared" si="40"/>
        <v>0</v>
      </c>
      <c r="DX18" s="489">
        <f t="shared" si="151"/>
        <v>0</v>
      </c>
      <c r="DY18" s="487">
        <v>0</v>
      </c>
      <c r="DZ18" s="488">
        <f t="shared" si="41"/>
        <v>0</v>
      </c>
      <c r="EA18" s="489">
        <f t="shared" si="152"/>
        <v>0</v>
      </c>
      <c r="EB18" s="487">
        <v>29.069767441860449</v>
      </c>
      <c r="EC18" s="488">
        <f t="shared" si="42"/>
        <v>0.59197995034945727</v>
      </c>
      <c r="ED18" s="489">
        <f t="shared" si="153"/>
        <v>0</v>
      </c>
      <c r="EE18" s="487">
        <v>5</v>
      </c>
      <c r="EF18" s="488">
        <f t="shared" si="43"/>
        <v>0.1018205514601067</v>
      </c>
      <c r="EG18" s="489">
        <f t="shared" si="154"/>
        <v>0</v>
      </c>
      <c r="EH18" s="487"/>
      <c r="EI18" s="488">
        <f t="shared" si="44"/>
        <v>0</v>
      </c>
      <c r="EJ18" s="489">
        <f t="shared" si="155"/>
        <v>0</v>
      </c>
      <c r="EK18" s="487"/>
      <c r="EL18" s="488">
        <f t="shared" si="45"/>
        <v>0</v>
      </c>
      <c r="EM18" s="489">
        <f t="shared" si="156"/>
        <v>0</v>
      </c>
      <c r="EN18" s="487"/>
      <c r="EO18" s="488">
        <f t="shared" si="46"/>
        <v>0</v>
      </c>
      <c r="EP18" s="489">
        <f t="shared" si="157"/>
        <v>0</v>
      </c>
      <c r="EQ18" s="487"/>
      <c r="ER18" s="488">
        <f t="shared" si="47"/>
        <v>0</v>
      </c>
      <c r="ES18" s="489">
        <f t="shared" si="158"/>
        <v>0</v>
      </c>
      <c r="ET18" s="487"/>
      <c r="EU18" s="488">
        <f t="shared" si="48"/>
        <v>0</v>
      </c>
      <c r="EV18" s="489">
        <f t="shared" si="159"/>
        <v>0</v>
      </c>
      <c r="EW18" s="487"/>
      <c r="EX18" s="488">
        <f t="shared" si="49"/>
        <v>0</v>
      </c>
      <c r="EY18" s="489">
        <f t="shared" si="160"/>
        <v>0</v>
      </c>
      <c r="EZ18" s="487"/>
      <c r="FA18" s="488">
        <f t="shared" si="50"/>
        <v>0</v>
      </c>
      <c r="FB18" s="489">
        <f t="shared" si="161"/>
        <v>0</v>
      </c>
      <c r="FC18" s="487"/>
      <c r="FD18" s="488">
        <f t="shared" si="51"/>
        <v>0</v>
      </c>
      <c r="FE18" s="489">
        <f t="shared" si="162"/>
        <v>0</v>
      </c>
      <c r="FF18" s="487"/>
      <c r="FG18" s="488">
        <f t="shared" si="52"/>
        <v>0</v>
      </c>
      <c r="FH18" s="489">
        <f t="shared" si="163"/>
        <v>0</v>
      </c>
      <c r="FI18" s="487"/>
      <c r="FJ18" s="488">
        <f t="shared" si="53"/>
        <v>0</v>
      </c>
      <c r="FK18" s="489">
        <f t="shared" si="164"/>
        <v>0</v>
      </c>
      <c r="FL18" s="487"/>
      <c r="FM18" s="488">
        <f t="shared" si="54"/>
        <v>0</v>
      </c>
      <c r="FN18" s="489">
        <f t="shared" si="165"/>
        <v>0</v>
      </c>
      <c r="FO18" s="487"/>
      <c r="FP18" s="488">
        <f t="shared" si="55"/>
        <v>0</v>
      </c>
      <c r="FQ18" s="489">
        <f t="shared" si="166"/>
        <v>0</v>
      </c>
      <c r="FR18" s="487"/>
      <c r="FS18" s="488">
        <f t="shared" si="56"/>
        <v>0</v>
      </c>
      <c r="FT18" s="489">
        <f t="shared" si="167"/>
        <v>0</v>
      </c>
      <c r="FU18" s="487"/>
      <c r="FV18" s="488">
        <f t="shared" si="57"/>
        <v>0</v>
      </c>
      <c r="FW18" s="489">
        <f t="shared" si="168"/>
        <v>0</v>
      </c>
      <c r="FX18" s="487"/>
      <c r="FY18" s="488">
        <f t="shared" si="58"/>
        <v>0</v>
      </c>
      <c r="FZ18" s="489">
        <f t="shared" si="169"/>
        <v>0</v>
      </c>
      <c r="GA18" s="487"/>
      <c r="GB18" s="488">
        <f t="shared" si="59"/>
        <v>0</v>
      </c>
      <c r="GC18" s="489">
        <f t="shared" si="170"/>
        <v>0</v>
      </c>
      <c r="GD18" s="487"/>
      <c r="GE18" s="488">
        <f t="shared" si="60"/>
        <v>0</v>
      </c>
      <c r="GF18" s="489">
        <f t="shared" si="171"/>
        <v>0</v>
      </c>
      <c r="GG18" s="487"/>
      <c r="GH18" s="488">
        <f t="shared" si="61"/>
        <v>0</v>
      </c>
      <c r="GI18" s="489">
        <f t="shared" si="172"/>
        <v>0</v>
      </c>
      <c r="GJ18" s="487"/>
      <c r="GK18" s="488">
        <f t="shared" si="62"/>
        <v>0</v>
      </c>
      <c r="GL18" s="489">
        <f t="shared" si="173"/>
        <v>0</v>
      </c>
      <c r="GM18" s="487"/>
      <c r="GN18" s="488">
        <f t="shared" si="63"/>
        <v>0</v>
      </c>
      <c r="GO18" s="489">
        <f t="shared" si="174"/>
        <v>0</v>
      </c>
      <c r="GP18" s="487"/>
      <c r="GQ18" s="488">
        <f t="shared" si="64"/>
        <v>0</v>
      </c>
      <c r="GR18" s="489">
        <f t="shared" si="175"/>
        <v>0</v>
      </c>
      <c r="GS18" s="487"/>
      <c r="GT18" s="488">
        <f t="shared" si="65"/>
        <v>0</v>
      </c>
      <c r="GU18" s="489">
        <f t="shared" si="176"/>
        <v>0</v>
      </c>
      <c r="GV18" s="487"/>
      <c r="GW18" s="488">
        <f t="shared" si="66"/>
        <v>0</v>
      </c>
      <c r="GX18" s="489">
        <f t="shared" si="177"/>
        <v>0</v>
      </c>
      <c r="GY18" s="487"/>
      <c r="GZ18" s="488">
        <f t="shared" si="67"/>
        <v>0</v>
      </c>
      <c r="HA18" s="489">
        <f t="shared" si="178"/>
        <v>0</v>
      </c>
      <c r="HB18" s="487"/>
      <c r="HC18" s="488">
        <f t="shared" si="68"/>
        <v>0</v>
      </c>
      <c r="HD18" s="489">
        <f t="shared" si="179"/>
        <v>0</v>
      </c>
      <c r="HE18" s="487"/>
      <c r="HF18" s="488">
        <f t="shared" si="69"/>
        <v>0</v>
      </c>
      <c r="HG18" s="489">
        <f t="shared" si="180"/>
        <v>0</v>
      </c>
      <c r="HH18" s="487"/>
      <c r="HI18" s="488">
        <f t="shared" si="70"/>
        <v>0</v>
      </c>
      <c r="HJ18" s="489">
        <f t="shared" si="181"/>
        <v>0</v>
      </c>
      <c r="HK18" s="487"/>
      <c r="HL18" s="488">
        <f t="shared" si="71"/>
        <v>0</v>
      </c>
      <c r="HM18" s="489">
        <f t="shared" si="182"/>
        <v>0</v>
      </c>
      <c r="HN18" s="487"/>
      <c r="HO18" s="488">
        <f t="shared" si="72"/>
        <v>0</v>
      </c>
      <c r="HP18" s="489">
        <f t="shared" si="183"/>
        <v>0</v>
      </c>
      <c r="HQ18" s="487"/>
      <c r="HR18" s="488">
        <f t="shared" si="73"/>
        <v>0</v>
      </c>
      <c r="HS18" s="489">
        <f t="shared" si="184"/>
        <v>0</v>
      </c>
      <c r="HT18" s="487"/>
      <c r="HU18" s="488">
        <f t="shared" si="74"/>
        <v>0</v>
      </c>
      <c r="HV18" s="489">
        <f t="shared" si="185"/>
        <v>0</v>
      </c>
      <c r="HW18" s="487"/>
      <c r="HX18" s="488">
        <f t="shared" si="75"/>
        <v>0</v>
      </c>
      <c r="HY18" s="489">
        <f t="shared" si="186"/>
        <v>0</v>
      </c>
      <c r="HZ18" s="487"/>
      <c r="IA18" s="488">
        <f t="shared" si="76"/>
        <v>0</v>
      </c>
      <c r="IB18" s="489">
        <f t="shared" si="187"/>
        <v>0</v>
      </c>
      <c r="IC18" s="487"/>
      <c r="ID18" s="488">
        <f t="shared" si="77"/>
        <v>0</v>
      </c>
      <c r="IE18" s="489">
        <f t="shared" si="188"/>
        <v>0</v>
      </c>
      <c r="IF18" s="487"/>
      <c r="IG18" s="488">
        <f t="shared" si="78"/>
        <v>0</v>
      </c>
      <c r="IH18" s="489">
        <f t="shared" si="189"/>
        <v>0</v>
      </c>
      <c r="II18" s="487"/>
      <c r="IJ18" s="488">
        <f t="shared" si="79"/>
        <v>0</v>
      </c>
      <c r="IK18" s="489">
        <f t="shared" si="190"/>
        <v>0</v>
      </c>
      <c r="IL18" s="487"/>
      <c r="IM18" s="488">
        <f t="shared" si="80"/>
        <v>0</v>
      </c>
      <c r="IN18" s="489">
        <f t="shared" si="191"/>
        <v>0</v>
      </c>
      <c r="IO18" s="487"/>
      <c r="IP18" s="488">
        <f t="shared" si="81"/>
        <v>0</v>
      </c>
      <c r="IQ18" s="489">
        <f t="shared" si="192"/>
        <v>0</v>
      </c>
      <c r="IR18" s="487"/>
      <c r="IS18" s="488">
        <f t="shared" si="82"/>
        <v>0</v>
      </c>
      <c r="IT18" s="489">
        <f t="shared" si="193"/>
        <v>0</v>
      </c>
      <c r="IU18" s="487"/>
      <c r="IV18" s="488">
        <f t="shared" si="83"/>
        <v>0</v>
      </c>
      <c r="IW18" s="489">
        <f t="shared" si="194"/>
        <v>0</v>
      </c>
      <c r="IX18" s="487"/>
      <c r="IY18" s="488">
        <f t="shared" si="84"/>
        <v>0</v>
      </c>
      <c r="IZ18" s="489">
        <f t="shared" si="195"/>
        <v>0</v>
      </c>
      <c r="JA18" s="487"/>
      <c r="JB18" s="488">
        <f t="shared" si="85"/>
        <v>0</v>
      </c>
      <c r="JC18" s="489">
        <f t="shared" si="196"/>
        <v>0</v>
      </c>
      <c r="JD18" s="487"/>
      <c r="JE18" s="488">
        <f t="shared" si="86"/>
        <v>0</v>
      </c>
      <c r="JF18" s="489">
        <f t="shared" si="197"/>
        <v>0</v>
      </c>
      <c r="JG18" s="487"/>
      <c r="JH18" s="488">
        <f t="shared" si="87"/>
        <v>0</v>
      </c>
      <c r="JI18" s="489">
        <f t="shared" si="198"/>
        <v>0</v>
      </c>
      <c r="JJ18" s="487"/>
      <c r="JK18" s="489" t="str">
        <f t="shared" si="88"/>
        <v>0</v>
      </c>
      <c r="JL18" s="489" t="str">
        <f t="shared" si="89"/>
        <v>0</v>
      </c>
      <c r="JM18" s="487"/>
      <c r="JN18" s="489" t="str">
        <f t="shared" si="90"/>
        <v>0</v>
      </c>
      <c r="JO18" s="489" t="str">
        <f t="shared" si="91"/>
        <v>0</v>
      </c>
      <c r="JP18" s="487"/>
      <c r="JQ18" s="489" t="str">
        <f t="shared" si="92"/>
        <v>0</v>
      </c>
      <c r="JR18" s="489" t="str">
        <f t="shared" si="93"/>
        <v>0</v>
      </c>
      <c r="JS18" s="487"/>
      <c r="JT18" s="489" t="str">
        <f t="shared" si="94"/>
        <v>0</v>
      </c>
      <c r="JU18" s="489" t="str">
        <f t="shared" si="95"/>
        <v>0</v>
      </c>
      <c r="JV18" s="487"/>
      <c r="JW18" s="489" t="str">
        <f t="shared" si="96"/>
        <v>0</v>
      </c>
      <c r="JX18" s="489" t="str">
        <f t="shared" si="97"/>
        <v>0</v>
      </c>
      <c r="JY18" s="487"/>
      <c r="JZ18" s="489" t="str">
        <f t="shared" si="98"/>
        <v>0</v>
      </c>
      <c r="KA18" s="489" t="str">
        <f t="shared" si="99"/>
        <v>0</v>
      </c>
      <c r="KB18" s="487"/>
      <c r="KC18" s="489" t="str">
        <f t="shared" si="100"/>
        <v>0</v>
      </c>
      <c r="KD18" s="489" t="str">
        <f t="shared" si="101"/>
        <v>0</v>
      </c>
      <c r="KE18" s="487"/>
      <c r="KF18" s="489" t="str">
        <f t="shared" si="102"/>
        <v>0</v>
      </c>
      <c r="KG18" s="489" t="str">
        <f t="shared" si="103"/>
        <v>0</v>
      </c>
      <c r="KH18" s="487"/>
      <c r="KI18" s="489" t="str">
        <f t="shared" si="104"/>
        <v>0</v>
      </c>
      <c r="KJ18" s="489" t="str">
        <f t="shared" si="105"/>
        <v>0</v>
      </c>
      <c r="KK18" s="487"/>
      <c r="KL18" s="489" t="str">
        <f t="shared" si="106"/>
        <v>0</v>
      </c>
      <c r="KM18" s="489" t="str">
        <f t="shared" si="107"/>
        <v>0</v>
      </c>
      <c r="KN18" s="487"/>
      <c r="KO18" s="489" t="str">
        <f t="shared" si="108"/>
        <v>0</v>
      </c>
      <c r="KP18" s="489" t="str">
        <f t="shared" si="109"/>
        <v>0</v>
      </c>
      <c r="KQ18" s="487"/>
      <c r="KR18" s="489" t="str">
        <f t="shared" si="110"/>
        <v>0</v>
      </c>
      <c r="KS18" s="489" t="str">
        <f t="shared" si="111"/>
        <v>0</v>
      </c>
      <c r="KT18" s="489">
        <f t="shared" si="201"/>
        <v>0</v>
      </c>
      <c r="KU18" s="489">
        <f t="shared" si="202"/>
        <v>0</v>
      </c>
      <c r="KV18" s="259">
        <f t="shared" si="199"/>
        <v>544.24416120055685</v>
      </c>
    </row>
    <row r="19" spans="1:308" ht="15" customHeight="1">
      <c r="A19" s="261">
        <f t="shared" si="200"/>
        <v>46122</v>
      </c>
      <c r="B19" s="262" t="str">
        <f>+Report1!B18</f>
        <v>Towel</v>
      </c>
      <c r="C19" s="382" t="str">
        <f>+Report1!C18</f>
        <v>17</v>
      </c>
      <c r="D19" s="263">
        <f>+Report1!P18</f>
        <v>53.430999999999997</v>
      </c>
      <c r="E19" s="264">
        <f>+Report1!R18</f>
        <v>56.877000000000002</v>
      </c>
      <c r="F19" s="487"/>
      <c r="G19" s="488">
        <f t="shared" si="0"/>
        <v>0</v>
      </c>
      <c r="H19" s="489">
        <f t="shared" si="112"/>
        <v>0</v>
      </c>
      <c r="I19" s="487">
        <v>383.7209302325582</v>
      </c>
      <c r="J19" s="488">
        <f t="shared" si="1"/>
        <v>6.746504390747722</v>
      </c>
      <c r="K19" s="489">
        <f t="shared" si="113"/>
        <v>0</v>
      </c>
      <c r="L19" s="487"/>
      <c r="M19" s="488">
        <f t="shared" si="2"/>
        <v>0</v>
      </c>
      <c r="N19" s="489">
        <f t="shared" si="114"/>
        <v>0</v>
      </c>
      <c r="O19" s="487">
        <v>9</v>
      </c>
      <c r="P19" s="488">
        <f t="shared" si="3"/>
        <v>0.1582361938920829</v>
      </c>
      <c r="Q19" s="489">
        <f t="shared" si="115"/>
        <v>0</v>
      </c>
      <c r="R19" s="487">
        <v>10.25</v>
      </c>
      <c r="S19" s="488">
        <f t="shared" si="4"/>
        <v>0.18021344304376108</v>
      </c>
      <c r="T19" s="489">
        <f t="shared" si="116"/>
        <v>0</v>
      </c>
      <c r="U19" s="487">
        <v>3.125</v>
      </c>
      <c r="V19" s="488">
        <f t="shared" si="5"/>
        <v>5.4943122879195457E-2</v>
      </c>
      <c r="W19" s="489">
        <f t="shared" si="117"/>
        <v>0</v>
      </c>
      <c r="X19" s="487"/>
      <c r="Y19" s="488">
        <f t="shared" si="6"/>
        <v>0</v>
      </c>
      <c r="Z19" s="489">
        <f t="shared" si="118"/>
        <v>0</v>
      </c>
      <c r="AA19" s="487"/>
      <c r="AB19" s="488">
        <f t="shared" si="7"/>
        <v>0</v>
      </c>
      <c r="AC19" s="489">
        <f t="shared" si="119"/>
        <v>0</v>
      </c>
      <c r="AD19" s="487"/>
      <c r="AE19" s="488">
        <f t="shared" si="8"/>
        <v>0</v>
      </c>
      <c r="AF19" s="489">
        <f t="shared" si="120"/>
        <v>0</v>
      </c>
      <c r="AG19" s="487"/>
      <c r="AH19" s="488">
        <f t="shared" si="9"/>
        <v>0</v>
      </c>
      <c r="AI19" s="489">
        <f t="shared" si="121"/>
        <v>0</v>
      </c>
      <c r="AJ19" s="487"/>
      <c r="AK19" s="488">
        <f t="shared" si="10"/>
        <v>0</v>
      </c>
      <c r="AL19" s="489">
        <f t="shared" si="122"/>
        <v>0</v>
      </c>
      <c r="AM19" s="487">
        <v>54.807692307692264</v>
      </c>
      <c r="AN19" s="488">
        <f t="shared" si="11"/>
        <v>0.96361784741973489</v>
      </c>
      <c r="AO19" s="489">
        <f t="shared" si="123"/>
        <v>0</v>
      </c>
      <c r="AP19" s="487"/>
      <c r="AQ19" s="488">
        <f t="shared" si="12"/>
        <v>0</v>
      </c>
      <c r="AR19" s="489">
        <f t="shared" si="124"/>
        <v>0</v>
      </c>
      <c r="AS19" s="487"/>
      <c r="AT19" s="488">
        <f t="shared" si="13"/>
        <v>0</v>
      </c>
      <c r="AU19" s="489">
        <f t="shared" si="125"/>
        <v>0</v>
      </c>
      <c r="AV19" s="487">
        <v>0</v>
      </c>
      <c r="AW19" s="488">
        <f t="shared" si="14"/>
        <v>0</v>
      </c>
      <c r="AX19" s="489">
        <f t="shared" si="126"/>
        <v>0</v>
      </c>
      <c r="AY19" s="487">
        <v>30.333333333333371</v>
      </c>
      <c r="AZ19" s="488">
        <f t="shared" si="15"/>
        <v>0.53331457941405791</v>
      </c>
      <c r="BA19" s="489">
        <f t="shared" si="127"/>
        <v>0</v>
      </c>
      <c r="BB19" s="487"/>
      <c r="BC19" s="488">
        <f t="shared" si="16"/>
        <v>0</v>
      </c>
      <c r="BD19" s="489">
        <f t="shared" si="128"/>
        <v>0</v>
      </c>
      <c r="BE19" s="487"/>
      <c r="BF19" s="488">
        <f t="shared" si="17"/>
        <v>0</v>
      </c>
      <c r="BG19" s="489">
        <f t="shared" si="129"/>
        <v>0</v>
      </c>
      <c r="BH19" s="487"/>
      <c r="BI19" s="488">
        <f t="shared" si="18"/>
        <v>0</v>
      </c>
      <c r="BJ19" s="489">
        <f t="shared" si="130"/>
        <v>0</v>
      </c>
      <c r="BK19" s="487"/>
      <c r="BL19" s="488">
        <f t="shared" si="19"/>
        <v>0</v>
      </c>
      <c r="BM19" s="489">
        <f t="shared" si="131"/>
        <v>0</v>
      </c>
      <c r="BN19" s="487">
        <v>35.432098765432073</v>
      </c>
      <c r="BO19" s="488">
        <f t="shared" si="20"/>
        <v>0.62296005002781563</v>
      </c>
      <c r="BP19" s="489">
        <f t="shared" si="132"/>
        <v>0</v>
      </c>
      <c r="BQ19" s="487"/>
      <c r="BR19" s="488">
        <f t="shared" si="21"/>
        <v>0</v>
      </c>
      <c r="BS19" s="489">
        <f t="shared" si="133"/>
        <v>0</v>
      </c>
      <c r="BT19" s="487"/>
      <c r="BU19" s="488">
        <f t="shared" si="22"/>
        <v>0</v>
      </c>
      <c r="BV19" s="489">
        <f t="shared" si="134"/>
        <v>0</v>
      </c>
      <c r="BW19" s="487"/>
      <c r="BX19" s="488">
        <f t="shared" si="23"/>
        <v>0</v>
      </c>
      <c r="BY19" s="489">
        <f t="shared" si="135"/>
        <v>0</v>
      </c>
      <c r="BZ19" s="487"/>
      <c r="CA19" s="488">
        <f t="shared" si="24"/>
        <v>0</v>
      </c>
      <c r="CB19" s="489">
        <f t="shared" si="136"/>
        <v>0</v>
      </c>
      <c r="CC19" s="487">
        <v>35</v>
      </c>
      <c r="CD19" s="488">
        <f t="shared" si="25"/>
        <v>0.6153629762469891</v>
      </c>
      <c r="CE19" s="489">
        <f t="shared" si="137"/>
        <v>0</v>
      </c>
      <c r="CF19" s="487">
        <v>7</v>
      </c>
      <c r="CG19" s="488">
        <f t="shared" si="26"/>
        <v>0.12307259524939781</v>
      </c>
      <c r="CH19" s="489">
        <f t="shared" si="138"/>
        <v>0</v>
      </c>
      <c r="CI19" s="487"/>
      <c r="CJ19" s="488">
        <f t="shared" si="27"/>
        <v>0</v>
      </c>
      <c r="CK19" s="489">
        <f t="shared" si="139"/>
        <v>0</v>
      </c>
      <c r="CL19" s="487"/>
      <c r="CM19" s="488">
        <f t="shared" si="28"/>
        <v>0</v>
      </c>
      <c r="CN19" s="489">
        <f t="shared" si="140"/>
        <v>0</v>
      </c>
      <c r="CO19" s="487"/>
      <c r="CP19" s="488">
        <f t="shared" si="29"/>
        <v>0</v>
      </c>
      <c r="CQ19" s="489">
        <f t="shared" si="141"/>
        <v>0</v>
      </c>
      <c r="CR19" s="487"/>
      <c r="CS19" s="488">
        <f t="shared" si="30"/>
        <v>0</v>
      </c>
      <c r="CT19" s="489">
        <f t="shared" si="142"/>
        <v>0</v>
      </c>
      <c r="CU19" s="487"/>
      <c r="CV19" s="488">
        <f t="shared" si="31"/>
        <v>0</v>
      </c>
      <c r="CW19" s="489">
        <f t="shared" si="143"/>
        <v>0</v>
      </c>
      <c r="CX19" s="487"/>
      <c r="CY19" s="488">
        <f t="shared" si="32"/>
        <v>0</v>
      </c>
      <c r="CZ19" s="489">
        <f t="shared" si="144"/>
        <v>0</v>
      </c>
      <c r="DA19" s="487"/>
      <c r="DB19" s="488">
        <f t="shared" si="33"/>
        <v>0</v>
      </c>
      <c r="DC19" s="489">
        <f t="shared" si="145"/>
        <v>0</v>
      </c>
      <c r="DD19" s="487"/>
      <c r="DE19" s="488">
        <f t="shared" si="34"/>
        <v>0</v>
      </c>
      <c r="DF19" s="489">
        <f t="shared" si="146"/>
        <v>0</v>
      </c>
      <c r="DG19" s="487"/>
      <c r="DH19" s="488">
        <f t="shared" si="35"/>
        <v>0</v>
      </c>
      <c r="DI19" s="489">
        <f t="shared" si="203"/>
        <v>0</v>
      </c>
      <c r="DJ19" s="487"/>
      <c r="DK19" s="488">
        <f t="shared" si="36"/>
        <v>0</v>
      </c>
      <c r="DL19" s="489">
        <f t="shared" si="147"/>
        <v>0</v>
      </c>
      <c r="DM19" s="487"/>
      <c r="DN19" s="488">
        <f t="shared" si="37"/>
        <v>0</v>
      </c>
      <c r="DO19" s="489">
        <f t="shared" si="148"/>
        <v>0</v>
      </c>
      <c r="DP19" s="487"/>
      <c r="DQ19" s="488">
        <f t="shared" si="38"/>
        <v>0</v>
      </c>
      <c r="DR19" s="489">
        <f t="shared" si="149"/>
        <v>0</v>
      </c>
      <c r="DS19" s="487"/>
      <c r="DT19" s="488">
        <f t="shared" si="39"/>
        <v>0</v>
      </c>
      <c r="DU19" s="489">
        <f t="shared" si="150"/>
        <v>0</v>
      </c>
      <c r="DV19" s="487"/>
      <c r="DW19" s="488">
        <f t="shared" si="40"/>
        <v>0</v>
      </c>
      <c r="DX19" s="489">
        <f t="shared" si="151"/>
        <v>0</v>
      </c>
      <c r="DY19" s="487">
        <v>0</v>
      </c>
      <c r="DZ19" s="488">
        <f t="shared" si="41"/>
        <v>0</v>
      </c>
      <c r="EA19" s="489">
        <f t="shared" si="152"/>
        <v>0</v>
      </c>
      <c r="EB19" s="487">
        <v>29.069767441860336</v>
      </c>
      <c r="EC19" s="488">
        <f t="shared" si="42"/>
        <v>0.5110988174808857</v>
      </c>
      <c r="ED19" s="489">
        <f t="shared" si="153"/>
        <v>0</v>
      </c>
      <c r="EE19" s="487">
        <v>4</v>
      </c>
      <c r="EF19" s="488">
        <f t="shared" si="43"/>
        <v>7.032719728537018E-2</v>
      </c>
      <c r="EG19" s="489">
        <f t="shared" si="154"/>
        <v>0</v>
      </c>
      <c r="EH19" s="487"/>
      <c r="EI19" s="488">
        <f t="shared" si="44"/>
        <v>0</v>
      </c>
      <c r="EJ19" s="489">
        <f t="shared" si="155"/>
        <v>0</v>
      </c>
      <c r="EK19" s="487"/>
      <c r="EL19" s="488">
        <f t="shared" si="45"/>
        <v>0</v>
      </c>
      <c r="EM19" s="489">
        <f t="shared" si="156"/>
        <v>0</v>
      </c>
      <c r="EN19" s="487"/>
      <c r="EO19" s="488">
        <f t="shared" si="46"/>
        <v>0</v>
      </c>
      <c r="EP19" s="489">
        <f t="shared" si="157"/>
        <v>0</v>
      </c>
      <c r="EQ19" s="487"/>
      <c r="ER19" s="488">
        <f t="shared" si="47"/>
        <v>0</v>
      </c>
      <c r="ES19" s="489">
        <f t="shared" si="158"/>
        <v>0</v>
      </c>
      <c r="ET19" s="487"/>
      <c r="EU19" s="488">
        <f t="shared" si="48"/>
        <v>0</v>
      </c>
      <c r="EV19" s="489">
        <f t="shared" si="159"/>
        <v>0</v>
      </c>
      <c r="EW19" s="487"/>
      <c r="EX19" s="488">
        <f t="shared" si="49"/>
        <v>0</v>
      </c>
      <c r="EY19" s="489">
        <f t="shared" si="160"/>
        <v>0</v>
      </c>
      <c r="EZ19" s="487"/>
      <c r="FA19" s="488">
        <f t="shared" si="50"/>
        <v>0</v>
      </c>
      <c r="FB19" s="489">
        <f t="shared" si="161"/>
        <v>0</v>
      </c>
      <c r="FC19" s="487"/>
      <c r="FD19" s="488">
        <f t="shared" si="51"/>
        <v>0</v>
      </c>
      <c r="FE19" s="489">
        <f t="shared" si="162"/>
        <v>0</v>
      </c>
      <c r="FF19" s="487"/>
      <c r="FG19" s="488">
        <f t="shared" si="52"/>
        <v>0</v>
      </c>
      <c r="FH19" s="489">
        <f t="shared" si="163"/>
        <v>0</v>
      </c>
      <c r="FI19" s="487"/>
      <c r="FJ19" s="488">
        <f t="shared" si="53"/>
        <v>0</v>
      </c>
      <c r="FK19" s="489">
        <f t="shared" si="164"/>
        <v>0</v>
      </c>
      <c r="FL19" s="487"/>
      <c r="FM19" s="488">
        <f t="shared" si="54"/>
        <v>0</v>
      </c>
      <c r="FN19" s="489">
        <f t="shared" si="165"/>
        <v>0</v>
      </c>
      <c r="FO19" s="487"/>
      <c r="FP19" s="488">
        <f t="shared" si="55"/>
        <v>0</v>
      </c>
      <c r="FQ19" s="489">
        <f t="shared" si="166"/>
        <v>0</v>
      </c>
      <c r="FR19" s="487"/>
      <c r="FS19" s="488">
        <f t="shared" si="56"/>
        <v>0</v>
      </c>
      <c r="FT19" s="489">
        <f t="shared" si="167"/>
        <v>0</v>
      </c>
      <c r="FU19" s="487"/>
      <c r="FV19" s="488">
        <f t="shared" si="57"/>
        <v>0</v>
      </c>
      <c r="FW19" s="489">
        <f t="shared" si="168"/>
        <v>0</v>
      </c>
      <c r="FX19" s="487"/>
      <c r="FY19" s="488">
        <f t="shared" si="58"/>
        <v>0</v>
      </c>
      <c r="FZ19" s="489">
        <f t="shared" si="169"/>
        <v>0</v>
      </c>
      <c r="GA19" s="487"/>
      <c r="GB19" s="488">
        <f t="shared" si="59"/>
        <v>0</v>
      </c>
      <c r="GC19" s="489">
        <f t="shared" si="170"/>
        <v>0</v>
      </c>
      <c r="GD19" s="487"/>
      <c r="GE19" s="488">
        <f t="shared" si="60"/>
        <v>0</v>
      </c>
      <c r="GF19" s="489">
        <f t="shared" si="171"/>
        <v>0</v>
      </c>
      <c r="GG19" s="487"/>
      <c r="GH19" s="488">
        <f t="shared" si="61"/>
        <v>0</v>
      </c>
      <c r="GI19" s="489">
        <f t="shared" si="172"/>
        <v>0</v>
      </c>
      <c r="GJ19" s="487"/>
      <c r="GK19" s="488">
        <f t="shared" si="62"/>
        <v>0</v>
      </c>
      <c r="GL19" s="489">
        <f t="shared" si="173"/>
        <v>0</v>
      </c>
      <c r="GM19" s="487"/>
      <c r="GN19" s="488">
        <f t="shared" si="63"/>
        <v>0</v>
      </c>
      <c r="GO19" s="489">
        <f t="shared" si="174"/>
        <v>0</v>
      </c>
      <c r="GP19" s="487"/>
      <c r="GQ19" s="488">
        <f t="shared" si="64"/>
        <v>0</v>
      </c>
      <c r="GR19" s="489">
        <f t="shared" si="175"/>
        <v>0</v>
      </c>
      <c r="GS19" s="487"/>
      <c r="GT19" s="488">
        <f t="shared" si="65"/>
        <v>0</v>
      </c>
      <c r="GU19" s="489">
        <f t="shared" si="176"/>
        <v>0</v>
      </c>
      <c r="GV19" s="487"/>
      <c r="GW19" s="488">
        <f t="shared" si="66"/>
        <v>0</v>
      </c>
      <c r="GX19" s="489">
        <f t="shared" si="177"/>
        <v>0</v>
      </c>
      <c r="GY19" s="487"/>
      <c r="GZ19" s="488">
        <f t="shared" si="67"/>
        <v>0</v>
      </c>
      <c r="HA19" s="489">
        <f t="shared" si="178"/>
        <v>0</v>
      </c>
      <c r="HB19" s="487"/>
      <c r="HC19" s="488">
        <f t="shared" si="68"/>
        <v>0</v>
      </c>
      <c r="HD19" s="489">
        <f t="shared" si="179"/>
        <v>0</v>
      </c>
      <c r="HE19" s="487"/>
      <c r="HF19" s="488">
        <f t="shared" si="69"/>
        <v>0</v>
      </c>
      <c r="HG19" s="489">
        <f t="shared" si="180"/>
        <v>0</v>
      </c>
      <c r="HH19" s="487"/>
      <c r="HI19" s="488">
        <f t="shared" si="70"/>
        <v>0</v>
      </c>
      <c r="HJ19" s="489">
        <f t="shared" si="181"/>
        <v>0</v>
      </c>
      <c r="HK19" s="487"/>
      <c r="HL19" s="488">
        <f t="shared" si="71"/>
        <v>0</v>
      </c>
      <c r="HM19" s="489">
        <f t="shared" si="182"/>
        <v>0</v>
      </c>
      <c r="HN19" s="487"/>
      <c r="HO19" s="488">
        <f t="shared" si="72"/>
        <v>0</v>
      </c>
      <c r="HP19" s="489">
        <f t="shared" si="183"/>
        <v>0</v>
      </c>
      <c r="HQ19" s="487"/>
      <c r="HR19" s="488">
        <f t="shared" si="73"/>
        <v>0</v>
      </c>
      <c r="HS19" s="489">
        <f t="shared" si="184"/>
        <v>0</v>
      </c>
      <c r="HT19" s="487"/>
      <c r="HU19" s="488">
        <f t="shared" si="74"/>
        <v>0</v>
      </c>
      <c r="HV19" s="489">
        <f t="shared" si="185"/>
        <v>0</v>
      </c>
      <c r="HW19" s="487"/>
      <c r="HX19" s="488">
        <f t="shared" si="75"/>
        <v>0</v>
      </c>
      <c r="HY19" s="489">
        <f t="shared" si="186"/>
        <v>0</v>
      </c>
      <c r="HZ19" s="487"/>
      <c r="IA19" s="488">
        <f t="shared" si="76"/>
        <v>0</v>
      </c>
      <c r="IB19" s="489">
        <f t="shared" si="187"/>
        <v>0</v>
      </c>
      <c r="IC19" s="487"/>
      <c r="ID19" s="488">
        <f t="shared" si="77"/>
        <v>0</v>
      </c>
      <c r="IE19" s="489">
        <f t="shared" si="188"/>
        <v>0</v>
      </c>
      <c r="IF19" s="487"/>
      <c r="IG19" s="488">
        <f t="shared" si="78"/>
        <v>0</v>
      </c>
      <c r="IH19" s="489">
        <f t="shared" si="189"/>
        <v>0</v>
      </c>
      <c r="II19" s="487"/>
      <c r="IJ19" s="488">
        <f t="shared" si="79"/>
        <v>0</v>
      </c>
      <c r="IK19" s="489">
        <f t="shared" si="190"/>
        <v>0</v>
      </c>
      <c r="IL19" s="487"/>
      <c r="IM19" s="488">
        <f t="shared" si="80"/>
        <v>0</v>
      </c>
      <c r="IN19" s="489">
        <f t="shared" si="191"/>
        <v>0</v>
      </c>
      <c r="IO19" s="487"/>
      <c r="IP19" s="488">
        <f t="shared" si="81"/>
        <v>0</v>
      </c>
      <c r="IQ19" s="489">
        <f t="shared" si="192"/>
        <v>0</v>
      </c>
      <c r="IR19" s="487"/>
      <c r="IS19" s="488">
        <f t="shared" si="82"/>
        <v>0</v>
      </c>
      <c r="IT19" s="489">
        <f t="shared" si="193"/>
        <v>0</v>
      </c>
      <c r="IU19" s="487"/>
      <c r="IV19" s="488">
        <f t="shared" si="83"/>
        <v>0</v>
      </c>
      <c r="IW19" s="489">
        <f t="shared" si="194"/>
        <v>0</v>
      </c>
      <c r="IX19" s="487"/>
      <c r="IY19" s="488">
        <f t="shared" si="84"/>
        <v>0</v>
      </c>
      <c r="IZ19" s="489">
        <f t="shared" si="195"/>
        <v>0</v>
      </c>
      <c r="JA19" s="487"/>
      <c r="JB19" s="488">
        <f t="shared" si="85"/>
        <v>0</v>
      </c>
      <c r="JC19" s="489">
        <f t="shared" si="196"/>
        <v>0</v>
      </c>
      <c r="JD19" s="487"/>
      <c r="JE19" s="488">
        <f t="shared" si="86"/>
        <v>0</v>
      </c>
      <c r="JF19" s="489">
        <f t="shared" si="197"/>
        <v>0</v>
      </c>
      <c r="JG19" s="487"/>
      <c r="JH19" s="488">
        <f t="shared" si="87"/>
        <v>0</v>
      </c>
      <c r="JI19" s="489">
        <f t="shared" si="198"/>
        <v>0</v>
      </c>
      <c r="JJ19" s="487"/>
      <c r="JK19" s="489" t="str">
        <f t="shared" si="88"/>
        <v>0</v>
      </c>
      <c r="JL19" s="489" t="str">
        <f t="shared" si="89"/>
        <v>0</v>
      </c>
      <c r="JM19" s="487"/>
      <c r="JN19" s="489" t="str">
        <f t="shared" si="90"/>
        <v>0</v>
      </c>
      <c r="JO19" s="489" t="str">
        <f t="shared" si="91"/>
        <v>0</v>
      </c>
      <c r="JP19" s="487"/>
      <c r="JQ19" s="489" t="str">
        <f t="shared" si="92"/>
        <v>0</v>
      </c>
      <c r="JR19" s="489" t="str">
        <f t="shared" si="93"/>
        <v>0</v>
      </c>
      <c r="JS19" s="487"/>
      <c r="JT19" s="489" t="str">
        <f t="shared" si="94"/>
        <v>0</v>
      </c>
      <c r="JU19" s="489" t="str">
        <f t="shared" si="95"/>
        <v>0</v>
      </c>
      <c r="JV19" s="487"/>
      <c r="JW19" s="489" t="str">
        <f t="shared" si="96"/>
        <v>0</v>
      </c>
      <c r="JX19" s="489" t="str">
        <f t="shared" si="97"/>
        <v>0</v>
      </c>
      <c r="JY19" s="487"/>
      <c r="JZ19" s="489" t="str">
        <f t="shared" si="98"/>
        <v>0</v>
      </c>
      <c r="KA19" s="489" t="str">
        <f t="shared" si="99"/>
        <v>0</v>
      </c>
      <c r="KB19" s="487"/>
      <c r="KC19" s="489" t="str">
        <f t="shared" si="100"/>
        <v>0</v>
      </c>
      <c r="KD19" s="489" t="str">
        <f t="shared" si="101"/>
        <v>0</v>
      </c>
      <c r="KE19" s="487"/>
      <c r="KF19" s="489" t="str">
        <f t="shared" si="102"/>
        <v>0</v>
      </c>
      <c r="KG19" s="489" t="str">
        <f t="shared" si="103"/>
        <v>0</v>
      </c>
      <c r="KH19" s="487"/>
      <c r="KI19" s="489" t="str">
        <f t="shared" si="104"/>
        <v>0</v>
      </c>
      <c r="KJ19" s="489" t="str">
        <f t="shared" si="105"/>
        <v>0</v>
      </c>
      <c r="KK19" s="487"/>
      <c r="KL19" s="489" t="str">
        <f t="shared" si="106"/>
        <v>0</v>
      </c>
      <c r="KM19" s="489" t="str">
        <f t="shared" si="107"/>
        <v>0</v>
      </c>
      <c r="KN19" s="487"/>
      <c r="KO19" s="489" t="str">
        <f t="shared" si="108"/>
        <v>0</v>
      </c>
      <c r="KP19" s="489" t="str">
        <f t="shared" si="109"/>
        <v>0</v>
      </c>
      <c r="KQ19" s="487"/>
      <c r="KR19" s="489" t="str">
        <f t="shared" si="110"/>
        <v>0</v>
      </c>
      <c r="KS19" s="489" t="str">
        <f t="shared" si="111"/>
        <v>0</v>
      </c>
      <c r="KT19" s="489">
        <f t="shared" si="201"/>
        <v>0</v>
      </c>
      <c r="KU19" s="489">
        <f t="shared" si="202"/>
        <v>0</v>
      </c>
      <c r="KV19" s="259">
        <f t="shared" si="199"/>
        <v>601.73882208087628</v>
      </c>
    </row>
    <row r="20" spans="1:308" ht="15" customHeight="1">
      <c r="A20" s="261">
        <f t="shared" si="200"/>
        <v>46123</v>
      </c>
      <c r="B20" s="262" t="str">
        <f>+Report1!B19</f>
        <v>Towel/Napkin</v>
      </c>
      <c r="C20" s="382" t="str">
        <f>+Report1!C19</f>
        <v>17/15,5</v>
      </c>
      <c r="D20" s="263">
        <f>+Report1!P19</f>
        <v>51.323000000000008</v>
      </c>
      <c r="E20" s="264">
        <f>+Report1!R19</f>
        <v>43.755000000000003</v>
      </c>
      <c r="F20" s="487"/>
      <c r="G20" s="488">
        <f t="shared" si="0"/>
        <v>0</v>
      </c>
      <c r="H20" s="489">
        <f t="shared" si="112"/>
        <v>0</v>
      </c>
      <c r="I20" s="487">
        <v>425.58975813953498</v>
      </c>
      <c r="J20" s="488">
        <f t="shared" si="1"/>
        <v>9.7266542826999185</v>
      </c>
      <c r="K20" s="489">
        <f t="shared" si="113"/>
        <v>0</v>
      </c>
      <c r="L20" s="487"/>
      <c r="M20" s="488">
        <f t="shared" si="2"/>
        <v>0</v>
      </c>
      <c r="N20" s="489">
        <f t="shared" si="114"/>
        <v>0</v>
      </c>
      <c r="O20" s="487">
        <v>9</v>
      </c>
      <c r="P20" s="488">
        <f t="shared" si="3"/>
        <v>0.2056907781967775</v>
      </c>
      <c r="Q20" s="489">
        <f t="shared" si="115"/>
        <v>0</v>
      </c>
      <c r="R20" s="487">
        <v>7.6875</v>
      </c>
      <c r="S20" s="488">
        <f t="shared" si="4"/>
        <v>0.17569420637641411</v>
      </c>
      <c r="T20" s="489">
        <f t="shared" si="116"/>
        <v>0</v>
      </c>
      <c r="U20" s="487">
        <v>6.25</v>
      </c>
      <c r="V20" s="488">
        <f t="shared" si="5"/>
        <v>0.14284081819220659</v>
      </c>
      <c r="W20" s="489">
        <f t="shared" si="117"/>
        <v>0</v>
      </c>
      <c r="X20" s="487"/>
      <c r="Y20" s="488">
        <f t="shared" si="6"/>
        <v>0</v>
      </c>
      <c r="Z20" s="489">
        <f t="shared" si="118"/>
        <v>0</v>
      </c>
      <c r="AA20" s="487"/>
      <c r="AB20" s="488">
        <f t="shared" si="7"/>
        <v>0</v>
      </c>
      <c r="AC20" s="489">
        <f t="shared" si="119"/>
        <v>0</v>
      </c>
      <c r="AD20" s="487"/>
      <c r="AE20" s="488">
        <f t="shared" si="8"/>
        <v>0</v>
      </c>
      <c r="AF20" s="489">
        <f t="shared" si="120"/>
        <v>0</v>
      </c>
      <c r="AG20" s="487"/>
      <c r="AH20" s="488">
        <f t="shared" si="9"/>
        <v>0</v>
      </c>
      <c r="AI20" s="489">
        <f t="shared" si="121"/>
        <v>0</v>
      </c>
      <c r="AJ20" s="487"/>
      <c r="AK20" s="488">
        <f t="shared" si="10"/>
        <v>0</v>
      </c>
      <c r="AL20" s="489">
        <f t="shared" si="122"/>
        <v>0</v>
      </c>
      <c r="AM20" s="487">
        <v>57.997653846153867</v>
      </c>
      <c r="AN20" s="488">
        <f t="shared" si="11"/>
        <v>1.3255091725780794</v>
      </c>
      <c r="AO20" s="489">
        <f t="shared" si="123"/>
        <v>0</v>
      </c>
      <c r="AP20" s="487"/>
      <c r="AQ20" s="488">
        <f t="shared" si="12"/>
        <v>0</v>
      </c>
      <c r="AR20" s="489">
        <f t="shared" si="124"/>
        <v>0</v>
      </c>
      <c r="AS20" s="487"/>
      <c r="AT20" s="488">
        <f t="shared" si="13"/>
        <v>0</v>
      </c>
      <c r="AU20" s="489">
        <f t="shared" si="125"/>
        <v>0</v>
      </c>
      <c r="AV20" s="487">
        <v>0</v>
      </c>
      <c r="AW20" s="488">
        <f t="shared" si="14"/>
        <v>0</v>
      </c>
      <c r="AX20" s="489">
        <f t="shared" si="126"/>
        <v>0</v>
      </c>
      <c r="AY20" s="487">
        <v>37.284799999999791</v>
      </c>
      <c r="AZ20" s="488">
        <f t="shared" si="15"/>
        <v>0.8521266141012408</v>
      </c>
      <c r="BA20" s="489">
        <f t="shared" si="127"/>
        <v>0</v>
      </c>
      <c r="BB20" s="487"/>
      <c r="BC20" s="488">
        <f t="shared" si="16"/>
        <v>0</v>
      </c>
      <c r="BD20" s="489">
        <f t="shared" si="128"/>
        <v>0</v>
      </c>
      <c r="BE20" s="487"/>
      <c r="BF20" s="488">
        <f t="shared" si="17"/>
        <v>0</v>
      </c>
      <c r="BG20" s="489">
        <f t="shared" si="129"/>
        <v>0</v>
      </c>
      <c r="BH20" s="487"/>
      <c r="BI20" s="488">
        <f t="shared" si="18"/>
        <v>0</v>
      </c>
      <c r="BJ20" s="489">
        <f t="shared" si="130"/>
        <v>0</v>
      </c>
      <c r="BK20" s="487"/>
      <c r="BL20" s="488">
        <f t="shared" si="19"/>
        <v>0</v>
      </c>
      <c r="BM20" s="489">
        <f t="shared" si="131"/>
        <v>0</v>
      </c>
      <c r="BN20" s="487">
        <v>22.7777777777778</v>
      </c>
      <c r="BO20" s="488">
        <f t="shared" si="20"/>
        <v>0.52057542630048681</v>
      </c>
      <c r="BP20" s="489">
        <f t="shared" si="132"/>
        <v>0</v>
      </c>
      <c r="BQ20" s="487"/>
      <c r="BR20" s="488">
        <f t="shared" si="21"/>
        <v>0</v>
      </c>
      <c r="BS20" s="489">
        <f t="shared" si="133"/>
        <v>0</v>
      </c>
      <c r="BT20" s="487"/>
      <c r="BU20" s="488">
        <f t="shared" si="22"/>
        <v>0</v>
      </c>
      <c r="BV20" s="489">
        <f t="shared" si="134"/>
        <v>0</v>
      </c>
      <c r="BW20" s="487"/>
      <c r="BX20" s="488">
        <f t="shared" si="23"/>
        <v>0</v>
      </c>
      <c r="BY20" s="489">
        <f t="shared" si="135"/>
        <v>0</v>
      </c>
      <c r="BZ20" s="487"/>
      <c r="CA20" s="488">
        <f t="shared" si="24"/>
        <v>0</v>
      </c>
      <c r="CB20" s="489">
        <f t="shared" si="136"/>
        <v>0</v>
      </c>
      <c r="CC20" s="487">
        <v>15</v>
      </c>
      <c r="CD20" s="488">
        <f t="shared" si="25"/>
        <v>0.34281796366129585</v>
      </c>
      <c r="CE20" s="489">
        <f t="shared" si="137"/>
        <v>0</v>
      </c>
      <c r="CF20" s="487">
        <v>8</v>
      </c>
      <c r="CG20" s="488">
        <f t="shared" si="26"/>
        <v>0.18283624728602443</v>
      </c>
      <c r="CH20" s="489">
        <f t="shared" si="138"/>
        <v>0</v>
      </c>
      <c r="CI20" s="487"/>
      <c r="CJ20" s="488">
        <f t="shared" si="27"/>
        <v>0</v>
      </c>
      <c r="CK20" s="489">
        <f t="shared" si="139"/>
        <v>0</v>
      </c>
      <c r="CL20" s="487"/>
      <c r="CM20" s="488">
        <f t="shared" si="28"/>
        <v>0</v>
      </c>
      <c r="CN20" s="489">
        <f t="shared" si="140"/>
        <v>0</v>
      </c>
      <c r="CO20" s="487"/>
      <c r="CP20" s="488">
        <f t="shared" si="29"/>
        <v>0</v>
      </c>
      <c r="CQ20" s="489">
        <f t="shared" si="141"/>
        <v>0</v>
      </c>
      <c r="CR20" s="487"/>
      <c r="CS20" s="488">
        <f t="shared" si="30"/>
        <v>0</v>
      </c>
      <c r="CT20" s="489">
        <f t="shared" si="142"/>
        <v>0</v>
      </c>
      <c r="CU20" s="487"/>
      <c r="CV20" s="488">
        <f t="shared" si="31"/>
        <v>0</v>
      </c>
      <c r="CW20" s="489">
        <f t="shared" si="143"/>
        <v>0</v>
      </c>
      <c r="CX20" s="487"/>
      <c r="CY20" s="488">
        <f t="shared" si="32"/>
        <v>0</v>
      </c>
      <c r="CZ20" s="489">
        <f t="shared" si="144"/>
        <v>0</v>
      </c>
      <c r="DA20" s="487"/>
      <c r="DB20" s="488">
        <f t="shared" si="33"/>
        <v>0</v>
      </c>
      <c r="DC20" s="489">
        <f t="shared" si="145"/>
        <v>0</v>
      </c>
      <c r="DD20" s="487"/>
      <c r="DE20" s="488">
        <f t="shared" si="34"/>
        <v>0</v>
      </c>
      <c r="DF20" s="489">
        <f t="shared" si="146"/>
        <v>0</v>
      </c>
      <c r="DG20" s="487"/>
      <c r="DH20" s="488">
        <f t="shared" si="35"/>
        <v>0</v>
      </c>
      <c r="DI20" s="489">
        <f t="shared" si="203"/>
        <v>0</v>
      </c>
      <c r="DJ20" s="487"/>
      <c r="DK20" s="488">
        <f t="shared" si="36"/>
        <v>0</v>
      </c>
      <c r="DL20" s="489">
        <f t="shared" si="147"/>
        <v>0</v>
      </c>
      <c r="DM20" s="487"/>
      <c r="DN20" s="488">
        <f t="shared" si="37"/>
        <v>0</v>
      </c>
      <c r="DO20" s="489">
        <f t="shared" si="148"/>
        <v>0</v>
      </c>
      <c r="DP20" s="487"/>
      <c r="DQ20" s="488">
        <f t="shared" si="38"/>
        <v>0</v>
      </c>
      <c r="DR20" s="489">
        <f t="shared" si="149"/>
        <v>0</v>
      </c>
      <c r="DS20" s="487"/>
      <c r="DT20" s="488">
        <f t="shared" si="39"/>
        <v>0</v>
      </c>
      <c r="DU20" s="489">
        <f t="shared" si="150"/>
        <v>0</v>
      </c>
      <c r="DV20" s="487"/>
      <c r="DW20" s="488">
        <f t="shared" si="40"/>
        <v>0</v>
      </c>
      <c r="DX20" s="489">
        <f t="shared" si="151"/>
        <v>0</v>
      </c>
      <c r="DY20" s="487">
        <v>0</v>
      </c>
      <c r="DZ20" s="488">
        <f t="shared" si="41"/>
        <v>0</v>
      </c>
      <c r="EA20" s="489">
        <f t="shared" si="152"/>
        <v>0</v>
      </c>
      <c r="EB20" s="487">
        <v>29.069767441860449</v>
      </c>
      <c r="EC20" s="488">
        <f t="shared" si="42"/>
        <v>0.6643758985684024</v>
      </c>
      <c r="ED20" s="489">
        <f t="shared" si="153"/>
        <v>0</v>
      </c>
      <c r="EE20" s="487">
        <v>4</v>
      </c>
      <c r="EF20" s="488">
        <f t="shared" si="43"/>
        <v>9.1418123643012217E-2</v>
      </c>
      <c r="EG20" s="489">
        <f t="shared" si="154"/>
        <v>0</v>
      </c>
      <c r="EH20" s="487"/>
      <c r="EI20" s="488">
        <f t="shared" si="44"/>
        <v>0</v>
      </c>
      <c r="EJ20" s="489">
        <f t="shared" si="155"/>
        <v>0</v>
      </c>
      <c r="EK20" s="487"/>
      <c r="EL20" s="488">
        <f t="shared" si="45"/>
        <v>0</v>
      </c>
      <c r="EM20" s="489">
        <f t="shared" si="156"/>
        <v>0</v>
      </c>
      <c r="EN20" s="487"/>
      <c r="EO20" s="488">
        <f t="shared" si="46"/>
        <v>0</v>
      </c>
      <c r="EP20" s="489">
        <f t="shared" si="157"/>
        <v>0</v>
      </c>
      <c r="EQ20" s="487"/>
      <c r="ER20" s="488">
        <f t="shared" si="47"/>
        <v>0</v>
      </c>
      <c r="ES20" s="489">
        <f t="shared" si="158"/>
        <v>0</v>
      </c>
      <c r="ET20" s="487"/>
      <c r="EU20" s="488">
        <f t="shared" si="48"/>
        <v>0</v>
      </c>
      <c r="EV20" s="489">
        <f t="shared" si="159"/>
        <v>0</v>
      </c>
      <c r="EW20" s="487"/>
      <c r="EX20" s="488">
        <f t="shared" si="49"/>
        <v>0</v>
      </c>
      <c r="EY20" s="489">
        <f t="shared" si="160"/>
        <v>0</v>
      </c>
      <c r="EZ20" s="487"/>
      <c r="FA20" s="488">
        <f t="shared" si="50"/>
        <v>0</v>
      </c>
      <c r="FB20" s="489">
        <f t="shared" si="161"/>
        <v>0</v>
      </c>
      <c r="FC20" s="487"/>
      <c r="FD20" s="488">
        <f t="shared" si="51"/>
        <v>0</v>
      </c>
      <c r="FE20" s="489">
        <f t="shared" si="162"/>
        <v>0</v>
      </c>
      <c r="FF20" s="487"/>
      <c r="FG20" s="488">
        <f t="shared" si="52"/>
        <v>0</v>
      </c>
      <c r="FH20" s="489">
        <f t="shared" si="163"/>
        <v>0</v>
      </c>
      <c r="FI20" s="487"/>
      <c r="FJ20" s="488">
        <f t="shared" si="53"/>
        <v>0</v>
      </c>
      <c r="FK20" s="489">
        <f t="shared" si="164"/>
        <v>0</v>
      </c>
      <c r="FL20" s="487"/>
      <c r="FM20" s="488">
        <f t="shared" si="54"/>
        <v>0</v>
      </c>
      <c r="FN20" s="489">
        <f t="shared" si="165"/>
        <v>0</v>
      </c>
      <c r="FO20" s="487"/>
      <c r="FP20" s="488">
        <f t="shared" si="55"/>
        <v>0</v>
      </c>
      <c r="FQ20" s="489">
        <f t="shared" si="166"/>
        <v>0</v>
      </c>
      <c r="FR20" s="487"/>
      <c r="FS20" s="488">
        <f t="shared" si="56"/>
        <v>0</v>
      </c>
      <c r="FT20" s="489">
        <f t="shared" si="167"/>
        <v>0</v>
      </c>
      <c r="FU20" s="487"/>
      <c r="FV20" s="488">
        <f t="shared" si="57"/>
        <v>0</v>
      </c>
      <c r="FW20" s="489">
        <f t="shared" si="168"/>
        <v>0</v>
      </c>
      <c r="FX20" s="487"/>
      <c r="FY20" s="488">
        <f t="shared" si="58"/>
        <v>0</v>
      </c>
      <c r="FZ20" s="489">
        <f t="shared" si="169"/>
        <v>0</v>
      </c>
      <c r="GA20" s="487"/>
      <c r="GB20" s="488">
        <f t="shared" si="59"/>
        <v>0</v>
      </c>
      <c r="GC20" s="489">
        <f t="shared" si="170"/>
        <v>0</v>
      </c>
      <c r="GD20" s="487"/>
      <c r="GE20" s="488">
        <f t="shared" si="60"/>
        <v>0</v>
      </c>
      <c r="GF20" s="489">
        <f t="shared" si="171"/>
        <v>0</v>
      </c>
      <c r="GG20" s="487"/>
      <c r="GH20" s="488">
        <f t="shared" si="61"/>
        <v>0</v>
      </c>
      <c r="GI20" s="489">
        <f t="shared" si="172"/>
        <v>0</v>
      </c>
      <c r="GJ20" s="487"/>
      <c r="GK20" s="488">
        <f t="shared" si="62"/>
        <v>0</v>
      </c>
      <c r="GL20" s="489">
        <f t="shared" si="173"/>
        <v>0</v>
      </c>
      <c r="GM20" s="487"/>
      <c r="GN20" s="488">
        <f t="shared" si="63"/>
        <v>0</v>
      </c>
      <c r="GO20" s="489">
        <f t="shared" si="174"/>
        <v>0</v>
      </c>
      <c r="GP20" s="487"/>
      <c r="GQ20" s="488">
        <f t="shared" si="64"/>
        <v>0</v>
      </c>
      <c r="GR20" s="489">
        <f t="shared" si="175"/>
        <v>0</v>
      </c>
      <c r="GS20" s="487"/>
      <c r="GT20" s="488">
        <f t="shared" si="65"/>
        <v>0</v>
      </c>
      <c r="GU20" s="489">
        <f t="shared" si="176"/>
        <v>0</v>
      </c>
      <c r="GV20" s="487"/>
      <c r="GW20" s="488">
        <f t="shared" si="66"/>
        <v>0</v>
      </c>
      <c r="GX20" s="489">
        <f t="shared" si="177"/>
        <v>0</v>
      </c>
      <c r="GY20" s="487"/>
      <c r="GZ20" s="488">
        <f t="shared" si="67"/>
        <v>0</v>
      </c>
      <c r="HA20" s="489">
        <f t="shared" si="178"/>
        <v>0</v>
      </c>
      <c r="HB20" s="487"/>
      <c r="HC20" s="488">
        <f t="shared" si="68"/>
        <v>0</v>
      </c>
      <c r="HD20" s="489">
        <f t="shared" si="179"/>
        <v>0</v>
      </c>
      <c r="HE20" s="487"/>
      <c r="HF20" s="488">
        <f t="shared" si="69"/>
        <v>0</v>
      </c>
      <c r="HG20" s="489">
        <f t="shared" si="180"/>
        <v>0</v>
      </c>
      <c r="HH20" s="487"/>
      <c r="HI20" s="488">
        <f t="shared" si="70"/>
        <v>0</v>
      </c>
      <c r="HJ20" s="489">
        <f t="shared" si="181"/>
        <v>0</v>
      </c>
      <c r="HK20" s="487"/>
      <c r="HL20" s="488">
        <f t="shared" si="71"/>
        <v>0</v>
      </c>
      <c r="HM20" s="489">
        <f t="shared" si="182"/>
        <v>0</v>
      </c>
      <c r="HN20" s="487"/>
      <c r="HO20" s="488">
        <f t="shared" si="72"/>
        <v>0</v>
      </c>
      <c r="HP20" s="489">
        <f t="shared" si="183"/>
        <v>0</v>
      </c>
      <c r="HQ20" s="487"/>
      <c r="HR20" s="488">
        <f t="shared" si="73"/>
        <v>0</v>
      </c>
      <c r="HS20" s="489">
        <f t="shared" si="184"/>
        <v>0</v>
      </c>
      <c r="HT20" s="487"/>
      <c r="HU20" s="488">
        <f t="shared" si="74"/>
        <v>0</v>
      </c>
      <c r="HV20" s="489">
        <f t="shared" si="185"/>
        <v>0</v>
      </c>
      <c r="HW20" s="487"/>
      <c r="HX20" s="488">
        <f t="shared" si="75"/>
        <v>0</v>
      </c>
      <c r="HY20" s="489">
        <f t="shared" si="186"/>
        <v>0</v>
      </c>
      <c r="HZ20" s="487"/>
      <c r="IA20" s="488">
        <f t="shared" si="76"/>
        <v>0</v>
      </c>
      <c r="IB20" s="489">
        <f t="shared" si="187"/>
        <v>0</v>
      </c>
      <c r="IC20" s="487"/>
      <c r="ID20" s="488">
        <f t="shared" si="77"/>
        <v>0</v>
      </c>
      <c r="IE20" s="489">
        <f t="shared" si="188"/>
        <v>0</v>
      </c>
      <c r="IF20" s="487"/>
      <c r="IG20" s="488">
        <f t="shared" si="78"/>
        <v>0</v>
      </c>
      <c r="IH20" s="489">
        <f t="shared" si="189"/>
        <v>0</v>
      </c>
      <c r="II20" s="487"/>
      <c r="IJ20" s="488">
        <f t="shared" si="79"/>
        <v>0</v>
      </c>
      <c r="IK20" s="489">
        <f t="shared" si="190"/>
        <v>0</v>
      </c>
      <c r="IL20" s="487"/>
      <c r="IM20" s="488">
        <f t="shared" si="80"/>
        <v>0</v>
      </c>
      <c r="IN20" s="489">
        <f t="shared" si="191"/>
        <v>0</v>
      </c>
      <c r="IO20" s="487"/>
      <c r="IP20" s="488">
        <f t="shared" si="81"/>
        <v>0</v>
      </c>
      <c r="IQ20" s="489">
        <f t="shared" si="192"/>
        <v>0</v>
      </c>
      <c r="IR20" s="487"/>
      <c r="IS20" s="488">
        <f t="shared" si="82"/>
        <v>0</v>
      </c>
      <c r="IT20" s="489">
        <f t="shared" si="193"/>
        <v>0</v>
      </c>
      <c r="IU20" s="487"/>
      <c r="IV20" s="488">
        <f t="shared" si="83"/>
        <v>0</v>
      </c>
      <c r="IW20" s="489">
        <f t="shared" si="194"/>
        <v>0</v>
      </c>
      <c r="IX20" s="487"/>
      <c r="IY20" s="488">
        <f t="shared" si="84"/>
        <v>0</v>
      </c>
      <c r="IZ20" s="489">
        <f t="shared" si="195"/>
        <v>0</v>
      </c>
      <c r="JA20" s="487"/>
      <c r="JB20" s="488">
        <f t="shared" si="85"/>
        <v>0</v>
      </c>
      <c r="JC20" s="489">
        <f t="shared" si="196"/>
        <v>0</v>
      </c>
      <c r="JD20" s="487"/>
      <c r="JE20" s="488">
        <f t="shared" si="86"/>
        <v>0</v>
      </c>
      <c r="JF20" s="489">
        <f t="shared" si="197"/>
        <v>0</v>
      </c>
      <c r="JG20" s="487"/>
      <c r="JH20" s="488">
        <f t="shared" si="87"/>
        <v>0</v>
      </c>
      <c r="JI20" s="489">
        <f t="shared" si="198"/>
        <v>0</v>
      </c>
      <c r="JJ20" s="487"/>
      <c r="JK20" s="489" t="str">
        <f t="shared" si="88"/>
        <v>0</v>
      </c>
      <c r="JL20" s="489" t="str">
        <f t="shared" si="89"/>
        <v>0</v>
      </c>
      <c r="JM20" s="487"/>
      <c r="JN20" s="489" t="str">
        <f t="shared" si="90"/>
        <v>0</v>
      </c>
      <c r="JO20" s="489" t="str">
        <f t="shared" si="91"/>
        <v>0</v>
      </c>
      <c r="JP20" s="487"/>
      <c r="JQ20" s="489" t="str">
        <f t="shared" si="92"/>
        <v>0</v>
      </c>
      <c r="JR20" s="489" t="str">
        <f t="shared" si="93"/>
        <v>0</v>
      </c>
      <c r="JS20" s="487"/>
      <c r="JT20" s="489" t="str">
        <f t="shared" si="94"/>
        <v>0</v>
      </c>
      <c r="JU20" s="489" t="str">
        <f t="shared" si="95"/>
        <v>0</v>
      </c>
      <c r="JV20" s="487"/>
      <c r="JW20" s="489" t="str">
        <f t="shared" si="96"/>
        <v>0</v>
      </c>
      <c r="JX20" s="489" t="str">
        <f t="shared" si="97"/>
        <v>0</v>
      </c>
      <c r="JY20" s="487"/>
      <c r="JZ20" s="489" t="str">
        <f t="shared" si="98"/>
        <v>0</v>
      </c>
      <c r="KA20" s="489" t="str">
        <f t="shared" si="99"/>
        <v>0</v>
      </c>
      <c r="KB20" s="487"/>
      <c r="KC20" s="489" t="str">
        <f t="shared" si="100"/>
        <v>0</v>
      </c>
      <c r="KD20" s="489" t="str">
        <f t="shared" si="101"/>
        <v>0</v>
      </c>
      <c r="KE20" s="487"/>
      <c r="KF20" s="489" t="str">
        <f t="shared" si="102"/>
        <v>0</v>
      </c>
      <c r="KG20" s="489" t="str">
        <f t="shared" si="103"/>
        <v>0</v>
      </c>
      <c r="KH20" s="487"/>
      <c r="KI20" s="489" t="str">
        <f t="shared" si="104"/>
        <v>0</v>
      </c>
      <c r="KJ20" s="489" t="str">
        <f t="shared" si="105"/>
        <v>0</v>
      </c>
      <c r="KK20" s="487"/>
      <c r="KL20" s="489" t="str">
        <f t="shared" si="106"/>
        <v>0</v>
      </c>
      <c r="KM20" s="489" t="str">
        <f t="shared" si="107"/>
        <v>0</v>
      </c>
      <c r="KN20" s="487"/>
      <c r="KO20" s="489" t="str">
        <f t="shared" si="108"/>
        <v>0</v>
      </c>
      <c r="KP20" s="489" t="str">
        <f t="shared" si="109"/>
        <v>0</v>
      </c>
      <c r="KQ20" s="487"/>
      <c r="KR20" s="489" t="str">
        <f t="shared" si="110"/>
        <v>0</v>
      </c>
      <c r="KS20" s="489" t="str">
        <f t="shared" si="111"/>
        <v>0</v>
      </c>
      <c r="KT20" s="489">
        <f t="shared" si="201"/>
        <v>0</v>
      </c>
      <c r="KU20" s="489">
        <f t="shared" si="202"/>
        <v>0</v>
      </c>
      <c r="KV20" s="259">
        <f t="shared" si="199"/>
        <v>622.65725720532691</v>
      </c>
    </row>
    <row r="21" spans="1:308" ht="15" customHeight="1">
      <c r="A21" s="261">
        <f t="shared" si="200"/>
        <v>46124</v>
      </c>
      <c r="B21" s="262" t="str">
        <f>+Report1!B20</f>
        <v>Napkin</v>
      </c>
      <c r="C21" s="382" t="str">
        <f>+Report1!C20</f>
        <v>15,5/11</v>
      </c>
      <c r="D21" s="263">
        <f>+Report1!P20</f>
        <v>48.237000000000002</v>
      </c>
      <c r="E21" s="264">
        <f>+Report1!R20</f>
        <v>49.295000000000002</v>
      </c>
      <c r="F21" s="487"/>
      <c r="G21" s="488">
        <f t="shared" si="0"/>
        <v>0</v>
      </c>
      <c r="H21" s="489">
        <f t="shared" si="112"/>
        <v>0</v>
      </c>
      <c r="I21" s="487">
        <v>399.99299999999971</v>
      </c>
      <c r="J21" s="488">
        <f t="shared" si="1"/>
        <v>8.1142712242620902</v>
      </c>
      <c r="K21" s="489">
        <f t="shared" si="113"/>
        <v>0</v>
      </c>
      <c r="L21" s="487"/>
      <c r="M21" s="488">
        <f t="shared" si="2"/>
        <v>0</v>
      </c>
      <c r="N21" s="489">
        <f t="shared" si="114"/>
        <v>0</v>
      </c>
      <c r="O21" s="487">
        <v>12</v>
      </c>
      <c r="P21" s="488">
        <f t="shared" si="3"/>
        <v>0.24343239679480677</v>
      </c>
      <c r="Q21" s="489">
        <f t="shared" si="115"/>
        <v>0</v>
      </c>
      <c r="R21" s="487">
        <v>5.1249999999999716</v>
      </c>
      <c r="S21" s="488">
        <f t="shared" si="4"/>
        <v>0.10396591946444815</v>
      </c>
      <c r="T21" s="489">
        <f t="shared" si="116"/>
        <v>0</v>
      </c>
      <c r="U21" s="487">
        <v>6.2499999999999716</v>
      </c>
      <c r="V21" s="488">
        <f t="shared" si="5"/>
        <v>0.12678770666396127</v>
      </c>
      <c r="W21" s="489">
        <f t="shared" si="117"/>
        <v>0</v>
      </c>
      <c r="X21" s="487"/>
      <c r="Y21" s="488">
        <f t="shared" si="6"/>
        <v>0</v>
      </c>
      <c r="Z21" s="489">
        <f t="shared" si="118"/>
        <v>0</v>
      </c>
      <c r="AA21" s="487"/>
      <c r="AB21" s="488">
        <f t="shared" si="7"/>
        <v>0</v>
      </c>
      <c r="AC21" s="489">
        <f t="shared" si="119"/>
        <v>0</v>
      </c>
      <c r="AD21" s="487"/>
      <c r="AE21" s="488">
        <f t="shared" si="8"/>
        <v>0</v>
      </c>
      <c r="AF21" s="489">
        <f t="shared" si="120"/>
        <v>0</v>
      </c>
      <c r="AG21" s="487"/>
      <c r="AH21" s="488">
        <f t="shared" si="9"/>
        <v>0</v>
      </c>
      <c r="AI21" s="489">
        <f t="shared" si="121"/>
        <v>0</v>
      </c>
      <c r="AJ21" s="487"/>
      <c r="AK21" s="488">
        <f t="shared" si="10"/>
        <v>0</v>
      </c>
      <c r="AL21" s="489">
        <f t="shared" si="122"/>
        <v>0</v>
      </c>
      <c r="AM21" s="487">
        <v>54.505799999999908</v>
      </c>
      <c r="AN21" s="488">
        <f t="shared" si="11"/>
        <v>1.1057064611015297</v>
      </c>
      <c r="AO21" s="489">
        <f t="shared" si="123"/>
        <v>0</v>
      </c>
      <c r="AP21" s="487"/>
      <c r="AQ21" s="488">
        <f t="shared" si="12"/>
        <v>0</v>
      </c>
      <c r="AR21" s="489">
        <f t="shared" si="124"/>
        <v>0</v>
      </c>
      <c r="AS21" s="487"/>
      <c r="AT21" s="488">
        <f t="shared" si="13"/>
        <v>0</v>
      </c>
      <c r="AU21" s="489">
        <f t="shared" si="125"/>
        <v>0</v>
      </c>
      <c r="AV21" s="487">
        <v>0</v>
      </c>
      <c r="AW21" s="488">
        <f t="shared" si="14"/>
        <v>0</v>
      </c>
      <c r="AX21" s="489">
        <f t="shared" si="126"/>
        <v>0</v>
      </c>
      <c r="AY21" s="487">
        <v>35.052000000000021</v>
      </c>
      <c r="AZ21" s="488">
        <f t="shared" si="15"/>
        <v>0.711066031037631</v>
      </c>
      <c r="BA21" s="489">
        <f t="shared" si="127"/>
        <v>0</v>
      </c>
      <c r="BB21" s="487"/>
      <c r="BC21" s="488">
        <f t="shared" si="16"/>
        <v>0</v>
      </c>
      <c r="BD21" s="489">
        <f t="shared" si="128"/>
        <v>0</v>
      </c>
      <c r="BE21" s="487"/>
      <c r="BF21" s="488">
        <f t="shared" si="17"/>
        <v>0</v>
      </c>
      <c r="BG21" s="489">
        <f t="shared" si="129"/>
        <v>0</v>
      </c>
      <c r="BH21" s="487"/>
      <c r="BI21" s="488">
        <f t="shared" si="18"/>
        <v>0</v>
      </c>
      <c r="BJ21" s="489">
        <f t="shared" si="130"/>
        <v>0</v>
      </c>
      <c r="BK21" s="487"/>
      <c r="BL21" s="488">
        <f t="shared" si="19"/>
        <v>0</v>
      </c>
      <c r="BM21" s="489">
        <f t="shared" si="131"/>
        <v>0</v>
      </c>
      <c r="BN21" s="487">
        <v>22.777777777777771</v>
      </c>
      <c r="BO21" s="488">
        <f t="shared" si="20"/>
        <v>0.46207075317532753</v>
      </c>
      <c r="BP21" s="489">
        <f t="shared" si="132"/>
        <v>0</v>
      </c>
      <c r="BQ21" s="487"/>
      <c r="BR21" s="488">
        <f t="shared" si="21"/>
        <v>0</v>
      </c>
      <c r="BS21" s="489">
        <f t="shared" si="133"/>
        <v>0</v>
      </c>
      <c r="BT21" s="487"/>
      <c r="BU21" s="488">
        <f t="shared" si="22"/>
        <v>0</v>
      </c>
      <c r="BV21" s="489">
        <f t="shared" si="134"/>
        <v>0</v>
      </c>
      <c r="BW21" s="487"/>
      <c r="BX21" s="488">
        <f t="shared" si="23"/>
        <v>0</v>
      </c>
      <c r="BY21" s="489">
        <f t="shared" si="135"/>
        <v>0</v>
      </c>
      <c r="BZ21" s="487"/>
      <c r="CA21" s="488">
        <f t="shared" si="24"/>
        <v>0</v>
      </c>
      <c r="CB21" s="489">
        <f t="shared" si="136"/>
        <v>0</v>
      </c>
      <c r="CC21" s="487">
        <v>15</v>
      </c>
      <c r="CD21" s="488">
        <f t="shared" si="25"/>
        <v>0.30429049599350844</v>
      </c>
      <c r="CE21" s="489">
        <f t="shared" si="137"/>
        <v>0</v>
      </c>
      <c r="CF21" s="487">
        <v>8</v>
      </c>
      <c r="CG21" s="488">
        <f t="shared" si="26"/>
        <v>0.16228826452987119</v>
      </c>
      <c r="CH21" s="489">
        <f t="shared" si="138"/>
        <v>0</v>
      </c>
      <c r="CI21" s="487"/>
      <c r="CJ21" s="488">
        <f t="shared" si="27"/>
        <v>0</v>
      </c>
      <c r="CK21" s="489">
        <f t="shared" si="139"/>
        <v>0</v>
      </c>
      <c r="CL21" s="487"/>
      <c r="CM21" s="488">
        <f t="shared" si="28"/>
        <v>0</v>
      </c>
      <c r="CN21" s="489">
        <f t="shared" si="140"/>
        <v>0</v>
      </c>
      <c r="CO21" s="487"/>
      <c r="CP21" s="488">
        <f t="shared" si="29"/>
        <v>0</v>
      </c>
      <c r="CQ21" s="489">
        <f t="shared" si="141"/>
        <v>0</v>
      </c>
      <c r="CR21" s="487"/>
      <c r="CS21" s="488">
        <f t="shared" si="30"/>
        <v>0</v>
      </c>
      <c r="CT21" s="489">
        <f t="shared" si="142"/>
        <v>0</v>
      </c>
      <c r="CU21" s="487"/>
      <c r="CV21" s="488">
        <f t="shared" si="31"/>
        <v>0</v>
      </c>
      <c r="CW21" s="489">
        <f t="shared" si="143"/>
        <v>0</v>
      </c>
      <c r="CX21" s="487"/>
      <c r="CY21" s="488">
        <f t="shared" si="32"/>
        <v>0</v>
      </c>
      <c r="CZ21" s="489">
        <f t="shared" si="144"/>
        <v>0</v>
      </c>
      <c r="DA21" s="487"/>
      <c r="DB21" s="488">
        <f t="shared" si="33"/>
        <v>0</v>
      </c>
      <c r="DC21" s="489">
        <f t="shared" si="145"/>
        <v>0</v>
      </c>
      <c r="DD21" s="487"/>
      <c r="DE21" s="488">
        <f t="shared" si="34"/>
        <v>0</v>
      </c>
      <c r="DF21" s="489">
        <f t="shared" si="146"/>
        <v>0</v>
      </c>
      <c r="DG21" s="487"/>
      <c r="DH21" s="488">
        <f t="shared" si="35"/>
        <v>0</v>
      </c>
      <c r="DI21" s="489">
        <f t="shared" si="203"/>
        <v>0</v>
      </c>
      <c r="DJ21" s="487"/>
      <c r="DK21" s="488">
        <f t="shared" si="36"/>
        <v>0</v>
      </c>
      <c r="DL21" s="489">
        <f t="shared" si="147"/>
        <v>0</v>
      </c>
      <c r="DM21" s="487"/>
      <c r="DN21" s="488">
        <f t="shared" si="37"/>
        <v>0</v>
      </c>
      <c r="DO21" s="489">
        <f t="shared" si="148"/>
        <v>0</v>
      </c>
      <c r="DP21" s="487"/>
      <c r="DQ21" s="488">
        <f t="shared" si="38"/>
        <v>0</v>
      </c>
      <c r="DR21" s="489">
        <f t="shared" si="149"/>
        <v>0</v>
      </c>
      <c r="DS21" s="487"/>
      <c r="DT21" s="488">
        <f t="shared" si="39"/>
        <v>0</v>
      </c>
      <c r="DU21" s="489">
        <f t="shared" si="150"/>
        <v>0</v>
      </c>
      <c r="DV21" s="487"/>
      <c r="DW21" s="488">
        <f t="shared" si="40"/>
        <v>0</v>
      </c>
      <c r="DX21" s="489">
        <f t="shared" si="151"/>
        <v>0</v>
      </c>
      <c r="DY21" s="487">
        <v>0</v>
      </c>
      <c r="DZ21" s="488">
        <f t="shared" si="41"/>
        <v>0</v>
      </c>
      <c r="EA21" s="489">
        <f t="shared" si="152"/>
        <v>0</v>
      </c>
      <c r="EB21" s="487">
        <v>29.069767441860563</v>
      </c>
      <c r="EC21" s="488">
        <f t="shared" si="42"/>
        <v>0.58971026355331291</v>
      </c>
      <c r="ED21" s="489">
        <f t="shared" si="153"/>
        <v>0</v>
      </c>
      <c r="EE21" s="487">
        <v>4</v>
      </c>
      <c r="EF21" s="488">
        <f t="shared" si="43"/>
        <v>8.1144132264935595E-2</v>
      </c>
      <c r="EG21" s="489">
        <f t="shared" si="154"/>
        <v>0</v>
      </c>
      <c r="EH21" s="487"/>
      <c r="EI21" s="488">
        <f t="shared" si="44"/>
        <v>0</v>
      </c>
      <c r="EJ21" s="489">
        <f t="shared" si="155"/>
        <v>0</v>
      </c>
      <c r="EK21" s="487"/>
      <c r="EL21" s="488">
        <f t="shared" si="45"/>
        <v>0</v>
      </c>
      <c r="EM21" s="489">
        <f t="shared" si="156"/>
        <v>0</v>
      </c>
      <c r="EN21" s="487"/>
      <c r="EO21" s="488">
        <f t="shared" si="46"/>
        <v>0</v>
      </c>
      <c r="EP21" s="489">
        <f t="shared" si="157"/>
        <v>0</v>
      </c>
      <c r="EQ21" s="487"/>
      <c r="ER21" s="488">
        <f t="shared" si="47"/>
        <v>0</v>
      </c>
      <c r="ES21" s="489">
        <f t="shared" si="158"/>
        <v>0</v>
      </c>
      <c r="ET21" s="487"/>
      <c r="EU21" s="488">
        <f t="shared" si="48"/>
        <v>0</v>
      </c>
      <c r="EV21" s="489">
        <f t="shared" si="159"/>
        <v>0</v>
      </c>
      <c r="EW21" s="487"/>
      <c r="EX21" s="488">
        <f t="shared" si="49"/>
        <v>0</v>
      </c>
      <c r="EY21" s="489">
        <f t="shared" si="160"/>
        <v>0</v>
      </c>
      <c r="EZ21" s="487"/>
      <c r="FA21" s="488">
        <f t="shared" si="50"/>
        <v>0</v>
      </c>
      <c r="FB21" s="489">
        <f t="shared" si="161"/>
        <v>0</v>
      </c>
      <c r="FC21" s="487"/>
      <c r="FD21" s="488">
        <f t="shared" si="51"/>
        <v>0</v>
      </c>
      <c r="FE21" s="489">
        <f t="shared" si="162"/>
        <v>0</v>
      </c>
      <c r="FF21" s="487"/>
      <c r="FG21" s="488">
        <f t="shared" si="52"/>
        <v>0</v>
      </c>
      <c r="FH21" s="489">
        <f t="shared" si="163"/>
        <v>0</v>
      </c>
      <c r="FI21" s="487"/>
      <c r="FJ21" s="488">
        <f t="shared" si="53"/>
        <v>0</v>
      </c>
      <c r="FK21" s="489">
        <f t="shared" si="164"/>
        <v>0</v>
      </c>
      <c r="FL21" s="487"/>
      <c r="FM21" s="488">
        <f t="shared" si="54"/>
        <v>0</v>
      </c>
      <c r="FN21" s="489">
        <f t="shared" si="165"/>
        <v>0</v>
      </c>
      <c r="FO21" s="487"/>
      <c r="FP21" s="488">
        <f t="shared" si="55"/>
        <v>0</v>
      </c>
      <c r="FQ21" s="489">
        <f t="shared" si="166"/>
        <v>0</v>
      </c>
      <c r="FR21" s="487"/>
      <c r="FS21" s="488">
        <f t="shared" si="56"/>
        <v>0</v>
      </c>
      <c r="FT21" s="489">
        <f t="shared" si="167"/>
        <v>0</v>
      </c>
      <c r="FU21" s="487"/>
      <c r="FV21" s="488">
        <f t="shared" si="57"/>
        <v>0</v>
      </c>
      <c r="FW21" s="489">
        <f t="shared" si="168"/>
        <v>0</v>
      </c>
      <c r="FX21" s="487"/>
      <c r="FY21" s="488">
        <f t="shared" si="58"/>
        <v>0</v>
      </c>
      <c r="FZ21" s="489">
        <f t="shared" si="169"/>
        <v>0</v>
      </c>
      <c r="GA21" s="487"/>
      <c r="GB21" s="488">
        <f t="shared" si="59"/>
        <v>0</v>
      </c>
      <c r="GC21" s="489">
        <f t="shared" si="170"/>
        <v>0</v>
      </c>
      <c r="GD21" s="487"/>
      <c r="GE21" s="488">
        <f t="shared" si="60"/>
        <v>0</v>
      </c>
      <c r="GF21" s="489">
        <f t="shared" si="171"/>
        <v>0</v>
      </c>
      <c r="GG21" s="487"/>
      <c r="GH21" s="488">
        <f t="shared" si="61"/>
        <v>0</v>
      </c>
      <c r="GI21" s="489">
        <f t="shared" si="172"/>
        <v>0</v>
      </c>
      <c r="GJ21" s="487"/>
      <c r="GK21" s="488">
        <f t="shared" si="62"/>
        <v>0</v>
      </c>
      <c r="GL21" s="489">
        <f t="shared" si="173"/>
        <v>0</v>
      </c>
      <c r="GM21" s="487"/>
      <c r="GN21" s="488">
        <f t="shared" si="63"/>
        <v>0</v>
      </c>
      <c r="GO21" s="489">
        <f t="shared" si="174"/>
        <v>0</v>
      </c>
      <c r="GP21" s="487"/>
      <c r="GQ21" s="488">
        <f t="shared" si="64"/>
        <v>0</v>
      </c>
      <c r="GR21" s="489">
        <f t="shared" si="175"/>
        <v>0</v>
      </c>
      <c r="GS21" s="487"/>
      <c r="GT21" s="488">
        <f t="shared" si="65"/>
        <v>0</v>
      </c>
      <c r="GU21" s="489">
        <f t="shared" si="176"/>
        <v>0</v>
      </c>
      <c r="GV21" s="487"/>
      <c r="GW21" s="488">
        <f t="shared" si="66"/>
        <v>0</v>
      </c>
      <c r="GX21" s="489">
        <f t="shared" si="177"/>
        <v>0</v>
      </c>
      <c r="GY21" s="487"/>
      <c r="GZ21" s="488">
        <f t="shared" si="67"/>
        <v>0</v>
      </c>
      <c r="HA21" s="489">
        <f t="shared" si="178"/>
        <v>0</v>
      </c>
      <c r="HB21" s="487"/>
      <c r="HC21" s="488">
        <f t="shared" si="68"/>
        <v>0</v>
      </c>
      <c r="HD21" s="489">
        <f t="shared" si="179"/>
        <v>0</v>
      </c>
      <c r="HE21" s="487"/>
      <c r="HF21" s="488">
        <f t="shared" si="69"/>
        <v>0</v>
      </c>
      <c r="HG21" s="489">
        <f t="shared" si="180"/>
        <v>0</v>
      </c>
      <c r="HH21" s="487"/>
      <c r="HI21" s="488">
        <f t="shared" si="70"/>
        <v>0</v>
      </c>
      <c r="HJ21" s="489">
        <f t="shared" si="181"/>
        <v>0</v>
      </c>
      <c r="HK21" s="487"/>
      <c r="HL21" s="488">
        <f t="shared" si="71"/>
        <v>0</v>
      </c>
      <c r="HM21" s="489">
        <f t="shared" si="182"/>
        <v>0</v>
      </c>
      <c r="HN21" s="487"/>
      <c r="HO21" s="488">
        <f t="shared" si="72"/>
        <v>0</v>
      </c>
      <c r="HP21" s="489">
        <f t="shared" si="183"/>
        <v>0</v>
      </c>
      <c r="HQ21" s="487"/>
      <c r="HR21" s="488">
        <f t="shared" si="73"/>
        <v>0</v>
      </c>
      <c r="HS21" s="489">
        <f t="shared" si="184"/>
        <v>0</v>
      </c>
      <c r="HT21" s="487"/>
      <c r="HU21" s="488">
        <f t="shared" si="74"/>
        <v>0</v>
      </c>
      <c r="HV21" s="489">
        <f t="shared" si="185"/>
        <v>0</v>
      </c>
      <c r="HW21" s="487"/>
      <c r="HX21" s="488">
        <f t="shared" si="75"/>
        <v>0</v>
      </c>
      <c r="HY21" s="489">
        <f t="shared" si="186"/>
        <v>0</v>
      </c>
      <c r="HZ21" s="487"/>
      <c r="IA21" s="488">
        <f t="shared" si="76"/>
        <v>0</v>
      </c>
      <c r="IB21" s="489">
        <f t="shared" si="187"/>
        <v>0</v>
      </c>
      <c r="IC21" s="487"/>
      <c r="ID21" s="488">
        <f t="shared" si="77"/>
        <v>0</v>
      </c>
      <c r="IE21" s="489">
        <f t="shared" si="188"/>
        <v>0</v>
      </c>
      <c r="IF21" s="487"/>
      <c r="IG21" s="488">
        <f t="shared" si="78"/>
        <v>0</v>
      </c>
      <c r="IH21" s="489">
        <f t="shared" si="189"/>
        <v>0</v>
      </c>
      <c r="II21" s="487"/>
      <c r="IJ21" s="488">
        <f t="shared" si="79"/>
        <v>0</v>
      </c>
      <c r="IK21" s="489">
        <f t="shared" si="190"/>
        <v>0</v>
      </c>
      <c r="IL21" s="487"/>
      <c r="IM21" s="488">
        <f t="shared" si="80"/>
        <v>0</v>
      </c>
      <c r="IN21" s="489">
        <f t="shared" si="191"/>
        <v>0</v>
      </c>
      <c r="IO21" s="487"/>
      <c r="IP21" s="488">
        <f t="shared" si="81"/>
        <v>0</v>
      </c>
      <c r="IQ21" s="489">
        <f t="shared" si="192"/>
        <v>0</v>
      </c>
      <c r="IR21" s="487"/>
      <c r="IS21" s="488">
        <f t="shared" si="82"/>
        <v>0</v>
      </c>
      <c r="IT21" s="489">
        <f t="shared" si="193"/>
        <v>0</v>
      </c>
      <c r="IU21" s="487"/>
      <c r="IV21" s="488">
        <f t="shared" si="83"/>
        <v>0</v>
      </c>
      <c r="IW21" s="489">
        <f t="shared" si="194"/>
        <v>0</v>
      </c>
      <c r="IX21" s="487"/>
      <c r="IY21" s="488">
        <f t="shared" si="84"/>
        <v>0</v>
      </c>
      <c r="IZ21" s="489">
        <f t="shared" si="195"/>
        <v>0</v>
      </c>
      <c r="JA21" s="487"/>
      <c r="JB21" s="488">
        <f t="shared" si="85"/>
        <v>0</v>
      </c>
      <c r="JC21" s="489">
        <f t="shared" si="196"/>
        <v>0</v>
      </c>
      <c r="JD21" s="487"/>
      <c r="JE21" s="488">
        <f t="shared" si="86"/>
        <v>0</v>
      </c>
      <c r="JF21" s="489">
        <f t="shared" si="197"/>
        <v>0</v>
      </c>
      <c r="JG21" s="487"/>
      <c r="JH21" s="488">
        <f t="shared" si="87"/>
        <v>0</v>
      </c>
      <c r="JI21" s="489">
        <f t="shared" si="198"/>
        <v>0</v>
      </c>
      <c r="JJ21" s="487"/>
      <c r="JK21" s="489" t="str">
        <f t="shared" si="88"/>
        <v>0</v>
      </c>
      <c r="JL21" s="489" t="str">
        <f t="shared" si="89"/>
        <v>0</v>
      </c>
      <c r="JM21" s="487"/>
      <c r="JN21" s="489" t="str">
        <f t="shared" si="90"/>
        <v>0</v>
      </c>
      <c r="JO21" s="489" t="str">
        <f t="shared" si="91"/>
        <v>0</v>
      </c>
      <c r="JP21" s="487"/>
      <c r="JQ21" s="489" t="str">
        <f t="shared" si="92"/>
        <v>0</v>
      </c>
      <c r="JR21" s="489" t="str">
        <f t="shared" si="93"/>
        <v>0</v>
      </c>
      <c r="JS21" s="487"/>
      <c r="JT21" s="489" t="str">
        <f t="shared" si="94"/>
        <v>0</v>
      </c>
      <c r="JU21" s="489" t="str">
        <f t="shared" si="95"/>
        <v>0</v>
      </c>
      <c r="JV21" s="487"/>
      <c r="JW21" s="489" t="str">
        <f t="shared" si="96"/>
        <v>0</v>
      </c>
      <c r="JX21" s="489" t="str">
        <f t="shared" si="97"/>
        <v>0</v>
      </c>
      <c r="JY21" s="487"/>
      <c r="JZ21" s="489" t="str">
        <f t="shared" si="98"/>
        <v>0</v>
      </c>
      <c r="KA21" s="489" t="str">
        <f t="shared" si="99"/>
        <v>0</v>
      </c>
      <c r="KB21" s="487"/>
      <c r="KC21" s="489" t="str">
        <f t="shared" si="100"/>
        <v>0</v>
      </c>
      <c r="KD21" s="489" t="str">
        <f t="shared" si="101"/>
        <v>0</v>
      </c>
      <c r="KE21" s="487"/>
      <c r="KF21" s="489" t="str">
        <f t="shared" si="102"/>
        <v>0</v>
      </c>
      <c r="KG21" s="489" t="str">
        <f t="shared" si="103"/>
        <v>0</v>
      </c>
      <c r="KH21" s="487"/>
      <c r="KI21" s="489" t="str">
        <f t="shared" si="104"/>
        <v>0</v>
      </c>
      <c r="KJ21" s="489" t="str">
        <f t="shared" si="105"/>
        <v>0</v>
      </c>
      <c r="KK21" s="487"/>
      <c r="KL21" s="489" t="str">
        <f t="shared" si="106"/>
        <v>0</v>
      </c>
      <c r="KM21" s="489" t="str">
        <f t="shared" si="107"/>
        <v>0</v>
      </c>
      <c r="KN21" s="487"/>
      <c r="KO21" s="489" t="str">
        <f t="shared" si="108"/>
        <v>0</v>
      </c>
      <c r="KP21" s="489" t="str">
        <f t="shared" si="109"/>
        <v>0</v>
      </c>
      <c r="KQ21" s="487"/>
      <c r="KR21" s="489" t="str">
        <f t="shared" si="110"/>
        <v>0</v>
      </c>
      <c r="KS21" s="489" t="str">
        <f t="shared" si="111"/>
        <v>0</v>
      </c>
      <c r="KT21" s="489">
        <f t="shared" si="201"/>
        <v>0</v>
      </c>
      <c r="KU21" s="489">
        <f t="shared" si="202"/>
        <v>0</v>
      </c>
      <c r="KV21" s="259">
        <f t="shared" si="199"/>
        <v>591.77334521963792</v>
      </c>
    </row>
    <row r="22" spans="1:308" ht="15" customHeight="1">
      <c r="A22" s="261">
        <f t="shared" si="200"/>
        <v>46125</v>
      </c>
      <c r="B22" s="262" t="str">
        <f>+Report1!B21</f>
        <v>Napkin</v>
      </c>
      <c r="C22" s="382" t="str">
        <f>+Report1!C21</f>
        <v>11</v>
      </c>
      <c r="D22" s="263">
        <f>+Report1!P21</f>
        <v>27.166</v>
      </c>
      <c r="E22" s="264">
        <f>+Report1!R21</f>
        <v>18.167000000000002</v>
      </c>
      <c r="F22" s="487"/>
      <c r="G22" s="488">
        <f t="shared" si="0"/>
        <v>0</v>
      </c>
      <c r="H22" s="489">
        <f t="shared" si="112"/>
        <v>0</v>
      </c>
      <c r="I22" s="487">
        <v>232.5567767441861</v>
      </c>
      <c r="J22" s="488">
        <f t="shared" si="1"/>
        <v>12.801055581228935</v>
      </c>
      <c r="K22" s="489">
        <f t="shared" si="113"/>
        <v>0</v>
      </c>
      <c r="L22" s="487"/>
      <c r="M22" s="488">
        <f t="shared" si="2"/>
        <v>0</v>
      </c>
      <c r="N22" s="489">
        <f t="shared" si="114"/>
        <v>0</v>
      </c>
      <c r="O22" s="487">
        <v>12</v>
      </c>
      <c r="P22" s="488">
        <f t="shared" si="3"/>
        <v>0.66053833874607804</v>
      </c>
      <c r="Q22" s="489">
        <f t="shared" si="115"/>
        <v>0</v>
      </c>
      <c r="R22" s="487">
        <v>10.250000000000028</v>
      </c>
      <c r="S22" s="488">
        <f t="shared" si="4"/>
        <v>0.56420983101227651</v>
      </c>
      <c r="T22" s="489">
        <f t="shared" si="116"/>
        <v>0</v>
      </c>
      <c r="U22" s="487">
        <v>1.5625000000000284</v>
      </c>
      <c r="V22" s="488">
        <f t="shared" si="5"/>
        <v>8.6007596190897137E-2</v>
      </c>
      <c r="W22" s="489">
        <f t="shared" si="117"/>
        <v>0</v>
      </c>
      <c r="X22" s="487"/>
      <c r="Y22" s="488">
        <f t="shared" si="6"/>
        <v>0</v>
      </c>
      <c r="Z22" s="489">
        <f t="shared" si="118"/>
        <v>0</v>
      </c>
      <c r="AA22" s="487"/>
      <c r="AB22" s="488">
        <f t="shared" si="7"/>
        <v>0</v>
      </c>
      <c r="AC22" s="489">
        <f t="shared" si="119"/>
        <v>0</v>
      </c>
      <c r="AD22" s="487"/>
      <c r="AE22" s="488">
        <f t="shared" si="8"/>
        <v>0</v>
      </c>
      <c r="AF22" s="489">
        <f t="shared" si="120"/>
        <v>0</v>
      </c>
      <c r="AG22" s="487"/>
      <c r="AH22" s="488">
        <f t="shared" si="9"/>
        <v>0</v>
      </c>
      <c r="AI22" s="489">
        <f t="shared" si="121"/>
        <v>0</v>
      </c>
      <c r="AJ22" s="487"/>
      <c r="AK22" s="488">
        <f t="shared" si="10"/>
        <v>0</v>
      </c>
      <c r="AL22" s="489">
        <f t="shared" si="122"/>
        <v>0</v>
      </c>
      <c r="AM22" s="487">
        <v>40.381161538461583</v>
      </c>
      <c r="AN22" s="488">
        <f t="shared" si="11"/>
        <v>2.2227754466043694</v>
      </c>
      <c r="AO22" s="489">
        <f t="shared" si="123"/>
        <v>0</v>
      </c>
      <c r="AP22" s="487"/>
      <c r="AQ22" s="488">
        <f t="shared" si="12"/>
        <v>0</v>
      </c>
      <c r="AR22" s="489">
        <f t="shared" si="124"/>
        <v>0</v>
      </c>
      <c r="AS22" s="487"/>
      <c r="AT22" s="488">
        <f t="shared" si="13"/>
        <v>0</v>
      </c>
      <c r="AU22" s="489">
        <f t="shared" si="125"/>
        <v>0</v>
      </c>
      <c r="AV22" s="487">
        <v>2.7750000000000909</v>
      </c>
      <c r="AW22" s="488">
        <f t="shared" si="14"/>
        <v>0.15274949083503556</v>
      </c>
      <c r="AX22" s="489">
        <f t="shared" si="126"/>
        <v>0</v>
      </c>
      <c r="AY22" s="487">
        <v>32.663200000000131</v>
      </c>
      <c r="AZ22" s="488">
        <f t="shared" si="15"/>
        <v>1.7979413221775817</v>
      </c>
      <c r="BA22" s="489">
        <f t="shared" si="127"/>
        <v>0</v>
      </c>
      <c r="BB22" s="487"/>
      <c r="BC22" s="488">
        <f t="shared" si="16"/>
        <v>0</v>
      </c>
      <c r="BD22" s="489">
        <f t="shared" si="128"/>
        <v>0</v>
      </c>
      <c r="BE22" s="487"/>
      <c r="BF22" s="488">
        <f t="shared" si="17"/>
        <v>0</v>
      </c>
      <c r="BG22" s="489">
        <f t="shared" si="129"/>
        <v>0</v>
      </c>
      <c r="BH22" s="487"/>
      <c r="BI22" s="488">
        <f t="shared" si="18"/>
        <v>0</v>
      </c>
      <c r="BJ22" s="489">
        <f t="shared" si="130"/>
        <v>0</v>
      </c>
      <c r="BK22" s="487"/>
      <c r="BL22" s="488">
        <f t="shared" si="19"/>
        <v>0</v>
      </c>
      <c r="BM22" s="489">
        <f t="shared" si="131"/>
        <v>0</v>
      </c>
      <c r="BN22" s="487">
        <v>17.716049382716022</v>
      </c>
      <c r="BO22" s="488">
        <f t="shared" si="20"/>
        <v>0.97517748570022678</v>
      </c>
      <c r="BP22" s="489">
        <f t="shared" si="132"/>
        <v>0</v>
      </c>
      <c r="BQ22" s="487"/>
      <c r="BR22" s="488">
        <f t="shared" si="21"/>
        <v>0</v>
      </c>
      <c r="BS22" s="489">
        <f t="shared" si="133"/>
        <v>0</v>
      </c>
      <c r="BT22" s="487"/>
      <c r="BU22" s="488">
        <f t="shared" si="22"/>
        <v>0</v>
      </c>
      <c r="BV22" s="489">
        <f t="shared" si="134"/>
        <v>0</v>
      </c>
      <c r="BW22" s="487"/>
      <c r="BX22" s="488">
        <f t="shared" si="23"/>
        <v>0</v>
      </c>
      <c r="BY22" s="489">
        <f t="shared" si="135"/>
        <v>0</v>
      </c>
      <c r="BZ22" s="487"/>
      <c r="CA22" s="488">
        <f t="shared" si="24"/>
        <v>0</v>
      </c>
      <c r="CB22" s="489">
        <f t="shared" si="136"/>
        <v>0</v>
      </c>
      <c r="CC22" s="487">
        <v>0</v>
      </c>
      <c r="CD22" s="488">
        <f t="shared" si="25"/>
        <v>0</v>
      </c>
      <c r="CE22" s="489">
        <f t="shared" si="137"/>
        <v>0</v>
      </c>
      <c r="CF22" s="487">
        <v>6</v>
      </c>
      <c r="CG22" s="488">
        <f t="shared" si="26"/>
        <v>0.33026916937303902</v>
      </c>
      <c r="CH22" s="489">
        <f t="shared" si="138"/>
        <v>0</v>
      </c>
      <c r="CI22" s="487"/>
      <c r="CJ22" s="488">
        <f t="shared" si="27"/>
        <v>0</v>
      </c>
      <c r="CK22" s="489">
        <f t="shared" si="139"/>
        <v>0</v>
      </c>
      <c r="CL22" s="487"/>
      <c r="CM22" s="488">
        <f t="shared" si="28"/>
        <v>0</v>
      </c>
      <c r="CN22" s="489">
        <f t="shared" si="140"/>
        <v>0</v>
      </c>
      <c r="CO22" s="487"/>
      <c r="CP22" s="488">
        <f t="shared" si="29"/>
        <v>0</v>
      </c>
      <c r="CQ22" s="489">
        <f t="shared" si="141"/>
        <v>0</v>
      </c>
      <c r="CR22" s="487"/>
      <c r="CS22" s="488">
        <f t="shared" si="30"/>
        <v>0</v>
      </c>
      <c r="CT22" s="489">
        <f t="shared" si="142"/>
        <v>0</v>
      </c>
      <c r="CU22" s="487"/>
      <c r="CV22" s="488">
        <f t="shared" si="31"/>
        <v>0</v>
      </c>
      <c r="CW22" s="489">
        <f t="shared" si="143"/>
        <v>0</v>
      </c>
      <c r="CX22" s="487"/>
      <c r="CY22" s="488">
        <f t="shared" si="32"/>
        <v>0</v>
      </c>
      <c r="CZ22" s="489">
        <f t="shared" si="144"/>
        <v>0</v>
      </c>
      <c r="DA22" s="487"/>
      <c r="DB22" s="488">
        <f t="shared" si="33"/>
        <v>0</v>
      </c>
      <c r="DC22" s="489">
        <f t="shared" si="145"/>
        <v>0</v>
      </c>
      <c r="DD22" s="487"/>
      <c r="DE22" s="488">
        <f t="shared" si="34"/>
        <v>0</v>
      </c>
      <c r="DF22" s="489">
        <f t="shared" si="146"/>
        <v>0</v>
      </c>
      <c r="DG22" s="487"/>
      <c r="DH22" s="488">
        <f t="shared" si="35"/>
        <v>0</v>
      </c>
      <c r="DI22" s="489">
        <f t="shared" si="203"/>
        <v>0</v>
      </c>
      <c r="DJ22" s="487"/>
      <c r="DK22" s="488">
        <f t="shared" si="36"/>
        <v>0</v>
      </c>
      <c r="DL22" s="489">
        <f t="shared" si="147"/>
        <v>0</v>
      </c>
      <c r="DM22" s="487"/>
      <c r="DN22" s="488">
        <f t="shared" si="37"/>
        <v>0</v>
      </c>
      <c r="DO22" s="489">
        <f t="shared" si="148"/>
        <v>0</v>
      </c>
      <c r="DP22" s="487"/>
      <c r="DQ22" s="488">
        <f t="shared" si="38"/>
        <v>0</v>
      </c>
      <c r="DR22" s="489">
        <f t="shared" si="149"/>
        <v>0</v>
      </c>
      <c r="DS22" s="487"/>
      <c r="DT22" s="488">
        <f t="shared" si="39"/>
        <v>0</v>
      </c>
      <c r="DU22" s="489">
        <f t="shared" si="150"/>
        <v>0</v>
      </c>
      <c r="DV22" s="487"/>
      <c r="DW22" s="488">
        <f t="shared" si="40"/>
        <v>0</v>
      </c>
      <c r="DX22" s="489">
        <f t="shared" si="151"/>
        <v>0</v>
      </c>
      <c r="DY22" s="487">
        <v>0</v>
      </c>
      <c r="DZ22" s="488">
        <f t="shared" si="41"/>
        <v>0</v>
      </c>
      <c r="EA22" s="489">
        <f t="shared" si="152"/>
        <v>0</v>
      </c>
      <c r="EB22" s="487">
        <v>29.069767441860336</v>
      </c>
      <c r="EC22" s="488">
        <f t="shared" si="42"/>
        <v>1.600141324481771</v>
      </c>
      <c r="ED22" s="489">
        <f t="shared" si="153"/>
        <v>0</v>
      </c>
      <c r="EE22" s="487">
        <v>4</v>
      </c>
      <c r="EF22" s="488">
        <f t="shared" si="43"/>
        <v>0.22017944624869268</v>
      </c>
      <c r="EG22" s="489">
        <f t="shared" si="154"/>
        <v>0</v>
      </c>
      <c r="EH22" s="487"/>
      <c r="EI22" s="488">
        <f t="shared" si="44"/>
        <v>0</v>
      </c>
      <c r="EJ22" s="489">
        <f t="shared" si="155"/>
        <v>0</v>
      </c>
      <c r="EK22" s="487"/>
      <c r="EL22" s="488">
        <f t="shared" si="45"/>
        <v>0</v>
      </c>
      <c r="EM22" s="489">
        <f t="shared" si="156"/>
        <v>0</v>
      </c>
      <c r="EN22" s="487"/>
      <c r="EO22" s="488">
        <f t="shared" si="46"/>
        <v>0</v>
      </c>
      <c r="EP22" s="489">
        <f t="shared" si="157"/>
        <v>0</v>
      </c>
      <c r="EQ22" s="487"/>
      <c r="ER22" s="488">
        <f t="shared" si="47"/>
        <v>0</v>
      </c>
      <c r="ES22" s="489">
        <f t="shared" si="158"/>
        <v>0</v>
      </c>
      <c r="ET22" s="487"/>
      <c r="EU22" s="488">
        <f t="shared" si="48"/>
        <v>0</v>
      </c>
      <c r="EV22" s="489">
        <f t="shared" si="159"/>
        <v>0</v>
      </c>
      <c r="EW22" s="487"/>
      <c r="EX22" s="488">
        <f t="shared" si="49"/>
        <v>0</v>
      </c>
      <c r="EY22" s="489">
        <f t="shared" si="160"/>
        <v>0</v>
      </c>
      <c r="EZ22" s="487"/>
      <c r="FA22" s="488">
        <f t="shared" si="50"/>
        <v>0</v>
      </c>
      <c r="FB22" s="489">
        <f t="shared" si="161"/>
        <v>0</v>
      </c>
      <c r="FC22" s="487"/>
      <c r="FD22" s="488">
        <f t="shared" si="51"/>
        <v>0</v>
      </c>
      <c r="FE22" s="489">
        <f t="shared" si="162"/>
        <v>0</v>
      </c>
      <c r="FF22" s="487"/>
      <c r="FG22" s="488">
        <f t="shared" si="52"/>
        <v>0</v>
      </c>
      <c r="FH22" s="489">
        <f t="shared" si="163"/>
        <v>0</v>
      </c>
      <c r="FI22" s="487"/>
      <c r="FJ22" s="488">
        <f t="shared" si="53"/>
        <v>0</v>
      </c>
      <c r="FK22" s="489">
        <f t="shared" si="164"/>
        <v>0</v>
      </c>
      <c r="FL22" s="487"/>
      <c r="FM22" s="488">
        <f t="shared" si="54"/>
        <v>0</v>
      </c>
      <c r="FN22" s="489">
        <f t="shared" si="165"/>
        <v>0</v>
      </c>
      <c r="FO22" s="487"/>
      <c r="FP22" s="488">
        <f t="shared" si="55"/>
        <v>0</v>
      </c>
      <c r="FQ22" s="489">
        <f t="shared" si="166"/>
        <v>0</v>
      </c>
      <c r="FR22" s="487"/>
      <c r="FS22" s="488">
        <f t="shared" si="56"/>
        <v>0</v>
      </c>
      <c r="FT22" s="489">
        <f t="shared" si="167"/>
        <v>0</v>
      </c>
      <c r="FU22" s="487"/>
      <c r="FV22" s="488">
        <f t="shared" si="57"/>
        <v>0</v>
      </c>
      <c r="FW22" s="489">
        <f t="shared" si="168"/>
        <v>0</v>
      </c>
      <c r="FX22" s="487"/>
      <c r="FY22" s="488">
        <f t="shared" si="58"/>
        <v>0</v>
      </c>
      <c r="FZ22" s="489">
        <f t="shared" si="169"/>
        <v>0</v>
      </c>
      <c r="GA22" s="487"/>
      <c r="GB22" s="488">
        <f t="shared" si="59"/>
        <v>0</v>
      </c>
      <c r="GC22" s="489">
        <f t="shared" si="170"/>
        <v>0</v>
      </c>
      <c r="GD22" s="487"/>
      <c r="GE22" s="488">
        <f t="shared" si="60"/>
        <v>0</v>
      </c>
      <c r="GF22" s="489">
        <f t="shared" si="171"/>
        <v>0</v>
      </c>
      <c r="GG22" s="487"/>
      <c r="GH22" s="488">
        <f t="shared" si="61"/>
        <v>0</v>
      </c>
      <c r="GI22" s="489">
        <f t="shared" si="172"/>
        <v>0</v>
      </c>
      <c r="GJ22" s="487"/>
      <c r="GK22" s="488">
        <f t="shared" si="62"/>
        <v>0</v>
      </c>
      <c r="GL22" s="489">
        <f t="shared" si="173"/>
        <v>0</v>
      </c>
      <c r="GM22" s="487"/>
      <c r="GN22" s="488">
        <f t="shared" si="63"/>
        <v>0</v>
      </c>
      <c r="GO22" s="489">
        <f t="shared" si="174"/>
        <v>0</v>
      </c>
      <c r="GP22" s="487"/>
      <c r="GQ22" s="488">
        <f t="shared" si="64"/>
        <v>0</v>
      </c>
      <c r="GR22" s="489">
        <f t="shared" si="175"/>
        <v>0</v>
      </c>
      <c r="GS22" s="487"/>
      <c r="GT22" s="488">
        <f t="shared" si="65"/>
        <v>0</v>
      </c>
      <c r="GU22" s="489">
        <f t="shared" si="176"/>
        <v>0</v>
      </c>
      <c r="GV22" s="487"/>
      <c r="GW22" s="488">
        <f t="shared" si="66"/>
        <v>0</v>
      </c>
      <c r="GX22" s="489">
        <f t="shared" si="177"/>
        <v>0</v>
      </c>
      <c r="GY22" s="487"/>
      <c r="GZ22" s="488">
        <f t="shared" si="67"/>
        <v>0</v>
      </c>
      <c r="HA22" s="489">
        <f t="shared" si="178"/>
        <v>0</v>
      </c>
      <c r="HB22" s="487"/>
      <c r="HC22" s="488">
        <f t="shared" si="68"/>
        <v>0</v>
      </c>
      <c r="HD22" s="489">
        <f t="shared" si="179"/>
        <v>0</v>
      </c>
      <c r="HE22" s="487"/>
      <c r="HF22" s="488">
        <f t="shared" si="69"/>
        <v>0</v>
      </c>
      <c r="HG22" s="489">
        <f t="shared" si="180"/>
        <v>0</v>
      </c>
      <c r="HH22" s="487"/>
      <c r="HI22" s="488">
        <f t="shared" si="70"/>
        <v>0</v>
      </c>
      <c r="HJ22" s="489">
        <f t="shared" si="181"/>
        <v>0</v>
      </c>
      <c r="HK22" s="487"/>
      <c r="HL22" s="488">
        <f t="shared" si="71"/>
        <v>0</v>
      </c>
      <c r="HM22" s="489">
        <f t="shared" si="182"/>
        <v>0</v>
      </c>
      <c r="HN22" s="487"/>
      <c r="HO22" s="488">
        <f t="shared" si="72"/>
        <v>0</v>
      </c>
      <c r="HP22" s="489">
        <f t="shared" si="183"/>
        <v>0</v>
      </c>
      <c r="HQ22" s="487"/>
      <c r="HR22" s="488">
        <f t="shared" si="73"/>
        <v>0</v>
      </c>
      <c r="HS22" s="489">
        <f t="shared" si="184"/>
        <v>0</v>
      </c>
      <c r="HT22" s="487"/>
      <c r="HU22" s="488">
        <f t="shared" si="74"/>
        <v>0</v>
      </c>
      <c r="HV22" s="489">
        <f t="shared" si="185"/>
        <v>0</v>
      </c>
      <c r="HW22" s="487"/>
      <c r="HX22" s="488">
        <f t="shared" si="75"/>
        <v>0</v>
      </c>
      <c r="HY22" s="489">
        <f t="shared" si="186"/>
        <v>0</v>
      </c>
      <c r="HZ22" s="487"/>
      <c r="IA22" s="488">
        <f t="shared" si="76"/>
        <v>0</v>
      </c>
      <c r="IB22" s="489">
        <f t="shared" si="187"/>
        <v>0</v>
      </c>
      <c r="IC22" s="487"/>
      <c r="ID22" s="488">
        <f t="shared" si="77"/>
        <v>0</v>
      </c>
      <c r="IE22" s="489">
        <f t="shared" si="188"/>
        <v>0</v>
      </c>
      <c r="IF22" s="487"/>
      <c r="IG22" s="488">
        <f t="shared" si="78"/>
        <v>0</v>
      </c>
      <c r="IH22" s="489">
        <f t="shared" si="189"/>
        <v>0</v>
      </c>
      <c r="II22" s="487"/>
      <c r="IJ22" s="488">
        <f t="shared" si="79"/>
        <v>0</v>
      </c>
      <c r="IK22" s="489">
        <f t="shared" si="190"/>
        <v>0</v>
      </c>
      <c r="IL22" s="487"/>
      <c r="IM22" s="488">
        <f t="shared" si="80"/>
        <v>0</v>
      </c>
      <c r="IN22" s="489">
        <f t="shared" si="191"/>
        <v>0</v>
      </c>
      <c r="IO22" s="487"/>
      <c r="IP22" s="488">
        <f t="shared" si="81"/>
        <v>0</v>
      </c>
      <c r="IQ22" s="489">
        <f t="shared" si="192"/>
        <v>0</v>
      </c>
      <c r="IR22" s="487"/>
      <c r="IS22" s="488">
        <f t="shared" si="82"/>
        <v>0</v>
      </c>
      <c r="IT22" s="489">
        <f t="shared" si="193"/>
        <v>0</v>
      </c>
      <c r="IU22" s="487"/>
      <c r="IV22" s="488">
        <f t="shared" si="83"/>
        <v>0</v>
      </c>
      <c r="IW22" s="489">
        <f t="shared" si="194"/>
        <v>0</v>
      </c>
      <c r="IX22" s="487"/>
      <c r="IY22" s="488">
        <f t="shared" si="84"/>
        <v>0</v>
      </c>
      <c r="IZ22" s="489">
        <f t="shared" si="195"/>
        <v>0</v>
      </c>
      <c r="JA22" s="487"/>
      <c r="JB22" s="488">
        <f t="shared" si="85"/>
        <v>0</v>
      </c>
      <c r="JC22" s="489">
        <f t="shared" si="196"/>
        <v>0</v>
      </c>
      <c r="JD22" s="487"/>
      <c r="JE22" s="488">
        <f t="shared" si="86"/>
        <v>0</v>
      </c>
      <c r="JF22" s="489">
        <f t="shared" si="197"/>
        <v>0</v>
      </c>
      <c r="JG22" s="487"/>
      <c r="JH22" s="488">
        <f t="shared" si="87"/>
        <v>0</v>
      </c>
      <c r="JI22" s="489">
        <f t="shared" si="198"/>
        <v>0</v>
      </c>
      <c r="JJ22" s="487"/>
      <c r="JK22" s="489" t="str">
        <f t="shared" si="88"/>
        <v>0</v>
      </c>
      <c r="JL22" s="489" t="str">
        <f t="shared" si="89"/>
        <v>0</v>
      </c>
      <c r="JM22" s="487"/>
      <c r="JN22" s="489" t="str">
        <f t="shared" si="90"/>
        <v>0</v>
      </c>
      <c r="JO22" s="489" t="str">
        <f t="shared" si="91"/>
        <v>0</v>
      </c>
      <c r="JP22" s="487"/>
      <c r="JQ22" s="489" t="str">
        <f t="shared" si="92"/>
        <v>0</v>
      </c>
      <c r="JR22" s="489" t="str">
        <f t="shared" si="93"/>
        <v>0</v>
      </c>
      <c r="JS22" s="487"/>
      <c r="JT22" s="489" t="str">
        <f t="shared" si="94"/>
        <v>0</v>
      </c>
      <c r="JU22" s="489" t="str">
        <f t="shared" si="95"/>
        <v>0</v>
      </c>
      <c r="JV22" s="487"/>
      <c r="JW22" s="489" t="str">
        <f t="shared" si="96"/>
        <v>0</v>
      </c>
      <c r="JX22" s="489" t="str">
        <f t="shared" si="97"/>
        <v>0</v>
      </c>
      <c r="JY22" s="487"/>
      <c r="JZ22" s="489" t="str">
        <f t="shared" si="98"/>
        <v>0</v>
      </c>
      <c r="KA22" s="489" t="str">
        <f t="shared" si="99"/>
        <v>0</v>
      </c>
      <c r="KB22" s="487"/>
      <c r="KC22" s="489" t="str">
        <f t="shared" si="100"/>
        <v>0</v>
      </c>
      <c r="KD22" s="489" t="str">
        <f t="shared" si="101"/>
        <v>0</v>
      </c>
      <c r="KE22" s="487"/>
      <c r="KF22" s="489" t="str">
        <f t="shared" si="102"/>
        <v>0</v>
      </c>
      <c r="KG22" s="489" t="str">
        <f t="shared" si="103"/>
        <v>0</v>
      </c>
      <c r="KH22" s="487"/>
      <c r="KI22" s="489" t="str">
        <f t="shared" si="104"/>
        <v>0</v>
      </c>
      <c r="KJ22" s="489" t="str">
        <f t="shared" si="105"/>
        <v>0</v>
      </c>
      <c r="KK22" s="487"/>
      <c r="KL22" s="489" t="str">
        <f t="shared" si="106"/>
        <v>0</v>
      </c>
      <c r="KM22" s="489" t="str">
        <f t="shared" si="107"/>
        <v>0</v>
      </c>
      <c r="KN22" s="487"/>
      <c r="KO22" s="489" t="str">
        <f t="shared" si="108"/>
        <v>0</v>
      </c>
      <c r="KP22" s="489" t="str">
        <f t="shared" si="109"/>
        <v>0</v>
      </c>
      <c r="KQ22" s="487"/>
      <c r="KR22" s="489" t="str">
        <f t="shared" si="110"/>
        <v>0</v>
      </c>
      <c r="KS22" s="489" t="str">
        <f t="shared" si="111"/>
        <v>0</v>
      </c>
      <c r="KT22" s="489">
        <f t="shared" si="201"/>
        <v>0</v>
      </c>
      <c r="KU22" s="489">
        <f t="shared" si="202"/>
        <v>0</v>
      </c>
      <c r="KV22" s="259">
        <f t="shared" si="199"/>
        <v>388.97445510722434</v>
      </c>
    </row>
    <row r="23" spans="1:308" ht="15" customHeight="1">
      <c r="A23" s="261">
        <f t="shared" si="200"/>
        <v>46126</v>
      </c>
      <c r="B23" s="262" t="str">
        <f>+Report1!B22</f>
        <v>Napkin/Toilet</v>
      </c>
      <c r="C23" s="382" t="str">
        <f>+Report1!C22</f>
        <v>11/14/16/18</v>
      </c>
      <c r="D23" s="263">
        <f>+Report1!P22</f>
        <v>51.592999999999996</v>
      </c>
      <c r="E23" s="264">
        <f>+Report1!R22</f>
        <v>54.055999999999997</v>
      </c>
      <c r="F23" s="487"/>
      <c r="G23" s="488">
        <f t="shared" si="0"/>
        <v>0</v>
      </c>
      <c r="H23" s="489">
        <f t="shared" si="112"/>
        <v>0</v>
      </c>
      <c r="I23" s="487">
        <v>93.023255813953597</v>
      </c>
      <c r="J23" s="488">
        <f t="shared" si="1"/>
        <v>1.7208682813000149</v>
      </c>
      <c r="K23" s="489">
        <f t="shared" si="113"/>
        <v>0</v>
      </c>
      <c r="L23" s="487"/>
      <c r="M23" s="488">
        <f t="shared" si="2"/>
        <v>0</v>
      </c>
      <c r="N23" s="489">
        <f t="shared" si="114"/>
        <v>0</v>
      </c>
      <c r="O23" s="487">
        <v>15</v>
      </c>
      <c r="P23" s="488">
        <f t="shared" si="3"/>
        <v>0.27749001035962706</v>
      </c>
      <c r="Q23" s="489">
        <f t="shared" si="115"/>
        <v>0</v>
      </c>
      <c r="R23" s="487">
        <v>7.6874999999999716</v>
      </c>
      <c r="S23" s="488">
        <f t="shared" si="4"/>
        <v>0.14221363030930834</v>
      </c>
      <c r="T23" s="489">
        <f t="shared" si="116"/>
        <v>0</v>
      </c>
      <c r="U23" s="487">
        <v>6.25</v>
      </c>
      <c r="V23" s="488">
        <f t="shared" si="5"/>
        <v>0.11562083764984461</v>
      </c>
      <c r="W23" s="489">
        <f t="shared" si="117"/>
        <v>0</v>
      </c>
      <c r="X23" s="487"/>
      <c r="Y23" s="488">
        <f t="shared" si="6"/>
        <v>0</v>
      </c>
      <c r="Z23" s="489">
        <f t="shared" si="118"/>
        <v>0</v>
      </c>
      <c r="AA23" s="487"/>
      <c r="AB23" s="488">
        <f t="shared" si="7"/>
        <v>0</v>
      </c>
      <c r="AC23" s="489">
        <f t="shared" si="119"/>
        <v>0</v>
      </c>
      <c r="AD23" s="487"/>
      <c r="AE23" s="488">
        <f t="shared" si="8"/>
        <v>0</v>
      </c>
      <c r="AF23" s="489">
        <f t="shared" si="120"/>
        <v>0</v>
      </c>
      <c r="AG23" s="487"/>
      <c r="AH23" s="488">
        <f t="shared" si="9"/>
        <v>0</v>
      </c>
      <c r="AI23" s="489">
        <f t="shared" si="121"/>
        <v>0</v>
      </c>
      <c r="AJ23" s="487"/>
      <c r="AK23" s="488">
        <f t="shared" si="10"/>
        <v>0</v>
      </c>
      <c r="AL23" s="489">
        <f t="shared" si="122"/>
        <v>0</v>
      </c>
      <c r="AM23" s="487">
        <v>40.384615384615358</v>
      </c>
      <c r="AN23" s="488">
        <f t="shared" si="11"/>
        <v>0.74708848942976469</v>
      </c>
      <c r="AO23" s="489">
        <f t="shared" si="123"/>
        <v>0</v>
      </c>
      <c r="AP23" s="487"/>
      <c r="AQ23" s="488">
        <f t="shared" si="12"/>
        <v>0</v>
      </c>
      <c r="AR23" s="489">
        <f t="shared" si="124"/>
        <v>0</v>
      </c>
      <c r="AS23" s="487"/>
      <c r="AT23" s="488">
        <f t="shared" si="13"/>
        <v>0</v>
      </c>
      <c r="AU23" s="489">
        <f t="shared" si="125"/>
        <v>0</v>
      </c>
      <c r="AV23" s="487">
        <v>0</v>
      </c>
      <c r="AW23" s="488">
        <f t="shared" si="14"/>
        <v>0</v>
      </c>
      <c r="AX23" s="489">
        <f t="shared" si="126"/>
        <v>0</v>
      </c>
      <c r="AY23" s="487">
        <v>25.666666666666742</v>
      </c>
      <c r="AZ23" s="488">
        <f t="shared" si="15"/>
        <v>0.47481623994869659</v>
      </c>
      <c r="BA23" s="489">
        <f t="shared" si="127"/>
        <v>0</v>
      </c>
      <c r="BB23" s="487"/>
      <c r="BC23" s="488">
        <f t="shared" si="16"/>
        <v>0</v>
      </c>
      <c r="BD23" s="489">
        <f t="shared" si="128"/>
        <v>0</v>
      </c>
      <c r="BE23" s="487"/>
      <c r="BF23" s="488">
        <f t="shared" si="17"/>
        <v>0</v>
      </c>
      <c r="BG23" s="489">
        <f t="shared" si="129"/>
        <v>0</v>
      </c>
      <c r="BH23" s="487"/>
      <c r="BI23" s="488">
        <f t="shared" si="18"/>
        <v>0</v>
      </c>
      <c r="BJ23" s="489">
        <f t="shared" si="130"/>
        <v>0</v>
      </c>
      <c r="BK23" s="487"/>
      <c r="BL23" s="488">
        <f t="shared" si="19"/>
        <v>0</v>
      </c>
      <c r="BM23" s="489">
        <f t="shared" si="131"/>
        <v>0</v>
      </c>
      <c r="BN23" s="487">
        <v>30.370370370370381</v>
      </c>
      <c r="BO23" s="488">
        <f t="shared" si="20"/>
        <v>0.56183162591331914</v>
      </c>
      <c r="BP23" s="489">
        <f t="shared" si="132"/>
        <v>0</v>
      </c>
      <c r="BQ23" s="487"/>
      <c r="BR23" s="488">
        <f t="shared" si="21"/>
        <v>0</v>
      </c>
      <c r="BS23" s="489">
        <f t="shared" si="133"/>
        <v>0</v>
      </c>
      <c r="BT23" s="487"/>
      <c r="BU23" s="488">
        <f t="shared" si="22"/>
        <v>0</v>
      </c>
      <c r="BV23" s="489">
        <f t="shared" si="134"/>
        <v>0</v>
      </c>
      <c r="BW23" s="487"/>
      <c r="BX23" s="488">
        <f t="shared" si="23"/>
        <v>0</v>
      </c>
      <c r="BY23" s="489">
        <f t="shared" si="135"/>
        <v>0</v>
      </c>
      <c r="BZ23" s="487"/>
      <c r="CA23" s="488">
        <f t="shared" si="24"/>
        <v>0</v>
      </c>
      <c r="CB23" s="489">
        <f t="shared" si="136"/>
        <v>0</v>
      </c>
      <c r="CC23" s="487">
        <v>20</v>
      </c>
      <c r="CD23" s="488">
        <f t="shared" si="25"/>
        <v>0.36998668047950278</v>
      </c>
      <c r="CE23" s="489">
        <f t="shared" si="137"/>
        <v>0</v>
      </c>
      <c r="CF23" s="487">
        <v>7</v>
      </c>
      <c r="CG23" s="488">
        <f t="shared" si="26"/>
        <v>0.12949533816782596</v>
      </c>
      <c r="CH23" s="489">
        <f t="shared" si="138"/>
        <v>0</v>
      </c>
      <c r="CI23" s="487"/>
      <c r="CJ23" s="488">
        <f t="shared" si="27"/>
        <v>0</v>
      </c>
      <c r="CK23" s="489">
        <f t="shared" si="139"/>
        <v>0</v>
      </c>
      <c r="CL23" s="487"/>
      <c r="CM23" s="488">
        <f t="shared" si="28"/>
        <v>0</v>
      </c>
      <c r="CN23" s="489">
        <f t="shared" si="140"/>
        <v>0</v>
      </c>
      <c r="CO23" s="487"/>
      <c r="CP23" s="488">
        <f t="shared" si="29"/>
        <v>0</v>
      </c>
      <c r="CQ23" s="489">
        <f t="shared" si="141"/>
        <v>0</v>
      </c>
      <c r="CR23" s="487"/>
      <c r="CS23" s="488">
        <f t="shared" si="30"/>
        <v>0</v>
      </c>
      <c r="CT23" s="489">
        <f t="shared" si="142"/>
        <v>0</v>
      </c>
      <c r="CU23" s="487"/>
      <c r="CV23" s="488">
        <f t="shared" si="31"/>
        <v>0</v>
      </c>
      <c r="CW23" s="489">
        <f t="shared" si="143"/>
        <v>0</v>
      </c>
      <c r="CX23" s="487"/>
      <c r="CY23" s="488">
        <f t="shared" si="32"/>
        <v>0</v>
      </c>
      <c r="CZ23" s="489">
        <f t="shared" si="144"/>
        <v>0</v>
      </c>
      <c r="DA23" s="487"/>
      <c r="DB23" s="488">
        <f t="shared" si="33"/>
        <v>0</v>
      </c>
      <c r="DC23" s="489">
        <f t="shared" si="145"/>
        <v>0</v>
      </c>
      <c r="DD23" s="487"/>
      <c r="DE23" s="488">
        <f t="shared" si="34"/>
        <v>0</v>
      </c>
      <c r="DF23" s="489">
        <f t="shared" si="146"/>
        <v>0</v>
      </c>
      <c r="DG23" s="487"/>
      <c r="DH23" s="488">
        <f t="shared" si="35"/>
        <v>0</v>
      </c>
      <c r="DI23" s="489">
        <f t="shared" si="203"/>
        <v>0</v>
      </c>
      <c r="DJ23" s="487"/>
      <c r="DK23" s="488">
        <f t="shared" si="36"/>
        <v>0</v>
      </c>
      <c r="DL23" s="489">
        <f t="shared" si="147"/>
        <v>0</v>
      </c>
      <c r="DM23" s="487"/>
      <c r="DN23" s="488">
        <f t="shared" si="37"/>
        <v>0</v>
      </c>
      <c r="DO23" s="489">
        <f t="shared" si="148"/>
        <v>0</v>
      </c>
      <c r="DP23" s="487"/>
      <c r="DQ23" s="488">
        <f t="shared" si="38"/>
        <v>0</v>
      </c>
      <c r="DR23" s="489">
        <f t="shared" si="149"/>
        <v>0</v>
      </c>
      <c r="DS23" s="487"/>
      <c r="DT23" s="488">
        <f t="shared" si="39"/>
        <v>0</v>
      </c>
      <c r="DU23" s="489">
        <f t="shared" si="150"/>
        <v>0</v>
      </c>
      <c r="DV23" s="487"/>
      <c r="DW23" s="488">
        <f t="shared" si="40"/>
        <v>0</v>
      </c>
      <c r="DX23" s="489">
        <f t="shared" si="151"/>
        <v>0</v>
      </c>
      <c r="DY23" s="487">
        <v>0</v>
      </c>
      <c r="DZ23" s="488">
        <f t="shared" si="41"/>
        <v>0</v>
      </c>
      <c r="EA23" s="489">
        <f t="shared" si="152"/>
        <v>0</v>
      </c>
      <c r="EB23" s="487">
        <v>29.069767441860563</v>
      </c>
      <c r="EC23" s="488">
        <f t="shared" si="42"/>
        <v>0.53777133790625586</v>
      </c>
      <c r="ED23" s="489">
        <f t="shared" si="153"/>
        <v>0</v>
      </c>
      <c r="EE23" s="487">
        <v>6</v>
      </c>
      <c r="EF23" s="488">
        <f t="shared" si="43"/>
        <v>0.11099600414385083</v>
      </c>
      <c r="EG23" s="489">
        <f t="shared" si="154"/>
        <v>0</v>
      </c>
      <c r="EH23" s="487"/>
      <c r="EI23" s="488">
        <f t="shared" si="44"/>
        <v>0</v>
      </c>
      <c r="EJ23" s="489">
        <f t="shared" si="155"/>
        <v>0</v>
      </c>
      <c r="EK23" s="487"/>
      <c r="EL23" s="488">
        <f t="shared" si="45"/>
        <v>0</v>
      </c>
      <c r="EM23" s="489">
        <f t="shared" si="156"/>
        <v>0</v>
      </c>
      <c r="EN23" s="487"/>
      <c r="EO23" s="488">
        <f t="shared" si="46"/>
        <v>0</v>
      </c>
      <c r="EP23" s="489">
        <f t="shared" si="157"/>
        <v>0</v>
      </c>
      <c r="EQ23" s="487"/>
      <c r="ER23" s="488">
        <f t="shared" si="47"/>
        <v>0</v>
      </c>
      <c r="ES23" s="489">
        <f t="shared" si="158"/>
        <v>0</v>
      </c>
      <c r="ET23" s="487"/>
      <c r="EU23" s="488">
        <f t="shared" si="48"/>
        <v>0</v>
      </c>
      <c r="EV23" s="489">
        <f t="shared" si="159"/>
        <v>0</v>
      </c>
      <c r="EW23" s="487"/>
      <c r="EX23" s="488">
        <f t="shared" si="49"/>
        <v>0</v>
      </c>
      <c r="EY23" s="489">
        <f t="shared" si="160"/>
        <v>0</v>
      </c>
      <c r="EZ23" s="487"/>
      <c r="FA23" s="488">
        <f t="shared" si="50"/>
        <v>0</v>
      </c>
      <c r="FB23" s="489">
        <f t="shared" si="161"/>
        <v>0</v>
      </c>
      <c r="FC23" s="487"/>
      <c r="FD23" s="488">
        <f t="shared" si="51"/>
        <v>0</v>
      </c>
      <c r="FE23" s="489">
        <f t="shared" si="162"/>
        <v>0</v>
      </c>
      <c r="FF23" s="487"/>
      <c r="FG23" s="488">
        <f t="shared" si="52"/>
        <v>0</v>
      </c>
      <c r="FH23" s="489">
        <f t="shared" si="163"/>
        <v>0</v>
      </c>
      <c r="FI23" s="487"/>
      <c r="FJ23" s="488">
        <f t="shared" si="53"/>
        <v>0</v>
      </c>
      <c r="FK23" s="489">
        <f t="shared" si="164"/>
        <v>0</v>
      </c>
      <c r="FL23" s="487"/>
      <c r="FM23" s="488">
        <f t="shared" si="54"/>
        <v>0</v>
      </c>
      <c r="FN23" s="489">
        <f t="shared" si="165"/>
        <v>0</v>
      </c>
      <c r="FO23" s="487"/>
      <c r="FP23" s="488">
        <f t="shared" si="55"/>
        <v>0</v>
      </c>
      <c r="FQ23" s="489">
        <f t="shared" si="166"/>
        <v>0</v>
      </c>
      <c r="FR23" s="487"/>
      <c r="FS23" s="488">
        <f t="shared" si="56"/>
        <v>0</v>
      </c>
      <c r="FT23" s="489">
        <f t="shared" si="167"/>
        <v>0</v>
      </c>
      <c r="FU23" s="487"/>
      <c r="FV23" s="488">
        <f t="shared" si="57"/>
        <v>0</v>
      </c>
      <c r="FW23" s="489">
        <f t="shared" si="168"/>
        <v>0</v>
      </c>
      <c r="FX23" s="487"/>
      <c r="FY23" s="488">
        <f t="shared" si="58"/>
        <v>0</v>
      </c>
      <c r="FZ23" s="489">
        <f t="shared" si="169"/>
        <v>0</v>
      </c>
      <c r="GA23" s="487"/>
      <c r="GB23" s="488">
        <f t="shared" si="59"/>
        <v>0</v>
      </c>
      <c r="GC23" s="489">
        <f t="shared" si="170"/>
        <v>0</v>
      </c>
      <c r="GD23" s="487"/>
      <c r="GE23" s="488">
        <f t="shared" si="60"/>
        <v>0</v>
      </c>
      <c r="GF23" s="489">
        <f t="shared" si="171"/>
        <v>0</v>
      </c>
      <c r="GG23" s="487"/>
      <c r="GH23" s="488">
        <f t="shared" si="61"/>
        <v>0</v>
      </c>
      <c r="GI23" s="489">
        <f t="shared" si="172"/>
        <v>0</v>
      </c>
      <c r="GJ23" s="487"/>
      <c r="GK23" s="488">
        <f t="shared" si="62"/>
        <v>0</v>
      </c>
      <c r="GL23" s="489">
        <f t="shared" si="173"/>
        <v>0</v>
      </c>
      <c r="GM23" s="487"/>
      <c r="GN23" s="488">
        <f t="shared" si="63"/>
        <v>0</v>
      </c>
      <c r="GO23" s="489">
        <f t="shared" si="174"/>
        <v>0</v>
      </c>
      <c r="GP23" s="487"/>
      <c r="GQ23" s="488">
        <f t="shared" si="64"/>
        <v>0</v>
      </c>
      <c r="GR23" s="489">
        <f t="shared" si="175"/>
        <v>0</v>
      </c>
      <c r="GS23" s="487"/>
      <c r="GT23" s="488">
        <f t="shared" si="65"/>
        <v>0</v>
      </c>
      <c r="GU23" s="489">
        <f t="shared" si="176"/>
        <v>0</v>
      </c>
      <c r="GV23" s="487"/>
      <c r="GW23" s="488">
        <f t="shared" si="66"/>
        <v>0</v>
      </c>
      <c r="GX23" s="489">
        <f t="shared" si="177"/>
        <v>0</v>
      </c>
      <c r="GY23" s="487"/>
      <c r="GZ23" s="488">
        <f t="shared" si="67"/>
        <v>0</v>
      </c>
      <c r="HA23" s="489">
        <f t="shared" si="178"/>
        <v>0</v>
      </c>
      <c r="HB23" s="487"/>
      <c r="HC23" s="488">
        <f t="shared" si="68"/>
        <v>0</v>
      </c>
      <c r="HD23" s="489">
        <f t="shared" si="179"/>
        <v>0</v>
      </c>
      <c r="HE23" s="487"/>
      <c r="HF23" s="488">
        <f t="shared" si="69"/>
        <v>0</v>
      </c>
      <c r="HG23" s="489">
        <f t="shared" si="180"/>
        <v>0</v>
      </c>
      <c r="HH23" s="487"/>
      <c r="HI23" s="488">
        <f t="shared" si="70"/>
        <v>0</v>
      </c>
      <c r="HJ23" s="489">
        <f t="shared" si="181"/>
        <v>0</v>
      </c>
      <c r="HK23" s="487"/>
      <c r="HL23" s="488">
        <f t="shared" si="71"/>
        <v>0</v>
      </c>
      <c r="HM23" s="489">
        <f t="shared" si="182"/>
        <v>0</v>
      </c>
      <c r="HN23" s="487"/>
      <c r="HO23" s="488">
        <f t="shared" si="72"/>
        <v>0</v>
      </c>
      <c r="HP23" s="489">
        <f t="shared" si="183"/>
        <v>0</v>
      </c>
      <c r="HQ23" s="487"/>
      <c r="HR23" s="488">
        <f t="shared" si="73"/>
        <v>0</v>
      </c>
      <c r="HS23" s="489">
        <f t="shared" si="184"/>
        <v>0</v>
      </c>
      <c r="HT23" s="487"/>
      <c r="HU23" s="488">
        <f t="shared" si="74"/>
        <v>0</v>
      </c>
      <c r="HV23" s="489">
        <f t="shared" si="185"/>
        <v>0</v>
      </c>
      <c r="HW23" s="487"/>
      <c r="HX23" s="488">
        <f t="shared" si="75"/>
        <v>0</v>
      </c>
      <c r="HY23" s="489">
        <f t="shared" si="186"/>
        <v>0</v>
      </c>
      <c r="HZ23" s="487"/>
      <c r="IA23" s="488">
        <f t="shared" si="76"/>
        <v>0</v>
      </c>
      <c r="IB23" s="489">
        <f t="shared" si="187"/>
        <v>0</v>
      </c>
      <c r="IC23" s="487"/>
      <c r="ID23" s="488">
        <f t="shared" si="77"/>
        <v>0</v>
      </c>
      <c r="IE23" s="489">
        <f t="shared" si="188"/>
        <v>0</v>
      </c>
      <c r="IF23" s="487"/>
      <c r="IG23" s="488">
        <f t="shared" si="78"/>
        <v>0</v>
      </c>
      <c r="IH23" s="489">
        <f t="shared" si="189"/>
        <v>0</v>
      </c>
      <c r="II23" s="487"/>
      <c r="IJ23" s="488">
        <f t="shared" si="79"/>
        <v>0</v>
      </c>
      <c r="IK23" s="489">
        <f t="shared" si="190"/>
        <v>0</v>
      </c>
      <c r="IL23" s="487"/>
      <c r="IM23" s="488">
        <f t="shared" si="80"/>
        <v>0</v>
      </c>
      <c r="IN23" s="489">
        <f t="shared" si="191"/>
        <v>0</v>
      </c>
      <c r="IO23" s="487"/>
      <c r="IP23" s="488">
        <f t="shared" si="81"/>
        <v>0</v>
      </c>
      <c r="IQ23" s="489">
        <f t="shared" si="192"/>
        <v>0</v>
      </c>
      <c r="IR23" s="487"/>
      <c r="IS23" s="488">
        <f t="shared" si="82"/>
        <v>0</v>
      </c>
      <c r="IT23" s="489">
        <f t="shared" si="193"/>
        <v>0</v>
      </c>
      <c r="IU23" s="487"/>
      <c r="IV23" s="488">
        <f t="shared" si="83"/>
        <v>0</v>
      </c>
      <c r="IW23" s="489">
        <f t="shared" si="194"/>
        <v>0</v>
      </c>
      <c r="IX23" s="487"/>
      <c r="IY23" s="488">
        <f t="shared" si="84"/>
        <v>0</v>
      </c>
      <c r="IZ23" s="489">
        <f t="shared" si="195"/>
        <v>0</v>
      </c>
      <c r="JA23" s="487"/>
      <c r="JB23" s="488">
        <f t="shared" si="85"/>
        <v>0</v>
      </c>
      <c r="JC23" s="489">
        <f t="shared" si="196"/>
        <v>0</v>
      </c>
      <c r="JD23" s="487"/>
      <c r="JE23" s="488">
        <f t="shared" si="86"/>
        <v>0</v>
      </c>
      <c r="JF23" s="489">
        <f t="shared" si="197"/>
        <v>0</v>
      </c>
      <c r="JG23" s="487"/>
      <c r="JH23" s="488">
        <f t="shared" si="87"/>
        <v>0</v>
      </c>
      <c r="JI23" s="489">
        <f t="shared" si="198"/>
        <v>0</v>
      </c>
      <c r="JJ23" s="487"/>
      <c r="JK23" s="489" t="str">
        <f t="shared" si="88"/>
        <v>0</v>
      </c>
      <c r="JL23" s="489" t="str">
        <f t="shared" si="89"/>
        <v>0</v>
      </c>
      <c r="JM23" s="487"/>
      <c r="JN23" s="489" t="str">
        <f t="shared" si="90"/>
        <v>0</v>
      </c>
      <c r="JO23" s="489" t="str">
        <f t="shared" si="91"/>
        <v>0</v>
      </c>
      <c r="JP23" s="487"/>
      <c r="JQ23" s="489" t="str">
        <f t="shared" si="92"/>
        <v>0</v>
      </c>
      <c r="JR23" s="489" t="str">
        <f t="shared" si="93"/>
        <v>0</v>
      </c>
      <c r="JS23" s="487"/>
      <c r="JT23" s="489" t="str">
        <f t="shared" si="94"/>
        <v>0</v>
      </c>
      <c r="JU23" s="489" t="str">
        <f t="shared" si="95"/>
        <v>0</v>
      </c>
      <c r="JV23" s="487"/>
      <c r="JW23" s="489" t="str">
        <f t="shared" si="96"/>
        <v>0</v>
      </c>
      <c r="JX23" s="489" t="str">
        <f t="shared" si="97"/>
        <v>0</v>
      </c>
      <c r="JY23" s="487"/>
      <c r="JZ23" s="489" t="str">
        <f t="shared" si="98"/>
        <v>0</v>
      </c>
      <c r="KA23" s="489" t="str">
        <f t="shared" si="99"/>
        <v>0</v>
      </c>
      <c r="KB23" s="487"/>
      <c r="KC23" s="489" t="str">
        <f t="shared" si="100"/>
        <v>0</v>
      </c>
      <c r="KD23" s="489" t="str">
        <f t="shared" si="101"/>
        <v>0</v>
      </c>
      <c r="KE23" s="487"/>
      <c r="KF23" s="489" t="str">
        <f t="shared" si="102"/>
        <v>0</v>
      </c>
      <c r="KG23" s="489" t="str">
        <f t="shared" si="103"/>
        <v>0</v>
      </c>
      <c r="KH23" s="487"/>
      <c r="KI23" s="489" t="str">
        <f t="shared" si="104"/>
        <v>0</v>
      </c>
      <c r="KJ23" s="489" t="str">
        <f t="shared" si="105"/>
        <v>0</v>
      </c>
      <c r="KK23" s="487"/>
      <c r="KL23" s="489" t="str">
        <f t="shared" si="106"/>
        <v>0</v>
      </c>
      <c r="KM23" s="489" t="str">
        <f t="shared" si="107"/>
        <v>0</v>
      </c>
      <c r="KN23" s="487"/>
      <c r="KO23" s="489" t="str">
        <f t="shared" si="108"/>
        <v>0</v>
      </c>
      <c r="KP23" s="489" t="str">
        <f t="shared" si="109"/>
        <v>0</v>
      </c>
      <c r="KQ23" s="487"/>
      <c r="KR23" s="489" t="str">
        <f t="shared" si="110"/>
        <v>0</v>
      </c>
      <c r="KS23" s="489" t="str">
        <f t="shared" si="111"/>
        <v>0</v>
      </c>
      <c r="KT23" s="489">
        <f t="shared" si="201"/>
        <v>0</v>
      </c>
      <c r="KU23" s="489">
        <f t="shared" si="202"/>
        <v>0</v>
      </c>
      <c r="KV23" s="259">
        <f t="shared" si="199"/>
        <v>280.45217567746658</v>
      </c>
    </row>
    <row r="24" spans="1:308" ht="15" customHeight="1">
      <c r="A24" s="261">
        <f t="shared" si="200"/>
        <v>46127</v>
      </c>
      <c r="B24" s="262" t="str">
        <f>+Report1!B23</f>
        <v>Toilet</v>
      </c>
      <c r="C24" s="382" t="str">
        <f>+Report1!C23</f>
        <v>18/16</v>
      </c>
      <c r="D24" s="263">
        <f>+Report1!P23</f>
        <v>55.435000000000002</v>
      </c>
      <c r="E24" s="264">
        <f>+Report1!R23</f>
        <v>50.665999999999997</v>
      </c>
      <c r="F24" s="487"/>
      <c r="G24" s="488">
        <f t="shared" si="0"/>
        <v>0</v>
      </c>
      <c r="H24" s="489">
        <f t="shared" si="112"/>
        <v>0</v>
      </c>
      <c r="I24" s="487">
        <v>162.79069767441865</v>
      </c>
      <c r="J24" s="488">
        <f t="shared" si="1"/>
        <v>3.2130165727394835</v>
      </c>
      <c r="K24" s="489">
        <f t="shared" si="113"/>
        <v>0</v>
      </c>
      <c r="L24" s="487"/>
      <c r="M24" s="488">
        <f t="shared" si="2"/>
        <v>0</v>
      </c>
      <c r="N24" s="489">
        <f t="shared" si="114"/>
        <v>0</v>
      </c>
      <c r="O24" s="487">
        <v>15.000000000000028</v>
      </c>
      <c r="P24" s="488">
        <f t="shared" si="3"/>
        <v>0.29605652705956714</v>
      </c>
      <c r="Q24" s="489">
        <f t="shared" si="115"/>
        <v>0</v>
      </c>
      <c r="R24" s="487">
        <v>7.6875</v>
      </c>
      <c r="S24" s="488">
        <f t="shared" si="4"/>
        <v>0.15172897011802788</v>
      </c>
      <c r="T24" s="489">
        <f t="shared" si="116"/>
        <v>0</v>
      </c>
      <c r="U24" s="487">
        <v>6.2499999999999716</v>
      </c>
      <c r="V24" s="488">
        <f t="shared" si="5"/>
        <v>0.12335688627481885</v>
      </c>
      <c r="W24" s="489">
        <f t="shared" si="117"/>
        <v>0</v>
      </c>
      <c r="X24" s="487"/>
      <c r="Y24" s="488">
        <f t="shared" si="6"/>
        <v>0</v>
      </c>
      <c r="Z24" s="489">
        <f t="shared" si="118"/>
        <v>0</v>
      </c>
      <c r="AA24" s="487"/>
      <c r="AB24" s="488">
        <f t="shared" si="7"/>
        <v>0</v>
      </c>
      <c r="AC24" s="489">
        <f t="shared" si="119"/>
        <v>0</v>
      </c>
      <c r="AD24" s="487"/>
      <c r="AE24" s="488">
        <f t="shared" si="8"/>
        <v>0</v>
      </c>
      <c r="AF24" s="489">
        <f t="shared" si="120"/>
        <v>0</v>
      </c>
      <c r="AG24" s="487"/>
      <c r="AH24" s="488">
        <f t="shared" si="9"/>
        <v>0</v>
      </c>
      <c r="AI24" s="489">
        <f t="shared" si="121"/>
        <v>0</v>
      </c>
      <c r="AJ24" s="487"/>
      <c r="AK24" s="488">
        <f t="shared" si="10"/>
        <v>0</v>
      </c>
      <c r="AL24" s="489">
        <f t="shared" si="122"/>
        <v>0</v>
      </c>
      <c r="AM24" s="487">
        <v>34.615384615384642</v>
      </c>
      <c r="AN24" s="488">
        <f t="shared" si="11"/>
        <v>0.68320737013746191</v>
      </c>
      <c r="AO24" s="489">
        <f t="shared" si="123"/>
        <v>0</v>
      </c>
      <c r="AP24" s="487"/>
      <c r="AQ24" s="488">
        <f t="shared" si="12"/>
        <v>0</v>
      </c>
      <c r="AR24" s="489">
        <f t="shared" si="124"/>
        <v>0</v>
      </c>
      <c r="AS24" s="487"/>
      <c r="AT24" s="488">
        <f t="shared" si="13"/>
        <v>0</v>
      </c>
      <c r="AU24" s="489">
        <f t="shared" si="125"/>
        <v>0</v>
      </c>
      <c r="AV24" s="487">
        <v>0</v>
      </c>
      <c r="AW24" s="488">
        <f t="shared" si="14"/>
        <v>0</v>
      </c>
      <c r="AX24" s="489">
        <f t="shared" si="126"/>
        <v>0</v>
      </c>
      <c r="AY24" s="487">
        <v>32.666666666666629</v>
      </c>
      <c r="AZ24" s="488">
        <f t="shared" si="15"/>
        <v>0.64474532559638875</v>
      </c>
      <c r="BA24" s="489">
        <f t="shared" si="127"/>
        <v>0</v>
      </c>
      <c r="BB24" s="487"/>
      <c r="BC24" s="488">
        <f t="shared" si="16"/>
        <v>0</v>
      </c>
      <c r="BD24" s="489">
        <f t="shared" si="128"/>
        <v>0</v>
      </c>
      <c r="BE24" s="487"/>
      <c r="BF24" s="488">
        <f t="shared" si="17"/>
        <v>0</v>
      </c>
      <c r="BG24" s="489">
        <f t="shared" si="129"/>
        <v>0</v>
      </c>
      <c r="BH24" s="487"/>
      <c r="BI24" s="488">
        <f t="shared" si="18"/>
        <v>0</v>
      </c>
      <c r="BJ24" s="489">
        <f t="shared" si="130"/>
        <v>0</v>
      </c>
      <c r="BK24" s="487"/>
      <c r="BL24" s="488">
        <f t="shared" si="19"/>
        <v>0</v>
      </c>
      <c r="BM24" s="489">
        <f t="shared" si="131"/>
        <v>0</v>
      </c>
      <c r="BN24" s="487">
        <v>25.308641975308717</v>
      </c>
      <c r="BO24" s="488">
        <f t="shared" si="20"/>
        <v>0.49951924318692453</v>
      </c>
      <c r="BP24" s="489">
        <f t="shared" si="132"/>
        <v>0</v>
      </c>
      <c r="BQ24" s="487"/>
      <c r="BR24" s="488">
        <f t="shared" si="21"/>
        <v>0</v>
      </c>
      <c r="BS24" s="489">
        <f t="shared" si="133"/>
        <v>0</v>
      </c>
      <c r="BT24" s="487"/>
      <c r="BU24" s="488">
        <f t="shared" si="22"/>
        <v>0</v>
      </c>
      <c r="BV24" s="489">
        <f t="shared" si="134"/>
        <v>0</v>
      </c>
      <c r="BW24" s="487"/>
      <c r="BX24" s="488">
        <f t="shared" si="23"/>
        <v>0</v>
      </c>
      <c r="BY24" s="489">
        <f t="shared" si="135"/>
        <v>0</v>
      </c>
      <c r="BZ24" s="487"/>
      <c r="CA24" s="488">
        <f t="shared" si="24"/>
        <v>0</v>
      </c>
      <c r="CB24" s="489">
        <f t="shared" si="136"/>
        <v>0</v>
      </c>
      <c r="CC24" s="487">
        <v>10</v>
      </c>
      <c r="CD24" s="488">
        <f t="shared" si="25"/>
        <v>0.19737101803971105</v>
      </c>
      <c r="CE24" s="489">
        <f t="shared" si="137"/>
        <v>0</v>
      </c>
      <c r="CF24" s="487">
        <v>8</v>
      </c>
      <c r="CG24" s="488">
        <f t="shared" si="26"/>
        <v>0.15789681443176884</v>
      </c>
      <c r="CH24" s="489">
        <f t="shared" si="138"/>
        <v>0</v>
      </c>
      <c r="CI24" s="487"/>
      <c r="CJ24" s="488">
        <f t="shared" si="27"/>
        <v>0</v>
      </c>
      <c r="CK24" s="489">
        <f t="shared" si="139"/>
        <v>0</v>
      </c>
      <c r="CL24" s="487"/>
      <c r="CM24" s="488">
        <f t="shared" si="28"/>
        <v>0</v>
      </c>
      <c r="CN24" s="489">
        <f t="shared" si="140"/>
        <v>0</v>
      </c>
      <c r="CO24" s="487"/>
      <c r="CP24" s="488">
        <f t="shared" si="29"/>
        <v>0</v>
      </c>
      <c r="CQ24" s="489">
        <f t="shared" si="141"/>
        <v>0</v>
      </c>
      <c r="CR24" s="487"/>
      <c r="CS24" s="488">
        <f t="shared" si="30"/>
        <v>0</v>
      </c>
      <c r="CT24" s="489">
        <f t="shared" si="142"/>
        <v>0</v>
      </c>
      <c r="CU24" s="487"/>
      <c r="CV24" s="488">
        <f t="shared" si="31"/>
        <v>0</v>
      </c>
      <c r="CW24" s="489">
        <f t="shared" si="143"/>
        <v>0</v>
      </c>
      <c r="CX24" s="487"/>
      <c r="CY24" s="488">
        <f t="shared" si="32"/>
        <v>0</v>
      </c>
      <c r="CZ24" s="489">
        <f t="shared" si="144"/>
        <v>0</v>
      </c>
      <c r="DA24" s="487"/>
      <c r="DB24" s="488">
        <f t="shared" si="33"/>
        <v>0</v>
      </c>
      <c r="DC24" s="489">
        <f t="shared" si="145"/>
        <v>0</v>
      </c>
      <c r="DD24" s="487"/>
      <c r="DE24" s="488">
        <f t="shared" si="34"/>
        <v>0</v>
      </c>
      <c r="DF24" s="489">
        <f t="shared" si="146"/>
        <v>0</v>
      </c>
      <c r="DG24" s="487"/>
      <c r="DH24" s="488">
        <f t="shared" si="35"/>
        <v>0</v>
      </c>
      <c r="DI24" s="489">
        <f t="shared" si="203"/>
        <v>0</v>
      </c>
      <c r="DJ24" s="487"/>
      <c r="DK24" s="488">
        <f t="shared" si="36"/>
        <v>0</v>
      </c>
      <c r="DL24" s="489">
        <f t="shared" si="147"/>
        <v>0</v>
      </c>
      <c r="DM24" s="487"/>
      <c r="DN24" s="488">
        <f t="shared" si="37"/>
        <v>0</v>
      </c>
      <c r="DO24" s="489">
        <f t="shared" si="148"/>
        <v>0</v>
      </c>
      <c r="DP24" s="487"/>
      <c r="DQ24" s="488">
        <f t="shared" si="38"/>
        <v>0</v>
      </c>
      <c r="DR24" s="489">
        <f t="shared" si="149"/>
        <v>0</v>
      </c>
      <c r="DS24" s="487"/>
      <c r="DT24" s="488">
        <f t="shared" si="39"/>
        <v>0</v>
      </c>
      <c r="DU24" s="489">
        <f t="shared" si="150"/>
        <v>0</v>
      </c>
      <c r="DV24" s="487"/>
      <c r="DW24" s="488">
        <f t="shared" si="40"/>
        <v>0</v>
      </c>
      <c r="DX24" s="489">
        <f t="shared" si="151"/>
        <v>0</v>
      </c>
      <c r="DY24" s="487">
        <v>0</v>
      </c>
      <c r="DZ24" s="488">
        <f t="shared" si="41"/>
        <v>0</v>
      </c>
      <c r="EA24" s="489">
        <f t="shared" si="152"/>
        <v>0</v>
      </c>
      <c r="EB24" s="487">
        <v>21.80232558139528</v>
      </c>
      <c r="EC24" s="488">
        <f t="shared" si="42"/>
        <v>0.43031471956332218</v>
      </c>
      <c r="ED24" s="489">
        <f t="shared" si="153"/>
        <v>0</v>
      </c>
      <c r="EE24" s="487">
        <v>6</v>
      </c>
      <c r="EF24" s="488">
        <f t="shared" si="43"/>
        <v>0.11842261082382664</v>
      </c>
      <c r="EG24" s="489">
        <f t="shared" si="154"/>
        <v>0</v>
      </c>
      <c r="EH24" s="487"/>
      <c r="EI24" s="488">
        <f t="shared" si="44"/>
        <v>0</v>
      </c>
      <c r="EJ24" s="489">
        <f t="shared" si="155"/>
        <v>0</v>
      </c>
      <c r="EK24" s="487"/>
      <c r="EL24" s="488">
        <f t="shared" si="45"/>
        <v>0</v>
      </c>
      <c r="EM24" s="489">
        <f t="shared" si="156"/>
        <v>0</v>
      </c>
      <c r="EN24" s="487"/>
      <c r="EO24" s="488">
        <f t="shared" si="46"/>
        <v>0</v>
      </c>
      <c r="EP24" s="489">
        <f t="shared" si="157"/>
        <v>0</v>
      </c>
      <c r="EQ24" s="487"/>
      <c r="ER24" s="488">
        <f t="shared" si="47"/>
        <v>0</v>
      </c>
      <c r="ES24" s="489">
        <f t="shared" si="158"/>
        <v>0</v>
      </c>
      <c r="ET24" s="487"/>
      <c r="EU24" s="488">
        <f t="shared" si="48"/>
        <v>0</v>
      </c>
      <c r="EV24" s="489">
        <f t="shared" si="159"/>
        <v>0</v>
      </c>
      <c r="EW24" s="487"/>
      <c r="EX24" s="488">
        <f t="shared" si="49"/>
        <v>0</v>
      </c>
      <c r="EY24" s="489">
        <f t="shared" si="160"/>
        <v>0</v>
      </c>
      <c r="EZ24" s="487"/>
      <c r="FA24" s="488">
        <f t="shared" si="50"/>
        <v>0</v>
      </c>
      <c r="FB24" s="489">
        <f t="shared" si="161"/>
        <v>0</v>
      </c>
      <c r="FC24" s="487"/>
      <c r="FD24" s="488">
        <f t="shared" si="51"/>
        <v>0</v>
      </c>
      <c r="FE24" s="489">
        <f t="shared" si="162"/>
        <v>0</v>
      </c>
      <c r="FF24" s="487"/>
      <c r="FG24" s="488">
        <f t="shared" si="52"/>
        <v>0</v>
      </c>
      <c r="FH24" s="489">
        <f t="shared" si="163"/>
        <v>0</v>
      </c>
      <c r="FI24" s="487"/>
      <c r="FJ24" s="488">
        <f t="shared" si="53"/>
        <v>0</v>
      </c>
      <c r="FK24" s="489">
        <f t="shared" si="164"/>
        <v>0</v>
      </c>
      <c r="FL24" s="487"/>
      <c r="FM24" s="488">
        <f t="shared" si="54"/>
        <v>0</v>
      </c>
      <c r="FN24" s="489">
        <f t="shared" si="165"/>
        <v>0</v>
      </c>
      <c r="FO24" s="487"/>
      <c r="FP24" s="488">
        <f t="shared" si="55"/>
        <v>0</v>
      </c>
      <c r="FQ24" s="489">
        <f t="shared" si="166"/>
        <v>0</v>
      </c>
      <c r="FR24" s="487"/>
      <c r="FS24" s="488">
        <f t="shared" si="56"/>
        <v>0</v>
      </c>
      <c r="FT24" s="489">
        <f t="shared" si="167"/>
        <v>0</v>
      </c>
      <c r="FU24" s="487"/>
      <c r="FV24" s="488">
        <f t="shared" si="57"/>
        <v>0</v>
      </c>
      <c r="FW24" s="489">
        <f t="shared" si="168"/>
        <v>0</v>
      </c>
      <c r="FX24" s="487"/>
      <c r="FY24" s="488">
        <f t="shared" si="58"/>
        <v>0</v>
      </c>
      <c r="FZ24" s="489">
        <f t="shared" si="169"/>
        <v>0</v>
      </c>
      <c r="GA24" s="487"/>
      <c r="GB24" s="488">
        <f t="shared" si="59"/>
        <v>0</v>
      </c>
      <c r="GC24" s="489">
        <f t="shared" si="170"/>
        <v>0</v>
      </c>
      <c r="GD24" s="487"/>
      <c r="GE24" s="488">
        <f t="shared" si="60"/>
        <v>0</v>
      </c>
      <c r="GF24" s="489">
        <f t="shared" si="171"/>
        <v>0</v>
      </c>
      <c r="GG24" s="487"/>
      <c r="GH24" s="488">
        <f t="shared" si="61"/>
        <v>0</v>
      </c>
      <c r="GI24" s="489">
        <f t="shared" si="172"/>
        <v>0</v>
      </c>
      <c r="GJ24" s="487"/>
      <c r="GK24" s="488">
        <f t="shared" si="62"/>
        <v>0</v>
      </c>
      <c r="GL24" s="489">
        <f t="shared" si="173"/>
        <v>0</v>
      </c>
      <c r="GM24" s="487"/>
      <c r="GN24" s="488">
        <f t="shared" si="63"/>
        <v>0</v>
      </c>
      <c r="GO24" s="489">
        <f t="shared" si="174"/>
        <v>0</v>
      </c>
      <c r="GP24" s="487"/>
      <c r="GQ24" s="488">
        <f t="shared" si="64"/>
        <v>0</v>
      </c>
      <c r="GR24" s="489">
        <f t="shared" si="175"/>
        <v>0</v>
      </c>
      <c r="GS24" s="487"/>
      <c r="GT24" s="488">
        <f t="shared" si="65"/>
        <v>0</v>
      </c>
      <c r="GU24" s="489">
        <f t="shared" si="176"/>
        <v>0</v>
      </c>
      <c r="GV24" s="487"/>
      <c r="GW24" s="488">
        <f t="shared" si="66"/>
        <v>0</v>
      </c>
      <c r="GX24" s="489">
        <f t="shared" si="177"/>
        <v>0</v>
      </c>
      <c r="GY24" s="487"/>
      <c r="GZ24" s="488">
        <f t="shared" si="67"/>
        <v>0</v>
      </c>
      <c r="HA24" s="489">
        <f t="shared" si="178"/>
        <v>0</v>
      </c>
      <c r="HB24" s="487"/>
      <c r="HC24" s="488">
        <f t="shared" si="68"/>
        <v>0</v>
      </c>
      <c r="HD24" s="489">
        <f t="shared" si="179"/>
        <v>0</v>
      </c>
      <c r="HE24" s="487"/>
      <c r="HF24" s="488">
        <f t="shared" si="69"/>
        <v>0</v>
      </c>
      <c r="HG24" s="489">
        <f t="shared" si="180"/>
        <v>0</v>
      </c>
      <c r="HH24" s="487"/>
      <c r="HI24" s="488">
        <f t="shared" si="70"/>
        <v>0</v>
      </c>
      <c r="HJ24" s="489">
        <f t="shared" si="181"/>
        <v>0</v>
      </c>
      <c r="HK24" s="487"/>
      <c r="HL24" s="488">
        <f t="shared" si="71"/>
        <v>0</v>
      </c>
      <c r="HM24" s="489">
        <f t="shared" si="182"/>
        <v>0</v>
      </c>
      <c r="HN24" s="487"/>
      <c r="HO24" s="488">
        <f t="shared" si="72"/>
        <v>0</v>
      </c>
      <c r="HP24" s="489">
        <f t="shared" si="183"/>
        <v>0</v>
      </c>
      <c r="HQ24" s="487"/>
      <c r="HR24" s="488">
        <f t="shared" si="73"/>
        <v>0</v>
      </c>
      <c r="HS24" s="489">
        <f t="shared" si="184"/>
        <v>0</v>
      </c>
      <c r="HT24" s="487"/>
      <c r="HU24" s="488">
        <f t="shared" si="74"/>
        <v>0</v>
      </c>
      <c r="HV24" s="489">
        <f t="shared" si="185"/>
        <v>0</v>
      </c>
      <c r="HW24" s="487"/>
      <c r="HX24" s="488">
        <f t="shared" si="75"/>
        <v>0</v>
      </c>
      <c r="HY24" s="489">
        <f t="shared" si="186"/>
        <v>0</v>
      </c>
      <c r="HZ24" s="487"/>
      <c r="IA24" s="488">
        <f t="shared" si="76"/>
        <v>0</v>
      </c>
      <c r="IB24" s="489">
        <f t="shared" si="187"/>
        <v>0</v>
      </c>
      <c r="IC24" s="487"/>
      <c r="ID24" s="488">
        <f t="shared" si="77"/>
        <v>0</v>
      </c>
      <c r="IE24" s="489">
        <f t="shared" si="188"/>
        <v>0</v>
      </c>
      <c r="IF24" s="487"/>
      <c r="IG24" s="488">
        <f t="shared" si="78"/>
        <v>0</v>
      </c>
      <c r="IH24" s="489">
        <f t="shared" si="189"/>
        <v>0</v>
      </c>
      <c r="II24" s="487"/>
      <c r="IJ24" s="488">
        <f t="shared" si="79"/>
        <v>0</v>
      </c>
      <c r="IK24" s="489">
        <f t="shared" si="190"/>
        <v>0</v>
      </c>
      <c r="IL24" s="487"/>
      <c r="IM24" s="488">
        <f t="shared" si="80"/>
        <v>0</v>
      </c>
      <c r="IN24" s="489">
        <f t="shared" si="191"/>
        <v>0</v>
      </c>
      <c r="IO24" s="487"/>
      <c r="IP24" s="488">
        <f t="shared" si="81"/>
        <v>0</v>
      </c>
      <c r="IQ24" s="489">
        <f t="shared" si="192"/>
        <v>0</v>
      </c>
      <c r="IR24" s="487"/>
      <c r="IS24" s="488">
        <f t="shared" si="82"/>
        <v>0</v>
      </c>
      <c r="IT24" s="489">
        <f t="shared" si="193"/>
        <v>0</v>
      </c>
      <c r="IU24" s="487"/>
      <c r="IV24" s="488">
        <f t="shared" si="83"/>
        <v>0</v>
      </c>
      <c r="IW24" s="489">
        <f t="shared" si="194"/>
        <v>0</v>
      </c>
      <c r="IX24" s="487"/>
      <c r="IY24" s="488">
        <f t="shared" si="84"/>
        <v>0</v>
      </c>
      <c r="IZ24" s="489">
        <f t="shared" si="195"/>
        <v>0</v>
      </c>
      <c r="JA24" s="487"/>
      <c r="JB24" s="488">
        <f t="shared" si="85"/>
        <v>0</v>
      </c>
      <c r="JC24" s="489">
        <f t="shared" si="196"/>
        <v>0</v>
      </c>
      <c r="JD24" s="487"/>
      <c r="JE24" s="488">
        <f t="shared" si="86"/>
        <v>0</v>
      </c>
      <c r="JF24" s="489">
        <f t="shared" si="197"/>
        <v>0</v>
      </c>
      <c r="JG24" s="487"/>
      <c r="JH24" s="488">
        <f t="shared" si="87"/>
        <v>0</v>
      </c>
      <c r="JI24" s="489">
        <f t="shared" si="198"/>
        <v>0</v>
      </c>
      <c r="JJ24" s="487"/>
      <c r="JK24" s="489" t="str">
        <f t="shared" si="88"/>
        <v>0</v>
      </c>
      <c r="JL24" s="489" t="str">
        <f t="shared" si="89"/>
        <v>0</v>
      </c>
      <c r="JM24" s="487"/>
      <c r="JN24" s="489" t="str">
        <f t="shared" si="90"/>
        <v>0</v>
      </c>
      <c r="JO24" s="489" t="str">
        <f t="shared" si="91"/>
        <v>0</v>
      </c>
      <c r="JP24" s="487"/>
      <c r="JQ24" s="489" t="str">
        <f t="shared" si="92"/>
        <v>0</v>
      </c>
      <c r="JR24" s="489" t="str">
        <f t="shared" si="93"/>
        <v>0</v>
      </c>
      <c r="JS24" s="487"/>
      <c r="JT24" s="489" t="str">
        <f t="shared" si="94"/>
        <v>0</v>
      </c>
      <c r="JU24" s="489" t="str">
        <f t="shared" si="95"/>
        <v>0</v>
      </c>
      <c r="JV24" s="487"/>
      <c r="JW24" s="489" t="str">
        <f t="shared" si="96"/>
        <v>0</v>
      </c>
      <c r="JX24" s="489" t="str">
        <f t="shared" si="97"/>
        <v>0</v>
      </c>
      <c r="JY24" s="487"/>
      <c r="JZ24" s="489" t="str">
        <f t="shared" si="98"/>
        <v>0</v>
      </c>
      <c r="KA24" s="489" t="str">
        <f t="shared" si="99"/>
        <v>0</v>
      </c>
      <c r="KB24" s="487"/>
      <c r="KC24" s="489" t="str">
        <f t="shared" si="100"/>
        <v>0</v>
      </c>
      <c r="KD24" s="489" t="str">
        <f t="shared" si="101"/>
        <v>0</v>
      </c>
      <c r="KE24" s="487"/>
      <c r="KF24" s="489" t="str">
        <f t="shared" si="102"/>
        <v>0</v>
      </c>
      <c r="KG24" s="489" t="str">
        <f t="shared" si="103"/>
        <v>0</v>
      </c>
      <c r="KH24" s="487"/>
      <c r="KI24" s="489" t="str">
        <f t="shared" si="104"/>
        <v>0</v>
      </c>
      <c r="KJ24" s="489" t="str">
        <f t="shared" si="105"/>
        <v>0</v>
      </c>
      <c r="KK24" s="487"/>
      <c r="KL24" s="489" t="str">
        <f t="shared" si="106"/>
        <v>0</v>
      </c>
      <c r="KM24" s="489" t="str">
        <f t="shared" si="107"/>
        <v>0</v>
      </c>
      <c r="KN24" s="487"/>
      <c r="KO24" s="489" t="str">
        <f t="shared" si="108"/>
        <v>0</v>
      </c>
      <c r="KP24" s="489" t="str">
        <f t="shared" si="109"/>
        <v>0</v>
      </c>
      <c r="KQ24" s="487"/>
      <c r="KR24" s="489" t="str">
        <f t="shared" si="110"/>
        <v>0</v>
      </c>
      <c r="KS24" s="489" t="str">
        <f t="shared" si="111"/>
        <v>0</v>
      </c>
      <c r="KT24" s="489">
        <f t="shared" si="201"/>
        <v>0</v>
      </c>
      <c r="KU24" s="489">
        <f t="shared" si="202"/>
        <v>0</v>
      </c>
      <c r="KV24" s="259">
        <f t="shared" si="199"/>
        <v>330.12121651317392</v>
      </c>
    </row>
    <row r="25" spans="1:308" ht="15" customHeight="1">
      <c r="A25" s="261">
        <f t="shared" si="200"/>
        <v>46128</v>
      </c>
      <c r="B25" s="262" t="str">
        <f>+Report1!B24</f>
        <v>Toilet/Facial</v>
      </c>
      <c r="C25" s="382" t="str">
        <f>+Report1!C24</f>
        <v>16/15/13</v>
      </c>
      <c r="D25" s="263">
        <f>+Report1!P24</f>
        <v>49.198999999999998</v>
      </c>
      <c r="E25" s="264">
        <f>+Report1!R24</f>
        <v>40.222000000000001</v>
      </c>
      <c r="F25" s="487"/>
      <c r="G25" s="488">
        <f t="shared" si="0"/>
        <v>0</v>
      </c>
      <c r="H25" s="489">
        <f t="shared" si="112"/>
        <v>0</v>
      </c>
      <c r="I25" s="487">
        <v>232.55813953488359</v>
      </c>
      <c r="J25" s="488">
        <f t="shared" si="1"/>
        <v>5.7818641423818704</v>
      </c>
      <c r="K25" s="489">
        <f t="shared" si="113"/>
        <v>0</v>
      </c>
      <c r="L25" s="487"/>
      <c r="M25" s="488">
        <f t="shared" si="2"/>
        <v>0</v>
      </c>
      <c r="N25" s="489">
        <f t="shared" si="114"/>
        <v>0</v>
      </c>
      <c r="O25" s="487">
        <v>14.999999999999972</v>
      </c>
      <c r="P25" s="488">
        <f t="shared" si="3"/>
        <v>0.37293023718363011</v>
      </c>
      <c r="Q25" s="489">
        <f t="shared" si="115"/>
        <v>0</v>
      </c>
      <c r="R25" s="487">
        <v>7.6875</v>
      </c>
      <c r="S25" s="488">
        <f t="shared" si="4"/>
        <v>0.1911267465566108</v>
      </c>
      <c r="T25" s="489">
        <f t="shared" si="116"/>
        <v>0</v>
      </c>
      <c r="U25" s="487">
        <v>7.8125000000000284</v>
      </c>
      <c r="V25" s="488">
        <f t="shared" si="5"/>
        <v>0.19423449853314176</v>
      </c>
      <c r="W25" s="489">
        <f t="shared" si="117"/>
        <v>0</v>
      </c>
      <c r="X25" s="487"/>
      <c r="Y25" s="488">
        <f t="shared" si="6"/>
        <v>0</v>
      </c>
      <c r="Z25" s="489">
        <f t="shared" si="118"/>
        <v>0</v>
      </c>
      <c r="AA25" s="487"/>
      <c r="AB25" s="488">
        <f t="shared" si="7"/>
        <v>0</v>
      </c>
      <c r="AC25" s="489">
        <f t="shared" si="119"/>
        <v>0</v>
      </c>
      <c r="AD25" s="487"/>
      <c r="AE25" s="488">
        <f t="shared" si="8"/>
        <v>0</v>
      </c>
      <c r="AF25" s="489">
        <f t="shared" si="120"/>
        <v>0</v>
      </c>
      <c r="AG25" s="487"/>
      <c r="AH25" s="488">
        <f t="shared" si="9"/>
        <v>0</v>
      </c>
      <c r="AI25" s="489">
        <f t="shared" si="121"/>
        <v>0</v>
      </c>
      <c r="AJ25" s="487"/>
      <c r="AK25" s="488">
        <f t="shared" si="10"/>
        <v>0</v>
      </c>
      <c r="AL25" s="489">
        <f t="shared" si="122"/>
        <v>0</v>
      </c>
      <c r="AM25" s="487">
        <v>37.5</v>
      </c>
      <c r="AN25" s="488">
        <f t="shared" si="11"/>
        <v>0.93232559295907713</v>
      </c>
      <c r="AO25" s="489">
        <f t="shared" si="123"/>
        <v>0</v>
      </c>
      <c r="AP25" s="487"/>
      <c r="AQ25" s="488">
        <f t="shared" si="12"/>
        <v>0</v>
      </c>
      <c r="AR25" s="489">
        <f t="shared" si="124"/>
        <v>0</v>
      </c>
      <c r="AS25" s="487"/>
      <c r="AT25" s="488">
        <f t="shared" si="13"/>
        <v>0</v>
      </c>
      <c r="AU25" s="489">
        <f t="shared" si="125"/>
        <v>0</v>
      </c>
      <c r="AV25" s="487">
        <v>2.7749999999999773</v>
      </c>
      <c r="AW25" s="488">
        <f t="shared" si="14"/>
        <v>6.8992093878971136E-2</v>
      </c>
      <c r="AX25" s="489">
        <f t="shared" si="126"/>
        <v>0</v>
      </c>
      <c r="AY25" s="487">
        <v>51.333333333333371</v>
      </c>
      <c r="AZ25" s="488">
        <f t="shared" si="15"/>
        <v>1.2762501450284265</v>
      </c>
      <c r="BA25" s="489">
        <f t="shared" si="127"/>
        <v>0</v>
      </c>
      <c r="BB25" s="487"/>
      <c r="BC25" s="488">
        <f t="shared" si="16"/>
        <v>0</v>
      </c>
      <c r="BD25" s="489">
        <f t="shared" si="128"/>
        <v>0</v>
      </c>
      <c r="BE25" s="487"/>
      <c r="BF25" s="488">
        <f t="shared" si="17"/>
        <v>0</v>
      </c>
      <c r="BG25" s="489">
        <f t="shared" si="129"/>
        <v>0</v>
      </c>
      <c r="BH25" s="487"/>
      <c r="BI25" s="488">
        <f t="shared" si="18"/>
        <v>0</v>
      </c>
      <c r="BJ25" s="489">
        <f t="shared" si="130"/>
        <v>0</v>
      </c>
      <c r="BK25" s="487"/>
      <c r="BL25" s="488">
        <f t="shared" si="19"/>
        <v>0</v>
      </c>
      <c r="BM25" s="489">
        <f t="shared" si="131"/>
        <v>0</v>
      </c>
      <c r="BN25" s="487">
        <v>25.308641975308603</v>
      </c>
      <c r="BO25" s="488">
        <f t="shared" si="20"/>
        <v>0.62922385697649552</v>
      </c>
      <c r="BP25" s="489">
        <f t="shared" si="132"/>
        <v>0</v>
      </c>
      <c r="BQ25" s="487"/>
      <c r="BR25" s="488">
        <f t="shared" si="21"/>
        <v>0</v>
      </c>
      <c r="BS25" s="489">
        <f t="shared" si="133"/>
        <v>0</v>
      </c>
      <c r="BT25" s="487"/>
      <c r="BU25" s="488">
        <f t="shared" si="22"/>
        <v>0</v>
      </c>
      <c r="BV25" s="489">
        <f t="shared" si="134"/>
        <v>0</v>
      </c>
      <c r="BW25" s="487"/>
      <c r="BX25" s="488">
        <f t="shared" si="23"/>
        <v>0</v>
      </c>
      <c r="BY25" s="489">
        <f t="shared" si="135"/>
        <v>0</v>
      </c>
      <c r="BZ25" s="487"/>
      <c r="CA25" s="488">
        <f t="shared" si="24"/>
        <v>0</v>
      </c>
      <c r="CB25" s="489">
        <f t="shared" si="136"/>
        <v>0</v>
      </c>
      <c r="CC25" s="487">
        <v>5</v>
      </c>
      <c r="CD25" s="488">
        <f t="shared" si="25"/>
        <v>0.12431007906121028</v>
      </c>
      <c r="CE25" s="489">
        <f t="shared" si="137"/>
        <v>0</v>
      </c>
      <c r="CF25" s="487">
        <v>8</v>
      </c>
      <c r="CG25" s="488">
        <f t="shared" si="26"/>
        <v>0.19889612649793645</v>
      </c>
      <c r="CH25" s="489">
        <f t="shared" si="138"/>
        <v>0</v>
      </c>
      <c r="CI25" s="487"/>
      <c r="CJ25" s="488">
        <f t="shared" si="27"/>
        <v>0</v>
      </c>
      <c r="CK25" s="489">
        <f t="shared" si="139"/>
        <v>0</v>
      </c>
      <c r="CL25" s="487"/>
      <c r="CM25" s="488">
        <f t="shared" si="28"/>
        <v>0</v>
      </c>
      <c r="CN25" s="489">
        <f t="shared" si="140"/>
        <v>0</v>
      </c>
      <c r="CO25" s="487"/>
      <c r="CP25" s="488">
        <f t="shared" si="29"/>
        <v>0</v>
      </c>
      <c r="CQ25" s="489">
        <f t="shared" si="141"/>
        <v>0</v>
      </c>
      <c r="CR25" s="487"/>
      <c r="CS25" s="488">
        <f t="shared" si="30"/>
        <v>0</v>
      </c>
      <c r="CT25" s="489">
        <f t="shared" si="142"/>
        <v>0</v>
      </c>
      <c r="CU25" s="487"/>
      <c r="CV25" s="488">
        <f t="shared" si="31"/>
        <v>0</v>
      </c>
      <c r="CW25" s="489">
        <f t="shared" si="143"/>
        <v>0</v>
      </c>
      <c r="CX25" s="487"/>
      <c r="CY25" s="488">
        <f t="shared" si="32"/>
        <v>0</v>
      </c>
      <c r="CZ25" s="489">
        <f t="shared" si="144"/>
        <v>0</v>
      </c>
      <c r="DA25" s="487"/>
      <c r="DB25" s="488">
        <f t="shared" si="33"/>
        <v>0</v>
      </c>
      <c r="DC25" s="489">
        <f t="shared" si="145"/>
        <v>0</v>
      </c>
      <c r="DD25" s="487"/>
      <c r="DE25" s="488">
        <f t="shared" si="34"/>
        <v>0</v>
      </c>
      <c r="DF25" s="489">
        <f t="shared" si="146"/>
        <v>0</v>
      </c>
      <c r="DG25" s="487"/>
      <c r="DH25" s="488">
        <f t="shared" si="35"/>
        <v>0</v>
      </c>
      <c r="DI25" s="489">
        <f t="shared" si="203"/>
        <v>0</v>
      </c>
      <c r="DJ25" s="487"/>
      <c r="DK25" s="488">
        <f t="shared" si="36"/>
        <v>0</v>
      </c>
      <c r="DL25" s="489">
        <f t="shared" si="147"/>
        <v>0</v>
      </c>
      <c r="DM25" s="487"/>
      <c r="DN25" s="488">
        <f t="shared" si="37"/>
        <v>0</v>
      </c>
      <c r="DO25" s="489">
        <f t="shared" si="148"/>
        <v>0</v>
      </c>
      <c r="DP25" s="487"/>
      <c r="DQ25" s="488">
        <f t="shared" si="38"/>
        <v>0</v>
      </c>
      <c r="DR25" s="489">
        <f t="shared" si="149"/>
        <v>0</v>
      </c>
      <c r="DS25" s="487"/>
      <c r="DT25" s="488">
        <f t="shared" si="39"/>
        <v>0</v>
      </c>
      <c r="DU25" s="489">
        <f t="shared" si="150"/>
        <v>0</v>
      </c>
      <c r="DV25" s="487"/>
      <c r="DW25" s="488">
        <f t="shared" si="40"/>
        <v>0</v>
      </c>
      <c r="DX25" s="489">
        <f t="shared" si="151"/>
        <v>0</v>
      </c>
      <c r="DY25" s="487">
        <v>0</v>
      </c>
      <c r="DZ25" s="488">
        <f t="shared" si="41"/>
        <v>0</v>
      </c>
      <c r="EA25" s="489">
        <f t="shared" si="152"/>
        <v>0</v>
      </c>
      <c r="EB25" s="487">
        <v>14.534883720930338</v>
      </c>
      <c r="EC25" s="488">
        <f t="shared" si="42"/>
        <v>0.36136650889886973</v>
      </c>
      <c r="ED25" s="489">
        <f t="shared" si="153"/>
        <v>0</v>
      </c>
      <c r="EE25" s="487">
        <v>8</v>
      </c>
      <c r="EF25" s="488">
        <f t="shared" si="43"/>
        <v>0.19889612649793645</v>
      </c>
      <c r="EG25" s="489">
        <f t="shared" si="154"/>
        <v>0</v>
      </c>
      <c r="EH25" s="487"/>
      <c r="EI25" s="488">
        <f t="shared" si="44"/>
        <v>0</v>
      </c>
      <c r="EJ25" s="489">
        <f t="shared" si="155"/>
        <v>0</v>
      </c>
      <c r="EK25" s="487"/>
      <c r="EL25" s="488">
        <f t="shared" si="45"/>
        <v>0</v>
      </c>
      <c r="EM25" s="489">
        <f t="shared" si="156"/>
        <v>0</v>
      </c>
      <c r="EN25" s="487"/>
      <c r="EO25" s="488">
        <f t="shared" si="46"/>
        <v>0</v>
      </c>
      <c r="EP25" s="489">
        <f t="shared" si="157"/>
        <v>0</v>
      </c>
      <c r="EQ25" s="487"/>
      <c r="ER25" s="488">
        <f t="shared" si="47"/>
        <v>0</v>
      </c>
      <c r="ES25" s="489">
        <f t="shared" si="158"/>
        <v>0</v>
      </c>
      <c r="ET25" s="487"/>
      <c r="EU25" s="488">
        <f t="shared" si="48"/>
        <v>0</v>
      </c>
      <c r="EV25" s="489">
        <f t="shared" si="159"/>
        <v>0</v>
      </c>
      <c r="EW25" s="487"/>
      <c r="EX25" s="488">
        <f t="shared" si="49"/>
        <v>0</v>
      </c>
      <c r="EY25" s="489">
        <f t="shared" si="160"/>
        <v>0</v>
      </c>
      <c r="EZ25" s="487"/>
      <c r="FA25" s="488">
        <f t="shared" si="50"/>
        <v>0</v>
      </c>
      <c r="FB25" s="489">
        <f t="shared" si="161"/>
        <v>0</v>
      </c>
      <c r="FC25" s="487"/>
      <c r="FD25" s="488">
        <f t="shared" si="51"/>
        <v>0</v>
      </c>
      <c r="FE25" s="489">
        <f t="shared" si="162"/>
        <v>0</v>
      </c>
      <c r="FF25" s="487"/>
      <c r="FG25" s="488">
        <f t="shared" si="52"/>
        <v>0</v>
      </c>
      <c r="FH25" s="489">
        <f t="shared" si="163"/>
        <v>0</v>
      </c>
      <c r="FI25" s="487"/>
      <c r="FJ25" s="488">
        <f t="shared" si="53"/>
        <v>0</v>
      </c>
      <c r="FK25" s="489">
        <f t="shared" si="164"/>
        <v>0</v>
      </c>
      <c r="FL25" s="487"/>
      <c r="FM25" s="488">
        <f t="shared" si="54"/>
        <v>0</v>
      </c>
      <c r="FN25" s="489">
        <f t="shared" si="165"/>
        <v>0</v>
      </c>
      <c r="FO25" s="487"/>
      <c r="FP25" s="488">
        <f t="shared" si="55"/>
        <v>0</v>
      </c>
      <c r="FQ25" s="489">
        <f t="shared" si="166"/>
        <v>0</v>
      </c>
      <c r="FR25" s="487"/>
      <c r="FS25" s="488">
        <f t="shared" si="56"/>
        <v>0</v>
      </c>
      <c r="FT25" s="489">
        <f t="shared" si="167"/>
        <v>0</v>
      </c>
      <c r="FU25" s="487"/>
      <c r="FV25" s="488">
        <f t="shared" si="57"/>
        <v>0</v>
      </c>
      <c r="FW25" s="489">
        <f t="shared" si="168"/>
        <v>0</v>
      </c>
      <c r="FX25" s="487"/>
      <c r="FY25" s="488">
        <f t="shared" si="58"/>
        <v>0</v>
      </c>
      <c r="FZ25" s="489">
        <f t="shared" si="169"/>
        <v>0</v>
      </c>
      <c r="GA25" s="487"/>
      <c r="GB25" s="488">
        <f t="shared" si="59"/>
        <v>0</v>
      </c>
      <c r="GC25" s="489">
        <f t="shared" si="170"/>
        <v>0</v>
      </c>
      <c r="GD25" s="487"/>
      <c r="GE25" s="488">
        <f t="shared" si="60"/>
        <v>0</v>
      </c>
      <c r="GF25" s="489">
        <f t="shared" si="171"/>
        <v>0</v>
      </c>
      <c r="GG25" s="487"/>
      <c r="GH25" s="488">
        <f t="shared" si="61"/>
        <v>0</v>
      </c>
      <c r="GI25" s="489">
        <f t="shared" si="172"/>
        <v>0</v>
      </c>
      <c r="GJ25" s="487"/>
      <c r="GK25" s="488">
        <f t="shared" si="62"/>
        <v>0</v>
      </c>
      <c r="GL25" s="489">
        <f t="shared" si="173"/>
        <v>0</v>
      </c>
      <c r="GM25" s="487"/>
      <c r="GN25" s="488">
        <f t="shared" si="63"/>
        <v>0</v>
      </c>
      <c r="GO25" s="489">
        <f t="shared" si="174"/>
        <v>0</v>
      </c>
      <c r="GP25" s="487"/>
      <c r="GQ25" s="488">
        <f t="shared" si="64"/>
        <v>0</v>
      </c>
      <c r="GR25" s="489">
        <f t="shared" si="175"/>
        <v>0</v>
      </c>
      <c r="GS25" s="487"/>
      <c r="GT25" s="488">
        <f t="shared" si="65"/>
        <v>0</v>
      </c>
      <c r="GU25" s="489">
        <f t="shared" si="176"/>
        <v>0</v>
      </c>
      <c r="GV25" s="487"/>
      <c r="GW25" s="488">
        <f t="shared" si="66"/>
        <v>0</v>
      </c>
      <c r="GX25" s="489">
        <f t="shared" si="177"/>
        <v>0</v>
      </c>
      <c r="GY25" s="487"/>
      <c r="GZ25" s="488">
        <f t="shared" si="67"/>
        <v>0</v>
      </c>
      <c r="HA25" s="489">
        <f t="shared" si="178"/>
        <v>0</v>
      </c>
      <c r="HB25" s="487"/>
      <c r="HC25" s="488">
        <f t="shared" si="68"/>
        <v>0</v>
      </c>
      <c r="HD25" s="489">
        <f t="shared" si="179"/>
        <v>0</v>
      </c>
      <c r="HE25" s="487"/>
      <c r="HF25" s="488">
        <f t="shared" si="69"/>
        <v>0</v>
      </c>
      <c r="HG25" s="489">
        <f t="shared" si="180"/>
        <v>0</v>
      </c>
      <c r="HH25" s="487"/>
      <c r="HI25" s="488">
        <f t="shared" si="70"/>
        <v>0</v>
      </c>
      <c r="HJ25" s="489">
        <f t="shared" si="181"/>
        <v>0</v>
      </c>
      <c r="HK25" s="487"/>
      <c r="HL25" s="488">
        <f t="shared" si="71"/>
        <v>0</v>
      </c>
      <c r="HM25" s="489">
        <f t="shared" si="182"/>
        <v>0</v>
      </c>
      <c r="HN25" s="487"/>
      <c r="HO25" s="488">
        <f t="shared" si="72"/>
        <v>0</v>
      </c>
      <c r="HP25" s="489">
        <f t="shared" si="183"/>
        <v>0</v>
      </c>
      <c r="HQ25" s="487"/>
      <c r="HR25" s="488">
        <f t="shared" si="73"/>
        <v>0</v>
      </c>
      <c r="HS25" s="489">
        <f t="shared" si="184"/>
        <v>0</v>
      </c>
      <c r="HT25" s="487"/>
      <c r="HU25" s="488">
        <f t="shared" si="74"/>
        <v>0</v>
      </c>
      <c r="HV25" s="489">
        <f t="shared" si="185"/>
        <v>0</v>
      </c>
      <c r="HW25" s="487"/>
      <c r="HX25" s="488">
        <f t="shared" si="75"/>
        <v>0</v>
      </c>
      <c r="HY25" s="489">
        <f t="shared" si="186"/>
        <v>0</v>
      </c>
      <c r="HZ25" s="487"/>
      <c r="IA25" s="488">
        <f t="shared" si="76"/>
        <v>0</v>
      </c>
      <c r="IB25" s="489">
        <f t="shared" si="187"/>
        <v>0</v>
      </c>
      <c r="IC25" s="487"/>
      <c r="ID25" s="488">
        <f t="shared" si="77"/>
        <v>0</v>
      </c>
      <c r="IE25" s="489">
        <f t="shared" si="188"/>
        <v>0</v>
      </c>
      <c r="IF25" s="487"/>
      <c r="IG25" s="488">
        <f t="shared" si="78"/>
        <v>0</v>
      </c>
      <c r="IH25" s="489">
        <f t="shared" si="189"/>
        <v>0</v>
      </c>
      <c r="II25" s="487"/>
      <c r="IJ25" s="488">
        <f t="shared" si="79"/>
        <v>0</v>
      </c>
      <c r="IK25" s="489">
        <f t="shared" si="190"/>
        <v>0</v>
      </c>
      <c r="IL25" s="487"/>
      <c r="IM25" s="488">
        <f t="shared" si="80"/>
        <v>0</v>
      </c>
      <c r="IN25" s="489">
        <f t="shared" si="191"/>
        <v>0</v>
      </c>
      <c r="IO25" s="487"/>
      <c r="IP25" s="488">
        <f t="shared" si="81"/>
        <v>0</v>
      </c>
      <c r="IQ25" s="489">
        <f t="shared" si="192"/>
        <v>0</v>
      </c>
      <c r="IR25" s="487"/>
      <c r="IS25" s="488">
        <f t="shared" si="82"/>
        <v>0</v>
      </c>
      <c r="IT25" s="489">
        <f t="shared" si="193"/>
        <v>0</v>
      </c>
      <c r="IU25" s="487"/>
      <c r="IV25" s="488">
        <f t="shared" si="83"/>
        <v>0</v>
      </c>
      <c r="IW25" s="489">
        <f t="shared" si="194"/>
        <v>0</v>
      </c>
      <c r="IX25" s="487"/>
      <c r="IY25" s="488">
        <f t="shared" si="84"/>
        <v>0</v>
      </c>
      <c r="IZ25" s="489">
        <f t="shared" si="195"/>
        <v>0</v>
      </c>
      <c r="JA25" s="487"/>
      <c r="JB25" s="488">
        <f t="shared" si="85"/>
        <v>0</v>
      </c>
      <c r="JC25" s="489">
        <f t="shared" si="196"/>
        <v>0</v>
      </c>
      <c r="JD25" s="487"/>
      <c r="JE25" s="488">
        <f t="shared" si="86"/>
        <v>0</v>
      </c>
      <c r="JF25" s="489">
        <f t="shared" si="197"/>
        <v>0</v>
      </c>
      <c r="JG25" s="487"/>
      <c r="JH25" s="488">
        <f t="shared" si="87"/>
        <v>0</v>
      </c>
      <c r="JI25" s="489">
        <f t="shared" si="198"/>
        <v>0</v>
      </c>
      <c r="JJ25" s="487"/>
      <c r="JK25" s="489" t="str">
        <f t="shared" si="88"/>
        <v>0</v>
      </c>
      <c r="JL25" s="489" t="str">
        <f t="shared" si="89"/>
        <v>0</v>
      </c>
      <c r="JM25" s="487"/>
      <c r="JN25" s="489" t="str">
        <f t="shared" si="90"/>
        <v>0</v>
      </c>
      <c r="JO25" s="489" t="str">
        <f t="shared" si="91"/>
        <v>0</v>
      </c>
      <c r="JP25" s="487"/>
      <c r="JQ25" s="489" t="str">
        <f t="shared" si="92"/>
        <v>0</v>
      </c>
      <c r="JR25" s="489" t="str">
        <f t="shared" si="93"/>
        <v>0</v>
      </c>
      <c r="JS25" s="487"/>
      <c r="JT25" s="489" t="str">
        <f t="shared" si="94"/>
        <v>0</v>
      </c>
      <c r="JU25" s="489" t="str">
        <f t="shared" si="95"/>
        <v>0</v>
      </c>
      <c r="JV25" s="487"/>
      <c r="JW25" s="489" t="str">
        <f t="shared" si="96"/>
        <v>0</v>
      </c>
      <c r="JX25" s="489" t="str">
        <f t="shared" si="97"/>
        <v>0</v>
      </c>
      <c r="JY25" s="487"/>
      <c r="JZ25" s="489" t="str">
        <f t="shared" si="98"/>
        <v>0</v>
      </c>
      <c r="KA25" s="489" t="str">
        <f t="shared" si="99"/>
        <v>0</v>
      </c>
      <c r="KB25" s="487"/>
      <c r="KC25" s="489" t="str">
        <f t="shared" si="100"/>
        <v>0</v>
      </c>
      <c r="KD25" s="489" t="str">
        <f t="shared" si="101"/>
        <v>0</v>
      </c>
      <c r="KE25" s="487"/>
      <c r="KF25" s="489" t="str">
        <f t="shared" si="102"/>
        <v>0</v>
      </c>
      <c r="KG25" s="489" t="str">
        <f t="shared" si="103"/>
        <v>0</v>
      </c>
      <c r="KH25" s="487"/>
      <c r="KI25" s="489" t="str">
        <f t="shared" si="104"/>
        <v>0</v>
      </c>
      <c r="KJ25" s="489" t="str">
        <f t="shared" si="105"/>
        <v>0</v>
      </c>
      <c r="KK25" s="487"/>
      <c r="KL25" s="489" t="str">
        <f t="shared" si="106"/>
        <v>0</v>
      </c>
      <c r="KM25" s="489" t="str">
        <f t="shared" si="107"/>
        <v>0</v>
      </c>
      <c r="KN25" s="487"/>
      <c r="KO25" s="489" t="str">
        <f t="shared" si="108"/>
        <v>0</v>
      </c>
      <c r="KP25" s="489" t="str">
        <f t="shared" si="109"/>
        <v>0</v>
      </c>
      <c r="KQ25" s="487"/>
      <c r="KR25" s="489" t="str">
        <f t="shared" si="110"/>
        <v>0</v>
      </c>
      <c r="KS25" s="489" t="str">
        <f t="shared" si="111"/>
        <v>0</v>
      </c>
      <c r="KT25" s="489">
        <f t="shared" si="201"/>
        <v>0</v>
      </c>
      <c r="KU25" s="489">
        <f t="shared" si="202"/>
        <v>0</v>
      </c>
      <c r="KV25" s="259">
        <f t="shared" si="199"/>
        <v>415.50999856445588</v>
      </c>
    </row>
    <row r="26" spans="1:308" ht="15" customHeight="1">
      <c r="A26" s="261">
        <f t="shared" si="200"/>
        <v>46129</v>
      </c>
      <c r="B26" s="262" t="str">
        <f>+Report1!B25</f>
        <v>Facial</v>
      </c>
      <c r="C26" s="382" t="str">
        <f>+Report1!C25</f>
        <v>13</v>
      </c>
      <c r="D26" s="263">
        <f>+Report1!P25</f>
        <v>47.717999999999996</v>
      </c>
      <c r="E26" s="264">
        <f>+Report1!R25</f>
        <v>41.671999999999997</v>
      </c>
      <c r="F26" s="487"/>
      <c r="G26" s="488">
        <f t="shared" si="0"/>
        <v>0</v>
      </c>
      <c r="H26" s="489">
        <f t="shared" si="112"/>
        <v>0</v>
      </c>
      <c r="I26" s="487">
        <v>290.69767441860472</v>
      </c>
      <c r="J26" s="488">
        <f t="shared" si="1"/>
        <v>6.9758512770830468</v>
      </c>
      <c r="K26" s="489">
        <f t="shared" si="113"/>
        <v>0</v>
      </c>
      <c r="L26" s="487"/>
      <c r="M26" s="488">
        <f t="shared" si="2"/>
        <v>0</v>
      </c>
      <c r="N26" s="489">
        <f t="shared" si="114"/>
        <v>0</v>
      </c>
      <c r="O26" s="487">
        <v>18</v>
      </c>
      <c r="P26" s="488">
        <f t="shared" si="3"/>
        <v>0.43194471107698218</v>
      </c>
      <c r="Q26" s="489">
        <f t="shared" si="115"/>
        <v>0</v>
      </c>
      <c r="R26" s="487">
        <v>10.250000000000028</v>
      </c>
      <c r="S26" s="488">
        <f t="shared" si="4"/>
        <v>0.24596851602994887</v>
      </c>
      <c r="T26" s="489">
        <f t="shared" si="116"/>
        <v>0</v>
      </c>
      <c r="U26" s="487">
        <v>4.6874999999999716</v>
      </c>
      <c r="V26" s="488">
        <f t="shared" si="5"/>
        <v>0.11248560184296343</v>
      </c>
      <c r="W26" s="489">
        <f t="shared" si="117"/>
        <v>0</v>
      </c>
      <c r="X26" s="487"/>
      <c r="Y26" s="488">
        <f t="shared" si="6"/>
        <v>0</v>
      </c>
      <c r="Z26" s="489">
        <f t="shared" si="118"/>
        <v>0</v>
      </c>
      <c r="AA26" s="487"/>
      <c r="AB26" s="488">
        <f t="shared" si="7"/>
        <v>0</v>
      </c>
      <c r="AC26" s="489">
        <f t="shared" si="119"/>
        <v>0</v>
      </c>
      <c r="AD26" s="487"/>
      <c r="AE26" s="488">
        <f t="shared" si="8"/>
        <v>0</v>
      </c>
      <c r="AF26" s="489">
        <f t="shared" si="120"/>
        <v>0</v>
      </c>
      <c r="AG26" s="487"/>
      <c r="AH26" s="488">
        <f t="shared" si="9"/>
        <v>0</v>
      </c>
      <c r="AI26" s="489">
        <f t="shared" si="121"/>
        <v>0</v>
      </c>
      <c r="AJ26" s="487"/>
      <c r="AK26" s="488">
        <f t="shared" si="10"/>
        <v>0</v>
      </c>
      <c r="AL26" s="489">
        <f t="shared" si="122"/>
        <v>0</v>
      </c>
      <c r="AM26" s="487">
        <v>37.5</v>
      </c>
      <c r="AN26" s="488">
        <f t="shared" si="11"/>
        <v>0.89988481474371285</v>
      </c>
      <c r="AO26" s="489">
        <f t="shared" si="123"/>
        <v>0</v>
      </c>
      <c r="AP26" s="487"/>
      <c r="AQ26" s="488">
        <f t="shared" si="12"/>
        <v>0</v>
      </c>
      <c r="AR26" s="489">
        <f t="shared" si="124"/>
        <v>0</v>
      </c>
      <c r="AS26" s="487"/>
      <c r="AT26" s="488">
        <f t="shared" si="13"/>
        <v>0</v>
      </c>
      <c r="AU26" s="489">
        <f t="shared" si="125"/>
        <v>0</v>
      </c>
      <c r="AV26" s="487">
        <v>5.5499999999999545</v>
      </c>
      <c r="AW26" s="488">
        <f t="shared" si="14"/>
        <v>0.13318295258206841</v>
      </c>
      <c r="AX26" s="489">
        <f t="shared" si="126"/>
        <v>0</v>
      </c>
      <c r="AY26" s="487">
        <v>46.666666666666629</v>
      </c>
      <c r="AZ26" s="488">
        <f t="shared" si="15"/>
        <v>1.1198566583477307</v>
      </c>
      <c r="BA26" s="489">
        <f t="shared" si="127"/>
        <v>0</v>
      </c>
      <c r="BB26" s="487"/>
      <c r="BC26" s="488">
        <f t="shared" si="16"/>
        <v>0</v>
      </c>
      <c r="BD26" s="489">
        <f t="shared" si="128"/>
        <v>0</v>
      </c>
      <c r="BE26" s="487"/>
      <c r="BF26" s="488">
        <f t="shared" si="17"/>
        <v>0</v>
      </c>
      <c r="BG26" s="489">
        <f t="shared" si="129"/>
        <v>0</v>
      </c>
      <c r="BH26" s="487"/>
      <c r="BI26" s="488">
        <f t="shared" si="18"/>
        <v>0</v>
      </c>
      <c r="BJ26" s="489">
        <f t="shared" si="130"/>
        <v>0</v>
      </c>
      <c r="BK26" s="487"/>
      <c r="BL26" s="488">
        <f t="shared" si="19"/>
        <v>0</v>
      </c>
      <c r="BM26" s="489">
        <f t="shared" si="131"/>
        <v>0</v>
      </c>
      <c r="BN26" s="487">
        <v>32.901234567901213</v>
      </c>
      <c r="BO26" s="488">
        <f t="shared" si="20"/>
        <v>0.78952856997267262</v>
      </c>
      <c r="BP26" s="489">
        <f t="shared" si="132"/>
        <v>0</v>
      </c>
      <c r="BQ26" s="487"/>
      <c r="BR26" s="488">
        <f t="shared" si="21"/>
        <v>0</v>
      </c>
      <c r="BS26" s="489">
        <f t="shared" si="133"/>
        <v>0</v>
      </c>
      <c r="BT26" s="487"/>
      <c r="BU26" s="488">
        <f t="shared" si="22"/>
        <v>0</v>
      </c>
      <c r="BV26" s="489">
        <f t="shared" si="134"/>
        <v>0</v>
      </c>
      <c r="BW26" s="487"/>
      <c r="BX26" s="488">
        <f t="shared" si="23"/>
        <v>0</v>
      </c>
      <c r="BY26" s="489">
        <f t="shared" si="135"/>
        <v>0</v>
      </c>
      <c r="BZ26" s="487"/>
      <c r="CA26" s="488">
        <f t="shared" si="24"/>
        <v>0</v>
      </c>
      <c r="CB26" s="489">
        <f t="shared" si="136"/>
        <v>0</v>
      </c>
      <c r="CC26" s="487">
        <v>0</v>
      </c>
      <c r="CD26" s="488">
        <f t="shared" si="25"/>
        <v>0</v>
      </c>
      <c r="CE26" s="489">
        <f t="shared" si="137"/>
        <v>0</v>
      </c>
      <c r="CF26" s="487">
        <v>8</v>
      </c>
      <c r="CG26" s="488">
        <f t="shared" si="26"/>
        <v>0.19197542714532542</v>
      </c>
      <c r="CH26" s="489">
        <f t="shared" si="138"/>
        <v>0</v>
      </c>
      <c r="CI26" s="487"/>
      <c r="CJ26" s="488">
        <f t="shared" si="27"/>
        <v>0</v>
      </c>
      <c r="CK26" s="489">
        <f t="shared" si="139"/>
        <v>0</v>
      </c>
      <c r="CL26" s="487"/>
      <c r="CM26" s="488">
        <f t="shared" si="28"/>
        <v>0</v>
      </c>
      <c r="CN26" s="489">
        <f t="shared" si="140"/>
        <v>0</v>
      </c>
      <c r="CO26" s="487"/>
      <c r="CP26" s="488">
        <f t="shared" si="29"/>
        <v>0</v>
      </c>
      <c r="CQ26" s="489">
        <f t="shared" si="141"/>
        <v>0</v>
      </c>
      <c r="CR26" s="487"/>
      <c r="CS26" s="488">
        <f t="shared" si="30"/>
        <v>0</v>
      </c>
      <c r="CT26" s="489">
        <f t="shared" si="142"/>
        <v>0</v>
      </c>
      <c r="CU26" s="487"/>
      <c r="CV26" s="488">
        <f t="shared" si="31"/>
        <v>0</v>
      </c>
      <c r="CW26" s="489">
        <f t="shared" si="143"/>
        <v>0</v>
      </c>
      <c r="CX26" s="487"/>
      <c r="CY26" s="488">
        <f t="shared" si="32"/>
        <v>0</v>
      </c>
      <c r="CZ26" s="489">
        <f t="shared" si="144"/>
        <v>0</v>
      </c>
      <c r="DA26" s="487"/>
      <c r="DB26" s="488">
        <f t="shared" si="33"/>
        <v>0</v>
      </c>
      <c r="DC26" s="489">
        <f t="shared" si="145"/>
        <v>0</v>
      </c>
      <c r="DD26" s="487"/>
      <c r="DE26" s="488">
        <f t="shared" si="34"/>
        <v>0</v>
      </c>
      <c r="DF26" s="489">
        <f t="shared" si="146"/>
        <v>0</v>
      </c>
      <c r="DG26" s="487"/>
      <c r="DH26" s="488">
        <f t="shared" si="35"/>
        <v>0</v>
      </c>
      <c r="DI26" s="489">
        <f t="shared" si="203"/>
        <v>0</v>
      </c>
      <c r="DJ26" s="487"/>
      <c r="DK26" s="488">
        <f t="shared" si="36"/>
        <v>0</v>
      </c>
      <c r="DL26" s="489">
        <f t="shared" si="147"/>
        <v>0</v>
      </c>
      <c r="DM26" s="487"/>
      <c r="DN26" s="488">
        <f t="shared" si="37"/>
        <v>0</v>
      </c>
      <c r="DO26" s="489">
        <f t="shared" si="148"/>
        <v>0</v>
      </c>
      <c r="DP26" s="487"/>
      <c r="DQ26" s="488">
        <f t="shared" si="38"/>
        <v>0</v>
      </c>
      <c r="DR26" s="489">
        <f t="shared" si="149"/>
        <v>0</v>
      </c>
      <c r="DS26" s="487"/>
      <c r="DT26" s="488">
        <f t="shared" si="39"/>
        <v>0</v>
      </c>
      <c r="DU26" s="489">
        <f t="shared" si="150"/>
        <v>0</v>
      </c>
      <c r="DV26" s="487"/>
      <c r="DW26" s="488">
        <f t="shared" si="40"/>
        <v>0</v>
      </c>
      <c r="DX26" s="489">
        <f t="shared" si="151"/>
        <v>0</v>
      </c>
      <c r="DY26" s="487">
        <v>0</v>
      </c>
      <c r="DZ26" s="488">
        <f t="shared" si="41"/>
        <v>0</v>
      </c>
      <c r="EA26" s="489">
        <f t="shared" si="152"/>
        <v>0</v>
      </c>
      <c r="EB26" s="487">
        <v>21.80232558139528</v>
      </c>
      <c r="EC26" s="488">
        <f t="shared" si="42"/>
        <v>0.52318884578122671</v>
      </c>
      <c r="ED26" s="489">
        <f t="shared" si="153"/>
        <v>0</v>
      </c>
      <c r="EE26" s="487">
        <v>8</v>
      </c>
      <c r="EF26" s="488">
        <f t="shared" si="43"/>
        <v>0.19197542714532542</v>
      </c>
      <c r="EG26" s="489">
        <f t="shared" si="154"/>
        <v>0</v>
      </c>
      <c r="EH26" s="487"/>
      <c r="EI26" s="488">
        <f t="shared" si="44"/>
        <v>0</v>
      </c>
      <c r="EJ26" s="489">
        <f t="shared" si="155"/>
        <v>0</v>
      </c>
      <c r="EK26" s="487"/>
      <c r="EL26" s="488">
        <f t="shared" si="45"/>
        <v>0</v>
      </c>
      <c r="EM26" s="489">
        <f t="shared" si="156"/>
        <v>0</v>
      </c>
      <c r="EN26" s="487"/>
      <c r="EO26" s="488">
        <f t="shared" si="46"/>
        <v>0</v>
      </c>
      <c r="EP26" s="489">
        <f t="shared" si="157"/>
        <v>0</v>
      </c>
      <c r="EQ26" s="487"/>
      <c r="ER26" s="488">
        <f t="shared" si="47"/>
        <v>0</v>
      </c>
      <c r="ES26" s="489">
        <f t="shared" si="158"/>
        <v>0</v>
      </c>
      <c r="ET26" s="487"/>
      <c r="EU26" s="488">
        <f t="shared" si="48"/>
        <v>0</v>
      </c>
      <c r="EV26" s="489">
        <f t="shared" si="159"/>
        <v>0</v>
      </c>
      <c r="EW26" s="487"/>
      <c r="EX26" s="488">
        <f t="shared" si="49"/>
        <v>0</v>
      </c>
      <c r="EY26" s="489">
        <f t="shared" si="160"/>
        <v>0</v>
      </c>
      <c r="EZ26" s="487"/>
      <c r="FA26" s="488">
        <f t="shared" si="50"/>
        <v>0</v>
      </c>
      <c r="FB26" s="489">
        <f t="shared" si="161"/>
        <v>0</v>
      </c>
      <c r="FC26" s="487"/>
      <c r="FD26" s="488">
        <f t="shared" si="51"/>
        <v>0</v>
      </c>
      <c r="FE26" s="489">
        <f t="shared" si="162"/>
        <v>0</v>
      </c>
      <c r="FF26" s="487"/>
      <c r="FG26" s="488">
        <f t="shared" si="52"/>
        <v>0</v>
      </c>
      <c r="FH26" s="489">
        <f t="shared" si="163"/>
        <v>0</v>
      </c>
      <c r="FI26" s="487"/>
      <c r="FJ26" s="488">
        <f t="shared" si="53"/>
        <v>0</v>
      </c>
      <c r="FK26" s="489">
        <f t="shared" si="164"/>
        <v>0</v>
      </c>
      <c r="FL26" s="487"/>
      <c r="FM26" s="488">
        <f t="shared" si="54"/>
        <v>0</v>
      </c>
      <c r="FN26" s="489">
        <f t="shared" si="165"/>
        <v>0</v>
      </c>
      <c r="FO26" s="487"/>
      <c r="FP26" s="488">
        <f t="shared" si="55"/>
        <v>0</v>
      </c>
      <c r="FQ26" s="489">
        <f t="shared" si="166"/>
        <v>0</v>
      </c>
      <c r="FR26" s="487"/>
      <c r="FS26" s="488">
        <f t="shared" si="56"/>
        <v>0</v>
      </c>
      <c r="FT26" s="489">
        <f t="shared" si="167"/>
        <v>0</v>
      </c>
      <c r="FU26" s="487"/>
      <c r="FV26" s="488">
        <f t="shared" si="57"/>
        <v>0</v>
      </c>
      <c r="FW26" s="489">
        <f t="shared" si="168"/>
        <v>0</v>
      </c>
      <c r="FX26" s="487"/>
      <c r="FY26" s="488">
        <f t="shared" si="58"/>
        <v>0</v>
      </c>
      <c r="FZ26" s="489">
        <f t="shared" si="169"/>
        <v>0</v>
      </c>
      <c r="GA26" s="487"/>
      <c r="GB26" s="488">
        <f t="shared" si="59"/>
        <v>0</v>
      </c>
      <c r="GC26" s="489">
        <f t="shared" si="170"/>
        <v>0</v>
      </c>
      <c r="GD26" s="487"/>
      <c r="GE26" s="488">
        <f t="shared" si="60"/>
        <v>0</v>
      </c>
      <c r="GF26" s="489">
        <f t="shared" si="171"/>
        <v>0</v>
      </c>
      <c r="GG26" s="487"/>
      <c r="GH26" s="488">
        <f t="shared" si="61"/>
        <v>0</v>
      </c>
      <c r="GI26" s="489">
        <f t="shared" si="172"/>
        <v>0</v>
      </c>
      <c r="GJ26" s="487"/>
      <c r="GK26" s="488">
        <f t="shared" si="62"/>
        <v>0</v>
      </c>
      <c r="GL26" s="489">
        <f t="shared" si="173"/>
        <v>0</v>
      </c>
      <c r="GM26" s="487"/>
      <c r="GN26" s="488">
        <f t="shared" si="63"/>
        <v>0</v>
      </c>
      <c r="GO26" s="489">
        <f t="shared" si="174"/>
        <v>0</v>
      </c>
      <c r="GP26" s="487"/>
      <c r="GQ26" s="488">
        <f t="shared" si="64"/>
        <v>0</v>
      </c>
      <c r="GR26" s="489">
        <f t="shared" si="175"/>
        <v>0</v>
      </c>
      <c r="GS26" s="487"/>
      <c r="GT26" s="488">
        <f t="shared" si="65"/>
        <v>0</v>
      </c>
      <c r="GU26" s="489">
        <f t="shared" si="176"/>
        <v>0</v>
      </c>
      <c r="GV26" s="487"/>
      <c r="GW26" s="488">
        <f t="shared" si="66"/>
        <v>0</v>
      </c>
      <c r="GX26" s="489">
        <f t="shared" si="177"/>
        <v>0</v>
      </c>
      <c r="GY26" s="487"/>
      <c r="GZ26" s="488">
        <f t="shared" si="67"/>
        <v>0</v>
      </c>
      <c r="HA26" s="489">
        <f t="shared" si="178"/>
        <v>0</v>
      </c>
      <c r="HB26" s="487"/>
      <c r="HC26" s="488">
        <f t="shared" si="68"/>
        <v>0</v>
      </c>
      <c r="HD26" s="489">
        <f t="shared" si="179"/>
        <v>0</v>
      </c>
      <c r="HE26" s="487"/>
      <c r="HF26" s="488">
        <f t="shared" si="69"/>
        <v>0</v>
      </c>
      <c r="HG26" s="489">
        <f t="shared" si="180"/>
        <v>0</v>
      </c>
      <c r="HH26" s="487"/>
      <c r="HI26" s="488">
        <f t="shared" si="70"/>
        <v>0</v>
      </c>
      <c r="HJ26" s="489">
        <f t="shared" si="181"/>
        <v>0</v>
      </c>
      <c r="HK26" s="487"/>
      <c r="HL26" s="488">
        <f t="shared" si="71"/>
        <v>0</v>
      </c>
      <c r="HM26" s="489">
        <f t="shared" si="182"/>
        <v>0</v>
      </c>
      <c r="HN26" s="487"/>
      <c r="HO26" s="488">
        <f t="shared" si="72"/>
        <v>0</v>
      </c>
      <c r="HP26" s="489">
        <f t="shared" si="183"/>
        <v>0</v>
      </c>
      <c r="HQ26" s="487"/>
      <c r="HR26" s="488">
        <f t="shared" si="73"/>
        <v>0</v>
      </c>
      <c r="HS26" s="489">
        <f t="shared" si="184"/>
        <v>0</v>
      </c>
      <c r="HT26" s="487"/>
      <c r="HU26" s="488">
        <f t="shared" si="74"/>
        <v>0</v>
      </c>
      <c r="HV26" s="489">
        <f t="shared" si="185"/>
        <v>0</v>
      </c>
      <c r="HW26" s="487"/>
      <c r="HX26" s="488">
        <f t="shared" si="75"/>
        <v>0</v>
      </c>
      <c r="HY26" s="489">
        <f t="shared" si="186"/>
        <v>0</v>
      </c>
      <c r="HZ26" s="487"/>
      <c r="IA26" s="488">
        <f t="shared" si="76"/>
        <v>0</v>
      </c>
      <c r="IB26" s="489">
        <f t="shared" si="187"/>
        <v>0</v>
      </c>
      <c r="IC26" s="487"/>
      <c r="ID26" s="488">
        <f t="shared" si="77"/>
        <v>0</v>
      </c>
      <c r="IE26" s="489">
        <f t="shared" si="188"/>
        <v>0</v>
      </c>
      <c r="IF26" s="487"/>
      <c r="IG26" s="488">
        <f t="shared" si="78"/>
        <v>0</v>
      </c>
      <c r="IH26" s="489">
        <f t="shared" si="189"/>
        <v>0</v>
      </c>
      <c r="II26" s="487"/>
      <c r="IJ26" s="488">
        <f t="shared" si="79"/>
        <v>0</v>
      </c>
      <c r="IK26" s="489">
        <f t="shared" si="190"/>
        <v>0</v>
      </c>
      <c r="IL26" s="487"/>
      <c r="IM26" s="488">
        <f t="shared" si="80"/>
        <v>0</v>
      </c>
      <c r="IN26" s="489">
        <f t="shared" si="191"/>
        <v>0</v>
      </c>
      <c r="IO26" s="487"/>
      <c r="IP26" s="488">
        <f t="shared" si="81"/>
        <v>0</v>
      </c>
      <c r="IQ26" s="489">
        <f t="shared" si="192"/>
        <v>0</v>
      </c>
      <c r="IR26" s="487"/>
      <c r="IS26" s="488">
        <f t="shared" si="82"/>
        <v>0</v>
      </c>
      <c r="IT26" s="489">
        <f t="shared" si="193"/>
        <v>0</v>
      </c>
      <c r="IU26" s="487"/>
      <c r="IV26" s="488">
        <f t="shared" si="83"/>
        <v>0</v>
      </c>
      <c r="IW26" s="489">
        <f t="shared" si="194"/>
        <v>0</v>
      </c>
      <c r="IX26" s="487"/>
      <c r="IY26" s="488">
        <f t="shared" si="84"/>
        <v>0</v>
      </c>
      <c r="IZ26" s="489">
        <f t="shared" si="195"/>
        <v>0</v>
      </c>
      <c r="JA26" s="487"/>
      <c r="JB26" s="488">
        <f t="shared" si="85"/>
        <v>0</v>
      </c>
      <c r="JC26" s="489">
        <f t="shared" si="196"/>
        <v>0</v>
      </c>
      <c r="JD26" s="487"/>
      <c r="JE26" s="488">
        <f t="shared" si="86"/>
        <v>0</v>
      </c>
      <c r="JF26" s="489">
        <f t="shared" si="197"/>
        <v>0</v>
      </c>
      <c r="JG26" s="487"/>
      <c r="JH26" s="488">
        <f t="shared" si="87"/>
        <v>0</v>
      </c>
      <c r="JI26" s="489">
        <f t="shared" si="198"/>
        <v>0</v>
      </c>
      <c r="JJ26" s="487"/>
      <c r="JK26" s="489" t="str">
        <f t="shared" si="88"/>
        <v>0</v>
      </c>
      <c r="JL26" s="489" t="str">
        <f t="shared" si="89"/>
        <v>0</v>
      </c>
      <c r="JM26" s="487"/>
      <c r="JN26" s="489" t="str">
        <f t="shared" si="90"/>
        <v>0</v>
      </c>
      <c r="JO26" s="489" t="str">
        <f t="shared" si="91"/>
        <v>0</v>
      </c>
      <c r="JP26" s="487"/>
      <c r="JQ26" s="489" t="str">
        <f t="shared" si="92"/>
        <v>0</v>
      </c>
      <c r="JR26" s="489" t="str">
        <f t="shared" si="93"/>
        <v>0</v>
      </c>
      <c r="JS26" s="487"/>
      <c r="JT26" s="489" t="str">
        <f t="shared" si="94"/>
        <v>0</v>
      </c>
      <c r="JU26" s="489" t="str">
        <f t="shared" si="95"/>
        <v>0</v>
      </c>
      <c r="JV26" s="487"/>
      <c r="JW26" s="489" t="str">
        <f t="shared" si="96"/>
        <v>0</v>
      </c>
      <c r="JX26" s="489" t="str">
        <f t="shared" si="97"/>
        <v>0</v>
      </c>
      <c r="JY26" s="487"/>
      <c r="JZ26" s="489" t="str">
        <f t="shared" si="98"/>
        <v>0</v>
      </c>
      <c r="KA26" s="489" t="str">
        <f t="shared" si="99"/>
        <v>0</v>
      </c>
      <c r="KB26" s="487"/>
      <c r="KC26" s="489" t="str">
        <f t="shared" si="100"/>
        <v>0</v>
      </c>
      <c r="KD26" s="489" t="str">
        <f t="shared" si="101"/>
        <v>0</v>
      </c>
      <c r="KE26" s="487"/>
      <c r="KF26" s="489" t="str">
        <f t="shared" si="102"/>
        <v>0</v>
      </c>
      <c r="KG26" s="489" t="str">
        <f t="shared" si="103"/>
        <v>0</v>
      </c>
      <c r="KH26" s="487"/>
      <c r="KI26" s="489" t="str">
        <f t="shared" si="104"/>
        <v>0</v>
      </c>
      <c r="KJ26" s="489" t="str">
        <f t="shared" si="105"/>
        <v>0</v>
      </c>
      <c r="KK26" s="487"/>
      <c r="KL26" s="489" t="str">
        <f t="shared" si="106"/>
        <v>0</v>
      </c>
      <c r="KM26" s="489" t="str">
        <f t="shared" si="107"/>
        <v>0</v>
      </c>
      <c r="KN26" s="487"/>
      <c r="KO26" s="489" t="str">
        <f t="shared" si="108"/>
        <v>0</v>
      </c>
      <c r="KP26" s="489" t="str">
        <f t="shared" si="109"/>
        <v>0</v>
      </c>
      <c r="KQ26" s="487"/>
      <c r="KR26" s="489" t="str">
        <f t="shared" si="110"/>
        <v>0</v>
      </c>
      <c r="KS26" s="489" t="str">
        <f t="shared" si="111"/>
        <v>0</v>
      </c>
      <c r="KT26" s="489">
        <f t="shared" si="201"/>
        <v>0</v>
      </c>
      <c r="KU26" s="489">
        <f t="shared" si="202"/>
        <v>0</v>
      </c>
      <c r="KV26" s="259">
        <f t="shared" si="199"/>
        <v>484.0554012345678</v>
      </c>
    </row>
    <row r="27" spans="1:308" ht="15" customHeight="1">
      <c r="A27" s="261">
        <f t="shared" si="200"/>
        <v>46130</v>
      </c>
      <c r="B27" s="262" t="str">
        <f>+Report1!B26</f>
        <v>Facial</v>
      </c>
      <c r="C27" s="382" t="str">
        <f>+Report1!C26</f>
        <v>13</v>
      </c>
      <c r="D27" s="263">
        <f>+Report1!P26</f>
        <v>49.573999999999998</v>
      </c>
      <c r="E27" s="264">
        <f>+Report1!R26</f>
        <v>51.387999999999998</v>
      </c>
      <c r="F27" s="487"/>
      <c r="G27" s="488">
        <f t="shared" si="0"/>
        <v>0</v>
      </c>
      <c r="H27" s="489">
        <f t="shared" si="112"/>
        <v>0</v>
      </c>
      <c r="I27" s="487">
        <v>418.60279069767427</v>
      </c>
      <c r="J27" s="488">
        <f t="shared" si="1"/>
        <v>8.1459249376833949</v>
      </c>
      <c r="K27" s="489">
        <f t="shared" si="113"/>
        <v>0</v>
      </c>
      <c r="L27" s="487"/>
      <c r="M27" s="488">
        <f t="shared" si="2"/>
        <v>0</v>
      </c>
      <c r="N27" s="489">
        <f t="shared" si="114"/>
        <v>0</v>
      </c>
      <c r="O27" s="487">
        <v>12</v>
      </c>
      <c r="P27" s="488">
        <f t="shared" si="3"/>
        <v>0.23351755273604732</v>
      </c>
      <c r="Q27" s="489">
        <f t="shared" si="115"/>
        <v>0</v>
      </c>
      <c r="R27" s="487">
        <v>7.6875</v>
      </c>
      <c r="S27" s="488">
        <f t="shared" si="4"/>
        <v>0.14959718222153032</v>
      </c>
      <c r="T27" s="489">
        <f t="shared" si="116"/>
        <v>0</v>
      </c>
      <c r="U27" s="487">
        <v>5.4687500000000284</v>
      </c>
      <c r="V27" s="488">
        <f t="shared" si="5"/>
        <v>0.10642075971043879</v>
      </c>
      <c r="W27" s="489">
        <f t="shared" si="117"/>
        <v>0</v>
      </c>
      <c r="X27" s="487"/>
      <c r="Y27" s="488">
        <f t="shared" si="6"/>
        <v>0</v>
      </c>
      <c r="Z27" s="489">
        <f t="shared" si="118"/>
        <v>0</v>
      </c>
      <c r="AA27" s="487"/>
      <c r="AB27" s="488">
        <f t="shared" si="7"/>
        <v>0</v>
      </c>
      <c r="AC27" s="489">
        <f t="shared" si="119"/>
        <v>0</v>
      </c>
      <c r="AD27" s="487"/>
      <c r="AE27" s="488">
        <f t="shared" si="8"/>
        <v>0</v>
      </c>
      <c r="AF27" s="489">
        <f t="shared" si="120"/>
        <v>0</v>
      </c>
      <c r="AG27" s="487"/>
      <c r="AH27" s="488">
        <f t="shared" si="9"/>
        <v>0</v>
      </c>
      <c r="AI27" s="489">
        <f t="shared" si="121"/>
        <v>0</v>
      </c>
      <c r="AJ27" s="487"/>
      <c r="AK27" s="488">
        <f t="shared" si="10"/>
        <v>0</v>
      </c>
      <c r="AL27" s="489">
        <f t="shared" si="122"/>
        <v>0</v>
      </c>
      <c r="AM27" s="487">
        <v>40.384615384615415</v>
      </c>
      <c r="AN27" s="488">
        <f t="shared" si="11"/>
        <v>0.78587637940015986</v>
      </c>
      <c r="AO27" s="489">
        <f t="shared" si="123"/>
        <v>0</v>
      </c>
      <c r="AP27" s="487"/>
      <c r="AQ27" s="488">
        <f t="shared" si="12"/>
        <v>0</v>
      </c>
      <c r="AR27" s="489">
        <f t="shared" si="124"/>
        <v>0</v>
      </c>
      <c r="AS27" s="487"/>
      <c r="AT27" s="488">
        <f t="shared" si="13"/>
        <v>0</v>
      </c>
      <c r="AU27" s="489">
        <f t="shared" si="125"/>
        <v>0</v>
      </c>
      <c r="AV27" s="487">
        <v>8.3250000000000171</v>
      </c>
      <c r="AW27" s="488">
        <f t="shared" si="14"/>
        <v>0.16200280221063318</v>
      </c>
      <c r="AX27" s="489">
        <f t="shared" si="126"/>
        <v>0</v>
      </c>
      <c r="AY27" s="487">
        <v>49</v>
      </c>
      <c r="AZ27" s="488">
        <f t="shared" si="15"/>
        <v>0.95353000700552659</v>
      </c>
      <c r="BA27" s="489">
        <f t="shared" si="127"/>
        <v>0</v>
      </c>
      <c r="BB27" s="487"/>
      <c r="BC27" s="488">
        <f t="shared" si="16"/>
        <v>0</v>
      </c>
      <c r="BD27" s="489">
        <f t="shared" si="128"/>
        <v>0</v>
      </c>
      <c r="BE27" s="487"/>
      <c r="BF27" s="488">
        <f t="shared" si="17"/>
        <v>0</v>
      </c>
      <c r="BG27" s="489">
        <f t="shared" si="129"/>
        <v>0</v>
      </c>
      <c r="BH27" s="487"/>
      <c r="BI27" s="488">
        <f t="shared" si="18"/>
        <v>0</v>
      </c>
      <c r="BJ27" s="489">
        <f t="shared" si="130"/>
        <v>0</v>
      </c>
      <c r="BK27" s="487"/>
      <c r="BL27" s="488">
        <f t="shared" si="19"/>
        <v>0</v>
      </c>
      <c r="BM27" s="489">
        <f t="shared" si="131"/>
        <v>0</v>
      </c>
      <c r="BN27" s="487">
        <v>26.574074074074076</v>
      </c>
      <c r="BO27" s="488">
        <f t="shared" si="20"/>
        <v>0.51712606200035183</v>
      </c>
      <c r="BP27" s="489">
        <f t="shared" si="132"/>
        <v>0</v>
      </c>
      <c r="BQ27" s="487"/>
      <c r="BR27" s="488">
        <f t="shared" si="21"/>
        <v>0</v>
      </c>
      <c r="BS27" s="489">
        <f t="shared" si="133"/>
        <v>0</v>
      </c>
      <c r="BT27" s="487"/>
      <c r="BU27" s="488">
        <f t="shared" si="22"/>
        <v>0</v>
      </c>
      <c r="BV27" s="489">
        <f t="shared" si="134"/>
        <v>0</v>
      </c>
      <c r="BW27" s="487"/>
      <c r="BX27" s="488">
        <f t="shared" si="23"/>
        <v>0</v>
      </c>
      <c r="BY27" s="489">
        <f t="shared" si="135"/>
        <v>0</v>
      </c>
      <c r="BZ27" s="487"/>
      <c r="CA27" s="488">
        <f t="shared" si="24"/>
        <v>0</v>
      </c>
      <c r="CB27" s="489">
        <f t="shared" si="136"/>
        <v>0</v>
      </c>
      <c r="CC27" s="487">
        <v>0</v>
      </c>
      <c r="CD27" s="488">
        <f t="shared" si="25"/>
        <v>0</v>
      </c>
      <c r="CE27" s="489">
        <f t="shared" si="137"/>
        <v>0</v>
      </c>
      <c r="CF27" s="487">
        <v>9</v>
      </c>
      <c r="CG27" s="488">
        <f t="shared" si="26"/>
        <v>0.17513816455203551</v>
      </c>
      <c r="CH27" s="489">
        <f t="shared" si="138"/>
        <v>0</v>
      </c>
      <c r="CI27" s="487"/>
      <c r="CJ27" s="488">
        <f t="shared" si="27"/>
        <v>0</v>
      </c>
      <c r="CK27" s="489">
        <f t="shared" si="139"/>
        <v>0</v>
      </c>
      <c r="CL27" s="487"/>
      <c r="CM27" s="488">
        <f t="shared" si="28"/>
        <v>0</v>
      </c>
      <c r="CN27" s="489">
        <f t="shared" si="140"/>
        <v>0</v>
      </c>
      <c r="CO27" s="487"/>
      <c r="CP27" s="488">
        <f t="shared" si="29"/>
        <v>0</v>
      </c>
      <c r="CQ27" s="489">
        <f t="shared" si="141"/>
        <v>0</v>
      </c>
      <c r="CR27" s="487"/>
      <c r="CS27" s="488">
        <f t="shared" si="30"/>
        <v>0</v>
      </c>
      <c r="CT27" s="489">
        <f t="shared" si="142"/>
        <v>0</v>
      </c>
      <c r="CU27" s="487"/>
      <c r="CV27" s="488">
        <f t="shared" si="31"/>
        <v>0</v>
      </c>
      <c r="CW27" s="489">
        <f t="shared" si="143"/>
        <v>0</v>
      </c>
      <c r="CX27" s="487"/>
      <c r="CY27" s="488">
        <f t="shared" si="32"/>
        <v>0</v>
      </c>
      <c r="CZ27" s="489">
        <f t="shared" si="144"/>
        <v>0</v>
      </c>
      <c r="DA27" s="487"/>
      <c r="DB27" s="488">
        <f t="shared" si="33"/>
        <v>0</v>
      </c>
      <c r="DC27" s="489">
        <f t="shared" si="145"/>
        <v>0</v>
      </c>
      <c r="DD27" s="487"/>
      <c r="DE27" s="488">
        <f t="shared" si="34"/>
        <v>0</v>
      </c>
      <c r="DF27" s="489">
        <f t="shared" si="146"/>
        <v>0</v>
      </c>
      <c r="DG27" s="487"/>
      <c r="DH27" s="488">
        <f t="shared" si="35"/>
        <v>0</v>
      </c>
      <c r="DI27" s="489">
        <f t="shared" si="203"/>
        <v>0</v>
      </c>
      <c r="DJ27" s="487"/>
      <c r="DK27" s="488">
        <f t="shared" si="36"/>
        <v>0</v>
      </c>
      <c r="DL27" s="489">
        <f t="shared" si="147"/>
        <v>0</v>
      </c>
      <c r="DM27" s="487"/>
      <c r="DN27" s="488">
        <f t="shared" si="37"/>
        <v>0</v>
      </c>
      <c r="DO27" s="489">
        <f t="shared" si="148"/>
        <v>0</v>
      </c>
      <c r="DP27" s="487"/>
      <c r="DQ27" s="488">
        <f t="shared" si="38"/>
        <v>0</v>
      </c>
      <c r="DR27" s="489">
        <f t="shared" si="149"/>
        <v>0</v>
      </c>
      <c r="DS27" s="487"/>
      <c r="DT27" s="488">
        <f t="shared" si="39"/>
        <v>0</v>
      </c>
      <c r="DU27" s="489">
        <f t="shared" si="150"/>
        <v>0</v>
      </c>
      <c r="DV27" s="487"/>
      <c r="DW27" s="488">
        <f t="shared" si="40"/>
        <v>0</v>
      </c>
      <c r="DX27" s="489">
        <f t="shared" si="151"/>
        <v>0</v>
      </c>
      <c r="DY27" s="487">
        <v>0</v>
      </c>
      <c r="DZ27" s="488">
        <f t="shared" si="41"/>
        <v>0</v>
      </c>
      <c r="EA27" s="489">
        <f t="shared" si="152"/>
        <v>0</v>
      </c>
      <c r="EB27" s="487">
        <v>18.168604651162809</v>
      </c>
      <c r="EC27" s="488">
        <f t="shared" si="42"/>
        <v>0.35355734123069216</v>
      </c>
      <c r="ED27" s="489">
        <f t="shared" si="153"/>
        <v>0</v>
      </c>
      <c r="EE27" s="487">
        <v>8</v>
      </c>
      <c r="EF27" s="488">
        <f t="shared" si="43"/>
        <v>0.15567836849069822</v>
      </c>
      <c r="EG27" s="489">
        <f t="shared" si="154"/>
        <v>0</v>
      </c>
      <c r="EH27" s="487"/>
      <c r="EI27" s="488">
        <f t="shared" si="44"/>
        <v>0</v>
      </c>
      <c r="EJ27" s="489">
        <f t="shared" si="155"/>
        <v>0</v>
      </c>
      <c r="EK27" s="487"/>
      <c r="EL27" s="488">
        <f t="shared" si="45"/>
        <v>0</v>
      </c>
      <c r="EM27" s="489">
        <f t="shared" si="156"/>
        <v>0</v>
      </c>
      <c r="EN27" s="487"/>
      <c r="EO27" s="488">
        <f t="shared" si="46"/>
        <v>0</v>
      </c>
      <c r="EP27" s="489">
        <f t="shared" si="157"/>
        <v>0</v>
      </c>
      <c r="EQ27" s="487"/>
      <c r="ER27" s="488">
        <f t="shared" si="47"/>
        <v>0</v>
      </c>
      <c r="ES27" s="489">
        <f t="shared" si="158"/>
        <v>0</v>
      </c>
      <c r="ET27" s="487"/>
      <c r="EU27" s="488">
        <f t="shared" si="48"/>
        <v>0</v>
      </c>
      <c r="EV27" s="489">
        <f t="shared" si="159"/>
        <v>0</v>
      </c>
      <c r="EW27" s="487"/>
      <c r="EX27" s="488">
        <f t="shared" si="49"/>
        <v>0</v>
      </c>
      <c r="EY27" s="489">
        <f t="shared" si="160"/>
        <v>0</v>
      </c>
      <c r="EZ27" s="487"/>
      <c r="FA27" s="488">
        <f t="shared" si="50"/>
        <v>0</v>
      </c>
      <c r="FB27" s="489">
        <f t="shared" si="161"/>
        <v>0</v>
      </c>
      <c r="FC27" s="487"/>
      <c r="FD27" s="488">
        <f t="shared" si="51"/>
        <v>0</v>
      </c>
      <c r="FE27" s="489">
        <f t="shared" si="162"/>
        <v>0</v>
      </c>
      <c r="FF27" s="487"/>
      <c r="FG27" s="488">
        <f t="shared" si="52"/>
        <v>0</v>
      </c>
      <c r="FH27" s="489">
        <f t="shared" si="163"/>
        <v>0</v>
      </c>
      <c r="FI27" s="487"/>
      <c r="FJ27" s="488">
        <f t="shared" si="53"/>
        <v>0</v>
      </c>
      <c r="FK27" s="489">
        <f t="shared" si="164"/>
        <v>0</v>
      </c>
      <c r="FL27" s="487"/>
      <c r="FM27" s="488">
        <f t="shared" si="54"/>
        <v>0</v>
      </c>
      <c r="FN27" s="489">
        <f t="shared" si="165"/>
        <v>0</v>
      </c>
      <c r="FO27" s="487"/>
      <c r="FP27" s="488">
        <f t="shared" si="55"/>
        <v>0</v>
      </c>
      <c r="FQ27" s="489">
        <f t="shared" si="166"/>
        <v>0</v>
      </c>
      <c r="FR27" s="487"/>
      <c r="FS27" s="488">
        <f t="shared" si="56"/>
        <v>0</v>
      </c>
      <c r="FT27" s="489">
        <f t="shared" si="167"/>
        <v>0</v>
      </c>
      <c r="FU27" s="487"/>
      <c r="FV27" s="488">
        <f t="shared" si="57"/>
        <v>0</v>
      </c>
      <c r="FW27" s="489">
        <f t="shared" si="168"/>
        <v>0</v>
      </c>
      <c r="FX27" s="487"/>
      <c r="FY27" s="488">
        <f t="shared" si="58"/>
        <v>0</v>
      </c>
      <c r="FZ27" s="489">
        <f t="shared" si="169"/>
        <v>0</v>
      </c>
      <c r="GA27" s="487"/>
      <c r="GB27" s="488">
        <f t="shared" si="59"/>
        <v>0</v>
      </c>
      <c r="GC27" s="489">
        <f t="shared" si="170"/>
        <v>0</v>
      </c>
      <c r="GD27" s="487"/>
      <c r="GE27" s="488">
        <f t="shared" si="60"/>
        <v>0</v>
      </c>
      <c r="GF27" s="489">
        <f t="shared" si="171"/>
        <v>0</v>
      </c>
      <c r="GG27" s="487"/>
      <c r="GH27" s="488">
        <f t="shared" si="61"/>
        <v>0</v>
      </c>
      <c r="GI27" s="489">
        <f t="shared" si="172"/>
        <v>0</v>
      </c>
      <c r="GJ27" s="487"/>
      <c r="GK27" s="488">
        <f t="shared" si="62"/>
        <v>0</v>
      </c>
      <c r="GL27" s="489">
        <f t="shared" si="173"/>
        <v>0</v>
      </c>
      <c r="GM27" s="487"/>
      <c r="GN27" s="488">
        <f t="shared" si="63"/>
        <v>0</v>
      </c>
      <c r="GO27" s="489">
        <f t="shared" si="174"/>
        <v>0</v>
      </c>
      <c r="GP27" s="487"/>
      <c r="GQ27" s="488">
        <f t="shared" si="64"/>
        <v>0</v>
      </c>
      <c r="GR27" s="489">
        <f t="shared" si="175"/>
        <v>0</v>
      </c>
      <c r="GS27" s="487"/>
      <c r="GT27" s="488">
        <f t="shared" si="65"/>
        <v>0</v>
      </c>
      <c r="GU27" s="489">
        <f t="shared" si="176"/>
        <v>0</v>
      </c>
      <c r="GV27" s="487"/>
      <c r="GW27" s="488">
        <f t="shared" si="66"/>
        <v>0</v>
      </c>
      <c r="GX27" s="489">
        <f t="shared" si="177"/>
        <v>0</v>
      </c>
      <c r="GY27" s="487"/>
      <c r="GZ27" s="488">
        <f t="shared" si="67"/>
        <v>0</v>
      </c>
      <c r="HA27" s="489">
        <f t="shared" si="178"/>
        <v>0</v>
      </c>
      <c r="HB27" s="487"/>
      <c r="HC27" s="488">
        <f t="shared" si="68"/>
        <v>0</v>
      </c>
      <c r="HD27" s="489">
        <f t="shared" si="179"/>
        <v>0</v>
      </c>
      <c r="HE27" s="487"/>
      <c r="HF27" s="488">
        <f t="shared" si="69"/>
        <v>0</v>
      </c>
      <c r="HG27" s="489">
        <f t="shared" si="180"/>
        <v>0</v>
      </c>
      <c r="HH27" s="487"/>
      <c r="HI27" s="488">
        <f t="shared" si="70"/>
        <v>0</v>
      </c>
      <c r="HJ27" s="489">
        <f t="shared" si="181"/>
        <v>0</v>
      </c>
      <c r="HK27" s="487"/>
      <c r="HL27" s="488">
        <f t="shared" si="71"/>
        <v>0</v>
      </c>
      <c r="HM27" s="489">
        <f t="shared" si="182"/>
        <v>0</v>
      </c>
      <c r="HN27" s="487"/>
      <c r="HO27" s="488">
        <f t="shared" si="72"/>
        <v>0</v>
      </c>
      <c r="HP27" s="489">
        <f t="shared" si="183"/>
        <v>0</v>
      </c>
      <c r="HQ27" s="487"/>
      <c r="HR27" s="488">
        <f t="shared" si="73"/>
        <v>0</v>
      </c>
      <c r="HS27" s="489">
        <f t="shared" si="184"/>
        <v>0</v>
      </c>
      <c r="HT27" s="487"/>
      <c r="HU27" s="488">
        <f t="shared" si="74"/>
        <v>0</v>
      </c>
      <c r="HV27" s="489">
        <f t="shared" si="185"/>
        <v>0</v>
      </c>
      <c r="HW27" s="487"/>
      <c r="HX27" s="488">
        <f t="shared" si="75"/>
        <v>0</v>
      </c>
      <c r="HY27" s="489">
        <f t="shared" si="186"/>
        <v>0</v>
      </c>
      <c r="HZ27" s="487"/>
      <c r="IA27" s="488">
        <f t="shared" si="76"/>
        <v>0</v>
      </c>
      <c r="IB27" s="489">
        <f t="shared" si="187"/>
        <v>0</v>
      </c>
      <c r="IC27" s="487"/>
      <c r="ID27" s="488">
        <f t="shared" si="77"/>
        <v>0</v>
      </c>
      <c r="IE27" s="489">
        <f t="shared" si="188"/>
        <v>0</v>
      </c>
      <c r="IF27" s="487"/>
      <c r="IG27" s="488">
        <f t="shared" si="78"/>
        <v>0</v>
      </c>
      <c r="IH27" s="489">
        <f t="shared" si="189"/>
        <v>0</v>
      </c>
      <c r="II27" s="487"/>
      <c r="IJ27" s="488">
        <f t="shared" si="79"/>
        <v>0</v>
      </c>
      <c r="IK27" s="489">
        <f t="shared" si="190"/>
        <v>0</v>
      </c>
      <c r="IL27" s="487"/>
      <c r="IM27" s="488">
        <f t="shared" si="80"/>
        <v>0</v>
      </c>
      <c r="IN27" s="489">
        <f t="shared" si="191"/>
        <v>0</v>
      </c>
      <c r="IO27" s="487"/>
      <c r="IP27" s="488">
        <f t="shared" si="81"/>
        <v>0</v>
      </c>
      <c r="IQ27" s="489">
        <f t="shared" si="192"/>
        <v>0</v>
      </c>
      <c r="IR27" s="487"/>
      <c r="IS27" s="488">
        <f t="shared" si="82"/>
        <v>0</v>
      </c>
      <c r="IT27" s="489">
        <f t="shared" si="193"/>
        <v>0</v>
      </c>
      <c r="IU27" s="487"/>
      <c r="IV27" s="488">
        <f t="shared" si="83"/>
        <v>0</v>
      </c>
      <c r="IW27" s="489">
        <f t="shared" si="194"/>
        <v>0</v>
      </c>
      <c r="IX27" s="487"/>
      <c r="IY27" s="488">
        <f t="shared" si="84"/>
        <v>0</v>
      </c>
      <c r="IZ27" s="489">
        <f t="shared" si="195"/>
        <v>0</v>
      </c>
      <c r="JA27" s="487"/>
      <c r="JB27" s="488">
        <f t="shared" si="85"/>
        <v>0</v>
      </c>
      <c r="JC27" s="489">
        <f t="shared" si="196"/>
        <v>0</v>
      </c>
      <c r="JD27" s="487"/>
      <c r="JE27" s="488">
        <f t="shared" si="86"/>
        <v>0</v>
      </c>
      <c r="JF27" s="489">
        <f t="shared" si="197"/>
        <v>0</v>
      </c>
      <c r="JG27" s="487"/>
      <c r="JH27" s="488">
        <f t="shared" si="87"/>
        <v>0</v>
      </c>
      <c r="JI27" s="489">
        <f t="shared" si="198"/>
        <v>0</v>
      </c>
      <c r="JJ27" s="487"/>
      <c r="JK27" s="489" t="str">
        <f t="shared" si="88"/>
        <v>0</v>
      </c>
      <c r="JL27" s="489" t="str">
        <f t="shared" si="89"/>
        <v>0</v>
      </c>
      <c r="JM27" s="487"/>
      <c r="JN27" s="489" t="str">
        <f t="shared" si="90"/>
        <v>0</v>
      </c>
      <c r="JO27" s="489" t="str">
        <f t="shared" si="91"/>
        <v>0</v>
      </c>
      <c r="JP27" s="487"/>
      <c r="JQ27" s="489" t="str">
        <f t="shared" si="92"/>
        <v>0</v>
      </c>
      <c r="JR27" s="489" t="str">
        <f t="shared" si="93"/>
        <v>0</v>
      </c>
      <c r="JS27" s="487"/>
      <c r="JT27" s="489" t="str">
        <f t="shared" si="94"/>
        <v>0</v>
      </c>
      <c r="JU27" s="489" t="str">
        <f t="shared" si="95"/>
        <v>0</v>
      </c>
      <c r="JV27" s="487"/>
      <c r="JW27" s="489" t="str">
        <f t="shared" si="96"/>
        <v>0</v>
      </c>
      <c r="JX27" s="489" t="str">
        <f t="shared" si="97"/>
        <v>0</v>
      </c>
      <c r="JY27" s="487"/>
      <c r="JZ27" s="489" t="str">
        <f t="shared" si="98"/>
        <v>0</v>
      </c>
      <c r="KA27" s="489" t="str">
        <f t="shared" si="99"/>
        <v>0</v>
      </c>
      <c r="KB27" s="487"/>
      <c r="KC27" s="489" t="str">
        <f t="shared" si="100"/>
        <v>0</v>
      </c>
      <c r="KD27" s="489" t="str">
        <f t="shared" si="101"/>
        <v>0</v>
      </c>
      <c r="KE27" s="487"/>
      <c r="KF27" s="489" t="str">
        <f t="shared" si="102"/>
        <v>0</v>
      </c>
      <c r="KG27" s="489" t="str">
        <f t="shared" si="103"/>
        <v>0</v>
      </c>
      <c r="KH27" s="487"/>
      <c r="KI27" s="489" t="str">
        <f t="shared" si="104"/>
        <v>0</v>
      </c>
      <c r="KJ27" s="489" t="str">
        <f t="shared" si="105"/>
        <v>0</v>
      </c>
      <c r="KK27" s="487"/>
      <c r="KL27" s="489" t="str">
        <f t="shared" si="106"/>
        <v>0</v>
      </c>
      <c r="KM27" s="489" t="str">
        <f t="shared" si="107"/>
        <v>0</v>
      </c>
      <c r="KN27" s="487"/>
      <c r="KO27" s="489" t="str">
        <f t="shared" si="108"/>
        <v>0</v>
      </c>
      <c r="KP27" s="489" t="str">
        <f t="shared" si="109"/>
        <v>0</v>
      </c>
      <c r="KQ27" s="487"/>
      <c r="KR27" s="489" t="str">
        <f t="shared" si="110"/>
        <v>0</v>
      </c>
      <c r="KS27" s="489" t="str">
        <f t="shared" si="111"/>
        <v>0</v>
      </c>
      <c r="KT27" s="489">
        <f t="shared" si="201"/>
        <v>0</v>
      </c>
      <c r="KU27" s="489">
        <f t="shared" si="202"/>
        <v>0</v>
      </c>
      <c r="KV27" s="259">
        <f t="shared" si="199"/>
        <v>603.21133480752667</v>
      </c>
    </row>
    <row r="28" spans="1:308" ht="15" customHeight="1">
      <c r="A28" s="261">
        <f t="shared" si="200"/>
        <v>46131</v>
      </c>
      <c r="B28" s="262" t="str">
        <f>+Report1!B27</f>
        <v>Facial</v>
      </c>
      <c r="C28" s="382" t="str">
        <f>+Report1!C27</f>
        <v>13</v>
      </c>
      <c r="D28" s="263">
        <f>+Report1!P27</f>
        <v>49.803000000000004</v>
      </c>
      <c r="E28" s="264">
        <f>+Report1!R27</f>
        <v>54.652000000000001</v>
      </c>
      <c r="F28" s="487"/>
      <c r="G28" s="488">
        <f t="shared" si="0"/>
        <v>0</v>
      </c>
      <c r="H28" s="489">
        <f t="shared" si="112"/>
        <v>0</v>
      </c>
      <c r="I28" s="487">
        <v>418.60279069767427</v>
      </c>
      <c r="J28" s="488">
        <f t="shared" si="1"/>
        <v>7.6594230896888362</v>
      </c>
      <c r="K28" s="489">
        <f t="shared" si="113"/>
        <v>0</v>
      </c>
      <c r="L28" s="487"/>
      <c r="M28" s="488">
        <f t="shared" si="2"/>
        <v>0</v>
      </c>
      <c r="N28" s="489">
        <f t="shared" si="114"/>
        <v>0</v>
      </c>
      <c r="O28" s="487">
        <v>12</v>
      </c>
      <c r="P28" s="488">
        <f t="shared" si="3"/>
        <v>0.21957110444265535</v>
      </c>
      <c r="Q28" s="489">
        <f t="shared" si="115"/>
        <v>0</v>
      </c>
      <c r="R28" s="487">
        <v>7.6875</v>
      </c>
      <c r="S28" s="488">
        <f t="shared" si="4"/>
        <v>0.14066273878357607</v>
      </c>
      <c r="T28" s="489">
        <f t="shared" si="116"/>
        <v>0</v>
      </c>
      <c r="U28" s="487">
        <v>5.46875</v>
      </c>
      <c r="V28" s="488">
        <f t="shared" si="5"/>
        <v>0.10006495645173095</v>
      </c>
      <c r="W28" s="489">
        <f t="shared" si="117"/>
        <v>0</v>
      </c>
      <c r="X28" s="487"/>
      <c r="Y28" s="488">
        <f t="shared" si="6"/>
        <v>0</v>
      </c>
      <c r="Z28" s="489">
        <f t="shared" si="118"/>
        <v>0</v>
      </c>
      <c r="AA28" s="487"/>
      <c r="AB28" s="488">
        <f t="shared" si="7"/>
        <v>0</v>
      </c>
      <c r="AC28" s="489">
        <f t="shared" si="119"/>
        <v>0</v>
      </c>
      <c r="AD28" s="487"/>
      <c r="AE28" s="488">
        <f t="shared" si="8"/>
        <v>0</v>
      </c>
      <c r="AF28" s="489">
        <f t="shared" si="120"/>
        <v>0</v>
      </c>
      <c r="AG28" s="487"/>
      <c r="AH28" s="488">
        <f t="shared" si="9"/>
        <v>0</v>
      </c>
      <c r="AI28" s="489">
        <f t="shared" si="121"/>
        <v>0</v>
      </c>
      <c r="AJ28" s="487"/>
      <c r="AK28" s="488">
        <f t="shared" si="10"/>
        <v>0</v>
      </c>
      <c r="AL28" s="489">
        <f t="shared" si="122"/>
        <v>0</v>
      </c>
      <c r="AM28" s="487">
        <v>40.384615384615415</v>
      </c>
      <c r="AN28" s="488">
        <f t="shared" si="11"/>
        <v>0.73894121687432146</v>
      </c>
      <c r="AO28" s="489">
        <f t="shared" si="123"/>
        <v>0</v>
      </c>
      <c r="AP28" s="487"/>
      <c r="AQ28" s="488">
        <f t="shared" si="12"/>
        <v>0</v>
      </c>
      <c r="AR28" s="489">
        <f t="shared" si="124"/>
        <v>0</v>
      </c>
      <c r="AS28" s="487"/>
      <c r="AT28" s="488">
        <f t="shared" si="13"/>
        <v>0</v>
      </c>
      <c r="AU28" s="489">
        <f t="shared" si="125"/>
        <v>0</v>
      </c>
      <c r="AV28" s="487">
        <v>8.3250000000000171</v>
      </c>
      <c r="AW28" s="488">
        <f t="shared" si="14"/>
        <v>0.15232745370709247</v>
      </c>
      <c r="AX28" s="489">
        <f t="shared" si="126"/>
        <v>0</v>
      </c>
      <c r="AY28" s="487">
        <v>49</v>
      </c>
      <c r="AZ28" s="488">
        <f t="shared" si="15"/>
        <v>0.89658200980750935</v>
      </c>
      <c r="BA28" s="489">
        <f t="shared" si="127"/>
        <v>0</v>
      </c>
      <c r="BB28" s="487"/>
      <c r="BC28" s="488">
        <f t="shared" si="16"/>
        <v>0</v>
      </c>
      <c r="BD28" s="489">
        <f t="shared" si="128"/>
        <v>0</v>
      </c>
      <c r="BE28" s="487"/>
      <c r="BF28" s="488">
        <f t="shared" si="17"/>
        <v>0</v>
      </c>
      <c r="BG28" s="489">
        <f t="shared" si="129"/>
        <v>0</v>
      </c>
      <c r="BH28" s="487"/>
      <c r="BI28" s="488">
        <f t="shared" si="18"/>
        <v>0</v>
      </c>
      <c r="BJ28" s="489">
        <f t="shared" si="130"/>
        <v>0</v>
      </c>
      <c r="BK28" s="487"/>
      <c r="BL28" s="488">
        <f t="shared" si="19"/>
        <v>0</v>
      </c>
      <c r="BM28" s="489">
        <f t="shared" si="131"/>
        <v>0</v>
      </c>
      <c r="BN28" s="487">
        <v>26.574074074074076</v>
      </c>
      <c r="BO28" s="488">
        <f t="shared" si="20"/>
        <v>0.48624156616544822</v>
      </c>
      <c r="BP28" s="489">
        <f t="shared" si="132"/>
        <v>0</v>
      </c>
      <c r="BQ28" s="487"/>
      <c r="BR28" s="488">
        <f t="shared" si="21"/>
        <v>0</v>
      </c>
      <c r="BS28" s="489">
        <f t="shared" si="133"/>
        <v>0</v>
      </c>
      <c r="BT28" s="487"/>
      <c r="BU28" s="488">
        <f t="shared" si="22"/>
        <v>0</v>
      </c>
      <c r="BV28" s="489">
        <f t="shared" si="134"/>
        <v>0</v>
      </c>
      <c r="BW28" s="487"/>
      <c r="BX28" s="488">
        <f t="shared" si="23"/>
        <v>0</v>
      </c>
      <c r="BY28" s="489">
        <f t="shared" si="135"/>
        <v>0</v>
      </c>
      <c r="BZ28" s="487"/>
      <c r="CA28" s="488">
        <f t="shared" si="24"/>
        <v>0</v>
      </c>
      <c r="CB28" s="489">
        <f t="shared" si="136"/>
        <v>0</v>
      </c>
      <c r="CC28" s="487">
        <v>0</v>
      </c>
      <c r="CD28" s="488">
        <f t="shared" si="25"/>
        <v>0</v>
      </c>
      <c r="CE28" s="489">
        <f t="shared" si="137"/>
        <v>0</v>
      </c>
      <c r="CF28" s="487">
        <v>9</v>
      </c>
      <c r="CG28" s="488">
        <f t="shared" si="26"/>
        <v>0.1646783283319915</v>
      </c>
      <c r="CH28" s="489">
        <f t="shared" si="138"/>
        <v>0</v>
      </c>
      <c r="CI28" s="487"/>
      <c r="CJ28" s="488">
        <f t="shared" si="27"/>
        <v>0</v>
      </c>
      <c r="CK28" s="489">
        <f t="shared" si="139"/>
        <v>0</v>
      </c>
      <c r="CL28" s="487"/>
      <c r="CM28" s="488">
        <f t="shared" si="28"/>
        <v>0</v>
      </c>
      <c r="CN28" s="489">
        <f t="shared" si="140"/>
        <v>0</v>
      </c>
      <c r="CO28" s="487"/>
      <c r="CP28" s="488">
        <f t="shared" si="29"/>
        <v>0</v>
      </c>
      <c r="CQ28" s="489">
        <f t="shared" si="141"/>
        <v>0</v>
      </c>
      <c r="CR28" s="487"/>
      <c r="CS28" s="488">
        <f t="shared" si="30"/>
        <v>0</v>
      </c>
      <c r="CT28" s="489">
        <f t="shared" si="142"/>
        <v>0</v>
      </c>
      <c r="CU28" s="487"/>
      <c r="CV28" s="488">
        <f t="shared" si="31"/>
        <v>0</v>
      </c>
      <c r="CW28" s="489">
        <f t="shared" si="143"/>
        <v>0</v>
      </c>
      <c r="CX28" s="487"/>
      <c r="CY28" s="488">
        <f t="shared" si="32"/>
        <v>0</v>
      </c>
      <c r="CZ28" s="489">
        <f t="shared" si="144"/>
        <v>0</v>
      </c>
      <c r="DA28" s="487"/>
      <c r="DB28" s="488">
        <f t="shared" si="33"/>
        <v>0</v>
      </c>
      <c r="DC28" s="489">
        <f t="shared" si="145"/>
        <v>0</v>
      </c>
      <c r="DD28" s="487"/>
      <c r="DE28" s="488">
        <f t="shared" si="34"/>
        <v>0</v>
      </c>
      <c r="DF28" s="489">
        <f t="shared" si="146"/>
        <v>0</v>
      </c>
      <c r="DG28" s="487"/>
      <c r="DH28" s="488">
        <f t="shared" si="35"/>
        <v>0</v>
      </c>
      <c r="DI28" s="489">
        <f t="shared" si="203"/>
        <v>0</v>
      </c>
      <c r="DJ28" s="487"/>
      <c r="DK28" s="488">
        <f t="shared" si="36"/>
        <v>0</v>
      </c>
      <c r="DL28" s="489">
        <f t="shared" si="147"/>
        <v>0</v>
      </c>
      <c r="DM28" s="487"/>
      <c r="DN28" s="488">
        <f t="shared" si="37"/>
        <v>0</v>
      </c>
      <c r="DO28" s="489">
        <f t="shared" si="148"/>
        <v>0</v>
      </c>
      <c r="DP28" s="487"/>
      <c r="DQ28" s="488">
        <f t="shared" si="38"/>
        <v>0</v>
      </c>
      <c r="DR28" s="489">
        <f t="shared" si="149"/>
        <v>0</v>
      </c>
      <c r="DS28" s="487"/>
      <c r="DT28" s="488">
        <f t="shared" si="39"/>
        <v>0</v>
      </c>
      <c r="DU28" s="489">
        <f t="shared" si="150"/>
        <v>0</v>
      </c>
      <c r="DV28" s="487"/>
      <c r="DW28" s="488">
        <f t="shared" si="40"/>
        <v>0</v>
      </c>
      <c r="DX28" s="489">
        <f t="shared" si="151"/>
        <v>0</v>
      </c>
      <c r="DY28" s="487">
        <v>0</v>
      </c>
      <c r="DZ28" s="488">
        <f t="shared" si="41"/>
        <v>0</v>
      </c>
      <c r="EA28" s="489">
        <f t="shared" si="152"/>
        <v>0</v>
      </c>
      <c r="EB28" s="487">
        <v>18.168604651162809</v>
      </c>
      <c r="EC28" s="488">
        <f t="shared" si="42"/>
        <v>0.33244171578648191</v>
      </c>
      <c r="ED28" s="489">
        <f t="shared" si="153"/>
        <v>0</v>
      </c>
      <c r="EE28" s="487">
        <v>8</v>
      </c>
      <c r="EF28" s="488">
        <f t="shared" si="43"/>
        <v>0.14638073629510356</v>
      </c>
      <c r="EG28" s="489">
        <f t="shared" si="154"/>
        <v>0</v>
      </c>
      <c r="EH28" s="487"/>
      <c r="EI28" s="488">
        <f t="shared" si="44"/>
        <v>0</v>
      </c>
      <c r="EJ28" s="489">
        <f t="shared" si="155"/>
        <v>0</v>
      </c>
      <c r="EK28" s="487"/>
      <c r="EL28" s="488">
        <f t="shared" si="45"/>
        <v>0</v>
      </c>
      <c r="EM28" s="489">
        <f t="shared" si="156"/>
        <v>0</v>
      </c>
      <c r="EN28" s="487"/>
      <c r="EO28" s="488">
        <f t="shared" si="46"/>
        <v>0</v>
      </c>
      <c r="EP28" s="489">
        <f t="shared" si="157"/>
        <v>0</v>
      </c>
      <c r="EQ28" s="487"/>
      <c r="ER28" s="488">
        <f t="shared" si="47"/>
        <v>0</v>
      </c>
      <c r="ES28" s="489">
        <f t="shared" si="158"/>
        <v>0</v>
      </c>
      <c r="ET28" s="487"/>
      <c r="EU28" s="488">
        <f t="shared" si="48"/>
        <v>0</v>
      </c>
      <c r="EV28" s="489">
        <f t="shared" si="159"/>
        <v>0</v>
      </c>
      <c r="EW28" s="487"/>
      <c r="EX28" s="488">
        <f t="shared" si="49"/>
        <v>0</v>
      </c>
      <c r="EY28" s="489">
        <f t="shared" si="160"/>
        <v>0</v>
      </c>
      <c r="EZ28" s="487"/>
      <c r="FA28" s="488">
        <f t="shared" si="50"/>
        <v>0</v>
      </c>
      <c r="FB28" s="489">
        <f t="shared" si="161"/>
        <v>0</v>
      </c>
      <c r="FC28" s="487"/>
      <c r="FD28" s="488">
        <f t="shared" si="51"/>
        <v>0</v>
      </c>
      <c r="FE28" s="489">
        <f t="shared" si="162"/>
        <v>0</v>
      </c>
      <c r="FF28" s="487"/>
      <c r="FG28" s="488">
        <f t="shared" si="52"/>
        <v>0</v>
      </c>
      <c r="FH28" s="489">
        <f t="shared" si="163"/>
        <v>0</v>
      </c>
      <c r="FI28" s="487"/>
      <c r="FJ28" s="488">
        <f t="shared" si="53"/>
        <v>0</v>
      </c>
      <c r="FK28" s="489">
        <f t="shared" si="164"/>
        <v>0</v>
      </c>
      <c r="FL28" s="487"/>
      <c r="FM28" s="488">
        <f t="shared" si="54"/>
        <v>0</v>
      </c>
      <c r="FN28" s="489">
        <f t="shared" si="165"/>
        <v>0</v>
      </c>
      <c r="FO28" s="487"/>
      <c r="FP28" s="488">
        <f t="shared" si="55"/>
        <v>0</v>
      </c>
      <c r="FQ28" s="489">
        <f t="shared" si="166"/>
        <v>0</v>
      </c>
      <c r="FR28" s="487"/>
      <c r="FS28" s="488">
        <f t="shared" si="56"/>
        <v>0</v>
      </c>
      <c r="FT28" s="489">
        <f t="shared" si="167"/>
        <v>0</v>
      </c>
      <c r="FU28" s="487"/>
      <c r="FV28" s="488">
        <f t="shared" si="57"/>
        <v>0</v>
      </c>
      <c r="FW28" s="489">
        <f t="shared" si="168"/>
        <v>0</v>
      </c>
      <c r="FX28" s="487"/>
      <c r="FY28" s="488">
        <f t="shared" si="58"/>
        <v>0</v>
      </c>
      <c r="FZ28" s="489">
        <f t="shared" si="169"/>
        <v>0</v>
      </c>
      <c r="GA28" s="487"/>
      <c r="GB28" s="488">
        <f t="shared" si="59"/>
        <v>0</v>
      </c>
      <c r="GC28" s="489">
        <f t="shared" si="170"/>
        <v>0</v>
      </c>
      <c r="GD28" s="487"/>
      <c r="GE28" s="488">
        <f t="shared" si="60"/>
        <v>0</v>
      </c>
      <c r="GF28" s="489">
        <f t="shared" si="171"/>
        <v>0</v>
      </c>
      <c r="GG28" s="487"/>
      <c r="GH28" s="488">
        <f t="shared" si="61"/>
        <v>0</v>
      </c>
      <c r="GI28" s="489">
        <f t="shared" si="172"/>
        <v>0</v>
      </c>
      <c r="GJ28" s="487"/>
      <c r="GK28" s="488">
        <f t="shared" si="62"/>
        <v>0</v>
      </c>
      <c r="GL28" s="489">
        <f t="shared" si="173"/>
        <v>0</v>
      </c>
      <c r="GM28" s="487"/>
      <c r="GN28" s="488">
        <f t="shared" si="63"/>
        <v>0</v>
      </c>
      <c r="GO28" s="489">
        <f t="shared" si="174"/>
        <v>0</v>
      </c>
      <c r="GP28" s="487"/>
      <c r="GQ28" s="488">
        <f t="shared" si="64"/>
        <v>0</v>
      </c>
      <c r="GR28" s="489">
        <f t="shared" si="175"/>
        <v>0</v>
      </c>
      <c r="GS28" s="487"/>
      <c r="GT28" s="488">
        <f t="shared" si="65"/>
        <v>0</v>
      </c>
      <c r="GU28" s="489">
        <f t="shared" si="176"/>
        <v>0</v>
      </c>
      <c r="GV28" s="487"/>
      <c r="GW28" s="488">
        <f t="shared" si="66"/>
        <v>0</v>
      </c>
      <c r="GX28" s="489">
        <f t="shared" si="177"/>
        <v>0</v>
      </c>
      <c r="GY28" s="487"/>
      <c r="GZ28" s="488">
        <f t="shared" si="67"/>
        <v>0</v>
      </c>
      <c r="HA28" s="489">
        <f t="shared" si="178"/>
        <v>0</v>
      </c>
      <c r="HB28" s="487"/>
      <c r="HC28" s="488">
        <f t="shared" si="68"/>
        <v>0</v>
      </c>
      <c r="HD28" s="489">
        <f t="shared" si="179"/>
        <v>0</v>
      </c>
      <c r="HE28" s="487"/>
      <c r="HF28" s="488">
        <f t="shared" si="69"/>
        <v>0</v>
      </c>
      <c r="HG28" s="489">
        <f t="shared" si="180"/>
        <v>0</v>
      </c>
      <c r="HH28" s="487"/>
      <c r="HI28" s="488">
        <f t="shared" si="70"/>
        <v>0</v>
      </c>
      <c r="HJ28" s="489">
        <f t="shared" si="181"/>
        <v>0</v>
      </c>
      <c r="HK28" s="487"/>
      <c r="HL28" s="488">
        <f t="shared" si="71"/>
        <v>0</v>
      </c>
      <c r="HM28" s="489">
        <f t="shared" si="182"/>
        <v>0</v>
      </c>
      <c r="HN28" s="487"/>
      <c r="HO28" s="488">
        <f t="shared" si="72"/>
        <v>0</v>
      </c>
      <c r="HP28" s="489">
        <f t="shared" si="183"/>
        <v>0</v>
      </c>
      <c r="HQ28" s="487"/>
      <c r="HR28" s="488">
        <f t="shared" si="73"/>
        <v>0</v>
      </c>
      <c r="HS28" s="489">
        <f t="shared" si="184"/>
        <v>0</v>
      </c>
      <c r="HT28" s="487"/>
      <c r="HU28" s="488">
        <f t="shared" si="74"/>
        <v>0</v>
      </c>
      <c r="HV28" s="489">
        <f t="shared" si="185"/>
        <v>0</v>
      </c>
      <c r="HW28" s="487"/>
      <c r="HX28" s="488">
        <f t="shared" si="75"/>
        <v>0</v>
      </c>
      <c r="HY28" s="489">
        <f t="shared" si="186"/>
        <v>0</v>
      </c>
      <c r="HZ28" s="487"/>
      <c r="IA28" s="488">
        <f t="shared" si="76"/>
        <v>0</v>
      </c>
      <c r="IB28" s="489">
        <f t="shared" si="187"/>
        <v>0</v>
      </c>
      <c r="IC28" s="487"/>
      <c r="ID28" s="488">
        <f t="shared" si="77"/>
        <v>0</v>
      </c>
      <c r="IE28" s="489">
        <f t="shared" si="188"/>
        <v>0</v>
      </c>
      <c r="IF28" s="487"/>
      <c r="IG28" s="488">
        <f t="shared" si="78"/>
        <v>0</v>
      </c>
      <c r="IH28" s="489">
        <f t="shared" si="189"/>
        <v>0</v>
      </c>
      <c r="II28" s="487"/>
      <c r="IJ28" s="488">
        <f t="shared" si="79"/>
        <v>0</v>
      </c>
      <c r="IK28" s="489">
        <f t="shared" si="190"/>
        <v>0</v>
      </c>
      <c r="IL28" s="487"/>
      <c r="IM28" s="488">
        <f t="shared" si="80"/>
        <v>0</v>
      </c>
      <c r="IN28" s="489">
        <f t="shared" si="191"/>
        <v>0</v>
      </c>
      <c r="IO28" s="487"/>
      <c r="IP28" s="488">
        <f t="shared" si="81"/>
        <v>0</v>
      </c>
      <c r="IQ28" s="489">
        <f t="shared" si="192"/>
        <v>0</v>
      </c>
      <c r="IR28" s="487"/>
      <c r="IS28" s="488">
        <f t="shared" si="82"/>
        <v>0</v>
      </c>
      <c r="IT28" s="489">
        <f t="shared" si="193"/>
        <v>0</v>
      </c>
      <c r="IU28" s="487"/>
      <c r="IV28" s="488">
        <f t="shared" si="83"/>
        <v>0</v>
      </c>
      <c r="IW28" s="489">
        <f t="shared" si="194"/>
        <v>0</v>
      </c>
      <c r="IX28" s="487"/>
      <c r="IY28" s="488">
        <f t="shared" si="84"/>
        <v>0</v>
      </c>
      <c r="IZ28" s="489">
        <f t="shared" si="195"/>
        <v>0</v>
      </c>
      <c r="JA28" s="487"/>
      <c r="JB28" s="488">
        <f t="shared" si="85"/>
        <v>0</v>
      </c>
      <c r="JC28" s="489">
        <f t="shared" si="196"/>
        <v>0</v>
      </c>
      <c r="JD28" s="487"/>
      <c r="JE28" s="488">
        <f t="shared" si="86"/>
        <v>0</v>
      </c>
      <c r="JF28" s="489">
        <f t="shared" si="197"/>
        <v>0</v>
      </c>
      <c r="JG28" s="487"/>
      <c r="JH28" s="488">
        <f t="shared" si="87"/>
        <v>0</v>
      </c>
      <c r="JI28" s="489">
        <f t="shared" si="198"/>
        <v>0</v>
      </c>
      <c r="JJ28" s="487"/>
      <c r="JK28" s="489" t="str">
        <f t="shared" si="88"/>
        <v>0</v>
      </c>
      <c r="JL28" s="489" t="str">
        <f t="shared" si="89"/>
        <v>0</v>
      </c>
      <c r="JM28" s="487"/>
      <c r="JN28" s="489" t="str">
        <f t="shared" si="90"/>
        <v>0</v>
      </c>
      <c r="JO28" s="489" t="str">
        <f t="shared" si="91"/>
        <v>0</v>
      </c>
      <c r="JP28" s="487"/>
      <c r="JQ28" s="489" t="str">
        <f t="shared" si="92"/>
        <v>0</v>
      </c>
      <c r="JR28" s="489" t="str">
        <f t="shared" si="93"/>
        <v>0</v>
      </c>
      <c r="JS28" s="487"/>
      <c r="JT28" s="489" t="str">
        <f t="shared" si="94"/>
        <v>0</v>
      </c>
      <c r="JU28" s="489" t="str">
        <f t="shared" si="95"/>
        <v>0</v>
      </c>
      <c r="JV28" s="487"/>
      <c r="JW28" s="489" t="str">
        <f t="shared" si="96"/>
        <v>0</v>
      </c>
      <c r="JX28" s="489" t="str">
        <f t="shared" si="97"/>
        <v>0</v>
      </c>
      <c r="JY28" s="487"/>
      <c r="JZ28" s="489" t="str">
        <f t="shared" si="98"/>
        <v>0</v>
      </c>
      <c r="KA28" s="489" t="str">
        <f t="shared" si="99"/>
        <v>0</v>
      </c>
      <c r="KB28" s="487"/>
      <c r="KC28" s="489" t="str">
        <f t="shared" si="100"/>
        <v>0</v>
      </c>
      <c r="KD28" s="489" t="str">
        <f t="shared" si="101"/>
        <v>0</v>
      </c>
      <c r="KE28" s="487"/>
      <c r="KF28" s="489" t="str">
        <f t="shared" si="102"/>
        <v>0</v>
      </c>
      <c r="KG28" s="489" t="str">
        <f t="shared" si="103"/>
        <v>0</v>
      </c>
      <c r="KH28" s="487"/>
      <c r="KI28" s="489" t="str">
        <f t="shared" si="104"/>
        <v>0</v>
      </c>
      <c r="KJ28" s="489" t="str">
        <f t="shared" si="105"/>
        <v>0</v>
      </c>
      <c r="KK28" s="487"/>
      <c r="KL28" s="489" t="str">
        <f t="shared" si="106"/>
        <v>0</v>
      </c>
      <c r="KM28" s="489" t="str">
        <f t="shared" si="107"/>
        <v>0</v>
      </c>
      <c r="KN28" s="487"/>
      <c r="KO28" s="489" t="str">
        <f t="shared" si="108"/>
        <v>0</v>
      </c>
      <c r="KP28" s="489" t="str">
        <f t="shared" si="109"/>
        <v>0</v>
      </c>
      <c r="KQ28" s="487"/>
      <c r="KR28" s="489" t="str">
        <f t="shared" si="110"/>
        <v>0</v>
      </c>
      <c r="KS28" s="489" t="str">
        <f t="shared" si="111"/>
        <v>0</v>
      </c>
      <c r="KT28" s="489">
        <f t="shared" si="201"/>
        <v>0</v>
      </c>
      <c r="KU28" s="489">
        <f t="shared" si="202"/>
        <v>0</v>
      </c>
      <c r="KV28" s="259">
        <f t="shared" si="199"/>
        <v>603.21133480752667</v>
      </c>
    </row>
    <row r="29" spans="1:308" ht="15" customHeight="1">
      <c r="A29" s="261">
        <f t="shared" si="200"/>
        <v>46132</v>
      </c>
      <c r="B29" s="262" t="str">
        <f>+Report1!B28</f>
        <v>Facial</v>
      </c>
      <c r="C29" s="382" t="str">
        <f>+Report1!C28</f>
        <v>13</v>
      </c>
      <c r="D29" s="263">
        <f>+Report1!P28</f>
        <v>49.64</v>
      </c>
      <c r="E29" s="264">
        <f>+Report1!R28</f>
        <v>44.97</v>
      </c>
      <c r="F29" s="487"/>
      <c r="G29" s="488">
        <f t="shared" si="0"/>
        <v>0</v>
      </c>
      <c r="H29" s="489">
        <f t="shared" si="112"/>
        <v>0</v>
      </c>
      <c r="I29" s="487">
        <v>453.48837209302337</v>
      </c>
      <c r="J29" s="488">
        <f t="shared" si="1"/>
        <v>10.084242207983619</v>
      </c>
      <c r="K29" s="489">
        <f t="shared" si="113"/>
        <v>0</v>
      </c>
      <c r="L29" s="487"/>
      <c r="M29" s="488">
        <f t="shared" si="2"/>
        <v>0</v>
      </c>
      <c r="N29" s="489">
        <f t="shared" si="114"/>
        <v>0</v>
      </c>
      <c r="O29" s="487">
        <v>12.000000000000028</v>
      </c>
      <c r="P29" s="488">
        <f t="shared" si="3"/>
        <v>0.26684456304202864</v>
      </c>
      <c r="Q29" s="489">
        <f t="shared" si="115"/>
        <v>0</v>
      </c>
      <c r="R29" s="487">
        <v>7.6874999999999432</v>
      </c>
      <c r="S29" s="488">
        <f t="shared" si="4"/>
        <v>0.17094729819879795</v>
      </c>
      <c r="T29" s="489">
        <f t="shared" si="116"/>
        <v>0</v>
      </c>
      <c r="U29" s="487">
        <v>3.1249999999999716</v>
      </c>
      <c r="V29" s="488">
        <f t="shared" si="5"/>
        <v>6.9490771625527498E-2</v>
      </c>
      <c r="W29" s="489">
        <f t="shared" si="117"/>
        <v>0</v>
      </c>
      <c r="X29" s="487"/>
      <c r="Y29" s="488">
        <f t="shared" si="6"/>
        <v>0</v>
      </c>
      <c r="Z29" s="489">
        <f t="shared" si="118"/>
        <v>0</v>
      </c>
      <c r="AA29" s="487"/>
      <c r="AB29" s="488">
        <f t="shared" si="7"/>
        <v>0</v>
      </c>
      <c r="AC29" s="489">
        <f t="shared" si="119"/>
        <v>0</v>
      </c>
      <c r="AD29" s="487"/>
      <c r="AE29" s="488">
        <f t="shared" si="8"/>
        <v>0</v>
      </c>
      <c r="AF29" s="489">
        <f t="shared" si="120"/>
        <v>0</v>
      </c>
      <c r="AG29" s="487"/>
      <c r="AH29" s="488">
        <f t="shared" si="9"/>
        <v>0</v>
      </c>
      <c r="AI29" s="489">
        <f t="shared" si="121"/>
        <v>0</v>
      </c>
      <c r="AJ29" s="487"/>
      <c r="AK29" s="488">
        <f t="shared" si="10"/>
        <v>0</v>
      </c>
      <c r="AL29" s="489">
        <f t="shared" si="122"/>
        <v>0</v>
      </c>
      <c r="AM29" s="487">
        <v>37.499999999999886</v>
      </c>
      <c r="AN29" s="488">
        <f t="shared" si="11"/>
        <v>0.83388925950633508</v>
      </c>
      <c r="AO29" s="489">
        <f t="shared" si="123"/>
        <v>0</v>
      </c>
      <c r="AP29" s="487"/>
      <c r="AQ29" s="488">
        <f t="shared" si="12"/>
        <v>0</v>
      </c>
      <c r="AR29" s="489">
        <f t="shared" si="124"/>
        <v>0</v>
      </c>
      <c r="AS29" s="487"/>
      <c r="AT29" s="488">
        <f t="shared" si="13"/>
        <v>0</v>
      </c>
      <c r="AU29" s="489">
        <f t="shared" si="125"/>
        <v>0</v>
      </c>
      <c r="AV29" s="487">
        <v>11.100000000000023</v>
      </c>
      <c r="AW29" s="488">
        <f t="shared" si="14"/>
        <v>0.24683122081387643</v>
      </c>
      <c r="AX29" s="489">
        <f t="shared" si="126"/>
        <v>0</v>
      </c>
      <c r="AY29" s="487">
        <v>49</v>
      </c>
      <c r="AZ29" s="488">
        <f t="shared" si="15"/>
        <v>1.089615299088281</v>
      </c>
      <c r="BA29" s="489">
        <f t="shared" si="127"/>
        <v>0</v>
      </c>
      <c r="BB29" s="487"/>
      <c r="BC29" s="488">
        <f t="shared" si="16"/>
        <v>0</v>
      </c>
      <c r="BD29" s="489">
        <f t="shared" si="128"/>
        <v>0</v>
      </c>
      <c r="BE29" s="487"/>
      <c r="BF29" s="488">
        <f t="shared" si="17"/>
        <v>0</v>
      </c>
      <c r="BG29" s="489">
        <f t="shared" si="129"/>
        <v>0</v>
      </c>
      <c r="BH29" s="487"/>
      <c r="BI29" s="488">
        <f t="shared" si="18"/>
        <v>0</v>
      </c>
      <c r="BJ29" s="489">
        <f t="shared" si="130"/>
        <v>0</v>
      </c>
      <c r="BK29" s="487"/>
      <c r="BL29" s="488">
        <f t="shared" si="19"/>
        <v>0</v>
      </c>
      <c r="BM29" s="489">
        <f t="shared" si="131"/>
        <v>0</v>
      </c>
      <c r="BN29" s="487">
        <v>22.777777777777771</v>
      </c>
      <c r="BO29" s="488">
        <f t="shared" si="20"/>
        <v>0.5065105131816271</v>
      </c>
      <c r="BP29" s="489">
        <f t="shared" si="132"/>
        <v>0</v>
      </c>
      <c r="BQ29" s="487"/>
      <c r="BR29" s="488">
        <f t="shared" si="21"/>
        <v>0</v>
      </c>
      <c r="BS29" s="489">
        <f t="shared" si="133"/>
        <v>0</v>
      </c>
      <c r="BT29" s="487"/>
      <c r="BU29" s="488">
        <f t="shared" si="22"/>
        <v>0</v>
      </c>
      <c r="BV29" s="489">
        <f t="shared" si="134"/>
        <v>0</v>
      </c>
      <c r="BW29" s="487"/>
      <c r="BX29" s="488">
        <f t="shared" si="23"/>
        <v>0</v>
      </c>
      <c r="BY29" s="489">
        <f t="shared" si="135"/>
        <v>0</v>
      </c>
      <c r="BZ29" s="487"/>
      <c r="CA29" s="488">
        <f t="shared" si="24"/>
        <v>0</v>
      </c>
      <c r="CB29" s="489">
        <f t="shared" si="136"/>
        <v>0</v>
      </c>
      <c r="CC29" s="487">
        <v>0</v>
      </c>
      <c r="CD29" s="488">
        <f t="shared" si="25"/>
        <v>0</v>
      </c>
      <c r="CE29" s="489">
        <f t="shared" si="137"/>
        <v>0</v>
      </c>
      <c r="CF29" s="487">
        <v>12</v>
      </c>
      <c r="CG29" s="488">
        <f t="shared" si="26"/>
        <v>0.26684456304202803</v>
      </c>
      <c r="CH29" s="489">
        <f t="shared" si="138"/>
        <v>0</v>
      </c>
      <c r="CI29" s="487"/>
      <c r="CJ29" s="488">
        <f t="shared" si="27"/>
        <v>0</v>
      </c>
      <c r="CK29" s="489">
        <f t="shared" si="139"/>
        <v>0</v>
      </c>
      <c r="CL29" s="487"/>
      <c r="CM29" s="488">
        <f t="shared" si="28"/>
        <v>0</v>
      </c>
      <c r="CN29" s="489">
        <f t="shared" si="140"/>
        <v>0</v>
      </c>
      <c r="CO29" s="487"/>
      <c r="CP29" s="488">
        <f t="shared" si="29"/>
        <v>0</v>
      </c>
      <c r="CQ29" s="489">
        <f t="shared" si="141"/>
        <v>0</v>
      </c>
      <c r="CR29" s="487"/>
      <c r="CS29" s="488">
        <f t="shared" si="30"/>
        <v>0</v>
      </c>
      <c r="CT29" s="489">
        <f t="shared" si="142"/>
        <v>0</v>
      </c>
      <c r="CU29" s="487"/>
      <c r="CV29" s="488">
        <f t="shared" si="31"/>
        <v>0</v>
      </c>
      <c r="CW29" s="489">
        <f t="shared" si="143"/>
        <v>0</v>
      </c>
      <c r="CX29" s="487"/>
      <c r="CY29" s="488">
        <f t="shared" si="32"/>
        <v>0</v>
      </c>
      <c r="CZ29" s="489">
        <f t="shared" si="144"/>
        <v>0</v>
      </c>
      <c r="DA29" s="487"/>
      <c r="DB29" s="488">
        <f t="shared" si="33"/>
        <v>0</v>
      </c>
      <c r="DC29" s="489">
        <f t="shared" si="145"/>
        <v>0</v>
      </c>
      <c r="DD29" s="487"/>
      <c r="DE29" s="488">
        <f t="shared" si="34"/>
        <v>0</v>
      </c>
      <c r="DF29" s="489">
        <f t="shared" si="146"/>
        <v>0</v>
      </c>
      <c r="DG29" s="487"/>
      <c r="DH29" s="488">
        <f t="shared" si="35"/>
        <v>0</v>
      </c>
      <c r="DI29" s="489">
        <f t="shared" si="203"/>
        <v>0</v>
      </c>
      <c r="DJ29" s="487"/>
      <c r="DK29" s="488">
        <f t="shared" si="36"/>
        <v>0</v>
      </c>
      <c r="DL29" s="489">
        <f t="shared" si="147"/>
        <v>0</v>
      </c>
      <c r="DM29" s="487"/>
      <c r="DN29" s="488">
        <f t="shared" si="37"/>
        <v>0</v>
      </c>
      <c r="DO29" s="489">
        <f t="shared" si="148"/>
        <v>0</v>
      </c>
      <c r="DP29" s="487"/>
      <c r="DQ29" s="488">
        <f t="shared" si="38"/>
        <v>0</v>
      </c>
      <c r="DR29" s="489">
        <f t="shared" si="149"/>
        <v>0</v>
      </c>
      <c r="DS29" s="487"/>
      <c r="DT29" s="488">
        <f t="shared" si="39"/>
        <v>0</v>
      </c>
      <c r="DU29" s="489">
        <f t="shared" si="150"/>
        <v>0</v>
      </c>
      <c r="DV29" s="487"/>
      <c r="DW29" s="488">
        <f t="shared" si="40"/>
        <v>0</v>
      </c>
      <c r="DX29" s="489">
        <f t="shared" si="151"/>
        <v>0</v>
      </c>
      <c r="DY29" s="487">
        <v>0</v>
      </c>
      <c r="DZ29" s="488">
        <f t="shared" si="41"/>
        <v>0</v>
      </c>
      <c r="EA29" s="489">
        <f t="shared" si="152"/>
        <v>0</v>
      </c>
      <c r="EB29" s="487">
        <v>21.802325581395337</v>
      </c>
      <c r="EC29" s="488">
        <f t="shared" si="42"/>
        <v>0.48481933692228901</v>
      </c>
      <c r="ED29" s="489">
        <f t="shared" si="153"/>
        <v>0</v>
      </c>
      <c r="EE29" s="487">
        <v>8</v>
      </c>
      <c r="EF29" s="488">
        <f t="shared" si="43"/>
        <v>0.17789637536135203</v>
      </c>
      <c r="EG29" s="489">
        <f t="shared" si="154"/>
        <v>0</v>
      </c>
      <c r="EH29" s="487"/>
      <c r="EI29" s="488">
        <f t="shared" si="44"/>
        <v>0</v>
      </c>
      <c r="EJ29" s="489">
        <f t="shared" si="155"/>
        <v>0</v>
      </c>
      <c r="EK29" s="487"/>
      <c r="EL29" s="488">
        <f t="shared" si="45"/>
        <v>0</v>
      </c>
      <c r="EM29" s="489">
        <f t="shared" si="156"/>
        <v>0</v>
      </c>
      <c r="EN29" s="487"/>
      <c r="EO29" s="488">
        <f t="shared" si="46"/>
        <v>0</v>
      </c>
      <c r="EP29" s="489">
        <f t="shared" si="157"/>
        <v>0</v>
      </c>
      <c r="EQ29" s="487"/>
      <c r="ER29" s="488">
        <f t="shared" si="47"/>
        <v>0</v>
      </c>
      <c r="ES29" s="489">
        <f t="shared" si="158"/>
        <v>0</v>
      </c>
      <c r="ET29" s="487"/>
      <c r="EU29" s="488">
        <f t="shared" si="48"/>
        <v>0</v>
      </c>
      <c r="EV29" s="489">
        <f t="shared" si="159"/>
        <v>0</v>
      </c>
      <c r="EW29" s="487"/>
      <c r="EX29" s="488">
        <f t="shared" si="49"/>
        <v>0</v>
      </c>
      <c r="EY29" s="489">
        <f t="shared" si="160"/>
        <v>0</v>
      </c>
      <c r="EZ29" s="487"/>
      <c r="FA29" s="488">
        <f t="shared" si="50"/>
        <v>0</v>
      </c>
      <c r="FB29" s="489">
        <f t="shared" si="161"/>
        <v>0</v>
      </c>
      <c r="FC29" s="487"/>
      <c r="FD29" s="488">
        <f t="shared" si="51"/>
        <v>0</v>
      </c>
      <c r="FE29" s="489">
        <f t="shared" si="162"/>
        <v>0</v>
      </c>
      <c r="FF29" s="487"/>
      <c r="FG29" s="488">
        <f t="shared" si="52"/>
        <v>0</v>
      </c>
      <c r="FH29" s="489">
        <f t="shared" si="163"/>
        <v>0</v>
      </c>
      <c r="FI29" s="487"/>
      <c r="FJ29" s="488">
        <f t="shared" si="53"/>
        <v>0</v>
      </c>
      <c r="FK29" s="489">
        <f t="shared" si="164"/>
        <v>0</v>
      </c>
      <c r="FL29" s="487"/>
      <c r="FM29" s="488">
        <f t="shared" si="54"/>
        <v>0</v>
      </c>
      <c r="FN29" s="489">
        <f t="shared" si="165"/>
        <v>0</v>
      </c>
      <c r="FO29" s="487"/>
      <c r="FP29" s="488">
        <f t="shared" si="55"/>
        <v>0</v>
      </c>
      <c r="FQ29" s="489">
        <f t="shared" si="166"/>
        <v>0</v>
      </c>
      <c r="FR29" s="487"/>
      <c r="FS29" s="488">
        <f t="shared" si="56"/>
        <v>0</v>
      </c>
      <c r="FT29" s="489">
        <f t="shared" si="167"/>
        <v>0</v>
      </c>
      <c r="FU29" s="487"/>
      <c r="FV29" s="488">
        <f t="shared" si="57"/>
        <v>0</v>
      </c>
      <c r="FW29" s="489">
        <f t="shared" si="168"/>
        <v>0</v>
      </c>
      <c r="FX29" s="487"/>
      <c r="FY29" s="488">
        <f t="shared" si="58"/>
        <v>0</v>
      </c>
      <c r="FZ29" s="489">
        <f t="shared" si="169"/>
        <v>0</v>
      </c>
      <c r="GA29" s="487"/>
      <c r="GB29" s="488">
        <f t="shared" si="59"/>
        <v>0</v>
      </c>
      <c r="GC29" s="489">
        <f t="shared" si="170"/>
        <v>0</v>
      </c>
      <c r="GD29" s="487"/>
      <c r="GE29" s="488">
        <f t="shared" si="60"/>
        <v>0</v>
      </c>
      <c r="GF29" s="489">
        <f t="shared" si="171"/>
        <v>0</v>
      </c>
      <c r="GG29" s="487"/>
      <c r="GH29" s="488">
        <f t="shared" si="61"/>
        <v>0</v>
      </c>
      <c r="GI29" s="489">
        <f t="shared" si="172"/>
        <v>0</v>
      </c>
      <c r="GJ29" s="487"/>
      <c r="GK29" s="488">
        <f t="shared" si="62"/>
        <v>0</v>
      </c>
      <c r="GL29" s="489">
        <f t="shared" si="173"/>
        <v>0</v>
      </c>
      <c r="GM29" s="487"/>
      <c r="GN29" s="488">
        <f t="shared" si="63"/>
        <v>0</v>
      </c>
      <c r="GO29" s="489">
        <f t="shared" si="174"/>
        <v>0</v>
      </c>
      <c r="GP29" s="487"/>
      <c r="GQ29" s="488">
        <f t="shared" si="64"/>
        <v>0</v>
      </c>
      <c r="GR29" s="489">
        <f t="shared" si="175"/>
        <v>0</v>
      </c>
      <c r="GS29" s="487"/>
      <c r="GT29" s="488">
        <f t="shared" si="65"/>
        <v>0</v>
      </c>
      <c r="GU29" s="489">
        <f t="shared" si="176"/>
        <v>0</v>
      </c>
      <c r="GV29" s="487"/>
      <c r="GW29" s="488">
        <f t="shared" si="66"/>
        <v>0</v>
      </c>
      <c r="GX29" s="489">
        <f t="shared" si="177"/>
        <v>0</v>
      </c>
      <c r="GY29" s="487"/>
      <c r="GZ29" s="488">
        <f t="shared" si="67"/>
        <v>0</v>
      </c>
      <c r="HA29" s="489">
        <f t="shared" si="178"/>
        <v>0</v>
      </c>
      <c r="HB29" s="487"/>
      <c r="HC29" s="488">
        <f t="shared" si="68"/>
        <v>0</v>
      </c>
      <c r="HD29" s="489">
        <f t="shared" si="179"/>
        <v>0</v>
      </c>
      <c r="HE29" s="487"/>
      <c r="HF29" s="488">
        <f t="shared" si="69"/>
        <v>0</v>
      </c>
      <c r="HG29" s="489">
        <f t="shared" si="180"/>
        <v>0</v>
      </c>
      <c r="HH29" s="487"/>
      <c r="HI29" s="488">
        <f t="shared" si="70"/>
        <v>0</v>
      </c>
      <c r="HJ29" s="489">
        <f t="shared" si="181"/>
        <v>0</v>
      </c>
      <c r="HK29" s="487"/>
      <c r="HL29" s="488">
        <f t="shared" si="71"/>
        <v>0</v>
      </c>
      <c r="HM29" s="489">
        <f t="shared" si="182"/>
        <v>0</v>
      </c>
      <c r="HN29" s="487"/>
      <c r="HO29" s="488">
        <f t="shared" si="72"/>
        <v>0</v>
      </c>
      <c r="HP29" s="489">
        <f t="shared" si="183"/>
        <v>0</v>
      </c>
      <c r="HQ29" s="487"/>
      <c r="HR29" s="488">
        <f t="shared" si="73"/>
        <v>0</v>
      </c>
      <c r="HS29" s="489">
        <f t="shared" si="184"/>
        <v>0</v>
      </c>
      <c r="HT29" s="487"/>
      <c r="HU29" s="488">
        <f t="shared" si="74"/>
        <v>0</v>
      </c>
      <c r="HV29" s="489">
        <f t="shared" si="185"/>
        <v>0</v>
      </c>
      <c r="HW29" s="487"/>
      <c r="HX29" s="488">
        <f t="shared" si="75"/>
        <v>0</v>
      </c>
      <c r="HY29" s="489">
        <f t="shared" si="186"/>
        <v>0</v>
      </c>
      <c r="HZ29" s="487"/>
      <c r="IA29" s="488">
        <f t="shared" si="76"/>
        <v>0</v>
      </c>
      <c r="IB29" s="489">
        <f t="shared" si="187"/>
        <v>0</v>
      </c>
      <c r="IC29" s="487"/>
      <c r="ID29" s="488">
        <f t="shared" si="77"/>
        <v>0</v>
      </c>
      <c r="IE29" s="489">
        <f t="shared" si="188"/>
        <v>0</v>
      </c>
      <c r="IF29" s="487"/>
      <c r="IG29" s="488">
        <f t="shared" si="78"/>
        <v>0</v>
      </c>
      <c r="IH29" s="489">
        <f t="shared" si="189"/>
        <v>0</v>
      </c>
      <c r="II29" s="487"/>
      <c r="IJ29" s="488">
        <f t="shared" si="79"/>
        <v>0</v>
      </c>
      <c r="IK29" s="489">
        <f t="shared" si="190"/>
        <v>0</v>
      </c>
      <c r="IL29" s="487"/>
      <c r="IM29" s="488">
        <f t="shared" si="80"/>
        <v>0</v>
      </c>
      <c r="IN29" s="489">
        <f t="shared" si="191"/>
        <v>0</v>
      </c>
      <c r="IO29" s="487"/>
      <c r="IP29" s="488">
        <f t="shared" si="81"/>
        <v>0</v>
      </c>
      <c r="IQ29" s="489">
        <f t="shared" si="192"/>
        <v>0</v>
      </c>
      <c r="IR29" s="487"/>
      <c r="IS29" s="488">
        <f t="shared" si="82"/>
        <v>0</v>
      </c>
      <c r="IT29" s="489">
        <f t="shared" si="193"/>
        <v>0</v>
      </c>
      <c r="IU29" s="487"/>
      <c r="IV29" s="488">
        <f t="shared" si="83"/>
        <v>0</v>
      </c>
      <c r="IW29" s="489">
        <f t="shared" si="194"/>
        <v>0</v>
      </c>
      <c r="IX29" s="487"/>
      <c r="IY29" s="488">
        <f t="shared" si="84"/>
        <v>0</v>
      </c>
      <c r="IZ29" s="489">
        <f t="shared" si="195"/>
        <v>0</v>
      </c>
      <c r="JA29" s="487"/>
      <c r="JB29" s="488">
        <f t="shared" si="85"/>
        <v>0</v>
      </c>
      <c r="JC29" s="489">
        <f t="shared" si="196"/>
        <v>0</v>
      </c>
      <c r="JD29" s="487"/>
      <c r="JE29" s="488">
        <f t="shared" si="86"/>
        <v>0</v>
      </c>
      <c r="JF29" s="489">
        <f t="shared" si="197"/>
        <v>0</v>
      </c>
      <c r="JG29" s="487"/>
      <c r="JH29" s="488">
        <f t="shared" si="87"/>
        <v>0</v>
      </c>
      <c r="JI29" s="489">
        <f t="shared" si="198"/>
        <v>0</v>
      </c>
      <c r="JJ29" s="487"/>
      <c r="JK29" s="489" t="str">
        <f t="shared" si="88"/>
        <v>0</v>
      </c>
      <c r="JL29" s="489" t="str">
        <f t="shared" si="89"/>
        <v>0</v>
      </c>
      <c r="JM29" s="487"/>
      <c r="JN29" s="489" t="str">
        <f t="shared" si="90"/>
        <v>0</v>
      </c>
      <c r="JO29" s="489" t="str">
        <f t="shared" si="91"/>
        <v>0</v>
      </c>
      <c r="JP29" s="487"/>
      <c r="JQ29" s="489" t="str">
        <f t="shared" si="92"/>
        <v>0</v>
      </c>
      <c r="JR29" s="489" t="str">
        <f t="shared" si="93"/>
        <v>0</v>
      </c>
      <c r="JS29" s="487"/>
      <c r="JT29" s="489" t="str">
        <f t="shared" si="94"/>
        <v>0</v>
      </c>
      <c r="JU29" s="489" t="str">
        <f t="shared" si="95"/>
        <v>0</v>
      </c>
      <c r="JV29" s="487"/>
      <c r="JW29" s="489" t="str">
        <f t="shared" si="96"/>
        <v>0</v>
      </c>
      <c r="JX29" s="489" t="str">
        <f t="shared" si="97"/>
        <v>0</v>
      </c>
      <c r="JY29" s="487"/>
      <c r="JZ29" s="489" t="str">
        <f t="shared" si="98"/>
        <v>0</v>
      </c>
      <c r="KA29" s="489" t="str">
        <f t="shared" si="99"/>
        <v>0</v>
      </c>
      <c r="KB29" s="487"/>
      <c r="KC29" s="489" t="str">
        <f t="shared" si="100"/>
        <v>0</v>
      </c>
      <c r="KD29" s="489" t="str">
        <f t="shared" si="101"/>
        <v>0</v>
      </c>
      <c r="KE29" s="487"/>
      <c r="KF29" s="489" t="str">
        <f t="shared" si="102"/>
        <v>0</v>
      </c>
      <c r="KG29" s="489" t="str">
        <f t="shared" si="103"/>
        <v>0</v>
      </c>
      <c r="KH29" s="487"/>
      <c r="KI29" s="489" t="str">
        <f t="shared" si="104"/>
        <v>0</v>
      </c>
      <c r="KJ29" s="489" t="str">
        <f t="shared" si="105"/>
        <v>0</v>
      </c>
      <c r="KK29" s="487"/>
      <c r="KL29" s="489" t="str">
        <f t="shared" si="106"/>
        <v>0</v>
      </c>
      <c r="KM29" s="489" t="str">
        <f t="shared" si="107"/>
        <v>0</v>
      </c>
      <c r="KN29" s="487"/>
      <c r="KO29" s="489" t="str">
        <f t="shared" si="108"/>
        <v>0</v>
      </c>
      <c r="KP29" s="489" t="str">
        <f t="shared" si="109"/>
        <v>0</v>
      </c>
      <c r="KQ29" s="487"/>
      <c r="KR29" s="489" t="str">
        <f t="shared" si="110"/>
        <v>0</v>
      </c>
      <c r="KS29" s="489" t="str">
        <f t="shared" si="111"/>
        <v>0</v>
      </c>
      <c r="KT29" s="489">
        <f t="shared" si="201"/>
        <v>0</v>
      </c>
      <c r="KU29" s="489">
        <f t="shared" si="202"/>
        <v>0</v>
      </c>
      <c r="KV29" s="259">
        <f t="shared" si="199"/>
        <v>638.48097545219616</v>
      </c>
    </row>
    <row r="30" spans="1:308" ht="15" customHeight="1">
      <c r="A30" s="261">
        <f t="shared" si="200"/>
        <v>46133</v>
      </c>
      <c r="B30" s="262" t="str">
        <f>+Report1!B29</f>
        <v>Facial</v>
      </c>
      <c r="C30" s="382" t="str">
        <f>+Report1!C29</f>
        <v>13</v>
      </c>
      <c r="D30" s="263">
        <f>+Report1!P29</f>
        <v>51.710999999999999</v>
      </c>
      <c r="E30" s="264">
        <f>+Report1!R29</f>
        <v>51.795999999999999</v>
      </c>
      <c r="F30" s="487"/>
      <c r="G30" s="488">
        <f t="shared" si="0"/>
        <v>0</v>
      </c>
      <c r="H30" s="489">
        <f t="shared" si="112"/>
        <v>0</v>
      </c>
      <c r="I30" s="487">
        <v>453.48837209302314</v>
      </c>
      <c r="J30" s="488">
        <f t="shared" si="1"/>
        <v>8.7552778610901072</v>
      </c>
      <c r="K30" s="489">
        <f t="shared" si="113"/>
        <v>0</v>
      </c>
      <c r="L30" s="487"/>
      <c r="M30" s="488">
        <f t="shared" si="2"/>
        <v>0</v>
      </c>
      <c r="N30" s="489">
        <f t="shared" si="114"/>
        <v>0</v>
      </c>
      <c r="O30" s="487">
        <v>11.999999999999972</v>
      </c>
      <c r="P30" s="488">
        <f t="shared" si="3"/>
        <v>0.23167812186269154</v>
      </c>
      <c r="Q30" s="489">
        <f t="shared" si="115"/>
        <v>0</v>
      </c>
      <c r="R30" s="487">
        <v>7.6875</v>
      </c>
      <c r="S30" s="488">
        <f t="shared" si="4"/>
        <v>0.14841879681828712</v>
      </c>
      <c r="T30" s="489">
        <f t="shared" si="116"/>
        <v>0</v>
      </c>
      <c r="U30" s="487">
        <v>1.5625</v>
      </c>
      <c r="V30" s="488">
        <f t="shared" si="5"/>
        <v>3.0166422117538033E-2</v>
      </c>
      <c r="W30" s="489">
        <f t="shared" si="117"/>
        <v>0</v>
      </c>
      <c r="X30" s="487"/>
      <c r="Y30" s="488">
        <f t="shared" si="6"/>
        <v>0</v>
      </c>
      <c r="Z30" s="489">
        <f t="shared" si="118"/>
        <v>0</v>
      </c>
      <c r="AA30" s="487"/>
      <c r="AB30" s="488">
        <f t="shared" si="7"/>
        <v>0</v>
      </c>
      <c r="AC30" s="489">
        <f t="shared" si="119"/>
        <v>0</v>
      </c>
      <c r="AD30" s="487"/>
      <c r="AE30" s="488">
        <f t="shared" si="8"/>
        <v>0</v>
      </c>
      <c r="AF30" s="489">
        <f t="shared" si="120"/>
        <v>0</v>
      </c>
      <c r="AG30" s="487"/>
      <c r="AH30" s="488">
        <f t="shared" si="9"/>
        <v>0</v>
      </c>
      <c r="AI30" s="489">
        <f t="shared" si="121"/>
        <v>0</v>
      </c>
      <c r="AJ30" s="487"/>
      <c r="AK30" s="488">
        <f t="shared" si="10"/>
        <v>0</v>
      </c>
      <c r="AL30" s="489">
        <f t="shared" si="122"/>
        <v>0</v>
      </c>
      <c r="AM30" s="487">
        <v>46.153846153846189</v>
      </c>
      <c r="AN30" s="488">
        <f t="shared" si="11"/>
        <v>0.89106969947189341</v>
      </c>
      <c r="AO30" s="489">
        <f t="shared" si="123"/>
        <v>0</v>
      </c>
      <c r="AP30" s="487"/>
      <c r="AQ30" s="488">
        <f t="shared" si="12"/>
        <v>0</v>
      </c>
      <c r="AR30" s="489">
        <f t="shared" si="124"/>
        <v>0</v>
      </c>
      <c r="AS30" s="487"/>
      <c r="AT30" s="488">
        <f t="shared" si="13"/>
        <v>0</v>
      </c>
      <c r="AU30" s="489">
        <f t="shared" si="125"/>
        <v>0</v>
      </c>
      <c r="AV30" s="487">
        <v>13.875</v>
      </c>
      <c r="AW30" s="488">
        <f t="shared" si="14"/>
        <v>0.26787782840373775</v>
      </c>
      <c r="AX30" s="489">
        <f t="shared" si="126"/>
        <v>0</v>
      </c>
      <c r="AY30" s="487">
        <v>46.666666666666686</v>
      </c>
      <c r="AZ30" s="488">
        <f t="shared" si="15"/>
        <v>0.90097047391046969</v>
      </c>
      <c r="BA30" s="489">
        <f t="shared" si="127"/>
        <v>0</v>
      </c>
      <c r="BB30" s="487"/>
      <c r="BC30" s="488">
        <f t="shared" si="16"/>
        <v>0</v>
      </c>
      <c r="BD30" s="489">
        <f t="shared" si="128"/>
        <v>0</v>
      </c>
      <c r="BE30" s="487"/>
      <c r="BF30" s="488">
        <f t="shared" si="17"/>
        <v>0</v>
      </c>
      <c r="BG30" s="489">
        <f t="shared" si="129"/>
        <v>0</v>
      </c>
      <c r="BH30" s="487"/>
      <c r="BI30" s="488">
        <f t="shared" si="18"/>
        <v>0</v>
      </c>
      <c r="BJ30" s="489">
        <f t="shared" si="130"/>
        <v>0</v>
      </c>
      <c r="BK30" s="487"/>
      <c r="BL30" s="488">
        <f t="shared" si="19"/>
        <v>0</v>
      </c>
      <c r="BM30" s="489">
        <f t="shared" si="131"/>
        <v>0</v>
      </c>
      <c r="BN30" s="487">
        <v>25.30864197530866</v>
      </c>
      <c r="BO30" s="488">
        <f t="shared" si="20"/>
        <v>0.48862155331123369</v>
      </c>
      <c r="BP30" s="489">
        <f t="shared" si="132"/>
        <v>0</v>
      </c>
      <c r="BQ30" s="487"/>
      <c r="BR30" s="488">
        <f t="shared" si="21"/>
        <v>0</v>
      </c>
      <c r="BS30" s="489">
        <f t="shared" si="133"/>
        <v>0</v>
      </c>
      <c r="BT30" s="487"/>
      <c r="BU30" s="488">
        <f t="shared" si="22"/>
        <v>0</v>
      </c>
      <c r="BV30" s="489">
        <f t="shared" si="134"/>
        <v>0</v>
      </c>
      <c r="BW30" s="487"/>
      <c r="BX30" s="488">
        <f t="shared" si="23"/>
        <v>0</v>
      </c>
      <c r="BY30" s="489">
        <f t="shared" si="135"/>
        <v>0</v>
      </c>
      <c r="BZ30" s="487"/>
      <c r="CA30" s="488">
        <f t="shared" si="24"/>
        <v>0</v>
      </c>
      <c r="CB30" s="489">
        <f t="shared" si="136"/>
        <v>0</v>
      </c>
      <c r="CC30" s="487">
        <v>0</v>
      </c>
      <c r="CD30" s="488">
        <f t="shared" si="25"/>
        <v>0</v>
      </c>
      <c r="CE30" s="489">
        <f t="shared" si="137"/>
        <v>0</v>
      </c>
      <c r="CF30" s="487">
        <v>12</v>
      </c>
      <c r="CG30" s="488">
        <f t="shared" si="26"/>
        <v>0.2316781218626921</v>
      </c>
      <c r="CH30" s="489">
        <f t="shared" si="138"/>
        <v>0</v>
      </c>
      <c r="CI30" s="487"/>
      <c r="CJ30" s="488">
        <f t="shared" si="27"/>
        <v>0</v>
      </c>
      <c r="CK30" s="489">
        <f t="shared" si="139"/>
        <v>0</v>
      </c>
      <c r="CL30" s="487"/>
      <c r="CM30" s="488">
        <f t="shared" si="28"/>
        <v>0</v>
      </c>
      <c r="CN30" s="489">
        <f t="shared" si="140"/>
        <v>0</v>
      </c>
      <c r="CO30" s="487"/>
      <c r="CP30" s="488">
        <f t="shared" si="29"/>
        <v>0</v>
      </c>
      <c r="CQ30" s="489">
        <f t="shared" si="141"/>
        <v>0</v>
      </c>
      <c r="CR30" s="487"/>
      <c r="CS30" s="488">
        <f t="shared" si="30"/>
        <v>0</v>
      </c>
      <c r="CT30" s="489">
        <f t="shared" si="142"/>
        <v>0</v>
      </c>
      <c r="CU30" s="487"/>
      <c r="CV30" s="488">
        <f t="shared" si="31"/>
        <v>0</v>
      </c>
      <c r="CW30" s="489">
        <f t="shared" si="143"/>
        <v>0</v>
      </c>
      <c r="CX30" s="487"/>
      <c r="CY30" s="488">
        <f t="shared" si="32"/>
        <v>0</v>
      </c>
      <c r="CZ30" s="489">
        <f t="shared" si="144"/>
        <v>0</v>
      </c>
      <c r="DA30" s="487"/>
      <c r="DB30" s="488">
        <f t="shared" si="33"/>
        <v>0</v>
      </c>
      <c r="DC30" s="489">
        <f t="shared" si="145"/>
        <v>0</v>
      </c>
      <c r="DD30" s="487"/>
      <c r="DE30" s="488">
        <f t="shared" si="34"/>
        <v>0</v>
      </c>
      <c r="DF30" s="489">
        <f t="shared" si="146"/>
        <v>0</v>
      </c>
      <c r="DG30" s="487"/>
      <c r="DH30" s="488">
        <f t="shared" si="35"/>
        <v>0</v>
      </c>
      <c r="DI30" s="489">
        <f t="shared" si="203"/>
        <v>0</v>
      </c>
      <c r="DJ30" s="487"/>
      <c r="DK30" s="488">
        <f t="shared" si="36"/>
        <v>0</v>
      </c>
      <c r="DL30" s="489">
        <f t="shared" si="147"/>
        <v>0</v>
      </c>
      <c r="DM30" s="487"/>
      <c r="DN30" s="488">
        <f t="shared" si="37"/>
        <v>0</v>
      </c>
      <c r="DO30" s="489">
        <f t="shared" si="148"/>
        <v>0</v>
      </c>
      <c r="DP30" s="487"/>
      <c r="DQ30" s="488">
        <f t="shared" si="38"/>
        <v>0</v>
      </c>
      <c r="DR30" s="489">
        <f t="shared" si="149"/>
        <v>0</v>
      </c>
      <c r="DS30" s="487"/>
      <c r="DT30" s="488">
        <f t="shared" si="39"/>
        <v>0</v>
      </c>
      <c r="DU30" s="489">
        <f t="shared" si="150"/>
        <v>0</v>
      </c>
      <c r="DV30" s="487"/>
      <c r="DW30" s="488">
        <f t="shared" si="40"/>
        <v>0</v>
      </c>
      <c r="DX30" s="489">
        <f t="shared" si="151"/>
        <v>0</v>
      </c>
      <c r="DY30" s="487">
        <v>0</v>
      </c>
      <c r="DZ30" s="488">
        <f t="shared" si="41"/>
        <v>0</v>
      </c>
      <c r="EA30" s="489">
        <f t="shared" si="152"/>
        <v>0</v>
      </c>
      <c r="EB30" s="487">
        <v>14.534883720930281</v>
      </c>
      <c r="EC30" s="488">
        <f t="shared" si="42"/>
        <v>0.28061788016314543</v>
      </c>
      <c r="ED30" s="489">
        <f t="shared" si="153"/>
        <v>0</v>
      </c>
      <c r="EE30" s="487">
        <v>7</v>
      </c>
      <c r="EF30" s="488">
        <f t="shared" si="43"/>
        <v>0.13514557108657038</v>
      </c>
      <c r="EG30" s="489">
        <f t="shared" si="154"/>
        <v>0</v>
      </c>
      <c r="EH30" s="487"/>
      <c r="EI30" s="488">
        <f t="shared" si="44"/>
        <v>0</v>
      </c>
      <c r="EJ30" s="489">
        <f t="shared" si="155"/>
        <v>0</v>
      </c>
      <c r="EK30" s="487"/>
      <c r="EL30" s="488">
        <f t="shared" si="45"/>
        <v>0</v>
      </c>
      <c r="EM30" s="489">
        <f t="shared" si="156"/>
        <v>0</v>
      </c>
      <c r="EN30" s="487"/>
      <c r="EO30" s="488">
        <f t="shared" si="46"/>
        <v>0</v>
      </c>
      <c r="EP30" s="489">
        <f t="shared" si="157"/>
        <v>0</v>
      </c>
      <c r="EQ30" s="487"/>
      <c r="ER30" s="488">
        <f t="shared" si="47"/>
        <v>0</v>
      </c>
      <c r="ES30" s="489">
        <f t="shared" si="158"/>
        <v>0</v>
      </c>
      <c r="ET30" s="487"/>
      <c r="EU30" s="488">
        <f t="shared" si="48"/>
        <v>0</v>
      </c>
      <c r="EV30" s="489">
        <f t="shared" si="159"/>
        <v>0</v>
      </c>
      <c r="EW30" s="487"/>
      <c r="EX30" s="488">
        <f t="shared" si="49"/>
        <v>0</v>
      </c>
      <c r="EY30" s="489">
        <f t="shared" si="160"/>
        <v>0</v>
      </c>
      <c r="EZ30" s="487"/>
      <c r="FA30" s="488">
        <f t="shared" si="50"/>
        <v>0</v>
      </c>
      <c r="FB30" s="489">
        <f t="shared" si="161"/>
        <v>0</v>
      </c>
      <c r="FC30" s="487"/>
      <c r="FD30" s="488">
        <f t="shared" si="51"/>
        <v>0</v>
      </c>
      <c r="FE30" s="489">
        <f t="shared" si="162"/>
        <v>0</v>
      </c>
      <c r="FF30" s="487"/>
      <c r="FG30" s="488">
        <f t="shared" si="52"/>
        <v>0</v>
      </c>
      <c r="FH30" s="489">
        <f t="shared" si="163"/>
        <v>0</v>
      </c>
      <c r="FI30" s="487"/>
      <c r="FJ30" s="488">
        <f t="shared" si="53"/>
        <v>0</v>
      </c>
      <c r="FK30" s="489">
        <f t="shared" si="164"/>
        <v>0</v>
      </c>
      <c r="FL30" s="487"/>
      <c r="FM30" s="488">
        <f t="shared" si="54"/>
        <v>0</v>
      </c>
      <c r="FN30" s="489">
        <f t="shared" si="165"/>
        <v>0</v>
      </c>
      <c r="FO30" s="487"/>
      <c r="FP30" s="488">
        <f t="shared" si="55"/>
        <v>0</v>
      </c>
      <c r="FQ30" s="489">
        <f t="shared" si="166"/>
        <v>0</v>
      </c>
      <c r="FR30" s="487"/>
      <c r="FS30" s="488">
        <f t="shared" si="56"/>
        <v>0</v>
      </c>
      <c r="FT30" s="489">
        <f t="shared" si="167"/>
        <v>0</v>
      </c>
      <c r="FU30" s="487"/>
      <c r="FV30" s="488">
        <f t="shared" si="57"/>
        <v>0</v>
      </c>
      <c r="FW30" s="489">
        <f t="shared" si="168"/>
        <v>0</v>
      </c>
      <c r="FX30" s="487"/>
      <c r="FY30" s="488">
        <f t="shared" si="58"/>
        <v>0</v>
      </c>
      <c r="FZ30" s="489">
        <f t="shared" si="169"/>
        <v>0</v>
      </c>
      <c r="GA30" s="487"/>
      <c r="GB30" s="488">
        <f t="shared" si="59"/>
        <v>0</v>
      </c>
      <c r="GC30" s="489">
        <f t="shared" si="170"/>
        <v>0</v>
      </c>
      <c r="GD30" s="487"/>
      <c r="GE30" s="488">
        <f t="shared" si="60"/>
        <v>0</v>
      </c>
      <c r="GF30" s="489">
        <f t="shared" si="171"/>
        <v>0</v>
      </c>
      <c r="GG30" s="487"/>
      <c r="GH30" s="488">
        <f t="shared" si="61"/>
        <v>0</v>
      </c>
      <c r="GI30" s="489">
        <f t="shared" si="172"/>
        <v>0</v>
      </c>
      <c r="GJ30" s="487"/>
      <c r="GK30" s="488">
        <f t="shared" si="62"/>
        <v>0</v>
      </c>
      <c r="GL30" s="489">
        <f t="shared" si="173"/>
        <v>0</v>
      </c>
      <c r="GM30" s="487"/>
      <c r="GN30" s="488">
        <f t="shared" si="63"/>
        <v>0</v>
      </c>
      <c r="GO30" s="489">
        <f t="shared" si="174"/>
        <v>0</v>
      </c>
      <c r="GP30" s="487"/>
      <c r="GQ30" s="488">
        <f t="shared" si="64"/>
        <v>0</v>
      </c>
      <c r="GR30" s="489">
        <f t="shared" si="175"/>
        <v>0</v>
      </c>
      <c r="GS30" s="487"/>
      <c r="GT30" s="488">
        <f t="shared" si="65"/>
        <v>0</v>
      </c>
      <c r="GU30" s="489">
        <f t="shared" si="176"/>
        <v>0</v>
      </c>
      <c r="GV30" s="487"/>
      <c r="GW30" s="488">
        <f t="shared" si="66"/>
        <v>0</v>
      </c>
      <c r="GX30" s="489">
        <f t="shared" si="177"/>
        <v>0</v>
      </c>
      <c r="GY30" s="487"/>
      <c r="GZ30" s="488">
        <f t="shared" si="67"/>
        <v>0</v>
      </c>
      <c r="HA30" s="489">
        <f t="shared" si="178"/>
        <v>0</v>
      </c>
      <c r="HB30" s="487"/>
      <c r="HC30" s="488">
        <f t="shared" si="68"/>
        <v>0</v>
      </c>
      <c r="HD30" s="489">
        <f t="shared" si="179"/>
        <v>0</v>
      </c>
      <c r="HE30" s="487"/>
      <c r="HF30" s="488">
        <f t="shared" si="69"/>
        <v>0</v>
      </c>
      <c r="HG30" s="489">
        <f t="shared" si="180"/>
        <v>0</v>
      </c>
      <c r="HH30" s="487"/>
      <c r="HI30" s="488">
        <f t="shared" si="70"/>
        <v>0</v>
      </c>
      <c r="HJ30" s="489">
        <f t="shared" si="181"/>
        <v>0</v>
      </c>
      <c r="HK30" s="487"/>
      <c r="HL30" s="488">
        <f t="shared" si="71"/>
        <v>0</v>
      </c>
      <c r="HM30" s="489">
        <f t="shared" si="182"/>
        <v>0</v>
      </c>
      <c r="HN30" s="487"/>
      <c r="HO30" s="488">
        <f t="shared" si="72"/>
        <v>0</v>
      </c>
      <c r="HP30" s="489">
        <f t="shared" si="183"/>
        <v>0</v>
      </c>
      <c r="HQ30" s="487"/>
      <c r="HR30" s="488">
        <f t="shared" si="73"/>
        <v>0</v>
      </c>
      <c r="HS30" s="489">
        <f t="shared" si="184"/>
        <v>0</v>
      </c>
      <c r="HT30" s="487"/>
      <c r="HU30" s="488">
        <f t="shared" si="74"/>
        <v>0</v>
      </c>
      <c r="HV30" s="489">
        <f t="shared" si="185"/>
        <v>0</v>
      </c>
      <c r="HW30" s="487"/>
      <c r="HX30" s="488">
        <f t="shared" si="75"/>
        <v>0</v>
      </c>
      <c r="HY30" s="489">
        <f t="shared" si="186"/>
        <v>0</v>
      </c>
      <c r="HZ30" s="487"/>
      <c r="IA30" s="488">
        <f t="shared" si="76"/>
        <v>0</v>
      </c>
      <c r="IB30" s="489">
        <f t="shared" si="187"/>
        <v>0</v>
      </c>
      <c r="IC30" s="487"/>
      <c r="ID30" s="488">
        <f t="shared" si="77"/>
        <v>0</v>
      </c>
      <c r="IE30" s="489">
        <f t="shared" si="188"/>
        <v>0</v>
      </c>
      <c r="IF30" s="487"/>
      <c r="IG30" s="488">
        <f t="shared" si="78"/>
        <v>0</v>
      </c>
      <c r="IH30" s="489">
        <f t="shared" si="189"/>
        <v>0</v>
      </c>
      <c r="II30" s="487"/>
      <c r="IJ30" s="488">
        <f t="shared" si="79"/>
        <v>0</v>
      </c>
      <c r="IK30" s="489">
        <f t="shared" si="190"/>
        <v>0</v>
      </c>
      <c r="IL30" s="487"/>
      <c r="IM30" s="488">
        <f t="shared" si="80"/>
        <v>0</v>
      </c>
      <c r="IN30" s="489">
        <f t="shared" si="191"/>
        <v>0</v>
      </c>
      <c r="IO30" s="487"/>
      <c r="IP30" s="488">
        <f t="shared" si="81"/>
        <v>0</v>
      </c>
      <c r="IQ30" s="489">
        <f t="shared" si="192"/>
        <v>0</v>
      </c>
      <c r="IR30" s="487"/>
      <c r="IS30" s="488">
        <f t="shared" si="82"/>
        <v>0</v>
      </c>
      <c r="IT30" s="489">
        <f t="shared" si="193"/>
        <v>0</v>
      </c>
      <c r="IU30" s="487"/>
      <c r="IV30" s="488">
        <f t="shared" si="83"/>
        <v>0</v>
      </c>
      <c r="IW30" s="489">
        <f t="shared" si="194"/>
        <v>0</v>
      </c>
      <c r="IX30" s="487"/>
      <c r="IY30" s="488">
        <f t="shared" si="84"/>
        <v>0</v>
      </c>
      <c r="IZ30" s="489">
        <f t="shared" si="195"/>
        <v>0</v>
      </c>
      <c r="JA30" s="487"/>
      <c r="JB30" s="488">
        <f t="shared" si="85"/>
        <v>0</v>
      </c>
      <c r="JC30" s="489">
        <f t="shared" si="196"/>
        <v>0</v>
      </c>
      <c r="JD30" s="487"/>
      <c r="JE30" s="488">
        <f t="shared" si="86"/>
        <v>0</v>
      </c>
      <c r="JF30" s="489">
        <f t="shared" si="197"/>
        <v>0</v>
      </c>
      <c r="JG30" s="487"/>
      <c r="JH30" s="488">
        <f t="shared" si="87"/>
        <v>0</v>
      </c>
      <c r="JI30" s="489">
        <f t="shared" si="198"/>
        <v>0</v>
      </c>
      <c r="JJ30" s="487"/>
      <c r="JK30" s="489" t="str">
        <f t="shared" si="88"/>
        <v>0</v>
      </c>
      <c r="JL30" s="489" t="str">
        <f t="shared" si="89"/>
        <v>0</v>
      </c>
      <c r="JM30" s="487"/>
      <c r="JN30" s="489" t="str">
        <f t="shared" si="90"/>
        <v>0</v>
      </c>
      <c r="JO30" s="489" t="str">
        <f t="shared" si="91"/>
        <v>0</v>
      </c>
      <c r="JP30" s="487"/>
      <c r="JQ30" s="489" t="str">
        <f t="shared" si="92"/>
        <v>0</v>
      </c>
      <c r="JR30" s="489" t="str">
        <f t="shared" si="93"/>
        <v>0</v>
      </c>
      <c r="JS30" s="487"/>
      <c r="JT30" s="489" t="str">
        <f t="shared" si="94"/>
        <v>0</v>
      </c>
      <c r="JU30" s="489" t="str">
        <f t="shared" si="95"/>
        <v>0</v>
      </c>
      <c r="JV30" s="487"/>
      <c r="JW30" s="489" t="str">
        <f t="shared" si="96"/>
        <v>0</v>
      </c>
      <c r="JX30" s="489" t="str">
        <f t="shared" si="97"/>
        <v>0</v>
      </c>
      <c r="JY30" s="487"/>
      <c r="JZ30" s="489" t="str">
        <f t="shared" si="98"/>
        <v>0</v>
      </c>
      <c r="KA30" s="489" t="str">
        <f t="shared" si="99"/>
        <v>0</v>
      </c>
      <c r="KB30" s="487"/>
      <c r="KC30" s="489" t="str">
        <f t="shared" si="100"/>
        <v>0</v>
      </c>
      <c r="KD30" s="489" t="str">
        <f t="shared" si="101"/>
        <v>0</v>
      </c>
      <c r="KE30" s="487"/>
      <c r="KF30" s="489" t="str">
        <f t="shared" si="102"/>
        <v>0</v>
      </c>
      <c r="KG30" s="489" t="str">
        <f t="shared" si="103"/>
        <v>0</v>
      </c>
      <c r="KH30" s="487"/>
      <c r="KI30" s="489" t="str">
        <f t="shared" si="104"/>
        <v>0</v>
      </c>
      <c r="KJ30" s="489" t="str">
        <f t="shared" si="105"/>
        <v>0</v>
      </c>
      <c r="KK30" s="487"/>
      <c r="KL30" s="489" t="str">
        <f t="shared" si="106"/>
        <v>0</v>
      </c>
      <c r="KM30" s="489" t="str">
        <f t="shared" si="107"/>
        <v>0</v>
      </c>
      <c r="KN30" s="487"/>
      <c r="KO30" s="489" t="str">
        <f t="shared" si="108"/>
        <v>0</v>
      </c>
      <c r="KP30" s="489" t="str">
        <f t="shared" si="109"/>
        <v>0</v>
      </c>
      <c r="KQ30" s="487"/>
      <c r="KR30" s="489" t="str">
        <f t="shared" si="110"/>
        <v>0</v>
      </c>
      <c r="KS30" s="489" t="str">
        <f t="shared" si="111"/>
        <v>0</v>
      </c>
      <c r="KT30" s="489">
        <f t="shared" si="201"/>
        <v>0</v>
      </c>
      <c r="KU30" s="489">
        <f t="shared" si="202"/>
        <v>0</v>
      </c>
      <c r="KV30" s="259">
        <f t="shared" si="199"/>
        <v>640.27741060977496</v>
      </c>
    </row>
    <row r="31" spans="1:308" ht="15" customHeight="1">
      <c r="A31" s="261">
        <f t="shared" si="200"/>
        <v>46134</v>
      </c>
      <c r="B31" s="262" t="str">
        <f>+Report1!B30</f>
        <v>Facial</v>
      </c>
      <c r="C31" s="382" t="str">
        <f>+Report1!C30</f>
        <v>13</v>
      </c>
      <c r="D31" s="263">
        <f>+Report1!P30</f>
        <v>49.819999999999993</v>
      </c>
      <c r="E31" s="264">
        <f>+Report1!R30</f>
        <v>48.822000000000003</v>
      </c>
      <c r="F31" s="487"/>
      <c r="G31" s="488">
        <f t="shared" si="0"/>
        <v>0</v>
      </c>
      <c r="H31" s="489">
        <f t="shared" si="112"/>
        <v>0</v>
      </c>
      <c r="I31" s="487">
        <v>430.23255813953494</v>
      </c>
      <c r="J31" s="488">
        <f t="shared" si="1"/>
        <v>8.8122682016208866</v>
      </c>
      <c r="K31" s="489">
        <f t="shared" si="113"/>
        <v>0</v>
      </c>
      <c r="L31" s="487"/>
      <c r="M31" s="488">
        <f t="shared" si="2"/>
        <v>0</v>
      </c>
      <c r="N31" s="489">
        <f t="shared" si="114"/>
        <v>0</v>
      </c>
      <c r="O31" s="487">
        <v>9</v>
      </c>
      <c r="P31" s="488">
        <f t="shared" si="3"/>
        <v>0.18434312400147473</v>
      </c>
      <c r="Q31" s="489">
        <f t="shared" si="115"/>
        <v>0</v>
      </c>
      <c r="R31" s="487">
        <v>7.6875</v>
      </c>
      <c r="S31" s="488">
        <f t="shared" si="4"/>
        <v>0.15745975175125967</v>
      </c>
      <c r="T31" s="489">
        <f t="shared" si="116"/>
        <v>0</v>
      </c>
      <c r="U31" s="487">
        <v>1.5625000000000284</v>
      </c>
      <c r="V31" s="488">
        <f t="shared" si="5"/>
        <v>3.2004014583589944E-2</v>
      </c>
      <c r="W31" s="489">
        <f t="shared" si="117"/>
        <v>0</v>
      </c>
      <c r="X31" s="487"/>
      <c r="Y31" s="488">
        <f t="shared" si="6"/>
        <v>0</v>
      </c>
      <c r="Z31" s="489">
        <f t="shared" si="118"/>
        <v>0</v>
      </c>
      <c r="AA31" s="487"/>
      <c r="AB31" s="488">
        <f t="shared" si="7"/>
        <v>0</v>
      </c>
      <c r="AC31" s="489">
        <f t="shared" si="119"/>
        <v>0</v>
      </c>
      <c r="AD31" s="487"/>
      <c r="AE31" s="488">
        <f t="shared" si="8"/>
        <v>0</v>
      </c>
      <c r="AF31" s="489">
        <f t="shared" si="120"/>
        <v>0</v>
      </c>
      <c r="AG31" s="487"/>
      <c r="AH31" s="488">
        <f t="shared" si="9"/>
        <v>0</v>
      </c>
      <c r="AI31" s="489">
        <f t="shared" si="121"/>
        <v>0</v>
      </c>
      <c r="AJ31" s="487"/>
      <c r="AK31" s="488">
        <f t="shared" si="10"/>
        <v>0</v>
      </c>
      <c r="AL31" s="489">
        <f t="shared" si="122"/>
        <v>0</v>
      </c>
      <c r="AM31" s="487">
        <v>31.730769230769283</v>
      </c>
      <c r="AN31" s="488">
        <f t="shared" si="11"/>
        <v>0.64992768077443119</v>
      </c>
      <c r="AO31" s="489">
        <f t="shared" si="123"/>
        <v>0</v>
      </c>
      <c r="AP31" s="487"/>
      <c r="AQ31" s="488">
        <f t="shared" si="12"/>
        <v>0</v>
      </c>
      <c r="AR31" s="489">
        <f t="shared" si="124"/>
        <v>0</v>
      </c>
      <c r="AS31" s="487"/>
      <c r="AT31" s="488">
        <f t="shared" si="13"/>
        <v>0</v>
      </c>
      <c r="AU31" s="489">
        <f t="shared" si="125"/>
        <v>0</v>
      </c>
      <c r="AV31" s="487">
        <v>8.3249999999999886</v>
      </c>
      <c r="AW31" s="488">
        <f t="shared" si="14"/>
        <v>0.1705173897013639</v>
      </c>
      <c r="AX31" s="489">
        <f t="shared" si="126"/>
        <v>0</v>
      </c>
      <c r="AY31" s="487">
        <v>32.666666666666629</v>
      </c>
      <c r="AZ31" s="488">
        <f t="shared" si="15"/>
        <v>0.66909726489424082</v>
      </c>
      <c r="BA31" s="489">
        <f t="shared" si="127"/>
        <v>0</v>
      </c>
      <c r="BB31" s="487"/>
      <c r="BC31" s="488">
        <f t="shared" si="16"/>
        <v>0</v>
      </c>
      <c r="BD31" s="489">
        <f t="shared" si="128"/>
        <v>0</v>
      </c>
      <c r="BE31" s="487"/>
      <c r="BF31" s="488">
        <f t="shared" si="17"/>
        <v>0</v>
      </c>
      <c r="BG31" s="489">
        <f t="shared" si="129"/>
        <v>0</v>
      </c>
      <c r="BH31" s="487"/>
      <c r="BI31" s="488">
        <f t="shared" si="18"/>
        <v>0</v>
      </c>
      <c r="BJ31" s="489">
        <f t="shared" si="130"/>
        <v>0</v>
      </c>
      <c r="BK31" s="487"/>
      <c r="BL31" s="488">
        <f t="shared" si="19"/>
        <v>0</v>
      </c>
      <c r="BM31" s="489">
        <f t="shared" si="131"/>
        <v>0</v>
      </c>
      <c r="BN31" s="487">
        <v>30.370370370370381</v>
      </c>
      <c r="BO31" s="488">
        <f t="shared" si="20"/>
        <v>0.62206321679510013</v>
      </c>
      <c r="BP31" s="489">
        <f t="shared" si="132"/>
        <v>0</v>
      </c>
      <c r="BQ31" s="487"/>
      <c r="BR31" s="488">
        <f t="shared" si="21"/>
        <v>0</v>
      </c>
      <c r="BS31" s="489">
        <f t="shared" si="133"/>
        <v>0</v>
      </c>
      <c r="BT31" s="487"/>
      <c r="BU31" s="488">
        <f t="shared" si="22"/>
        <v>0</v>
      </c>
      <c r="BV31" s="489">
        <f t="shared" si="134"/>
        <v>0</v>
      </c>
      <c r="BW31" s="487"/>
      <c r="BX31" s="488">
        <f t="shared" si="23"/>
        <v>0</v>
      </c>
      <c r="BY31" s="489">
        <f t="shared" si="135"/>
        <v>0</v>
      </c>
      <c r="BZ31" s="487"/>
      <c r="CA31" s="488">
        <f t="shared" si="24"/>
        <v>0</v>
      </c>
      <c r="CB31" s="489">
        <f t="shared" si="136"/>
        <v>0</v>
      </c>
      <c r="CC31" s="487">
        <v>0</v>
      </c>
      <c r="CD31" s="488">
        <f t="shared" si="25"/>
        <v>0</v>
      </c>
      <c r="CE31" s="489">
        <f t="shared" si="137"/>
        <v>0</v>
      </c>
      <c r="CF31" s="487">
        <v>12</v>
      </c>
      <c r="CG31" s="488">
        <f t="shared" si="26"/>
        <v>0.2457908320019663</v>
      </c>
      <c r="CH31" s="489">
        <f t="shared" si="138"/>
        <v>0</v>
      </c>
      <c r="CI31" s="487"/>
      <c r="CJ31" s="488">
        <f t="shared" si="27"/>
        <v>0</v>
      </c>
      <c r="CK31" s="489">
        <f t="shared" si="139"/>
        <v>0</v>
      </c>
      <c r="CL31" s="487"/>
      <c r="CM31" s="488">
        <f t="shared" si="28"/>
        <v>0</v>
      </c>
      <c r="CN31" s="489">
        <f t="shared" si="140"/>
        <v>0</v>
      </c>
      <c r="CO31" s="487"/>
      <c r="CP31" s="488">
        <f t="shared" si="29"/>
        <v>0</v>
      </c>
      <c r="CQ31" s="489">
        <f t="shared" si="141"/>
        <v>0</v>
      </c>
      <c r="CR31" s="487"/>
      <c r="CS31" s="488">
        <f t="shared" si="30"/>
        <v>0</v>
      </c>
      <c r="CT31" s="489">
        <f t="shared" si="142"/>
        <v>0</v>
      </c>
      <c r="CU31" s="487"/>
      <c r="CV31" s="488">
        <f t="shared" si="31"/>
        <v>0</v>
      </c>
      <c r="CW31" s="489">
        <f t="shared" si="143"/>
        <v>0</v>
      </c>
      <c r="CX31" s="487"/>
      <c r="CY31" s="488">
        <f t="shared" si="32"/>
        <v>0</v>
      </c>
      <c r="CZ31" s="489">
        <f t="shared" si="144"/>
        <v>0</v>
      </c>
      <c r="DA31" s="487"/>
      <c r="DB31" s="488">
        <f t="shared" si="33"/>
        <v>0</v>
      </c>
      <c r="DC31" s="489">
        <f t="shared" si="145"/>
        <v>0</v>
      </c>
      <c r="DD31" s="487"/>
      <c r="DE31" s="488">
        <f t="shared" si="34"/>
        <v>0</v>
      </c>
      <c r="DF31" s="489">
        <f t="shared" si="146"/>
        <v>0</v>
      </c>
      <c r="DG31" s="487"/>
      <c r="DH31" s="488">
        <f t="shared" si="35"/>
        <v>0</v>
      </c>
      <c r="DI31" s="489">
        <f t="shared" si="203"/>
        <v>0</v>
      </c>
      <c r="DJ31" s="487"/>
      <c r="DK31" s="488">
        <f t="shared" si="36"/>
        <v>0</v>
      </c>
      <c r="DL31" s="489">
        <f t="shared" si="147"/>
        <v>0</v>
      </c>
      <c r="DM31" s="487"/>
      <c r="DN31" s="488">
        <f t="shared" si="37"/>
        <v>0</v>
      </c>
      <c r="DO31" s="489">
        <f t="shared" si="148"/>
        <v>0</v>
      </c>
      <c r="DP31" s="487"/>
      <c r="DQ31" s="488">
        <f t="shared" si="38"/>
        <v>0</v>
      </c>
      <c r="DR31" s="489">
        <f t="shared" si="149"/>
        <v>0</v>
      </c>
      <c r="DS31" s="487"/>
      <c r="DT31" s="488">
        <f t="shared" si="39"/>
        <v>0</v>
      </c>
      <c r="DU31" s="489">
        <f t="shared" si="150"/>
        <v>0</v>
      </c>
      <c r="DV31" s="487"/>
      <c r="DW31" s="488">
        <f t="shared" si="40"/>
        <v>0</v>
      </c>
      <c r="DX31" s="489">
        <f t="shared" si="151"/>
        <v>0</v>
      </c>
      <c r="DY31" s="487">
        <v>0</v>
      </c>
      <c r="DZ31" s="488">
        <f t="shared" si="41"/>
        <v>0</v>
      </c>
      <c r="EA31" s="489">
        <f t="shared" si="152"/>
        <v>0</v>
      </c>
      <c r="EB31" s="487">
        <v>14.534883720930225</v>
      </c>
      <c r="EC31" s="488">
        <f t="shared" si="42"/>
        <v>0.297711763568273</v>
      </c>
      <c r="ED31" s="489">
        <f t="shared" si="153"/>
        <v>0</v>
      </c>
      <c r="EE31" s="487">
        <v>8</v>
      </c>
      <c r="EF31" s="488">
        <f t="shared" si="43"/>
        <v>0.16386055466797755</v>
      </c>
      <c r="EG31" s="489">
        <f t="shared" si="154"/>
        <v>0</v>
      </c>
      <c r="EH31" s="487"/>
      <c r="EI31" s="488">
        <f t="shared" si="44"/>
        <v>0</v>
      </c>
      <c r="EJ31" s="489">
        <f t="shared" si="155"/>
        <v>0</v>
      </c>
      <c r="EK31" s="487"/>
      <c r="EL31" s="488">
        <f t="shared" si="45"/>
        <v>0</v>
      </c>
      <c r="EM31" s="489">
        <f t="shared" si="156"/>
        <v>0</v>
      </c>
      <c r="EN31" s="487"/>
      <c r="EO31" s="488">
        <f t="shared" si="46"/>
        <v>0</v>
      </c>
      <c r="EP31" s="489">
        <f t="shared" si="157"/>
        <v>0</v>
      </c>
      <c r="EQ31" s="487"/>
      <c r="ER31" s="488">
        <f t="shared" si="47"/>
        <v>0</v>
      </c>
      <c r="ES31" s="489">
        <f t="shared" si="158"/>
        <v>0</v>
      </c>
      <c r="ET31" s="487"/>
      <c r="EU31" s="488">
        <f t="shared" si="48"/>
        <v>0</v>
      </c>
      <c r="EV31" s="489">
        <f t="shared" si="159"/>
        <v>0</v>
      </c>
      <c r="EW31" s="487"/>
      <c r="EX31" s="488">
        <f t="shared" si="49"/>
        <v>0</v>
      </c>
      <c r="EY31" s="489">
        <f t="shared" si="160"/>
        <v>0</v>
      </c>
      <c r="EZ31" s="487"/>
      <c r="FA31" s="488">
        <f t="shared" si="50"/>
        <v>0</v>
      </c>
      <c r="FB31" s="489">
        <f t="shared" si="161"/>
        <v>0</v>
      </c>
      <c r="FC31" s="487"/>
      <c r="FD31" s="488">
        <f t="shared" si="51"/>
        <v>0</v>
      </c>
      <c r="FE31" s="489">
        <f t="shared" si="162"/>
        <v>0</v>
      </c>
      <c r="FF31" s="487"/>
      <c r="FG31" s="488">
        <f t="shared" si="52"/>
        <v>0</v>
      </c>
      <c r="FH31" s="489">
        <f t="shared" si="163"/>
        <v>0</v>
      </c>
      <c r="FI31" s="487"/>
      <c r="FJ31" s="488">
        <f t="shared" si="53"/>
        <v>0</v>
      </c>
      <c r="FK31" s="489">
        <f t="shared" si="164"/>
        <v>0</v>
      </c>
      <c r="FL31" s="487"/>
      <c r="FM31" s="488">
        <f t="shared" si="54"/>
        <v>0</v>
      </c>
      <c r="FN31" s="489">
        <f t="shared" si="165"/>
        <v>0</v>
      </c>
      <c r="FO31" s="487"/>
      <c r="FP31" s="488">
        <f t="shared" si="55"/>
        <v>0</v>
      </c>
      <c r="FQ31" s="489">
        <f t="shared" si="166"/>
        <v>0</v>
      </c>
      <c r="FR31" s="487"/>
      <c r="FS31" s="488">
        <f t="shared" si="56"/>
        <v>0</v>
      </c>
      <c r="FT31" s="489">
        <f t="shared" si="167"/>
        <v>0</v>
      </c>
      <c r="FU31" s="487"/>
      <c r="FV31" s="488">
        <f t="shared" si="57"/>
        <v>0</v>
      </c>
      <c r="FW31" s="489">
        <f t="shared" si="168"/>
        <v>0</v>
      </c>
      <c r="FX31" s="487"/>
      <c r="FY31" s="488">
        <f t="shared" si="58"/>
        <v>0</v>
      </c>
      <c r="FZ31" s="489">
        <f t="shared" si="169"/>
        <v>0</v>
      </c>
      <c r="GA31" s="487"/>
      <c r="GB31" s="488">
        <f t="shared" si="59"/>
        <v>0</v>
      </c>
      <c r="GC31" s="489">
        <f t="shared" si="170"/>
        <v>0</v>
      </c>
      <c r="GD31" s="487"/>
      <c r="GE31" s="488">
        <f t="shared" si="60"/>
        <v>0</v>
      </c>
      <c r="GF31" s="489">
        <f t="shared" si="171"/>
        <v>0</v>
      </c>
      <c r="GG31" s="487"/>
      <c r="GH31" s="488">
        <f t="shared" si="61"/>
        <v>0</v>
      </c>
      <c r="GI31" s="489">
        <f t="shared" si="172"/>
        <v>0</v>
      </c>
      <c r="GJ31" s="487"/>
      <c r="GK31" s="488">
        <f t="shared" si="62"/>
        <v>0</v>
      </c>
      <c r="GL31" s="489">
        <f t="shared" si="173"/>
        <v>0</v>
      </c>
      <c r="GM31" s="487"/>
      <c r="GN31" s="488">
        <f t="shared" si="63"/>
        <v>0</v>
      </c>
      <c r="GO31" s="489">
        <f t="shared" si="174"/>
        <v>0</v>
      </c>
      <c r="GP31" s="487"/>
      <c r="GQ31" s="488">
        <f t="shared" si="64"/>
        <v>0</v>
      </c>
      <c r="GR31" s="489">
        <f t="shared" si="175"/>
        <v>0</v>
      </c>
      <c r="GS31" s="487"/>
      <c r="GT31" s="488">
        <f t="shared" si="65"/>
        <v>0</v>
      </c>
      <c r="GU31" s="489">
        <f t="shared" si="176"/>
        <v>0</v>
      </c>
      <c r="GV31" s="487"/>
      <c r="GW31" s="488">
        <f t="shared" si="66"/>
        <v>0</v>
      </c>
      <c r="GX31" s="489">
        <f t="shared" si="177"/>
        <v>0</v>
      </c>
      <c r="GY31" s="487"/>
      <c r="GZ31" s="488">
        <f t="shared" si="67"/>
        <v>0</v>
      </c>
      <c r="HA31" s="489">
        <f t="shared" si="178"/>
        <v>0</v>
      </c>
      <c r="HB31" s="487"/>
      <c r="HC31" s="488">
        <f t="shared" si="68"/>
        <v>0</v>
      </c>
      <c r="HD31" s="489">
        <f t="shared" si="179"/>
        <v>0</v>
      </c>
      <c r="HE31" s="487"/>
      <c r="HF31" s="488">
        <f t="shared" si="69"/>
        <v>0</v>
      </c>
      <c r="HG31" s="489">
        <f t="shared" si="180"/>
        <v>0</v>
      </c>
      <c r="HH31" s="487"/>
      <c r="HI31" s="488">
        <f t="shared" si="70"/>
        <v>0</v>
      </c>
      <c r="HJ31" s="489">
        <f t="shared" si="181"/>
        <v>0</v>
      </c>
      <c r="HK31" s="487"/>
      <c r="HL31" s="488">
        <f t="shared" si="71"/>
        <v>0</v>
      </c>
      <c r="HM31" s="489">
        <f t="shared" si="182"/>
        <v>0</v>
      </c>
      <c r="HN31" s="487"/>
      <c r="HO31" s="488">
        <f t="shared" si="72"/>
        <v>0</v>
      </c>
      <c r="HP31" s="489">
        <f t="shared" si="183"/>
        <v>0</v>
      </c>
      <c r="HQ31" s="487"/>
      <c r="HR31" s="488">
        <f t="shared" si="73"/>
        <v>0</v>
      </c>
      <c r="HS31" s="489">
        <f t="shared" si="184"/>
        <v>0</v>
      </c>
      <c r="HT31" s="487"/>
      <c r="HU31" s="488">
        <f t="shared" si="74"/>
        <v>0</v>
      </c>
      <c r="HV31" s="489">
        <f t="shared" si="185"/>
        <v>0</v>
      </c>
      <c r="HW31" s="487"/>
      <c r="HX31" s="488">
        <f t="shared" si="75"/>
        <v>0</v>
      </c>
      <c r="HY31" s="489">
        <f t="shared" si="186"/>
        <v>0</v>
      </c>
      <c r="HZ31" s="487"/>
      <c r="IA31" s="488">
        <f t="shared" si="76"/>
        <v>0</v>
      </c>
      <c r="IB31" s="489">
        <f t="shared" si="187"/>
        <v>0</v>
      </c>
      <c r="IC31" s="487"/>
      <c r="ID31" s="488">
        <f t="shared" si="77"/>
        <v>0</v>
      </c>
      <c r="IE31" s="489">
        <f t="shared" si="188"/>
        <v>0</v>
      </c>
      <c r="IF31" s="487"/>
      <c r="IG31" s="488">
        <f t="shared" si="78"/>
        <v>0</v>
      </c>
      <c r="IH31" s="489">
        <f t="shared" si="189"/>
        <v>0</v>
      </c>
      <c r="II31" s="487"/>
      <c r="IJ31" s="488">
        <f t="shared" si="79"/>
        <v>0</v>
      </c>
      <c r="IK31" s="489">
        <f t="shared" si="190"/>
        <v>0</v>
      </c>
      <c r="IL31" s="487"/>
      <c r="IM31" s="488">
        <f t="shared" si="80"/>
        <v>0</v>
      </c>
      <c r="IN31" s="489">
        <f t="shared" si="191"/>
        <v>0</v>
      </c>
      <c r="IO31" s="487"/>
      <c r="IP31" s="488">
        <f t="shared" si="81"/>
        <v>0</v>
      </c>
      <c r="IQ31" s="489">
        <f t="shared" si="192"/>
        <v>0</v>
      </c>
      <c r="IR31" s="487"/>
      <c r="IS31" s="488">
        <f t="shared" si="82"/>
        <v>0</v>
      </c>
      <c r="IT31" s="489">
        <f t="shared" si="193"/>
        <v>0</v>
      </c>
      <c r="IU31" s="487"/>
      <c r="IV31" s="488">
        <f t="shared" si="83"/>
        <v>0</v>
      </c>
      <c r="IW31" s="489">
        <f t="shared" si="194"/>
        <v>0</v>
      </c>
      <c r="IX31" s="487"/>
      <c r="IY31" s="488">
        <f t="shared" si="84"/>
        <v>0</v>
      </c>
      <c r="IZ31" s="489">
        <f t="shared" si="195"/>
        <v>0</v>
      </c>
      <c r="JA31" s="487"/>
      <c r="JB31" s="488">
        <f t="shared" si="85"/>
        <v>0</v>
      </c>
      <c r="JC31" s="489">
        <f t="shared" si="196"/>
        <v>0</v>
      </c>
      <c r="JD31" s="487"/>
      <c r="JE31" s="488">
        <f t="shared" si="86"/>
        <v>0</v>
      </c>
      <c r="JF31" s="489">
        <f t="shared" si="197"/>
        <v>0</v>
      </c>
      <c r="JG31" s="487"/>
      <c r="JH31" s="488">
        <f t="shared" si="87"/>
        <v>0</v>
      </c>
      <c r="JI31" s="489">
        <f t="shared" si="198"/>
        <v>0</v>
      </c>
      <c r="JJ31" s="487"/>
      <c r="JK31" s="489" t="str">
        <f t="shared" si="88"/>
        <v>0</v>
      </c>
      <c r="JL31" s="489" t="str">
        <f t="shared" si="89"/>
        <v>0</v>
      </c>
      <c r="JM31" s="487"/>
      <c r="JN31" s="489" t="str">
        <f t="shared" si="90"/>
        <v>0</v>
      </c>
      <c r="JO31" s="489" t="str">
        <f t="shared" si="91"/>
        <v>0</v>
      </c>
      <c r="JP31" s="487"/>
      <c r="JQ31" s="489" t="str">
        <f t="shared" si="92"/>
        <v>0</v>
      </c>
      <c r="JR31" s="489" t="str">
        <f t="shared" si="93"/>
        <v>0</v>
      </c>
      <c r="JS31" s="487"/>
      <c r="JT31" s="489" t="str">
        <f t="shared" si="94"/>
        <v>0</v>
      </c>
      <c r="JU31" s="489" t="str">
        <f t="shared" si="95"/>
        <v>0</v>
      </c>
      <c r="JV31" s="487"/>
      <c r="JW31" s="489" t="str">
        <f t="shared" si="96"/>
        <v>0</v>
      </c>
      <c r="JX31" s="489" t="str">
        <f t="shared" si="97"/>
        <v>0</v>
      </c>
      <c r="JY31" s="487"/>
      <c r="JZ31" s="489" t="str">
        <f t="shared" si="98"/>
        <v>0</v>
      </c>
      <c r="KA31" s="489" t="str">
        <f t="shared" si="99"/>
        <v>0</v>
      </c>
      <c r="KB31" s="487"/>
      <c r="KC31" s="489" t="str">
        <f t="shared" si="100"/>
        <v>0</v>
      </c>
      <c r="KD31" s="489" t="str">
        <f t="shared" si="101"/>
        <v>0</v>
      </c>
      <c r="KE31" s="487"/>
      <c r="KF31" s="489" t="str">
        <f t="shared" si="102"/>
        <v>0</v>
      </c>
      <c r="KG31" s="489" t="str">
        <f t="shared" si="103"/>
        <v>0</v>
      </c>
      <c r="KH31" s="487"/>
      <c r="KI31" s="489" t="str">
        <f t="shared" si="104"/>
        <v>0</v>
      </c>
      <c r="KJ31" s="489" t="str">
        <f t="shared" si="105"/>
        <v>0</v>
      </c>
      <c r="KK31" s="487"/>
      <c r="KL31" s="489" t="str">
        <f t="shared" si="106"/>
        <v>0</v>
      </c>
      <c r="KM31" s="489" t="str">
        <f t="shared" si="107"/>
        <v>0</v>
      </c>
      <c r="KN31" s="487"/>
      <c r="KO31" s="489" t="str">
        <f t="shared" si="108"/>
        <v>0</v>
      </c>
      <c r="KP31" s="489" t="str">
        <f t="shared" si="109"/>
        <v>0</v>
      </c>
      <c r="KQ31" s="487"/>
      <c r="KR31" s="489" t="str">
        <f t="shared" si="110"/>
        <v>0</v>
      </c>
      <c r="KS31" s="489" t="str">
        <f t="shared" si="111"/>
        <v>0</v>
      </c>
      <c r="KT31" s="489">
        <f t="shared" si="201"/>
        <v>0</v>
      </c>
      <c r="KU31" s="489">
        <f t="shared" si="202"/>
        <v>0</v>
      </c>
      <c r="KV31" s="259">
        <f t="shared" si="199"/>
        <v>586.11024812827156</v>
      </c>
    </row>
    <row r="32" spans="1:308" ht="15" customHeight="1">
      <c r="A32" s="261">
        <f t="shared" si="200"/>
        <v>46135</v>
      </c>
      <c r="B32" s="262" t="str">
        <f>+Report1!B31</f>
        <v>Facial</v>
      </c>
      <c r="C32" s="382" t="str">
        <f>+Report1!C31</f>
        <v>13</v>
      </c>
      <c r="D32" s="263">
        <f>+Report1!P31</f>
        <v>51.642000000000003</v>
      </c>
      <c r="E32" s="264">
        <f>+Report1!R31</f>
        <v>47.997</v>
      </c>
      <c r="F32" s="487"/>
      <c r="G32" s="488">
        <f t="shared" si="0"/>
        <v>0</v>
      </c>
      <c r="H32" s="489">
        <f t="shared" si="112"/>
        <v>0</v>
      </c>
      <c r="I32" s="487">
        <v>255.81302325581393</v>
      </c>
      <c r="J32" s="488">
        <f t="shared" si="1"/>
        <v>5.3297710951895727</v>
      </c>
      <c r="K32" s="489">
        <f t="shared" si="113"/>
        <v>0</v>
      </c>
      <c r="L32" s="487"/>
      <c r="M32" s="488">
        <f t="shared" si="2"/>
        <v>0</v>
      </c>
      <c r="N32" s="489">
        <f t="shared" si="114"/>
        <v>0</v>
      </c>
      <c r="O32" s="487">
        <v>15</v>
      </c>
      <c r="P32" s="488">
        <f t="shared" si="3"/>
        <v>0.3125195324707794</v>
      </c>
      <c r="Q32" s="489">
        <f t="shared" si="115"/>
        <v>0</v>
      </c>
      <c r="R32" s="487">
        <v>7.6875</v>
      </c>
      <c r="S32" s="488">
        <f t="shared" si="4"/>
        <v>0.16016626039127446</v>
      </c>
      <c r="T32" s="489">
        <f t="shared" si="116"/>
        <v>0</v>
      </c>
      <c r="U32" s="487">
        <v>1.5625</v>
      </c>
      <c r="V32" s="488">
        <f t="shared" si="5"/>
        <v>3.2554117965706189E-2</v>
      </c>
      <c r="W32" s="489">
        <f t="shared" si="117"/>
        <v>0</v>
      </c>
      <c r="X32" s="487"/>
      <c r="Y32" s="488">
        <f t="shared" si="6"/>
        <v>0</v>
      </c>
      <c r="Z32" s="489">
        <f t="shared" si="118"/>
        <v>0</v>
      </c>
      <c r="AA32" s="487"/>
      <c r="AB32" s="488">
        <f t="shared" si="7"/>
        <v>0</v>
      </c>
      <c r="AC32" s="489">
        <f t="shared" si="119"/>
        <v>0</v>
      </c>
      <c r="AD32" s="487"/>
      <c r="AE32" s="488">
        <f t="shared" si="8"/>
        <v>0</v>
      </c>
      <c r="AF32" s="489">
        <f t="shared" si="120"/>
        <v>0</v>
      </c>
      <c r="AG32" s="487"/>
      <c r="AH32" s="488">
        <f t="shared" si="9"/>
        <v>0</v>
      </c>
      <c r="AI32" s="489">
        <f t="shared" si="121"/>
        <v>0</v>
      </c>
      <c r="AJ32" s="487"/>
      <c r="AK32" s="488">
        <f t="shared" si="10"/>
        <v>0</v>
      </c>
      <c r="AL32" s="489">
        <f t="shared" si="122"/>
        <v>0</v>
      </c>
      <c r="AM32" s="487">
        <v>25.961538461538453</v>
      </c>
      <c r="AN32" s="488">
        <f t="shared" si="11"/>
        <v>0.54089919081481042</v>
      </c>
      <c r="AO32" s="489">
        <f t="shared" si="123"/>
        <v>0</v>
      </c>
      <c r="AP32" s="487"/>
      <c r="AQ32" s="488">
        <f t="shared" si="12"/>
        <v>0</v>
      </c>
      <c r="AR32" s="489">
        <f t="shared" si="124"/>
        <v>0</v>
      </c>
      <c r="AS32" s="487"/>
      <c r="AT32" s="488">
        <f t="shared" si="13"/>
        <v>0</v>
      </c>
      <c r="AU32" s="489">
        <f t="shared" si="125"/>
        <v>0</v>
      </c>
      <c r="AV32" s="487">
        <v>5.5500000000000114</v>
      </c>
      <c r="AW32" s="488">
        <f t="shared" si="14"/>
        <v>0.11563222701418863</v>
      </c>
      <c r="AX32" s="489">
        <f t="shared" si="126"/>
        <v>0</v>
      </c>
      <c r="AY32" s="487">
        <v>49</v>
      </c>
      <c r="AZ32" s="488">
        <f t="shared" si="15"/>
        <v>1.0208971394045461</v>
      </c>
      <c r="BA32" s="489">
        <f t="shared" si="127"/>
        <v>0</v>
      </c>
      <c r="BB32" s="487"/>
      <c r="BC32" s="488">
        <f t="shared" si="16"/>
        <v>0</v>
      </c>
      <c r="BD32" s="489">
        <f t="shared" si="128"/>
        <v>0</v>
      </c>
      <c r="BE32" s="487"/>
      <c r="BF32" s="488">
        <f t="shared" si="17"/>
        <v>0</v>
      </c>
      <c r="BG32" s="489">
        <f t="shared" si="129"/>
        <v>0</v>
      </c>
      <c r="BH32" s="487"/>
      <c r="BI32" s="488">
        <f t="shared" si="18"/>
        <v>0</v>
      </c>
      <c r="BJ32" s="489">
        <f t="shared" si="130"/>
        <v>0</v>
      </c>
      <c r="BK32" s="487"/>
      <c r="BL32" s="488">
        <f t="shared" si="19"/>
        <v>0</v>
      </c>
      <c r="BM32" s="489">
        <f t="shared" si="131"/>
        <v>0</v>
      </c>
      <c r="BN32" s="487">
        <v>25.30864197530866</v>
      </c>
      <c r="BO32" s="488">
        <f t="shared" si="20"/>
        <v>0.52729633050625369</v>
      </c>
      <c r="BP32" s="489">
        <f t="shared" si="132"/>
        <v>0</v>
      </c>
      <c r="BQ32" s="487"/>
      <c r="BR32" s="488">
        <f t="shared" si="21"/>
        <v>0</v>
      </c>
      <c r="BS32" s="489">
        <f t="shared" si="133"/>
        <v>0</v>
      </c>
      <c r="BT32" s="487"/>
      <c r="BU32" s="488">
        <f t="shared" si="22"/>
        <v>0</v>
      </c>
      <c r="BV32" s="489">
        <f t="shared" si="134"/>
        <v>0</v>
      </c>
      <c r="BW32" s="487"/>
      <c r="BX32" s="488">
        <f t="shared" si="23"/>
        <v>0</v>
      </c>
      <c r="BY32" s="489">
        <f t="shared" si="135"/>
        <v>0</v>
      </c>
      <c r="BZ32" s="487"/>
      <c r="CA32" s="488">
        <f t="shared" si="24"/>
        <v>0</v>
      </c>
      <c r="CB32" s="489">
        <f t="shared" si="136"/>
        <v>0</v>
      </c>
      <c r="CC32" s="487">
        <v>0</v>
      </c>
      <c r="CD32" s="488">
        <f t="shared" si="25"/>
        <v>0</v>
      </c>
      <c r="CE32" s="489">
        <f t="shared" si="137"/>
        <v>0</v>
      </c>
      <c r="CF32" s="487">
        <v>6</v>
      </c>
      <c r="CG32" s="488">
        <f t="shared" si="26"/>
        <v>0.12500781298831176</v>
      </c>
      <c r="CH32" s="489">
        <f t="shared" si="138"/>
        <v>0</v>
      </c>
      <c r="CI32" s="487"/>
      <c r="CJ32" s="488">
        <f t="shared" si="27"/>
        <v>0</v>
      </c>
      <c r="CK32" s="489">
        <f t="shared" si="139"/>
        <v>0</v>
      </c>
      <c r="CL32" s="487"/>
      <c r="CM32" s="488">
        <f t="shared" si="28"/>
        <v>0</v>
      </c>
      <c r="CN32" s="489">
        <f t="shared" si="140"/>
        <v>0</v>
      </c>
      <c r="CO32" s="487"/>
      <c r="CP32" s="488">
        <f t="shared" si="29"/>
        <v>0</v>
      </c>
      <c r="CQ32" s="489">
        <f t="shared" si="141"/>
        <v>0</v>
      </c>
      <c r="CR32" s="487"/>
      <c r="CS32" s="488">
        <f t="shared" si="30"/>
        <v>0</v>
      </c>
      <c r="CT32" s="489">
        <f t="shared" si="142"/>
        <v>0</v>
      </c>
      <c r="CU32" s="487"/>
      <c r="CV32" s="488">
        <f t="shared" si="31"/>
        <v>0</v>
      </c>
      <c r="CW32" s="489">
        <f t="shared" si="143"/>
        <v>0</v>
      </c>
      <c r="CX32" s="487"/>
      <c r="CY32" s="488">
        <f t="shared" si="32"/>
        <v>0</v>
      </c>
      <c r="CZ32" s="489">
        <f t="shared" si="144"/>
        <v>0</v>
      </c>
      <c r="DA32" s="487"/>
      <c r="DB32" s="488">
        <f t="shared" si="33"/>
        <v>0</v>
      </c>
      <c r="DC32" s="489">
        <f t="shared" si="145"/>
        <v>0</v>
      </c>
      <c r="DD32" s="487"/>
      <c r="DE32" s="488">
        <f t="shared" si="34"/>
        <v>0</v>
      </c>
      <c r="DF32" s="489">
        <f t="shared" si="146"/>
        <v>0</v>
      </c>
      <c r="DG32" s="487"/>
      <c r="DH32" s="488">
        <f t="shared" si="35"/>
        <v>0</v>
      </c>
      <c r="DI32" s="489">
        <f t="shared" si="203"/>
        <v>0</v>
      </c>
      <c r="DJ32" s="487"/>
      <c r="DK32" s="488">
        <f t="shared" si="36"/>
        <v>0</v>
      </c>
      <c r="DL32" s="489">
        <f t="shared" si="147"/>
        <v>0</v>
      </c>
      <c r="DM32" s="487"/>
      <c r="DN32" s="488">
        <f t="shared" si="37"/>
        <v>0</v>
      </c>
      <c r="DO32" s="489">
        <f t="shared" si="148"/>
        <v>0</v>
      </c>
      <c r="DP32" s="487"/>
      <c r="DQ32" s="488">
        <f t="shared" si="38"/>
        <v>0</v>
      </c>
      <c r="DR32" s="489">
        <f t="shared" si="149"/>
        <v>0</v>
      </c>
      <c r="DS32" s="487"/>
      <c r="DT32" s="488">
        <f t="shared" si="39"/>
        <v>0</v>
      </c>
      <c r="DU32" s="489">
        <f t="shared" si="150"/>
        <v>0</v>
      </c>
      <c r="DV32" s="487"/>
      <c r="DW32" s="488">
        <f t="shared" si="40"/>
        <v>0</v>
      </c>
      <c r="DX32" s="489">
        <f t="shared" si="151"/>
        <v>0</v>
      </c>
      <c r="DY32" s="487">
        <v>0</v>
      </c>
      <c r="DZ32" s="488">
        <f t="shared" si="41"/>
        <v>0</v>
      </c>
      <c r="EA32" s="489">
        <f t="shared" si="152"/>
        <v>0</v>
      </c>
      <c r="EB32" s="487">
        <v>21.802325581395337</v>
      </c>
      <c r="EC32" s="488">
        <f t="shared" si="42"/>
        <v>0.45424350649822565</v>
      </c>
      <c r="ED32" s="489">
        <f t="shared" si="153"/>
        <v>0</v>
      </c>
      <c r="EE32" s="487">
        <v>7</v>
      </c>
      <c r="EF32" s="488">
        <f t="shared" si="43"/>
        <v>0.14584244848636374</v>
      </c>
      <c r="EG32" s="489">
        <f t="shared" si="154"/>
        <v>0</v>
      </c>
      <c r="EH32" s="487"/>
      <c r="EI32" s="488">
        <f t="shared" si="44"/>
        <v>0</v>
      </c>
      <c r="EJ32" s="489">
        <f t="shared" si="155"/>
        <v>0</v>
      </c>
      <c r="EK32" s="487"/>
      <c r="EL32" s="488">
        <f t="shared" si="45"/>
        <v>0</v>
      </c>
      <c r="EM32" s="489">
        <f t="shared" si="156"/>
        <v>0</v>
      </c>
      <c r="EN32" s="487"/>
      <c r="EO32" s="488">
        <f t="shared" si="46"/>
        <v>0</v>
      </c>
      <c r="EP32" s="489">
        <f t="shared" si="157"/>
        <v>0</v>
      </c>
      <c r="EQ32" s="487"/>
      <c r="ER32" s="488">
        <f t="shared" si="47"/>
        <v>0</v>
      </c>
      <c r="ES32" s="489">
        <f t="shared" si="158"/>
        <v>0</v>
      </c>
      <c r="ET32" s="487"/>
      <c r="EU32" s="488">
        <f t="shared" si="48"/>
        <v>0</v>
      </c>
      <c r="EV32" s="489">
        <f t="shared" si="159"/>
        <v>0</v>
      </c>
      <c r="EW32" s="487"/>
      <c r="EX32" s="488">
        <f t="shared" si="49"/>
        <v>0</v>
      </c>
      <c r="EY32" s="489">
        <f t="shared" si="160"/>
        <v>0</v>
      </c>
      <c r="EZ32" s="487"/>
      <c r="FA32" s="488">
        <f t="shared" si="50"/>
        <v>0</v>
      </c>
      <c r="FB32" s="489">
        <f t="shared" si="161"/>
        <v>0</v>
      </c>
      <c r="FC32" s="487"/>
      <c r="FD32" s="488">
        <f t="shared" si="51"/>
        <v>0</v>
      </c>
      <c r="FE32" s="489">
        <f t="shared" si="162"/>
        <v>0</v>
      </c>
      <c r="FF32" s="487"/>
      <c r="FG32" s="488">
        <f t="shared" si="52"/>
        <v>0</v>
      </c>
      <c r="FH32" s="489">
        <f t="shared" si="163"/>
        <v>0</v>
      </c>
      <c r="FI32" s="487"/>
      <c r="FJ32" s="488">
        <f t="shared" si="53"/>
        <v>0</v>
      </c>
      <c r="FK32" s="489">
        <f t="shared" si="164"/>
        <v>0</v>
      </c>
      <c r="FL32" s="487"/>
      <c r="FM32" s="488">
        <f t="shared" si="54"/>
        <v>0</v>
      </c>
      <c r="FN32" s="489">
        <f t="shared" si="165"/>
        <v>0</v>
      </c>
      <c r="FO32" s="487"/>
      <c r="FP32" s="488">
        <f t="shared" si="55"/>
        <v>0</v>
      </c>
      <c r="FQ32" s="489">
        <f t="shared" si="166"/>
        <v>0</v>
      </c>
      <c r="FR32" s="487"/>
      <c r="FS32" s="488">
        <f t="shared" si="56"/>
        <v>0</v>
      </c>
      <c r="FT32" s="489">
        <f t="shared" si="167"/>
        <v>0</v>
      </c>
      <c r="FU32" s="487"/>
      <c r="FV32" s="488">
        <f t="shared" si="57"/>
        <v>0</v>
      </c>
      <c r="FW32" s="489">
        <f t="shared" si="168"/>
        <v>0</v>
      </c>
      <c r="FX32" s="487"/>
      <c r="FY32" s="488">
        <f t="shared" si="58"/>
        <v>0</v>
      </c>
      <c r="FZ32" s="489">
        <f t="shared" si="169"/>
        <v>0</v>
      </c>
      <c r="GA32" s="487"/>
      <c r="GB32" s="488">
        <f t="shared" si="59"/>
        <v>0</v>
      </c>
      <c r="GC32" s="489">
        <f t="shared" si="170"/>
        <v>0</v>
      </c>
      <c r="GD32" s="487"/>
      <c r="GE32" s="488">
        <f t="shared" si="60"/>
        <v>0</v>
      </c>
      <c r="GF32" s="489">
        <f t="shared" si="171"/>
        <v>0</v>
      </c>
      <c r="GG32" s="487"/>
      <c r="GH32" s="488">
        <f t="shared" si="61"/>
        <v>0</v>
      </c>
      <c r="GI32" s="489">
        <f t="shared" si="172"/>
        <v>0</v>
      </c>
      <c r="GJ32" s="487"/>
      <c r="GK32" s="488">
        <f t="shared" si="62"/>
        <v>0</v>
      </c>
      <c r="GL32" s="489">
        <f t="shared" si="173"/>
        <v>0</v>
      </c>
      <c r="GM32" s="487"/>
      <c r="GN32" s="488">
        <f t="shared" si="63"/>
        <v>0</v>
      </c>
      <c r="GO32" s="489">
        <f t="shared" si="174"/>
        <v>0</v>
      </c>
      <c r="GP32" s="487"/>
      <c r="GQ32" s="488">
        <f t="shared" si="64"/>
        <v>0</v>
      </c>
      <c r="GR32" s="489">
        <f t="shared" si="175"/>
        <v>0</v>
      </c>
      <c r="GS32" s="487"/>
      <c r="GT32" s="488">
        <f t="shared" si="65"/>
        <v>0</v>
      </c>
      <c r="GU32" s="489">
        <f t="shared" si="176"/>
        <v>0</v>
      </c>
      <c r="GV32" s="487"/>
      <c r="GW32" s="488">
        <f t="shared" si="66"/>
        <v>0</v>
      </c>
      <c r="GX32" s="489">
        <f t="shared" si="177"/>
        <v>0</v>
      </c>
      <c r="GY32" s="487"/>
      <c r="GZ32" s="488">
        <f t="shared" si="67"/>
        <v>0</v>
      </c>
      <c r="HA32" s="489">
        <f t="shared" si="178"/>
        <v>0</v>
      </c>
      <c r="HB32" s="487"/>
      <c r="HC32" s="488">
        <f t="shared" si="68"/>
        <v>0</v>
      </c>
      <c r="HD32" s="489">
        <f t="shared" si="179"/>
        <v>0</v>
      </c>
      <c r="HE32" s="487"/>
      <c r="HF32" s="488">
        <f t="shared" si="69"/>
        <v>0</v>
      </c>
      <c r="HG32" s="489">
        <f t="shared" si="180"/>
        <v>0</v>
      </c>
      <c r="HH32" s="487"/>
      <c r="HI32" s="488">
        <f t="shared" si="70"/>
        <v>0</v>
      </c>
      <c r="HJ32" s="489">
        <f t="shared" si="181"/>
        <v>0</v>
      </c>
      <c r="HK32" s="487"/>
      <c r="HL32" s="488">
        <f t="shared" si="71"/>
        <v>0</v>
      </c>
      <c r="HM32" s="489">
        <f t="shared" si="182"/>
        <v>0</v>
      </c>
      <c r="HN32" s="487"/>
      <c r="HO32" s="488">
        <f t="shared" si="72"/>
        <v>0</v>
      </c>
      <c r="HP32" s="489">
        <f t="shared" si="183"/>
        <v>0</v>
      </c>
      <c r="HQ32" s="487"/>
      <c r="HR32" s="488">
        <f t="shared" si="73"/>
        <v>0</v>
      </c>
      <c r="HS32" s="489">
        <f t="shared" si="184"/>
        <v>0</v>
      </c>
      <c r="HT32" s="487"/>
      <c r="HU32" s="488">
        <f t="shared" si="74"/>
        <v>0</v>
      </c>
      <c r="HV32" s="489">
        <f t="shared" si="185"/>
        <v>0</v>
      </c>
      <c r="HW32" s="487"/>
      <c r="HX32" s="488">
        <f t="shared" si="75"/>
        <v>0</v>
      </c>
      <c r="HY32" s="489">
        <f t="shared" si="186"/>
        <v>0</v>
      </c>
      <c r="HZ32" s="487"/>
      <c r="IA32" s="488">
        <f t="shared" si="76"/>
        <v>0</v>
      </c>
      <c r="IB32" s="489">
        <f t="shared" si="187"/>
        <v>0</v>
      </c>
      <c r="IC32" s="487"/>
      <c r="ID32" s="488">
        <f t="shared" si="77"/>
        <v>0</v>
      </c>
      <c r="IE32" s="489">
        <f t="shared" si="188"/>
        <v>0</v>
      </c>
      <c r="IF32" s="487"/>
      <c r="IG32" s="488">
        <f t="shared" si="78"/>
        <v>0</v>
      </c>
      <c r="IH32" s="489">
        <f t="shared" si="189"/>
        <v>0</v>
      </c>
      <c r="II32" s="487"/>
      <c r="IJ32" s="488">
        <f t="shared" si="79"/>
        <v>0</v>
      </c>
      <c r="IK32" s="489">
        <f t="shared" si="190"/>
        <v>0</v>
      </c>
      <c r="IL32" s="487"/>
      <c r="IM32" s="488">
        <f t="shared" si="80"/>
        <v>0</v>
      </c>
      <c r="IN32" s="489">
        <f t="shared" si="191"/>
        <v>0</v>
      </c>
      <c r="IO32" s="487"/>
      <c r="IP32" s="488">
        <f t="shared" si="81"/>
        <v>0</v>
      </c>
      <c r="IQ32" s="489">
        <f t="shared" si="192"/>
        <v>0</v>
      </c>
      <c r="IR32" s="487"/>
      <c r="IS32" s="488">
        <f t="shared" si="82"/>
        <v>0</v>
      </c>
      <c r="IT32" s="489">
        <f t="shared" si="193"/>
        <v>0</v>
      </c>
      <c r="IU32" s="487"/>
      <c r="IV32" s="488">
        <f t="shared" si="83"/>
        <v>0</v>
      </c>
      <c r="IW32" s="489">
        <f t="shared" si="194"/>
        <v>0</v>
      </c>
      <c r="IX32" s="487"/>
      <c r="IY32" s="488">
        <f t="shared" si="84"/>
        <v>0</v>
      </c>
      <c r="IZ32" s="489">
        <f t="shared" si="195"/>
        <v>0</v>
      </c>
      <c r="JA32" s="487"/>
      <c r="JB32" s="488">
        <f t="shared" si="85"/>
        <v>0</v>
      </c>
      <c r="JC32" s="489">
        <f t="shared" si="196"/>
        <v>0</v>
      </c>
      <c r="JD32" s="487"/>
      <c r="JE32" s="488">
        <f t="shared" si="86"/>
        <v>0</v>
      </c>
      <c r="JF32" s="489">
        <f t="shared" si="197"/>
        <v>0</v>
      </c>
      <c r="JG32" s="487"/>
      <c r="JH32" s="488">
        <f t="shared" si="87"/>
        <v>0</v>
      </c>
      <c r="JI32" s="489">
        <f t="shared" si="198"/>
        <v>0</v>
      </c>
      <c r="JJ32" s="487"/>
      <c r="JK32" s="489" t="str">
        <f t="shared" si="88"/>
        <v>0</v>
      </c>
      <c r="JL32" s="489" t="str">
        <f t="shared" si="89"/>
        <v>0</v>
      </c>
      <c r="JM32" s="487"/>
      <c r="JN32" s="489" t="str">
        <f t="shared" si="90"/>
        <v>0</v>
      </c>
      <c r="JO32" s="489" t="str">
        <f t="shared" si="91"/>
        <v>0</v>
      </c>
      <c r="JP32" s="487"/>
      <c r="JQ32" s="489" t="str">
        <f t="shared" si="92"/>
        <v>0</v>
      </c>
      <c r="JR32" s="489" t="str">
        <f t="shared" si="93"/>
        <v>0</v>
      </c>
      <c r="JS32" s="487"/>
      <c r="JT32" s="489" t="str">
        <f t="shared" si="94"/>
        <v>0</v>
      </c>
      <c r="JU32" s="489" t="str">
        <f t="shared" si="95"/>
        <v>0</v>
      </c>
      <c r="JV32" s="487"/>
      <c r="JW32" s="489" t="str">
        <f t="shared" si="96"/>
        <v>0</v>
      </c>
      <c r="JX32" s="489" t="str">
        <f t="shared" si="97"/>
        <v>0</v>
      </c>
      <c r="JY32" s="487"/>
      <c r="JZ32" s="489" t="str">
        <f t="shared" si="98"/>
        <v>0</v>
      </c>
      <c r="KA32" s="489" t="str">
        <f t="shared" si="99"/>
        <v>0</v>
      </c>
      <c r="KB32" s="487"/>
      <c r="KC32" s="489" t="str">
        <f t="shared" si="100"/>
        <v>0</v>
      </c>
      <c r="KD32" s="489" t="str">
        <f t="shared" si="101"/>
        <v>0</v>
      </c>
      <c r="KE32" s="487"/>
      <c r="KF32" s="489" t="str">
        <f t="shared" si="102"/>
        <v>0</v>
      </c>
      <c r="KG32" s="489" t="str">
        <f t="shared" si="103"/>
        <v>0</v>
      </c>
      <c r="KH32" s="487"/>
      <c r="KI32" s="489" t="str">
        <f t="shared" si="104"/>
        <v>0</v>
      </c>
      <c r="KJ32" s="489" t="str">
        <f t="shared" si="105"/>
        <v>0</v>
      </c>
      <c r="KK32" s="487"/>
      <c r="KL32" s="489" t="str">
        <f t="shared" si="106"/>
        <v>0</v>
      </c>
      <c r="KM32" s="489" t="str">
        <f t="shared" si="107"/>
        <v>0</v>
      </c>
      <c r="KN32" s="487"/>
      <c r="KO32" s="489" t="str">
        <f t="shared" si="108"/>
        <v>0</v>
      </c>
      <c r="KP32" s="489" t="str">
        <f t="shared" si="109"/>
        <v>0</v>
      </c>
      <c r="KQ32" s="487"/>
      <c r="KR32" s="489" t="str">
        <f t="shared" si="110"/>
        <v>0</v>
      </c>
      <c r="KS32" s="489" t="str">
        <f t="shared" si="111"/>
        <v>0</v>
      </c>
      <c r="KT32" s="489">
        <f t="shared" si="201"/>
        <v>0</v>
      </c>
      <c r="KU32" s="489">
        <f t="shared" si="202"/>
        <v>0</v>
      </c>
      <c r="KV32" s="259">
        <f t="shared" si="199"/>
        <v>420.68552927405642</v>
      </c>
    </row>
    <row r="33" spans="1:308" ht="15" customHeight="1">
      <c r="A33" s="261">
        <f t="shared" si="200"/>
        <v>46136</v>
      </c>
      <c r="B33" s="262" t="str">
        <f>+Report1!B32</f>
        <v>Facial</v>
      </c>
      <c r="C33" s="382" t="str">
        <f>+Report1!C32</f>
        <v>13</v>
      </c>
      <c r="D33" s="263">
        <f>+Report1!P32</f>
        <v>49.257999999999996</v>
      </c>
      <c r="E33" s="264">
        <f>+Report1!R32</f>
        <v>53.771000000000001</v>
      </c>
      <c r="F33" s="487"/>
      <c r="G33" s="488">
        <f t="shared" si="0"/>
        <v>0</v>
      </c>
      <c r="H33" s="489">
        <f t="shared" si="112"/>
        <v>0</v>
      </c>
      <c r="I33" s="487">
        <v>267.44186046511641</v>
      </c>
      <c r="J33" s="488">
        <f t="shared" si="1"/>
        <v>4.9737192997176249</v>
      </c>
      <c r="K33" s="489">
        <f t="shared" si="113"/>
        <v>0</v>
      </c>
      <c r="L33" s="487"/>
      <c r="M33" s="488">
        <f t="shared" si="2"/>
        <v>0</v>
      </c>
      <c r="N33" s="489">
        <f t="shared" si="114"/>
        <v>0</v>
      </c>
      <c r="O33" s="487">
        <v>9</v>
      </c>
      <c r="P33" s="488">
        <f t="shared" si="3"/>
        <v>0.16737646686875826</v>
      </c>
      <c r="Q33" s="489">
        <f t="shared" si="115"/>
        <v>0</v>
      </c>
      <c r="R33" s="487">
        <v>10.250000000000057</v>
      </c>
      <c r="S33" s="488">
        <f t="shared" si="4"/>
        <v>0.19062319837830907</v>
      </c>
      <c r="T33" s="489">
        <f t="shared" si="116"/>
        <v>0</v>
      </c>
      <c r="U33" s="487">
        <v>1.5625</v>
      </c>
      <c r="V33" s="488">
        <f t="shared" si="5"/>
        <v>2.9058414386937195E-2</v>
      </c>
      <c r="W33" s="489">
        <f t="shared" si="117"/>
        <v>0</v>
      </c>
      <c r="X33" s="487"/>
      <c r="Y33" s="488">
        <f t="shared" si="6"/>
        <v>0</v>
      </c>
      <c r="Z33" s="489">
        <f t="shared" si="118"/>
        <v>0</v>
      </c>
      <c r="AA33" s="487"/>
      <c r="AB33" s="488">
        <f t="shared" si="7"/>
        <v>0</v>
      </c>
      <c r="AC33" s="489">
        <f t="shared" si="119"/>
        <v>0</v>
      </c>
      <c r="AD33" s="487"/>
      <c r="AE33" s="488">
        <f t="shared" si="8"/>
        <v>0</v>
      </c>
      <c r="AF33" s="489">
        <f t="shared" si="120"/>
        <v>0</v>
      </c>
      <c r="AG33" s="487"/>
      <c r="AH33" s="488">
        <f t="shared" si="9"/>
        <v>0</v>
      </c>
      <c r="AI33" s="489">
        <f t="shared" si="121"/>
        <v>0</v>
      </c>
      <c r="AJ33" s="487"/>
      <c r="AK33" s="488">
        <f t="shared" si="10"/>
        <v>0</v>
      </c>
      <c r="AL33" s="489">
        <f t="shared" si="122"/>
        <v>0</v>
      </c>
      <c r="AM33" s="487">
        <v>25.961538461538453</v>
      </c>
      <c r="AN33" s="488">
        <f t="shared" si="11"/>
        <v>0.48281673135218711</v>
      </c>
      <c r="AO33" s="489">
        <f t="shared" si="123"/>
        <v>0</v>
      </c>
      <c r="AP33" s="487"/>
      <c r="AQ33" s="488">
        <f t="shared" si="12"/>
        <v>0</v>
      </c>
      <c r="AR33" s="489">
        <f t="shared" si="124"/>
        <v>0</v>
      </c>
      <c r="AS33" s="487"/>
      <c r="AT33" s="488">
        <f t="shared" si="13"/>
        <v>0</v>
      </c>
      <c r="AU33" s="489">
        <f t="shared" si="125"/>
        <v>0</v>
      </c>
      <c r="AV33" s="487">
        <v>5.5500000000000114</v>
      </c>
      <c r="AW33" s="488">
        <f t="shared" si="14"/>
        <v>0.10321548790240113</v>
      </c>
      <c r="AX33" s="489">
        <f t="shared" si="126"/>
        <v>0</v>
      </c>
      <c r="AY33" s="487">
        <v>49.000000000000114</v>
      </c>
      <c r="AZ33" s="488">
        <f t="shared" si="15"/>
        <v>0.9112718751743526</v>
      </c>
      <c r="BA33" s="489">
        <f t="shared" si="127"/>
        <v>0</v>
      </c>
      <c r="BB33" s="487"/>
      <c r="BC33" s="488">
        <f t="shared" si="16"/>
        <v>0</v>
      </c>
      <c r="BD33" s="489">
        <f t="shared" si="128"/>
        <v>0</v>
      </c>
      <c r="BE33" s="487"/>
      <c r="BF33" s="488">
        <f t="shared" si="17"/>
        <v>0</v>
      </c>
      <c r="BG33" s="489">
        <f t="shared" si="129"/>
        <v>0</v>
      </c>
      <c r="BH33" s="487"/>
      <c r="BI33" s="488">
        <f t="shared" si="18"/>
        <v>0</v>
      </c>
      <c r="BJ33" s="489">
        <f t="shared" si="130"/>
        <v>0</v>
      </c>
      <c r="BK33" s="487"/>
      <c r="BL33" s="488">
        <f t="shared" si="19"/>
        <v>0</v>
      </c>
      <c r="BM33" s="489">
        <f t="shared" si="131"/>
        <v>0</v>
      </c>
      <c r="BN33" s="487">
        <v>22.777777777777715</v>
      </c>
      <c r="BO33" s="488">
        <f t="shared" si="20"/>
        <v>0.42360710750734998</v>
      </c>
      <c r="BP33" s="489">
        <f t="shared" si="132"/>
        <v>0</v>
      </c>
      <c r="BQ33" s="487"/>
      <c r="BR33" s="488">
        <f t="shared" si="21"/>
        <v>0</v>
      </c>
      <c r="BS33" s="489">
        <f t="shared" si="133"/>
        <v>0</v>
      </c>
      <c r="BT33" s="487"/>
      <c r="BU33" s="488">
        <f t="shared" si="22"/>
        <v>0</v>
      </c>
      <c r="BV33" s="489">
        <f t="shared" si="134"/>
        <v>0</v>
      </c>
      <c r="BW33" s="487"/>
      <c r="BX33" s="488">
        <f t="shared" si="23"/>
        <v>0</v>
      </c>
      <c r="BY33" s="489">
        <f t="shared" si="135"/>
        <v>0</v>
      </c>
      <c r="BZ33" s="487"/>
      <c r="CA33" s="488">
        <f t="shared" si="24"/>
        <v>0</v>
      </c>
      <c r="CB33" s="489">
        <f t="shared" si="136"/>
        <v>0</v>
      </c>
      <c r="CC33" s="487">
        <v>0</v>
      </c>
      <c r="CD33" s="488">
        <f t="shared" si="25"/>
        <v>0</v>
      </c>
      <c r="CE33" s="489">
        <f t="shared" si="137"/>
        <v>0</v>
      </c>
      <c r="CF33" s="487">
        <v>9</v>
      </c>
      <c r="CG33" s="488">
        <f t="shared" si="26"/>
        <v>0.16737646686875826</v>
      </c>
      <c r="CH33" s="489">
        <f t="shared" si="138"/>
        <v>0</v>
      </c>
      <c r="CI33" s="487"/>
      <c r="CJ33" s="488">
        <f t="shared" si="27"/>
        <v>0</v>
      </c>
      <c r="CK33" s="489">
        <f t="shared" si="139"/>
        <v>0</v>
      </c>
      <c r="CL33" s="487"/>
      <c r="CM33" s="488">
        <f t="shared" si="28"/>
        <v>0</v>
      </c>
      <c r="CN33" s="489">
        <f t="shared" si="140"/>
        <v>0</v>
      </c>
      <c r="CO33" s="487"/>
      <c r="CP33" s="488">
        <f t="shared" si="29"/>
        <v>0</v>
      </c>
      <c r="CQ33" s="489">
        <f t="shared" si="141"/>
        <v>0</v>
      </c>
      <c r="CR33" s="487"/>
      <c r="CS33" s="488">
        <f t="shared" si="30"/>
        <v>0</v>
      </c>
      <c r="CT33" s="489">
        <f t="shared" si="142"/>
        <v>0</v>
      </c>
      <c r="CU33" s="487"/>
      <c r="CV33" s="488">
        <f t="shared" si="31"/>
        <v>0</v>
      </c>
      <c r="CW33" s="489">
        <f t="shared" si="143"/>
        <v>0</v>
      </c>
      <c r="CX33" s="487"/>
      <c r="CY33" s="488">
        <f t="shared" si="32"/>
        <v>0</v>
      </c>
      <c r="CZ33" s="489">
        <f t="shared" si="144"/>
        <v>0</v>
      </c>
      <c r="DA33" s="487"/>
      <c r="DB33" s="488">
        <f t="shared" si="33"/>
        <v>0</v>
      </c>
      <c r="DC33" s="489">
        <f t="shared" si="145"/>
        <v>0</v>
      </c>
      <c r="DD33" s="487"/>
      <c r="DE33" s="488">
        <f t="shared" si="34"/>
        <v>0</v>
      </c>
      <c r="DF33" s="489">
        <f t="shared" si="146"/>
        <v>0</v>
      </c>
      <c r="DG33" s="487"/>
      <c r="DH33" s="488">
        <f t="shared" si="35"/>
        <v>0</v>
      </c>
      <c r="DI33" s="489">
        <f t="shared" si="203"/>
        <v>0</v>
      </c>
      <c r="DJ33" s="487"/>
      <c r="DK33" s="488">
        <f t="shared" si="36"/>
        <v>0</v>
      </c>
      <c r="DL33" s="489">
        <f t="shared" si="147"/>
        <v>0</v>
      </c>
      <c r="DM33" s="487"/>
      <c r="DN33" s="488">
        <f t="shared" si="37"/>
        <v>0</v>
      </c>
      <c r="DO33" s="489">
        <f t="shared" si="148"/>
        <v>0</v>
      </c>
      <c r="DP33" s="487"/>
      <c r="DQ33" s="488">
        <f t="shared" si="38"/>
        <v>0</v>
      </c>
      <c r="DR33" s="489">
        <f t="shared" si="149"/>
        <v>0</v>
      </c>
      <c r="DS33" s="487"/>
      <c r="DT33" s="488">
        <f t="shared" si="39"/>
        <v>0</v>
      </c>
      <c r="DU33" s="489">
        <f t="shared" si="150"/>
        <v>0</v>
      </c>
      <c r="DV33" s="487"/>
      <c r="DW33" s="488">
        <f t="shared" si="40"/>
        <v>0</v>
      </c>
      <c r="DX33" s="489">
        <f t="shared" si="151"/>
        <v>0</v>
      </c>
      <c r="DY33" s="487">
        <v>0</v>
      </c>
      <c r="DZ33" s="488">
        <f t="shared" si="41"/>
        <v>0</v>
      </c>
      <c r="EA33" s="489">
        <f t="shared" si="152"/>
        <v>0</v>
      </c>
      <c r="EB33" s="487">
        <v>14.534883720930225</v>
      </c>
      <c r="EC33" s="488">
        <f t="shared" si="42"/>
        <v>0.2703108315063924</v>
      </c>
      <c r="ED33" s="489">
        <f t="shared" si="153"/>
        <v>0</v>
      </c>
      <c r="EE33" s="487">
        <v>7</v>
      </c>
      <c r="EF33" s="488">
        <f t="shared" si="43"/>
        <v>0.13018169645347863</v>
      </c>
      <c r="EG33" s="489">
        <f t="shared" si="154"/>
        <v>0</v>
      </c>
      <c r="EH33" s="487"/>
      <c r="EI33" s="488">
        <f t="shared" si="44"/>
        <v>0</v>
      </c>
      <c r="EJ33" s="489">
        <f t="shared" si="155"/>
        <v>0</v>
      </c>
      <c r="EK33" s="487"/>
      <c r="EL33" s="488">
        <f t="shared" si="45"/>
        <v>0</v>
      </c>
      <c r="EM33" s="489">
        <f t="shared" si="156"/>
        <v>0</v>
      </c>
      <c r="EN33" s="487"/>
      <c r="EO33" s="488">
        <f t="shared" si="46"/>
        <v>0</v>
      </c>
      <c r="EP33" s="489">
        <f t="shared" si="157"/>
        <v>0</v>
      </c>
      <c r="EQ33" s="487"/>
      <c r="ER33" s="488">
        <f t="shared" si="47"/>
        <v>0</v>
      </c>
      <c r="ES33" s="489">
        <f t="shared" si="158"/>
        <v>0</v>
      </c>
      <c r="ET33" s="487"/>
      <c r="EU33" s="488">
        <f t="shared" si="48"/>
        <v>0</v>
      </c>
      <c r="EV33" s="489">
        <f t="shared" si="159"/>
        <v>0</v>
      </c>
      <c r="EW33" s="487"/>
      <c r="EX33" s="488">
        <f t="shared" si="49"/>
        <v>0</v>
      </c>
      <c r="EY33" s="489">
        <f t="shared" si="160"/>
        <v>0</v>
      </c>
      <c r="EZ33" s="487"/>
      <c r="FA33" s="488">
        <f t="shared" si="50"/>
        <v>0</v>
      </c>
      <c r="FB33" s="489">
        <f t="shared" si="161"/>
        <v>0</v>
      </c>
      <c r="FC33" s="487"/>
      <c r="FD33" s="488">
        <f t="shared" si="51"/>
        <v>0</v>
      </c>
      <c r="FE33" s="489">
        <f t="shared" si="162"/>
        <v>0</v>
      </c>
      <c r="FF33" s="487"/>
      <c r="FG33" s="488">
        <f t="shared" si="52"/>
        <v>0</v>
      </c>
      <c r="FH33" s="489">
        <f t="shared" si="163"/>
        <v>0</v>
      </c>
      <c r="FI33" s="487"/>
      <c r="FJ33" s="488">
        <f t="shared" si="53"/>
        <v>0</v>
      </c>
      <c r="FK33" s="489">
        <f t="shared" si="164"/>
        <v>0</v>
      </c>
      <c r="FL33" s="487"/>
      <c r="FM33" s="488">
        <f t="shared" si="54"/>
        <v>0</v>
      </c>
      <c r="FN33" s="489">
        <f t="shared" si="165"/>
        <v>0</v>
      </c>
      <c r="FO33" s="487"/>
      <c r="FP33" s="488">
        <f t="shared" si="55"/>
        <v>0</v>
      </c>
      <c r="FQ33" s="489">
        <f t="shared" si="166"/>
        <v>0</v>
      </c>
      <c r="FR33" s="487"/>
      <c r="FS33" s="488">
        <f t="shared" si="56"/>
        <v>0</v>
      </c>
      <c r="FT33" s="489">
        <f t="shared" si="167"/>
        <v>0</v>
      </c>
      <c r="FU33" s="487"/>
      <c r="FV33" s="488">
        <f t="shared" si="57"/>
        <v>0</v>
      </c>
      <c r="FW33" s="489">
        <f t="shared" si="168"/>
        <v>0</v>
      </c>
      <c r="FX33" s="487"/>
      <c r="FY33" s="488">
        <f t="shared" si="58"/>
        <v>0</v>
      </c>
      <c r="FZ33" s="489">
        <f t="shared" si="169"/>
        <v>0</v>
      </c>
      <c r="GA33" s="487"/>
      <c r="GB33" s="488">
        <f t="shared" si="59"/>
        <v>0</v>
      </c>
      <c r="GC33" s="489">
        <f t="shared" si="170"/>
        <v>0</v>
      </c>
      <c r="GD33" s="487"/>
      <c r="GE33" s="488">
        <f t="shared" si="60"/>
        <v>0</v>
      </c>
      <c r="GF33" s="489">
        <f t="shared" si="171"/>
        <v>0</v>
      </c>
      <c r="GG33" s="487"/>
      <c r="GH33" s="488">
        <f t="shared" si="61"/>
        <v>0</v>
      </c>
      <c r="GI33" s="489">
        <f t="shared" si="172"/>
        <v>0</v>
      </c>
      <c r="GJ33" s="487"/>
      <c r="GK33" s="488">
        <f t="shared" si="62"/>
        <v>0</v>
      </c>
      <c r="GL33" s="489">
        <f t="shared" si="173"/>
        <v>0</v>
      </c>
      <c r="GM33" s="487"/>
      <c r="GN33" s="488">
        <f t="shared" si="63"/>
        <v>0</v>
      </c>
      <c r="GO33" s="489">
        <f t="shared" si="174"/>
        <v>0</v>
      </c>
      <c r="GP33" s="487"/>
      <c r="GQ33" s="488">
        <f t="shared" si="64"/>
        <v>0</v>
      </c>
      <c r="GR33" s="489">
        <f t="shared" si="175"/>
        <v>0</v>
      </c>
      <c r="GS33" s="487"/>
      <c r="GT33" s="488">
        <f t="shared" si="65"/>
        <v>0</v>
      </c>
      <c r="GU33" s="489">
        <f t="shared" si="176"/>
        <v>0</v>
      </c>
      <c r="GV33" s="487"/>
      <c r="GW33" s="488">
        <f t="shared" si="66"/>
        <v>0</v>
      </c>
      <c r="GX33" s="489">
        <f t="shared" si="177"/>
        <v>0</v>
      </c>
      <c r="GY33" s="487"/>
      <c r="GZ33" s="488">
        <f t="shared" si="67"/>
        <v>0</v>
      </c>
      <c r="HA33" s="489">
        <f t="shared" si="178"/>
        <v>0</v>
      </c>
      <c r="HB33" s="487"/>
      <c r="HC33" s="488">
        <f t="shared" si="68"/>
        <v>0</v>
      </c>
      <c r="HD33" s="489">
        <f t="shared" si="179"/>
        <v>0</v>
      </c>
      <c r="HE33" s="487"/>
      <c r="HF33" s="488">
        <f t="shared" si="69"/>
        <v>0</v>
      </c>
      <c r="HG33" s="489">
        <f t="shared" si="180"/>
        <v>0</v>
      </c>
      <c r="HH33" s="487"/>
      <c r="HI33" s="488">
        <f t="shared" si="70"/>
        <v>0</v>
      </c>
      <c r="HJ33" s="489">
        <f t="shared" si="181"/>
        <v>0</v>
      </c>
      <c r="HK33" s="487"/>
      <c r="HL33" s="488">
        <f t="shared" si="71"/>
        <v>0</v>
      </c>
      <c r="HM33" s="489">
        <f t="shared" si="182"/>
        <v>0</v>
      </c>
      <c r="HN33" s="487"/>
      <c r="HO33" s="488">
        <f t="shared" si="72"/>
        <v>0</v>
      </c>
      <c r="HP33" s="489">
        <f t="shared" si="183"/>
        <v>0</v>
      </c>
      <c r="HQ33" s="487"/>
      <c r="HR33" s="488">
        <f t="shared" si="73"/>
        <v>0</v>
      </c>
      <c r="HS33" s="489">
        <f t="shared" si="184"/>
        <v>0</v>
      </c>
      <c r="HT33" s="487"/>
      <c r="HU33" s="488">
        <f t="shared" si="74"/>
        <v>0</v>
      </c>
      <c r="HV33" s="489">
        <f t="shared" si="185"/>
        <v>0</v>
      </c>
      <c r="HW33" s="487"/>
      <c r="HX33" s="488">
        <f t="shared" si="75"/>
        <v>0</v>
      </c>
      <c r="HY33" s="489">
        <f t="shared" si="186"/>
        <v>0</v>
      </c>
      <c r="HZ33" s="487"/>
      <c r="IA33" s="488">
        <f t="shared" si="76"/>
        <v>0</v>
      </c>
      <c r="IB33" s="489">
        <f t="shared" si="187"/>
        <v>0</v>
      </c>
      <c r="IC33" s="487"/>
      <c r="ID33" s="488">
        <f t="shared" si="77"/>
        <v>0</v>
      </c>
      <c r="IE33" s="489">
        <f t="shared" si="188"/>
        <v>0</v>
      </c>
      <c r="IF33" s="487"/>
      <c r="IG33" s="488">
        <f t="shared" si="78"/>
        <v>0</v>
      </c>
      <c r="IH33" s="489">
        <f t="shared" si="189"/>
        <v>0</v>
      </c>
      <c r="II33" s="487"/>
      <c r="IJ33" s="488">
        <f t="shared" si="79"/>
        <v>0</v>
      </c>
      <c r="IK33" s="489">
        <f t="shared" si="190"/>
        <v>0</v>
      </c>
      <c r="IL33" s="487"/>
      <c r="IM33" s="488">
        <f t="shared" si="80"/>
        <v>0</v>
      </c>
      <c r="IN33" s="489">
        <f t="shared" si="191"/>
        <v>0</v>
      </c>
      <c r="IO33" s="487"/>
      <c r="IP33" s="488">
        <f t="shared" si="81"/>
        <v>0</v>
      </c>
      <c r="IQ33" s="489">
        <f t="shared" si="192"/>
        <v>0</v>
      </c>
      <c r="IR33" s="487"/>
      <c r="IS33" s="488">
        <f t="shared" si="82"/>
        <v>0</v>
      </c>
      <c r="IT33" s="489">
        <f t="shared" si="193"/>
        <v>0</v>
      </c>
      <c r="IU33" s="487"/>
      <c r="IV33" s="488">
        <f t="shared" si="83"/>
        <v>0</v>
      </c>
      <c r="IW33" s="489">
        <f t="shared" si="194"/>
        <v>0</v>
      </c>
      <c r="IX33" s="487"/>
      <c r="IY33" s="488">
        <f t="shared" si="84"/>
        <v>0</v>
      </c>
      <c r="IZ33" s="489">
        <f t="shared" si="195"/>
        <v>0</v>
      </c>
      <c r="JA33" s="487"/>
      <c r="JB33" s="488">
        <f t="shared" si="85"/>
        <v>0</v>
      </c>
      <c r="JC33" s="489">
        <f t="shared" si="196"/>
        <v>0</v>
      </c>
      <c r="JD33" s="487"/>
      <c r="JE33" s="488">
        <f t="shared" si="86"/>
        <v>0</v>
      </c>
      <c r="JF33" s="489">
        <f t="shared" si="197"/>
        <v>0</v>
      </c>
      <c r="JG33" s="487"/>
      <c r="JH33" s="488">
        <f t="shared" si="87"/>
        <v>0</v>
      </c>
      <c r="JI33" s="489">
        <f t="shared" si="198"/>
        <v>0</v>
      </c>
      <c r="JJ33" s="487"/>
      <c r="JK33" s="489" t="str">
        <f t="shared" si="88"/>
        <v>0</v>
      </c>
      <c r="JL33" s="489" t="str">
        <f t="shared" si="89"/>
        <v>0</v>
      </c>
      <c r="JM33" s="487"/>
      <c r="JN33" s="489" t="str">
        <f t="shared" si="90"/>
        <v>0</v>
      </c>
      <c r="JO33" s="489" t="str">
        <f t="shared" si="91"/>
        <v>0</v>
      </c>
      <c r="JP33" s="487"/>
      <c r="JQ33" s="489" t="str">
        <f t="shared" si="92"/>
        <v>0</v>
      </c>
      <c r="JR33" s="489" t="str">
        <f t="shared" si="93"/>
        <v>0</v>
      </c>
      <c r="JS33" s="487"/>
      <c r="JT33" s="489" t="str">
        <f t="shared" si="94"/>
        <v>0</v>
      </c>
      <c r="JU33" s="489" t="str">
        <f t="shared" si="95"/>
        <v>0</v>
      </c>
      <c r="JV33" s="487"/>
      <c r="JW33" s="489" t="str">
        <f t="shared" si="96"/>
        <v>0</v>
      </c>
      <c r="JX33" s="489" t="str">
        <f t="shared" si="97"/>
        <v>0</v>
      </c>
      <c r="JY33" s="487"/>
      <c r="JZ33" s="489" t="str">
        <f t="shared" si="98"/>
        <v>0</v>
      </c>
      <c r="KA33" s="489" t="str">
        <f t="shared" si="99"/>
        <v>0</v>
      </c>
      <c r="KB33" s="487"/>
      <c r="KC33" s="489" t="str">
        <f t="shared" si="100"/>
        <v>0</v>
      </c>
      <c r="KD33" s="489" t="str">
        <f t="shared" si="101"/>
        <v>0</v>
      </c>
      <c r="KE33" s="487"/>
      <c r="KF33" s="489" t="str">
        <f t="shared" si="102"/>
        <v>0</v>
      </c>
      <c r="KG33" s="489" t="str">
        <f t="shared" si="103"/>
        <v>0</v>
      </c>
      <c r="KH33" s="487"/>
      <c r="KI33" s="489" t="str">
        <f t="shared" si="104"/>
        <v>0</v>
      </c>
      <c r="KJ33" s="489" t="str">
        <f t="shared" si="105"/>
        <v>0</v>
      </c>
      <c r="KK33" s="487"/>
      <c r="KL33" s="489" t="str">
        <f t="shared" si="106"/>
        <v>0</v>
      </c>
      <c r="KM33" s="489" t="str">
        <f t="shared" si="107"/>
        <v>0</v>
      </c>
      <c r="KN33" s="487"/>
      <c r="KO33" s="489" t="str">
        <f t="shared" si="108"/>
        <v>0</v>
      </c>
      <c r="KP33" s="489" t="str">
        <f t="shared" si="109"/>
        <v>0</v>
      </c>
      <c r="KQ33" s="487"/>
      <c r="KR33" s="489" t="str">
        <f t="shared" si="110"/>
        <v>0</v>
      </c>
      <c r="KS33" s="489" t="str">
        <f t="shared" si="111"/>
        <v>0</v>
      </c>
      <c r="KT33" s="489">
        <f t="shared" si="201"/>
        <v>0</v>
      </c>
      <c r="KU33" s="489">
        <f t="shared" si="202"/>
        <v>0</v>
      </c>
      <c r="KV33" s="259">
        <f t="shared" si="199"/>
        <v>422.07856042536298</v>
      </c>
    </row>
    <row r="34" spans="1:308" ht="15" customHeight="1">
      <c r="A34" s="261">
        <f t="shared" si="200"/>
        <v>46137</v>
      </c>
      <c r="B34" s="262" t="str">
        <f>+Report1!B33</f>
        <v>Facial</v>
      </c>
      <c r="C34" s="382" t="str">
        <f>+Report1!C33</f>
        <v>13</v>
      </c>
      <c r="D34" s="263">
        <f>+Report1!P33</f>
        <v>48.978000000000002</v>
      </c>
      <c r="E34" s="264">
        <f>+Report1!R33</f>
        <v>43.970999999999997</v>
      </c>
      <c r="F34" s="487"/>
      <c r="G34" s="488">
        <f t="shared" si="0"/>
        <v>0</v>
      </c>
      <c r="H34" s="489">
        <f t="shared" si="112"/>
        <v>0</v>
      </c>
      <c r="I34" s="487">
        <v>271.59108837209283</v>
      </c>
      <c r="J34" s="488">
        <f t="shared" si="1"/>
        <v>6.1765956737871059</v>
      </c>
      <c r="K34" s="489">
        <f t="shared" si="113"/>
        <v>0</v>
      </c>
      <c r="L34" s="487"/>
      <c r="M34" s="488">
        <f t="shared" si="2"/>
        <v>0</v>
      </c>
      <c r="N34" s="489">
        <f t="shared" si="114"/>
        <v>0</v>
      </c>
      <c r="O34" s="487">
        <v>12</v>
      </c>
      <c r="P34" s="488">
        <f t="shared" si="3"/>
        <v>0.27290714334447708</v>
      </c>
      <c r="Q34" s="489">
        <f t="shared" si="115"/>
        <v>0</v>
      </c>
      <c r="R34" s="487">
        <v>7.6875</v>
      </c>
      <c r="S34" s="488">
        <f t="shared" si="4"/>
        <v>0.17483113870505562</v>
      </c>
      <c r="T34" s="489">
        <f t="shared" si="116"/>
        <v>0</v>
      </c>
      <c r="U34" s="487">
        <v>6.25</v>
      </c>
      <c r="V34" s="488">
        <f t="shared" si="5"/>
        <v>0.14213913715858181</v>
      </c>
      <c r="W34" s="489">
        <f t="shared" si="117"/>
        <v>0</v>
      </c>
      <c r="X34" s="487"/>
      <c r="Y34" s="488">
        <f t="shared" si="6"/>
        <v>0</v>
      </c>
      <c r="Z34" s="489">
        <f t="shared" si="118"/>
        <v>0</v>
      </c>
      <c r="AA34" s="487"/>
      <c r="AB34" s="488">
        <f t="shared" si="7"/>
        <v>0</v>
      </c>
      <c r="AC34" s="489">
        <f t="shared" si="119"/>
        <v>0</v>
      </c>
      <c r="AD34" s="487"/>
      <c r="AE34" s="488">
        <f t="shared" si="8"/>
        <v>0</v>
      </c>
      <c r="AF34" s="489">
        <f t="shared" si="120"/>
        <v>0</v>
      </c>
      <c r="AG34" s="487"/>
      <c r="AH34" s="488">
        <f t="shared" si="9"/>
        <v>0</v>
      </c>
      <c r="AI34" s="489">
        <f t="shared" si="121"/>
        <v>0</v>
      </c>
      <c r="AJ34" s="487"/>
      <c r="AK34" s="488">
        <f t="shared" si="10"/>
        <v>0</v>
      </c>
      <c r="AL34" s="489">
        <f t="shared" si="122"/>
        <v>0</v>
      </c>
      <c r="AM34" s="487">
        <v>22.456315384615323</v>
      </c>
      <c r="AN34" s="488">
        <f t="shared" si="11"/>
        <v>0.51070740680483329</v>
      </c>
      <c r="AO34" s="489">
        <f t="shared" si="123"/>
        <v>0</v>
      </c>
      <c r="AP34" s="487"/>
      <c r="AQ34" s="488">
        <f t="shared" si="12"/>
        <v>0</v>
      </c>
      <c r="AR34" s="489">
        <f t="shared" si="124"/>
        <v>0</v>
      </c>
      <c r="AS34" s="487"/>
      <c r="AT34" s="488">
        <f t="shared" si="13"/>
        <v>0</v>
      </c>
      <c r="AU34" s="489">
        <f t="shared" si="125"/>
        <v>0</v>
      </c>
      <c r="AV34" s="487">
        <v>2.7749999999999773</v>
      </c>
      <c r="AW34" s="488">
        <f t="shared" si="14"/>
        <v>6.3109776898409797E-2</v>
      </c>
      <c r="AX34" s="489">
        <f t="shared" si="126"/>
        <v>0</v>
      </c>
      <c r="AY34" s="487">
        <v>45.42133333333328</v>
      </c>
      <c r="AZ34" s="488">
        <f t="shared" si="15"/>
        <v>1.0329838605747717</v>
      </c>
      <c r="BA34" s="489">
        <f t="shared" si="127"/>
        <v>0</v>
      </c>
      <c r="BB34" s="487"/>
      <c r="BC34" s="488">
        <f t="shared" si="16"/>
        <v>0</v>
      </c>
      <c r="BD34" s="489">
        <f t="shared" si="128"/>
        <v>0</v>
      </c>
      <c r="BE34" s="487"/>
      <c r="BF34" s="488">
        <f t="shared" si="17"/>
        <v>0</v>
      </c>
      <c r="BG34" s="489">
        <f t="shared" si="129"/>
        <v>0</v>
      </c>
      <c r="BH34" s="487"/>
      <c r="BI34" s="488">
        <f t="shared" si="18"/>
        <v>0</v>
      </c>
      <c r="BJ34" s="489">
        <f t="shared" si="130"/>
        <v>0</v>
      </c>
      <c r="BK34" s="487"/>
      <c r="BL34" s="488">
        <f t="shared" si="19"/>
        <v>0</v>
      </c>
      <c r="BM34" s="489">
        <f t="shared" si="131"/>
        <v>0</v>
      </c>
      <c r="BN34" s="487">
        <v>25.30864197530866</v>
      </c>
      <c r="BO34" s="488">
        <f t="shared" si="20"/>
        <v>0.57557576528413412</v>
      </c>
      <c r="BP34" s="489">
        <f t="shared" si="132"/>
        <v>0</v>
      </c>
      <c r="BQ34" s="487"/>
      <c r="BR34" s="488">
        <f t="shared" si="21"/>
        <v>0</v>
      </c>
      <c r="BS34" s="489">
        <f t="shared" si="133"/>
        <v>0</v>
      </c>
      <c r="BT34" s="487"/>
      <c r="BU34" s="488">
        <f t="shared" si="22"/>
        <v>0</v>
      </c>
      <c r="BV34" s="489">
        <f t="shared" si="134"/>
        <v>0</v>
      </c>
      <c r="BW34" s="487"/>
      <c r="BX34" s="488">
        <f t="shared" si="23"/>
        <v>0</v>
      </c>
      <c r="BY34" s="489">
        <f t="shared" si="135"/>
        <v>0</v>
      </c>
      <c r="BZ34" s="487"/>
      <c r="CA34" s="488">
        <f t="shared" si="24"/>
        <v>0</v>
      </c>
      <c r="CB34" s="489">
        <f t="shared" si="136"/>
        <v>0</v>
      </c>
      <c r="CC34" s="487">
        <v>0</v>
      </c>
      <c r="CD34" s="488">
        <f t="shared" si="25"/>
        <v>0</v>
      </c>
      <c r="CE34" s="489">
        <f t="shared" si="137"/>
        <v>0</v>
      </c>
      <c r="CF34" s="487">
        <v>10</v>
      </c>
      <c r="CG34" s="488">
        <f t="shared" si="26"/>
        <v>0.22742261945373088</v>
      </c>
      <c r="CH34" s="489">
        <f t="shared" si="138"/>
        <v>0</v>
      </c>
      <c r="CI34" s="487"/>
      <c r="CJ34" s="488">
        <f t="shared" si="27"/>
        <v>0</v>
      </c>
      <c r="CK34" s="489">
        <f t="shared" si="139"/>
        <v>0</v>
      </c>
      <c r="CL34" s="487"/>
      <c r="CM34" s="488">
        <f t="shared" si="28"/>
        <v>0</v>
      </c>
      <c r="CN34" s="489">
        <f t="shared" si="140"/>
        <v>0</v>
      </c>
      <c r="CO34" s="487"/>
      <c r="CP34" s="488">
        <f t="shared" si="29"/>
        <v>0</v>
      </c>
      <c r="CQ34" s="489">
        <f t="shared" si="141"/>
        <v>0</v>
      </c>
      <c r="CR34" s="487"/>
      <c r="CS34" s="488">
        <f t="shared" si="30"/>
        <v>0</v>
      </c>
      <c r="CT34" s="489">
        <f t="shared" si="142"/>
        <v>0</v>
      </c>
      <c r="CU34" s="487"/>
      <c r="CV34" s="488">
        <f t="shared" si="31"/>
        <v>0</v>
      </c>
      <c r="CW34" s="489">
        <f t="shared" si="143"/>
        <v>0</v>
      </c>
      <c r="CX34" s="487"/>
      <c r="CY34" s="488">
        <f t="shared" si="32"/>
        <v>0</v>
      </c>
      <c r="CZ34" s="489">
        <f t="shared" si="144"/>
        <v>0</v>
      </c>
      <c r="DA34" s="487"/>
      <c r="DB34" s="488">
        <f t="shared" si="33"/>
        <v>0</v>
      </c>
      <c r="DC34" s="489">
        <f t="shared" si="145"/>
        <v>0</v>
      </c>
      <c r="DD34" s="487"/>
      <c r="DE34" s="488">
        <f t="shared" si="34"/>
        <v>0</v>
      </c>
      <c r="DF34" s="489">
        <f t="shared" si="146"/>
        <v>0</v>
      </c>
      <c r="DG34" s="487"/>
      <c r="DH34" s="488">
        <f t="shared" si="35"/>
        <v>0</v>
      </c>
      <c r="DI34" s="489">
        <f t="shared" si="203"/>
        <v>0</v>
      </c>
      <c r="DJ34" s="487"/>
      <c r="DK34" s="488">
        <f t="shared" si="36"/>
        <v>0</v>
      </c>
      <c r="DL34" s="489">
        <f t="shared" si="147"/>
        <v>0</v>
      </c>
      <c r="DM34" s="487"/>
      <c r="DN34" s="488">
        <f t="shared" si="37"/>
        <v>0</v>
      </c>
      <c r="DO34" s="489">
        <f t="shared" si="148"/>
        <v>0</v>
      </c>
      <c r="DP34" s="487"/>
      <c r="DQ34" s="488">
        <f t="shared" si="38"/>
        <v>0</v>
      </c>
      <c r="DR34" s="489">
        <f t="shared" si="149"/>
        <v>0</v>
      </c>
      <c r="DS34" s="487"/>
      <c r="DT34" s="488">
        <f t="shared" si="39"/>
        <v>0</v>
      </c>
      <c r="DU34" s="489">
        <f t="shared" si="150"/>
        <v>0</v>
      </c>
      <c r="DV34" s="487"/>
      <c r="DW34" s="488">
        <f t="shared" si="40"/>
        <v>0</v>
      </c>
      <c r="DX34" s="489">
        <f t="shared" si="151"/>
        <v>0</v>
      </c>
      <c r="DY34" s="487">
        <v>0</v>
      </c>
      <c r="DZ34" s="488">
        <f t="shared" si="41"/>
        <v>0</v>
      </c>
      <c r="EA34" s="489">
        <f t="shared" si="152"/>
        <v>0</v>
      </c>
      <c r="EB34" s="487">
        <v>18.168604651162809</v>
      </c>
      <c r="EC34" s="488">
        <f t="shared" si="42"/>
        <v>0.41319516615866847</v>
      </c>
      <c r="ED34" s="489">
        <f t="shared" si="153"/>
        <v>0</v>
      </c>
      <c r="EE34" s="487">
        <v>8</v>
      </c>
      <c r="EF34" s="488">
        <f t="shared" si="43"/>
        <v>0.18193809556298471</v>
      </c>
      <c r="EG34" s="489">
        <f t="shared" si="154"/>
        <v>0</v>
      </c>
      <c r="EH34" s="487"/>
      <c r="EI34" s="488">
        <f t="shared" si="44"/>
        <v>0</v>
      </c>
      <c r="EJ34" s="489">
        <f t="shared" si="155"/>
        <v>0</v>
      </c>
      <c r="EK34" s="487"/>
      <c r="EL34" s="488">
        <f t="shared" si="45"/>
        <v>0</v>
      </c>
      <c r="EM34" s="489">
        <f t="shared" si="156"/>
        <v>0</v>
      </c>
      <c r="EN34" s="487"/>
      <c r="EO34" s="488">
        <f t="shared" si="46"/>
        <v>0</v>
      </c>
      <c r="EP34" s="489">
        <f t="shared" si="157"/>
        <v>0</v>
      </c>
      <c r="EQ34" s="487"/>
      <c r="ER34" s="488">
        <f t="shared" si="47"/>
        <v>0</v>
      </c>
      <c r="ES34" s="489">
        <f t="shared" si="158"/>
        <v>0</v>
      </c>
      <c r="ET34" s="487"/>
      <c r="EU34" s="488">
        <f t="shared" si="48"/>
        <v>0</v>
      </c>
      <c r="EV34" s="489">
        <f t="shared" si="159"/>
        <v>0</v>
      </c>
      <c r="EW34" s="487"/>
      <c r="EX34" s="488">
        <f t="shared" si="49"/>
        <v>0</v>
      </c>
      <c r="EY34" s="489">
        <f t="shared" si="160"/>
        <v>0</v>
      </c>
      <c r="EZ34" s="487"/>
      <c r="FA34" s="488">
        <f t="shared" si="50"/>
        <v>0</v>
      </c>
      <c r="FB34" s="489">
        <f t="shared" si="161"/>
        <v>0</v>
      </c>
      <c r="FC34" s="487"/>
      <c r="FD34" s="488">
        <f t="shared" si="51"/>
        <v>0</v>
      </c>
      <c r="FE34" s="489">
        <f t="shared" si="162"/>
        <v>0</v>
      </c>
      <c r="FF34" s="487"/>
      <c r="FG34" s="488">
        <f t="shared" si="52"/>
        <v>0</v>
      </c>
      <c r="FH34" s="489">
        <f t="shared" si="163"/>
        <v>0</v>
      </c>
      <c r="FI34" s="487"/>
      <c r="FJ34" s="488">
        <f t="shared" si="53"/>
        <v>0</v>
      </c>
      <c r="FK34" s="489">
        <f t="shared" si="164"/>
        <v>0</v>
      </c>
      <c r="FL34" s="487"/>
      <c r="FM34" s="488">
        <f t="shared" si="54"/>
        <v>0</v>
      </c>
      <c r="FN34" s="489">
        <f t="shared" si="165"/>
        <v>0</v>
      </c>
      <c r="FO34" s="487"/>
      <c r="FP34" s="488">
        <f t="shared" si="55"/>
        <v>0</v>
      </c>
      <c r="FQ34" s="489">
        <f t="shared" si="166"/>
        <v>0</v>
      </c>
      <c r="FR34" s="487"/>
      <c r="FS34" s="488">
        <f t="shared" si="56"/>
        <v>0</v>
      </c>
      <c r="FT34" s="489">
        <f t="shared" si="167"/>
        <v>0</v>
      </c>
      <c r="FU34" s="487"/>
      <c r="FV34" s="488">
        <f t="shared" si="57"/>
        <v>0</v>
      </c>
      <c r="FW34" s="489">
        <f t="shared" si="168"/>
        <v>0</v>
      </c>
      <c r="FX34" s="487"/>
      <c r="FY34" s="488">
        <f t="shared" si="58"/>
        <v>0</v>
      </c>
      <c r="FZ34" s="489">
        <f t="shared" si="169"/>
        <v>0</v>
      </c>
      <c r="GA34" s="487"/>
      <c r="GB34" s="488">
        <f t="shared" si="59"/>
        <v>0</v>
      </c>
      <c r="GC34" s="489">
        <f t="shared" si="170"/>
        <v>0</v>
      </c>
      <c r="GD34" s="487"/>
      <c r="GE34" s="488">
        <f t="shared" si="60"/>
        <v>0</v>
      </c>
      <c r="GF34" s="489">
        <f t="shared" si="171"/>
        <v>0</v>
      </c>
      <c r="GG34" s="487"/>
      <c r="GH34" s="488">
        <f t="shared" si="61"/>
        <v>0</v>
      </c>
      <c r="GI34" s="489">
        <f t="shared" si="172"/>
        <v>0</v>
      </c>
      <c r="GJ34" s="487"/>
      <c r="GK34" s="488">
        <f t="shared" si="62"/>
        <v>0</v>
      </c>
      <c r="GL34" s="489">
        <f t="shared" si="173"/>
        <v>0</v>
      </c>
      <c r="GM34" s="487"/>
      <c r="GN34" s="488">
        <f t="shared" si="63"/>
        <v>0</v>
      </c>
      <c r="GO34" s="489">
        <f t="shared" si="174"/>
        <v>0</v>
      </c>
      <c r="GP34" s="487"/>
      <c r="GQ34" s="488">
        <f t="shared" si="64"/>
        <v>0</v>
      </c>
      <c r="GR34" s="489">
        <f t="shared" si="175"/>
        <v>0</v>
      </c>
      <c r="GS34" s="487"/>
      <c r="GT34" s="488">
        <f t="shared" si="65"/>
        <v>0</v>
      </c>
      <c r="GU34" s="489">
        <f t="shared" si="176"/>
        <v>0</v>
      </c>
      <c r="GV34" s="487"/>
      <c r="GW34" s="488">
        <f t="shared" si="66"/>
        <v>0</v>
      </c>
      <c r="GX34" s="489">
        <f t="shared" si="177"/>
        <v>0</v>
      </c>
      <c r="GY34" s="487"/>
      <c r="GZ34" s="488">
        <f t="shared" si="67"/>
        <v>0</v>
      </c>
      <c r="HA34" s="489">
        <f t="shared" si="178"/>
        <v>0</v>
      </c>
      <c r="HB34" s="487"/>
      <c r="HC34" s="488">
        <f t="shared" si="68"/>
        <v>0</v>
      </c>
      <c r="HD34" s="489">
        <f t="shared" si="179"/>
        <v>0</v>
      </c>
      <c r="HE34" s="487"/>
      <c r="HF34" s="488">
        <f t="shared" si="69"/>
        <v>0</v>
      </c>
      <c r="HG34" s="489">
        <f t="shared" si="180"/>
        <v>0</v>
      </c>
      <c r="HH34" s="487"/>
      <c r="HI34" s="488">
        <f t="shared" si="70"/>
        <v>0</v>
      </c>
      <c r="HJ34" s="489">
        <f t="shared" si="181"/>
        <v>0</v>
      </c>
      <c r="HK34" s="487"/>
      <c r="HL34" s="488">
        <f t="shared" si="71"/>
        <v>0</v>
      </c>
      <c r="HM34" s="489">
        <f t="shared" si="182"/>
        <v>0</v>
      </c>
      <c r="HN34" s="487"/>
      <c r="HO34" s="488">
        <f t="shared" si="72"/>
        <v>0</v>
      </c>
      <c r="HP34" s="489">
        <f t="shared" si="183"/>
        <v>0</v>
      </c>
      <c r="HQ34" s="487"/>
      <c r="HR34" s="488">
        <f t="shared" si="73"/>
        <v>0</v>
      </c>
      <c r="HS34" s="489">
        <f t="shared" si="184"/>
        <v>0</v>
      </c>
      <c r="HT34" s="487"/>
      <c r="HU34" s="488">
        <f t="shared" si="74"/>
        <v>0</v>
      </c>
      <c r="HV34" s="489">
        <f t="shared" si="185"/>
        <v>0</v>
      </c>
      <c r="HW34" s="487"/>
      <c r="HX34" s="488">
        <f t="shared" si="75"/>
        <v>0</v>
      </c>
      <c r="HY34" s="489">
        <f t="shared" si="186"/>
        <v>0</v>
      </c>
      <c r="HZ34" s="487"/>
      <c r="IA34" s="488">
        <f t="shared" si="76"/>
        <v>0</v>
      </c>
      <c r="IB34" s="489">
        <f t="shared" si="187"/>
        <v>0</v>
      </c>
      <c r="IC34" s="487"/>
      <c r="ID34" s="488">
        <f t="shared" si="77"/>
        <v>0</v>
      </c>
      <c r="IE34" s="489">
        <f t="shared" si="188"/>
        <v>0</v>
      </c>
      <c r="IF34" s="487"/>
      <c r="IG34" s="488">
        <f t="shared" si="78"/>
        <v>0</v>
      </c>
      <c r="IH34" s="489">
        <f t="shared" si="189"/>
        <v>0</v>
      </c>
      <c r="II34" s="487"/>
      <c r="IJ34" s="488">
        <f t="shared" si="79"/>
        <v>0</v>
      </c>
      <c r="IK34" s="489">
        <f t="shared" si="190"/>
        <v>0</v>
      </c>
      <c r="IL34" s="487"/>
      <c r="IM34" s="488">
        <f t="shared" si="80"/>
        <v>0</v>
      </c>
      <c r="IN34" s="489">
        <f t="shared" si="191"/>
        <v>0</v>
      </c>
      <c r="IO34" s="487"/>
      <c r="IP34" s="488">
        <f t="shared" si="81"/>
        <v>0</v>
      </c>
      <c r="IQ34" s="489">
        <f t="shared" si="192"/>
        <v>0</v>
      </c>
      <c r="IR34" s="487"/>
      <c r="IS34" s="488">
        <f t="shared" si="82"/>
        <v>0</v>
      </c>
      <c r="IT34" s="489">
        <f t="shared" si="193"/>
        <v>0</v>
      </c>
      <c r="IU34" s="487"/>
      <c r="IV34" s="488">
        <f t="shared" si="83"/>
        <v>0</v>
      </c>
      <c r="IW34" s="489">
        <f t="shared" si="194"/>
        <v>0</v>
      </c>
      <c r="IX34" s="487"/>
      <c r="IY34" s="488">
        <f t="shared" si="84"/>
        <v>0</v>
      </c>
      <c r="IZ34" s="489">
        <f t="shared" si="195"/>
        <v>0</v>
      </c>
      <c r="JA34" s="487"/>
      <c r="JB34" s="488">
        <f t="shared" si="85"/>
        <v>0</v>
      </c>
      <c r="JC34" s="489">
        <f t="shared" si="196"/>
        <v>0</v>
      </c>
      <c r="JD34" s="487"/>
      <c r="JE34" s="488">
        <f t="shared" si="86"/>
        <v>0</v>
      </c>
      <c r="JF34" s="489">
        <f t="shared" si="197"/>
        <v>0</v>
      </c>
      <c r="JG34" s="487"/>
      <c r="JH34" s="488">
        <f t="shared" si="87"/>
        <v>0</v>
      </c>
      <c r="JI34" s="489">
        <f t="shared" si="198"/>
        <v>0</v>
      </c>
      <c r="JJ34" s="487"/>
      <c r="JK34" s="489" t="str">
        <f t="shared" si="88"/>
        <v>0</v>
      </c>
      <c r="JL34" s="489" t="str">
        <f t="shared" si="89"/>
        <v>0</v>
      </c>
      <c r="JM34" s="487"/>
      <c r="JN34" s="489" t="str">
        <f t="shared" si="90"/>
        <v>0</v>
      </c>
      <c r="JO34" s="489" t="str">
        <f t="shared" si="91"/>
        <v>0</v>
      </c>
      <c r="JP34" s="487"/>
      <c r="JQ34" s="489" t="str">
        <f t="shared" si="92"/>
        <v>0</v>
      </c>
      <c r="JR34" s="489" t="str">
        <f t="shared" si="93"/>
        <v>0</v>
      </c>
      <c r="JS34" s="487"/>
      <c r="JT34" s="489" t="str">
        <f t="shared" si="94"/>
        <v>0</v>
      </c>
      <c r="JU34" s="489" t="str">
        <f t="shared" si="95"/>
        <v>0</v>
      </c>
      <c r="JV34" s="487"/>
      <c r="JW34" s="489" t="str">
        <f t="shared" si="96"/>
        <v>0</v>
      </c>
      <c r="JX34" s="489" t="str">
        <f t="shared" si="97"/>
        <v>0</v>
      </c>
      <c r="JY34" s="487"/>
      <c r="JZ34" s="489" t="str">
        <f t="shared" si="98"/>
        <v>0</v>
      </c>
      <c r="KA34" s="489" t="str">
        <f t="shared" si="99"/>
        <v>0</v>
      </c>
      <c r="KB34" s="487"/>
      <c r="KC34" s="489" t="str">
        <f t="shared" si="100"/>
        <v>0</v>
      </c>
      <c r="KD34" s="489" t="str">
        <f t="shared" si="101"/>
        <v>0</v>
      </c>
      <c r="KE34" s="487"/>
      <c r="KF34" s="489" t="str">
        <f t="shared" si="102"/>
        <v>0</v>
      </c>
      <c r="KG34" s="489" t="str">
        <f t="shared" si="103"/>
        <v>0</v>
      </c>
      <c r="KH34" s="487"/>
      <c r="KI34" s="489" t="str">
        <f t="shared" si="104"/>
        <v>0</v>
      </c>
      <c r="KJ34" s="489" t="str">
        <f t="shared" si="105"/>
        <v>0</v>
      </c>
      <c r="KK34" s="487"/>
      <c r="KL34" s="489" t="str">
        <f t="shared" si="106"/>
        <v>0</v>
      </c>
      <c r="KM34" s="489" t="str">
        <f t="shared" si="107"/>
        <v>0</v>
      </c>
      <c r="KN34" s="487"/>
      <c r="KO34" s="489" t="str">
        <f t="shared" si="108"/>
        <v>0</v>
      </c>
      <c r="KP34" s="489" t="str">
        <f t="shared" si="109"/>
        <v>0</v>
      </c>
      <c r="KQ34" s="487"/>
      <c r="KR34" s="489" t="str">
        <f t="shared" si="110"/>
        <v>0</v>
      </c>
      <c r="KS34" s="489" t="str">
        <f t="shared" si="111"/>
        <v>0</v>
      </c>
      <c r="KT34" s="489">
        <f t="shared" si="201"/>
        <v>0</v>
      </c>
      <c r="KU34" s="489">
        <f t="shared" si="202"/>
        <v>0</v>
      </c>
      <c r="KV34" s="259">
        <f t="shared" si="199"/>
        <v>429.65848371651288</v>
      </c>
    </row>
    <row r="35" spans="1:308" ht="15" customHeight="1">
      <c r="A35" s="261">
        <f t="shared" si="200"/>
        <v>46138</v>
      </c>
      <c r="B35" s="262" t="str">
        <f>+Report1!B34</f>
        <v>Facial</v>
      </c>
      <c r="C35" s="382" t="str">
        <f>+Report1!C34</f>
        <v>13</v>
      </c>
      <c r="D35" s="263">
        <f>+Report1!P34</f>
        <v>51.676000000000002</v>
      </c>
      <c r="E35" s="264">
        <f>+Report1!R34</f>
        <v>45.142000000000003</v>
      </c>
      <c r="F35" s="487"/>
      <c r="G35" s="488">
        <f t="shared" si="0"/>
        <v>0</v>
      </c>
      <c r="H35" s="489">
        <f t="shared" si="112"/>
        <v>0</v>
      </c>
      <c r="I35" s="487">
        <v>286.54844651162807</v>
      </c>
      <c r="J35" s="488">
        <f t="shared" si="1"/>
        <v>6.3477126957518069</v>
      </c>
      <c r="K35" s="489">
        <f t="shared" si="113"/>
        <v>0</v>
      </c>
      <c r="L35" s="487"/>
      <c r="M35" s="488">
        <f t="shared" si="2"/>
        <v>0</v>
      </c>
      <c r="N35" s="489">
        <f t="shared" si="114"/>
        <v>0</v>
      </c>
      <c r="O35" s="487">
        <v>12</v>
      </c>
      <c r="P35" s="488">
        <f t="shared" si="3"/>
        <v>0.26582783217402861</v>
      </c>
      <c r="Q35" s="489">
        <f t="shared" si="115"/>
        <v>0</v>
      </c>
      <c r="R35" s="487">
        <v>7.6875</v>
      </c>
      <c r="S35" s="488">
        <f t="shared" si="4"/>
        <v>0.17029595498648709</v>
      </c>
      <c r="T35" s="489">
        <f t="shared" si="116"/>
        <v>0</v>
      </c>
      <c r="U35" s="487">
        <v>6.2499999999999858</v>
      </c>
      <c r="V35" s="488">
        <f t="shared" si="5"/>
        <v>0.13845199592397292</v>
      </c>
      <c r="W35" s="489">
        <f t="shared" si="117"/>
        <v>0</v>
      </c>
      <c r="X35" s="487"/>
      <c r="Y35" s="488">
        <f t="shared" si="6"/>
        <v>0</v>
      </c>
      <c r="Z35" s="489">
        <f t="shared" si="118"/>
        <v>0</v>
      </c>
      <c r="AA35" s="487"/>
      <c r="AB35" s="488">
        <f t="shared" si="7"/>
        <v>0</v>
      </c>
      <c r="AC35" s="489">
        <f t="shared" si="119"/>
        <v>0</v>
      </c>
      <c r="AD35" s="487"/>
      <c r="AE35" s="488">
        <f t="shared" si="8"/>
        <v>0</v>
      </c>
      <c r="AF35" s="489">
        <f t="shared" si="120"/>
        <v>0</v>
      </c>
      <c r="AG35" s="487"/>
      <c r="AH35" s="488">
        <f t="shared" si="9"/>
        <v>0</v>
      </c>
      <c r="AI35" s="489">
        <f t="shared" si="121"/>
        <v>0</v>
      </c>
      <c r="AJ35" s="487"/>
      <c r="AK35" s="488">
        <f t="shared" si="10"/>
        <v>0</v>
      </c>
      <c r="AL35" s="489">
        <f t="shared" si="122"/>
        <v>0</v>
      </c>
      <c r="AM35" s="487">
        <v>23.697530769230866</v>
      </c>
      <c r="AN35" s="488">
        <f t="shared" si="11"/>
        <v>0.52495526935516512</v>
      </c>
      <c r="AO35" s="489">
        <f t="shared" si="123"/>
        <v>0</v>
      </c>
      <c r="AP35" s="487"/>
      <c r="AQ35" s="488">
        <f t="shared" si="12"/>
        <v>0</v>
      </c>
      <c r="AR35" s="489">
        <f t="shared" si="124"/>
        <v>0</v>
      </c>
      <c r="AS35" s="487"/>
      <c r="AT35" s="488">
        <f t="shared" si="13"/>
        <v>0</v>
      </c>
      <c r="AU35" s="489">
        <f t="shared" si="125"/>
        <v>0</v>
      </c>
      <c r="AV35" s="487">
        <v>2.7750000000000341</v>
      </c>
      <c r="AW35" s="488">
        <f t="shared" si="14"/>
        <v>6.1472686190244867E-2</v>
      </c>
      <c r="AX35" s="489">
        <f t="shared" si="126"/>
        <v>0</v>
      </c>
      <c r="AY35" s="487">
        <v>47.911999999999978</v>
      </c>
      <c r="AZ35" s="488">
        <f t="shared" si="15"/>
        <v>1.0613619245935044</v>
      </c>
      <c r="BA35" s="489">
        <f t="shared" si="127"/>
        <v>0</v>
      </c>
      <c r="BB35" s="487"/>
      <c r="BC35" s="488">
        <f t="shared" si="16"/>
        <v>0</v>
      </c>
      <c r="BD35" s="489">
        <f t="shared" si="128"/>
        <v>0</v>
      </c>
      <c r="BE35" s="487"/>
      <c r="BF35" s="488">
        <f t="shared" si="17"/>
        <v>0</v>
      </c>
      <c r="BG35" s="489">
        <f t="shared" si="129"/>
        <v>0</v>
      </c>
      <c r="BH35" s="487"/>
      <c r="BI35" s="488">
        <f t="shared" si="18"/>
        <v>0</v>
      </c>
      <c r="BJ35" s="489">
        <f t="shared" si="130"/>
        <v>0</v>
      </c>
      <c r="BK35" s="487"/>
      <c r="BL35" s="488">
        <f t="shared" si="19"/>
        <v>0</v>
      </c>
      <c r="BM35" s="489">
        <f t="shared" si="131"/>
        <v>0</v>
      </c>
      <c r="BN35" s="487">
        <v>27.839506172839521</v>
      </c>
      <c r="BO35" s="488">
        <f t="shared" si="20"/>
        <v>0.61670963122678479</v>
      </c>
      <c r="BP35" s="489">
        <f t="shared" si="132"/>
        <v>0</v>
      </c>
      <c r="BQ35" s="487"/>
      <c r="BR35" s="488">
        <f t="shared" si="21"/>
        <v>0</v>
      </c>
      <c r="BS35" s="489">
        <f t="shared" si="133"/>
        <v>0</v>
      </c>
      <c r="BT35" s="487"/>
      <c r="BU35" s="488">
        <f t="shared" si="22"/>
        <v>0</v>
      </c>
      <c r="BV35" s="489">
        <f t="shared" si="134"/>
        <v>0</v>
      </c>
      <c r="BW35" s="487"/>
      <c r="BX35" s="488">
        <f t="shared" si="23"/>
        <v>0</v>
      </c>
      <c r="BY35" s="489">
        <f t="shared" si="135"/>
        <v>0</v>
      </c>
      <c r="BZ35" s="487"/>
      <c r="CA35" s="488">
        <f t="shared" si="24"/>
        <v>0</v>
      </c>
      <c r="CB35" s="489">
        <f t="shared" si="136"/>
        <v>0</v>
      </c>
      <c r="CC35" s="487">
        <v>0</v>
      </c>
      <c r="CD35" s="488">
        <f t="shared" si="25"/>
        <v>0</v>
      </c>
      <c r="CE35" s="489">
        <f t="shared" si="137"/>
        <v>0</v>
      </c>
      <c r="CF35" s="487">
        <v>10</v>
      </c>
      <c r="CG35" s="488">
        <f t="shared" si="26"/>
        <v>0.22152319347835717</v>
      </c>
      <c r="CH35" s="489">
        <f t="shared" si="138"/>
        <v>0</v>
      </c>
      <c r="CI35" s="487"/>
      <c r="CJ35" s="488">
        <f t="shared" si="27"/>
        <v>0</v>
      </c>
      <c r="CK35" s="489">
        <f t="shared" si="139"/>
        <v>0</v>
      </c>
      <c r="CL35" s="487"/>
      <c r="CM35" s="488">
        <f t="shared" si="28"/>
        <v>0</v>
      </c>
      <c r="CN35" s="489">
        <f t="shared" si="140"/>
        <v>0</v>
      </c>
      <c r="CO35" s="487"/>
      <c r="CP35" s="488">
        <f t="shared" si="29"/>
        <v>0</v>
      </c>
      <c r="CQ35" s="489">
        <f t="shared" si="141"/>
        <v>0</v>
      </c>
      <c r="CR35" s="487"/>
      <c r="CS35" s="488">
        <f t="shared" si="30"/>
        <v>0</v>
      </c>
      <c r="CT35" s="489">
        <f t="shared" si="142"/>
        <v>0</v>
      </c>
      <c r="CU35" s="487"/>
      <c r="CV35" s="488">
        <f t="shared" si="31"/>
        <v>0</v>
      </c>
      <c r="CW35" s="489">
        <f t="shared" si="143"/>
        <v>0</v>
      </c>
      <c r="CX35" s="487"/>
      <c r="CY35" s="488">
        <f t="shared" si="32"/>
        <v>0</v>
      </c>
      <c r="CZ35" s="489">
        <f t="shared" si="144"/>
        <v>0</v>
      </c>
      <c r="DA35" s="487"/>
      <c r="DB35" s="488">
        <f t="shared" si="33"/>
        <v>0</v>
      </c>
      <c r="DC35" s="489">
        <f t="shared" si="145"/>
        <v>0</v>
      </c>
      <c r="DD35" s="487"/>
      <c r="DE35" s="488">
        <f t="shared" si="34"/>
        <v>0</v>
      </c>
      <c r="DF35" s="489">
        <f t="shared" si="146"/>
        <v>0</v>
      </c>
      <c r="DG35" s="487"/>
      <c r="DH35" s="488">
        <f t="shared" si="35"/>
        <v>0</v>
      </c>
      <c r="DI35" s="489">
        <f t="shared" si="203"/>
        <v>0</v>
      </c>
      <c r="DJ35" s="487"/>
      <c r="DK35" s="488">
        <f t="shared" si="36"/>
        <v>0</v>
      </c>
      <c r="DL35" s="489">
        <f t="shared" si="147"/>
        <v>0</v>
      </c>
      <c r="DM35" s="487"/>
      <c r="DN35" s="488">
        <f t="shared" si="37"/>
        <v>0</v>
      </c>
      <c r="DO35" s="489">
        <f t="shared" si="148"/>
        <v>0</v>
      </c>
      <c r="DP35" s="487"/>
      <c r="DQ35" s="488">
        <f t="shared" si="38"/>
        <v>0</v>
      </c>
      <c r="DR35" s="489">
        <f t="shared" si="149"/>
        <v>0</v>
      </c>
      <c r="DS35" s="487"/>
      <c r="DT35" s="488">
        <f t="shared" si="39"/>
        <v>0</v>
      </c>
      <c r="DU35" s="489">
        <f t="shared" si="150"/>
        <v>0</v>
      </c>
      <c r="DV35" s="487"/>
      <c r="DW35" s="488">
        <f t="shared" si="40"/>
        <v>0</v>
      </c>
      <c r="DX35" s="489">
        <f t="shared" si="151"/>
        <v>0</v>
      </c>
      <c r="DY35" s="487">
        <v>0</v>
      </c>
      <c r="DZ35" s="488">
        <f t="shared" si="41"/>
        <v>0</v>
      </c>
      <c r="EA35" s="489">
        <f t="shared" si="152"/>
        <v>0</v>
      </c>
      <c r="EB35" s="487">
        <v>18.168604651162752</v>
      </c>
      <c r="EC35" s="488">
        <f t="shared" si="42"/>
        <v>0.40247673233713066</v>
      </c>
      <c r="ED35" s="489">
        <f t="shared" si="153"/>
        <v>0</v>
      </c>
      <c r="EE35" s="487">
        <v>8</v>
      </c>
      <c r="EF35" s="488">
        <f t="shared" si="43"/>
        <v>0.17721855478268572</v>
      </c>
      <c r="EG35" s="489">
        <f t="shared" si="154"/>
        <v>0</v>
      </c>
      <c r="EH35" s="487"/>
      <c r="EI35" s="488">
        <f t="shared" si="44"/>
        <v>0</v>
      </c>
      <c r="EJ35" s="489">
        <f t="shared" si="155"/>
        <v>0</v>
      </c>
      <c r="EK35" s="487"/>
      <c r="EL35" s="488">
        <f t="shared" si="45"/>
        <v>0</v>
      </c>
      <c r="EM35" s="489">
        <f t="shared" si="156"/>
        <v>0</v>
      </c>
      <c r="EN35" s="487"/>
      <c r="EO35" s="488">
        <f t="shared" si="46"/>
        <v>0</v>
      </c>
      <c r="EP35" s="489">
        <f t="shared" si="157"/>
        <v>0</v>
      </c>
      <c r="EQ35" s="487"/>
      <c r="ER35" s="488">
        <f t="shared" si="47"/>
        <v>0</v>
      </c>
      <c r="ES35" s="489">
        <f t="shared" si="158"/>
        <v>0</v>
      </c>
      <c r="ET35" s="487"/>
      <c r="EU35" s="488">
        <f t="shared" si="48"/>
        <v>0</v>
      </c>
      <c r="EV35" s="489">
        <f t="shared" si="159"/>
        <v>0</v>
      </c>
      <c r="EW35" s="487"/>
      <c r="EX35" s="488">
        <f t="shared" si="49"/>
        <v>0</v>
      </c>
      <c r="EY35" s="489">
        <f t="shared" si="160"/>
        <v>0</v>
      </c>
      <c r="EZ35" s="487"/>
      <c r="FA35" s="488">
        <f t="shared" si="50"/>
        <v>0</v>
      </c>
      <c r="FB35" s="489">
        <f t="shared" si="161"/>
        <v>0</v>
      </c>
      <c r="FC35" s="487"/>
      <c r="FD35" s="488">
        <f t="shared" si="51"/>
        <v>0</v>
      </c>
      <c r="FE35" s="489">
        <f t="shared" si="162"/>
        <v>0</v>
      </c>
      <c r="FF35" s="487"/>
      <c r="FG35" s="488">
        <f t="shared" si="52"/>
        <v>0</v>
      </c>
      <c r="FH35" s="489">
        <f t="shared" si="163"/>
        <v>0</v>
      </c>
      <c r="FI35" s="487"/>
      <c r="FJ35" s="488">
        <f t="shared" si="53"/>
        <v>0</v>
      </c>
      <c r="FK35" s="489">
        <f t="shared" si="164"/>
        <v>0</v>
      </c>
      <c r="FL35" s="487"/>
      <c r="FM35" s="488">
        <f t="shared" si="54"/>
        <v>0</v>
      </c>
      <c r="FN35" s="489">
        <f t="shared" si="165"/>
        <v>0</v>
      </c>
      <c r="FO35" s="487"/>
      <c r="FP35" s="488">
        <f t="shared" si="55"/>
        <v>0</v>
      </c>
      <c r="FQ35" s="489">
        <f t="shared" si="166"/>
        <v>0</v>
      </c>
      <c r="FR35" s="487"/>
      <c r="FS35" s="488">
        <f t="shared" si="56"/>
        <v>0</v>
      </c>
      <c r="FT35" s="489">
        <f t="shared" si="167"/>
        <v>0</v>
      </c>
      <c r="FU35" s="487"/>
      <c r="FV35" s="488">
        <f t="shared" si="57"/>
        <v>0</v>
      </c>
      <c r="FW35" s="489">
        <f t="shared" si="168"/>
        <v>0</v>
      </c>
      <c r="FX35" s="487"/>
      <c r="FY35" s="488">
        <f t="shared" si="58"/>
        <v>0</v>
      </c>
      <c r="FZ35" s="489">
        <f t="shared" si="169"/>
        <v>0</v>
      </c>
      <c r="GA35" s="487"/>
      <c r="GB35" s="488">
        <f t="shared" si="59"/>
        <v>0</v>
      </c>
      <c r="GC35" s="489">
        <f t="shared" si="170"/>
        <v>0</v>
      </c>
      <c r="GD35" s="487"/>
      <c r="GE35" s="488">
        <f t="shared" si="60"/>
        <v>0</v>
      </c>
      <c r="GF35" s="489">
        <f t="shared" si="171"/>
        <v>0</v>
      </c>
      <c r="GG35" s="487"/>
      <c r="GH35" s="488">
        <f t="shared" si="61"/>
        <v>0</v>
      </c>
      <c r="GI35" s="489">
        <f t="shared" si="172"/>
        <v>0</v>
      </c>
      <c r="GJ35" s="487"/>
      <c r="GK35" s="488">
        <f t="shared" si="62"/>
        <v>0</v>
      </c>
      <c r="GL35" s="489">
        <f t="shared" si="173"/>
        <v>0</v>
      </c>
      <c r="GM35" s="487"/>
      <c r="GN35" s="488">
        <f t="shared" si="63"/>
        <v>0</v>
      </c>
      <c r="GO35" s="489">
        <f t="shared" si="174"/>
        <v>0</v>
      </c>
      <c r="GP35" s="487"/>
      <c r="GQ35" s="488">
        <f t="shared" si="64"/>
        <v>0</v>
      </c>
      <c r="GR35" s="489">
        <f t="shared" si="175"/>
        <v>0</v>
      </c>
      <c r="GS35" s="487"/>
      <c r="GT35" s="488">
        <f t="shared" si="65"/>
        <v>0</v>
      </c>
      <c r="GU35" s="489">
        <f t="shared" si="176"/>
        <v>0</v>
      </c>
      <c r="GV35" s="487"/>
      <c r="GW35" s="488">
        <f t="shared" si="66"/>
        <v>0</v>
      </c>
      <c r="GX35" s="489">
        <f t="shared" si="177"/>
        <v>0</v>
      </c>
      <c r="GY35" s="487"/>
      <c r="GZ35" s="488">
        <f t="shared" si="67"/>
        <v>0</v>
      </c>
      <c r="HA35" s="489">
        <f t="shared" si="178"/>
        <v>0</v>
      </c>
      <c r="HB35" s="487"/>
      <c r="HC35" s="488">
        <f t="shared" si="68"/>
        <v>0</v>
      </c>
      <c r="HD35" s="489">
        <f t="shared" si="179"/>
        <v>0</v>
      </c>
      <c r="HE35" s="487"/>
      <c r="HF35" s="488">
        <f t="shared" si="69"/>
        <v>0</v>
      </c>
      <c r="HG35" s="489">
        <f t="shared" si="180"/>
        <v>0</v>
      </c>
      <c r="HH35" s="487"/>
      <c r="HI35" s="488">
        <f t="shared" si="70"/>
        <v>0</v>
      </c>
      <c r="HJ35" s="489">
        <f t="shared" si="181"/>
        <v>0</v>
      </c>
      <c r="HK35" s="487"/>
      <c r="HL35" s="488">
        <f t="shared" si="71"/>
        <v>0</v>
      </c>
      <c r="HM35" s="489">
        <f t="shared" si="182"/>
        <v>0</v>
      </c>
      <c r="HN35" s="487"/>
      <c r="HO35" s="488">
        <f t="shared" si="72"/>
        <v>0</v>
      </c>
      <c r="HP35" s="489">
        <f t="shared" si="183"/>
        <v>0</v>
      </c>
      <c r="HQ35" s="487"/>
      <c r="HR35" s="488">
        <f t="shared" si="73"/>
        <v>0</v>
      </c>
      <c r="HS35" s="489">
        <f t="shared" si="184"/>
        <v>0</v>
      </c>
      <c r="HT35" s="487"/>
      <c r="HU35" s="488">
        <f t="shared" si="74"/>
        <v>0</v>
      </c>
      <c r="HV35" s="489">
        <f t="shared" si="185"/>
        <v>0</v>
      </c>
      <c r="HW35" s="487"/>
      <c r="HX35" s="488">
        <f t="shared" si="75"/>
        <v>0</v>
      </c>
      <c r="HY35" s="489">
        <f t="shared" si="186"/>
        <v>0</v>
      </c>
      <c r="HZ35" s="487"/>
      <c r="IA35" s="488">
        <f t="shared" si="76"/>
        <v>0</v>
      </c>
      <c r="IB35" s="489">
        <f t="shared" si="187"/>
        <v>0</v>
      </c>
      <c r="IC35" s="487"/>
      <c r="ID35" s="488">
        <f t="shared" si="77"/>
        <v>0</v>
      </c>
      <c r="IE35" s="489">
        <f t="shared" si="188"/>
        <v>0</v>
      </c>
      <c r="IF35" s="487"/>
      <c r="IG35" s="488">
        <f t="shared" si="78"/>
        <v>0</v>
      </c>
      <c r="IH35" s="489">
        <f t="shared" si="189"/>
        <v>0</v>
      </c>
      <c r="II35" s="487"/>
      <c r="IJ35" s="488">
        <f t="shared" si="79"/>
        <v>0</v>
      </c>
      <c r="IK35" s="489">
        <f t="shared" si="190"/>
        <v>0</v>
      </c>
      <c r="IL35" s="487"/>
      <c r="IM35" s="488">
        <f t="shared" si="80"/>
        <v>0</v>
      </c>
      <c r="IN35" s="489">
        <f t="shared" si="191"/>
        <v>0</v>
      </c>
      <c r="IO35" s="487"/>
      <c r="IP35" s="488">
        <f t="shared" si="81"/>
        <v>0</v>
      </c>
      <c r="IQ35" s="489">
        <f t="shared" si="192"/>
        <v>0</v>
      </c>
      <c r="IR35" s="487"/>
      <c r="IS35" s="488">
        <f t="shared" si="82"/>
        <v>0</v>
      </c>
      <c r="IT35" s="489">
        <f t="shared" si="193"/>
        <v>0</v>
      </c>
      <c r="IU35" s="487"/>
      <c r="IV35" s="488">
        <f t="shared" si="83"/>
        <v>0</v>
      </c>
      <c r="IW35" s="489">
        <f t="shared" si="194"/>
        <v>0</v>
      </c>
      <c r="IX35" s="487"/>
      <c r="IY35" s="488">
        <f t="shared" si="84"/>
        <v>0</v>
      </c>
      <c r="IZ35" s="489">
        <f t="shared" si="195"/>
        <v>0</v>
      </c>
      <c r="JA35" s="487"/>
      <c r="JB35" s="488">
        <f t="shared" si="85"/>
        <v>0</v>
      </c>
      <c r="JC35" s="489">
        <f t="shared" si="196"/>
        <v>0</v>
      </c>
      <c r="JD35" s="487"/>
      <c r="JE35" s="488">
        <f t="shared" si="86"/>
        <v>0</v>
      </c>
      <c r="JF35" s="489">
        <f t="shared" si="197"/>
        <v>0</v>
      </c>
      <c r="JG35" s="487"/>
      <c r="JH35" s="488">
        <f t="shared" si="87"/>
        <v>0</v>
      </c>
      <c r="JI35" s="489">
        <f t="shared" si="198"/>
        <v>0</v>
      </c>
      <c r="JJ35" s="487"/>
      <c r="JK35" s="489" t="str">
        <f t="shared" si="88"/>
        <v>0</v>
      </c>
      <c r="JL35" s="489" t="str">
        <f t="shared" si="89"/>
        <v>0</v>
      </c>
      <c r="JM35" s="487"/>
      <c r="JN35" s="489" t="str">
        <f t="shared" si="90"/>
        <v>0</v>
      </c>
      <c r="JO35" s="489" t="str">
        <f t="shared" si="91"/>
        <v>0</v>
      </c>
      <c r="JP35" s="487"/>
      <c r="JQ35" s="489" t="str">
        <f t="shared" si="92"/>
        <v>0</v>
      </c>
      <c r="JR35" s="489" t="str">
        <f t="shared" si="93"/>
        <v>0</v>
      </c>
      <c r="JS35" s="487"/>
      <c r="JT35" s="489" t="str">
        <f t="shared" si="94"/>
        <v>0</v>
      </c>
      <c r="JU35" s="489" t="str">
        <f t="shared" si="95"/>
        <v>0</v>
      </c>
      <c r="JV35" s="487"/>
      <c r="JW35" s="489" t="str">
        <f t="shared" si="96"/>
        <v>0</v>
      </c>
      <c r="JX35" s="489" t="str">
        <f t="shared" si="97"/>
        <v>0</v>
      </c>
      <c r="JY35" s="487"/>
      <c r="JZ35" s="489" t="str">
        <f t="shared" si="98"/>
        <v>0</v>
      </c>
      <c r="KA35" s="489" t="str">
        <f t="shared" si="99"/>
        <v>0</v>
      </c>
      <c r="KB35" s="487"/>
      <c r="KC35" s="489" t="str">
        <f t="shared" si="100"/>
        <v>0</v>
      </c>
      <c r="KD35" s="489" t="str">
        <f t="shared" si="101"/>
        <v>0</v>
      </c>
      <c r="KE35" s="487"/>
      <c r="KF35" s="489" t="str">
        <f t="shared" si="102"/>
        <v>0</v>
      </c>
      <c r="KG35" s="489" t="str">
        <f t="shared" si="103"/>
        <v>0</v>
      </c>
      <c r="KH35" s="487"/>
      <c r="KI35" s="489" t="str">
        <f t="shared" si="104"/>
        <v>0</v>
      </c>
      <c r="KJ35" s="489" t="str">
        <f t="shared" si="105"/>
        <v>0</v>
      </c>
      <c r="KK35" s="487"/>
      <c r="KL35" s="489" t="str">
        <f t="shared" si="106"/>
        <v>0</v>
      </c>
      <c r="KM35" s="489" t="str">
        <f t="shared" si="107"/>
        <v>0</v>
      </c>
      <c r="KN35" s="487"/>
      <c r="KO35" s="489" t="str">
        <f t="shared" si="108"/>
        <v>0</v>
      </c>
      <c r="KP35" s="489" t="str">
        <f t="shared" si="109"/>
        <v>0</v>
      </c>
      <c r="KQ35" s="487"/>
      <c r="KR35" s="489" t="str">
        <f t="shared" si="110"/>
        <v>0</v>
      </c>
      <c r="KS35" s="489" t="str">
        <f t="shared" si="111"/>
        <v>0</v>
      </c>
      <c r="KT35" s="489">
        <f t="shared" si="201"/>
        <v>0</v>
      </c>
      <c r="KU35" s="489">
        <f t="shared" si="202"/>
        <v>0</v>
      </c>
      <c r="KV35" s="259">
        <f t="shared" si="199"/>
        <v>450.87858810486119</v>
      </c>
    </row>
    <row r="36" spans="1:308" ht="15" customHeight="1">
      <c r="A36" s="261">
        <f t="shared" si="200"/>
        <v>46139</v>
      </c>
      <c r="B36" s="262" t="str">
        <f>+Report1!B35</f>
        <v>Facial</v>
      </c>
      <c r="C36" s="382" t="str">
        <f>+Report1!C35</f>
        <v>13/12</v>
      </c>
      <c r="D36" s="263">
        <f>+Report1!P35</f>
        <v>43.106999999999999</v>
      </c>
      <c r="E36" s="264">
        <f>+Report1!R35</f>
        <v>50.276000000000003</v>
      </c>
      <c r="F36" s="487"/>
      <c r="G36" s="488">
        <f t="shared" si="0"/>
        <v>0</v>
      </c>
      <c r="H36" s="489">
        <f t="shared" si="112"/>
        <v>0</v>
      </c>
      <c r="I36" s="487">
        <v>255.81395348837214</v>
      </c>
      <c r="J36" s="488">
        <f t="shared" si="1"/>
        <v>5.0881922485554165</v>
      </c>
      <c r="K36" s="489">
        <f t="shared" si="113"/>
        <v>0</v>
      </c>
      <c r="L36" s="487"/>
      <c r="M36" s="488">
        <f t="shared" si="2"/>
        <v>0</v>
      </c>
      <c r="N36" s="489">
        <f t="shared" si="114"/>
        <v>0</v>
      </c>
      <c r="O36" s="487">
        <v>12</v>
      </c>
      <c r="P36" s="488">
        <f t="shared" si="3"/>
        <v>0.23868247275041768</v>
      </c>
      <c r="Q36" s="489">
        <f t="shared" si="115"/>
        <v>0</v>
      </c>
      <c r="R36" s="487">
        <v>7.6875</v>
      </c>
      <c r="S36" s="488">
        <f t="shared" si="4"/>
        <v>0.15290595910573632</v>
      </c>
      <c r="T36" s="489">
        <f t="shared" si="116"/>
        <v>0</v>
      </c>
      <c r="U36" s="487">
        <v>6.25</v>
      </c>
      <c r="V36" s="488">
        <f t="shared" si="5"/>
        <v>0.12431378789084255</v>
      </c>
      <c r="W36" s="489">
        <f t="shared" si="117"/>
        <v>0</v>
      </c>
      <c r="X36" s="487"/>
      <c r="Y36" s="488">
        <f t="shared" si="6"/>
        <v>0</v>
      </c>
      <c r="Z36" s="489">
        <f t="shared" si="118"/>
        <v>0</v>
      </c>
      <c r="AA36" s="487"/>
      <c r="AB36" s="488">
        <f t="shared" si="7"/>
        <v>0</v>
      </c>
      <c r="AC36" s="489">
        <f t="shared" si="119"/>
        <v>0</v>
      </c>
      <c r="AD36" s="487"/>
      <c r="AE36" s="488">
        <f t="shared" si="8"/>
        <v>0</v>
      </c>
      <c r="AF36" s="489">
        <f t="shared" si="120"/>
        <v>0</v>
      </c>
      <c r="AG36" s="487"/>
      <c r="AH36" s="488">
        <f t="shared" si="9"/>
        <v>0</v>
      </c>
      <c r="AI36" s="489">
        <f t="shared" si="121"/>
        <v>0</v>
      </c>
      <c r="AJ36" s="487"/>
      <c r="AK36" s="488">
        <f t="shared" si="10"/>
        <v>0</v>
      </c>
      <c r="AL36" s="489">
        <f t="shared" si="122"/>
        <v>0</v>
      </c>
      <c r="AM36" s="487">
        <v>20.192307692307736</v>
      </c>
      <c r="AN36" s="488">
        <f t="shared" si="11"/>
        <v>0.40162916087810752</v>
      </c>
      <c r="AO36" s="489">
        <f t="shared" si="123"/>
        <v>0</v>
      </c>
      <c r="AP36" s="487"/>
      <c r="AQ36" s="488">
        <f t="shared" si="12"/>
        <v>0</v>
      </c>
      <c r="AR36" s="489">
        <f t="shared" si="124"/>
        <v>0</v>
      </c>
      <c r="AS36" s="487"/>
      <c r="AT36" s="488">
        <f t="shared" si="13"/>
        <v>0</v>
      </c>
      <c r="AU36" s="489">
        <f t="shared" si="125"/>
        <v>0</v>
      </c>
      <c r="AV36" s="487">
        <v>2.7749999999999773</v>
      </c>
      <c r="AW36" s="488">
        <f t="shared" si="14"/>
        <v>5.5195321823533636E-2</v>
      </c>
      <c r="AX36" s="489">
        <f t="shared" si="126"/>
        <v>0</v>
      </c>
      <c r="AY36" s="487">
        <v>32.666666666666629</v>
      </c>
      <c r="AZ36" s="488">
        <f t="shared" si="15"/>
        <v>0.64974673137613626</v>
      </c>
      <c r="BA36" s="489">
        <f t="shared" si="127"/>
        <v>0</v>
      </c>
      <c r="BB36" s="487"/>
      <c r="BC36" s="488">
        <f t="shared" si="16"/>
        <v>0</v>
      </c>
      <c r="BD36" s="489">
        <f t="shared" si="128"/>
        <v>0</v>
      </c>
      <c r="BE36" s="487"/>
      <c r="BF36" s="488">
        <f t="shared" si="17"/>
        <v>0</v>
      </c>
      <c r="BG36" s="489">
        <f t="shared" si="129"/>
        <v>0</v>
      </c>
      <c r="BH36" s="487"/>
      <c r="BI36" s="488">
        <f t="shared" si="18"/>
        <v>0</v>
      </c>
      <c r="BJ36" s="489">
        <f t="shared" si="130"/>
        <v>0</v>
      </c>
      <c r="BK36" s="487"/>
      <c r="BL36" s="488">
        <f t="shared" si="19"/>
        <v>0</v>
      </c>
      <c r="BM36" s="489">
        <f t="shared" si="131"/>
        <v>0</v>
      </c>
      <c r="BN36" s="487">
        <v>22.7777777777778</v>
      </c>
      <c r="BO36" s="488">
        <f t="shared" si="20"/>
        <v>0.45305469364662659</v>
      </c>
      <c r="BP36" s="489">
        <f t="shared" si="132"/>
        <v>0</v>
      </c>
      <c r="BQ36" s="487"/>
      <c r="BR36" s="488">
        <f t="shared" si="21"/>
        <v>0</v>
      </c>
      <c r="BS36" s="489">
        <f t="shared" si="133"/>
        <v>0</v>
      </c>
      <c r="BT36" s="487"/>
      <c r="BU36" s="488">
        <f t="shared" si="22"/>
        <v>0</v>
      </c>
      <c r="BV36" s="489">
        <f t="shared" si="134"/>
        <v>0</v>
      </c>
      <c r="BW36" s="487"/>
      <c r="BX36" s="488">
        <f t="shared" si="23"/>
        <v>0</v>
      </c>
      <c r="BY36" s="489">
        <f t="shared" si="135"/>
        <v>0</v>
      </c>
      <c r="BZ36" s="487"/>
      <c r="CA36" s="488">
        <f t="shared" si="24"/>
        <v>0</v>
      </c>
      <c r="CB36" s="489">
        <f t="shared" si="136"/>
        <v>0</v>
      </c>
      <c r="CC36" s="487">
        <v>0</v>
      </c>
      <c r="CD36" s="488">
        <f t="shared" si="25"/>
        <v>0</v>
      </c>
      <c r="CE36" s="489">
        <f t="shared" si="137"/>
        <v>0</v>
      </c>
      <c r="CF36" s="487">
        <v>9</v>
      </c>
      <c r="CG36" s="488">
        <f t="shared" si="26"/>
        <v>0.17901185456281327</v>
      </c>
      <c r="CH36" s="489">
        <f t="shared" si="138"/>
        <v>0</v>
      </c>
      <c r="CI36" s="487"/>
      <c r="CJ36" s="488">
        <f t="shared" si="27"/>
        <v>0</v>
      </c>
      <c r="CK36" s="489">
        <f t="shared" si="139"/>
        <v>0</v>
      </c>
      <c r="CL36" s="487"/>
      <c r="CM36" s="488">
        <f t="shared" si="28"/>
        <v>0</v>
      </c>
      <c r="CN36" s="489">
        <f t="shared" si="140"/>
        <v>0</v>
      </c>
      <c r="CO36" s="487"/>
      <c r="CP36" s="488">
        <f t="shared" si="29"/>
        <v>0</v>
      </c>
      <c r="CQ36" s="489">
        <f t="shared" si="141"/>
        <v>0</v>
      </c>
      <c r="CR36" s="487"/>
      <c r="CS36" s="488">
        <f t="shared" si="30"/>
        <v>0</v>
      </c>
      <c r="CT36" s="489">
        <f t="shared" si="142"/>
        <v>0</v>
      </c>
      <c r="CU36" s="487"/>
      <c r="CV36" s="488">
        <f t="shared" si="31"/>
        <v>0</v>
      </c>
      <c r="CW36" s="489">
        <f t="shared" si="143"/>
        <v>0</v>
      </c>
      <c r="CX36" s="487"/>
      <c r="CY36" s="488">
        <f t="shared" si="32"/>
        <v>0</v>
      </c>
      <c r="CZ36" s="489">
        <f t="shared" si="144"/>
        <v>0</v>
      </c>
      <c r="DA36" s="487"/>
      <c r="DB36" s="488">
        <f t="shared" si="33"/>
        <v>0</v>
      </c>
      <c r="DC36" s="489">
        <f t="shared" si="145"/>
        <v>0</v>
      </c>
      <c r="DD36" s="487"/>
      <c r="DE36" s="488">
        <f t="shared" si="34"/>
        <v>0</v>
      </c>
      <c r="DF36" s="489">
        <f t="shared" si="146"/>
        <v>0</v>
      </c>
      <c r="DG36" s="487"/>
      <c r="DH36" s="488">
        <f t="shared" si="35"/>
        <v>0</v>
      </c>
      <c r="DI36" s="489">
        <f t="shared" si="203"/>
        <v>0</v>
      </c>
      <c r="DJ36" s="487"/>
      <c r="DK36" s="488">
        <f t="shared" si="36"/>
        <v>0</v>
      </c>
      <c r="DL36" s="489">
        <f t="shared" si="147"/>
        <v>0</v>
      </c>
      <c r="DM36" s="487"/>
      <c r="DN36" s="488">
        <f t="shared" si="37"/>
        <v>0</v>
      </c>
      <c r="DO36" s="489">
        <f t="shared" si="148"/>
        <v>0</v>
      </c>
      <c r="DP36" s="487"/>
      <c r="DQ36" s="488">
        <f t="shared" si="38"/>
        <v>0</v>
      </c>
      <c r="DR36" s="489">
        <f t="shared" si="149"/>
        <v>0</v>
      </c>
      <c r="DS36" s="487"/>
      <c r="DT36" s="488">
        <f t="shared" si="39"/>
        <v>0</v>
      </c>
      <c r="DU36" s="489">
        <f t="shared" si="150"/>
        <v>0</v>
      </c>
      <c r="DV36" s="487"/>
      <c r="DW36" s="488">
        <f t="shared" si="40"/>
        <v>0</v>
      </c>
      <c r="DX36" s="489">
        <f t="shared" si="151"/>
        <v>0</v>
      </c>
      <c r="DY36" s="487">
        <v>0</v>
      </c>
      <c r="DZ36" s="488">
        <f t="shared" si="41"/>
        <v>0</v>
      </c>
      <c r="EA36" s="489">
        <f t="shared" si="152"/>
        <v>0</v>
      </c>
      <c r="EB36" s="487">
        <v>21.802325581395394</v>
      </c>
      <c r="EC36" s="488">
        <f t="shared" si="42"/>
        <v>0.43365274845642837</v>
      </c>
      <c r="ED36" s="489">
        <f t="shared" si="153"/>
        <v>0</v>
      </c>
      <c r="EE36" s="487">
        <v>7</v>
      </c>
      <c r="EF36" s="488">
        <f t="shared" si="43"/>
        <v>0.13923144243774366</v>
      </c>
      <c r="EG36" s="489">
        <f t="shared" si="154"/>
        <v>0</v>
      </c>
      <c r="EH36" s="487"/>
      <c r="EI36" s="488">
        <f t="shared" si="44"/>
        <v>0</v>
      </c>
      <c r="EJ36" s="489">
        <f t="shared" si="155"/>
        <v>0</v>
      </c>
      <c r="EK36" s="487"/>
      <c r="EL36" s="488">
        <f t="shared" si="45"/>
        <v>0</v>
      </c>
      <c r="EM36" s="489">
        <f t="shared" si="156"/>
        <v>0</v>
      </c>
      <c r="EN36" s="487"/>
      <c r="EO36" s="488">
        <f t="shared" si="46"/>
        <v>0</v>
      </c>
      <c r="EP36" s="489">
        <f t="shared" si="157"/>
        <v>0</v>
      </c>
      <c r="EQ36" s="487"/>
      <c r="ER36" s="488">
        <f t="shared" si="47"/>
        <v>0</v>
      </c>
      <c r="ES36" s="489">
        <f t="shared" si="158"/>
        <v>0</v>
      </c>
      <c r="ET36" s="487"/>
      <c r="EU36" s="488">
        <f t="shared" si="48"/>
        <v>0</v>
      </c>
      <c r="EV36" s="489">
        <f t="shared" si="159"/>
        <v>0</v>
      </c>
      <c r="EW36" s="487"/>
      <c r="EX36" s="488">
        <f t="shared" si="49"/>
        <v>0</v>
      </c>
      <c r="EY36" s="489">
        <f t="shared" si="160"/>
        <v>0</v>
      </c>
      <c r="EZ36" s="487"/>
      <c r="FA36" s="488">
        <f t="shared" si="50"/>
        <v>0</v>
      </c>
      <c r="FB36" s="489">
        <f t="shared" si="161"/>
        <v>0</v>
      </c>
      <c r="FC36" s="487"/>
      <c r="FD36" s="488">
        <f t="shared" si="51"/>
        <v>0</v>
      </c>
      <c r="FE36" s="489">
        <f t="shared" si="162"/>
        <v>0</v>
      </c>
      <c r="FF36" s="487"/>
      <c r="FG36" s="488">
        <f t="shared" si="52"/>
        <v>0</v>
      </c>
      <c r="FH36" s="489">
        <f t="shared" si="163"/>
        <v>0</v>
      </c>
      <c r="FI36" s="487"/>
      <c r="FJ36" s="488">
        <f t="shared" si="53"/>
        <v>0</v>
      </c>
      <c r="FK36" s="489">
        <f t="shared" si="164"/>
        <v>0</v>
      </c>
      <c r="FL36" s="487"/>
      <c r="FM36" s="488">
        <f t="shared" si="54"/>
        <v>0</v>
      </c>
      <c r="FN36" s="489">
        <f t="shared" si="165"/>
        <v>0</v>
      </c>
      <c r="FO36" s="487"/>
      <c r="FP36" s="488">
        <f t="shared" si="55"/>
        <v>0</v>
      </c>
      <c r="FQ36" s="489">
        <f t="shared" si="166"/>
        <v>0</v>
      </c>
      <c r="FR36" s="487"/>
      <c r="FS36" s="488">
        <f t="shared" si="56"/>
        <v>0</v>
      </c>
      <c r="FT36" s="489">
        <f t="shared" si="167"/>
        <v>0</v>
      </c>
      <c r="FU36" s="487"/>
      <c r="FV36" s="488">
        <f t="shared" si="57"/>
        <v>0</v>
      </c>
      <c r="FW36" s="489">
        <f t="shared" si="168"/>
        <v>0</v>
      </c>
      <c r="FX36" s="487"/>
      <c r="FY36" s="488">
        <f t="shared" si="58"/>
        <v>0</v>
      </c>
      <c r="FZ36" s="489">
        <f t="shared" si="169"/>
        <v>0</v>
      </c>
      <c r="GA36" s="487"/>
      <c r="GB36" s="488">
        <f t="shared" si="59"/>
        <v>0</v>
      </c>
      <c r="GC36" s="489">
        <f t="shared" si="170"/>
        <v>0</v>
      </c>
      <c r="GD36" s="487"/>
      <c r="GE36" s="488">
        <f t="shared" si="60"/>
        <v>0</v>
      </c>
      <c r="GF36" s="489">
        <f t="shared" si="171"/>
        <v>0</v>
      </c>
      <c r="GG36" s="487"/>
      <c r="GH36" s="488">
        <f t="shared" si="61"/>
        <v>0</v>
      </c>
      <c r="GI36" s="489">
        <f t="shared" si="172"/>
        <v>0</v>
      </c>
      <c r="GJ36" s="487"/>
      <c r="GK36" s="488">
        <f t="shared" si="62"/>
        <v>0</v>
      </c>
      <c r="GL36" s="489">
        <f t="shared" si="173"/>
        <v>0</v>
      </c>
      <c r="GM36" s="487"/>
      <c r="GN36" s="488">
        <f t="shared" si="63"/>
        <v>0</v>
      </c>
      <c r="GO36" s="489">
        <f t="shared" si="174"/>
        <v>0</v>
      </c>
      <c r="GP36" s="487"/>
      <c r="GQ36" s="488">
        <f t="shared" si="64"/>
        <v>0</v>
      </c>
      <c r="GR36" s="489">
        <f t="shared" si="175"/>
        <v>0</v>
      </c>
      <c r="GS36" s="487"/>
      <c r="GT36" s="488">
        <f t="shared" si="65"/>
        <v>0</v>
      </c>
      <c r="GU36" s="489">
        <f t="shared" si="176"/>
        <v>0</v>
      </c>
      <c r="GV36" s="487"/>
      <c r="GW36" s="488">
        <f t="shared" si="66"/>
        <v>0</v>
      </c>
      <c r="GX36" s="489">
        <f t="shared" si="177"/>
        <v>0</v>
      </c>
      <c r="GY36" s="487"/>
      <c r="GZ36" s="488">
        <f t="shared" si="67"/>
        <v>0</v>
      </c>
      <c r="HA36" s="489">
        <f t="shared" si="178"/>
        <v>0</v>
      </c>
      <c r="HB36" s="487"/>
      <c r="HC36" s="488">
        <f t="shared" si="68"/>
        <v>0</v>
      </c>
      <c r="HD36" s="489">
        <f t="shared" si="179"/>
        <v>0</v>
      </c>
      <c r="HE36" s="487"/>
      <c r="HF36" s="488">
        <f t="shared" si="69"/>
        <v>0</v>
      </c>
      <c r="HG36" s="489">
        <f t="shared" si="180"/>
        <v>0</v>
      </c>
      <c r="HH36" s="487"/>
      <c r="HI36" s="488">
        <f t="shared" si="70"/>
        <v>0</v>
      </c>
      <c r="HJ36" s="489">
        <f t="shared" si="181"/>
        <v>0</v>
      </c>
      <c r="HK36" s="487"/>
      <c r="HL36" s="488">
        <f t="shared" si="71"/>
        <v>0</v>
      </c>
      <c r="HM36" s="489">
        <f t="shared" si="182"/>
        <v>0</v>
      </c>
      <c r="HN36" s="487"/>
      <c r="HO36" s="488">
        <f t="shared" si="72"/>
        <v>0</v>
      </c>
      <c r="HP36" s="489">
        <f t="shared" si="183"/>
        <v>0</v>
      </c>
      <c r="HQ36" s="487"/>
      <c r="HR36" s="488">
        <f t="shared" si="73"/>
        <v>0</v>
      </c>
      <c r="HS36" s="489">
        <f t="shared" si="184"/>
        <v>0</v>
      </c>
      <c r="HT36" s="487"/>
      <c r="HU36" s="488">
        <f t="shared" si="74"/>
        <v>0</v>
      </c>
      <c r="HV36" s="489">
        <f t="shared" si="185"/>
        <v>0</v>
      </c>
      <c r="HW36" s="487"/>
      <c r="HX36" s="488">
        <f t="shared" si="75"/>
        <v>0</v>
      </c>
      <c r="HY36" s="489">
        <f t="shared" si="186"/>
        <v>0</v>
      </c>
      <c r="HZ36" s="487"/>
      <c r="IA36" s="488">
        <f t="shared" si="76"/>
        <v>0</v>
      </c>
      <c r="IB36" s="489">
        <f t="shared" si="187"/>
        <v>0</v>
      </c>
      <c r="IC36" s="487"/>
      <c r="ID36" s="488">
        <f t="shared" si="77"/>
        <v>0</v>
      </c>
      <c r="IE36" s="489">
        <f t="shared" si="188"/>
        <v>0</v>
      </c>
      <c r="IF36" s="487"/>
      <c r="IG36" s="488">
        <f t="shared" si="78"/>
        <v>0</v>
      </c>
      <c r="IH36" s="489">
        <f t="shared" si="189"/>
        <v>0</v>
      </c>
      <c r="II36" s="487"/>
      <c r="IJ36" s="488">
        <f t="shared" si="79"/>
        <v>0</v>
      </c>
      <c r="IK36" s="489">
        <f t="shared" si="190"/>
        <v>0</v>
      </c>
      <c r="IL36" s="487"/>
      <c r="IM36" s="488">
        <f t="shared" si="80"/>
        <v>0</v>
      </c>
      <c r="IN36" s="489">
        <f t="shared" si="191"/>
        <v>0</v>
      </c>
      <c r="IO36" s="487"/>
      <c r="IP36" s="488">
        <f t="shared" si="81"/>
        <v>0</v>
      </c>
      <c r="IQ36" s="489">
        <f t="shared" si="192"/>
        <v>0</v>
      </c>
      <c r="IR36" s="487"/>
      <c r="IS36" s="488">
        <f t="shared" si="82"/>
        <v>0</v>
      </c>
      <c r="IT36" s="489">
        <f t="shared" si="193"/>
        <v>0</v>
      </c>
      <c r="IU36" s="487"/>
      <c r="IV36" s="488">
        <f t="shared" si="83"/>
        <v>0</v>
      </c>
      <c r="IW36" s="489">
        <f t="shared" si="194"/>
        <v>0</v>
      </c>
      <c r="IX36" s="487"/>
      <c r="IY36" s="488">
        <f t="shared" si="84"/>
        <v>0</v>
      </c>
      <c r="IZ36" s="489">
        <f t="shared" si="195"/>
        <v>0</v>
      </c>
      <c r="JA36" s="487"/>
      <c r="JB36" s="488">
        <f t="shared" si="85"/>
        <v>0</v>
      </c>
      <c r="JC36" s="489">
        <f t="shared" si="196"/>
        <v>0</v>
      </c>
      <c r="JD36" s="487"/>
      <c r="JE36" s="488">
        <f t="shared" si="86"/>
        <v>0</v>
      </c>
      <c r="JF36" s="489">
        <f t="shared" si="197"/>
        <v>0</v>
      </c>
      <c r="JG36" s="487"/>
      <c r="JH36" s="488">
        <f t="shared" si="87"/>
        <v>0</v>
      </c>
      <c r="JI36" s="489">
        <f t="shared" si="198"/>
        <v>0</v>
      </c>
      <c r="JJ36" s="487"/>
      <c r="JK36" s="489" t="str">
        <f t="shared" si="88"/>
        <v>0</v>
      </c>
      <c r="JL36" s="489" t="str">
        <f t="shared" si="89"/>
        <v>0</v>
      </c>
      <c r="JM36" s="487"/>
      <c r="JN36" s="489" t="str">
        <f t="shared" si="90"/>
        <v>0</v>
      </c>
      <c r="JO36" s="489" t="str">
        <f t="shared" si="91"/>
        <v>0</v>
      </c>
      <c r="JP36" s="487"/>
      <c r="JQ36" s="489" t="str">
        <f t="shared" si="92"/>
        <v>0</v>
      </c>
      <c r="JR36" s="489" t="str">
        <f t="shared" si="93"/>
        <v>0</v>
      </c>
      <c r="JS36" s="487"/>
      <c r="JT36" s="489" t="str">
        <f t="shared" si="94"/>
        <v>0</v>
      </c>
      <c r="JU36" s="489" t="str">
        <f t="shared" si="95"/>
        <v>0</v>
      </c>
      <c r="JV36" s="487"/>
      <c r="JW36" s="489" t="str">
        <f t="shared" si="96"/>
        <v>0</v>
      </c>
      <c r="JX36" s="489" t="str">
        <f t="shared" si="97"/>
        <v>0</v>
      </c>
      <c r="JY36" s="487"/>
      <c r="JZ36" s="489" t="str">
        <f t="shared" si="98"/>
        <v>0</v>
      </c>
      <c r="KA36" s="489" t="str">
        <f t="shared" si="99"/>
        <v>0</v>
      </c>
      <c r="KB36" s="487"/>
      <c r="KC36" s="489" t="str">
        <f t="shared" si="100"/>
        <v>0</v>
      </c>
      <c r="KD36" s="489" t="str">
        <f t="shared" si="101"/>
        <v>0</v>
      </c>
      <c r="KE36" s="487"/>
      <c r="KF36" s="489" t="str">
        <f t="shared" si="102"/>
        <v>0</v>
      </c>
      <c r="KG36" s="489" t="str">
        <f t="shared" si="103"/>
        <v>0</v>
      </c>
      <c r="KH36" s="487"/>
      <c r="KI36" s="489" t="str">
        <f t="shared" si="104"/>
        <v>0</v>
      </c>
      <c r="KJ36" s="489" t="str">
        <f t="shared" si="105"/>
        <v>0</v>
      </c>
      <c r="KK36" s="487"/>
      <c r="KL36" s="489" t="str">
        <f t="shared" si="106"/>
        <v>0</v>
      </c>
      <c r="KM36" s="489" t="str">
        <f t="shared" si="107"/>
        <v>0</v>
      </c>
      <c r="KN36" s="487"/>
      <c r="KO36" s="489" t="str">
        <f t="shared" si="108"/>
        <v>0</v>
      </c>
      <c r="KP36" s="489" t="str">
        <f t="shared" si="109"/>
        <v>0</v>
      </c>
      <c r="KQ36" s="487"/>
      <c r="KR36" s="489" t="str">
        <f t="shared" si="110"/>
        <v>0</v>
      </c>
      <c r="KS36" s="489" t="str">
        <f t="shared" si="111"/>
        <v>0</v>
      </c>
      <c r="KT36" s="489">
        <f t="shared" si="201"/>
        <v>0</v>
      </c>
      <c r="KU36" s="489">
        <f t="shared" si="202"/>
        <v>0</v>
      </c>
      <c r="KV36" s="259">
        <f t="shared" si="199"/>
        <v>397.9655312065197</v>
      </c>
    </row>
    <row r="37" spans="1:308" ht="15" customHeight="1">
      <c r="A37" s="261">
        <f t="shared" si="200"/>
        <v>46140</v>
      </c>
      <c r="B37" s="262" t="str">
        <f>+Report1!B36</f>
        <v>Facial/Toilet</v>
      </c>
      <c r="C37" s="382" t="str">
        <f>+Report1!C36</f>
        <v>14/13/15</v>
      </c>
      <c r="D37" s="263">
        <f>+Report1!P36</f>
        <v>24.343</v>
      </c>
      <c r="E37" s="264">
        <f>+Report1!R36</f>
        <v>23.103999999999999</v>
      </c>
      <c r="F37" s="487"/>
      <c r="G37" s="488">
        <f t="shared" si="0"/>
        <v>0</v>
      </c>
      <c r="H37" s="489">
        <f t="shared" si="112"/>
        <v>0</v>
      </c>
      <c r="I37" s="487">
        <v>139.53488372093034</v>
      </c>
      <c r="J37" s="488">
        <f t="shared" si="1"/>
        <v>6.0394253688075805</v>
      </c>
      <c r="K37" s="489">
        <f t="shared" si="113"/>
        <v>0</v>
      </c>
      <c r="L37" s="487"/>
      <c r="M37" s="488">
        <f t="shared" si="2"/>
        <v>0</v>
      </c>
      <c r="N37" s="489">
        <f t="shared" si="114"/>
        <v>0</v>
      </c>
      <c r="O37" s="487">
        <v>12.000000000000057</v>
      </c>
      <c r="P37" s="488">
        <f t="shared" si="3"/>
        <v>0.519390581717454</v>
      </c>
      <c r="Q37" s="489">
        <f t="shared" si="115"/>
        <v>0</v>
      </c>
      <c r="R37" s="487">
        <v>7.6875</v>
      </c>
      <c r="S37" s="488">
        <f t="shared" si="4"/>
        <v>0.33273459141274242</v>
      </c>
      <c r="T37" s="489">
        <f t="shared" si="116"/>
        <v>0</v>
      </c>
      <c r="U37" s="487">
        <v>6.25</v>
      </c>
      <c r="V37" s="488">
        <f t="shared" si="5"/>
        <v>0.27051592797783935</v>
      </c>
      <c r="W37" s="489">
        <f t="shared" si="117"/>
        <v>0</v>
      </c>
      <c r="X37" s="487"/>
      <c r="Y37" s="488">
        <f t="shared" si="6"/>
        <v>0</v>
      </c>
      <c r="Z37" s="489">
        <f t="shared" si="118"/>
        <v>0</v>
      </c>
      <c r="AA37" s="487"/>
      <c r="AB37" s="488">
        <f t="shared" si="7"/>
        <v>0</v>
      </c>
      <c r="AC37" s="489">
        <f t="shared" si="119"/>
        <v>0</v>
      </c>
      <c r="AD37" s="487"/>
      <c r="AE37" s="488">
        <f t="shared" si="8"/>
        <v>0</v>
      </c>
      <c r="AF37" s="489">
        <f t="shared" si="120"/>
        <v>0</v>
      </c>
      <c r="AG37" s="487"/>
      <c r="AH37" s="488">
        <f t="shared" si="9"/>
        <v>0</v>
      </c>
      <c r="AI37" s="489">
        <f t="shared" si="121"/>
        <v>0</v>
      </c>
      <c r="AJ37" s="487"/>
      <c r="AK37" s="488">
        <f t="shared" si="10"/>
        <v>0</v>
      </c>
      <c r="AL37" s="489">
        <f t="shared" si="122"/>
        <v>0</v>
      </c>
      <c r="AM37" s="487">
        <v>14.423076923076792</v>
      </c>
      <c r="AN37" s="488">
        <f t="shared" si="11"/>
        <v>0.62426752610270053</v>
      </c>
      <c r="AO37" s="489">
        <f t="shared" si="123"/>
        <v>0</v>
      </c>
      <c r="AP37" s="487"/>
      <c r="AQ37" s="488">
        <f t="shared" si="12"/>
        <v>0</v>
      </c>
      <c r="AR37" s="489">
        <f t="shared" si="124"/>
        <v>0</v>
      </c>
      <c r="AS37" s="487"/>
      <c r="AT37" s="488">
        <f t="shared" si="13"/>
        <v>0</v>
      </c>
      <c r="AU37" s="489">
        <f t="shared" si="125"/>
        <v>0</v>
      </c>
      <c r="AV37" s="487">
        <v>0</v>
      </c>
      <c r="AW37" s="488">
        <f t="shared" si="14"/>
        <v>0</v>
      </c>
      <c r="AX37" s="489">
        <f t="shared" si="126"/>
        <v>0</v>
      </c>
      <c r="AY37" s="487">
        <v>25.666666666666742</v>
      </c>
      <c r="AZ37" s="488">
        <f t="shared" si="15"/>
        <v>1.1109187442289969</v>
      </c>
      <c r="BA37" s="489">
        <f t="shared" si="127"/>
        <v>0</v>
      </c>
      <c r="BB37" s="487"/>
      <c r="BC37" s="488">
        <f t="shared" si="16"/>
        <v>0</v>
      </c>
      <c r="BD37" s="489">
        <f t="shared" si="128"/>
        <v>0</v>
      </c>
      <c r="BE37" s="487"/>
      <c r="BF37" s="488">
        <f t="shared" si="17"/>
        <v>0</v>
      </c>
      <c r="BG37" s="489">
        <f t="shared" si="129"/>
        <v>0</v>
      </c>
      <c r="BH37" s="487"/>
      <c r="BI37" s="488">
        <f t="shared" si="18"/>
        <v>0</v>
      </c>
      <c r="BJ37" s="489">
        <f t="shared" si="130"/>
        <v>0</v>
      </c>
      <c r="BK37" s="487"/>
      <c r="BL37" s="488">
        <f t="shared" si="19"/>
        <v>0</v>
      </c>
      <c r="BM37" s="489">
        <f t="shared" si="131"/>
        <v>0</v>
      </c>
      <c r="BN37" s="487">
        <v>12.654320987654302</v>
      </c>
      <c r="BO37" s="488">
        <f t="shared" si="20"/>
        <v>0.54771126158476036</v>
      </c>
      <c r="BP37" s="489">
        <f t="shared" si="132"/>
        <v>0</v>
      </c>
      <c r="BQ37" s="487"/>
      <c r="BR37" s="488">
        <f t="shared" si="21"/>
        <v>0</v>
      </c>
      <c r="BS37" s="489">
        <f t="shared" si="133"/>
        <v>0</v>
      </c>
      <c r="BT37" s="487"/>
      <c r="BU37" s="488">
        <f t="shared" si="22"/>
        <v>0</v>
      </c>
      <c r="BV37" s="489">
        <f t="shared" si="134"/>
        <v>0</v>
      </c>
      <c r="BW37" s="487"/>
      <c r="BX37" s="488">
        <f t="shared" si="23"/>
        <v>0</v>
      </c>
      <c r="BY37" s="489">
        <f t="shared" si="135"/>
        <v>0</v>
      </c>
      <c r="BZ37" s="487"/>
      <c r="CA37" s="488">
        <f t="shared" si="24"/>
        <v>0</v>
      </c>
      <c r="CB37" s="489">
        <f t="shared" si="136"/>
        <v>0</v>
      </c>
      <c r="CC37" s="487">
        <v>2</v>
      </c>
      <c r="CD37" s="488">
        <f t="shared" si="25"/>
        <v>8.6565096952908593E-2</v>
      </c>
      <c r="CE37" s="489">
        <f t="shared" si="137"/>
        <v>0</v>
      </c>
      <c r="CF37" s="487">
        <v>4</v>
      </c>
      <c r="CG37" s="488">
        <f t="shared" si="26"/>
        <v>0.17313019390581719</v>
      </c>
      <c r="CH37" s="489">
        <f t="shared" si="138"/>
        <v>0</v>
      </c>
      <c r="CI37" s="487"/>
      <c r="CJ37" s="488">
        <f t="shared" si="27"/>
        <v>0</v>
      </c>
      <c r="CK37" s="489">
        <f t="shared" si="139"/>
        <v>0</v>
      </c>
      <c r="CL37" s="487"/>
      <c r="CM37" s="488">
        <f t="shared" si="28"/>
        <v>0</v>
      </c>
      <c r="CN37" s="489">
        <f t="shared" si="140"/>
        <v>0</v>
      </c>
      <c r="CO37" s="487"/>
      <c r="CP37" s="488">
        <f t="shared" si="29"/>
        <v>0</v>
      </c>
      <c r="CQ37" s="489">
        <f t="shared" si="141"/>
        <v>0</v>
      </c>
      <c r="CR37" s="487"/>
      <c r="CS37" s="488">
        <f t="shared" si="30"/>
        <v>0</v>
      </c>
      <c r="CT37" s="489">
        <f t="shared" si="142"/>
        <v>0</v>
      </c>
      <c r="CU37" s="487"/>
      <c r="CV37" s="488">
        <f t="shared" si="31"/>
        <v>0</v>
      </c>
      <c r="CW37" s="489">
        <f t="shared" si="143"/>
        <v>0</v>
      </c>
      <c r="CX37" s="487"/>
      <c r="CY37" s="488">
        <f t="shared" si="32"/>
        <v>0</v>
      </c>
      <c r="CZ37" s="489">
        <f t="shared" si="144"/>
        <v>0</v>
      </c>
      <c r="DA37" s="487"/>
      <c r="DB37" s="488">
        <f t="shared" si="33"/>
        <v>0</v>
      </c>
      <c r="DC37" s="489">
        <f t="shared" si="145"/>
        <v>0</v>
      </c>
      <c r="DD37" s="487"/>
      <c r="DE37" s="488">
        <f t="shared" si="34"/>
        <v>0</v>
      </c>
      <c r="DF37" s="489">
        <f t="shared" si="146"/>
        <v>0</v>
      </c>
      <c r="DG37" s="487"/>
      <c r="DH37" s="488">
        <f t="shared" si="35"/>
        <v>0</v>
      </c>
      <c r="DI37" s="489">
        <f t="shared" si="203"/>
        <v>0</v>
      </c>
      <c r="DJ37" s="487"/>
      <c r="DK37" s="488">
        <f t="shared" si="36"/>
        <v>0</v>
      </c>
      <c r="DL37" s="489">
        <f t="shared" si="147"/>
        <v>0</v>
      </c>
      <c r="DM37" s="487"/>
      <c r="DN37" s="488">
        <f t="shared" si="37"/>
        <v>0</v>
      </c>
      <c r="DO37" s="489">
        <f t="shared" si="148"/>
        <v>0</v>
      </c>
      <c r="DP37" s="487"/>
      <c r="DQ37" s="488">
        <f t="shared" si="38"/>
        <v>0</v>
      </c>
      <c r="DR37" s="489">
        <f t="shared" si="149"/>
        <v>0</v>
      </c>
      <c r="DS37" s="487"/>
      <c r="DT37" s="488">
        <f t="shared" si="39"/>
        <v>0</v>
      </c>
      <c r="DU37" s="489">
        <f t="shared" si="150"/>
        <v>0</v>
      </c>
      <c r="DV37" s="487"/>
      <c r="DW37" s="488">
        <f t="shared" si="40"/>
        <v>0</v>
      </c>
      <c r="DX37" s="489">
        <f t="shared" si="151"/>
        <v>0</v>
      </c>
      <c r="DY37" s="487">
        <v>0</v>
      </c>
      <c r="DZ37" s="488">
        <f t="shared" si="41"/>
        <v>0</v>
      </c>
      <c r="EA37" s="489">
        <f t="shared" si="152"/>
        <v>0</v>
      </c>
      <c r="EB37" s="487">
        <v>14.534883720930225</v>
      </c>
      <c r="EC37" s="488">
        <f t="shared" si="42"/>
        <v>0.62910680925078888</v>
      </c>
      <c r="ED37" s="489">
        <f t="shared" si="153"/>
        <v>0</v>
      </c>
      <c r="EE37" s="487">
        <v>3</v>
      </c>
      <c r="EF37" s="488">
        <f t="shared" si="43"/>
        <v>0.12984764542936289</v>
      </c>
      <c r="EG37" s="489">
        <f t="shared" si="154"/>
        <v>0</v>
      </c>
      <c r="EH37" s="487"/>
      <c r="EI37" s="488">
        <f t="shared" si="44"/>
        <v>0</v>
      </c>
      <c r="EJ37" s="489">
        <f t="shared" si="155"/>
        <v>0</v>
      </c>
      <c r="EK37" s="487"/>
      <c r="EL37" s="488">
        <f t="shared" si="45"/>
        <v>0</v>
      </c>
      <c r="EM37" s="489">
        <f t="shared" si="156"/>
        <v>0</v>
      </c>
      <c r="EN37" s="487"/>
      <c r="EO37" s="488">
        <f t="shared" si="46"/>
        <v>0</v>
      </c>
      <c r="EP37" s="489">
        <f t="shared" si="157"/>
        <v>0</v>
      </c>
      <c r="EQ37" s="487"/>
      <c r="ER37" s="488">
        <f t="shared" si="47"/>
        <v>0</v>
      </c>
      <c r="ES37" s="489">
        <f t="shared" si="158"/>
        <v>0</v>
      </c>
      <c r="ET37" s="487"/>
      <c r="EU37" s="488">
        <f t="shared" si="48"/>
        <v>0</v>
      </c>
      <c r="EV37" s="489">
        <f t="shared" si="159"/>
        <v>0</v>
      </c>
      <c r="EW37" s="487"/>
      <c r="EX37" s="488">
        <f t="shared" si="49"/>
        <v>0</v>
      </c>
      <c r="EY37" s="489">
        <f t="shared" si="160"/>
        <v>0</v>
      </c>
      <c r="EZ37" s="487"/>
      <c r="FA37" s="488">
        <f t="shared" si="50"/>
        <v>0</v>
      </c>
      <c r="FB37" s="489">
        <f t="shared" si="161"/>
        <v>0</v>
      </c>
      <c r="FC37" s="487"/>
      <c r="FD37" s="488">
        <f t="shared" si="51"/>
        <v>0</v>
      </c>
      <c r="FE37" s="489">
        <f t="shared" si="162"/>
        <v>0</v>
      </c>
      <c r="FF37" s="487"/>
      <c r="FG37" s="488">
        <f t="shared" si="52"/>
        <v>0</v>
      </c>
      <c r="FH37" s="489">
        <f t="shared" si="163"/>
        <v>0</v>
      </c>
      <c r="FI37" s="487"/>
      <c r="FJ37" s="488">
        <f t="shared" si="53"/>
        <v>0</v>
      </c>
      <c r="FK37" s="489">
        <f t="shared" si="164"/>
        <v>0</v>
      </c>
      <c r="FL37" s="487"/>
      <c r="FM37" s="488">
        <f t="shared" si="54"/>
        <v>0</v>
      </c>
      <c r="FN37" s="489">
        <f t="shared" si="165"/>
        <v>0</v>
      </c>
      <c r="FO37" s="487"/>
      <c r="FP37" s="488">
        <f t="shared" si="55"/>
        <v>0</v>
      </c>
      <c r="FQ37" s="489">
        <f t="shared" si="166"/>
        <v>0</v>
      </c>
      <c r="FR37" s="487"/>
      <c r="FS37" s="488">
        <f t="shared" si="56"/>
        <v>0</v>
      </c>
      <c r="FT37" s="489">
        <f t="shared" si="167"/>
        <v>0</v>
      </c>
      <c r="FU37" s="487"/>
      <c r="FV37" s="488">
        <f t="shared" si="57"/>
        <v>0</v>
      </c>
      <c r="FW37" s="489">
        <f t="shared" si="168"/>
        <v>0</v>
      </c>
      <c r="FX37" s="487"/>
      <c r="FY37" s="488">
        <f t="shared" si="58"/>
        <v>0</v>
      </c>
      <c r="FZ37" s="489">
        <f t="shared" si="169"/>
        <v>0</v>
      </c>
      <c r="GA37" s="487"/>
      <c r="GB37" s="488">
        <f t="shared" si="59"/>
        <v>0</v>
      </c>
      <c r="GC37" s="489">
        <f t="shared" si="170"/>
        <v>0</v>
      </c>
      <c r="GD37" s="487"/>
      <c r="GE37" s="488">
        <f t="shared" si="60"/>
        <v>0</v>
      </c>
      <c r="GF37" s="489">
        <f t="shared" si="171"/>
        <v>0</v>
      </c>
      <c r="GG37" s="487"/>
      <c r="GH37" s="488">
        <f t="shared" si="61"/>
        <v>0</v>
      </c>
      <c r="GI37" s="489">
        <f t="shared" si="172"/>
        <v>0</v>
      </c>
      <c r="GJ37" s="487"/>
      <c r="GK37" s="488">
        <f t="shared" si="62"/>
        <v>0</v>
      </c>
      <c r="GL37" s="489">
        <f t="shared" si="173"/>
        <v>0</v>
      </c>
      <c r="GM37" s="487"/>
      <c r="GN37" s="488">
        <f t="shared" si="63"/>
        <v>0</v>
      </c>
      <c r="GO37" s="489">
        <f t="shared" si="174"/>
        <v>0</v>
      </c>
      <c r="GP37" s="487"/>
      <c r="GQ37" s="488">
        <f t="shared" si="64"/>
        <v>0</v>
      </c>
      <c r="GR37" s="489">
        <f t="shared" si="175"/>
        <v>0</v>
      </c>
      <c r="GS37" s="487"/>
      <c r="GT37" s="488">
        <f t="shared" si="65"/>
        <v>0</v>
      </c>
      <c r="GU37" s="489">
        <f t="shared" si="176"/>
        <v>0</v>
      </c>
      <c r="GV37" s="487"/>
      <c r="GW37" s="488">
        <f t="shared" si="66"/>
        <v>0</v>
      </c>
      <c r="GX37" s="489">
        <f t="shared" si="177"/>
        <v>0</v>
      </c>
      <c r="GY37" s="487"/>
      <c r="GZ37" s="488">
        <f t="shared" si="67"/>
        <v>0</v>
      </c>
      <c r="HA37" s="489">
        <f t="shared" si="178"/>
        <v>0</v>
      </c>
      <c r="HB37" s="487"/>
      <c r="HC37" s="488">
        <f t="shared" si="68"/>
        <v>0</v>
      </c>
      <c r="HD37" s="489">
        <f t="shared" si="179"/>
        <v>0</v>
      </c>
      <c r="HE37" s="487"/>
      <c r="HF37" s="488">
        <f t="shared" si="69"/>
        <v>0</v>
      </c>
      <c r="HG37" s="489">
        <f t="shared" si="180"/>
        <v>0</v>
      </c>
      <c r="HH37" s="487"/>
      <c r="HI37" s="488">
        <f t="shared" si="70"/>
        <v>0</v>
      </c>
      <c r="HJ37" s="489">
        <f t="shared" si="181"/>
        <v>0</v>
      </c>
      <c r="HK37" s="487"/>
      <c r="HL37" s="488">
        <f t="shared" si="71"/>
        <v>0</v>
      </c>
      <c r="HM37" s="489">
        <f t="shared" si="182"/>
        <v>0</v>
      </c>
      <c r="HN37" s="487"/>
      <c r="HO37" s="488">
        <f t="shared" si="72"/>
        <v>0</v>
      </c>
      <c r="HP37" s="489">
        <f t="shared" si="183"/>
        <v>0</v>
      </c>
      <c r="HQ37" s="487"/>
      <c r="HR37" s="488">
        <f t="shared" si="73"/>
        <v>0</v>
      </c>
      <c r="HS37" s="489">
        <f t="shared" si="184"/>
        <v>0</v>
      </c>
      <c r="HT37" s="487"/>
      <c r="HU37" s="488">
        <f t="shared" si="74"/>
        <v>0</v>
      </c>
      <c r="HV37" s="489">
        <f t="shared" si="185"/>
        <v>0</v>
      </c>
      <c r="HW37" s="487"/>
      <c r="HX37" s="488">
        <f t="shared" si="75"/>
        <v>0</v>
      </c>
      <c r="HY37" s="489">
        <f t="shared" si="186"/>
        <v>0</v>
      </c>
      <c r="HZ37" s="487"/>
      <c r="IA37" s="488">
        <f t="shared" si="76"/>
        <v>0</v>
      </c>
      <c r="IB37" s="489">
        <f t="shared" si="187"/>
        <v>0</v>
      </c>
      <c r="IC37" s="487"/>
      <c r="ID37" s="488">
        <f t="shared" si="77"/>
        <v>0</v>
      </c>
      <c r="IE37" s="489">
        <f t="shared" si="188"/>
        <v>0</v>
      </c>
      <c r="IF37" s="487"/>
      <c r="IG37" s="488">
        <f t="shared" si="78"/>
        <v>0</v>
      </c>
      <c r="IH37" s="489">
        <f t="shared" si="189"/>
        <v>0</v>
      </c>
      <c r="II37" s="487"/>
      <c r="IJ37" s="488">
        <f t="shared" si="79"/>
        <v>0</v>
      </c>
      <c r="IK37" s="489">
        <f t="shared" si="190"/>
        <v>0</v>
      </c>
      <c r="IL37" s="487"/>
      <c r="IM37" s="488">
        <f t="shared" si="80"/>
        <v>0</v>
      </c>
      <c r="IN37" s="489">
        <f t="shared" si="191"/>
        <v>0</v>
      </c>
      <c r="IO37" s="487"/>
      <c r="IP37" s="488">
        <f t="shared" si="81"/>
        <v>0</v>
      </c>
      <c r="IQ37" s="489">
        <f t="shared" si="192"/>
        <v>0</v>
      </c>
      <c r="IR37" s="487"/>
      <c r="IS37" s="488">
        <f t="shared" si="82"/>
        <v>0</v>
      </c>
      <c r="IT37" s="489">
        <f t="shared" si="193"/>
        <v>0</v>
      </c>
      <c r="IU37" s="487"/>
      <c r="IV37" s="488">
        <f t="shared" si="83"/>
        <v>0</v>
      </c>
      <c r="IW37" s="489">
        <f t="shared" si="194"/>
        <v>0</v>
      </c>
      <c r="IX37" s="487"/>
      <c r="IY37" s="488">
        <f t="shared" si="84"/>
        <v>0</v>
      </c>
      <c r="IZ37" s="489">
        <f t="shared" si="195"/>
        <v>0</v>
      </c>
      <c r="JA37" s="487"/>
      <c r="JB37" s="488">
        <f t="shared" si="85"/>
        <v>0</v>
      </c>
      <c r="JC37" s="489">
        <f t="shared" si="196"/>
        <v>0</v>
      </c>
      <c r="JD37" s="487"/>
      <c r="JE37" s="488">
        <f t="shared" si="86"/>
        <v>0</v>
      </c>
      <c r="JF37" s="489">
        <f t="shared" si="197"/>
        <v>0</v>
      </c>
      <c r="JG37" s="487"/>
      <c r="JH37" s="488">
        <f t="shared" si="87"/>
        <v>0</v>
      </c>
      <c r="JI37" s="489">
        <f t="shared" si="198"/>
        <v>0</v>
      </c>
      <c r="JJ37" s="487"/>
      <c r="JK37" s="489" t="str">
        <f t="shared" si="88"/>
        <v>0</v>
      </c>
      <c r="JL37" s="489" t="str">
        <f t="shared" si="89"/>
        <v>0</v>
      </c>
      <c r="JM37" s="487"/>
      <c r="JN37" s="489" t="str">
        <f t="shared" si="90"/>
        <v>0</v>
      </c>
      <c r="JO37" s="489" t="str">
        <f t="shared" si="91"/>
        <v>0</v>
      </c>
      <c r="JP37" s="487"/>
      <c r="JQ37" s="489" t="str">
        <f t="shared" si="92"/>
        <v>0</v>
      </c>
      <c r="JR37" s="489" t="str">
        <f t="shared" si="93"/>
        <v>0</v>
      </c>
      <c r="JS37" s="487"/>
      <c r="JT37" s="489" t="str">
        <f t="shared" si="94"/>
        <v>0</v>
      </c>
      <c r="JU37" s="489" t="str">
        <f t="shared" si="95"/>
        <v>0</v>
      </c>
      <c r="JV37" s="487"/>
      <c r="JW37" s="489" t="str">
        <f t="shared" si="96"/>
        <v>0</v>
      </c>
      <c r="JX37" s="489" t="str">
        <f t="shared" si="97"/>
        <v>0</v>
      </c>
      <c r="JY37" s="487"/>
      <c r="JZ37" s="489" t="str">
        <f t="shared" si="98"/>
        <v>0</v>
      </c>
      <c r="KA37" s="489" t="str">
        <f t="shared" si="99"/>
        <v>0</v>
      </c>
      <c r="KB37" s="487"/>
      <c r="KC37" s="489" t="str">
        <f t="shared" si="100"/>
        <v>0</v>
      </c>
      <c r="KD37" s="489" t="str">
        <f t="shared" si="101"/>
        <v>0</v>
      </c>
      <c r="KE37" s="487"/>
      <c r="KF37" s="489" t="str">
        <f t="shared" si="102"/>
        <v>0</v>
      </c>
      <c r="KG37" s="489" t="str">
        <f t="shared" si="103"/>
        <v>0</v>
      </c>
      <c r="KH37" s="487"/>
      <c r="KI37" s="489" t="str">
        <f t="shared" si="104"/>
        <v>0</v>
      </c>
      <c r="KJ37" s="489" t="str">
        <f t="shared" si="105"/>
        <v>0</v>
      </c>
      <c r="KK37" s="487"/>
      <c r="KL37" s="489" t="str">
        <f t="shared" si="106"/>
        <v>0</v>
      </c>
      <c r="KM37" s="489" t="str">
        <f t="shared" si="107"/>
        <v>0</v>
      </c>
      <c r="KN37" s="487"/>
      <c r="KO37" s="489" t="str">
        <f t="shared" si="108"/>
        <v>0</v>
      </c>
      <c r="KP37" s="489" t="str">
        <f t="shared" si="109"/>
        <v>0</v>
      </c>
      <c r="KQ37" s="487"/>
      <c r="KR37" s="489" t="str">
        <f t="shared" si="110"/>
        <v>0</v>
      </c>
      <c r="KS37" s="489" t="str">
        <f t="shared" si="111"/>
        <v>0</v>
      </c>
      <c r="KT37" s="489">
        <f t="shared" si="201"/>
        <v>0</v>
      </c>
      <c r="KU37" s="489">
        <f t="shared" si="202"/>
        <v>0</v>
      </c>
      <c r="KV37" s="259">
        <f t="shared" si="199"/>
        <v>241.75133201925846</v>
      </c>
    </row>
    <row r="38" spans="1:308" ht="15" customHeight="1">
      <c r="A38" s="261">
        <f t="shared" si="200"/>
        <v>46141</v>
      </c>
      <c r="B38" s="262" t="str">
        <f>+Report1!B37</f>
        <v>Toilet</v>
      </c>
      <c r="C38" s="382" t="str">
        <f>+Report1!C37</f>
        <v>15/16</v>
      </c>
      <c r="D38" s="263">
        <f>+Report1!P37</f>
        <v>45.942999999999998</v>
      </c>
      <c r="E38" s="264">
        <f>+Report1!R37</f>
        <v>40.548000000000002</v>
      </c>
      <c r="F38" s="487"/>
      <c r="G38" s="488">
        <f t="shared" si="0"/>
        <v>0</v>
      </c>
      <c r="H38" s="489">
        <f t="shared" si="112"/>
        <v>0</v>
      </c>
      <c r="I38" s="487">
        <v>151.16279069767415</v>
      </c>
      <c r="J38" s="488">
        <f t="shared" si="1"/>
        <v>3.7279962192382889</v>
      </c>
      <c r="K38" s="489">
        <f t="shared" si="113"/>
        <v>0</v>
      </c>
      <c r="L38" s="487"/>
      <c r="M38" s="488">
        <f t="shared" si="2"/>
        <v>0</v>
      </c>
      <c r="N38" s="489">
        <f t="shared" si="114"/>
        <v>0</v>
      </c>
      <c r="O38" s="487">
        <v>8.9999999999999432</v>
      </c>
      <c r="P38" s="488">
        <f t="shared" si="3"/>
        <v>0.2219591595146479</v>
      </c>
      <c r="Q38" s="489">
        <f t="shared" si="115"/>
        <v>0</v>
      </c>
      <c r="R38" s="487">
        <v>7.6874999999999716</v>
      </c>
      <c r="S38" s="488">
        <f t="shared" si="4"/>
        <v>0.18959011541876225</v>
      </c>
      <c r="T38" s="489">
        <f t="shared" si="116"/>
        <v>0</v>
      </c>
      <c r="U38" s="487">
        <v>4.6875000000000142</v>
      </c>
      <c r="V38" s="488">
        <f t="shared" si="5"/>
        <v>0.1156037289138802</v>
      </c>
      <c r="W38" s="489">
        <f t="shared" si="117"/>
        <v>0</v>
      </c>
      <c r="X38" s="487"/>
      <c r="Y38" s="488">
        <f t="shared" si="6"/>
        <v>0</v>
      </c>
      <c r="Z38" s="489">
        <f t="shared" si="118"/>
        <v>0</v>
      </c>
      <c r="AA38" s="487"/>
      <c r="AB38" s="488">
        <f t="shared" si="7"/>
        <v>0</v>
      </c>
      <c r="AC38" s="489">
        <f t="shared" si="119"/>
        <v>0</v>
      </c>
      <c r="AD38" s="487"/>
      <c r="AE38" s="488">
        <f t="shared" si="8"/>
        <v>0</v>
      </c>
      <c r="AF38" s="489">
        <f t="shared" si="120"/>
        <v>0</v>
      </c>
      <c r="AG38" s="487"/>
      <c r="AH38" s="488">
        <f t="shared" si="9"/>
        <v>0</v>
      </c>
      <c r="AI38" s="489">
        <f t="shared" si="121"/>
        <v>0</v>
      </c>
      <c r="AJ38" s="487"/>
      <c r="AK38" s="488">
        <f t="shared" si="10"/>
        <v>0</v>
      </c>
      <c r="AL38" s="489">
        <f t="shared" si="122"/>
        <v>0</v>
      </c>
      <c r="AM38" s="487">
        <v>23.076923076923094</v>
      </c>
      <c r="AN38" s="488">
        <f t="shared" si="11"/>
        <v>0.56912605003756267</v>
      </c>
      <c r="AO38" s="489">
        <f t="shared" si="123"/>
        <v>0</v>
      </c>
      <c r="AP38" s="487"/>
      <c r="AQ38" s="488">
        <f t="shared" si="12"/>
        <v>0</v>
      </c>
      <c r="AR38" s="489">
        <f t="shared" si="124"/>
        <v>0</v>
      </c>
      <c r="AS38" s="487"/>
      <c r="AT38" s="488">
        <f t="shared" si="13"/>
        <v>0</v>
      </c>
      <c r="AU38" s="489">
        <f t="shared" si="125"/>
        <v>0</v>
      </c>
      <c r="AV38" s="487">
        <v>0</v>
      </c>
      <c r="AW38" s="488">
        <f t="shared" si="14"/>
        <v>0</v>
      </c>
      <c r="AX38" s="489">
        <f t="shared" si="126"/>
        <v>0</v>
      </c>
      <c r="AY38" s="487">
        <v>49</v>
      </c>
      <c r="AZ38" s="488">
        <f t="shared" si="15"/>
        <v>1.2084443129130906</v>
      </c>
      <c r="BA38" s="489">
        <f t="shared" si="127"/>
        <v>0</v>
      </c>
      <c r="BB38" s="487"/>
      <c r="BC38" s="488">
        <f t="shared" si="16"/>
        <v>0</v>
      </c>
      <c r="BD38" s="489">
        <f t="shared" si="128"/>
        <v>0</v>
      </c>
      <c r="BE38" s="487"/>
      <c r="BF38" s="488">
        <f t="shared" si="17"/>
        <v>0</v>
      </c>
      <c r="BG38" s="489">
        <f t="shared" si="129"/>
        <v>0</v>
      </c>
      <c r="BH38" s="487"/>
      <c r="BI38" s="488">
        <f t="shared" si="18"/>
        <v>0</v>
      </c>
      <c r="BJ38" s="489">
        <f t="shared" si="130"/>
        <v>0</v>
      </c>
      <c r="BK38" s="487"/>
      <c r="BL38" s="488">
        <f t="shared" si="19"/>
        <v>0</v>
      </c>
      <c r="BM38" s="489">
        <f t="shared" si="131"/>
        <v>0</v>
      </c>
      <c r="BN38" s="487">
        <v>22.777777777777771</v>
      </c>
      <c r="BO38" s="488">
        <f t="shared" si="20"/>
        <v>0.56174849012966777</v>
      </c>
      <c r="BP38" s="489">
        <f t="shared" si="132"/>
        <v>0</v>
      </c>
      <c r="BQ38" s="487"/>
      <c r="BR38" s="488">
        <f t="shared" si="21"/>
        <v>0</v>
      </c>
      <c r="BS38" s="489">
        <f t="shared" si="133"/>
        <v>0</v>
      </c>
      <c r="BT38" s="487"/>
      <c r="BU38" s="488">
        <f t="shared" si="22"/>
        <v>0</v>
      </c>
      <c r="BV38" s="489">
        <f t="shared" si="134"/>
        <v>0</v>
      </c>
      <c r="BW38" s="487"/>
      <c r="BX38" s="488">
        <f t="shared" si="23"/>
        <v>0</v>
      </c>
      <c r="BY38" s="489">
        <f t="shared" si="135"/>
        <v>0</v>
      </c>
      <c r="BZ38" s="487"/>
      <c r="CA38" s="488">
        <f t="shared" si="24"/>
        <v>0</v>
      </c>
      <c r="CB38" s="489">
        <f t="shared" si="136"/>
        <v>0</v>
      </c>
      <c r="CC38" s="487">
        <v>0</v>
      </c>
      <c r="CD38" s="488">
        <f t="shared" si="25"/>
        <v>0</v>
      </c>
      <c r="CE38" s="489">
        <f t="shared" si="137"/>
        <v>0</v>
      </c>
      <c r="CF38" s="487">
        <v>5</v>
      </c>
      <c r="CG38" s="488">
        <f t="shared" si="26"/>
        <v>0.12331064417480517</v>
      </c>
      <c r="CH38" s="489">
        <f t="shared" si="138"/>
        <v>0</v>
      </c>
      <c r="CI38" s="487"/>
      <c r="CJ38" s="488">
        <f t="shared" si="27"/>
        <v>0</v>
      </c>
      <c r="CK38" s="489">
        <f t="shared" si="139"/>
        <v>0</v>
      </c>
      <c r="CL38" s="487"/>
      <c r="CM38" s="488">
        <f t="shared" si="28"/>
        <v>0</v>
      </c>
      <c r="CN38" s="489">
        <f t="shared" si="140"/>
        <v>0</v>
      </c>
      <c r="CO38" s="487"/>
      <c r="CP38" s="488">
        <f t="shared" si="29"/>
        <v>0</v>
      </c>
      <c r="CQ38" s="489">
        <f t="shared" si="141"/>
        <v>0</v>
      </c>
      <c r="CR38" s="487"/>
      <c r="CS38" s="488">
        <f t="shared" si="30"/>
        <v>0</v>
      </c>
      <c r="CT38" s="489">
        <f t="shared" si="142"/>
        <v>0</v>
      </c>
      <c r="CU38" s="487"/>
      <c r="CV38" s="488">
        <f t="shared" si="31"/>
        <v>0</v>
      </c>
      <c r="CW38" s="489">
        <f t="shared" si="143"/>
        <v>0</v>
      </c>
      <c r="CX38" s="487"/>
      <c r="CY38" s="488">
        <f t="shared" si="32"/>
        <v>0</v>
      </c>
      <c r="CZ38" s="489">
        <f t="shared" si="144"/>
        <v>0</v>
      </c>
      <c r="DA38" s="487"/>
      <c r="DB38" s="488">
        <f t="shared" si="33"/>
        <v>0</v>
      </c>
      <c r="DC38" s="489">
        <f t="shared" si="145"/>
        <v>0</v>
      </c>
      <c r="DD38" s="487"/>
      <c r="DE38" s="488">
        <f t="shared" si="34"/>
        <v>0</v>
      </c>
      <c r="DF38" s="489">
        <f t="shared" si="146"/>
        <v>0</v>
      </c>
      <c r="DG38" s="487"/>
      <c r="DH38" s="488">
        <f t="shared" si="35"/>
        <v>0</v>
      </c>
      <c r="DI38" s="489">
        <f t="shared" si="203"/>
        <v>0</v>
      </c>
      <c r="DJ38" s="487"/>
      <c r="DK38" s="488">
        <f t="shared" si="36"/>
        <v>0</v>
      </c>
      <c r="DL38" s="489">
        <f t="shared" si="147"/>
        <v>0</v>
      </c>
      <c r="DM38" s="487"/>
      <c r="DN38" s="488">
        <f t="shared" si="37"/>
        <v>0</v>
      </c>
      <c r="DO38" s="489">
        <f t="shared" si="148"/>
        <v>0</v>
      </c>
      <c r="DP38" s="487"/>
      <c r="DQ38" s="488">
        <f t="shared" si="38"/>
        <v>0</v>
      </c>
      <c r="DR38" s="489">
        <f t="shared" si="149"/>
        <v>0</v>
      </c>
      <c r="DS38" s="487"/>
      <c r="DT38" s="488">
        <f t="shared" si="39"/>
        <v>0</v>
      </c>
      <c r="DU38" s="489">
        <f t="shared" si="150"/>
        <v>0</v>
      </c>
      <c r="DV38" s="487"/>
      <c r="DW38" s="488">
        <f t="shared" si="40"/>
        <v>0</v>
      </c>
      <c r="DX38" s="489">
        <f t="shared" si="151"/>
        <v>0</v>
      </c>
      <c r="DY38" s="487">
        <v>4.3099999999999996</v>
      </c>
      <c r="DZ38" s="488">
        <f t="shared" si="41"/>
        <v>0.10629377527868204</v>
      </c>
      <c r="EA38" s="489">
        <f t="shared" si="152"/>
        <v>0</v>
      </c>
      <c r="EB38" s="487">
        <v>14.534883720930225</v>
      </c>
      <c r="EC38" s="488">
        <f t="shared" si="42"/>
        <v>0.358461174926759</v>
      </c>
      <c r="ED38" s="489">
        <f t="shared" si="153"/>
        <v>0</v>
      </c>
      <c r="EE38" s="487">
        <v>5</v>
      </c>
      <c r="EF38" s="488">
        <f t="shared" si="43"/>
        <v>0.12331064417480517</v>
      </c>
      <c r="EG38" s="489">
        <f t="shared" si="154"/>
        <v>0</v>
      </c>
      <c r="EH38" s="487"/>
      <c r="EI38" s="488">
        <f t="shared" si="44"/>
        <v>0</v>
      </c>
      <c r="EJ38" s="489">
        <f t="shared" si="155"/>
        <v>0</v>
      </c>
      <c r="EK38" s="487"/>
      <c r="EL38" s="488">
        <f t="shared" si="45"/>
        <v>0</v>
      </c>
      <c r="EM38" s="489">
        <f t="shared" si="156"/>
        <v>0</v>
      </c>
      <c r="EN38" s="487"/>
      <c r="EO38" s="488">
        <f t="shared" si="46"/>
        <v>0</v>
      </c>
      <c r="EP38" s="489">
        <f t="shared" si="157"/>
        <v>0</v>
      </c>
      <c r="EQ38" s="487"/>
      <c r="ER38" s="488">
        <f t="shared" si="47"/>
        <v>0</v>
      </c>
      <c r="ES38" s="489">
        <f t="shared" si="158"/>
        <v>0</v>
      </c>
      <c r="ET38" s="487"/>
      <c r="EU38" s="488">
        <f t="shared" si="48"/>
        <v>0</v>
      </c>
      <c r="EV38" s="489">
        <f t="shared" si="159"/>
        <v>0</v>
      </c>
      <c r="EW38" s="487"/>
      <c r="EX38" s="488">
        <f t="shared" si="49"/>
        <v>0</v>
      </c>
      <c r="EY38" s="489">
        <f t="shared" si="160"/>
        <v>0</v>
      </c>
      <c r="EZ38" s="487"/>
      <c r="FA38" s="488">
        <f t="shared" si="50"/>
        <v>0</v>
      </c>
      <c r="FB38" s="489">
        <f t="shared" si="161"/>
        <v>0</v>
      </c>
      <c r="FC38" s="487"/>
      <c r="FD38" s="488">
        <f t="shared" si="51"/>
        <v>0</v>
      </c>
      <c r="FE38" s="489">
        <f t="shared" si="162"/>
        <v>0</v>
      </c>
      <c r="FF38" s="487"/>
      <c r="FG38" s="488">
        <f t="shared" si="52"/>
        <v>0</v>
      </c>
      <c r="FH38" s="489">
        <f t="shared" si="163"/>
        <v>0</v>
      </c>
      <c r="FI38" s="487"/>
      <c r="FJ38" s="488">
        <f t="shared" si="53"/>
        <v>0</v>
      </c>
      <c r="FK38" s="489">
        <f t="shared" si="164"/>
        <v>0</v>
      </c>
      <c r="FL38" s="487"/>
      <c r="FM38" s="488">
        <f t="shared" si="54"/>
        <v>0</v>
      </c>
      <c r="FN38" s="489">
        <f t="shared" si="165"/>
        <v>0</v>
      </c>
      <c r="FO38" s="487"/>
      <c r="FP38" s="488">
        <f t="shared" si="55"/>
        <v>0</v>
      </c>
      <c r="FQ38" s="489">
        <f t="shared" si="166"/>
        <v>0</v>
      </c>
      <c r="FR38" s="487"/>
      <c r="FS38" s="488">
        <f t="shared" si="56"/>
        <v>0</v>
      </c>
      <c r="FT38" s="489">
        <f t="shared" si="167"/>
        <v>0</v>
      </c>
      <c r="FU38" s="487"/>
      <c r="FV38" s="488">
        <f t="shared" si="57"/>
        <v>0</v>
      </c>
      <c r="FW38" s="489">
        <f t="shared" si="168"/>
        <v>0</v>
      </c>
      <c r="FX38" s="487"/>
      <c r="FY38" s="488">
        <f t="shared" si="58"/>
        <v>0</v>
      </c>
      <c r="FZ38" s="489">
        <f t="shared" si="169"/>
        <v>0</v>
      </c>
      <c r="GA38" s="487"/>
      <c r="GB38" s="488">
        <f t="shared" si="59"/>
        <v>0</v>
      </c>
      <c r="GC38" s="489">
        <f t="shared" si="170"/>
        <v>0</v>
      </c>
      <c r="GD38" s="487"/>
      <c r="GE38" s="488">
        <f t="shared" si="60"/>
        <v>0</v>
      </c>
      <c r="GF38" s="489">
        <f t="shared" si="171"/>
        <v>0</v>
      </c>
      <c r="GG38" s="487"/>
      <c r="GH38" s="488">
        <f t="shared" si="61"/>
        <v>0</v>
      </c>
      <c r="GI38" s="489">
        <f t="shared" si="172"/>
        <v>0</v>
      </c>
      <c r="GJ38" s="487"/>
      <c r="GK38" s="488">
        <f t="shared" si="62"/>
        <v>0</v>
      </c>
      <c r="GL38" s="489">
        <f t="shared" si="173"/>
        <v>0</v>
      </c>
      <c r="GM38" s="487"/>
      <c r="GN38" s="488">
        <f t="shared" si="63"/>
        <v>0</v>
      </c>
      <c r="GO38" s="489">
        <f t="shared" si="174"/>
        <v>0</v>
      </c>
      <c r="GP38" s="487"/>
      <c r="GQ38" s="488">
        <f t="shared" si="64"/>
        <v>0</v>
      </c>
      <c r="GR38" s="489">
        <f t="shared" si="175"/>
        <v>0</v>
      </c>
      <c r="GS38" s="487"/>
      <c r="GT38" s="488">
        <f t="shared" si="65"/>
        <v>0</v>
      </c>
      <c r="GU38" s="489">
        <f t="shared" si="176"/>
        <v>0</v>
      </c>
      <c r="GV38" s="487"/>
      <c r="GW38" s="488">
        <f t="shared" si="66"/>
        <v>0</v>
      </c>
      <c r="GX38" s="489">
        <f t="shared" si="177"/>
        <v>0</v>
      </c>
      <c r="GY38" s="487"/>
      <c r="GZ38" s="488">
        <f t="shared" si="67"/>
        <v>0</v>
      </c>
      <c r="HA38" s="489">
        <f t="shared" si="178"/>
        <v>0</v>
      </c>
      <c r="HB38" s="487"/>
      <c r="HC38" s="488">
        <f t="shared" si="68"/>
        <v>0</v>
      </c>
      <c r="HD38" s="489">
        <f t="shared" si="179"/>
        <v>0</v>
      </c>
      <c r="HE38" s="487"/>
      <c r="HF38" s="488">
        <f t="shared" si="69"/>
        <v>0</v>
      </c>
      <c r="HG38" s="489">
        <f t="shared" si="180"/>
        <v>0</v>
      </c>
      <c r="HH38" s="487"/>
      <c r="HI38" s="488">
        <f t="shared" si="70"/>
        <v>0</v>
      </c>
      <c r="HJ38" s="489">
        <f t="shared" si="181"/>
        <v>0</v>
      </c>
      <c r="HK38" s="487"/>
      <c r="HL38" s="488">
        <f t="shared" si="71"/>
        <v>0</v>
      </c>
      <c r="HM38" s="489">
        <f t="shared" si="182"/>
        <v>0</v>
      </c>
      <c r="HN38" s="487"/>
      <c r="HO38" s="488">
        <f t="shared" si="72"/>
        <v>0</v>
      </c>
      <c r="HP38" s="489">
        <f t="shared" si="183"/>
        <v>0</v>
      </c>
      <c r="HQ38" s="487"/>
      <c r="HR38" s="488">
        <f t="shared" si="73"/>
        <v>0</v>
      </c>
      <c r="HS38" s="489">
        <f t="shared" si="184"/>
        <v>0</v>
      </c>
      <c r="HT38" s="487"/>
      <c r="HU38" s="488">
        <f t="shared" si="74"/>
        <v>0</v>
      </c>
      <c r="HV38" s="489">
        <f t="shared" si="185"/>
        <v>0</v>
      </c>
      <c r="HW38" s="487"/>
      <c r="HX38" s="488">
        <f t="shared" si="75"/>
        <v>0</v>
      </c>
      <c r="HY38" s="489">
        <f t="shared" si="186"/>
        <v>0</v>
      </c>
      <c r="HZ38" s="487"/>
      <c r="IA38" s="488">
        <f t="shared" si="76"/>
        <v>0</v>
      </c>
      <c r="IB38" s="489">
        <f t="shared" si="187"/>
        <v>0</v>
      </c>
      <c r="IC38" s="487"/>
      <c r="ID38" s="488">
        <f t="shared" si="77"/>
        <v>0</v>
      </c>
      <c r="IE38" s="489">
        <f t="shared" si="188"/>
        <v>0</v>
      </c>
      <c r="IF38" s="487"/>
      <c r="IG38" s="488">
        <f t="shared" si="78"/>
        <v>0</v>
      </c>
      <c r="IH38" s="489">
        <f t="shared" si="189"/>
        <v>0</v>
      </c>
      <c r="II38" s="487"/>
      <c r="IJ38" s="488">
        <f t="shared" si="79"/>
        <v>0</v>
      </c>
      <c r="IK38" s="489">
        <f t="shared" si="190"/>
        <v>0</v>
      </c>
      <c r="IL38" s="487"/>
      <c r="IM38" s="488">
        <f t="shared" si="80"/>
        <v>0</v>
      </c>
      <c r="IN38" s="489">
        <f t="shared" si="191"/>
        <v>0</v>
      </c>
      <c r="IO38" s="487"/>
      <c r="IP38" s="488">
        <f t="shared" si="81"/>
        <v>0</v>
      </c>
      <c r="IQ38" s="489">
        <f t="shared" si="192"/>
        <v>0</v>
      </c>
      <c r="IR38" s="487"/>
      <c r="IS38" s="488">
        <f t="shared" si="82"/>
        <v>0</v>
      </c>
      <c r="IT38" s="489">
        <f t="shared" si="193"/>
        <v>0</v>
      </c>
      <c r="IU38" s="487"/>
      <c r="IV38" s="488">
        <f t="shared" si="83"/>
        <v>0</v>
      </c>
      <c r="IW38" s="489">
        <f t="shared" si="194"/>
        <v>0</v>
      </c>
      <c r="IX38" s="487"/>
      <c r="IY38" s="488">
        <f t="shared" si="84"/>
        <v>0</v>
      </c>
      <c r="IZ38" s="489">
        <f t="shared" si="195"/>
        <v>0</v>
      </c>
      <c r="JA38" s="487"/>
      <c r="JB38" s="488">
        <f t="shared" si="85"/>
        <v>0</v>
      </c>
      <c r="JC38" s="489">
        <f t="shared" si="196"/>
        <v>0</v>
      </c>
      <c r="JD38" s="487"/>
      <c r="JE38" s="488">
        <f t="shared" si="86"/>
        <v>0</v>
      </c>
      <c r="JF38" s="489">
        <f t="shared" si="197"/>
        <v>0</v>
      </c>
      <c r="JG38" s="487"/>
      <c r="JH38" s="488">
        <f t="shared" si="87"/>
        <v>0</v>
      </c>
      <c r="JI38" s="489">
        <f t="shared" si="198"/>
        <v>0</v>
      </c>
      <c r="JJ38" s="487"/>
      <c r="JK38" s="489" t="str">
        <f t="shared" si="88"/>
        <v>0</v>
      </c>
      <c r="JL38" s="489" t="str">
        <f t="shared" si="89"/>
        <v>0</v>
      </c>
      <c r="JM38" s="487"/>
      <c r="JN38" s="489" t="str">
        <f t="shared" si="90"/>
        <v>0</v>
      </c>
      <c r="JO38" s="489" t="str">
        <f t="shared" si="91"/>
        <v>0</v>
      </c>
      <c r="JP38" s="487"/>
      <c r="JQ38" s="489" t="str">
        <f t="shared" si="92"/>
        <v>0</v>
      </c>
      <c r="JR38" s="489" t="str">
        <f t="shared" si="93"/>
        <v>0</v>
      </c>
      <c r="JS38" s="487"/>
      <c r="JT38" s="489" t="str">
        <f t="shared" si="94"/>
        <v>0</v>
      </c>
      <c r="JU38" s="489" t="str">
        <f t="shared" si="95"/>
        <v>0</v>
      </c>
      <c r="JV38" s="487"/>
      <c r="JW38" s="489" t="str">
        <f t="shared" si="96"/>
        <v>0</v>
      </c>
      <c r="JX38" s="489" t="str">
        <f t="shared" si="97"/>
        <v>0</v>
      </c>
      <c r="JY38" s="487"/>
      <c r="JZ38" s="489" t="str">
        <f t="shared" si="98"/>
        <v>0</v>
      </c>
      <c r="KA38" s="489" t="str">
        <f t="shared" si="99"/>
        <v>0</v>
      </c>
      <c r="KB38" s="487"/>
      <c r="KC38" s="489" t="str">
        <f t="shared" si="100"/>
        <v>0</v>
      </c>
      <c r="KD38" s="489" t="str">
        <f t="shared" si="101"/>
        <v>0</v>
      </c>
      <c r="KE38" s="487"/>
      <c r="KF38" s="489" t="str">
        <f t="shared" si="102"/>
        <v>0</v>
      </c>
      <c r="KG38" s="489" t="str">
        <f t="shared" si="103"/>
        <v>0</v>
      </c>
      <c r="KH38" s="487"/>
      <c r="KI38" s="489" t="str">
        <f t="shared" si="104"/>
        <v>0</v>
      </c>
      <c r="KJ38" s="489" t="str">
        <f t="shared" si="105"/>
        <v>0</v>
      </c>
      <c r="KK38" s="487"/>
      <c r="KL38" s="489" t="str">
        <f t="shared" si="106"/>
        <v>0</v>
      </c>
      <c r="KM38" s="489" t="str">
        <f t="shared" si="107"/>
        <v>0</v>
      </c>
      <c r="KN38" s="487"/>
      <c r="KO38" s="489" t="str">
        <f t="shared" si="108"/>
        <v>0</v>
      </c>
      <c r="KP38" s="489" t="str">
        <f t="shared" si="109"/>
        <v>0</v>
      </c>
      <c r="KQ38" s="487"/>
      <c r="KR38" s="489" t="str">
        <f t="shared" si="110"/>
        <v>0</v>
      </c>
      <c r="KS38" s="489" t="str">
        <f t="shared" si="111"/>
        <v>0</v>
      </c>
      <c r="KT38" s="489">
        <f t="shared" si="201"/>
        <v>0</v>
      </c>
      <c r="KU38" s="489">
        <f t="shared" si="202"/>
        <v>0</v>
      </c>
      <c r="KV38" s="259">
        <f t="shared" si="199"/>
        <v>296.23737527330519</v>
      </c>
    </row>
    <row r="39" spans="1:308" ht="15" customHeight="1">
      <c r="A39" s="261">
        <f t="shared" si="200"/>
        <v>46142</v>
      </c>
      <c r="B39" s="262" t="str">
        <f>+Report1!B38</f>
        <v>Facial/Toilet</v>
      </c>
      <c r="C39" s="382" t="str">
        <f>+Report1!C38</f>
        <v>12/14/18/19</v>
      </c>
      <c r="D39" s="263">
        <f>+Report1!P38</f>
        <v>44.423000000000002</v>
      </c>
      <c r="E39" s="264">
        <f>+Report1!R38</f>
        <v>39.274999999999999</v>
      </c>
      <c r="F39" s="487"/>
      <c r="G39" s="488">
        <f t="shared" si="0"/>
        <v>0</v>
      </c>
      <c r="H39" s="489">
        <f t="shared" si="112"/>
        <v>0</v>
      </c>
      <c r="I39" s="487">
        <v>189.17592558139563</v>
      </c>
      <c r="J39" s="488">
        <f t="shared" si="1"/>
        <v>4.816700842301608</v>
      </c>
      <c r="K39" s="489">
        <f t="shared" si="113"/>
        <v>0</v>
      </c>
      <c r="L39" s="487"/>
      <c r="M39" s="488">
        <f t="shared" si="2"/>
        <v>0</v>
      </c>
      <c r="N39" s="489">
        <f t="shared" si="114"/>
        <v>0</v>
      </c>
      <c r="O39" s="487">
        <v>9</v>
      </c>
      <c r="P39" s="488">
        <f t="shared" si="3"/>
        <v>0.22915340547422025</v>
      </c>
      <c r="Q39" s="489">
        <f t="shared" si="115"/>
        <v>0</v>
      </c>
      <c r="R39" s="487">
        <v>6.4062500000000284</v>
      </c>
      <c r="S39" s="488">
        <f t="shared" si="4"/>
        <v>0.16311266709102556</v>
      </c>
      <c r="T39" s="489">
        <f t="shared" si="116"/>
        <v>0</v>
      </c>
      <c r="U39" s="487">
        <v>3.1249999999999858</v>
      </c>
      <c r="V39" s="488">
        <f t="shared" si="5"/>
        <v>7.956715467854833E-2</v>
      </c>
      <c r="W39" s="489">
        <f t="shared" si="117"/>
        <v>0</v>
      </c>
      <c r="X39" s="487"/>
      <c r="Y39" s="488">
        <f t="shared" si="6"/>
        <v>0</v>
      </c>
      <c r="Z39" s="489">
        <f t="shared" si="118"/>
        <v>0</v>
      </c>
      <c r="AA39" s="487"/>
      <c r="AB39" s="488">
        <f t="shared" si="7"/>
        <v>0</v>
      </c>
      <c r="AC39" s="489">
        <f t="shared" si="119"/>
        <v>0</v>
      </c>
      <c r="AD39" s="487"/>
      <c r="AE39" s="488">
        <f t="shared" si="8"/>
        <v>0</v>
      </c>
      <c r="AF39" s="489">
        <f t="shared" si="120"/>
        <v>0</v>
      </c>
      <c r="AG39" s="487"/>
      <c r="AH39" s="488">
        <f t="shared" si="9"/>
        <v>0</v>
      </c>
      <c r="AI39" s="489">
        <f t="shared" si="121"/>
        <v>0</v>
      </c>
      <c r="AJ39" s="487"/>
      <c r="AK39" s="488">
        <f t="shared" si="10"/>
        <v>0</v>
      </c>
      <c r="AL39" s="489">
        <f t="shared" si="122"/>
        <v>0</v>
      </c>
      <c r="AM39" s="487">
        <v>29.323461538461515</v>
      </c>
      <c r="AN39" s="488">
        <f t="shared" si="11"/>
        <v>0.74661900798119707</v>
      </c>
      <c r="AO39" s="489">
        <f t="shared" si="123"/>
        <v>0</v>
      </c>
      <c r="AP39" s="487"/>
      <c r="AQ39" s="488">
        <f t="shared" si="12"/>
        <v>0</v>
      </c>
      <c r="AR39" s="489">
        <f t="shared" si="124"/>
        <v>0</v>
      </c>
      <c r="AS39" s="487"/>
      <c r="AT39" s="488">
        <f t="shared" si="13"/>
        <v>0</v>
      </c>
      <c r="AU39" s="489">
        <f t="shared" si="125"/>
        <v>0</v>
      </c>
      <c r="AV39" s="487">
        <v>0</v>
      </c>
      <c r="AW39" s="488">
        <f t="shared" si="14"/>
        <v>0</v>
      </c>
      <c r="AX39" s="489">
        <f t="shared" si="126"/>
        <v>0</v>
      </c>
      <c r="AY39" s="487">
        <v>41.517066666666551</v>
      </c>
      <c r="AZ39" s="488">
        <f t="shared" si="15"/>
        <v>1.0570863568852082</v>
      </c>
      <c r="BA39" s="489">
        <f t="shared" si="127"/>
        <v>0</v>
      </c>
      <c r="BB39" s="487"/>
      <c r="BC39" s="488">
        <f t="shared" si="16"/>
        <v>0</v>
      </c>
      <c r="BD39" s="489">
        <f t="shared" si="128"/>
        <v>0</v>
      </c>
      <c r="BE39" s="487"/>
      <c r="BF39" s="488">
        <f t="shared" si="17"/>
        <v>0</v>
      </c>
      <c r="BG39" s="489">
        <f t="shared" si="129"/>
        <v>0</v>
      </c>
      <c r="BH39" s="487"/>
      <c r="BI39" s="488">
        <f t="shared" si="18"/>
        <v>0</v>
      </c>
      <c r="BJ39" s="489">
        <f t="shared" si="130"/>
        <v>0</v>
      </c>
      <c r="BK39" s="487"/>
      <c r="BL39" s="488">
        <f t="shared" si="19"/>
        <v>0</v>
      </c>
      <c r="BM39" s="489">
        <f t="shared" si="131"/>
        <v>0</v>
      </c>
      <c r="BN39" s="487">
        <v>17.716049382716108</v>
      </c>
      <c r="BO39" s="488">
        <f t="shared" si="20"/>
        <v>0.45107700528876149</v>
      </c>
      <c r="BP39" s="489">
        <f t="shared" si="132"/>
        <v>0</v>
      </c>
      <c r="BQ39" s="487"/>
      <c r="BR39" s="488">
        <f t="shared" si="21"/>
        <v>0</v>
      </c>
      <c r="BS39" s="489">
        <f t="shared" si="133"/>
        <v>0</v>
      </c>
      <c r="BT39" s="487"/>
      <c r="BU39" s="488">
        <f t="shared" si="22"/>
        <v>0</v>
      </c>
      <c r="BV39" s="489">
        <f t="shared" si="134"/>
        <v>0</v>
      </c>
      <c r="BW39" s="487"/>
      <c r="BX39" s="488">
        <f t="shared" si="23"/>
        <v>0</v>
      </c>
      <c r="BY39" s="489">
        <f t="shared" si="135"/>
        <v>0</v>
      </c>
      <c r="BZ39" s="487"/>
      <c r="CA39" s="488">
        <f t="shared" si="24"/>
        <v>0</v>
      </c>
      <c r="CB39" s="489">
        <f t="shared" si="136"/>
        <v>0</v>
      </c>
      <c r="CC39" s="487">
        <v>0</v>
      </c>
      <c r="CD39" s="488">
        <f t="shared" si="25"/>
        <v>0</v>
      </c>
      <c r="CE39" s="489">
        <f t="shared" si="137"/>
        <v>0</v>
      </c>
      <c r="CF39" s="487">
        <v>7</v>
      </c>
      <c r="CG39" s="488">
        <f t="shared" si="26"/>
        <v>0.17823042647994908</v>
      </c>
      <c r="CH39" s="489">
        <f t="shared" si="138"/>
        <v>0</v>
      </c>
      <c r="CI39" s="487"/>
      <c r="CJ39" s="488">
        <f t="shared" si="27"/>
        <v>0</v>
      </c>
      <c r="CK39" s="489">
        <f t="shared" si="139"/>
        <v>0</v>
      </c>
      <c r="CL39" s="487"/>
      <c r="CM39" s="488">
        <f t="shared" si="28"/>
        <v>0</v>
      </c>
      <c r="CN39" s="489">
        <f t="shared" si="140"/>
        <v>0</v>
      </c>
      <c r="CO39" s="487"/>
      <c r="CP39" s="488">
        <f t="shared" si="29"/>
        <v>0</v>
      </c>
      <c r="CQ39" s="489">
        <f t="shared" si="141"/>
        <v>0</v>
      </c>
      <c r="CR39" s="487"/>
      <c r="CS39" s="488">
        <f t="shared" si="30"/>
        <v>0</v>
      </c>
      <c r="CT39" s="489">
        <f t="shared" si="142"/>
        <v>0</v>
      </c>
      <c r="CU39" s="487"/>
      <c r="CV39" s="488">
        <f t="shared" si="31"/>
        <v>0</v>
      </c>
      <c r="CW39" s="489">
        <f t="shared" si="143"/>
        <v>0</v>
      </c>
      <c r="CX39" s="487"/>
      <c r="CY39" s="488">
        <f t="shared" si="32"/>
        <v>0</v>
      </c>
      <c r="CZ39" s="489">
        <f t="shared" si="144"/>
        <v>0</v>
      </c>
      <c r="DA39" s="487"/>
      <c r="DB39" s="488">
        <f t="shared" si="33"/>
        <v>0</v>
      </c>
      <c r="DC39" s="489">
        <f t="shared" si="145"/>
        <v>0</v>
      </c>
      <c r="DD39" s="487"/>
      <c r="DE39" s="488">
        <f t="shared" si="34"/>
        <v>0</v>
      </c>
      <c r="DF39" s="489">
        <f t="shared" si="146"/>
        <v>0</v>
      </c>
      <c r="DG39" s="487"/>
      <c r="DH39" s="488">
        <f t="shared" si="35"/>
        <v>0</v>
      </c>
      <c r="DI39" s="489">
        <f t="shared" si="203"/>
        <v>0</v>
      </c>
      <c r="DJ39" s="487"/>
      <c r="DK39" s="488">
        <f t="shared" si="36"/>
        <v>0</v>
      </c>
      <c r="DL39" s="489">
        <f t="shared" si="147"/>
        <v>0</v>
      </c>
      <c r="DM39" s="487"/>
      <c r="DN39" s="488">
        <f t="shared" si="37"/>
        <v>0</v>
      </c>
      <c r="DO39" s="489">
        <f t="shared" si="148"/>
        <v>0</v>
      </c>
      <c r="DP39" s="487"/>
      <c r="DQ39" s="488">
        <f t="shared" si="38"/>
        <v>0</v>
      </c>
      <c r="DR39" s="489">
        <f t="shared" si="149"/>
        <v>0</v>
      </c>
      <c r="DS39" s="487"/>
      <c r="DT39" s="488">
        <f t="shared" si="39"/>
        <v>0</v>
      </c>
      <c r="DU39" s="489">
        <f t="shared" si="150"/>
        <v>0</v>
      </c>
      <c r="DV39" s="487"/>
      <c r="DW39" s="488">
        <f t="shared" si="40"/>
        <v>0</v>
      </c>
      <c r="DX39" s="489">
        <f t="shared" si="151"/>
        <v>0</v>
      </c>
      <c r="DY39" s="487">
        <v>0</v>
      </c>
      <c r="DZ39" s="488">
        <f t="shared" si="41"/>
        <v>0</v>
      </c>
      <c r="EA39" s="489">
        <f t="shared" si="152"/>
        <v>0</v>
      </c>
      <c r="EB39" s="487">
        <v>21.802325581395337</v>
      </c>
      <c r="EC39" s="488">
        <f t="shared" si="42"/>
        <v>0.55511968380382781</v>
      </c>
      <c r="ED39" s="489">
        <f t="shared" si="153"/>
        <v>0</v>
      </c>
      <c r="EE39" s="487">
        <v>5</v>
      </c>
      <c r="EF39" s="488">
        <f t="shared" si="43"/>
        <v>0.1273074474856779</v>
      </c>
      <c r="EG39" s="489">
        <f t="shared" si="154"/>
        <v>0</v>
      </c>
      <c r="EH39" s="487"/>
      <c r="EI39" s="488">
        <f t="shared" si="44"/>
        <v>0</v>
      </c>
      <c r="EJ39" s="489">
        <f t="shared" si="155"/>
        <v>0</v>
      </c>
      <c r="EK39" s="487"/>
      <c r="EL39" s="488">
        <f t="shared" si="45"/>
        <v>0</v>
      </c>
      <c r="EM39" s="489">
        <f t="shared" si="156"/>
        <v>0</v>
      </c>
      <c r="EN39" s="487"/>
      <c r="EO39" s="488">
        <f t="shared" si="46"/>
        <v>0</v>
      </c>
      <c r="EP39" s="489">
        <f t="shared" si="157"/>
        <v>0</v>
      </c>
      <c r="EQ39" s="487"/>
      <c r="ER39" s="488">
        <f t="shared" si="47"/>
        <v>0</v>
      </c>
      <c r="ES39" s="489">
        <f t="shared" si="158"/>
        <v>0</v>
      </c>
      <c r="ET39" s="487"/>
      <c r="EU39" s="488">
        <f t="shared" si="48"/>
        <v>0</v>
      </c>
      <c r="EV39" s="489">
        <f t="shared" si="159"/>
        <v>0</v>
      </c>
      <c r="EW39" s="487"/>
      <c r="EX39" s="488">
        <f t="shared" si="49"/>
        <v>0</v>
      </c>
      <c r="EY39" s="489">
        <f t="shared" si="160"/>
        <v>0</v>
      </c>
      <c r="EZ39" s="487"/>
      <c r="FA39" s="488">
        <f t="shared" si="50"/>
        <v>0</v>
      </c>
      <c r="FB39" s="489">
        <f t="shared" si="161"/>
        <v>0</v>
      </c>
      <c r="FC39" s="487"/>
      <c r="FD39" s="488">
        <f t="shared" si="51"/>
        <v>0</v>
      </c>
      <c r="FE39" s="489">
        <f t="shared" si="162"/>
        <v>0</v>
      </c>
      <c r="FF39" s="487"/>
      <c r="FG39" s="488">
        <f t="shared" si="52"/>
        <v>0</v>
      </c>
      <c r="FH39" s="489">
        <f t="shared" si="163"/>
        <v>0</v>
      </c>
      <c r="FI39" s="487"/>
      <c r="FJ39" s="488">
        <f t="shared" si="53"/>
        <v>0</v>
      </c>
      <c r="FK39" s="489">
        <f t="shared" si="164"/>
        <v>0</v>
      </c>
      <c r="FL39" s="487"/>
      <c r="FM39" s="488">
        <f t="shared" si="54"/>
        <v>0</v>
      </c>
      <c r="FN39" s="489">
        <f t="shared" si="165"/>
        <v>0</v>
      </c>
      <c r="FO39" s="487"/>
      <c r="FP39" s="488">
        <f t="shared" si="55"/>
        <v>0</v>
      </c>
      <c r="FQ39" s="489">
        <f t="shared" si="166"/>
        <v>0</v>
      </c>
      <c r="FR39" s="487"/>
      <c r="FS39" s="488">
        <f t="shared" si="56"/>
        <v>0</v>
      </c>
      <c r="FT39" s="489">
        <f t="shared" si="167"/>
        <v>0</v>
      </c>
      <c r="FU39" s="487"/>
      <c r="FV39" s="488">
        <f t="shared" si="57"/>
        <v>0</v>
      </c>
      <c r="FW39" s="489">
        <f t="shared" si="168"/>
        <v>0</v>
      </c>
      <c r="FX39" s="487"/>
      <c r="FY39" s="488">
        <f t="shared" si="58"/>
        <v>0</v>
      </c>
      <c r="FZ39" s="489">
        <f t="shared" si="169"/>
        <v>0</v>
      </c>
      <c r="GA39" s="487"/>
      <c r="GB39" s="488">
        <f t="shared" si="59"/>
        <v>0</v>
      </c>
      <c r="GC39" s="489">
        <f t="shared" si="170"/>
        <v>0</v>
      </c>
      <c r="GD39" s="487"/>
      <c r="GE39" s="488">
        <f t="shared" si="60"/>
        <v>0</v>
      </c>
      <c r="GF39" s="489">
        <f t="shared" si="171"/>
        <v>0</v>
      </c>
      <c r="GG39" s="487"/>
      <c r="GH39" s="488">
        <f t="shared" si="61"/>
        <v>0</v>
      </c>
      <c r="GI39" s="489">
        <f t="shared" si="172"/>
        <v>0</v>
      </c>
      <c r="GJ39" s="487"/>
      <c r="GK39" s="488">
        <f t="shared" si="62"/>
        <v>0</v>
      </c>
      <c r="GL39" s="489">
        <f t="shared" si="173"/>
        <v>0</v>
      </c>
      <c r="GM39" s="487"/>
      <c r="GN39" s="488">
        <f t="shared" si="63"/>
        <v>0</v>
      </c>
      <c r="GO39" s="489">
        <f t="shared" si="174"/>
        <v>0</v>
      </c>
      <c r="GP39" s="487"/>
      <c r="GQ39" s="488">
        <f t="shared" si="64"/>
        <v>0</v>
      </c>
      <c r="GR39" s="489">
        <f t="shared" si="175"/>
        <v>0</v>
      </c>
      <c r="GS39" s="487"/>
      <c r="GT39" s="488">
        <f t="shared" si="65"/>
        <v>0</v>
      </c>
      <c r="GU39" s="489">
        <f t="shared" si="176"/>
        <v>0</v>
      </c>
      <c r="GV39" s="487"/>
      <c r="GW39" s="488">
        <f t="shared" si="66"/>
        <v>0</v>
      </c>
      <c r="GX39" s="489">
        <f t="shared" si="177"/>
        <v>0</v>
      </c>
      <c r="GY39" s="487"/>
      <c r="GZ39" s="488">
        <f t="shared" si="67"/>
        <v>0</v>
      </c>
      <c r="HA39" s="489">
        <f t="shared" si="178"/>
        <v>0</v>
      </c>
      <c r="HB39" s="487"/>
      <c r="HC39" s="488">
        <f t="shared" si="68"/>
        <v>0</v>
      </c>
      <c r="HD39" s="489">
        <f t="shared" si="179"/>
        <v>0</v>
      </c>
      <c r="HE39" s="487"/>
      <c r="HF39" s="488">
        <f t="shared" si="69"/>
        <v>0</v>
      </c>
      <c r="HG39" s="489">
        <f t="shared" si="180"/>
        <v>0</v>
      </c>
      <c r="HH39" s="487"/>
      <c r="HI39" s="488">
        <f t="shared" si="70"/>
        <v>0</v>
      </c>
      <c r="HJ39" s="489">
        <f t="shared" si="181"/>
        <v>0</v>
      </c>
      <c r="HK39" s="487"/>
      <c r="HL39" s="488">
        <f t="shared" si="71"/>
        <v>0</v>
      </c>
      <c r="HM39" s="489">
        <f t="shared" si="182"/>
        <v>0</v>
      </c>
      <c r="HN39" s="487"/>
      <c r="HO39" s="488">
        <f t="shared" si="72"/>
        <v>0</v>
      </c>
      <c r="HP39" s="489">
        <f t="shared" si="183"/>
        <v>0</v>
      </c>
      <c r="HQ39" s="487"/>
      <c r="HR39" s="488">
        <f t="shared" si="73"/>
        <v>0</v>
      </c>
      <c r="HS39" s="489">
        <f t="shared" si="184"/>
        <v>0</v>
      </c>
      <c r="HT39" s="487"/>
      <c r="HU39" s="488">
        <f t="shared" si="74"/>
        <v>0</v>
      </c>
      <c r="HV39" s="489">
        <f t="shared" si="185"/>
        <v>0</v>
      </c>
      <c r="HW39" s="487"/>
      <c r="HX39" s="488">
        <f t="shared" si="75"/>
        <v>0</v>
      </c>
      <c r="HY39" s="489">
        <f t="shared" si="186"/>
        <v>0</v>
      </c>
      <c r="HZ39" s="487"/>
      <c r="IA39" s="488">
        <f t="shared" si="76"/>
        <v>0</v>
      </c>
      <c r="IB39" s="489">
        <f t="shared" si="187"/>
        <v>0</v>
      </c>
      <c r="IC39" s="487"/>
      <c r="ID39" s="488">
        <f t="shared" si="77"/>
        <v>0</v>
      </c>
      <c r="IE39" s="489">
        <f t="shared" si="188"/>
        <v>0</v>
      </c>
      <c r="IF39" s="487"/>
      <c r="IG39" s="488">
        <f t="shared" si="78"/>
        <v>0</v>
      </c>
      <c r="IH39" s="489">
        <f t="shared" si="189"/>
        <v>0</v>
      </c>
      <c r="II39" s="487"/>
      <c r="IJ39" s="488">
        <f t="shared" si="79"/>
        <v>0</v>
      </c>
      <c r="IK39" s="489">
        <f t="shared" si="190"/>
        <v>0</v>
      </c>
      <c r="IL39" s="487"/>
      <c r="IM39" s="488">
        <f t="shared" si="80"/>
        <v>0</v>
      </c>
      <c r="IN39" s="489">
        <f t="shared" si="191"/>
        <v>0</v>
      </c>
      <c r="IO39" s="487"/>
      <c r="IP39" s="488">
        <f t="shared" si="81"/>
        <v>0</v>
      </c>
      <c r="IQ39" s="489">
        <f t="shared" si="192"/>
        <v>0</v>
      </c>
      <c r="IR39" s="487"/>
      <c r="IS39" s="488">
        <f t="shared" si="82"/>
        <v>0</v>
      </c>
      <c r="IT39" s="489">
        <f t="shared" si="193"/>
        <v>0</v>
      </c>
      <c r="IU39" s="487"/>
      <c r="IV39" s="488">
        <f t="shared" si="83"/>
        <v>0</v>
      </c>
      <c r="IW39" s="489">
        <f t="shared" si="194"/>
        <v>0</v>
      </c>
      <c r="IX39" s="487"/>
      <c r="IY39" s="488">
        <f t="shared" si="84"/>
        <v>0</v>
      </c>
      <c r="IZ39" s="489">
        <f t="shared" si="195"/>
        <v>0</v>
      </c>
      <c r="JA39" s="487"/>
      <c r="JB39" s="488">
        <f t="shared" si="85"/>
        <v>0</v>
      </c>
      <c r="JC39" s="489">
        <f t="shared" si="196"/>
        <v>0</v>
      </c>
      <c r="JD39" s="487"/>
      <c r="JE39" s="488">
        <f t="shared" si="86"/>
        <v>0</v>
      </c>
      <c r="JF39" s="489">
        <f t="shared" si="197"/>
        <v>0</v>
      </c>
      <c r="JG39" s="487"/>
      <c r="JH39" s="488">
        <f t="shared" si="87"/>
        <v>0</v>
      </c>
      <c r="JI39" s="489">
        <f t="shared" si="198"/>
        <v>0</v>
      </c>
      <c r="JJ39" s="487"/>
      <c r="JK39" s="489" t="str">
        <f t="shared" si="88"/>
        <v>0</v>
      </c>
      <c r="JL39" s="489" t="str">
        <f t="shared" si="89"/>
        <v>0</v>
      </c>
      <c r="JM39" s="487"/>
      <c r="JN39" s="489" t="str">
        <f t="shared" si="90"/>
        <v>0</v>
      </c>
      <c r="JO39" s="489" t="str">
        <f t="shared" si="91"/>
        <v>0</v>
      </c>
      <c r="JP39" s="487"/>
      <c r="JQ39" s="489" t="str">
        <f t="shared" si="92"/>
        <v>0</v>
      </c>
      <c r="JR39" s="489" t="str">
        <f t="shared" si="93"/>
        <v>0</v>
      </c>
      <c r="JS39" s="487"/>
      <c r="JT39" s="489" t="str">
        <f t="shared" si="94"/>
        <v>0</v>
      </c>
      <c r="JU39" s="489" t="str">
        <f t="shared" si="95"/>
        <v>0</v>
      </c>
      <c r="JV39" s="487"/>
      <c r="JW39" s="489" t="str">
        <f t="shared" si="96"/>
        <v>0</v>
      </c>
      <c r="JX39" s="489" t="str">
        <f t="shared" si="97"/>
        <v>0</v>
      </c>
      <c r="JY39" s="487"/>
      <c r="JZ39" s="489" t="str">
        <f t="shared" si="98"/>
        <v>0</v>
      </c>
      <c r="KA39" s="489" t="str">
        <f t="shared" si="99"/>
        <v>0</v>
      </c>
      <c r="KB39" s="487"/>
      <c r="KC39" s="489" t="str">
        <f t="shared" si="100"/>
        <v>0</v>
      </c>
      <c r="KD39" s="489" t="str">
        <f t="shared" si="101"/>
        <v>0</v>
      </c>
      <c r="KE39" s="487"/>
      <c r="KF39" s="489" t="str">
        <f t="shared" si="102"/>
        <v>0</v>
      </c>
      <c r="KG39" s="489" t="str">
        <f t="shared" si="103"/>
        <v>0</v>
      </c>
      <c r="KH39" s="487"/>
      <c r="KI39" s="489" t="str">
        <f t="shared" si="104"/>
        <v>0</v>
      </c>
      <c r="KJ39" s="489" t="str">
        <f t="shared" si="105"/>
        <v>0</v>
      </c>
      <c r="KK39" s="487"/>
      <c r="KL39" s="489" t="str">
        <f t="shared" si="106"/>
        <v>0</v>
      </c>
      <c r="KM39" s="489" t="str">
        <f t="shared" si="107"/>
        <v>0</v>
      </c>
      <c r="KN39" s="487"/>
      <c r="KO39" s="489" t="str">
        <f t="shared" si="108"/>
        <v>0</v>
      </c>
      <c r="KP39" s="489" t="str">
        <f t="shared" si="109"/>
        <v>0</v>
      </c>
      <c r="KQ39" s="487"/>
      <c r="KR39" s="489" t="str">
        <f t="shared" si="110"/>
        <v>0</v>
      </c>
      <c r="KS39" s="489" t="str">
        <f t="shared" si="111"/>
        <v>0</v>
      </c>
      <c r="KT39" s="489">
        <f t="shared" si="201"/>
        <v>0</v>
      </c>
      <c r="KU39" s="489">
        <f t="shared" si="202"/>
        <v>0</v>
      </c>
      <c r="KV39" s="259">
        <f t="shared" si="199"/>
        <v>330.06607875063514</v>
      </c>
    </row>
    <row r="40" spans="1:308" ht="15" customHeight="1">
      <c r="A40" s="261"/>
      <c r="B40" s="262"/>
      <c r="C40" s="382"/>
      <c r="D40" s="263"/>
      <c r="E40" s="264"/>
      <c r="F40" s="487"/>
      <c r="G40" s="488"/>
      <c r="H40" s="489"/>
      <c r="I40" s="487"/>
      <c r="J40" s="488"/>
      <c r="K40" s="489"/>
      <c r="L40" s="487"/>
      <c r="M40" s="488"/>
      <c r="N40" s="489"/>
      <c r="O40" s="487"/>
      <c r="P40" s="488"/>
      <c r="Q40" s="489"/>
      <c r="R40" s="487"/>
      <c r="S40" s="488"/>
      <c r="T40" s="489"/>
      <c r="U40" s="487"/>
      <c r="V40" s="488"/>
      <c r="W40" s="489"/>
      <c r="X40" s="487"/>
      <c r="Y40" s="488"/>
      <c r="Z40" s="489"/>
      <c r="AA40" s="487"/>
      <c r="AB40" s="488"/>
      <c r="AC40" s="489"/>
      <c r="AD40" s="487"/>
      <c r="AE40" s="488"/>
      <c r="AF40" s="489"/>
      <c r="AG40" s="487"/>
      <c r="AH40" s="488"/>
      <c r="AI40" s="489"/>
      <c r="AJ40" s="487"/>
      <c r="AK40" s="488"/>
      <c r="AL40" s="489"/>
      <c r="AM40" s="487"/>
      <c r="AN40" s="488"/>
      <c r="AO40" s="489"/>
      <c r="AP40" s="487"/>
      <c r="AQ40" s="488"/>
      <c r="AR40" s="489"/>
      <c r="AS40" s="487"/>
      <c r="AT40" s="488"/>
      <c r="AU40" s="489"/>
      <c r="AV40" s="487"/>
      <c r="AW40" s="488"/>
      <c r="AX40" s="489"/>
      <c r="AY40" s="487"/>
      <c r="AZ40" s="488"/>
      <c r="BA40" s="489"/>
      <c r="BB40" s="487"/>
      <c r="BC40" s="488"/>
      <c r="BD40" s="489"/>
      <c r="BE40" s="487"/>
      <c r="BF40" s="488"/>
      <c r="BG40" s="489"/>
      <c r="BH40" s="487"/>
      <c r="BI40" s="488"/>
      <c r="BJ40" s="489"/>
      <c r="BK40" s="487"/>
      <c r="BL40" s="488"/>
      <c r="BM40" s="489"/>
      <c r="BN40" s="487"/>
      <c r="BO40" s="488"/>
      <c r="BP40" s="489"/>
      <c r="BQ40" s="487"/>
      <c r="BR40" s="488"/>
      <c r="BS40" s="489"/>
      <c r="BT40" s="487"/>
      <c r="BU40" s="488"/>
      <c r="BV40" s="489"/>
      <c r="BW40" s="487"/>
      <c r="BX40" s="488"/>
      <c r="BY40" s="489"/>
      <c r="BZ40" s="487"/>
      <c r="CA40" s="488"/>
      <c r="CB40" s="489"/>
      <c r="CC40" s="487"/>
      <c r="CD40" s="488"/>
      <c r="CE40" s="489"/>
      <c r="CF40" s="487"/>
      <c r="CG40" s="488"/>
      <c r="CH40" s="489"/>
      <c r="CI40" s="487"/>
      <c r="CJ40" s="488"/>
      <c r="CK40" s="489"/>
      <c r="CL40" s="487"/>
      <c r="CM40" s="488"/>
      <c r="CN40" s="489"/>
      <c r="CO40" s="487"/>
      <c r="CP40" s="488"/>
      <c r="CQ40" s="489"/>
      <c r="CR40" s="487"/>
      <c r="CS40" s="488"/>
      <c r="CT40" s="489"/>
      <c r="CU40" s="487"/>
      <c r="CV40" s="488"/>
      <c r="CW40" s="489"/>
      <c r="CX40" s="487"/>
      <c r="CY40" s="488"/>
      <c r="CZ40" s="489"/>
      <c r="DA40" s="487"/>
      <c r="DB40" s="488"/>
      <c r="DC40" s="489"/>
      <c r="DD40" s="487"/>
      <c r="DE40" s="488"/>
      <c r="DF40" s="489"/>
      <c r="DG40" s="487"/>
      <c r="DH40" s="488"/>
      <c r="DI40" s="489"/>
      <c r="DJ40" s="487"/>
      <c r="DK40" s="488"/>
      <c r="DL40" s="489"/>
      <c r="DM40" s="487"/>
      <c r="DN40" s="488"/>
      <c r="DO40" s="489"/>
      <c r="DP40" s="487"/>
      <c r="DQ40" s="488"/>
      <c r="DR40" s="489"/>
      <c r="DS40" s="487"/>
      <c r="DT40" s="488"/>
      <c r="DU40" s="489"/>
      <c r="DV40" s="487"/>
      <c r="DW40" s="488"/>
      <c r="DX40" s="489"/>
      <c r="DY40" s="487"/>
      <c r="DZ40" s="488"/>
      <c r="EA40" s="489"/>
      <c r="EB40" s="487"/>
      <c r="EC40" s="488"/>
      <c r="ED40" s="489"/>
      <c r="EE40" s="487"/>
      <c r="EF40" s="488"/>
      <c r="EG40" s="489"/>
      <c r="EH40" s="487"/>
      <c r="EI40" s="488"/>
      <c r="EJ40" s="489"/>
      <c r="EK40" s="487"/>
      <c r="EL40" s="488"/>
      <c r="EM40" s="489"/>
      <c r="EN40" s="487"/>
      <c r="EO40" s="488"/>
      <c r="EP40" s="489"/>
      <c r="EQ40" s="487"/>
      <c r="ER40" s="488"/>
      <c r="ES40" s="489"/>
      <c r="ET40" s="487"/>
      <c r="EU40" s="488"/>
      <c r="EV40" s="489"/>
      <c r="EW40" s="487"/>
      <c r="EX40" s="488"/>
      <c r="EY40" s="489"/>
      <c r="EZ40" s="487"/>
      <c r="FA40" s="488"/>
      <c r="FB40" s="489"/>
      <c r="FC40" s="487"/>
      <c r="FD40" s="488"/>
      <c r="FE40" s="489"/>
      <c r="FF40" s="487"/>
      <c r="FG40" s="488"/>
      <c r="FH40" s="489"/>
      <c r="FI40" s="487"/>
      <c r="FJ40" s="488"/>
      <c r="FK40" s="489"/>
      <c r="FL40" s="487"/>
      <c r="FM40" s="488"/>
      <c r="FN40" s="489"/>
      <c r="FO40" s="487"/>
      <c r="FP40" s="488"/>
      <c r="FQ40" s="489"/>
      <c r="FR40" s="487"/>
      <c r="FS40" s="488"/>
      <c r="FT40" s="489"/>
      <c r="FU40" s="487"/>
      <c r="FV40" s="488"/>
      <c r="FW40" s="489"/>
      <c r="FX40" s="487"/>
      <c r="FY40" s="488"/>
      <c r="FZ40" s="489"/>
      <c r="GA40" s="487"/>
      <c r="GB40" s="488"/>
      <c r="GC40" s="489"/>
      <c r="GD40" s="487"/>
      <c r="GE40" s="488"/>
      <c r="GF40" s="489"/>
      <c r="GG40" s="487"/>
      <c r="GH40" s="488"/>
      <c r="GI40" s="489"/>
      <c r="GJ40" s="487"/>
      <c r="GK40" s="488"/>
      <c r="GL40" s="489"/>
      <c r="GM40" s="487"/>
      <c r="GN40" s="488"/>
      <c r="GO40" s="489"/>
      <c r="GP40" s="487"/>
      <c r="GQ40" s="488"/>
      <c r="GR40" s="489"/>
      <c r="GS40" s="487"/>
      <c r="GT40" s="488"/>
      <c r="GU40" s="489"/>
      <c r="GV40" s="487"/>
      <c r="GW40" s="488"/>
      <c r="GX40" s="489"/>
      <c r="GY40" s="487"/>
      <c r="GZ40" s="488"/>
      <c r="HA40" s="489"/>
      <c r="HB40" s="487"/>
      <c r="HC40" s="488"/>
      <c r="HD40" s="489"/>
      <c r="HE40" s="487"/>
      <c r="HF40" s="488"/>
      <c r="HG40" s="489"/>
      <c r="HH40" s="487"/>
      <c r="HI40" s="488"/>
      <c r="HJ40" s="489"/>
      <c r="HK40" s="487"/>
      <c r="HL40" s="488"/>
      <c r="HM40" s="489"/>
      <c r="HN40" s="487"/>
      <c r="HO40" s="488"/>
      <c r="HP40" s="489"/>
      <c r="HQ40" s="487"/>
      <c r="HR40" s="488"/>
      <c r="HS40" s="489"/>
      <c r="HT40" s="487"/>
      <c r="HU40" s="488"/>
      <c r="HV40" s="489"/>
      <c r="HW40" s="487"/>
      <c r="HX40" s="488"/>
      <c r="HY40" s="489"/>
      <c r="HZ40" s="487"/>
      <c r="IA40" s="488"/>
      <c r="IB40" s="489"/>
      <c r="IC40" s="487"/>
      <c r="ID40" s="488"/>
      <c r="IE40" s="489"/>
      <c r="IF40" s="487"/>
      <c r="IG40" s="488"/>
      <c r="IH40" s="489"/>
      <c r="II40" s="487"/>
      <c r="IJ40" s="488"/>
      <c r="IK40" s="489"/>
      <c r="IL40" s="487"/>
      <c r="IM40" s="488"/>
      <c r="IN40" s="489"/>
      <c r="IO40" s="487"/>
      <c r="IP40" s="488"/>
      <c r="IQ40" s="489"/>
      <c r="IR40" s="487"/>
      <c r="IS40" s="488"/>
      <c r="IT40" s="489"/>
      <c r="IU40" s="487"/>
      <c r="IV40" s="488"/>
      <c r="IW40" s="489"/>
      <c r="IX40" s="487"/>
      <c r="IY40" s="488"/>
      <c r="IZ40" s="489"/>
      <c r="JA40" s="487"/>
      <c r="JB40" s="488"/>
      <c r="JC40" s="489"/>
      <c r="JD40" s="487"/>
      <c r="JE40" s="488"/>
      <c r="JF40" s="489"/>
      <c r="JG40" s="487"/>
      <c r="JH40" s="488"/>
      <c r="JI40" s="489"/>
      <c r="JJ40" s="487"/>
      <c r="JK40" s="489"/>
      <c r="JL40" s="489"/>
      <c r="JM40" s="487"/>
      <c r="JN40" s="489"/>
      <c r="JO40" s="489"/>
      <c r="JP40" s="487"/>
      <c r="JQ40" s="489"/>
      <c r="JR40" s="489"/>
      <c r="JS40" s="487"/>
      <c r="JT40" s="489"/>
      <c r="JU40" s="489"/>
      <c r="JV40" s="487"/>
      <c r="JW40" s="489"/>
      <c r="JX40" s="489"/>
      <c r="JY40" s="487"/>
      <c r="JZ40" s="489"/>
      <c r="KA40" s="489"/>
      <c r="KB40" s="487"/>
      <c r="KC40" s="489"/>
      <c r="KD40" s="489"/>
      <c r="KE40" s="487"/>
      <c r="KF40" s="489"/>
      <c r="KG40" s="489"/>
      <c r="KH40" s="487"/>
      <c r="KI40" s="489"/>
      <c r="KJ40" s="489"/>
      <c r="KK40" s="487"/>
      <c r="KL40" s="489"/>
      <c r="KM40" s="489"/>
      <c r="KN40" s="487"/>
      <c r="KO40" s="489"/>
      <c r="KP40" s="489"/>
      <c r="KQ40" s="487"/>
      <c r="KR40" s="489"/>
      <c r="KS40" s="489"/>
      <c r="KT40" s="489"/>
      <c r="KU40" s="489"/>
      <c r="KV40" s="259"/>
    </row>
    <row r="41" spans="1:308" s="265" customFormat="1" ht="15" customHeight="1" thickBot="1">
      <c r="A41" s="750" t="s">
        <v>27</v>
      </c>
      <c r="B41" s="751"/>
      <c r="C41" s="752"/>
      <c r="D41" s="266">
        <f>SUM(D10:D40)</f>
        <v>1443.3009999999997</v>
      </c>
      <c r="E41" s="266">
        <f>SUM(E10:E40)</f>
        <v>1378.1910000000005</v>
      </c>
      <c r="F41" s="487"/>
      <c r="G41" s="488"/>
      <c r="H41" s="489"/>
      <c r="I41" s="487"/>
      <c r="J41" s="488"/>
      <c r="K41" s="489"/>
      <c r="L41" s="487"/>
      <c r="M41" s="488"/>
      <c r="N41" s="489"/>
      <c r="O41" s="487"/>
      <c r="P41" s="488"/>
      <c r="Q41" s="489"/>
      <c r="R41" s="487"/>
      <c r="S41" s="488"/>
      <c r="T41" s="489"/>
      <c r="U41" s="487"/>
      <c r="V41" s="488"/>
      <c r="W41" s="489"/>
      <c r="X41" s="487"/>
      <c r="Y41" s="488"/>
      <c r="Z41" s="489"/>
      <c r="AA41" s="487"/>
      <c r="AB41" s="488"/>
      <c r="AC41" s="489"/>
      <c r="AD41" s="487"/>
      <c r="AE41" s="488"/>
      <c r="AF41" s="489"/>
      <c r="AG41" s="487"/>
      <c r="AH41" s="488"/>
      <c r="AI41" s="489"/>
      <c r="AJ41" s="487"/>
      <c r="AK41" s="488"/>
      <c r="AL41" s="489"/>
      <c r="AM41" s="487"/>
      <c r="AN41" s="488"/>
      <c r="AO41" s="489"/>
      <c r="AP41" s="487"/>
      <c r="AQ41" s="488"/>
      <c r="AR41" s="489"/>
      <c r="AS41" s="487"/>
      <c r="AT41" s="488"/>
      <c r="AU41" s="489"/>
      <c r="AV41" s="487"/>
      <c r="AW41" s="488"/>
      <c r="AX41" s="489"/>
      <c r="AY41" s="487"/>
      <c r="AZ41" s="488"/>
      <c r="BA41" s="489"/>
      <c r="BB41" s="487"/>
      <c r="BC41" s="488"/>
      <c r="BD41" s="489"/>
      <c r="BE41" s="487"/>
      <c r="BF41" s="488"/>
      <c r="BG41" s="489"/>
      <c r="BH41" s="487"/>
      <c r="BI41" s="488"/>
      <c r="BJ41" s="489"/>
      <c r="BK41" s="487"/>
      <c r="BL41" s="488"/>
      <c r="BM41" s="489"/>
      <c r="BN41" s="487"/>
      <c r="BO41" s="488"/>
      <c r="BP41" s="489"/>
      <c r="BQ41" s="487"/>
      <c r="BR41" s="488"/>
      <c r="BS41" s="489"/>
      <c r="BT41" s="487"/>
      <c r="BU41" s="488"/>
      <c r="BV41" s="489"/>
      <c r="BW41" s="487"/>
      <c r="BX41" s="488"/>
      <c r="BY41" s="489"/>
      <c r="BZ41" s="487"/>
      <c r="CA41" s="488"/>
      <c r="CB41" s="489"/>
      <c r="CC41" s="487"/>
      <c r="CD41" s="488"/>
      <c r="CE41" s="489"/>
      <c r="CF41" s="487"/>
      <c r="CG41" s="488"/>
      <c r="CH41" s="489"/>
      <c r="CI41" s="487"/>
      <c r="CJ41" s="488"/>
      <c r="CK41" s="489"/>
      <c r="CL41" s="487"/>
      <c r="CM41" s="488"/>
      <c r="CN41" s="489"/>
      <c r="CO41" s="487"/>
      <c r="CP41" s="488"/>
      <c r="CQ41" s="489"/>
      <c r="CR41" s="487"/>
      <c r="CS41" s="488"/>
      <c r="CT41" s="489"/>
      <c r="CU41" s="487"/>
      <c r="CV41" s="488"/>
      <c r="CW41" s="489"/>
      <c r="CX41" s="487"/>
      <c r="CY41" s="488"/>
      <c r="CZ41" s="489"/>
      <c r="DA41" s="487"/>
      <c r="DB41" s="488"/>
      <c r="DC41" s="489"/>
      <c r="DD41" s="487"/>
      <c r="DE41" s="488"/>
      <c r="DF41" s="489"/>
      <c r="DG41" s="487"/>
      <c r="DH41" s="488"/>
      <c r="DI41" s="489"/>
      <c r="DJ41" s="487"/>
      <c r="DK41" s="488"/>
      <c r="DL41" s="489"/>
      <c r="DM41" s="487"/>
      <c r="DN41" s="488"/>
      <c r="DO41" s="489"/>
      <c r="DP41" s="487"/>
      <c r="DQ41" s="488"/>
      <c r="DR41" s="489"/>
      <c r="DS41" s="487"/>
      <c r="DT41" s="488"/>
      <c r="DU41" s="489"/>
      <c r="DV41" s="487"/>
      <c r="DW41" s="488"/>
      <c r="DX41" s="489"/>
      <c r="DY41" s="487"/>
      <c r="DZ41" s="488"/>
      <c r="EA41" s="489"/>
      <c r="EB41" s="487"/>
      <c r="EC41" s="488"/>
      <c r="ED41" s="489"/>
      <c r="EE41" s="487"/>
      <c r="EF41" s="488"/>
      <c r="EG41" s="489"/>
      <c r="EH41" s="487"/>
      <c r="EI41" s="488"/>
      <c r="EJ41" s="489"/>
      <c r="EK41" s="487"/>
      <c r="EL41" s="488"/>
      <c r="EM41" s="489"/>
      <c r="EN41" s="487"/>
      <c r="EO41" s="488"/>
      <c r="EP41" s="489"/>
      <c r="EQ41" s="487"/>
      <c r="ER41" s="488"/>
      <c r="ES41" s="489"/>
      <c r="ET41" s="487"/>
      <c r="EU41" s="488"/>
      <c r="EV41" s="489"/>
      <c r="EW41" s="487"/>
      <c r="EX41" s="488"/>
      <c r="EY41" s="489"/>
      <c r="EZ41" s="487"/>
      <c r="FA41" s="488"/>
      <c r="FB41" s="489"/>
      <c r="FC41" s="487"/>
      <c r="FD41" s="488"/>
      <c r="FE41" s="489"/>
      <c r="FF41" s="487"/>
      <c r="FG41" s="488"/>
      <c r="FH41" s="489"/>
      <c r="FI41" s="487"/>
      <c r="FJ41" s="488"/>
      <c r="FK41" s="489"/>
      <c r="FL41" s="487"/>
      <c r="FM41" s="488"/>
      <c r="FN41" s="489"/>
      <c r="FO41" s="487"/>
      <c r="FP41" s="488"/>
      <c r="FQ41" s="489"/>
      <c r="FR41" s="487"/>
      <c r="FS41" s="488"/>
      <c r="FT41" s="489"/>
      <c r="FU41" s="487"/>
      <c r="FV41" s="488"/>
      <c r="FW41" s="489"/>
      <c r="FX41" s="487"/>
      <c r="FY41" s="488"/>
      <c r="FZ41" s="489"/>
      <c r="GA41" s="487"/>
      <c r="GB41" s="488"/>
      <c r="GC41" s="489"/>
      <c r="GD41" s="487"/>
      <c r="GE41" s="488"/>
      <c r="GF41" s="489"/>
      <c r="GG41" s="487"/>
      <c r="GH41" s="488"/>
      <c r="GI41" s="489"/>
      <c r="GJ41" s="487"/>
      <c r="GK41" s="488"/>
      <c r="GL41" s="489"/>
      <c r="GM41" s="487"/>
      <c r="GN41" s="488"/>
      <c r="GO41" s="489"/>
      <c r="GP41" s="487"/>
      <c r="GQ41" s="488"/>
      <c r="GR41" s="489"/>
      <c r="GS41" s="487"/>
      <c r="GT41" s="488"/>
      <c r="GU41" s="489"/>
      <c r="GV41" s="487"/>
      <c r="GW41" s="488"/>
      <c r="GX41" s="489"/>
      <c r="GY41" s="487"/>
      <c r="GZ41" s="488"/>
      <c r="HA41" s="489"/>
      <c r="HB41" s="487"/>
      <c r="HC41" s="488"/>
      <c r="HD41" s="489"/>
      <c r="HE41" s="487"/>
      <c r="HF41" s="488"/>
      <c r="HG41" s="489"/>
      <c r="HH41" s="487"/>
      <c r="HI41" s="488"/>
      <c r="HJ41" s="489"/>
      <c r="HK41" s="487"/>
      <c r="HL41" s="488"/>
      <c r="HM41" s="489"/>
      <c r="HN41" s="487"/>
      <c r="HO41" s="488"/>
      <c r="HP41" s="489"/>
      <c r="HQ41" s="487"/>
      <c r="HR41" s="488"/>
      <c r="HS41" s="489"/>
      <c r="HT41" s="487"/>
      <c r="HU41" s="488"/>
      <c r="HV41" s="489"/>
      <c r="HW41" s="487"/>
      <c r="HX41" s="488"/>
      <c r="HY41" s="489"/>
      <c r="HZ41" s="487"/>
      <c r="IA41" s="488"/>
      <c r="IB41" s="489"/>
      <c r="IC41" s="487"/>
      <c r="ID41" s="488"/>
      <c r="IE41" s="489"/>
      <c r="IF41" s="487"/>
      <c r="IG41" s="488"/>
      <c r="IH41" s="489"/>
      <c r="II41" s="487"/>
      <c r="IJ41" s="488"/>
      <c r="IK41" s="489"/>
      <c r="IL41" s="487"/>
      <c r="IM41" s="488"/>
      <c r="IN41" s="489"/>
      <c r="IO41" s="487"/>
      <c r="IP41" s="488"/>
      <c r="IQ41" s="489"/>
      <c r="IR41" s="487"/>
      <c r="IS41" s="488"/>
      <c r="IT41" s="489"/>
      <c r="IU41" s="487"/>
      <c r="IV41" s="488"/>
      <c r="IW41" s="489"/>
      <c r="IX41" s="487"/>
      <c r="IY41" s="488"/>
      <c r="IZ41" s="489"/>
      <c r="JA41" s="487"/>
      <c r="JB41" s="488"/>
      <c r="JC41" s="489"/>
      <c r="JD41" s="487"/>
      <c r="JE41" s="488"/>
      <c r="JF41" s="489"/>
      <c r="JG41" s="487"/>
      <c r="JH41" s="488"/>
      <c r="JI41" s="489"/>
      <c r="JJ41" s="487"/>
      <c r="JK41" s="489"/>
      <c r="JL41" s="489"/>
      <c r="JM41" s="487"/>
      <c r="JN41" s="489"/>
      <c r="JO41" s="489"/>
      <c r="JP41" s="487"/>
      <c r="JQ41" s="489"/>
      <c r="JR41" s="489"/>
      <c r="JS41" s="487"/>
      <c r="JT41" s="489"/>
      <c r="JU41" s="489"/>
      <c r="JV41" s="487"/>
      <c r="JW41" s="489"/>
      <c r="JX41" s="489"/>
      <c r="JY41" s="487"/>
      <c r="JZ41" s="489"/>
      <c r="KA41" s="489"/>
      <c r="KB41" s="487"/>
      <c r="KC41" s="489"/>
      <c r="KD41" s="489"/>
      <c r="KE41" s="487"/>
      <c r="KF41" s="489"/>
      <c r="KG41" s="489"/>
      <c r="KH41" s="487"/>
      <c r="KI41" s="489"/>
      <c r="KJ41" s="489"/>
      <c r="KK41" s="487"/>
      <c r="KL41" s="489"/>
      <c r="KM41" s="489"/>
      <c r="KN41" s="487"/>
      <c r="KO41" s="489"/>
      <c r="KP41" s="489"/>
      <c r="KQ41" s="487"/>
      <c r="KR41" s="489"/>
      <c r="KS41" s="489"/>
      <c r="KT41" s="489"/>
      <c r="KU41" s="489"/>
      <c r="KV41" s="508">
        <f>SUM(KV10:KV40)</f>
        <v>15877.701554136578</v>
      </c>
    </row>
    <row r="42" spans="1:308" ht="15" customHeight="1" thickTop="1" thickBot="1">
      <c r="F42" s="490">
        <f>SUM(F10:F40)</f>
        <v>0</v>
      </c>
      <c r="G42" s="490">
        <f>IFERROR((F42/$L$42),0)</f>
        <v>0</v>
      </c>
      <c r="H42" s="490">
        <f>IFERROR(((F42*H$9)/$L$42),0)</f>
        <v>0</v>
      </c>
      <c r="I42" s="490">
        <f>SUM(I10:I40)</f>
        <v>10572.892204651163</v>
      </c>
      <c r="J42" s="490">
        <f>IFERROR((I42/$L$42),0)</f>
        <v>0</v>
      </c>
      <c r="K42" s="490">
        <f>IFERROR(((I42*K$9)/$L$42),0)</f>
        <v>0</v>
      </c>
      <c r="L42" s="490">
        <f>SUM(L10:L40)</f>
        <v>0</v>
      </c>
      <c r="M42" s="490">
        <f>IFERROR((L42/$L$42),0)</f>
        <v>0</v>
      </c>
      <c r="N42" s="490">
        <f>IFERROR(((L42*N$9)/$L$42),0)</f>
        <v>0</v>
      </c>
      <c r="O42" s="490">
        <f>SUM(O10:O40)</f>
        <v>339</v>
      </c>
      <c r="P42" s="490">
        <f>IFERROR((O42/$L$42),0)</f>
        <v>0</v>
      </c>
      <c r="Q42" s="490">
        <f>IFERROR(((O42*Q$9)/$L$42),0)</f>
        <v>0</v>
      </c>
      <c r="R42" s="490">
        <f>SUM(R10:R40)</f>
        <v>239.59375</v>
      </c>
      <c r="S42" s="490">
        <f>IFERROR((R42/$L$42),0)</f>
        <v>0</v>
      </c>
      <c r="T42" s="490">
        <f>IFERROR(((R42*T$9)/$L$42),0)</f>
        <v>0</v>
      </c>
      <c r="U42" s="490">
        <f>SUM(U10:U40)</f>
        <v>132.8125</v>
      </c>
      <c r="V42" s="490">
        <f>IFERROR((U42/$L$42),0)</f>
        <v>0</v>
      </c>
      <c r="W42" s="490">
        <f>IFERROR(((U42*W$9)/$L$42),0)</f>
        <v>0</v>
      </c>
      <c r="X42" s="490">
        <f>SUM(X10:X40)</f>
        <v>0</v>
      </c>
      <c r="Y42" s="490">
        <f>IFERROR((X42/$L$42),0)</f>
        <v>0</v>
      </c>
      <c r="Z42" s="490">
        <f>IFERROR(((X42*Z$9)/$L$42),0)</f>
        <v>0</v>
      </c>
      <c r="AA42" s="490">
        <f>SUM(AA10:AA40)</f>
        <v>0</v>
      </c>
      <c r="AB42" s="490">
        <f>IFERROR((AA42/$L$42),0)</f>
        <v>0</v>
      </c>
      <c r="AC42" s="490">
        <f>IFERROR(((AA42*AC$9)/$L$42),0)</f>
        <v>0</v>
      </c>
      <c r="AD42" s="490">
        <f>SUM(AD10:AD40)</f>
        <v>0</v>
      </c>
      <c r="AE42" s="490">
        <f>IFERROR((AD42/$L$42),0)</f>
        <v>0</v>
      </c>
      <c r="AF42" s="490">
        <f>IFERROR(((AD42*AF$9)/$L$42),0)</f>
        <v>0</v>
      </c>
      <c r="AG42" s="490">
        <f>SUM(AG10:AG40)</f>
        <v>0</v>
      </c>
      <c r="AH42" s="490">
        <f>IFERROR((AG42/$L$42),0)</f>
        <v>0</v>
      </c>
      <c r="AI42" s="490">
        <f>IFERROR(((AG42*AI$9)/$L$42),0)</f>
        <v>0</v>
      </c>
      <c r="AJ42" s="490">
        <f>SUM(AJ10:AJ40)</f>
        <v>0</v>
      </c>
      <c r="AK42" s="490">
        <f>IFERROR((AJ42/$L$42),0)</f>
        <v>0</v>
      </c>
      <c r="AL42" s="490">
        <f>IFERROR(((AJ42*AL$9)/$L$42),0)</f>
        <v>0</v>
      </c>
      <c r="AM42" s="490">
        <f>SUM(AM10:AM40)</f>
        <v>1197.5926923076922</v>
      </c>
      <c r="AN42" s="490">
        <f>IFERROR((AM42/$L$42),0)</f>
        <v>0</v>
      </c>
      <c r="AO42" s="490">
        <f>IFERROR(((AM42*AO$9)/$L$42),0)</f>
        <v>0</v>
      </c>
      <c r="AP42" s="490">
        <f>SUM(AP10:AP40)</f>
        <v>0</v>
      </c>
      <c r="AQ42" s="490">
        <f>IFERROR((AP42/$L$42),0)</f>
        <v>0</v>
      </c>
      <c r="AR42" s="490">
        <f>IFERROR(((AP42*AR$9)/$L$42),0)</f>
        <v>0</v>
      </c>
      <c r="AS42" s="490">
        <f>SUM(AS10:AS40)</f>
        <v>0</v>
      </c>
      <c r="AT42" s="490">
        <f>IFERROR((AS42/$L$42),0)</f>
        <v>0</v>
      </c>
      <c r="AU42" s="490">
        <f>IFERROR(((AS42*AU$9)/$L$42),0)</f>
        <v>0</v>
      </c>
      <c r="AV42" s="490">
        <f>SUM(AV10:AV40)</f>
        <v>108.22499999999997</v>
      </c>
      <c r="AW42" s="490">
        <f>IFERROR((AV42/$L$42),0)</f>
        <v>0</v>
      </c>
      <c r="AX42" s="490">
        <f>IFERROR(((AV42*AX$9)/$L$42),0)</f>
        <v>0</v>
      </c>
      <c r="AY42" s="490">
        <f>SUM(AY10:AY40)</f>
        <v>1233.8503999999998</v>
      </c>
      <c r="AZ42" s="490">
        <f>IFERROR((AY42/$L$42),0)</f>
        <v>0</v>
      </c>
      <c r="BA42" s="490">
        <f>IFERROR(((AY42*BA$9)/$L$42),0)</f>
        <v>0</v>
      </c>
      <c r="BB42" s="490">
        <f>SUM(BB10:BB40)</f>
        <v>0</v>
      </c>
      <c r="BC42" s="490">
        <f>IFERROR((BB42/$L$42),0)</f>
        <v>0</v>
      </c>
      <c r="BD42" s="490">
        <f>IFERROR(((BB42*BD$9)/$L$42),0)</f>
        <v>0</v>
      </c>
      <c r="BE42" s="490">
        <f>SUM(BE10:BE40)</f>
        <v>0</v>
      </c>
      <c r="BF42" s="490">
        <f>IFERROR((BE42/$L$42),0)</f>
        <v>0</v>
      </c>
      <c r="BG42" s="490">
        <f>IFERROR(((BE42*BG$9)/$L$42),0)</f>
        <v>0</v>
      </c>
      <c r="BH42" s="490">
        <f>SUM(BH10:BH40)</f>
        <v>0</v>
      </c>
      <c r="BI42" s="490">
        <f>IFERROR((BH42/$L$42),0)</f>
        <v>0</v>
      </c>
      <c r="BJ42" s="490">
        <f>IFERROR(((BH42*BJ$9)/$L$42),0)</f>
        <v>0</v>
      </c>
      <c r="BK42" s="490">
        <f>SUM(BK10:BK40)</f>
        <v>0</v>
      </c>
      <c r="BL42" s="490">
        <f>IFERROR((BK42/$L$42),0)</f>
        <v>0</v>
      </c>
      <c r="BM42" s="490">
        <f>IFERROR(((BK42*BM$9)/$L$42),0)</f>
        <v>0</v>
      </c>
      <c r="BN42" s="490">
        <f>SUM(BN10:BN40)</f>
        <v>761.79012345679007</v>
      </c>
      <c r="BO42" s="490">
        <f>IFERROR((BN42/$L$42),0)</f>
        <v>0</v>
      </c>
      <c r="BP42" s="490">
        <f>IFERROR(((BN42*BP$9)/$L$42),0)</f>
        <v>0</v>
      </c>
      <c r="BQ42" s="490">
        <f>SUM(BQ10:BQ40)</f>
        <v>0</v>
      </c>
      <c r="BR42" s="490">
        <f>IFERROR((BQ42/$L$42),0)</f>
        <v>0</v>
      </c>
      <c r="BS42" s="490">
        <f>IFERROR(((BQ42*BS$9)/$L$42),0)</f>
        <v>0</v>
      </c>
      <c r="BT42" s="490">
        <f>SUM(BT10:BT40)</f>
        <v>0</v>
      </c>
      <c r="BU42" s="490">
        <f>IFERROR((BT42/$L$42),0)</f>
        <v>0</v>
      </c>
      <c r="BV42" s="490">
        <f>IFERROR(((BT42*BV$9)/$L$42),0)</f>
        <v>0</v>
      </c>
      <c r="BW42" s="490">
        <f>SUM(BW10:BW40)</f>
        <v>0</v>
      </c>
      <c r="BX42" s="490">
        <f>IFERROR((BW42/$L$42),0)</f>
        <v>0</v>
      </c>
      <c r="BY42" s="490">
        <f>IFERROR(((BW42*BY$9)/$L$42),0)</f>
        <v>0</v>
      </c>
      <c r="BZ42" s="490">
        <f>SUM(BZ10:BZ40)</f>
        <v>0</v>
      </c>
      <c r="CA42" s="490">
        <f>IFERROR((BZ42/$L$42),0)</f>
        <v>0</v>
      </c>
      <c r="CB42" s="490">
        <f>IFERROR(((BZ42*CB$9)/$L$42),0)</f>
        <v>0</v>
      </c>
      <c r="CC42" s="490">
        <f>SUM(CC10:CC40)</f>
        <v>227</v>
      </c>
      <c r="CD42" s="490">
        <f>IFERROR((CC42/$L$42),0)</f>
        <v>0</v>
      </c>
      <c r="CE42" s="490">
        <f>IFERROR(((CC42*CE$9)/$L$42),0)</f>
        <v>0</v>
      </c>
      <c r="CF42" s="490">
        <f>SUM(CF10:CF40)</f>
        <v>227</v>
      </c>
      <c r="CG42" s="490">
        <f>IFERROR((CF42/$L$42),0)</f>
        <v>0</v>
      </c>
      <c r="CH42" s="490">
        <f>IFERROR(((CF42*CH$9)/$L$42),0)</f>
        <v>0</v>
      </c>
      <c r="CI42" s="490">
        <f>SUM(CI10:CI40)</f>
        <v>0</v>
      </c>
      <c r="CJ42" s="490">
        <f>IFERROR((CI42/$L$42),0)</f>
        <v>0</v>
      </c>
      <c r="CK42" s="490">
        <f>IFERROR(((CI42*CK$9)/$L$42),0)</f>
        <v>0</v>
      </c>
      <c r="CL42" s="490">
        <f>SUM(CL10:CL40)</f>
        <v>0</v>
      </c>
      <c r="CM42" s="490">
        <f>IFERROR((CL42/$L$42),0)</f>
        <v>0</v>
      </c>
      <c r="CN42" s="490">
        <f>IFERROR(((CL42*CN$9)/$L$42),0)</f>
        <v>0</v>
      </c>
      <c r="CO42" s="490">
        <f>SUM(CO10:CO40)</f>
        <v>0</v>
      </c>
      <c r="CP42" s="490">
        <f>IFERROR((CO42/$L$42),0)</f>
        <v>0</v>
      </c>
      <c r="CQ42" s="490">
        <f>IFERROR(((CO42*CQ$9)/$L$42),0)</f>
        <v>0</v>
      </c>
      <c r="CR42" s="490">
        <f>SUM(CR10:CR40)</f>
        <v>0</v>
      </c>
      <c r="CS42" s="490">
        <f>IFERROR((CR42/$L$42),0)</f>
        <v>0</v>
      </c>
      <c r="CT42" s="490">
        <f>IFERROR(((CR42*CT$9)/$L$42),0)</f>
        <v>0</v>
      </c>
      <c r="CU42" s="490">
        <f>SUM(CU10:CU40)</f>
        <v>0</v>
      </c>
      <c r="CV42" s="490">
        <f>IFERROR((CU42/$L$42),0)</f>
        <v>0</v>
      </c>
      <c r="CW42" s="490">
        <f>IFERROR(((CU42*CW$9)/$L$42),0)</f>
        <v>0</v>
      </c>
      <c r="CX42" s="490">
        <f>SUM(CX10:CX40)</f>
        <v>0</v>
      </c>
      <c r="CY42" s="490">
        <f>IFERROR((CX42/$L$42),0)</f>
        <v>0</v>
      </c>
      <c r="CZ42" s="490">
        <f>IFERROR(((CX42*CZ$9)/$L$42),0)</f>
        <v>0</v>
      </c>
      <c r="DA42" s="490">
        <f>SUM(DA10:DA40)</f>
        <v>0</v>
      </c>
      <c r="DB42" s="490">
        <f>IFERROR((DA42/$L$42),0)</f>
        <v>0</v>
      </c>
      <c r="DC42" s="490">
        <f>IFERROR(((DA42*DC$9)/$L$42),0)</f>
        <v>0</v>
      </c>
      <c r="DD42" s="490">
        <f>SUM(DD10:DD40)</f>
        <v>0</v>
      </c>
      <c r="DE42" s="490">
        <f>IFERROR((DD42/$L$42),0)</f>
        <v>0</v>
      </c>
      <c r="DF42" s="490">
        <f>IFERROR(((DD42*DF$9)/$L$42),0)</f>
        <v>0</v>
      </c>
      <c r="DG42" s="490">
        <f>SUM(DG15:DG40)</f>
        <v>0</v>
      </c>
      <c r="DH42" s="490">
        <f>IFERROR((DG42/$L$42),0)</f>
        <v>0</v>
      </c>
      <c r="DI42" s="490">
        <f>IFERROR(((DG42*DI$9)/$L$42),0)</f>
        <v>0</v>
      </c>
      <c r="DJ42" s="490">
        <f>SUM(DJ10:DJ40)</f>
        <v>0</v>
      </c>
      <c r="DK42" s="490">
        <f>IFERROR((DJ42/$L$42),0)</f>
        <v>0</v>
      </c>
      <c r="DL42" s="490">
        <f>IFERROR(((DJ42*DL$9)/$L$42),0)</f>
        <v>0</v>
      </c>
      <c r="DM42" s="490">
        <f>SUM(DM10:DM40)</f>
        <v>0</v>
      </c>
      <c r="DN42" s="490">
        <f>IFERROR((DM42/$L$42),0)</f>
        <v>0</v>
      </c>
      <c r="DO42" s="490">
        <f>IFERROR(((DM42*DO$9)/$L$42),0)</f>
        <v>0</v>
      </c>
      <c r="DP42" s="490">
        <f>SUM(DP10:DP40)</f>
        <v>0</v>
      </c>
      <c r="DQ42" s="490">
        <f>IFERROR((DP42/$L$42),0)</f>
        <v>0</v>
      </c>
      <c r="DR42" s="490">
        <f>IFERROR(((DP42*DR$9)/$L$42),0)</f>
        <v>0</v>
      </c>
      <c r="DS42" s="490">
        <f>SUM(DS10:DS40)</f>
        <v>0</v>
      </c>
      <c r="DT42" s="490">
        <f>IFERROR((DS42/$L$42),0)</f>
        <v>0</v>
      </c>
      <c r="DU42" s="490">
        <f>IFERROR(((DS42*DU$9)/$L$42),0)</f>
        <v>0</v>
      </c>
      <c r="DV42" s="490">
        <f>SUM(DV10:DV40)</f>
        <v>0</v>
      </c>
      <c r="DW42" s="490">
        <f>IFERROR((DV42/$L$42),0)</f>
        <v>0</v>
      </c>
      <c r="DX42" s="490">
        <f>IFERROR(((DV42*DX$9)/$L$42),0)</f>
        <v>0</v>
      </c>
      <c r="DY42" s="490">
        <f>SUM(DY10:DY40)</f>
        <v>19.41</v>
      </c>
      <c r="DZ42" s="490">
        <f>IFERROR((DY42/$L$42),0)</f>
        <v>0</v>
      </c>
      <c r="EA42" s="490">
        <f>IFERROR(((DY42*EA$9)/$L$42),0)</f>
        <v>0</v>
      </c>
      <c r="EB42" s="490">
        <f>SUM(EB10:EB40)</f>
        <v>639.53488372093011</v>
      </c>
      <c r="EC42" s="490">
        <f>IFERROR((EB42/$L$42),0)</f>
        <v>0</v>
      </c>
      <c r="ED42" s="490">
        <f>IFERROR(((EB42*ED$9)/$L$42),0)</f>
        <v>0</v>
      </c>
      <c r="EE42" s="490">
        <f>SUM(EE10:EE40)</f>
        <v>179</v>
      </c>
      <c r="EF42" s="490">
        <f>IFERROR((EE42/$L$42),0)</f>
        <v>0</v>
      </c>
      <c r="EG42" s="490">
        <f>IFERROR(((EE42*EG$9)/$L$42),0)</f>
        <v>0</v>
      </c>
      <c r="EH42" s="490">
        <f>SUM(EH10:EH40)</f>
        <v>0</v>
      </c>
      <c r="EI42" s="490">
        <f>IFERROR((EH42/$L$42),0)</f>
        <v>0</v>
      </c>
      <c r="EJ42" s="490">
        <f>IFERROR(((EH42*EJ$9)/$L$42),0)</f>
        <v>0</v>
      </c>
      <c r="EK42" s="490">
        <f>SUM(EK10:EK40)</f>
        <v>0</v>
      </c>
      <c r="EL42" s="490">
        <f>IFERROR((EK42/$L$42),0)</f>
        <v>0</v>
      </c>
      <c r="EM42" s="490">
        <f>IFERROR(((EK42*EM$9)/$L$42),0)</f>
        <v>0</v>
      </c>
      <c r="EN42" s="490">
        <f>SUM(EN10:EN40)</f>
        <v>0</v>
      </c>
      <c r="EO42" s="490">
        <f>IFERROR((EN42/$L$42),0)</f>
        <v>0</v>
      </c>
      <c r="EP42" s="490">
        <f>IFERROR(((EN42*EP$9)/$L$42),0)</f>
        <v>0</v>
      </c>
      <c r="EQ42" s="490">
        <f>SUM(EQ10:EQ40)</f>
        <v>0</v>
      </c>
      <c r="ER42" s="490">
        <f>IFERROR((EQ42/$L$42),0)</f>
        <v>0</v>
      </c>
      <c r="ES42" s="490">
        <f>IFERROR(((EQ42*ES$9)/$L$42),0)</f>
        <v>0</v>
      </c>
      <c r="ET42" s="490">
        <f>SUM(ET10:ET40)</f>
        <v>0</v>
      </c>
      <c r="EU42" s="490">
        <f>IFERROR((ET42/$L$42),0)</f>
        <v>0</v>
      </c>
      <c r="EV42" s="490">
        <f>IFERROR(((ET42*EV$9)/$L$42),0)</f>
        <v>0</v>
      </c>
      <c r="EW42" s="490">
        <f>SUM(EW10:EW40)</f>
        <v>0</v>
      </c>
      <c r="EX42" s="490">
        <f>IFERROR((EW42/$L$42),0)</f>
        <v>0</v>
      </c>
      <c r="EY42" s="490">
        <f>IFERROR(((EW42*EY$9)/$L$42),0)</f>
        <v>0</v>
      </c>
      <c r="EZ42" s="490">
        <f>SUM(EZ10:EZ40)</f>
        <v>0</v>
      </c>
      <c r="FA42" s="490">
        <f>IFERROR((EZ42/$L$42),0)</f>
        <v>0</v>
      </c>
      <c r="FB42" s="490">
        <f>IFERROR(((EZ42*FB$9)/$L$42),0)</f>
        <v>0</v>
      </c>
      <c r="FC42" s="490">
        <f>SUM(FC10:FC40)</f>
        <v>0</v>
      </c>
      <c r="FD42" s="490">
        <f>IFERROR((FC42/$L$42),0)</f>
        <v>0</v>
      </c>
      <c r="FE42" s="490">
        <f>IFERROR(((FC42*FE$9)/$L$42),0)</f>
        <v>0</v>
      </c>
      <c r="FF42" s="490">
        <f>SUM(FF10:FF40)</f>
        <v>0</v>
      </c>
      <c r="FG42" s="490">
        <f>IFERROR((FF42/$L$42),0)</f>
        <v>0</v>
      </c>
      <c r="FH42" s="490">
        <f>IFERROR(((FF42*FH$9)/$L$42),0)</f>
        <v>0</v>
      </c>
      <c r="FI42" s="490">
        <f>SUM(FI10:FI40)</f>
        <v>0</v>
      </c>
      <c r="FJ42" s="490">
        <f>IFERROR((FI42/$L$42),0)</f>
        <v>0</v>
      </c>
      <c r="FK42" s="490">
        <f>IFERROR(((FI42*FK$9)/$L$42),0)</f>
        <v>0</v>
      </c>
      <c r="FL42" s="490">
        <f>SUM(FL10:FL40)</f>
        <v>0</v>
      </c>
      <c r="FM42" s="490">
        <f>IFERROR((FL42/$L$42),0)</f>
        <v>0</v>
      </c>
      <c r="FN42" s="490">
        <f>IFERROR(((FL42*FN$9)/$L$42),0)</f>
        <v>0</v>
      </c>
      <c r="FO42" s="490">
        <f>SUM(FO10:FO40)</f>
        <v>0</v>
      </c>
      <c r="FP42" s="490">
        <f>IFERROR((FO42/$L$42),0)</f>
        <v>0</v>
      </c>
      <c r="FQ42" s="490">
        <f>IFERROR(((FO42*FQ$9)/$L$42),0)</f>
        <v>0</v>
      </c>
      <c r="FR42" s="490">
        <f>SUM(FR10:FR40)</f>
        <v>0</v>
      </c>
      <c r="FS42" s="490">
        <f>IFERROR((FR42/$L$42),0)</f>
        <v>0</v>
      </c>
      <c r="FT42" s="490">
        <f>IFERROR(((FR42*FT$9)/$L$42),0)</f>
        <v>0</v>
      </c>
      <c r="FU42" s="490">
        <f>SUM(FU10:FU40)</f>
        <v>0</v>
      </c>
      <c r="FV42" s="490">
        <f>IFERROR((FU42/$L$42),0)</f>
        <v>0</v>
      </c>
      <c r="FW42" s="490">
        <f>IFERROR(((FU42*FW$9)/$L$42),0)</f>
        <v>0</v>
      </c>
      <c r="FX42" s="490">
        <f>SUM(FX10:FX40)</f>
        <v>0</v>
      </c>
      <c r="FY42" s="490">
        <f>IFERROR((FX42/$L$42),0)</f>
        <v>0</v>
      </c>
      <c r="FZ42" s="490">
        <f>IFERROR(((FX42*FZ$9)/$L$42),0)</f>
        <v>0</v>
      </c>
      <c r="GA42" s="490">
        <f>SUM(GA10:GA40)</f>
        <v>0</v>
      </c>
      <c r="GB42" s="490">
        <f>IFERROR((GA42/$L$42),0)</f>
        <v>0</v>
      </c>
      <c r="GC42" s="490">
        <f>IFERROR(((GA42*GC$9)/$L$42),0)</f>
        <v>0</v>
      </c>
      <c r="GD42" s="490">
        <f>SUM(GD10:GD40)</f>
        <v>0</v>
      </c>
      <c r="GE42" s="490">
        <f>IFERROR((GD42/$L$42),0)</f>
        <v>0</v>
      </c>
      <c r="GF42" s="490">
        <f>IFERROR(((GD42*GF$9)/$L$42),0)</f>
        <v>0</v>
      </c>
      <c r="GG42" s="490">
        <f>SUM(GG10:GG40)</f>
        <v>0</v>
      </c>
      <c r="GH42" s="490">
        <f>IFERROR((GG42/$L$42),0)</f>
        <v>0</v>
      </c>
      <c r="GI42" s="490">
        <f>IFERROR(((GG42*GI$9)/$L$42),0)</f>
        <v>0</v>
      </c>
      <c r="GJ42" s="490">
        <f>SUM(GJ10:GJ40)</f>
        <v>0</v>
      </c>
      <c r="GK42" s="490">
        <f>IFERROR((GJ42/$L$42),0)</f>
        <v>0</v>
      </c>
      <c r="GL42" s="490">
        <f>IFERROR(((GJ42*GL$9)/$L$42),0)</f>
        <v>0</v>
      </c>
      <c r="GM42" s="490">
        <f>SUM(GM10:GM40)</f>
        <v>0</v>
      </c>
      <c r="GN42" s="490">
        <f>IFERROR((GM42/$L$42),0)</f>
        <v>0</v>
      </c>
      <c r="GO42" s="490">
        <f>IFERROR(((GM42*GO$9)/$L$42),0)</f>
        <v>0</v>
      </c>
      <c r="GP42" s="490">
        <f>SUM(GP10:GP40)</f>
        <v>0</v>
      </c>
      <c r="GQ42" s="490">
        <f>IFERROR((GP42/$L$42),0)</f>
        <v>0</v>
      </c>
      <c r="GR42" s="490">
        <f>IFERROR(((GP42*GR$9)/$L$42),0)</f>
        <v>0</v>
      </c>
      <c r="GS42" s="490">
        <f>SUM(GS10:GS40)</f>
        <v>0</v>
      </c>
      <c r="GT42" s="490">
        <f>IFERROR((GS42/$L$42),0)</f>
        <v>0</v>
      </c>
      <c r="GU42" s="490">
        <f>IFERROR(((GS42*GU$9)/$L$42),0)</f>
        <v>0</v>
      </c>
      <c r="GV42" s="490">
        <f>SUM(GV10:GV40)</f>
        <v>0</v>
      </c>
      <c r="GW42" s="490">
        <f>IFERROR((GV42/$L$42),0)</f>
        <v>0</v>
      </c>
      <c r="GX42" s="490">
        <f>IFERROR(((GV42*GX$9)/$L$42),0)</f>
        <v>0</v>
      </c>
      <c r="GY42" s="490">
        <f>SUM(GY10:GY40)</f>
        <v>0</v>
      </c>
      <c r="GZ42" s="490">
        <f>IFERROR((GY42/$L$42),0)</f>
        <v>0</v>
      </c>
      <c r="HA42" s="490">
        <f>IFERROR(((GY42*HA$9)/$L$42),0)</f>
        <v>0</v>
      </c>
      <c r="HB42" s="490">
        <f>SUM(HB10:HB40)</f>
        <v>0</v>
      </c>
      <c r="HC42" s="490">
        <f>IFERROR((HB42/$L$42),0)</f>
        <v>0</v>
      </c>
      <c r="HD42" s="490">
        <f>IFERROR(((HB42*HD$9)/$L$42),0)</f>
        <v>0</v>
      </c>
      <c r="HE42" s="490">
        <f>SUM(HE10:HE40)</f>
        <v>0</v>
      </c>
      <c r="HF42" s="490">
        <f>IFERROR((HE42/$L$42),0)</f>
        <v>0</v>
      </c>
      <c r="HG42" s="490">
        <f>IFERROR(((HE42*HG$9)/$L$42),0)</f>
        <v>0</v>
      </c>
      <c r="HH42" s="490">
        <f>SUM(HH10:HH40)</f>
        <v>0</v>
      </c>
      <c r="HI42" s="490">
        <f>IFERROR((HH42/$L$42),0)</f>
        <v>0</v>
      </c>
      <c r="HJ42" s="490">
        <f>IFERROR(((HH42*HJ$9)/$L$42),0)</f>
        <v>0</v>
      </c>
      <c r="HK42" s="490">
        <f>SUM(HK10:HK40)</f>
        <v>0</v>
      </c>
      <c r="HL42" s="490">
        <f>IFERROR((HK42/$L$42),0)</f>
        <v>0</v>
      </c>
      <c r="HM42" s="490">
        <f>IFERROR(((HK42*HM$9)/$L$42),0)</f>
        <v>0</v>
      </c>
      <c r="HN42" s="490">
        <f>SUM(HN10:HN40)</f>
        <v>0</v>
      </c>
      <c r="HO42" s="490">
        <f>IFERROR((HN42/$L$42),0)</f>
        <v>0</v>
      </c>
      <c r="HP42" s="490">
        <f>IFERROR(((HN42*HP$9)/$L$42),0)</f>
        <v>0</v>
      </c>
      <c r="HQ42" s="490">
        <f>SUM(HQ10:HQ40)</f>
        <v>0</v>
      </c>
      <c r="HR42" s="490">
        <f>IFERROR((HQ42/$L$42),0)</f>
        <v>0</v>
      </c>
      <c r="HS42" s="490">
        <f>IFERROR(((HQ42*HS$9)/$L$42),0)</f>
        <v>0</v>
      </c>
      <c r="HT42" s="490">
        <f>SUM(HT10:HT40)</f>
        <v>0</v>
      </c>
      <c r="HU42" s="490">
        <f>IFERROR((HT42/$L$42),0)</f>
        <v>0</v>
      </c>
      <c r="HV42" s="490">
        <f>IFERROR(((HT42*HV$9)/$L$42),0)</f>
        <v>0</v>
      </c>
      <c r="HW42" s="490">
        <f>SUM(HW10:HW40)</f>
        <v>0</v>
      </c>
      <c r="HX42" s="490">
        <f>IFERROR((HW42/$L$42),0)</f>
        <v>0</v>
      </c>
      <c r="HY42" s="490">
        <f>IFERROR(((HW42*HY$9)/$L$42),0)</f>
        <v>0</v>
      </c>
      <c r="HZ42" s="490">
        <f>SUM(HZ10:HZ40)</f>
        <v>0</v>
      </c>
      <c r="IA42" s="490">
        <f>IFERROR((HZ42/$L$42),0)</f>
        <v>0</v>
      </c>
      <c r="IB42" s="490">
        <f>IFERROR(((HZ42*IB$9)/$L$42),0)</f>
        <v>0</v>
      </c>
      <c r="IC42" s="490">
        <f>SUM(IC10:IC40)</f>
        <v>0</v>
      </c>
      <c r="ID42" s="490">
        <f>IFERROR((IC42/$L$42),0)</f>
        <v>0</v>
      </c>
      <c r="IE42" s="490">
        <f>IFERROR(((IC42*IE$9)/$L$42),0)</f>
        <v>0</v>
      </c>
      <c r="IF42" s="490">
        <f>SUM(IF10:IF40)</f>
        <v>0</v>
      </c>
      <c r="IG42" s="490">
        <f>IFERROR((IF42/$L$42),0)</f>
        <v>0</v>
      </c>
      <c r="IH42" s="490">
        <f>IFERROR(((IF42*IH$9)/$L$42),0)</f>
        <v>0</v>
      </c>
      <c r="II42" s="490">
        <f>SUM(II10:II40)</f>
        <v>0</v>
      </c>
      <c r="IJ42" s="490">
        <f>IFERROR((II42/$L$42),0)</f>
        <v>0</v>
      </c>
      <c r="IK42" s="490">
        <f>IFERROR(((II42*IK$9)/$L$42),0)</f>
        <v>0</v>
      </c>
      <c r="IL42" s="490">
        <f>SUM(IL10:IL40)</f>
        <v>0</v>
      </c>
      <c r="IM42" s="490">
        <f>IFERROR((IL42/$L$42),0)</f>
        <v>0</v>
      </c>
      <c r="IN42" s="490">
        <f>IFERROR(((IL42*IN$9)/$L$42),0)</f>
        <v>0</v>
      </c>
      <c r="IO42" s="490">
        <f>SUM(IO10:IO40)</f>
        <v>0</v>
      </c>
      <c r="IP42" s="490">
        <f>IFERROR((IO42/$L$42),0)</f>
        <v>0</v>
      </c>
      <c r="IQ42" s="490">
        <f>IFERROR(((IO42*IQ$9)/$L$42),0)</f>
        <v>0</v>
      </c>
      <c r="IR42" s="490">
        <f>SUM(IR10:IR40)</f>
        <v>0</v>
      </c>
      <c r="IS42" s="490">
        <f>IFERROR((IR42/$L$42),0)</f>
        <v>0</v>
      </c>
      <c r="IT42" s="490">
        <f>IFERROR(((IR42*IT$9)/$L$42),0)</f>
        <v>0</v>
      </c>
      <c r="IU42" s="490">
        <f>SUM(IU10:IU40)</f>
        <v>0</v>
      </c>
      <c r="IV42" s="490">
        <f>IFERROR((IU42/$L$42),0)</f>
        <v>0</v>
      </c>
      <c r="IW42" s="490">
        <f>IFERROR(((IU42*IW$9)/$L$42),0)</f>
        <v>0</v>
      </c>
      <c r="IX42" s="490">
        <f>SUM(IX10:IX40)</f>
        <v>0</v>
      </c>
      <c r="IY42" s="490">
        <f>IFERROR((IX42/$L$42),0)</f>
        <v>0</v>
      </c>
      <c r="IZ42" s="490">
        <f>IFERROR(((IX42*IZ$9)/$L$42),0)</f>
        <v>0</v>
      </c>
      <c r="JA42" s="490">
        <f>SUM(JA10:JA40)</f>
        <v>0</v>
      </c>
      <c r="JB42" s="490">
        <f>IFERROR((JA42/$L$42),0)</f>
        <v>0</v>
      </c>
      <c r="JC42" s="490">
        <f>IFERROR(((JA42*JC$9)/$L$42),0)</f>
        <v>0</v>
      </c>
      <c r="JD42" s="490">
        <f>SUM(JD10:JD40)</f>
        <v>0</v>
      </c>
      <c r="JE42" s="490">
        <f>IFERROR((JD42/$L$42),0)</f>
        <v>0</v>
      </c>
      <c r="JF42" s="490">
        <f>IFERROR(((JD42*JF$9)/$L$42),0)</f>
        <v>0</v>
      </c>
      <c r="JG42" s="490">
        <f>SUM(JG10:JG40)</f>
        <v>0</v>
      </c>
      <c r="JH42" s="490">
        <f>IFERROR((JG42/$L$42),0)</f>
        <v>0</v>
      </c>
      <c r="JI42" s="490">
        <f>IFERROR(((JG42*JI$9)/$L$42),0)</f>
        <v>0</v>
      </c>
      <c r="JJ42" s="490">
        <f>SUM(JJ10:JJ40)</f>
        <v>0</v>
      </c>
      <c r="JK42" s="490">
        <f>IFERROR((JJ42/$L$42),0)</f>
        <v>0</v>
      </c>
      <c r="JL42" s="490">
        <f>IFERROR(((JJ42*JL$9)/$L$42),0)</f>
        <v>0</v>
      </c>
      <c r="JM42" s="490">
        <f>SUM(JM10:JM40)</f>
        <v>0</v>
      </c>
      <c r="JN42" s="490">
        <f>IFERROR((JM42/$L$42),0)</f>
        <v>0</v>
      </c>
      <c r="JO42" s="490">
        <f>IFERROR(((JM42*JO$9)/$L$42),0)</f>
        <v>0</v>
      </c>
      <c r="JP42" s="490">
        <f>SUM(JP10:JP40)</f>
        <v>0</v>
      </c>
      <c r="JQ42" s="490">
        <f>IFERROR((JP42/$L$42),0)</f>
        <v>0</v>
      </c>
      <c r="JR42" s="490">
        <f>IFERROR(((JP42*JR$9)/$L$42),0)</f>
        <v>0</v>
      </c>
      <c r="JS42" s="490">
        <f>SUM(JS10:JS40)</f>
        <v>0</v>
      </c>
      <c r="JT42" s="490">
        <f>IFERROR((JS42/$L$42),0)</f>
        <v>0</v>
      </c>
      <c r="JU42" s="490">
        <f>IFERROR(((JS42*JU$9)/$L$42),0)</f>
        <v>0</v>
      </c>
      <c r="JV42" s="490">
        <f>SUM(JV10:JV40)</f>
        <v>0</v>
      </c>
      <c r="JW42" s="490">
        <f>IFERROR((JV42/$L$42),0)</f>
        <v>0</v>
      </c>
      <c r="JX42" s="490">
        <f>IFERROR(((JV42*JX$9)/$L$42),0)</f>
        <v>0</v>
      </c>
      <c r="JY42" s="490">
        <f>SUM(JY10:JY40)</f>
        <v>0</v>
      </c>
      <c r="JZ42" s="490">
        <f>IFERROR((JY42/$L$42),0)</f>
        <v>0</v>
      </c>
      <c r="KA42" s="490">
        <f>IFERROR(((JY42*KA$9)/$L$42),0)</f>
        <v>0</v>
      </c>
      <c r="KB42" s="490">
        <f>SUM(KB10:KB40)</f>
        <v>0</v>
      </c>
      <c r="KC42" s="490">
        <f>IFERROR((KB42/$L$42),0)</f>
        <v>0</v>
      </c>
      <c r="KD42" s="490">
        <f>IFERROR(((KB42*KD$9)/$L$42),0)</f>
        <v>0</v>
      </c>
      <c r="KE42" s="490">
        <f>SUM(KE10:KE40)</f>
        <v>0</v>
      </c>
      <c r="KF42" s="490">
        <f>IFERROR((KE42/$L$42),0)</f>
        <v>0</v>
      </c>
      <c r="KG42" s="490">
        <f>IFERROR(((KE42*KG$9)/$L$42),0)</f>
        <v>0</v>
      </c>
      <c r="KH42" s="490">
        <f>SUM(KH10:KH40)</f>
        <v>0</v>
      </c>
      <c r="KI42" s="490">
        <f>IFERROR((KH42/$L$42),0)</f>
        <v>0</v>
      </c>
      <c r="KJ42" s="490">
        <f>IFERROR(((KH42*KJ$9)/$L$42),0)</f>
        <v>0</v>
      </c>
      <c r="KK42" s="490">
        <f>SUM(KK10:KK40)</f>
        <v>0</v>
      </c>
      <c r="KL42" s="490">
        <f>IFERROR((KK42/$L$42),0)</f>
        <v>0</v>
      </c>
      <c r="KM42" s="490">
        <f>IFERROR(((KK42*KM$9)/$L$42),0)</f>
        <v>0</v>
      </c>
      <c r="KN42" s="490">
        <f>SUM(KN10:KN40)</f>
        <v>0</v>
      </c>
      <c r="KO42" s="490">
        <f>IFERROR((KN42/$L$42),0)</f>
        <v>0</v>
      </c>
      <c r="KP42" s="490">
        <f>IFERROR(((KN42*KP$9)/$L$42),0)</f>
        <v>0</v>
      </c>
      <c r="KQ42" s="490">
        <f>SUM(KQ10:KQ40)</f>
        <v>0</v>
      </c>
      <c r="KR42" s="490">
        <f>IFERROR((KQ42/$L$42),0)</f>
        <v>0</v>
      </c>
      <c r="KS42" s="490">
        <f>IFERROR(((KQ42*KS$9)/$L$42),0)</f>
        <v>0</v>
      </c>
      <c r="KT42" s="491">
        <f t="shared" si="201"/>
        <v>0</v>
      </c>
      <c r="KU42" s="491">
        <f t="shared" si="202"/>
        <v>0</v>
      </c>
      <c r="KV42" s="259">
        <f>+F42+I42+L42+O42+R42+U42+X42+AA42+AD42+AG42+AJ42+AM42+AP42+AS42+AV42+AY42+BB42+BE42+BH42+BK42+BN42+BQ42+BT42+BW42+BZ42+CC42+CF42+CI42+CL42+CO42+CR42+CU42+CX42+DA42+DD42+DJ42+DM42+DP42+DS42+DV42+DY42+EB42+EE42+EH42+EK42+EN42</f>
        <v>15877.701554136576</v>
      </c>
    </row>
    <row r="43" spans="1:308" ht="15" customHeight="1" thickTop="1">
      <c r="A43" s="267" t="s">
        <v>133</v>
      </c>
      <c r="B43" s="268" t="s">
        <v>134</v>
      </c>
      <c r="C43" s="610" t="s">
        <v>689</v>
      </c>
      <c r="D43" s="256"/>
      <c r="E43" s="256"/>
    </row>
    <row r="44" spans="1:308" ht="15" customHeight="1">
      <c r="A44" s="270"/>
      <c r="B44" s="268" t="s">
        <v>135</v>
      </c>
      <c r="C44" s="269" t="s">
        <v>141</v>
      </c>
      <c r="D44" s="256"/>
      <c r="E44" s="256"/>
    </row>
    <row r="45" spans="1:308" ht="15" customHeight="1">
      <c r="A45" s="270"/>
      <c r="B45" s="271" t="s">
        <v>136</v>
      </c>
      <c r="C45" s="269" t="s">
        <v>137</v>
      </c>
      <c r="D45" s="256"/>
      <c r="E45" s="256"/>
    </row>
  </sheetData>
  <mergeCells count="210">
    <mergeCell ref="A6:A9"/>
    <mergeCell ref="B6:B9"/>
    <mergeCell ref="C6:C9"/>
    <mergeCell ref="D6:D9"/>
    <mergeCell ref="E6:E9"/>
    <mergeCell ref="CL7:CN7"/>
    <mergeCell ref="CO7:CQ7"/>
    <mergeCell ref="AP8:AQ8"/>
    <mergeCell ref="AS8:AT8"/>
    <mergeCell ref="AV8:AW8"/>
    <mergeCell ref="AY8:AZ8"/>
    <mergeCell ref="BB8:BC8"/>
    <mergeCell ref="BE8:BF8"/>
    <mergeCell ref="AY7:BA7"/>
    <mergeCell ref="BB7:BD7"/>
    <mergeCell ref="BE7:BG7"/>
    <mergeCell ref="AJ8:AK8"/>
    <mergeCell ref="AM8:AN8"/>
    <mergeCell ref="BW7:BY7"/>
    <mergeCell ref="BZ7:CB7"/>
    <mergeCell ref="CC7:CE7"/>
    <mergeCell ref="CF7:CH7"/>
    <mergeCell ref="CI7:CK7"/>
    <mergeCell ref="BH7:BJ7"/>
    <mergeCell ref="BK7:BM7"/>
    <mergeCell ref="BN7:BP7"/>
    <mergeCell ref="BQ7:BS7"/>
    <mergeCell ref="BT7:BV7"/>
    <mergeCell ref="A41:C41"/>
    <mergeCell ref="GD6:KS6"/>
    <mergeCell ref="KT6:KT9"/>
    <mergeCell ref="KU6:KU9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F6:GC6"/>
    <mergeCell ref="AS7:AU7"/>
    <mergeCell ref="AV7:AX7"/>
    <mergeCell ref="DG7:DI7"/>
    <mergeCell ref="DJ7:DL7"/>
    <mergeCell ref="DM7:DO7"/>
    <mergeCell ref="DP7:DR7"/>
    <mergeCell ref="DS7:DU7"/>
    <mergeCell ref="CR7:CT7"/>
    <mergeCell ref="CU7:CW7"/>
    <mergeCell ref="CX7:CZ7"/>
    <mergeCell ref="DA7:DC7"/>
    <mergeCell ref="DD7:DF7"/>
    <mergeCell ref="EK7:EM7"/>
    <mergeCell ref="EN7:EP7"/>
    <mergeCell ref="EQ7:ES7"/>
    <mergeCell ref="ET7:EV7"/>
    <mergeCell ref="EW7:EY7"/>
    <mergeCell ref="DV7:DX7"/>
    <mergeCell ref="DY7:EA7"/>
    <mergeCell ref="EB7:ED7"/>
    <mergeCell ref="EE7:EG7"/>
    <mergeCell ref="EH7:EJ7"/>
    <mergeCell ref="FO7:FQ7"/>
    <mergeCell ref="FR7:FT7"/>
    <mergeCell ref="FU7:FW7"/>
    <mergeCell ref="FX7:FZ7"/>
    <mergeCell ref="GA7:GC7"/>
    <mergeCell ref="EZ7:FB7"/>
    <mergeCell ref="FC7:FE7"/>
    <mergeCell ref="FF7:FH7"/>
    <mergeCell ref="FI7:FK7"/>
    <mergeCell ref="FL7:FN7"/>
    <mergeCell ref="GS7:GU7"/>
    <mergeCell ref="GV7:GX7"/>
    <mergeCell ref="GY7:HA7"/>
    <mergeCell ref="HB7:HD7"/>
    <mergeCell ref="HE7:HG7"/>
    <mergeCell ref="GD7:GF7"/>
    <mergeCell ref="GG7:GI7"/>
    <mergeCell ref="GJ7:GL7"/>
    <mergeCell ref="GM7:GO7"/>
    <mergeCell ref="GP7:GR7"/>
    <mergeCell ref="HW7:HY7"/>
    <mergeCell ref="HZ7:IB7"/>
    <mergeCell ref="IC7:IE7"/>
    <mergeCell ref="IF7:IH7"/>
    <mergeCell ref="II7:IK7"/>
    <mergeCell ref="HH7:HJ7"/>
    <mergeCell ref="HK7:HM7"/>
    <mergeCell ref="HN7:HP7"/>
    <mergeCell ref="HQ7:HS7"/>
    <mergeCell ref="HT7:HV7"/>
    <mergeCell ref="JA7:JC7"/>
    <mergeCell ref="JD7:JF7"/>
    <mergeCell ref="JG7:JI7"/>
    <mergeCell ref="JJ7:JL7"/>
    <mergeCell ref="JM7:JO7"/>
    <mergeCell ref="IL7:IN7"/>
    <mergeCell ref="IO7:IQ7"/>
    <mergeCell ref="IR7:IT7"/>
    <mergeCell ref="IU7:IW7"/>
    <mergeCell ref="IX7:IZ7"/>
    <mergeCell ref="KE7:KG7"/>
    <mergeCell ref="KH7:KJ7"/>
    <mergeCell ref="KK7:KM7"/>
    <mergeCell ref="KN7:KP7"/>
    <mergeCell ref="KQ7:KS7"/>
    <mergeCell ref="JP7:JR7"/>
    <mergeCell ref="JS7:JU7"/>
    <mergeCell ref="JV7:JX7"/>
    <mergeCell ref="JY7:KA7"/>
    <mergeCell ref="KB7:KD7"/>
    <mergeCell ref="U8:V8"/>
    <mergeCell ref="X8:Y8"/>
    <mergeCell ref="AA8:AB8"/>
    <mergeCell ref="AD8:AE8"/>
    <mergeCell ref="AG8:AH8"/>
    <mergeCell ref="F8:G8"/>
    <mergeCell ref="I8:J8"/>
    <mergeCell ref="L8:M8"/>
    <mergeCell ref="O8:P8"/>
    <mergeCell ref="R8:S8"/>
    <mergeCell ref="BW8:BX8"/>
    <mergeCell ref="BZ8:CA8"/>
    <mergeCell ref="CC8:CD8"/>
    <mergeCell ref="CF8:CG8"/>
    <mergeCell ref="CI8:CJ8"/>
    <mergeCell ref="BH8:BI8"/>
    <mergeCell ref="BK8:BL8"/>
    <mergeCell ref="BN8:BO8"/>
    <mergeCell ref="BQ8:BR8"/>
    <mergeCell ref="BT8:BU8"/>
    <mergeCell ref="DA8:DB8"/>
    <mergeCell ref="DD8:DE8"/>
    <mergeCell ref="DG8:DH8"/>
    <mergeCell ref="DJ8:DK8"/>
    <mergeCell ref="DM8:DN8"/>
    <mergeCell ref="CL8:CM8"/>
    <mergeCell ref="CO8:CP8"/>
    <mergeCell ref="CR8:CS8"/>
    <mergeCell ref="CU8:CV8"/>
    <mergeCell ref="CX8:CY8"/>
    <mergeCell ref="EE8:EF8"/>
    <mergeCell ref="EH8:EI8"/>
    <mergeCell ref="EK8:EL8"/>
    <mergeCell ref="EN8:EO8"/>
    <mergeCell ref="EQ8:ER8"/>
    <mergeCell ref="DP8:DQ8"/>
    <mergeCell ref="DS8:DT8"/>
    <mergeCell ref="DV8:DW8"/>
    <mergeCell ref="DY8:DZ8"/>
    <mergeCell ref="EB8:EC8"/>
    <mergeCell ref="FI8:FJ8"/>
    <mergeCell ref="FL8:FM8"/>
    <mergeCell ref="FO8:FP8"/>
    <mergeCell ref="FR8:FS8"/>
    <mergeCell ref="FU8:FV8"/>
    <mergeCell ref="ET8:EU8"/>
    <mergeCell ref="EW8:EX8"/>
    <mergeCell ref="EZ8:FA8"/>
    <mergeCell ref="FC8:FD8"/>
    <mergeCell ref="FF8:FG8"/>
    <mergeCell ref="GM8:GN8"/>
    <mergeCell ref="GP8:GQ8"/>
    <mergeCell ref="GS8:GT8"/>
    <mergeCell ref="GV8:GW8"/>
    <mergeCell ref="GY8:GZ8"/>
    <mergeCell ref="FX8:FY8"/>
    <mergeCell ref="GA8:GB8"/>
    <mergeCell ref="GD8:GE8"/>
    <mergeCell ref="GG8:GH8"/>
    <mergeCell ref="GJ8:GK8"/>
    <mergeCell ref="HQ8:HR8"/>
    <mergeCell ref="HT8:HU8"/>
    <mergeCell ref="HW8:HX8"/>
    <mergeCell ref="HZ8:IA8"/>
    <mergeCell ref="IC8:ID8"/>
    <mergeCell ref="HB8:HC8"/>
    <mergeCell ref="HE8:HF8"/>
    <mergeCell ref="HH8:HI8"/>
    <mergeCell ref="HK8:HL8"/>
    <mergeCell ref="HN8:HO8"/>
    <mergeCell ref="IU8:IV8"/>
    <mergeCell ref="IX8:IY8"/>
    <mergeCell ref="JA8:JB8"/>
    <mergeCell ref="JD8:JE8"/>
    <mergeCell ref="JG8:JH8"/>
    <mergeCell ref="IF8:IG8"/>
    <mergeCell ref="II8:IJ8"/>
    <mergeCell ref="IL8:IM8"/>
    <mergeCell ref="IO8:IP8"/>
    <mergeCell ref="IR8:IS8"/>
    <mergeCell ref="KN8:KO8"/>
    <mergeCell ref="KQ8:KR8"/>
    <mergeCell ref="JY8:JZ8"/>
    <mergeCell ref="KB8:KC8"/>
    <mergeCell ref="KE8:KF8"/>
    <mergeCell ref="KH8:KI8"/>
    <mergeCell ref="KK8:KL8"/>
    <mergeCell ref="JJ8:JK8"/>
    <mergeCell ref="JM8:JN8"/>
    <mergeCell ref="JP8:JQ8"/>
    <mergeCell ref="JS8:JT8"/>
    <mergeCell ref="JV8:JW8"/>
  </mergeCells>
  <phoneticPr fontId="31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45"/>
  <sheetViews>
    <sheetView zoomScale="85" zoomScaleNormal="85" workbookViewId="0">
      <pane xSplit="5" ySplit="9" topLeftCell="F25" activePane="bottomRight" state="frozen"/>
      <selection pane="topRight"/>
      <selection pane="bottomLeft"/>
      <selection pane="bottomRight" activeCell="X36" sqref="X36"/>
    </sheetView>
  </sheetViews>
  <sheetFormatPr defaultColWidth="9.140625" defaultRowHeight="12.75"/>
  <cols>
    <col min="1" max="1" width="8" customWidth="1"/>
    <col min="3" max="3" width="10.7109375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3.140625" customWidth="1"/>
    <col min="24" max="24" width="8.28515625" customWidth="1"/>
    <col min="25" max="25" width="14.42578125" customWidth="1"/>
    <col min="26" max="26" width="8" customWidth="1"/>
    <col min="27" max="27" width="15.140625" hidden="1" customWidth="1"/>
    <col min="28" max="28" width="12.28515625" hidden="1" customWidth="1"/>
    <col min="29" max="29" width="14.42578125" hidden="1" customWidth="1"/>
    <col min="30" max="30" width="9.42578125" hidden="1" customWidth="1"/>
    <col min="31" max="31" width="15" hidden="1" customWidth="1"/>
    <col min="32" max="32" width="9.28515625" hidden="1" customWidth="1"/>
    <col min="33" max="33" width="14.42578125" hidden="1" customWidth="1"/>
    <col min="34" max="34" width="8.140625" hidden="1" customWidth="1"/>
    <col min="35" max="35" width="11.42578125" hidden="1" customWidth="1"/>
    <col min="36" max="36" width="8.5703125" hidden="1" customWidth="1"/>
    <col min="37" max="37" width="11.42578125" hidden="1" customWidth="1"/>
    <col min="38" max="38" width="8" hidden="1" customWidth="1"/>
    <col min="39" max="39" width="12.140625" hidden="1" customWidth="1"/>
    <col min="40" max="40" width="8" hidden="1" customWidth="1"/>
    <col min="41" max="41" width="12.140625" hidden="1" customWidth="1"/>
    <col min="42" max="42" width="9.140625" hidden="1" customWidth="1"/>
    <col min="43" max="43" width="11.5703125" bestFit="1" customWidth="1"/>
    <col min="44" max="44" width="8.140625" customWidth="1"/>
    <col min="45" max="45" width="13.140625" bestFit="1" customWidth="1"/>
    <col min="46" max="46" width="8.140625" customWidth="1"/>
    <col min="47" max="47" width="12.140625" hidden="1" customWidth="1"/>
    <col min="48" max="48" width="7.7109375" hidden="1" customWidth="1"/>
    <col min="49" max="49" width="12.140625" hidden="1" customWidth="1"/>
    <col min="50" max="50" width="7.7109375" hidden="1" customWidth="1"/>
    <col min="51" max="51" width="12.140625" hidden="1" customWidth="1"/>
    <col min="52" max="52" width="8" hidden="1" customWidth="1"/>
    <col min="53" max="53" width="12.140625" hidden="1" customWidth="1"/>
    <col min="54" max="54" width="9.140625" hidden="1" customWidth="1"/>
    <col min="55" max="55" width="10.28515625" hidden="1" customWidth="1"/>
    <col min="56" max="56" width="8.140625" hidden="1" customWidth="1"/>
    <col min="57" max="57" width="11.42578125" hidden="1" customWidth="1"/>
    <col min="58" max="58" width="7.7109375" hidden="1" customWidth="1"/>
    <col min="59" max="59" width="13.140625" bestFit="1" customWidth="1"/>
    <col min="60" max="60" width="9.28515625" customWidth="1"/>
    <col min="61" max="61" width="13.140625" bestFit="1" customWidth="1"/>
    <col min="62" max="62" width="10" customWidth="1"/>
    <col min="63" max="63" width="10.5703125" hidden="1" customWidth="1"/>
    <col min="64" max="64" width="7" hidden="1" customWidth="1"/>
    <col min="65" max="65" width="10.5703125" hidden="1" customWidth="1"/>
    <col min="66" max="66" width="7" hidden="1" customWidth="1"/>
    <col min="67" max="67" width="12.42578125" hidden="1" customWidth="1"/>
    <col min="68" max="68" width="8.7109375" hidden="1" customWidth="1"/>
    <col min="69" max="69" width="12.85546875" hidden="1" customWidth="1"/>
    <col min="70" max="70" width="8.42578125" hidden="1" customWidth="1"/>
    <col min="71" max="71" width="13.28515625" hidden="1" customWidth="1"/>
    <col min="72" max="72" width="8.7109375" hidden="1" customWidth="1"/>
    <col min="73" max="73" width="12.85546875" hidden="1" customWidth="1"/>
    <col min="74" max="74" width="8.42578125" hidden="1" customWidth="1"/>
    <col min="75" max="75" width="17.7109375" bestFit="1" customWidth="1"/>
    <col min="76" max="76" width="14.42578125" bestFit="1" customWidth="1"/>
    <col min="77" max="77" width="8.85546875" bestFit="1" customWidth="1"/>
    <col min="78" max="78" width="10.28515625" bestFit="1" customWidth="1"/>
    <col min="79" max="79" width="13.28515625" bestFit="1" customWidth="1"/>
    <col min="80" max="80" width="10.42578125" bestFit="1" customWidth="1"/>
    <col min="81" max="81" width="13.28515625" bestFit="1" customWidth="1"/>
    <col min="82" max="82" width="10.42578125" bestFit="1" customWidth="1"/>
    <col min="84" max="84" width="15.42578125" bestFit="1" customWidth="1"/>
    <col min="85" max="85" width="10.42578125" bestFit="1" customWidth="1"/>
    <col min="88" max="88" width="10.42578125" bestFit="1" customWidth="1"/>
  </cols>
  <sheetData>
    <row r="1" spans="1:78" ht="15.75">
      <c r="A1" s="147"/>
      <c r="AE1" s="248"/>
    </row>
    <row r="2" spans="1:78" ht="15.75">
      <c r="A2" s="147"/>
      <c r="AE2" s="248"/>
      <c r="AI2" s="17"/>
    </row>
    <row r="3" spans="1:78" ht="15">
      <c r="A3" s="149"/>
      <c r="AE3" s="248"/>
    </row>
    <row r="4" spans="1:78" ht="15.75">
      <c r="A4" s="150" t="s">
        <v>266</v>
      </c>
      <c r="G4" s="11"/>
      <c r="AA4" s="11"/>
      <c r="AE4" s="248"/>
    </row>
    <row r="5" spans="1:78" ht="15.75">
      <c r="A5" s="150"/>
      <c r="G5" s="11"/>
      <c r="AA5" s="11"/>
      <c r="AE5" s="11"/>
    </row>
    <row r="6" spans="1:78" ht="18">
      <c r="A6" s="249"/>
      <c r="AA6" s="11"/>
      <c r="AE6" s="11"/>
      <c r="BH6" s="11"/>
      <c r="BI6" s="11"/>
      <c r="BJ6" s="11"/>
      <c r="BK6" s="11"/>
      <c r="BL6" s="11"/>
      <c r="BM6" s="11"/>
      <c r="BN6" s="11"/>
      <c r="BX6" s="11"/>
    </row>
    <row r="7" spans="1:78" ht="13.5" thickBot="1">
      <c r="A7" s="250"/>
      <c r="B7" s="250"/>
      <c r="C7" s="250"/>
      <c r="D7" s="250"/>
      <c r="E7" s="250"/>
      <c r="F7" s="250"/>
      <c r="G7">
        <v>214.10599999999999</v>
      </c>
      <c r="K7">
        <v>250</v>
      </c>
      <c r="O7">
        <v>250.01900000000001</v>
      </c>
      <c r="S7">
        <v>250.179</v>
      </c>
      <c r="W7" s="250"/>
      <c r="X7" s="250"/>
      <c r="Y7" s="251"/>
      <c r="Z7" s="251"/>
      <c r="AA7" s="250">
        <v>250.83</v>
      </c>
      <c r="AB7" s="250"/>
      <c r="AC7" s="250"/>
      <c r="AD7" s="250"/>
      <c r="AE7" s="250">
        <v>246.74</v>
      </c>
      <c r="AF7" s="250"/>
      <c r="AG7" s="250"/>
      <c r="AH7" s="250"/>
      <c r="AI7" s="250">
        <v>250</v>
      </c>
      <c r="AJ7" s="250"/>
      <c r="AK7" s="250"/>
      <c r="AL7" s="250"/>
      <c r="AM7">
        <v>248.881</v>
      </c>
      <c r="AN7" s="250"/>
      <c r="AO7" s="250"/>
      <c r="AP7" s="250"/>
      <c r="AQ7" s="250"/>
      <c r="AR7" s="250"/>
      <c r="AS7" s="250"/>
      <c r="AT7" s="250"/>
      <c r="AU7" s="250">
        <v>250</v>
      </c>
      <c r="AV7" s="250"/>
      <c r="AW7" s="250"/>
      <c r="AX7" s="250"/>
      <c r="AY7">
        <v>248.881</v>
      </c>
      <c r="AZ7" s="250"/>
      <c r="BA7" s="250"/>
      <c r="BB7" s="250"/>
      <c r="BC7" s="250">
        <v>249.25</v>
      </c>
      <c r="BD7" s="250"/>
      <c r="BE7" s="250"/>
      <c r="BF7" s="250"/>
      <c r="BG7" s="251"/>
      <c r="BH7" s="251"/>
      <c r="BI7" s="250"/>
      <c r="BJ7" s="250"/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0"/>
      <c r="BV7" s="250"/>
      <c r="BW7" s="250"/>
      <c r="BX7" s="250"/>
      <c r="BY7" s="250"/>
      <c r="BZ7" s="250"/>
    </row>
    <row r="8" spans="1:78" ht="38.25" customHeight="1" thickTop="1">
      <c r="A8" s="779" t="s">
        <v>28</v>
      </c>
      <c r="B8" s="779" t="s">
        <v>4</v>
      </c>
      <c r="C8" s="779" t="s">
        <v>5</v>
      </c>
      <c r="D8" s="781" t="s">
        <v>39</v>
      </c>
      <c r="E8" s="771" t="s">
        <v>37</v>
      </c>
      <c r="F8" s="773"/>
      <c r="G8" s="786" t="s">
        <v>371</v>
      </c>
      <c r="H8" s="787"/>
      <c r="I8" s="787"/>
      <c r="J8" s="788"/>
      <c r="K8" s="771" t="s">
        <v>354</v>
      </c>
      <c r="L8" s="772"/>
      <c r="M8" s="772"/>
      <c r="N8" s="773"/>
      <c r="O8" s="783" t="s">
        <v>398</v>
      </c>
      <c r="P8" s="784"/>
      <c r="Q8" s="784"/>
      <c r="R8" s="785"/>
      <c r="S8" s="771" t="s">
        <v>501</v>
      </c>
      <c r="T8" s="772"/>
      <c r="U8" s="772"/>
      <c r="V8" s="773"/>
      <c r="W8" s="771" t="s">
        <v>40</v>
      </c>
      <c r="X8" s="772"/>
      <c r="Y8" s="772"/>
      <c r="Z8" s="772"/>
      <c r="AA8" s="774" t="s">
        <v>181</v>
      </c>
      <c r="AB8" s="774"/>
      <c r="AC8" s="774"/>
      <c r="AD8" s="775"/>
      <c r="AE8" s="776" t="s">
        <v>377</v>
      </c>
      <c r="AF8" s="777"/>
      <c r="AG8" s="777"/>
      <c r="AH8" s="778"/>
      <c r="AI8" s="789" t="s">
        <v>395</v>
      </c>
      <c r="AJ8" s="790"/>
      <c r="AK8" s="790"/>
      <c r="AL8" s="791"/>
      <c r="AM8" s="768" t="s">
        <v>378</v>
      </c>
      <c r="AN8" s="769"/>
      <c r="AO8" s="769"/>
      <c r="AP8" s="770"/>
      <c r="AQ8" s="771" t="s">
        <v>86</v>
      </c>
      <c r="AR8" s="772"/>
      <c r="AS8" s="772"/>
      <c r="AT8" s="773"/>
      <c r="AU8" s="771" t="s">
        <v>396</v>
      </c>
      <c r="AV8" s="772"/>
      <c r="AW8" s="772"/>
      <c r="AX8" s="773"/>
      <c r="AY8" s="768" t="s">
        <v>397</v>
      </c>
      <c r="AZ8" s="769"/>
      <c r="BA8" s="769"/>
      <c r="BB8" s="770"/>
      <c r="BC8" s="771" t="s">
        <v>424</v>
      </c>
      <c r="BD8" s="772"/>
      <c r="BE8" s="772"/>
      <c r="BF8" s="773"/>
      <c r="BG8" s="771" t="s">
        <v>87</v>
      </c>
      <c r="BH8" s="772"/>
      <c r="BI8" s="772"/>
      <c r="BJ8" s="773"/>
      <c r="BK8" s="771" t="s">
        <v>392</v>
      </c>
      <c r="BL8" s="772"/>
      <c r="BM8" s="772"/>
      <c r="BN8" s="773"/>
      <c r="BO8" s="771" t="s">
        <v>393</v>
      </c>
      <c r="BP8" s="772"/>
      <c r="BQ8" s="772"/>
      <c r="BR8" s="773"/>
      <c r="BS8" s="771" t="s">
        <v>394</v>
      </c>
      <c r="BT8" s="772"/>
      <c r="BU8" s="772"/>
      <c r="BV8" s="773"/>
      <c r="BW8" s="771" t="s">
        <v>41</v>
      </c>
      <c r="BX8" s="773"/>
      <c r="BY8" s="771" t="s">
        <v>42</v>
      </c>
      <c r="BZ8" s="773"/>
    </row>
    <row r="9" spans="1:78">
      <c r="A9" s="780"/>
      <c r="B9" s="780"/>
      <c r="C9" s="780"/>
      <c r="D9" s="782"/>
      <c r="E9" s="2" t="s">
        <v>35</v>
      </c>
      <c r="F9" s="566" t="s">
        <v>36</v>
      </c>
      <c r="G9" s="7" t="s">
        <v>35</v>
      </c>
      <c r="H9" s="7" t="s">
        <v>10</v>
      </c>
      <c r="I9" s="597" t="s">
        <v>36</v>
      </c>
      <c r="J9" s="597" t="s">
        <v>10</v>
      </c>
      <c r="K9" s="7" t="s">
        <v>35</v>
      </c>
      <c r="L9" s="7" t="s">
        <v>10</v>
      </c>
      <c r="M9" s="597" t="s">
        <v>36</v>
      </c>
      <c r="N9" s="597" t="s">
        <v>10</v>
      </c>
      <c r="O9" s="7" t="s">
        <v>35</v>
      </c>
      <c r="P9" s="7" t="s">
        <v>10</v>
      </c>
      <c r="Q9" s="597" t="s">
        <v>36</v>
      </c>
      <c r="R9" s="597" t="s">
        <v>10</v>
      </c>
      <c r="S9" s="7" t="s">
        <v>35</v>
      </c>
      <c r="T9" s="7" t="s">
        <v>10</v>
      </c>
      <c r="U9" s="597" t="s">
        <v>36</v>
      </c>
      <c r="V9" s="597" t="s">
        <v>10</v>
      </c>
      <c r="W9" s="597" t="s">
        <v>35</v>
      </c>
      <c r="X9" s="597" t="s">
        <v>10</v>
      </c>
      <c r="Y9" s="597" t="s">
        <v>36</v>
      </c>
      <c r="Z9" s="597" t="s">
        <v>10</v>
      </c>
      <c r="AA9" s="597" t="s">
        <v>35</v>
      </c>
      <c r="AB9" s="597" t="s">
        <v>10</v>
      </c>
      <c r="AC9" s="597" t="s">
        <v>36</v>
      </c>
      <c r="AD9" s="597" t="s">
        <v>10</v>
      </c>
      <c r="AE9" s="597" t="s">
        <v>35</v>
      </c>
      <c r="AF9" s="597" t="s">
        <v>10</v>
      </c>
      <c r="AG9" s="597" t="s">
        <v>36</v>
      </c>
      <c r="AH9" s="597" t="s">
        <v>10</v>
      </c>
      <c r="AI9" s="597" t="s">
        <v>35</v>
      </c>
      <c r="AJ9" s="597" t="s">
        <v>10</v>
      </c>
      <c r="AK9" s="597" t="s">
        <v>36</v>
      </c>
      <c r="AL9" s="597" t="s">
        <v>10</v>
      </c>
      <c r="AM9" s="597" t="s">
        <v>35</v>
      </c>
      <c r="AN9" s="597" t="s">
        <v>10</v>
      </c>
      <c r="AO9" s="597" t="s">
        <v>36</v>
      </c>
      <c r="AP9" s="597" t="s">
        <v>10</v>
      </c>
      <c r="AQ9" s="597" t="s">
        <v>35</v>
      </c>
      <c r="AR9" s="597" t="s">
        <v>10</v>
      </c>
      <c r="AS9" s="597" t="s">
        <v>36</v>
      </c>
      <c r="AT9" s="597" t="s">
        <v>10</v>
      </c>
      <c r="AU9" s="597" t="s">
        <v>35</v>
      </c>
      <c r="AV9" s="597" t="s">
        <v>10</v>
      </c>
      <c r="AW9" s="597" t="s">
        <v>36</v>
      </c>
      <c r="AX9" s="597" t="s">
        <v>10</v>
      </c>
      <c r="AY9" s="597" t="s">
        <v>35</v>
      </c>
      <c r="AZ9" s="597" t="s">
        <v>10</v>
      </c>
      <c r="BA9" s="597" t="s">
        <v>36</v>
      </c>
      <c r="BB9" s="597" t="s">
        <v>10</v>
      </c>
      <c r="BC9" s="597" t="s">
        <v>35</v>
      </c>
      <c r="BD9" s="597" t="s">
        <v>10</v>
      </c>
      <c r="BE9" s="597" t="s">
        <v>36</v>
      </c>
      <c r="BF9" s="597" t="s">
        <v>10</v>
      </c>
      <c r="BG9" s="597" t="s">
        <v>35</v>
      </c>
      <c r="BH9" s="597" t="s">
        <v>10</v>
      </c>
      <c r="BI9" s="597" t="s">
        <v>36</v>
      </c>
      <c r="BJ9" s="597" t="s">
        <v>10</v>
      </c>
      <c r="BK9" s="597" t="s">
        <v>35</v>
      </c>
      <c r="BL9" s="597" t="s">
        <v>10</v>
      </c>
      <c r="BM9" s="597" t="s">
        <v>36</v>
      </c>
      <c r="BN9" s="597" t="s">
        <v>10</v>
      </c>
      <c r="BO9" s="597" t="s">
        <v>35</v>
      </c>
      <c r="BP9" s="597" t="s">
        <v>10</v>
      </c>
      <c r="BQ9" s="597" t="s">
        <v>36</v>
      </c>
      <c r="BR9" s="597" t="s">
        <v>10</v>
      </c>
      <c r="BS9" s="597" t="s">
        <v>35</v>
      </c>
      <c r="BT9" s="597" t="s">
        <v>10</v>
      </c>
      <c r="BU9" s="597" t="s">
        <v>36</v>
      </c>
      <c r="BV9" s="597" t="s">
        <v>10</v>
      </c>
      <c r="BW9" s="597" t="s">
        <v>35</v>
      </c>
      <c r="BX9" s="597" t="s">
        <v>36</v>
      </c>
      <c r="BY9" s="597" t="s">
        <v>35</v>
      </c>
      <c r="BZ9" s="597" t="s">
        <v>36</v>
      </c>
    </row>
    <row r="10" spans="1:78">
      <c r="A10" s="13">
        <f>Chem!A10</f>
        <v>46113</v>
      </c>
      <c r="B10" s="4" t="str">
        <f>Chem!B10</f>
        <v>Napkin</v>
      </c>
      <c r="C10" s="13" t="str">
        <f>Chem!C10</f>
        <v>12</v>
      </c>
      <c r="D10" s="6">
        <f>+Chem!D10</f>
        <v>38.25</v>
      </c>
      <c r="E10" s="5">
        <f>+Chem!E10</f>
        <v>36.936999999999998</v>
      </c>
      <c r="F10" s="5">
        <f>+E10</f>
        <v>36.936999999999998</v>
      </c>
      <c r="G10" s="95"/>
      <c r="H10" s="8">
        <f t="shared" ref="H10:H39" si="0">G10/BW10*100</f>
        <v>0</v>
      </c>
      <c r="I10" s="6">
        <f>G10</f>
        <v>0</v>
      </c>
      <c r="J10" s="8">
        <f t="shared" ref="J10:J39" si="1">I10/BX10*100</f>
        <v>0</v>
      </c>
      <c r="K10" s="95">
        <f>72*K7</f>
        <v>18000</v>
      </c>
      <c r="L10" s="8">
        <f t="shared" ref="L10:L39" si="2">+K10/BW10*100</f>
        <v>33.995939373908115</v>
      </c>
      <c r="M10" s="8">
        <f>+K10</f>
        <v>18000</v>
      </c>
      <c r="N10" s="8">
        <f t="shared" ref="N10:N39" si="3">+M10/BX10*100</f>
        <v>33.995939373908115</v>
      </c>
      <c r="O10" s="95"/>
      <c r="P10" s="8">
        <f t="shared" ref="P10:P39" si="4">+O10/BW10*100</f>
        <v>0</v>
      </c>
      <c r="Q10" s="8">
        <f>+O10</f>
        <v>0</v>
      </c>
      <c r="R10" s="8">
        <f t="shared" ref="R10:R39" si="5">+Q10/BX10*100</f>
        <v>0</v>
      </c>
      <c r="S10" s="96">
        <v>0</v>
      </c>
      <c r="T10" s="8">
        <f t="shared" ref="T10:T39" si="6">+S10/BW10*100</f>
        <v>0</v>
      </c>
      <c r="U10" s="8">
        <f>+S10</f>
        <v>0</v>
      </c>
      <c r="V10" s="8">
        <f t="shared" ref="V10:V39" si="7">+U10/BX10*100</f>
        <v>0</v>
      </c>
      <c r="W10" s="8">
        <f>G10+K10+S10+O10</f>
        <v>18000</v>
      </c>
      <c r="X10" s="8">
        <f t="shared" ref="X10:X39" si="8">W10/BW10*100</f>
        <v>33.995939373908115</v>
      </c>
      <c r="Y10" s="8">
        <f>W10</f>
        <v>18000</v>
      </c>
      <c r="Z10" s="8">
        <f t="shared" ref="Z10:Z39" si="9">Y10/BX10*100</f>
        <v>33.995939373908115</v>
      </c>
      <c r="AA10" s="95"/>
      <c r="AB10" s="8">
        <f t="shared" ref="AB10:AB39" si="10">AA10/BW10*100</f>
        <v>0</v>
      </c>
      <c r="AC10" s="8">
        <f>AA10</f>
        <v>0</v>
      </c>
      <c r="AD10" s="8">
        <f t="shared" ref="AD10:AD39" si="11">AC10/BX10*100</f>
        <v>0</v>
      </c>
      <c r="AE10" s="95"/>
      <c r="AF10" s="8">
        <f t="shared" ref="AF10:AF39" si="12">AE10/BW10*100</f>
        <v>0</v>
      </c>
      <c r="AG10" s="8">
        <f>AE10</f>
        <v>0</v>
      </c>
      <c r="AH10" s="8">
        <f t="shared" ref="AH10:AH39" si="13">AG10/BX10*100</f>
        <v>0</v>
      </c>
      <c r="AI10" s="95"/>
      <c r="AJ10" s="8">
        <f t="shared" ref="AJ10:AJ39" si="14">AI10/BW10*100</f>
        <v>0</v>
      </c>
      <c r="AK10" s="8">
        <f>AI10</f>
        <v>0</v>
      </c>
      <c r="AL10" s="8">
        <f t="shared" ref="AL10:AL39" si="15">AK10/BX10</f>
        <v>0</v>
      </c>
      <c r="AM10" s="95"/>
      <c r="AN10" s="8">
        <f t="shared" ref="AN10:AN39" si="16">AM10/BW10*100</f>
        <v>0</v>
      </c>
      <c r="AO10" s="8">
        <f>AM10</f>
        <v>0</v>
      </c>
      <c r="AP10" s="8">
        <f t="shared" ref="AP10:AP39" si="17">AO10/BX10*100</f>
        <v>0</v>
      </c>
      <c r="AQ10" s="8">
        <f>AA10+AE10+AI10+AM10</f>
        <v>0</v>
      </c>
      <c r="AR10" s="8">
        <f t="shared" ref="AR10:AR39" si="18">AQ10/BW10*100</f>
        <v>0</v>
      </c>
      <c r="AS10" s="8">
        <f>AQ10</f>
        <v>0</v>
      </c>
      <c r="AT10" s="8">
        <f t="shared" ref="AT10:AT39" si="19">AS10/BX10*100</f>
        <v>0</v>
      </c>
      <c r="AU10" s="95">
        <f>70*AU7</f>
        <v>17500</v>
      </c>
      <c r="AV10" s="8">
        <f t="shared" ref="AV10:AV39" si="20">+AU10/BW10*100</f>
        <v>33.051607724632895</v>
      </c>
      <c r="AW10" s="8">
        <f>+AU10</f>
        <v>17500</v>
      </c>
      <c r="AX10" s="8">
        <f t="shared" ref="AX10:AX39" si="21">+AW10/BX10*100</f>
        <v>33.051607724632895</v>
      </c>
      <c r="AY10" s="95">
        <v>0</v>
      </c>
      <c r="AZ10" s="596">
        <f>AY10/BW10*100</f>
        <v>0</v>
      </c>
      <c r="BA10" s="8">
        <f>AY10</f>
        <v>0</v>
      </c>
      <c r="BB10" s="8">
        <f>BA10/BX10*100</f>
        <v>0</v>
      </c>
      <c r="BC10" s="95">
        <f>70*BC7</f>
        <v>17447.5</v>
      </c>
      <c r="BD10" s="12">
        <f t="shared" ref="BD10:BD39" si="22">BC10/BW10*100</f>
        <v>32.952452901458997</v>
      </c>
      <c r="BE10" s="8">
        <f>BC10</f>
        <v>17447.5</v>
      </c>
      <c r="BF10" s="8">
        <f t="shared" ref="BF10:BF39" si="23">BE10/BX10*100</f>
        <v>32.952452901458997</v>
      </c>
      <c r="BG10" s="8">
        <f>AU10+AY10+BC10</f>
        <v>34947.5</v>
      </c>
      <c r="BH10" s="8">
        <f t="shared" ref="BH10:BH39" si="24">BG10/BW10*100</f>
        <v>66.004060626091885</v>
      </c>
      <c r="BI10" s="8">
        <f>BG10</f>
        <v>34947.5</v>
      </c>
      <c r="BJ10" s="8">
        <f t="shared" ref="BJ10:BJ39" si="25">BI10/BX10*100</f>
        <v>66.004060626091885</v>
      </c>
      <c r="BK10" s="95"/>
      <c r="BL10" s="8">
        <f>BK10/BW10*100</f>
        <v>0</v>
      </c>
      <c r="BM10" s="8">
        <f>BK10</f>
        <v>0</v>
      </c>
      <c r="BN10" s="8">
        <f>BM10/BX10*100</f>
        <v>0</v>
      </c>
      <c r="BO10" s="95"/>
      <c r="BP10" s="8">
        <f>BO10/BW10*100</f>
        <v>0</v>
      </c>
      <c r="BQ10" s="8">
        <f>BO10</f>
        <v>0</v>
      </c>
      <c r="BR10" s="8">
        <f>BQ10/BX10*100</f>
        <v>0</v>
      </c>
      <c r="BS10" s="95">
        <f>+BK10+BO10</f>
        <v>0</v>
      </c>
      <c r="BT10" s="8">
        <f t="shared" ref="BT10:BT39" si="26">BS10/BW10*100</f>
        <v>0</v>
      </c>
      <c r="BU10" s="8">
        <f>BS10</f>
        <v>0</v>
      </c>
      <c r="BV10" s="8">
        <f t="shared" ref="BV10:BV39" si="27">BU10/BX10*100</f>
        <v>0</v>
      </c>
      <c r="BW10" s="8">
        <f t="shared" ref="BW10:BW39" si="28">W10+AQ10+BG10+BS10</f>
        <v>52947.5</v>
      </c>
      <c r="BX10" s="8">
        <f>BW10</f>
        <v>52947.5</v>
      </c>
      <c r="BY10" s="8">
        <f t="shared" ref="BY10:BY39" si="29">BW10/1000/E10</f>
        <v>1.4334542599561415</v>
      </c>
      <c r="BZ10" s="8">
        <f t="shared" ref="BZ10:BZ39" si="30">(BX10/1000)/F10</f>
        <v>1.4334542599561415</v>
      </c>
    </row>
    <row r="11" spans="1:78">
      <c r="A11" s="13">
        <f>Chem!A11</f>
        <v>46114</v>
      </c>
      <c r="B11" s="4" t="str">
        <f>Chem!B11</f>
        <v>Napkin</v>
      </c>
      <c r="C11" s="13" t="str">
        <f>Chem!C11</f>
        <v>12</v>
      </c>
      <c r="D11" s="6">
        <f>+Chem!D11</f>
        <v>52.483000000000004</v>
      </c>
      <c r="E11" s="5">
        <f>+Chem!E11</f>
        <v>53.685000000000002</v>
      </c>
      <c r="F11" s="5">
        <f t="shared" ref="F11:F39" si="31">+E11+F10</f>
        <v>90.622</v>
      </c>
      <c r="G11" s="95"/>
      <c r="H11" s="8">
        <f t="shared" si="0"/>
        <v>0</v>
      </c>
      <c r="I11" s="6">
        <f t="shared" ref="I11:I39" si="32">G11+I10</f>
        <v>0</v>
      </c>
      <c r="J11" s="8">
        <f t="shared" si="1"/>
        <v>0</v>
      </c>
      <c r="K11" s="95">
        <f>72*K7</f>
        <v>18000</v>
      </c>
      <c r="L11" s="8">
        <f t="shared" si="2"/>
        <v>37.53518923991242</v>
      </c>
      <c r="M11" s="8">
        <f t="shared" ref="M11:M39" si="33">+K11+M10</f>
        <v>36000</v>
      </c>
      <c r="N11" s="8">
        <f t="shared" si="3"/>
        <v>35.678005995887119</v>
      </c>
      <c r="O11" s="95"/>
      <c r="P11" s="8">
        <f t="shared" si="4"/>
        <v>0</v>
      </c>
      <c r="Q11" s="8">
        <f t="shared" ref="Q11:Q39" si="34">+O11+Q10</f>
        <v>0</v>
      </c>
      <c r="R11" s="8">
        <f t="shared" si="5"/>
        <v>0</v>
      </c>
      <c r="S11" s="96">
        <v>0</v>
      </c>
      <c r="T11" s="8">
        <f t="shared" si="6"/>
        <v>0</v>
      </c>
      <c r="U11" s="8">
        <f t="shared" ref="U11:U39" si="35">+S11+U10</f>
        <v>0</v>
      </c>
      <c r="V11" s="8">
        <f t="shared" si="7"/>
        <v>0</v>
      </c>
      <c r="W11" s="8">
        <f t="shared" ref="W11:W39" si="36">G11+K11+S11+O11</f>
        <v>18000</v>
      </c>
      <c r="X11" s="8">
        <f t="shared" si="8"/>
        <v>37.53518923991242</v>
      </c>
      <c r="Y11" s="8">
        <f t="shared" ref="Y11:Y39" si="37">W11+Y10</f>
        <v>36000</v>
      </c>
      <c r="Z11" s="8">
        <f t="shared" si="9"/>
        <v>35.678005995887119</v>
      </c>
      <c r="AA11" s="95"/>
      <c r="AB11" s="8">
        <f t="shared" si="10"/>
        <v>0</v>
      </c>
      <c r="AC11" s="8">
        <f t="shared" ref="AC11:AC39" si="38">AA11+AC10</f>
        <v>0</v>
      </c>
      <c r="AD11" s="8">
        <f t="shared" si="11"/>
        <v>0</v>
      </c>
      <c r="AE11" s="95"/>
      <c r="AF11" s="8">
        <f t="shared" si="12"/>
        <v>0</v>
      </c>
      <c r="AG11" s="8">
        <f t="shared" ref="AG11:AG39" si="39">AE11+AG10</f>
        <v>0</v>
      </c>
      <c r="AH11" s="8">
        <f t="shared" si="13"/>
        <v>0</v>
      </c>
      <c r="AI11" s="95"/>
      <c r="AJ11" s="8">
        <f t="shared" si="14"/>
        <v>0</v>
      </c>
      <c r="AK11" s="8">
        <f t="shared" ref="AK11:AK39" si="40">AI11+AK10</f>
        <v>0</v>
      </c>
      <c r="AL11" s="8">
        <f t="shared" si="15"/>
        <v>0</v>
      </c>
      <c r="AM11" s="95"/>
      <c r="AN11" s="8">
        <f t="shared" si="16"/>
        <v>0</v>
      </c>
      <c r="AO11" s="8">
        <f t="shared" ref="AO11:AO39" si="41">AM11+AO10</f>
        <v>0</v>
      </c>
      <c r="AP11" s="8">
        <f t="shared" si="17"/>
        <v>0</v>
      </c>
      <c r="AQ11" s="8">
        <f t="shared" ref="AQ11:AQ39" si="42">AA11+AE11+AI11+AM11</f>
        <v>0</v>
      </c>
      <c r="AR11" s="8">
        <f t="shared" si="18"/>
        <v>0</v>
      </c>
      <c r="AS11" s="8">
        <f t="shared" ref="AS11:AS39" si="43">AQ11+AS10</f>
        <v>0</v>
      </c>
      <c r="AT11" s="8">
        <f t="shared" si="19"/>
        <v>0</v>
      </c>
      <c r="AU11" s="95">
        <f>60*AU7</f>
        <v>15000</v>
      </c>
      <c r="AV11" s="8">
        <f t="shared" si="20"/>
        <v>31.279324366593681</v>
      </c>
      <c r="AW11" s="8">
        <f t="shared" ref="AW11:AW39" si="44">+AU11+AW10</f>
        <v>32500</v>
      </c>
      <c r="AX11" s="8">
        <f t="shared" si="21"/>
        <v>32.2093109685092</v>
      </c>
      <c r="AY11" s="95">
        <v>0</v>
      </c>
      <c r="AZ11" s="596">
        <f t="shared" ref="AZ11:AZ39" si="45">AY11/BW11*100</f>
        <v>0</v>
      </c>
      <c r="BA11" s="8">
        <f t="shared" ref="BA11:BA39" si="46">AY11+BA10</f>
        <v>0</v>
      </c>
      <c r="BB11" s="8">
        <f t="shared" ref="BB11:BB39" si="47">BA11/BX11*100</f>
        <v>0</v>
      </c>
      <c r="BC11" s="95">
        <f>60*BC7</f>
        <v>14955</v>
      </c>
      <c r="BD11" s="12">
        <f t="shared" si="22"/>
        <v>31.1854863934939</v>
      </c>
      <c r="BE11" s="8">
        <f t="shared" ref="BE11:BE39" si="48">BC11+BE10</f>
        <v>32402.5</v>
      </c>
      <c r="BF11" s="8">
        <f t="shared" si="23"/>
        <v>32.112683035603681</v>
      </c>
      <c r="BG11" s="8">
        <f t="shared" ref="BG11:BG39" si="49">AU11+AY11+BC11</f>
        <v>29955</v>
      </c>
      <c r="BH11" s="8">
        <f t="shared" si="24"/>
        <v>62.464810760087587</v>
      </c>
      <c r="BI11" s="8">
        <f t="shared" ref="BI11:BI39" si="50">BG11+BI10</f>
        <v>64902.5</v>
      </c>
      <c r="BJ11" s="8">
        <f t="shared" si="25"/>
        <v>64.321994004112881</v>
      </c>
      <c r="BK11" s="95"/>
      <c r="BL11" s="8">
        <f t="shared" ref="BL11:BL39" si="51">BK11/BW11*100</f>
        <v>0</v>
      </c>
      <c r="BM11" s="8">
        <f t="shared" ref="BM11:BM39" si="52">BK11+BM10</f>
        <v>0</v>
      </c>
      <c r="BN11" s="8">
        <f t="shared" ref="BN11:BN39" si="53">BM11/BX11*100</f>
        <v>0</v>
      </c>
      <c r="BO11" s="95"/>
      <c r="BP11" s="8">
        <f t="shared" ref="BP11:BP39" si="54">BO11/BW11*100</f>
        <v>0</v>
      </c>
      <c r="BQ11" s="8">
        <f t="shared" ref="BQ11:BQ39" si="55">BO11+BQ10</f>
        <v>0</v>
      </c>
      <c r="BR11" s="8">
        <f t="shared" ref="BR11:BR39" si="56">BQ11/BX11*100</f>
        <v>0</v>
      </c>
      <c r="BS11" s="95">
        <f t="shared" ref="BS11:BS39" si="57">+BK11+BO11</f>
        <v>0</v>
      </c>
      <c r="BT11" s="8">
        <f t="shared" si="26"/>
        <v>0</v>
      </c>
      <c r="BU11" s="8">
        <f t="shared" ref="BU11:BU39" si="58">BS11+BU10</f>
        <v>0</v>
      </c>
      <c r="BV11" s="8">
        <f t="shared" si="27"/>
        <v>0</v>
      </c>
      <c r="BW11" s="8">
        <f t="shared" si="28"/>
        <v>47955</v>
      </c>
      <c r="BX11" s="8">
        <f t="shared" ref="BX11:BX39" si="59">BW11+BX10</f>
        <v>100902.5</v>
      </c>
      <c r="BY11" s="8">
        <f t="shared" si="29"/>
        <v>0.8932662754959485</v>
      </c>
      <c r="BZ11" s="8">
        <f t="shared" si="30"/>
        <v>1.1134437553794885</v>
      </c>
    </row>
    <row r="12" spans="1:78">
      <c r="A12" s="13">
        <f>Chem!A12</f>
        <v>46115</v>
      </c>
      <c r="B12" s="4" t="str">
        <f>Chem!B12</f>
        <v>Napkin</v>
      </c>
      <c r="C12" s="13" t="str">
        <f>Chem!C12</f>
        <v>12/11</v>
      </c>
      <c r="D12" s="6">
        <f>+Chem!D12</f>
        <v>50.410999999999994</v>
      </c>
      <c r="E12" s="5">
        <f>+Chem!E12</f>
        <v>56.16</v>
      </c>
      <c r="F12" s="5">
        <f t="shared" si="31"/>
        <v>146.78199999999998</v>
      </c>
      <c r="G12" s="95"/>
      <c r="H12" s="8">
        <f t="shared" si="0"/>
        <v>0</v>
      </c>
      <c r="I12" s="6">
        <f t="shared" si="32"/>
        <v>0</v>
      </c>
      <c r="J12" s="8">
        <f t="shared" si="1"/>
        <v>0</v>
      </c>
      <c r="K12" s="95">
        <f>72*K7</f>
        <v>18000</v>
      </c>
      <c r="L12" s="8">
        <f t="shared" si="2"/>
        <v>34.6493676490404</v>
      </c>
      <c r="M12" s="8">
        <f t="shared" si="33"/>
        <v>54000</v>
      </c>
      <c r="N12" s="8">
        <f t="shared" si="3"/>
        <v>35.328406983248442</v>
      </c>
      <c r="O12" s="95"/>
      <c r="P12" s="8">
        <f t="shared" si="4"/>
        <v>0</v>
      </c>
      <c r="Q12" s="8">
        <f t="shared" si="34"/>
        <v>0</v>
      </c>
      <c r="R12" s="8">
        <f t="shared" si="5"/>
        <v>0</v>
      </c>
      <c r="S12" s="96">
        <v>0</v>
      </c>
      <c r="T12" s="8">
        <f t="shared" si="6"/>
        <v>0</v>
      </c>
      <c r="U12" s="8">
        <f t="shared" si="35"/>
        <v>0</v>
      </c>
      <c r="V12" s="8">
        <f t="shared" si="7"/>
        <v>0</v>
      </c>
      <c r="W12" s="8">
        <f t="shared" si="36"/>
        <v>18000</v>
      </c>
      <c r="X12" s="8">
        <f t="shared" si="8"/>
        <v>34.6493676490404</v>
      </c>
      <c r="Y12" s="8">
        <f t="shared" si="37"/>
        <v>54000</v>
      </c>
      <c r="Z12" s="8">
        <f t="shared" si="9"/>
        <v>35.328406983248442</v>
      </c>
      <c r="AA12" s="95"/>
      <c r="AB12" s="8">
        <f t="shared" si="10"/>
        <v>0</v>
      </c>
      <c r="AC12" s="8">
        <f t="shared" si="38"/>
        <v>0</v>
      </c>
      <c r="AD12" s="8">
        <f t="shared" si="11"/>
        <v>0</v>
      </c>
      <c r="AE12" s="95"/>
      <c r="AF12" s="8">
        <f t="shared" si="12"/>
        <v>0</v>
      </c>
      <c r="AG12" s="8">
        <f t="shared" si="39"/>
        <v>0</v>
      </c>
      <c r="AH12" s="8">
        <f t="shared" si="13"/>
        <v>0</v>
      </c>
      <c r="AI12" s="95"/>
      <c r="AJ12" s="8">
        <f t="shared" si="14"/>
        <v>0</v>
      </c>
      <c r="AK12" s="8">
        <f t="shared" si="40"/>
        <v>0</v>
      </c>
      <c r="AL12" s="8">
        <f t="shared" si="15"/>
        <v>0</v>
      </c>
      <c r="AM12" s="95"/>
      <c r="AN12" s="8">
        <f t="shared" si="16"/>
        <v>0</v>
      </c>
      <c r="AO12" s="8">
        <f t="shared" si="41"/>
        <v>0</v>
      </c>
      <c r="AP12" s="8">
        <f t="shared" si="17"/>
        <v>0</v>
      </c>
      <c r="AQ12" s="8">
        <f t="shared" si="42"/>
        <v>0</v>
      </c>
      <c r="AR12" s="8">
        <f t="shared" si="18"/>
        <v>0</v>
      </c>
      <c r="AS12" s="8">
        <f t="shared" si="43"/>
        <v>0</v>
      </c>
      <c r="AT12" s="8">
        <f t="shared" si="19"/>
        <v>0</v>
      </c>
      <c r="AU12" s="95">
        <f>68*AU7</f>
        <v>17000</v>
      </c>
      <c r="AV12" s="8">
        <f t="shared" si="20"/>
        <v>32.724402779649267</v>
      </c>
      <c r="AW12" s="8">
        <f t="shared" si="44"/>
        <v>49500</v>
      </c>
      <c r="AX12" s="8">
        <f t="shared" si="21"/>
        <v>32.384373067977748</v>
      </c>
      <c r="AY12" s="95">
        <v>0</v>
      </c>
      <c r="AZ12" s="596">
        <f t="shared" si="45"/>
        <v>0</v>
      </c>
      <c r="BA12" s="8">
        <f t="shared" si="46"/>
        <v>0</v>
      </c>
      <c r="BB12" s="8">
        <f t="shared" si="47"/>
        <v>0</v>
      </c>
      <c r="BC12" s="95">
        <f>68*BC7</f>
        <v>16949</v>
      </c>
      <c r="BD12" s="12">
        <f t="shared" si="22"/>
        <v>32.626229571310326</v>
      </c>
      <c r="BE12" s="8">
        <f t="shared" si="48"/>
        <v>49351.5</v>
      </c>
      <c r="BF12" s="8">
        <f t="shared" si="23"/>
        <v>32.28721994877381</v>
      </c>
      <c r="BG12" s="8">
        <f t="shared" si="49"/>
        <v>33949</v>
      </c>
      <c r="BH12" s="8">
        <f t="shared" si="24"/>
        <v>65.350632350959586</v>
      </c>
      <c r="BI12" s="8">
        <f t="shared" si="50"/>
        <v>98851.5</v>
      </c>
      <c r="BJ12" s="8">
        <f t="shared" si="25"/>
        <v>64.671593016751544</v>
      </c>
      <c r="BK12" s="95"/>
      <c r="BL12" s="8">
        <f t="shared" si="51"/>
        <v>0</v>
      </c>
      <c r="BM12" s="8">
        <f t="shared" si="52"/>
        <v>0</v>
      </c>
      <c r="BN12" s="8">
        <f t="shared" si="53"/>
        <v>0</v>
      </c>
      <c r="BO12" s="95"/>
      <c r="BP12" s="8">
        <f t="shared" si="54"/>
        <v>0</v>
      </c>
      <c r="BQ12" s="8">
        <f t="shared" si="55"/>
        <v>0</v>
      </c>
      <c r="BR12" s="8">
        <f t="shared" si="56"/>
        <v>0</v>
      </c>
      <c r="BS12" s="95">
        <f t="shared" si="57"/>
        <v>0</v>
      </c>
      <c r="BT12" s="8">
        <f t="shared" si="26"/>
        <v>0</v>
      </c>
      <c r="BU12" s="8">
        <f t="shared" si="58"/>
        <v>0</v>
      </c>
      <c r="BV12" s="8">
        <f t="shared" si="27"/>
        <v>0</v>
      </c>
      <c r="BW12" s="8">
        <f t="shared" si="28"/>
        <v>51949</v>
      </c>
      <c r="BX12" s="8">
        <f t="shared" si="59"/>
        <v>152851.5</v>
      </c>
      <c r="BY12" s="8">
        <f t="shared" si="29"/>
        <v>0.92501780626780628</v>
      </c>
      <c r="BZ12" s="8">
        <f t="shared" si="30"/>
        <v>1.0413504380646128</v>
      </c>
    </row>
    <row r="13" spans="1:78">
      <c r="A13" s="13">
        <f>Chem!A13</f>
        <v>46116</v>
      </c>
      <c r="B13" s="4" t="str">
        <f>Chem!B13</f>
        <v>Napkin</v>
      </c>
      <c r="C13" s="13" t="str">
        <f>Chem!C13</f>
        <v>11/16,5/17</v>
      </c>
      <c r="D13" s="6">
        <f>+Chem!D13</f>
        <v>50.426000000000002</v>
      </c>
      <c r="E13" s="5">
        <f>+Chem!E13</f>
        <v>45.530999999999999</v>
      </c>
      <c r="F13" s="5">
        <f t="shared" si="31"/>
        <v>192.31299999999999</v>
      </c>
      <c r="G13" s="95"/>
      <c r="H13" s="8">
        <f t="shared" si="0"/>
        <v>0</v>
      </c>
      <c r="I13" s="6">
        <f t="shared" si="32"/>
        <v>0</v>
      </c>
      <c r="J13" s="8">
        <f t="shared" si="1"/>
        <v>0</v>
      </c>
      <c r="K13" s="95">
        <f>68*K7</f>
        <v>17000</v>
      </c>
      <c r="L13" s="8">
        <f t="shared" si="2"/>
        <v>32.725347706819385</v>
      </c>
      <c r="M13" s="8">
        <f t="shared" si="33"/>
        <v>71000</v>
      </c>
      <c r="N13" s="8">
        <f t="shared" si="3"/>
        <v>34.668138028017715</v>
      </c>
      <c r="O13" s="95"/>
      <c r="P13" s="8">
        <f t="shared" si="4"/>
        <v>0</v>
      </c>
      <c r="Q13" s="8">
        <f t="shared" si="34"/>
        <v>0</v>
      </c>
      <c r="R13" s="8">
        <f t="shared" si="5"/>
        <v>0</v>
      </c>
      <c r="S13" s="96">
        <v>0</v>
      </c>
      <c r="T13" s="8">
        <f t="shared" si="6"/>
        <v>0</v>
      </c>
      <c r="U13" s="8">
        <f t="shared" si="35"/>
        <v>0</v>
      </c>
      <c r="V13" s="8">
        <f t="shared" si="7"/>
        <v>0</v>
      </c>
      <c r="W13" s="8">
        <f t="shared" si="36"/>
        <v>17000</v>
      </c>
      <c r="X13" s="8">
        <f t="shared" si="8"/>
        <v>32.725347706819385</v>
      </c>
      <c r="Y13" s="8">
        <f t="shared" si="37"/>
        <v>71000</v>
      </c>
      <c r="Z13" s="8">
        <f t="shared" si="9"/>
        <v>34.668138028017715</v>
      </c>
      <c r="AA13" s="95"/>
      <c r="AB13" s="8">
        <f t="shared" si="10"/>
        <v>0</v>
      </c>
      <c r="AC13" s="8">
        <f t="shared" si="38"/>
        <v>0</v>
      </c>
      <c r="AD13" s="8">
        <f t="shared" si="11"/>
        <v>0</v>
      </c>
      <c r="AE13" s="95"/>
      <c r="AF13" s="8">
        <f t="shared" si="12"/>
        <v>0</v>
      </c>
      <c r="AG13" s="8">
        <f t="shared" si="39"/>
        <v>0</v>
      </c>
      <c r="AH13" s="8">
        <f t="shared" si="13"/>
        <v>0</v>
      </c>
      <c r="AI13" s="95"/>
      <c r="AJ13" s="8">
        <f t="shared" si="14"/>
        <v>0</v>
      </c>
      <c r="AK13" s="8">
        <f t="shared" si="40"/>
        <v>0</v>
      </c>
      <c r="AL13" s="8">
        <f t="shared" si="15"/>
        <v>0</v>
      </c>
      <c r="AM13" s="95"/>
      <c r="AN13" s="8">
        <f t="shared" si="16"/>
        <v>0</v>
      </c>
      <c r="AO13" s="8">
        <f t="shared" si="41"/>
        <v>0</v>
      </c>
      <c r="AP13" s="8">
        <f t="shared" si="17"/>
        <v>0</v>
      </c>
      <c r="AQ13" s="8">
        <f t="shared" si="42"/>
        <v>0</v>
      </c>
      <c r="AR13" s="8">
        <f t="shared" si="18"/>
        <v>0</v>
      </c>
      <c r="AS13" s="8">
        <f t="shared" si="43"/>
        <v>0</v>
      </c>
      <c r="AT13" s="8">
        <f t="shared" si="19"/>
        <v>0</v>
      </c>
      <c r="AU13" s="95">
        <f>70*AU7</f>
        <v>17500</v>
      </c>
      <c r="AV13" s="8">
        <f t="shared" si="20"/>
        <v>33.687857933490548</v>
      </c>
      <c r="AW13" s="8">
        <f t="shared" si="44"/>
        <v>67000</v>
      </c>
      <c r="AX13" s="8">
        <f t="shared" si="21"/>
        <v>32.715003491227982</v>
      </c>
      <c r="AY13" s="95">
        <v>0</v>
      </c>
      <c r="AZ13" s="596">
        <f t="shared" si="45"/>
        <v>0</v>
      </c>
      <c r="BA13" s="8">
        <f t="shared" si="46"/>
        <v>0</v>
      </c>
      <c r="BB13" s="8">
        <f t="shared" si="47"/>
        <v>0</v>
      </c>
      <c r="BC13" s="95">
        <f>70*BC7</f>
        <v>17447.5</v>
      </c>
      <c r="BD13" s="12">
        <f t="shared" si="22"/>
        <v>33.586794359690067</v>
      </c>
      <c r="BE13" s="8">
        <f t="shared" si="48"/>
        <v>66799</v>
      </c>
      <c r="BF13" s="8">
        <f t="shared" si="23"/>
        <v>32.616858480754303</v>
      </c>
      <c r="BG13" s="8">
        <f t="shared" si="49"/>
        <v>34947.5</v>
      </c>
      <c r="BH13" s="8">
        <f t="shared" si="24"/>
        <v>67.274652293180608</v>
      </c>
      <c r="BI13" s="8">
        <f t="shared" si="50"/>
        <v>133799</v>
      </c>
      <c r="BJ13" s="8">
        <f t="shared" si="25"/>
        <v>65.331861971982292</v>
      </c>
      <c r="BK13" s="95"/>
      <c r="BL13" s="8">
        <f t="shared" si="51"/>
        <v>0</v>
      </c>
      <c r="BM13" s="8">
        <f t="shared" si="52"/>
        <v>0</v>
      </c>
      <c r="BN13" s="8">
        <f t="shared" si="53"/>
        <v>0</v>
      </c>
      <c r="BO13" s="95"/>
      <c r="BP13" s="8">
        <f t="shared" si="54"/>
        <v>0</v>
      </c>
      <c r="BQ13" s="8">
        <f t="shared" si="55"/>
        <v>0</v>
      </c>
      <c r="BR13" s="8">
        <f t="shared" si="56"/>
        <v>0</v>
      </c>
      <c r="BS13" s="95">
        <f t="shared" si="57"/>
        <v>0</v>
      </c>
      <c r="BT13" s="8">
        <f t="shared" si="26"/>
        <v>0</v>
      </c>
      <c r="BU13" s="8">
        <f t="shared" si="58"/>
        <v>0</v>
      </c>
      <c r="BV13" s="8">
        <f t="shared" si="27"/>
        <v>0</v>
      </c>
      <c r="BW13" s="8">
        <f t="shared" si="28"/>
        <v>51947.5</v>
      </c>
      <c r="BX13" s="8">
        <f t="shared" si="59"/>
        <v>204799</v>
      </c>
      <c r="BY13" s="8">
        <f t="shared" si="29"/>
        <v>1.1409259625310229</v>
      </c>
      <c r="BZ13" s="8">
        <f t="shared" si="30"/>
        <v>1.0649254080587376</v>
      </c>
    </row>
    <row r="14" spans="1:78">
      <c r="A14" s="13">
        <f>Chem!A14</f>
        <v>46117</v>
      </c>
      <c r="B14" s="4" t="str">
        <f>Chem!B14</f>
        <v>Napkin</v>
      </c>
      <c r="C14" s="13" t="str">
        <f>Chem!C14</f>
        <v>17</v>
      </c>
      <c r="D14" s="6">
        <f>+Chem!D14</f>
        <v>48.241</v>
      </c>
      <c r="E14" s="5">
        <f>+Chem!E14</f>
        <v>37.146999999999998</v>
      </c>
      <c r="F14" s="5">
        <f t="shared" si="31"/>
        <v>229.45999999999998</v>
      </c>
      <c r="G14" s="96"/>
      <c r="H14" s="87">
        <f t="shared" si="0"/>
        <v>0</v>
      </c>
      <c r="I14" s="6">
        <f t="shared" si="32"/>
        <v>0</v>
      </c>
      <c r="J14" s="87">
        <f t="shared" si="1"/>
        <v>0</v>
      </c>
      <c r="K14" s="96">
        <f>60*K7</f>
        <v>15000</v>
      </c>
      <c r="L14" s="87">
        <f t="shared" si="2"/>
        <v>29.442939583087973</v>
      </c>
      <c r="M14" s="87">
        <f t="shared" si="33"/>
        <v>86000</v>
      </c>
      <c r="N14" s="87">
        <f t="shared" si="3"/>
        <v>33.627245889460205</v>
      </c>
      <c r="O14" s="95"/>
      <c r="P14" s="87">
        <f t="shared" si="4"/>
        <v>0</v>
      </c>
      <c r="Q14" s="87">
        <f t="shared" si="34"/>
        <v>0</v>
      </c>
      <c r="R14" s="87">
        <f t="shared" si="5"/>
        <v>0</v>
      </c>
      <c r="S14" s="96">
        <v>0</v>
      </c>
      <c r="T14" s="87">
        <f t="shared" si="6"/>
        <v>0</v>
      </c>
      <c r="U14" s="87">
        <f t="shared" si="35"/>
        <v>0</v>
      </c>
      <c r="V14" s="87">
        <f t="shared" si="7"/>
        <v>0</v>
      </c>
      <c r="W14" s="8">
        <f t="shared" si="36"/>
        <v>15000</v>
      </c>
      <c r="X14" s="87">
        <f t="shared" si="8"/>
        <v>29.442939583087973</v>
      </c>
      <c r="Y14" s="87">
        <f t="shared" si="37"/>
        <v>86000</v>
      </c>
      <c r="Z14" s="87">
        <f t="shared" si="9"/>
        <v>33.627245889460205</v>
      </c>
      <c r="AA14" s="96"/>
      <c r="AB14" s="87">
        <f t="shared" si="10"/>
        <v>0</v>
      </c>
      <c r="AC14" s="87">
        <f t="shared" si="38"/>
        <v>0</v>
      </c>
      <c r="AD14" s="87">
        <f t="shared" si="11"/>
        <v>0</v>
      </c>
      <c r="AE14" s="96"/>
      <c r="AF14" s="87">
        <f t="shared" si="12"/>
        <v>0</v>
      </c>
      <c r="AG14" s="87">
        <f t="shared" si="39"/>
        <v>0</v>
      </c>
      <c r="AH14" s="87">
        <f t="shared" si="13"/>
        <v>0</v>
      </c>
      <c r="AI14" s="96"/>
      <c r="AJ14" s="87">
        <f t="shared" si="14"/>
        <v>0</v>
      </c>
      <c r="AK14" s="87">
        <f t="shared" si="40"/>
        <v>0</v>
      </c>
      <c r="AL14" s="87">
        <f t="shared" si="15"/>
        <v>0</v>
      </c>
      <c r="AM14" s="95"/>
      <c r="AN14" s="87">
        <f t="shared" si="16"/>
        <v>0</v>
      </c>
      <c r="AO14" s="87">
        <f t="shared" si="41"/>
        <v>0</v>
      </c>
      <c r="AP14" s="87">
        <f t="shared" si="17"/>
        <v>0</v>
      </c>
      <c r="AQ14" s="8">
        <f t="shared" si="42"/>
        <v>0</v>
      </c>
      <c r="AR14" s="87">
        <f t="shared" si="18"/>
        <v>0</v>
      </c>
      <c r="AS14" s="87">
        <f t="shared" si="43"/>
        <v>0</v>
      </c>
      <c r="AT14" s="87">
        <f t="shared" si="19"/>
        <v>0</v>
      </c>
      <c r="AU14" s="96">
        <f>72*AU7</f>
        <v>18000</v>
      </c>
      <c r="AV14" s="87">
        <f t="shared" si="20"/>
        <v>35.331527499705572</v>
      </c>
      <c r="AW14" s="87">
        <f t="shared" si="44"/>
        <v>85000</v>
      </c>
      <c r="AX14" s="87">
        <f t="shared" si="21"/>
        <v>33.236231402373456</v>
      </c>
      <c r="AY14" s="95">
        <v>0</v>
      </c>
      <c r="AZ14" s="596">
        <f t="shared" si="45"/>
        <v>0</v>
      </c>
      <c r="BA14" s="87">
        <f t="shared" si="46"/>
        <v>0</v>
      </c>
      <c r="BB14" s="8">
        <f t="shared" si="47"/>
        <v>0</v>
      </c>
      <c r="BC14" s="96">
        <f>72*BC7</f>
        <v>17946</v>
      </c>
      <c r="BD14" s="88">
        <f t="shared" si="22"/>
        <v>35.225532917206451</v>
      </c>
      <c r="BE14" s="87">
        <f t="shared" si="48"/>
        <v>84745</v>
      </c>
      <c r="BF14" s="87">
        <f t="shared" si="23"/>
        <v>33.136522708166339</v>
      </c>
      <c r="BG14" s="87">
        <f t="shared" si="49"/>
        <v>35946</v>
      </c>
      <c r="BH14" s="87">
        <f t="shared" si="24"/>
        <v>70.557060416912023</v>
      </c>
      <c r="BI14" s="87">
        <f t="shared" si="50"/>
        <v>169745</v>
      </c>
      <c r="BJ14" s="87">
        <f t="shared" si="25"/>
        <v>66.372754110539802</v>
      </c>
      <c r="BK14" s="96"/>
      <c r="BL14" s="8">
        <f t="shared" si="51"/>
        <v>0</v>
      </c>
      <c r="BM14" s="87">
        <f t="shared" si="52"/>
        <v>0</v>
      </c>
      <c r="BN14" s="8">
        <f t="shared" si="53"/>
        <v>0</v>
      </c>
      <c r="BO14" s="96"/>
      <c r="BP14" s="8">
        <f t="shared" si="54"/>
        <v>0</v>
      </c>
      <c r="BQ14" s="87">
        <f t="shared" si="55"/>
        <v>0</v>
      </c>
      <c r="BR14" s="8">
        <f t="shared" si="56"/>
        <v>0</v>
      </c>
      <c r="BS14" s="95">
        <f t="shared" si="57"/>
        <v>0</v>
      </c>
      <c r="BT14" s="87">
        <f t="shared" si="26"/>
        <v>0</v>
      </c>
      <c r="BU14" s="87">
        <f t="shared" si="58"/>
        <v>0</v>
      </c>
      <c r="BV14" s="87">
        <f t="shared" si="27"/>
        <v>0</v>
      </c>
      <c r="BW14" s="87">
        <f t="shared" si="28"/>
        <v>50946</v>
      </c>
      <c r="BX14" s="87">
        <f t="shared" si="59"/>
        <v>255745</v>
      </c>
      <c r="BY14" s="87">
        <f t="shared" si="29"/>
        <v>1.3714701052574905</v>
      </c>
      <c r="BZ14" s="87">
        <f t="shared" si="30"/>
        <v>1.1145515558267238</v>
      </c>
    </row>
    <row r="15" spans="1:78">
      <c r="A15" s="13">
        <f>Chem!A15</f>
        <v>46118</v>
      </c>
      <c r="B15" s="4" t="str">
        <f>Chem!B15</f>
        <v>Napkin/Towel</v>
      </c>
      <c r="C15" s="13" t="str">
        <f>Chem!C15</f>
        <v>17/17,5/17</v>
      </c>
      <c r="D15" s="6">
        <f>+Chem!D15</f>
        <v>54.048000000000002</v>
      </c>
      <c r="E15" s="5">
        <f>+Chem!E15</f>
        <v>42.652000000000001</v>
      </c>
      <c r="F15" s="5">
        <f t="shared" si="31"/>
        <v>272.11199999999997</v>
      </c>
      <c r="G15" s="96"/>
      <c r="H15" s="87">
        <f t="shared" si="0"/>
        <v>0</v>
      </c>
      <c r="I15" s="6">
        <f t="shared" si="32"/>
        <v>0</v>
      </c>
      <c r="J15" s="87">
        <f t="shared" si="1"/>
        <v>0</v>
      </c>
      <c r="K15" s="96">
        <f>32*K7</f>
        <v>8000</v>
      </c>
      <c r="L15" s="87">
        <f t="shared" si="2"/>
        <v>13.737278582436488</v>
      </c>
      <c r="M15" s="87">
        <f t="shared" si="33"/>
        <v>94000</v>
      </c>
      <c r="N15" s="87">
        <f t="shared" si="3"/>
        <v>29.938146118042813</v>
      </c>
      <c r="O15" s="95"/>
      <c r="P15" s="87">
        <f t="shared" si="4"/>
        <v>0</v>
      </c>
      <c r="Q15" s="87">
        <f t="shared" si="34"/>
        <v>0</v>
      </c>
      <c r="R15" s="87">
        <f t="shared" si="5"/>
        <v>0</v>
      </c>
      <c r="S15" s="96">
        <f>32*S7</f>
        <v>8005.7280000000001</v>
      </c>
      <c r="T15" s="87">
        <f t="shared" si="6"/>
        <v>13.747114473901512</v>
      </c>
      <c r="U15" s="87">
        <f t="shared" si="35"/>
        <v>8005.7280000000001</v>
      </c>
      <c r="V15" s="87">
        <f t="shared" si="7"/>
        <v>2.5497516451628366</v>
      </c>
      <c r="W15" s="8">
        <f t="shared" si="36"/>
        <v>16005.727999999999</v>
      </c>
      <c r="X15" s="87">
        <f t="shared" si="8"/>
        <v>27.484393056337996</v>
      </c>
      <c r="Y15" s="87">
        <f t="shared" si="37"/>
        <v>102005.728</v>
      </c>
      <c r="Z15" s="87">
        <f t="shared" si="9"/>
        <v>32.487897763205652</v>
      </c>
      <c r="AA15" s="96"/>
      <c r="AB15" s="87">
        <f t="shared" si="10"/>
        <v>0</v>
      </c>
      <c r="AC15" s="87">
        <f t="shared" si="38"/>
        <v>0</v>
      </c>
      <c r="AD15" s="87">
        <f t="shared" si="11"/>
        <v>0</v>
      </c>
      <c r="AE15" s="96"/>
      <c r="AF15" s="87">
        <f t="shared" si="12"/>
        <v>0</v>
      </c>
      <c r="AG15" s="87">
        <f t="shared" si="39"/>
        <v>0</v>
      </c>
      <c r="AH15" s="87">
        <f t="shared" si="13"/>
        <v>0</v>
      </c>
      <c r="AI15" s="96"/>
      <c r="AJ15" s="87">
        <f t="shared" si="14"/>
        <v>0</v>
      </c>
      <c r="AK15" s="87">
        <f t="shared" si="40"/>
        <v>0</v>
      </c>
      <c r="AL15" s="87">
        <f t="shared" si="15"/>
        <v>0</v>
      </c>
      <c r="AM15" s="95"/>
      <c r="AN15" s="87">
        <f t="shared" si="16"/>
        <v>0</v>
      </c>
      <c r="AO15" s="87">
        <f t="shared" si="41"/>
        <v>0</v>
      </c>
      <c r="AP15" s="87">
        <f t="shared" si="17"/>
        <v>0</v>
      </c>
      <c r="AQ15" s="8">
        <f t="shared" si="42"/>
        <v>0</v>
      </c>
      <c r="AR15" s="87">
        <f t="shared" si="18"/>
        <v>0</v>
      </c>
      <c r="AS15" s="87">
        <f t="shared" si="43"/>
        <v>0</v>
      </c>
      <c r="AT15" s="87">
        <f t="shared" si="19"/>
        <v>0</v>
      </c>
      <c r="AU15" s="96">
        <f>30*AU7</f>
        <v>7500</v>
      </c>
      <c r="AV15" s="87">
        <f t="shared" si="20"/>
        <v>12.878698671034206</v>
      </c>
      <c r="AW15" s="87">
        <f t="shared" si="44"/>
        <v>92500</v>
      </c>
      <c r="AX15" s="87">
        <f t="shared" si="21"/>
        <v>29.460409743818726</v>
      </c>
      <c r="AY15" s="95">
        <f>109.5*AY7</f>
        <v>27252.469499999999</v>
      </c>
      <c r="AZ15" s="596">
        <f t="shared" si="45"/>
        <v>46.796845697606699</v>
      </c>
      <c r="BA15" s="87">
        <f t="shared" si="46"/>
        <v>27252.469499999999</v>
      </c>
      <c r="BB15" s="8">
        <f t="shared" si="47"/>
        <v>8.6796639783883514</v>
      </c>
      <c r="BC15" s="96">
        <f>30*BC7</f>
        <v>7477.5</v>
      </c>
      <c r="BD15" s="88">
        <f t="shared" si="22"/>
        <v>12.840062575021104</v>
      </c>
      <c r="BE15" s="87">
        <f t="shared" si="48"/>
        <v>92222.5</v>
      </c>
      <c r="BF15" s="87">
        <f t="shared" si="23"/>
        <v>29.372028514587267</v>
      </c>
      <c r="BG15" s="87">
        <f t="shared" si="49"/>
        <v>42229.969499999999</v>
      </c>
      <c r="BH15" s="87">
        <f t="shared" si="24"/>
        <v>72.515606943662021</v>
      </c>
      <c r="BI15" s="87">
        <f t="shared" si="50"/>
        <v>211974.96950000001</v>
      </c>
      <c r="BJ15" s="87">
        <f t="shared" si="25"/>
        <v>67.512102236794348</v>
      </c>
      <c r="BK15" s="96"/>
      <c r="BL15" s="8">
        <f t="shared" si="51"/>
        <v>0</v>
      </c>
      <c r="BM15" s="87">
        <f t="shared" si="52"/>
        <v>0</v>
      </c>
      <c r="BN15" s="8">
        <f t="shared" si="53"/>
        <v>0</v>
      </c>
      <c r="BO15" s="96"/>
      <c r="BP15" s="8">
        <f t="shared" si="54"/>
        <v>0</v>
      </c>
      <c r="BQ15" s="87">
        <f t="shared" si="55"/>
        <v>0</v>
      </c>
      <c r="BR15" s="8">
        <f t="shared" si="56"/>
        <v>0</v>
      </c>
      <c r="BS15" s="95">
        <f t="shared" si="57"/>
        <v>0</v>
      </c>
      <c r="BT15" s="87">
        <f t="shared" si="26"/>
        <v>0</v>
      </c>
      <c r="BU15" s="87">
        <f t="shared" si="58"/>
        <v>0</v>
      </c>
      <c r="BV15" s="87">
        <f t="shared" si="27"/>
        <v>0</v>
      </c>
      <c r="BW15" s="87">
        <f t="shared" si="28"/>
        <v>58235.697499999995</v>
      </c>
      <c r="BX15" s="87">
        <f t="shared" si="59"/>
        <v>313980.69750000001</v>
      </c>
      <c r="BY15" s="87">
        <f t="shared" si="29"/>
        <v>1.3653685055800429</v>
      </c>
      <c r="BZ15" s="87">
        <f t="shared" si="30"/>
        <v>1.15386567847063</v>
      </c>
    </row>
    <row r="16" spans="1:78">
      <c r="A16" s="13">
        <f>Chem!A16</f>
        <v>46119</v>
      </c>
      <c r="B16" s="4" t="str">
        <f>Chem!B16</f>
        <v>Towel</v>
      </c>
      <c r="C16" s="13" t="str">
        <f>Chem!C16</f>
        <v>17</v>
      </c>
      <c r="D16" s="6">
        <f>+Chem!D16</f>
        <v>52.462999999999994</v>
      </c>
      <c r="E16" s="5">
        <f>+Chem!E16</f>
        <v>60.290999999999997</v>
      </c>
      <c r="F16" s="5">
        <f t="shared" si="31"/>
        <v>332.40299999999996</v>
      </c>
      <c r="G16" s="96"/>
      <c r="H16" s="87">
        <f t="shared" si="0"/>
        <v>0</v>
      </c>
      <c r="I16" s="6">
        <f t="shared" si="32"/>
        <v>0</v>
      </c>
      <c r="J16" s="87">
        <f t="shared" si="1"/>
        <v>0</v>
      </c>
      <c r="K16" s="96">
        <v>0</v>
      </c>
      <c r="L16" s="87">
        <f t="shared" si="2"/>
        <v>0</v>
      </c>
      <c r="M16" s="87">
        <f t="shared" si="33"/>
        <v>94000</v>
      </c>
      <c r="N16" s="87">
        <f t="shared" si="3"/>
        <v>25.842252408740535</v>
      </c>
      <c r="O16" s="95"/>
      <c r="P16" s="87">
        <f t="shared" si="4"/>
        <v>0</v>
      </c>
      <c r="Q16" s="87">
        <f t="shared" si="34"/>
        <v>0</v>
      </c>
      <c r="R16" s="87">
        <f t="shared" si="5"/>
        <v>0</v>
      </c>
      <c r="S16" s="96">
        <f>87*S7</f>
        <v>21765.573</v>
      </c>
      <c r="T16" s="87">
        <f t="shared" si="6"/>
        <v>43.736984934828939</v>
      </c>
      <c r="U16" s="87">
        <f t="shared" si="35"/>
        <v>29771.300999999999</v>
      </c>
      <c r="V16" s="87">
        <f t="shared" si="7"/>
        <v>8.1846539891339312</v>
      </c>
      <c r="W16" s="8">
        <f t="shared" si="36"/>
        <v>21765.573</v>
      </c>
      <c r="X16" s="87">
        <f t="shared" si="8"/>
        <v>43.736984934828939</v>
      </c>
      <c r="Y16" s="87">
        <f t="shared" si="37"/>
        <v>123771.30100000001</v>
      </c>
      <c r="Z16" s="87">
        <f t="shared" si="9"/>
        <v>34.02690639787447</v>
      </c>
      <c r="AA16" s="96"/>
      <c r="AB16" s="87">
        <f t="shared" si="10"/>
        <v>0</v>
      </c>
      <c r="AC16" s="87">
        <f t="shared" si="38"/>
        <v>0</v>
      </c>
      <c r="AD16" s="87">
        <f t="shared" si="11"/>
        <v>0</v>
      </c>
      <c r="AE16" s="96"/>
      <c r="AF16" s="87">
        <f t="shared" si="12"/>
        <v>0</v>
      </c>
      <c r="AG16" s="87">
        <f t="shared" si="39"/>
        <v>0</v>
      </c>
      <c r="AH16" s="87">
        <f t="shared" si="13"/>
        <v>0</v>
      </c>
      <c r="AI16" s="96"/>
      <c r="AJ16" s="87">
        <f t="shared" si="14"/>
        <v>0</v>
      </c>
      <c r="AK16" s="87">
        <f t="shared" si="40"/>
        <v>0</v>
      </c>
      <c r="AL16" s="87">
        <f t="shared" si="15"/>
        <v>0</v>
      </c>
      <c r="AM16" s="95"/>
      <c r="AN16" s="87">
        <f t="shared" si="16"/>
        <v>0</v>
      </c>
      <c r="AO16" s="87">
        <f t="shared" si="41"/>
        <v>0</v>
      </c>
      <c r="AP16" s="87">
        <f t="shared" si="17"/>
        <v>0</v>
      </c>
      <c r="AQ16" s="8">
        <f t="shared" si="42"/>
        <v>0</v>
      </c>
      <c r="AR16" s="87">
        <f t="shared" si="18"/>
        <v>0</v>
      </c>
      <c r="AS16" s="87">
        <f t="shared" si="43"/>
        <v>0</v>
      </c>
      <c r="AT16" s="87">
        <f t="shared" si="19"/>
        <v>0</v>
      </c>
      <c r="AU16" s="95">
        <v>0</v>
      </c>
      <c r="AV16" s="87">
        <f t="shared" si="20"/>
        <v>0</v>
      </c>
      <c r="AW16" s="87">
        <f t="shared" si="44"/>
        <v>92500</v>
      </c>
      <c r="AX16" s="87">
        <f t="shared" si="21"/>
        <v>25.429876040515953</v>
      </c>
      <c r="AY16" s="95">
        <f>112.5*AY7</f>
        <v>27999.112499999999</v>
      </c>
      <c r="AZ16" s="596">
        <f t="shared" si="45"/>
        <v>56.263015065171061</v>
      </c>
      <c r="BA16" s="87">
        <f t="shared" si="46"/>
        <v>55251.581999999995</v>
      </c>
      <c r="BB16" s="8">
        <f t="shared" si="47"/>
        <v>15.18963114921516</v>
      </c>
      <c r="BC16" s="95">
        <v>0</v>
      </c>
      <c r="BD16" s="88">
        <f t="shared" si="22"/>
        <v>0</v>
      </c>
      <c r="BE16" s="87">
        <f t="shared" si="48"/>
        <v>92222.5</v>
      </c>
      <c r="BF16" s="87">
        <f t="shared" si="23"/>
        <v>25.353586412394407</v>
      </c>
      <c r="BG16" s="87">
        <f t="shared" si="49"/>
        <v>27999.112499999999</v>
      </c>
      <c r="BH16" s="87">
        <f t="shared" si="24"/>
        <v>56.263015065171061</v>
      </c>
      <c r="BI16" s="87">
        <f t="shared" si="50"/>
        <v>239974.08199999999</v>
      </c>
      <c r="BJ16" s="87">
        <f t="shared" si="25"/>
        <v>65.973093602125516</v>
      </c>
      <c r="BK16" s="96"/>
      <c r="BL16" s="8">
        <f t="shared" si="51"/>
        <v>0</v>
      </c>
      <c r="BM16" s="87">
        <f t="shared" si="52"/>
        <v>0</v>
      </c>
      <c r="BN16" s="8">
        <f t="shared" si="53"/>
        <v>0</v>
      </c>
      <c r="BO16" s="96"/>
      <c r="BP16" s="8">
        <f t="shared" si="54"/>
        <v>0</v>
      </c>
      <c r="BQ16" s="87">
        <f t="shared" si="55"/>
        <v>0</v>
      </c>
      <c r="BR16" s="8">
        <f t="shared" si="56"/>
        <v>0</v>
      </c>
      <c r="BS16" s="95">
        <f t="shared" si="57"/>
        <v>0</v>
      </c>
      <c r="BT16" s="87">
        <f t="shared" si="26"/>
        <v>0</v>
      </c>
      <c r="BU16" s="87">
        <f t="shared" si="58"/>
        <v>0</v>
      </c>
      <c r="BV16" s="87">
        <f t="shared" si="27"/>
        <v>0</v>
      </c>
      <c r="BW16" s="87">
        <f t="shared" si="28"/>
        <v>49764.6855</v>
      </c>
      <c r="BX16" s="87">
        <f t="shared" si="59"/>
        <v>363745.38300000003</v>
      </c>
      <c r="BY16" s="87">
        <f t="shared" si="29"/>
        <v>0.82540819525302289</v>
      </c>
      <c r="BZ16" s="87">
        <f t="shared" si="30"/>
        <v>1.0942903132643209</v>
      </c>
    </row>
    <row r="17" spans="1:89">
      <c r="A17" s="13">
        <f>Chem!A17</f>
        <v>46120</v>
      </c>
      <c r="B17" s="4" t="str">
        <f>Chem!B17</f>
        <v>Towel</v>
      </c>
      <c r="C17" s="13" t="str">
        <f>Chem!C17</f>
        <v>17</v>
      </c>
      <c r="D17" s="6">
        <f>+Chem!D17</f>
        <v>48.456999999999994</v>
      </c>
      <c r="E17" s="5">
        <f>+Chem!E17</f>
        <v>46.26</v>
      </c>
      <c r="F17" s="5">
        <f t="shared" si="31"/>
        <v>378.66299999999995</v>
      </c>
      <c r="G17" s="96"/>
      <c r="H17" s="87">
        <f t="shared" si="0"/>
        <v>0</v>
      </c>
      <c r="I17" s="6">
        <f t="shared" si="32"/>
        <v>0</v>
      </c>
      <c r="J17" s="87">
        <f t="shared" si="1"/>
        <v>0</v>
      </c>
      <c r="K17" s="96">
        <v>0</v>
      </c>
      <c r="L17" s="87">
        <f t="shared" si="2"/>
        <v>0</v>
      </c>
      <c r="M17" s="87">
        <f t="shared" si="33"/>
        <v>94000</v>
      </c>
      <c r="N17" s="87">
        <f t="shared" si="3"/>
        <v>22.919413887582888</v>
      </c>
      <c r="O17" s="95"/>
      <c r="P17" s="87">
        <f t="shared" si="4"/>
        <v>0</v>
      </c>
      <c r="Q17" s="87">
        <f t="shared" si="34"/>
        <v>0</v>
      </c>
      <c r="R17" s="87">
        <f t="shared" si="5"/>
        <v>0</v>
      </c>
      <c r="S17" s="96">
        <f>73.5*S7</f>
        <v>18388.156500000001</v>
      </c>
      <c r="T17" s="87">
        <f t="shared" si="6"/>
        <v>39.640523998082323</v>
      </c>
      <c r="U17" s="87">
        <f t="shared" si="35"/>
        <v>48159.457500000004</v>
      </c>
      <c r="V17" s="87">
        <f t="shared" si="7"/>
        <v>11.742409989829341</v>
      </c>
      <c r="W17" s="8">
        <f t="shared" si="36"/>
        <v>18388.156500000001</v>
      </c>
      <c r="X17" s="87">
        <f t="shared" si="8"/>
        <v>39.640523998082323</v>
      </c>
      <c r="Y17" s="87">
        <f t="shared" si="37"/>
        <v>142159.45750000002</v>
      </c>
      <c r="Z17" s="87">
        <f t="shared" si="9"/>
        <v>34.661823877412232</v>
      </c>
      <c r="AA17" s="96"/>
      <c r="AB17" s="87">
        <f t="shared" si="10"/>
        <v>0</v>
      </c>
      <c r="AC17" s="87">
        <f t="shared" si="38"/>
        <v>0</v>
      </c>
      <c r="AD17" s="87">
        <f t="shared" si="11"/>
        <v>0</v>
      </c>
      <c r="AE17" s="96"/>
      <c r="AF17" s="87">
        <f t="shared" si="12"/>
        <v>0</v>
      </c>
      <c r="AG17" s="87">
        <f t="shared" si="39"/>
        <v>0</v>
      </c>
      <c r="AH17" s="87">
        <f t="shared" si="13"/>
        <v>0</v>
      </c>
      <c r="AI17" s="96"/>
      <c r="AJ17" s="87">
        <f t="shared" si="14"/>
        <v>0</v>
      </c>
      <c r="AK17" s="87">
        <f t="shared" si="40"/>
        <v>0</v>
      </c>
      <c r="AL17" s="87">
        <f t="shared" si="15"/>
        <v>0</v>
      </c>
      <c r="AM17" s="95"/>
      <c r="AN17" s="87">
        <f t="shared" si="16"/>
        <v>0</v>
      </c>
      <c r="AO17" s="87">
        <f t="shared" si="41"/>
        <v>0</v>
      </c>
      <c r="AP17" s="87">
        <f t="shared" si="17"/>
        <v>0</v>
      </c>
      <c r="AQ17" s="8">
        <f t="shared" si="42"/>
        <v>0</v>
      </c>
      <c r="AR17" s="87">
        <f t="shared" si="18"/>
        <v>0</v>
      </c>
      <c r="AS17" s="87">
        <f t="shared" si="43"/>
        <v>0</v>
      </c>
      <c r="AT17" s="87">
        <f t="shared" si="19"/>
        <v>0</v>
      </c>
      <c r="AU17" s="95">
        <v>0</v>
      </c>
      <c r="AV17" s="87">
        <f t="shared" si="20"/>
        <v>0</v>
      </c>
      <c r="AW17" s="87">
        <f t="shared" si="44"/>
        <v>92500</v>
      </c>
      <c r="AX17" s="87">
        <f t="shared" si="21"/>
        <v>22.553678559589542</v>
      </c>
      <c r="AY17" s="95">
        <f>112.5*AY7</f>
        <v>27999.112499999999</v>
      </c>
      <c r="AZ17" s="596">
        <f t="shared" si="45"/>
        <v>60.359476001917677</v>
      </c>
      <c r="BA17" s="87">
        <f t="shared" si="46"/>
        <v>83250.694499999998</v>
      </c>
      <c r="BB17" s="8">
        <f t="shared" si="47"/>
        <v>20.298480039087448</v>
      </c>
      <c r="BC17" s="95">
        <v>0</v>
      </c>
      <c r="BD17" s="88">
        <f t="shared" si="22"/>
        <v>0</v>
      </c>
      <c r="BE17" s="87">
        <f t="shared" si="48"/>
        <v>92222.5</v>
      </c>
      <c r="BF17" s="87">
        <f t="shared" si="23"/>
        <v>22.486017523910775</v>
      </c>
      <c r="BG17" s="87">
        <f t="shared" si="49"/>
        <v>27999.112499999999</v>
      </c>
      <c r="BH17" s="87">
        <f t="shared" si="24"/>
        <v>60.359476001917677</v>
      </c>
      <c r="BI17" s="87">
        <f t="shared" si="50"/>
        <v>267973.19449999998</v>
      </c>
      <c r="BJ17" s="87">
        <f t="shared" si="25"/>
        <v>65.338176122587768</v>
      </c>
      <c r="BK17" s="96"/>
      <c r="BL17" s="8">
        <f t="shared" si="51"/>
        <v>0</v>
      </c>
      <c r="BM17" s="87">
        <f t="shared" si="52"/>
        <v>0</v>
      </c>
      <c r="BN17" s="8">
        <f t="shared" si="53"/>
        <v>0</v>
      </c>
      <c r="BO17" s="96"/>
      <c r="BP17" s="8">
        <f t="shared" si="54"/>
        <v>0</v>
      </c>
      <c r="BQ17" s="87">
        <f t="shared" si="55"/>
        <v>0</v>
      </c>
      <c r="BR17" s="8">
        <f t="shared" si="56"/>
        <v>0</v>
      </c>
      <c r="BS17" s="95">
        <f t="shared" si="57"/>
        <v>0</v>
      </c>
      <c r="BT17" s="87">
        <f t="shared" si="26"/>
        <v>0</v>
      </c>
      <c r="BU17" s="87">
        <f t="shared" si="58"/>
        <v>0</v>
      </c>
      <c r="BV17" s="87">
        <f t="shared" si="27"/>
        <v>0</v>
      </c>
      <c r="BW17" s="87">
        <f t="shared" si="28"/>
        <v>46387.269</v>
      </c>
      <c r="BX17" s="87">
        <f t="shared" si="59"/>
        <v>410132.652</v>
      </c>
      <c r="BY17" s="87">
        <f t="shared" si="29"/>
        <v>1.0027511673151752</v>
      </c>
      <c r="BZ17" s="87">
        <f t="shared" si="30"/>
        <v>1.0831072800880996</v>
      </c>
    </row>
    <row r="18" spans="1:89">
      <c r="A18" s="13">
        <f>Chem!A18</f>
        <v>46121</v>
      </c>
      <c r="B18" s="4" t="str">
        <f>Chem!B18</f>
        <v>Towel</v>
      </c>
      <c r="C18" s="13" t="str">
        <f>Chem!C18</f>
        <v>17</v>
      </c>
      <c r="D18" s="6">
        <f>+Chem!D18</f>
        <v>54.501999999999995</v>
      </c>
      <c r="E18" s="5">
        <f>+Chem!E18</f>
        <v>49.106000000000002</v>
      </c>
      <c r="F18" s="5">
        <f t="shared" si="31"/>
        <v>427.76899999999995</v>
      </c>
      <c r="G18" s="95"/>
      <c r="H18" s="8">
        <f t="shared" si="0"/>
        <v>0</v>
      </c>
      <c r="I18" s="6">
        <f t="shared" si="32"/>
        <v>0</v>
      </c>
      <c r="J18" s="8">
        <f t="shared" si="1"/>
        <v>0</v>
      </c>
      <c r="K18" s="96">
        <v>0</v>
      </c>
      <c r="L18" s="8">
        <f t="shared" si="2"/>
        <v>0</v>
      </c>
      <c r="M18" s="8">
        <f t="shared" si="33"/>
        <v>94000</v>
      </c>
      <c r="N18" s="8">
        <f t="shared" si="3"/>
        <v>20.351808925231893</v>
      </c>
      <c r="O18" s="95"/>
      <c r="P18" s="8">
        <f t="shared" si="4"/>
        <v>0</v>
      </c>
      <c r="Q18" s="8">
        <f t="shared" si="34"/>
        <v>0</v>
      </c>
      <c r="R18" s="8">
        <f t="shared" si="5"/>
        <v>0</v>
      </c>
      <c r="S18" s="95">
        <f>77*S7</f>
        <v>19263.782999999999</v>
      </c>
      <c r="T18" s="8">
        <f t="shared" si="6"/>
        <v>37.229914716463632</v>
      </c>
      <c r="U18" s="8">
        <f t="shared" si="35"/>
        <v>67423.2405</v>
      </c>
      <c r="V18" s="8">
        <f t="shared" si="7"/>
        <v>14.597711784850601</v>
      </c>
      <c r="W18" s="8">
        <f t="shared" si="36"/>
        <v>19263.782999999999</v>
      </c>
      <c r="X18" s="8">
        <f t="shared" si="8"/>
        <v>37.229914716463632</v>
      </c>
      <c r="Y18" s="8">
        <f t="shared" si="37"/>
        <v>161423.24050000001</v>
      </c>
      <c r="Z18" s="8">
        <f t="shared" si="9"/>
        <v>34.949520710082496</v>
      </c>
      <c r="AA18" s="95"/>
      <c r="AB18" s="8">
        <f t="shared" si="10"/>
        <v>0</v>
      </c>
      <c r="AC18" s="8">
        <f t="shared" si="38"/>
        <v>0</v>
      </c>
      <c r="AD18" s="8">
        <f t="shared" si="11"/>
        <v>0</v>
      </c>
      <c r="AE18" s="95"/>
      <c r="AF18" s="8">
        <f t="shared" si="12"/>
        <v>0</v>
      </c>
      <c r="AG18" s="8">
        <f t="shared" si="39"/>
        <v>0</v>
      </c>
      <c r="AH18" s="8">
        <f t="shared" si="13"/>
        <v>0</v>
      </c>
      <c r="AI18" s="95"/>
      <c r="AJ18" s="8">
        <f t="shared" si="14"/>
        <v>0</v>
      </c>
      <c r="AK18" s="8">
        <f t="shared" si="40"/>
        <v>0</v>
      </c>
      <c r="AL18" s="8">
        <f t="shared" si="15"/>
        <v>0</v>
      </c>
      <c r="AM18" s="95"/>
      <c r="AN18" s="8">
        <f t="shared" si="16"/>
        <v>0</v>
      </c>
      <c r="AO18" s="8">
        <f t="shared" si="41"/>
        <v>0</v>
      </c>
      <c r="AP18" s="8">
        <f t="shared" si="17"/>
        <v>0</v>
      </c>
      <c r="AQ18" s="8">
        <f t="shared" si="42"/>
        <v>0</v>
      </c>
      <c r="AR18" s="8">
        <f t="shared" si="18"/>
        <v>0</v>
      </c>
      <c r="AS18" s="8">
        <f t="shared" si="43"/>
        <v>0</v>
      </c>
      <c r="AT18" s="8">
        <f t="shared" si="19"/>
        <v>0</v>
      </c>
      <c r="AU18" s="95">
        <v>0</v>
      </c>
      <c r="AV18" s="8">
        <f t="shared" si="20"/>
        <v>0</v>
      </c>
      <c r="AW18" s="8">
        <f t="shared" si="44"/>
        <v>92500</v>
      </c>
      <c r="AX18" s="8">
        <f t="shared" si="21"/>
        <v>20.027046016850534</v>
      </c>
      <c r="AY18" s="95">
        <f>130.5*AY7</f>
        <v>32478.970499999999</v>
      </c>
      <c r="AZ18" s="596">
        <f t="shared" si="45"/>
        <v>62.770085283536368</v>
      </c>
      <c r="BA18" s="8">
        <f t="shared" si="46"/>
        <v>115729.66499999999</v>
      </c>
      <c r="BB18" s="8">
        <f t="shared" si="47"/>
        <v>25.056468394266989</v>
      </c>
      <c r="BC18" s="95">
        <v>0</v>
      </c>
      <c r="BD18" s="12">
        <f t="shared" si="22"/>
        <v>0</v>
      </c>
      <c r="BE18" s="8">
        <f t="shared" si="48"/>
        <v>92222.5</v>
      </c>
      <c r="BF18" s="8">
        <f t="shared" si="23"/>
        <v>19.966964878799981</v>
      </c>
      <c r="BG18" s="8">
        <f t="shared" si="49"/>
        <v>32478.970499999999</v>
      </c>
      <c r="BH18" s="8">
        <f t="shared" si="24"/>
        <v>62.770085283536368</v>
      </c>
      <c r="BI18" s="8">
        <f t="shared" si="50"/>
        <v>300452.16499999998</v>
      </c>
      <c r="BJ18" s="8">
        <f t="shared" si="25"/>
        <v>65.050479289917504</v>
      </c>
      <c r="BK18" s="95"/>
      <c r="BL18" s="8">
        <f t="shared" si="51"/>
        <v>0</v>
      </c>
      <c r="BM18" s="8">
        <f t="shared" si="52"/>
        <v>0</v>
      </c>
      <c r="BN18" s="8">
        <f t="shared" si="53"/>
        <v>0</v>
      </c>
      <c r="BO18" s="95"/>
      <c r="BP18" s="8">
        <f t="shared" si="54"/>
        <v>0</v>
      </c>
      <c r="BQ18" s="8">
        <f t="shared" si="55"/>
        <v>0</v>
      </c>
      <c r="BR18" s="8">
        <f t="shared" si="56"/>
        <v>0</v>
      </c>
      <c r="BS18" s="95">
        <f t="shared" si="57"/>
        <v>0</v>
      </c>
      <c r="BT18" s="8">
        <f t="shared" si="26"/>
        <v>0</v>
      </c>
      <c r="BU18" s="8">
        <f t="shared" si="58"/>
        <v>0</v>
      </c>
      <c r="BV18" s="8">
        <f t="shared" si="27"/>
        <v>0</v>
      </c>
      <c r="BW18" s="8">
        <f t="shared" si="28"/>
        <v>51742.753499999999</v>
      </c>
      <c r="BX18" s="8">
        <f t="shared" si="59"/>
        <v>461875.40549999999</v>
      </c>
      <c r="BY18" s="8">
        <f t="shared" si="29"/>
        <v>1.0536951390868732</v>
      </c>
      <c r="BZ18" s="8">
        <f t="shared" si="30"/>
        <v>1.0797308956469498</v>
      </c>
    </row>
    <row r="19" spans="1:89">
      <c r="A19" s="13">
        <f>Chem!A19</f>
        <v>46122</v>
      </c>
      <c r="B19" s="4" t="str">
        <f>Chem!B19</f>
        <v>Towel</v>
      </c>
      <c r="C19" s="13" t="str">
        <f>Chem!C19</f>
        <v>17</v>
      </c>
      <c r="D19" s="6">
        <f>+Chem!D19</f>
        <v>53.430999999999997</v>
      </c>
      <c r="E19" s="5">
        <f>+Chem!E19</f>
        <v>56.877000000000002</v>
      </c>
      <c r="F19" s="5">
        <f t="shared" si="31"/>
        <v>484.64599999999996</v>
      </c>
      <c r="G19" s="95"/>
      <c r="H19" s="8">
        <f t="shared" si="0"/>
        <v>0</v>
      </c>
      <c r="I19" s="6">
        <f t="shared" si="32"/>
        <v>0</v>
      </c>
      <c r="J19" s="8">
        <f t="shared" si="1"/>
        <v>0</v>
      </c>
      <c r="K19" s="96">
        <v>0</v>
      </c>
      <c r="L19" s="8">
        <f t="shared" si="2"/>
        <v>0</v>
      </c>
      <c r="M19" s="8">
        <f t="shared" si="33"/>
        <v>94000</v>
      </c>
      <c r="N19" s="8">
        <f t="shared" si="3"/>
        <v>18.292831360292869</v>
      </c>
      <c r="O19" s="95"/>
      <c r="P19" s="8">
        <f t="shared" si="4"/>
        <v>0</v>
      </c>
      <c r="Q19" s="8">
        <f t="shared" si="34"/>
        <v>0</v>
      </c>
      <c r="R19" s="8">
        <f t="shared" si="5"/>
        <v>0</v>
      </c>
      <c r="S19" s="95">
        <f>73.5*S7</f>
        <v>18388.156500000001</v>
      </c>
      <c r="T19" s="8">
        <f t="shared" si="6"/>
        <v>35.370619839349935</v>
      </c>
      <c r="U19" s="8">
        <f t="shared" si="35"/>
        <v>85811.396999999997</v>
      </c>
      <c r="V19" s="8">
        <f t="shared" si="7"/>
        <v>16.699291639490866</v>
      </c>
      <c r="W19" s="8">
        <f t="shared" si="36"/>
        <v>18388.156500000001</v>
      </c>
      <c r="X19" s="8">
        <f t="shared" si="8"/>
        <v>35.370619839349935</v>
      </c>
      <c r="Y19" s="8">
        <f t="shared" si="37"/>
        <v>179811.39700000003</v>
      </c>
      <c r="Z19" s="8">
        <f t="shared" si="9"/>
        <v>34.992122999783746</v>
      </c>
      <c r="AA19" s="95"/>
      <c r="AB19" s="8">
        <f t="shared" si="10"/>
        <v>0</v>
      </c>
      <c r="AC19" s="8">
        <f t="shared" si="38"/>
        <v>0</v>
      </c>
      <c r="AD19" s="8">
        <f t="shared" si="11"/>
        <v>0</v>
      </c>
      <c r="AE19" s="95"/>
      <c r="AF19" s="8">
        <f t="shared" si="12"/>
        <v>0</v>
      </c>
      <c r="AG19" s="8">
        <f t="shared" si="39"/>
        <v>0</v>
      </c>
      <c r="AH19" s="8">
        <f t="shared" si="13"/>
        <v>0</v>
      </c>
      <c r="AI19" s="95"/>
      <c r="AJ19" s="8">
        <f t="shared" si="14"/>
        <v>0</v>
      </c>
      <c r="AK19" s="8">
        <f t="shared" si="40"/>
        <v>0</v>
      </c>
      <c r="AL19" s="8">
        <f t="shared" si="15"/>
        <v>0</v>
      </c>
      <c r="AM19" s="95"/>
      <c r="AN19" s="8">
        <f t="shared" si="16"/>
        <v>0</v>
      </c>
      <c r="AO19" s="8">
        <f t="shared" si="41"/>
        <v>0</v>
      </c>
      <c r="AP19" s="8">
        <f t="shared" si="17"/>
        <v>0</v>
      </c>
      <c r="AQ19" s="8">
        <f t="shared" si="42"/>
        <v>0</v>
      </c>
      <c r="AR19" s="8">
        <f t="shared" si="18"/>
        <v>0</v>
      </c>
      <c r="AS19" s="8">
        <f t="shared" si="43"/>
        <v>0</v>
      </c>
      <c r="AT19" s="8">
        <f t="shared" si="19"/>
        <v>0</v>
      </c>
      <c r="AU19" s="95">
        <v>0</v>
      </c>
      <c r="AV19" s="8">
        <f t="shared" si="20"/>
        <v>0</v>
      </c>
      <c r="AW19" s="8">
        <f t="shared" si="44"/>
        <v>92500</v>
      </c>
      <c r="AX19" s="8">
        <f t="shared" si="21"/>
        <v>18.000924476883938</v>
      </c>
      <c r="AY19" s="95">
        <f>135*AY7</f>
        <v>33598.934999999998</v>
      </c>
      <c r="AZ19" s="596">
        <f t="shared" si="45"/>
        <v>64.629380160650072</v>
      </c>
      <c r="BA19" s="8">
        <f t="shared" si="46"/>
        <v>149328.59999999998</v>
      </c>
      <c r="BB19" s="8">
        <f t="shared" si="47"/>
        <v>29.060030819879035</v>
      </c>
      <c r="BC19" s="95">
        <v>0</v>
      </c>
      <c r="BD19" s="12">
        <f t="shared" si="22"/>
        <v>0</v>
      </c>
      <c r="BE19" s="8">
        <f t="shared" si="48"/>
        <v>92222.5</v>
      </c>
      <c r="BF19" s="8">
        <f t="shared" si="23"/>
        <v>17.946921703453288</v>
      </c>
      <c r="BG19" s="8">
        <f t="shared" si="49"/>
        <v>33598.934999999998</v>
      </c>
      <c r="BH19" s="8">
        <f t="shared" si="24"/>
        <v>64.629380160650072</v>
      </c>
      <c r="BI19" s="8">
        <f t="shared" si="50"/>
        <v>334051.09999999998</v>
      </c>
      <c r="BJ19" s="8">
        <f t="shared" si="25"/>
        <v>65.007877000216268</v>
      </c>
      <c r="BK19" s="95"/>
      <c r="BL19" s="8">
        <f t="shared" si="51"/>
        <v>0</v>
      </c>
      <c r="BM19" s="8">
        <f t="shared" si="52"/>
        <v>0</v>
      </c>
      <c r="BN19" s="8">
        <f t="shared" si="53"/>
        <v>0</v>
      </c>
      <c r="BO19" s="95"/>
      <c r="BP19" s="8">
        <f t="shared" si="54"/>
        <v>0</v>
      </c>
      <c r="BQ19" s="8">
        <f t="shared" si="55"/>
        <v>0</v>
      </c>
      <c r="BR19" s="8">
        <f t="shared" si="56"/>
        <v>0</v>
      </c>
      <c r="BS19" s="95">
        <f t="shared" si="57"/>
        <v>0</v>
      </c>
      <c r="BT19" s="8">
        <f t="shared" si="26"/>
        <v>0</v>
      </c>
      <c r="BU19" s="8">
        <f t="shared" si="58"/>
        <v>0</v>
      </c>
      <c r="BV19" s="8">
        <f t="shared" si="27"/>
        <v>0</v>
      </c>
      <c r="BW19" s="8">
        <f t="shared" si="28"/>
        <v>51987.091499999995</v>
      </c>
      <c r="BX19" s="8">
        <f t="shared" si="59"/>
        <v>513862.49699999997</v>
      </c>
      <c r="BY19" s="8">
        <f t="shared" si="29"/>
        <v>0.91402661005327279</v>
      </c>
      <c r="BZ19" s="8">
        <f t="shared" si="30"/>
        <v>1.0602842012520479</v>
      </c>
    </row>
    <row r="20" spans="1:89">
      <c r="A20" s="13">
        <f>Chem!A20</f>
        <v>46123</v>
      </c>
      <c r="B20" s="4" t="str">
        <f>Chem!B20</f>
        <v>Towel/Napkin</v>
      </c>
      <c r="C20" s="13" t="str">
        <f>Chem!C20</f>
        <v>17/15,5</v>
      </c>
      <c r="D20" s="6">
        <f>+Chem!D20</f>
        <v>51.323000000000008</v>
      </c>
      <c r="E20" s="5">
        <f>+Chem!E20</f>
        <v>43.755000000000003</v>
      </c>
      <c r="F20" s="5">
        <f t="shared" si="31"/>
        <v>528.40099999999995</v>
      </c>
      <c r="G20" s="95"/>
      <c r="H20" s="8">
        <f t="shared" si="0"/>
        <v>0</v>
      </c>
      <c r="I20" s="6">
        <f t="shared" si="32"/>
        <v>0</v>
      </c>
      <c r="J20" s="8">
        <f t="shared" si="1"/>
        <v>0</v>
      </c>
      <c r="K20" s="96">
        <v>0</v>
      </c>
      <c r="L20" s="8">
        <f t="shared" si="2"/>
        <v>0</v>
      </c>
      <c r="M20" s="8">
        <f t="shared" si="33"/>
        <v>94000</v>
      </c>
      <c r="N20" s="8">
        <f t="shared" si="3"/>
        <v>16.593675764980855</v>
      </c>
      <c r="O20" s="95"/>
      <c r="P20" s="8">
        <f t="shared" si="4"/>
        <v>0</v>
      </c>
      <c r="Q20" s="8">
        <f t="shared" si="34"/>
        <v>0</v>
      </c>
      <c r="R20" s="8">
        <f t="shared" si="5"/>
        <v>0</v>
      </c>
      <c r="S20" s="95">
        <f>80.5*S7</f>
        <v>20139.409500000002</v>
      </c>
      <c r="T20" s="8">
        <f t="shared" si="6"/>
        <v>38.274476523222496</v>
      </c>
      <c r="U20" s="8">
        <f t="shared" si="35"/>
        <v>105950.80650000001</v>
      </c>
      <c r="V20" s="8">
        <f t="shared" si="7"/>
        <v>18.703333298927937</v>
      </c>
      <c r="W20" s="8">
        <f t="shared" si="36"/>
        <v>20139.409500000002</v>
      </c>
      <c r="X20" s="8">
        <f t="shared" si="8"/>
        <v>38.274476523222496</v>
      </c>
      <c r="Y20" s="8">
        <f t="shared" si="37"/>
        <v>199950.80650000004</v>
      </c>
      <c r="Z20" s="8">
        <f t="shared" si="9"/>
        <v>35.297009063908796</v>
      </c>
      <c r="AA20" s="95"/>
      <c r="AB20" s="8">
        <f t="shared" si="10"/>
        <v>0</v>
      </c>
      <c r="AC20" s="8">
        <f t="shared" si="38"/>
        <v>0</v>
      </c>
      <c r="AD20" s="8">
        <f t="shared" si="11"/>
        <v>0</v>
      </c>
      <c r="AE20" s="95"/>
      <c r="AF20" s="8">
        <f t="shared" si="12"/>
        <v>0</v>
      </c>
      <c r="AG20" s="8">
        <f t="shared" si="39"/>
        <v>0</v>
      </c>
      <c r="AH20" s="8">
        <f t="shared" si="13"/>
        <v>0</v>
      </c>
      <c r="AI20" s="95"/>
      <c r="AJ20" s="8">
        <f t="shared" si="14"/>
        <v>0</v>
      </c>
      <c r="AK20" s="8">
        <f t="shared" si="40"/>
        <v>0</v>
      </c>
      <c r="AL20" s="8">
        <f t="shared" si="15"/>
        <v>0</v>
      </c>
      <c r="AM20" s="95"/>
      <c r="AN20" s="8">
        <f t="shared" si="16"/>
        <v>0</v>
      </c>
      <c r="AO20" s="8">
        <f t="shared" si="41"/>
        <v>0</v>
      </c>
      <c r="AP20" s="8">
        <f t="shared" si="17"/>
        <v>0</v>
      </c>
      <c r="AQ20" s="8">
        <f t="shared" si="42"/>
        <v>0</v>
      </c>
      <c r="AR20" s="8">
        <f t="shared" si="18"/>
        <v>0</v>
      </c>
      <c r="AS20" s="8">
        <f t="shared" si="43"/>
        <v>0</v>
      </c>
      <c r="AT20" s="8">
        <f t="shared" si="19"/>
        <v>0</v>
      </c>
      <c r="AU20" s="95">
        <v>0</v>
      </c>
      <c r="AV20" s="8">
        <f t="shared" si="20"/>
        <v>0</v>
      </c>
      <c r="AW20" s="8">
        <f t="shared" si="44"/>
        <v>92500</v>
      </c>
      <c r="AX20" s="8">
        <f t="shared" si="21"/>
        <v>16.328883066603499</v>
      </c>
      <c r="AY20" s="95">
        <f>130.5*AY7</f>
        <v>32478.970499999999</v>
      </c>
      <c r="AZ20" s="596">
        <f t="shared" si="45"/>
        <v>61.725523476777497</v>
      </c>
      <c r="BA20" s="8">
        <f t="shared" si="46"/>
        <v>181807.57049999997</v>
      </c>
      <c r="BB20" s="8">
        <f t="shared" si="47"/>
        <v>32.094211452084018</v>
      </c>
      <c r="BC20" s="95">
        <v>0</v>
      </c>
      <c r="BD20" s="12">
        <f t="shared" si="22"/>
        <v>0</v>
      </c>
      <c r="BE20" s="8">
        <f t="shared" si="48"/>
        <v>92222.5</v>
      </c>
      <c r="BF20" s="8">
        <f t="shared" si="23"/>
        <v>16.279896417403688</v>
      </c>
      <c r="BG20" s="8">
        <f t="shared" si="49"/>
        <v>32478.970499999999</v>
      </c>
      <c r="BH20" s="8">
        <f t="shared" si="24"/>
        <v>61.725523476777497</v>
      </c>
      <c r="BI20" s="8">
        <f t="shared" si="50"/>
        <v>366530.07049999997</v>
      </c>
      <c r="BJ20" s="8">
        <f t="shared" si="25"/>
        <v>64.702990936091211</v>
      </c>
      <c r="BK20" s="95"/>
      <c r="BL20" s="8">
        <f t="shared" si="51"/>
        <v>0</v>
      </c>
      <c r="BM20" s="8">
        <f t="shared" si="52"/>
        <v>0</v>
      </c>
      <c r="BN20" s="8">
        <f t="shared" si="53"/>
        <v>0</v>
      </c>
      <c r="BO20" s="95"/>
      <c r="BP20" s="8">
        <f t="shared" si="54"/>
        <v>0</v>
      </c>
      <c r="BQ20" s="8">
        <f t="shared" si="55"/>
        <v>0</v>
      </c>
      <c r="BR20" s="8">
        <f t="shared" si="56"/>
        <v>0</v>
      </c>
      <c r="BS20" s="95">
        <f t="shared" si="57"/>
        <v>0</v>
      </c>
      <c r="BT20" s="8">
        <f t="shared" si="26"/>
        <v>0</v>
      </c>
      <c r="BU20" s="8">
        <f t="shared" si="58"/>
        <v>0</v>
      </c>
      <c r="BV20" s="8">
        <f t="shared" si="27"/>
        <v>0</v>
      </c>
      <c r="BW20" s="8">
        <f t="shared" si="28"/>
        <v>52618.380000000005</v>
      </c>
      <c r="BX20" s="8">
        <f t="shared" si="59"/>
        <v>566480.87699999998</v>
      </c>
      <c r="BY20" s="8">
        <f t="shared" si="29"/>
        <v>1.2025683921837504</v>
      </c>
      <c r="BZ20" s="8">
        <f t="shared" si="30"/>
        <v>1.0720662470358686</v>
      </c>
    </row>
    <row r="21" spans="1:89">
      <c r="A21" s="13">
        <f>Chem!A21</f>
        <v>46124</v>
      </c>
      <c r="B21" s="4" t="str">
        <f>Chem!B21</f>
        <v>Napkin</v>
      </c>
      <c r="C21" s="13" t="str">
        <f>Chem!C21</f>
        <v>15,5/11</v>
      </c>
      <c r="D21" s="6">
        <f>+Chem!D21</f>
        <v>48.237000000000002</v>
      </c>
      <c r="E21" s="5">
        <f>+Chem!E21</f>
        <v>49.295000000000002</v>
      </c>
      <c r="F21" s="5">
        <f t="shared" si="31"/>
        <v>577.69599999999991</v>
      </c>
      <c r="G21" s="95"/>
      <c r="H21" s="8">
        <f t="shared" si="0"/>
        <v>0</v>
      </c>
      <c r="I21" s="6">
        <f t="shared" si="32"/>
        <v>0</v>
      </c>
      <c r="J21" s="8">
        <f t="shared" si="1"/>
        <v>0</v>
      </c>
      <c r="K21" s="96">
        <f>5.5*K7</f>
        <v>1375</v>
      </c>
      <c r="L21" s="8">
        <f t="shared" si="2"/>
        <v>2.8557919562829137</v>
      </c>
      <c r="M21" s="8">
        <f t="shared" si="33"/>
        <v>95375</v>
      </c>
      <c r="N21" s="8">
        <f t="shared" si="3"/>
        <v>15.517500077713592</v>
      </c>
      <c r="O21" s="95"/>
      <c r="P21" s="8">
        <f t="shared" si="4"/>
        <v>0</v>
      </c>
      <c r="Q21" s="8">
        <f t="shared" si="34"/>
        <v>0</v>
      </c>
      <c r="R21" s="8">
        <f t="shared" si="5"/>
        <v>0</v>
      </c>
      <c r="S21" s="95">
        <f>79*S7</f>
        <v>19764.141</v>
      </c>
      <c r="T21" s="8">
        <f t="shared" si="6"/>
        <v>41.048927193193698</v>
      </c>
      <c r="U21" s="8">
        <f t="shared" si="35"/>
        <v>125714.94750000001</v>
      </c>
      <c r="V21" s="8">
        <f t="shared" si="7"/>
        <v>20.453805584283202</v>
      </c>
      <c r="W21" s="8">
        <f t="shared" si="36"/>
        <v>21139.141</v>
      </c>
      <c r="X21" s="8">
        <f t="shared" si="8"/>
        <v>43.90471914947662</v>
      </c>
      <c r="Y21" s="8">
        <f t="shared" si="37"/>
        <v>221089.94750000004</v>
      </c>
      <c r="Z21" s="8">
        <f t="shared" si="9"/>
        <v>35.971305661996801</v>
      </c>
      <c r="AA21" s="95"/>
      <c r="AB21" s="8">
        <f t="shared" si="10"/>
        <v>0</v>
      </c>
      <c r="AC21" s="8">
        <f t="shared" si="38"/>
        <v>0</v>
      </c>
      <c r="AD21" s="8">
        <f t="shared" si="11"/>
        <v>0</v>
      </c>
      <c r="AE21" s="95"/>
      <c r="AF21" s="8">
        <f t="shared" si="12"/>
        <v>0</v>
      </c>
      <c r="AG21" s="8">
        <f t="shared" si="39"/>
        <v>0</v>
      </c>
      <c r="AH21" s="8">
        <f t="shared" si="13"/>
        <v>0</v>
      </c>
      <c r="AI21" s="95"/>
      <c r="AJ21" s="8">
        <f t="shared" si="14"/>
        <v>0</v>
      </c>
      <c r="AK21" s="8">
        <f t="shared" si="40"/>
        <v>0</v>
      </c>
      <c r="AL21" s="8">
        <f t="shared" si="15"/>
        <v>0</v>
      </c>
      <c r="AM21" s="95"/>
      <c r="AN21" s="8">
        <f t="shared" si="16"/>
        <v>0</v>
      </c>
      <c r="AO21" s="8">
        <f t="shared" si="41"/>
        <v>0</v>
      </c>
      <c r="AP21" s="8">
        <f t="shared" si="17"/>
        <v>0</v>
      </c>
      <c r="AQ21" s="8">
        <f t="shared" si="42"/>
        <v>0</v>
      </c>
      <c r="AR21" s="8">
        <f t="shared" si="18"/>
        <v>0</v>
      </c>
      <c r="AS21" s="8">
        <f t="shared" si="43"/>
        <v>0</v>
      </c>
      <c r="AT21" s="8">
        <f t="shared" si="19"/>
        <v>0</v>
      </c>
      <c r="AU21" s="95">
        <f>4.5*AU7</f>
        <v>1125</v>
      </c>
      <c r="AV21" s="8">
        <f t="shared" si="20"/>
        <v>2.3365570551405654</v>
      </c>
      <c r="AW21" s="8">
        <f t="shared" si="44"/>
        <v>93625</v>
      </c>
      <c r="AX21" s="8">
        <f t="shared" si="21"/>
        <v>15.232775305645454</v>
      </c>
      <c r="AY21" s="95">
        <f>104*AY7</f>
        <v>25883.624</v>
      </c>
      <c r="AZ21" s="596">
        <f t="shared" si="45"/>
        <v>53.758723795382821</v>
      </c>
      <c r="BA21" s="8">
        <f t="shared" si="46"/>
        <v>207691.19449999998</v>
      </c>
      <c r="BB21" s="8">
        <f t="shared" si="47"/>
        <v>33.791330294041195</v>
      </c>
      <c r="BC21" s="95">
        <v>0</v>
      </c>
      <c r="BD21" s="12">
        <f t="shared" si="22"/>
        <v>0</v>
      </c>
      <c r="BE21" s="8">
        <f t="shared" si="48"/>
        <v>92222.5</v>
      </c>
      <c r="BF21" s="8">
        <f t="shared" si="23"/>
        <v>15.00458873831656</v>
      </c>
      <c r="BG21" s="8">
        <f t="shared" si="49"/>
        <v>27008.624</v>
      </c>
      <c r="BH21" s="8">
        <f t="shared" si="24"/>
        <v>56.095280850523388</v>
      </c>
      <c r="BI21" s="8">
        <f t="shared" si="50"/>
        <v>393538.69449999998</v>
      </c>
      <c r="BJ21" s="8">
        <f t="shared" si="25"/>
        <v>64.028694338003206</v>
      </c>
      <c r="BK21" s="95"/>
      <c r="BL21" s="8">
        <f t="shared" si="51"/>
        <v>0</v>
      </c>
      <c r="BM21" s="8">
        <f t="shared" si="52"/>
        <v>0</v>
      </c>
      <c r="BN21" s="8">
        <f t="shared" si="53"/>
        <v>0</v>
      </c>
      <c r="BO21" s="95"/>
      <c r="BP21" s="8">
        <f t="shared" si="54"/>
        <v>0</v>
      </c>
      <c r="BQ21" s="8">
        <f t="shared" si="55"/>
        <v>0</v>
      </c>
      <c r="BR21" s="8">
        <f t="shared" si="56"/>
        <v>0</v>
      </c>
      <c r="BS21" s="95">
        <f t="shared" si="57"/>
        <v>0</v>
      </c>
      <c r="BT21" s="8">
        <f t="shared" si="26"/>
        <v>0</v>
      </c>
      <c r="BU21" s="8">
        <f t="shared" si="58"/>
        <v>0</v>
      </c>
      <c r="BV21" s="8">
        <f t="shared" si="27"/>
        <v>0</v>
      </c>
      <c r="BW21" s="8">
        <f t="shared" si="28"/>
        <v>48147.764999999999</v>
      </c>
      <c r="BX21" s="8">
        <f t="shared" si="59"/>
        <v>614628.64199999999</v>
      </c>
      <c r="BY21" s="8">
        <f t="shared" si="29"/>
        <v>0.97672715285525913</v>
      </c>
      <c r="BZ21" s="8">
        <f t="shared" si="30"/>
        <v>1.0639309290699608</v>
      </c>
      <c r="CF21" s="11"/>
      <c r="CG21" s="11"/>
      <c r="CJ21" s="11"/>
      <c r="CK21" s="11"/>
    </row>
    <row r="22" spans="1:89">
      <c r="A22" s="13">
        <f>Chem!A22</f>
        <v>46125</v>
      </c>
      <c r="B22" s="4" t="str">
        <f>Chem!B22</f>
        <v>Napkin</v>
      </c>
      <c r="C22" s="13" t="str">
        <f>Chem!C22</f>
        <v>11</v>
      </c>
      <c r="D22" s="6">
        <f>+Chem!D22</f>
        <v>27.166</v>
      </c>
      <c r="E22" s="5">
        <f>+Chem!E22</f>
        <v>18.167000000000002</v>
      </c>
      <c r="F22" s="5">
        <f t="shared" si="31"/>
        <v>595.86299999999994</v>
      </c>
      <c r="G22" s="95"/>
      <c r="H22" s="8">
        <f t="shared" si="0"/>
        <v>0</v>
      </c>
      <c r="I22" s="6">
        <f t="shared" si="32"/>
        <v>0</v>
      </c>
      <c r="J22" s="8">
        <f t="shared" si="1"/>
        <v>0</v>
      </c>
      <c r="K22" s="95">
        <f>59*K7</f>
        <v>14750</v>
      </c>
      <c r="L22" s="8">
        <f t="shared" si="2"/>
        <v>48.962655601659748</v>
      </c>
      <c r="M22" s="8">
        <f t="shared" si="33"/>
        <v>110125</v>
      </c>
      <c r="N22" s="8">
        <f t="shared" si="3"/>
        <v>17.080167187330133</v>
      </c>
      <c r="O22" s="95"/>
      <c r="P22" s="8">
        <f t="shared" si="4"/>
        <v>0</v>
      </c>
      <c r="Q22" s="8">
        <f t="shared" si="34"/>
        <v>0</v>
      </c>
      <c r="R22" s="8">
        <f t="shared" si="5"/>
        <v>0</v>
      </c>
      <c r="S22" s="95"/>
      <c r="T22" s="8">
        <f t="shared" si="6"/>
        <v>0</v>
      </c>
      <c r="U22" s="8">
        <f t="shared" si="35"/>
        <v>125714.94750000001</v>
      </c>
      <c r="V22" s="8">
        <f t="shared" si="7"/>
        <v>19.498136855813218</v>
      </c>
      <c r="W22" s="8">
        <f t="shared" si="36"/>
        <v>14750</v>
      </c>
      <c r="X22" s="8">
        <f t="shared" si="8"/>
        <v>48.962655601659748</v>
      </c>
      <c r="Y22" s="8">
        <f t="shared" si="37"/>
        <v>235839.94750000004</v>
      </c>
      <c r="Z22" s="8">
        <f t="shared" si="9"/>
        <v>36.578304043143355</v>
      </c>
      <c r="AA22" s="95"/>
      <c r="AB22" s="8">
        <f t="shared" si="10"/>
        <v>0</v>
      </c>
      <c r="AC22" s="8">
        <f t="shared" si="38"/>
        <v>0</v>
      </c>
      <c r="AD22" s="8">
        <f t="shared" si="11"/>
        <v>0</v>
      </c>
      <c r="AE22" s="95"/>
      <c r="AF22" s="8">
        <f t="shared" si="12"/>
        <v>0</v>
      </c>
      <c r="AG22" s="8">
        <f t="shared" si="39"/>
        <v>0</v>
      </c>
      <c r="AH22" s="8">
        <f t="shared" si="13"/>
        <v>0</v>
      </c>
      <c r="AI22" s="95"/>
      <c r="AJ22" s="8">
        <f t="shared" si="14"/>
        <v>0</v>
      </c>
      <c r="AK22" s="8">
        <f t="shared" si="40"/>
        <v>0</v>
      </c>
      <c r="AL22" s="8">
        <f t="shared" si="15"/>
        <v>0</v>
      </c>
      <c r="AM22" s="95"/>
      <c r="AN22" s="8">
        <f t="shared" si="16"/>
        <v>0</v>
      </c>
      <c r="AO22" s="8">
        <f t="shared" si="41"/>
        <v>0</v>
      </c>
      <c r="AP22" s="8">
        <f t="shared" si="17"/>
        <v>0</v>
      </c>
      <c r="AQ22" s="8">
        <f t="shared" si="42"/>
        <v>0</v>
      </c>
      <c r="AR22" s="8">
        <f t="shared" si="18"/>
        <v>0</v>
      </c>
      <c r="AS22" s="8">
        <f t="shared" si="43"/>
        <v>0</v>
      </c>
      <c r="AT22" s="8">
        <f t="shared" si="19"/>
        <v>0</v>
      </c>
      <c r="AU22" s="95">
        <f>61.5*AU7</f>
        <v>15375</v>
      </c>
      <c r="AV22" s="8">
        <f t="shared" si="20"/>
        <v>51.037344398340245</v>
      </c>
      <c r="AW22" s="8">
        <f t="shared" si="44"/>
        <v>109000</v>
      </c>
      <c r="AX22" s="8">
        <f t="shared" si="21"/>
        <v>16.90568193797035</v>
      </c>
      <c r="AY22" s="95"/>
      <c r="AZ22" s="596">
        <f t="shared" si="45"/>
        <v>0</v>
      </c>
      <c r="BA22" s="8">
        <f t="shared" si="46"/>
        <v>207691.19449999998</v>
      </c>
      <c r="BB22" s="8">
        <f t="shared" si="47"/>
        <v>32.212488766368224</v>
      </c>
      <c r="BC22" s="95">
        <v>0</v>
      </c>
      <c r="BD22" s="12">
        <f t="shared" si="22"/>
        <v>0</v>
      </c>
      <c r="BE22" s="8">
        <f t="shared" si="48"/>
        <v>92222.5</v>
      </c>
      <c r="BF22" s="8">
        <f t="shared" si="23"/>
        <v>14.303525252518076</v>
      </c>
      <c r="BG22" s="8">
        <f t="shared" si="49"/>
        <v>15375</v>
      </c>
      <c r="BH22" s="8">
        <f t="shared" si="24"/>
        <v>51.037344398340245</v>
      </c>
      <c r="BI22" s="8">
        <f t="shared" si="50"/>
        <v>408913.69449999998</v>
      </c>
      <c r="BJ22" s="8">
        <f t="shared" si="25"/>
        <v>63.421695956856652</v>
      </c>
      <c r="BK22" s="95"/>
      <c r="BL22" s="8">
        <f t="shared" si="51"/>
        <v>0</v>
      </c>
      <c r="BM22" s="8">
        <f t="shared" si="52"/>
        <v>0</v>
      </c>
      <c r="BN22" s="8">
        <f t="shared" si="53"/>
        <v>0</v>
      </c>
      <c r="BO22" s="95"/>
      <c r="BP22" s="8">
        <f t="shared" si="54"/>
        <v>0</v>
      </c>
      <c r="BQ22" s="8">
        <f t="shared" si="55"/>
        <v>0</v>
      </c>
      <c r="BR22" s="8">
        <f t="shared" si="56"/>
        <v>0</v>
      </c>
      <c r="BS22" s="95">
        <f t="shared" si="57"/>
        <v>0</v>
      </c>
      <c r="BT22" s="8">
        <f t="shared" si="26"/>
        <v>0</v>
      </c>
      <c r="BU22" s="8">
        <f t="shared" si="58"/>
        <v>0</v>
      </c>
      <c r="BV22" s="8">
        <f t="shared" si="27"/>
        <v>0</v>
      </c>
      <c r="BW22" s="8">
        <f t="shared" si="28"/>
        <v>30125</v>
      </c>
      <c r="BX22" s="8">
        <f t="shared" si="59"/>
        <v>644753.64199999999</v>
      </c>
      <c r="BY22" s="8">
        <f t="shared" si="29"/>
        <v>1.6582264545604666</v>
      </c>
      <c r="BZ22" s="8">
        <f t="shared" si="30"/>
        <v>1.0820501390420283</v>
      </c>
      <c r="CF22" s="11"/>
      <c r="CG22" s="11"/>
      <c r="CJ22" s="11"/>
      <c r="CK22" s="11"/>
    </row>
    <row r="23" spans="1:89">
      <c r="A23" s="13">
        <f>Chem!A23</f>
        <v>46126</v>
      </c>
      <c r="B23" s="4" t="str">
        <f>Chem!B23</f>
        <v>Napkin/Toilet</v>
      </c>
      <c r="C23" s="13" t="str">
        <f>Chem!C23</f>
        <v>11/14/16/18</v>
      </c>
      <c r="D23" s="6">
        <f>+Chem!D23</f>
        <v>51.592999999999996</v>
      </c>
      <c r="E23" s="5">
        <f>+Chem!E23</f>
        <v>54.055999999999997</v>
      </c>
      <c r="F23" s="5">
        <f t="shared" si="31"/>
        <v>649.91899999999998</v>
      </c>
      <c r="G23" s="95"/>
      <c r="H23" s="8">
        <f t="shared" si="0"/>
        <v>0</v>
      </c>
      <c r="I23" s="6">
        <f t="shared" si="32"/>
        <v>0</v>
      </c>
      <c r="J23" s="8">
        <f t="shared" si="1"/>
        <v>0</v>
      </c>
      <c r="K23" s="95">
        <f>30*K7</f>
        <v>7500</v>
      </c>
      <c r="L23" s="8">
        <f t="shared" si="2"/>
        <v>14.870478135440315</v>
      </c>
      <c r="M23" s="8">
        <f t="shared" si="33"/>
        <v>117625</v>
      </c>
      <c r="N23" s="8">
        <f t="shared" si="3"/>
        <v>16.919855747689454</v>
      </c>
      <c r="O23" s="95"/>
      <c r="P23" s="8">
        <f t="shared" si="4"/>
        <v>0</v>
      </c>
      <c r="Q23" s="8">
        <f t="shared" si="34"/>
        <v>0</v>
      </c>
      <c r="R23" s="8">
        <f t="shared" si="5"/>
        <v>0</v>
      </c>
      <c r="S23" s="95"/>
      <c r="T23" s="8">
        <f t="shared" si="6"/>
        <v>0</v>
      </c>
      <c r="U23" s="8">
        <f t="shared" si="35"/>
        <v>125714.94750000001</v>
      </c>
      <c r="V23" s="8">
        <f t="shared" si="7"/>
        <v>18.083560272292058</v>
      </c>
      <c r="W23" s="8">
        <f t="shared" si="36"/>
        <v>7500</v>
      </c>
      <c r="X23" s="8">
        <f t="shared" si="8"/>
        <v>14.870478135440315</v>
      </c>
      <c r="Y23" s="8">
        <f t="shared" si="37"/>
        <v>243339.94750000004</v>
      </c>
      <c r="Z23" s="8">
        <f t="shared" si="9"/>
        <v>35.003416019981515</v>
      </c>
      <c r="AA23" s="95"/>
      <c r="AB23" s="8">
        <f t="shared" si="10"/>
        <v>0</v>
      </c>
      <c r="AC23" s="8">
        <f t="shared" si="38"/>
        <v>0</v>
      </c>
      <c r="AD23" s="8">
        <f t="shared" si="11"/>
        <v>0</v>
      </c>
      <c r="AE23" s="95"/>
      <c r="AF23" s="8">
        <f t="shared" si="12"/>
        <v>0</v>
      </c>
      <c r="AG23" s="8">
        <f t="shared" si="39"/>
        <v>0</v>
      </c>
      <c r="AH23" s="8">
        <f t="shared" si="13"/>
        <v>0</v>
      </c>
      <c r="AI23" s="95"/>
      <c r="AJ23" s="8">
        <f t="shared" si="14"/>
        <v>0</v>
      </c>
      <c r="AK23" s="8">
        <f t="shared" si="40"/>
        <v>0</v>
      </c>
      <c r="AL23" s="8">
        <f t="shared" si="15"/>
        <v>0</v>
      </c>
      <c r="AM23" s="95"/>
      <c r="AN23" s="8">
        <f t="shared" si="16"/>
        <v>0</v>
      </c>
      <c r="AO23" s="8">
        <f t="shared" si="41"/>
        <v>0</v>
      </c>
      <c r="AP23" s="8">
        <f t="shared" si="17"/>
        <v>0</v>
      </c>
      <c r="AQ23" s="8">
        <f t="shared" si="42"/>
        <v>0</v>
      </c>
      <c r="AR23" s="8">
        <f t="shared" si="18"/>
        <v>0</v>
      </c>
      <c r="AS23" s="8">
        <f t="shared" si="43"/>
        <v>0</v>
      </c>
      <c r="AT23" s="8">
        <f t="shared" si="19"/>
        <v>0</v>
      </c>
      <c r="AU23" s="95">
        <f>86*AU7</f>
        <v>21500</v>
      </c>
      <c r="AV23" s="8">
        <f t="shared" si="20"/>
        <v>42.628703988262231</v>
      </c>
      <c r="AW23" s="8">
        <f t="shared" si="44"/>
        <v>130500</v>
      </c>
      <c r="AX23" s="8">
        <f t="shared" si="21"/>
        <v>18.771869713695846</v>
      </c>
      <c r="AY23" s="95"/>
      <c r="AZ23" s="568">
        <f t="shared" si="45"/>
        <v>0</v>
      </c>
      <c r="BA23" s="8">
        <f t="shared" si="46"/>
        <v>207691.19449999998</v>
      </c>
      <c r="BB23" s="8">
        <f t="shared" si="47"/>
        <v>29.875494588780562</v>
      </c>
      <c r="BC23" s="95">
        <f>86*BC7</f>
        <v>21435.5</v>
      </c>
      <c r="BD23" s="12">
        <f t="shared" si="22"/>
        <v>42.500817876297447</v>
      </c>
      <c r="BE23" s="8">
        <f t="shared" si="48"/>
        <v>113658</v>
      </c>
      <c r="BF23" s="8">
        <f t="shared" si="23"/>
        <v>16.349219677542088</v>
      </c>
      <c r="BG23" s="8">
        <f t="shared" si="49"/>
        <v>42935.5</v>
      </c>
      <c r="BH23" s="8">
        <f t="shared" si="24"/>
        <v>85.129521864559692</v>
      </c>
      <c r="BI23" s="8">
        <f t="shared" si="50"/>
        <v>451849.19449999998</v>
      </c>
      <c r="BJ23" s="8">
        <f t="shared" si="25"/>
        <v>64.996583980018485</v>
      </c>
      <c r="BK23" s="95"/>
      <c r="BL23" s="8">
        <f t="shared" si="51"/>
        <v>0</v>
      </c>
      <c r="BM23" s="8">
        <f t="shared" si="52"/>
        <v>0</v>
      </c>
      <c r="BN23" s="8">
        <f t="shared" si="53"/>
        <v>0</v>
      </c>
      <c r="BO23" s="95"/>
      <c r="BP23" s="8">
        <f t="shared" si="54"/>
        <v>0</v>
      </c>
      <c r="BQ23" s="8">
        <f t="shared" si="55"/>
        <v>0</v>
      </c>
      <c r="BR23" s="8">
        <f t="shared" si="56"/>
        <v>0</v>
      </c>
      <c r="BS23" s="95">
        <f t="shared" si="57"/>
        <v>0</v>
      </c>
      <c r="BT23" s="8">
        <f t="shared" si="26"/>
        <v>0</v>
      </c>
      <c r="BU23" s="8">
        <f t="shared" si="58"/>
        <v>0</v>
      </c>
      <c r="BV23" s="8">
        <f t="shared" si="27"/>
        <v>0</v>
      </c>
      <c r="BW23" s="8">
        <f t="shared" si="28"/>
        <v>50435.5</v>
      </c>
      <c r="BX23" s="8">
        <f t="shared" si="59"/>
        <v>695189.14199999999</v>
      </c>
      <c r="BY23" s="8">
        <f t="shared" si="29"/>
        <v>0.93302316116619799</v>
      </c>
      <c r="BZ23" s="8">
        <f t="shared" si="30"/>
        <v>1.0696550523988373</v>
      </c>
      <c r="CJ23" s="11"/>
      <c r="CK23" s="11"/>
    </row>
    <row r="24" spans="1:89">
      <c r="A24" s="13">
        <f>Chem!A24</f>
        <v>46127</v>
      </c>
      <c r="B24" s="4" t="str">
        <f>Chem!B24</f>
        <v>Toilet</v>
      </c>
      <c r="C24" s="13" t="str">
        <f>Chem!C24</f>
        <v>18/16</v>
      </c>
      <c r="D24" s="6">
        <f>+Chem!D24</f>
        <v>55.435000000000002</v>
      </c>
      <c r="E24" s="5">
        <f>+Chem!E24</f>
        <v>50.665999999999997</v>
      </c>
      <c r="F24" s="5">
        <f t="shared" si="31"/>
        <v>700.58500000000004</v>
      </c>
      <c r="G24" s="95"/>
      <c r="H24" s="8">
        <f t="shared" si="0"/>
        <v>0</v>
      </c>
      <c r="I24" s="6">
        <f t="shared" si="32"/>
        <v>0</v>
      </c>
      <c r="J24" s="8">
        <f t="shared" si="1"/>
        <v>0</v>
      </c>
      <c r="K24" s="95">
        <f>36*K7</f>
        <v>9000</v>
      </c>
      <c r="L24" s="8">
        <f t="shared" si="2"/>
        <v>15.809443507588533</v>
      </c>
      <c r="M24" s="8">
        <f t="shared" si="33"/>
        <v>126625</v>
      </c>
      <c r="N24" s="8">
        <f t="shared" si="3"/>
        <v>16.835808270940859</v>
      </c>
      <c r="O24" s="95"/>
      <c r="P24" s="8">
        <f t="shared" si="4"/>
        <v>0</v>
      </c>
      <c r="Q24" s="8">
        <f t="shared" si="34"/>
        <v>0</v>
      </c>
      <c r="R24" s="8">
        <f t="shared" si="5"/>
        <v>0</v>
      </c>
      <c r="S24" s="95"/>
      <c r="T24" s="8">
        <f t="shared" si="6"/>
        <v>0</v>
      </c>
      <c r="U24" s="8">
        <f t="shared" si="35"/>
        <v>125714.94750000001</v>
      </c>
      <c r="V24" s="8">
        <f t="shared" si="7"/>
        <v>16.714809499714875</v>
      </c>
      <c r="W24" s="8">
        <f t="shared" si="36"/>
        <v>9000</v>
      </c>
      <c r="X24" s="8">
        <f t="shared" si="8"/>
        <v>15.809443507588533</v>
      </c>
      <c r="Y24" s="8">
        <f t="shared" si="37"/>
        <v>252339.94750000004</v>
      </c>
      <c r="Z24" s="8">
        <f t="shared" si="9"/>
        <v>33.550617770655741</v>
      </c>
      <c r="AA24" s="95"/>
      <c r="AB24" s="8">
        <f t="shared" si="10"/>
        <v>0</v>
      </c>
      <c r="AC24" s="8">
        <f t="shared" si="38"/>
        <v>0</v>
      </c>
      <c r="AD24" s="8">
        <f t="shared" si="11"/>
        <v>0</v>
      </c>
      <c r="AE24" s="95"/>
      <c r="AF24" s="8">
        <f t="shared" si="12"/>
        <v>0</v>
      </c>
      <c r="AG24" s="8">
        <f t="shared" si="39"/>
        <v>0</v>
      </c>
      <c r="AH24" s="8">
        <f t="shared" si="13"/>
        <v>0</v>
      </c>
      <c r="AI24" s="95"/>
      <c r="AJ24" s="8">
        <f t="shared" si="14"/>
        <v>0</v>
      </c>
      <c r="AK24" s="8">
        <f t="shared" si="40"/>
        <v>0</v>
      </c>
      <c r="AL24" s="8">
        <f t="shared" si="15"/>
        <v>0</v>
      </c>
      <c r="AM24" s="95"/>
      <c r="AN24" s="8">
        <f t="shared" si="16"/>
        <v>0</v>
      </c>
      <c r="AO24" s="8">
        <f t="shared" si="41"/>
        <v>0</v>
      </c>
      <c r="AP24" s="8">
        <f t="shared" si="17"/>
        <v>0</v>
      </c>
      <c r="AQ24" s="8">
        <f t="shared" si="42"/>
        <v>0</v>
      </c>
      <c r="AR24" s="8">
        <f t="shared" si="18"/>
        <v>0</v>
      </c>
      <c r="AS24" s="8">
        <f t="shared" si="43"/>
        <v>0</v>
      </c>
      <c r="AT24" s="8">
        <f t="shared" si="19"/>
        <v>0</v>
      </c>
      <c r="AU24" s="95">
        <f>96*AU7</f>
        <v>24000</v>
      </c>
      <c r="AV24" s="8">
        <f t="shared" si="20"/>
        <v>42.158516020236085</v>
      </c>
      <c r="AW24" s="8">
        <f t="shared" si="44"/>
        <v>154500</v>
      </c>
      <c r="AX24" s="8">
        <f t="shared" si="21"/>
        <v>20.542012855758045</v>
      </c>
      <c r="AY24" s="95"/>
      <c r="AZ24" s="568">
        <f t="shared" si="45"/>
        <v>0</v>
      </c>
      <c r="BA24" s="8">
        <f t="shared" si="46"/>
        <v>207691.19449999998</v>
      </c>
      <c r="BB24" s="8">
        <f t="shared" si="47"/>
        <v>27.614208332988639</v>
      </c>
      <c r="BC24" s="95">
        <f>96*BC7</f>
        <v>23928</v>
      </c>
      <c r="BD24" s="12">
        <f t="shared" si="22"/>
        <v>42.032040472175382</v>
      </c>
      <c r="BE24" s="8">
        <f t="shared" si="48"/>
        <v>137586</v>
      </c>
      <c r="BF24" s="8">
        <f t="shared" si="23"/>
        <v>18.293161040597582</v>
      </c>
      <c r="BG24" s="8">
        <f t="shared" si="49"/>
        <v>47928</v>
      </c>
      <c r="BH24" s="8">
        <f t="shared" si="24"/>
        <v>84.190556492411474</v>
      </c>
      <c r="BI24" s="8">
        <f t="shared" si="50"/>
        <v>499777.19449999998</v>
      </c>
      <c r="BJ24" s="8">
        <f t="shared" si="25"/>
        <v>66.449382229344266</v>
      </c>
      <c r="BK24" s="95"/>
      <c r="BL24" s="8">
        <f t="shared" si="51"/>
        <v>0</v>
      </c>
      <c r="BM24" s="8">
        <f t="shared" si="52"/>
        <v>0</v>
      </c>
      <c r="BN24" s="8">
        <f t="shared" si="53"/>
        <v>0</v>
      </c>
      <c r="BO24" s="95"/>
      <c r="BP24" s="8">
        <f t="shared" si="54"/>
        <v>0</v>
      </c>
      <c r="BQ24" s="8">
        <f t="shared" si="55"/>
        <v>0</v>
      </c>
      <c r="BR24" s="8">
        <f t="shared" si="56"/>
        <v>0</v>
      </c>
      <c r="BS24" s="95">
        <f t="shared" si="57"/>
        <v>0</v>
      </c>
      <c r="BT24" s="8">
        <f t="shared" si="26"/>
        <v>0</v>
      </c>
      <c r="BU24" s="8">
        <f t="shared" si="58"/>
        <v>0</v>
      </c>
      <c r="BV24" s="8">
        <f t="shared" si="27"/>
        <v>0</v>
      </c>
      <c r="BW24" s="8">
        <f t="shared" si="28"/>
        <v>56928</v>
      </c>
      <c r="BX24" s="8">
        <f t="shared" si="59"/>
        <v>752117.14199999999</v>
      </c>
      <c r="BY24" s="8">
        <f t="shared" si="29"/>
        <v>1.123593731496467</v>
      </c>
      <c r="BZ24" s="8">
        <f t="shared" si="30"/>
        <v>1.0735558740195692</v>
      </c>
      <c r="CJ24" s="11"/>
      <c r="CK24" s="11"/>
    </row>
    <row r="25" spans="1:89">
      <c r="A25" s="13">
        <f>Chem!A25</f>
        <v>46128</v>
      </c>
      <c r="B25" s="4" t="str">
        <f>Chem!B25</f>
        <v>Toilet/Facial</v>
      </c>
      <c r="C25" s="13" t="str">
        <f>Chem!C25</f>
        <v>16/15/13</v>
      </c>
      <c r="D25" s="6">
        <f>+Chem!D25</f>
        <v>49.198999999999998</v>
      </c>
      <c r="E25" s="5">
        <f>+Chem!E25</f>
        <v>40.222000000000001</v>
      </c>
      <c r="F25" s="5">
        <f t="shared" si="31"/>
        <v>740.80700000000002</v>
      </c>
      <c r="G25" s="95"/>
      <c r="H25" s="8">
        <f t="shared" si="0"/>
        <v>0</v>
      </c>
      <c r="I25" s="6">
        <f t="shared" si="32"/>
        <v>0</v>
      </c>
      <c r="J25" s="8">
        <f t="shared" si="1"/>
        <v>0</v>
      </c>
      <c r="K25" s="95">
        <f>33*K7</f>
        <v>8250</v>
      </c>
      <c r="L25" s="8">
        <f t="shared" si="2"/>
        <v>15.809443507588533</v>
      </c>
      <c r="M25" s="8">
        <f t="shared" si="33"/>
        <v>134875</v>
      </c>
      <c r="N25" s="8">
        <f t="shared" si="3"/>
        <v>16.769216523131579</v>
      </c>
      <c r="O25" s="95"/>
      <c r="P25" s="8">
        <f t="shared" si="4"/>
        <v>0</v>
      </c>
      <c r="Q25" s="8">
        <f t="shared" si="34"/>
        <v>0</v>
      </c>
      <c r="R25" s="8">
        <f t="shared" si="5"/>
        <v>0</v>
      </c>
      <c r="S25" s="95"/>
      <c r="T25" s="8">
        <f t="shared" si="6"/>
        <v>0</v>
      </c>
      <c r="U25" s="8">
        <f t="shared" si="35"/>
        <v>125714.94750000001</v>
      </c>
      <c r="V25" s="8">
        <f t="shared" si="7"/>
        <v>15.630333084868356</v>
      </c>
      <c r="W25" s="8">
        <f t="shared" si="36"/>
        <v>8250</v>
      </c>
      <c r="X25" s="8">
        <f t="shared" si="8"/>
        <v>15.809443507588533</v>
      </c>
      <c r="Y25" s="8">
        <f t="shared" si="37"/>
        <v>260589.94750000004</v>
      </c>
      <c r="Z25" s="8">
        <f t="shared" si="9"/>
        <v>32.399549607999937</v>
      </c>
      <c r="AA25" s="95"/>
      <c r="AB25" s="8">
        <f t="shared" si="10"/>
        <v>0</v>
      </c>
      <c r="AC25" s="8">
        <f t="shared" si="38"/>
        <v>0</v>
      </c>
      <c r="AD25" s="8">
        <f t="shared" si="11"/>
        <v>0</v>
      </c>
      <c r="AE25" s="95"/>
      <c r="AF25" s="8">
        <f t="shared" si="12"/>
        <v>0</v>
      </c>
      <c r="AG25" s="8">
        <f t="shared" si="39"/>
        <v>0</v>
      </c>
      <c r="AH25" s="8">
        <f t="shared" si="13"/>
        <v>0</v>
      </c>
      <c r="AI25" s="95"/>
      <c r="AJ25" s="8">
        <f t="shared" si="14"/>
        <v>0</v>
      </c>
      <c r="AK25" s="8">
        <f t="shared" si="40"/>
        <v>0</v>
      </c>
      <c r="AL25" s="8">
        <f t="shared" si="15"/>
        <v>0</v>
      </c>
      <c r="AM25" s="95"/>
      <c r="AN25" s="8">
        <f t="shared" si="16"/>
        <v>0</v>
      </c>
      <c r="AO25" s="8">
        <f t="shared" si="41"/>
        <v>0</v>
      </c>
      <c r="AP25" s="8">
        <f t="shared" si="17"/>
        <v>0</v>
      </c>
      <c r="AQ25" s="8">
        <f t="shared" si="42"/>
        <v>0</v>
      </c>
      <c r="AR25" s="8">
        <f t="shared" si="18"/>
        <v>0</v>
      </c>
      <c r="AS25" s="8">
        <f t="shared" si="43"/>
        <v>0</v>
      </c>
      <c r="AT25" s="8">
        <f t="shared" si="19"/>
        <v>0</v>
      </c>
      <c r="AU25" s="95">
        <f>88*AU7</f>
        <v>22000</v>
      </c>
      <c r="AV25" s="8">
        <f t="shared" si="20"/>
        <v>42.158516020236085</v>
      </c>
      <c r="AW25" s="8">
        <f t="shared" si="44"/>
        <v>176500</v>
      </c>
      <c r="AX25" s="8">
        <f t="shared" si="21"/>
        <v>21.944516895886739</v>
      </c>
      <c r="AY25" s="95"/>
      <c r="AZ25" s="568">
        <f t="shared" si="45"/>
        <v>0</v>
      </c>
      <c r="BA25" s="8">
        <f t="shared" si="46"/>
        <v>207691.19449999998</v>
      </c>
      <c r="BB25" s="8">
        <f t="shared" si="47"/>
        <v>25.822566157689231</v>
      </c>
      <c r="BC25" s="95">
        <f>88*BC7</f>
        <v>21934</v>
      </c>
      <c r="BD25" s="12">
        <f t="shared" si="22"/>
        <v>42.032040472175382</v>
      </c>
      <c r="BE25" s="8">
        <f t="shared" si="48"/>
        <v>159520</v>
      </c>
      <c r="BF25" s="8">
        <f t="shared" si="23"/>
        <v>19.833367338424097</v>
      </c>
      <c r="BG25" s="8">
        <f t="shared" si="49"/>
        <v>43934</v>
      </c>
      <c r="BH25" s="8">
        <f t="shared" si="24"/>
        <v>84.190556492411474</v>
      </c>
      <c r="BI25" s="8">
        <f t="shared" si="50"/>
        <v>543711.19449999998</v>
      </c>
      <c r="BJ25" s="8">
        <f t="shared" si="25"/>
        <v>67.60045039200007</v>
      </c>
      <c r="BK25" s="95"/>
      <c r="BL25" s="8">
        <f t="shared" si="51"/>
        <v>0</v>
      </c>
      <c r="BM25" s="8">
        <f t="shared" si="52"/>
        <v>0</v>
      </c>
      <c r="BN25" s="8">
        <f t="shared" si="53"/>
        <v>0</v>
      </c>
      <c r="BO25" s="95"/>
      <c r="BP25" s="8">
        <f t="shared" si="54"/>
        <v>0</v>
      </c>
      <c r="BQ25" s="8">
        <f t="shared" si="55"/>
        <v>0</v>
      </c>
      <c r="BR25" s="8">
        <f t="shared" si="56"/>
        <v>0</v>
      </c>
      <c r="BS25" s="95">
        <f t="shared" si="57"/>
        <v>0</v>
      </c>
      <c r="BT25" s="8">
        <f t="shared" si="26"/>
        <v>0</v>
      </c>
      <c r="BU25" s="8">
        <f t="shared" si="58"/>
        <v>0</v>
      </c>
      <c r="BV25" s="8">
        <f t="shared" si="27"/>
        <v>0</v>
      </c>
      <c r="BW25" s="8">
        <f t="shared" si="28"/>
        <v>52184</v>
      </c>
      <c r="BX25" s="8">
        <f t="shared" si="59"/>
        <v>804301.14199999999</v>
      </c>
      <c r="BY25" s="8">
        <f t="shared" si="29"/>
        <v>1.2973994331460394</v>
      </c>
      <c r="BZ25" s="8">
        <f t="shared" si="30"/>
        <v>1.0857094249919346</v>
      </c>
      <c r="CJ25" s="11"/>
      <c r="CK25" s="11"/>
    </row>
    <row r="26" spans="1:89">
      <c r="A26" s="13">
        <f>Chem!A26</f>
        <v>46129</v>
      </c>
      <c r="B26" s="4" t="str">
        <f>Chem!B26</f>
        <v>Facial</v>
      </c>
      <c r="C26" s="13" t="str">
        <f>Chem!C26</f>
        <v>13</v>
      </c>
      <c r="D26" s="6">
        <f>+Chem!D26</f>
        <v>47.717999999999996</v>
      </c>
      <c r="E26" s="5">
        <f>+Chem!E26</f>
        <v>41.671999999999997</v>
      </c>
      <c r="F26" s="5">
        <f t="shared" si="31"/>
        <v>782.47900000000004</v>
      </c>
      <c r="G26" s="95"/>
      <c r="H26" s="8">
        <f t="shared" si="0"/>
        <v>0</v>
      </c>
      <c r="I26" s="6">
        <f t="shared" si="32"/>
        <v>0</v>
      </c>
      <c r="J26" s="8">
        <f t="shared" si="1"/>
        <v>0</v>
      </c>
      <c r="K26" s="95">
        <f>28.5*K7</f>
        <v>7125</v>
      </c>
      <c r="L26" s="8">
        <f t="shared" si="2"/>
        <v>15.809443507588533</v>
      </c>
      <c r="M26" s="8">
        <f t="shared" si="33"/>
        <v>142000</v>
      </c>
      <c r="N26" s="8">
        <f t="shared" si="3"/>
        <v>16.718290432076941</v>
      </c>
      <c r="O26" s="95"/>
      <c r="P26" s="8">
        <f t="shared" si="4"/>
        <v>0</v>
      </c>
      <c r="Q26" s="8">
        <f t="shared" si="34"/>
        <v>0</v>
      </c>
      <c r="R26" s="8">
        <f t="shared" si="5"/>
        <v>0</v>
      </c>
      <c r="S26" s="95"/>
      <c r="T26" s="8">
        <f t="shared" si="6"/>
        <v>0</v>
      </c>
      <c r="U26" s="8">
        <f t="shared" si="35"/>
        <v>125714.94750000001</v>
      </c>
      <c r="V26" s="8">
        <f t="shared" si="7"/>
        <v>14.800978901114824</v>
      </c>
      <c r="W26" s="8">
        <f t="shared" si="36"/>
        <v>7125</v>
      </c>
      <c r="X26" s="8">
        <f t="shared" si="8"/>
        <v>15.809443507588533</v>
      </c>
      <c r="Y26" s="8">
        <f t="shared" si="37"/>
        <v>267714.94750000001</v>
      </c>
      <c r="Z26" s="8">
        <f t="shared" si="9"/>
        <v>31.519269333191762</v>
      </c>
      <c r="AA26" s="95"/>
      <c r="AB26" s="8">
        <f t="shared" si="10"/>
        <v>0</v>
      </c>
      <c r="AC26" s="8">
        <f t="shared" si="38"/>
        <v>0</v>
      </c>
      <c r="AD26" s="8">
        <f t="shared" si="11"/>
        <v>0</v>
      </c>
      <c r="AE26" s="95"/>
      <c r="AF26" s="8">
        <f t="shared" si="12"/>
        <v>0</v>
      </c>
      <c r="AG26" s="8">
        <f t="shared" si="39"/>
        <v>0</v>
      </c>
      <c r="AH26" s="8">
        <f t="shared" si="13"/>
        <v>0</v>
      </c>
      <c r="AI26" s="95"/>
      <c r="AJ26" s="8">
        <f t="shared" si="14"/>
        <v>0</v>
      </c>
      <c r="AK26" s="8">
        <f t="shared" si="40"/>
        <v>0</v>
      </c>
      <c r="AL26" s="8">
        <f t="shared" si="15"/>
        <v>0</v>
      </c>
      <c r="AM26" s="95"/>
      <c r="AN26" s="8">
        <f t="shared" si="16"/>
        <v>0</v>
      </c>
      <c r="AO26" s="8">
        <f t="shared" si="41"/>
        <v>0</v>
      </c>
      <c r="AP26" s="8">
        <f t="shared" si="17"/>
        <v>0</v>
      </c>
      <c r="AQ26" s="8">
        <f t="shared" si="42"/>
        <v>0</v>
      </c>
      <c r="AR26" s="8">
        <f t="shared" si="18"/>
        <v>0</v>
      </c>
      <c r="AS26" s="8">
        <f t="shared" si="43"/>
        <v>0</v>
      </c>
      <c r="AT26" s="8">
        <f t="shared" si="19"/>
        <v>0</v>
      </c>
      <c r="AU26" s="95">
        <f>76*AU7</f>
        <v>19000</v>
      </c>
      <c r="AV26" s="8">
        <f t="shared" si="20"/>
        <v>42.158516020236085</v>
      </c>
      <c r="AW26" s="8">
        <f t="shared" si="44"/>
        <v>195500</v>
      </c>
      <c r="AX26" s="8">
        <f t="shared" si="21"/>
        <v>23.017082954021422</v>
      </c>
      <c r="AY26" s="95"/>
      <c r="AZ26" s="568">
        <f t="shared" si="45"/>
        <v>0</v>
      </c>
      <c r="BA26" s="8">
        <f t="shared" si="46"/>
        <v>207691.19449999998</v>
      </c>
      <c r="BB26" s="8">
        <f t="shared" si="47"/>
        <v>24.452406407295637</v>
      </c>
      <c r="BC26" s="95">
        <f>76*BC7</f>
        <v>18943</v>
      </c>
      <c r="BD26" s="12">
        <f t="shared" si="22"/>
        <v>42.032040472175382</v>
      </c>
      <c r="BE26" s="8">
        <f t="shared" si="48"/>
        <v>178463</v>
      </c>
      <c r="BF26" s="8">
        <f t="shared" si="23"/>
        <v>21.011241305491176</v>
      </c>
      <c r="BG26" s="8">
        <f t="shared" si="49"/>
        <v>37943</v>
      </c>
      <c r="BH26" s="8">
        <f t="shared" si="24"/>
        <v>84.190556492411474</v>
      </c>
      <c r="BI26" s="8">
        <f t="shared" si="50"/>
        <v>581654.19449999998</v>
      </c>
      <c r="BJ26" s="8">
        <f t="shared" si="25"/>
        <v>68.480730666808228</v>
      </c>
      <c r="BK26" s="95"/>
      <c r="BL26" s="8">
        <f t="shared" si="51"/>
        <v>0</v>
      </c>
      <c r="BM26" s="8">
        <f t="shared" si="52"/>
        <v>0</v>
      </c>
      <c r="BN26" s="8">
        <f t="shared" si="53"/>
        <v>0</v>
      </c>
      <c r="BO26" s="95"/>
      <c r="BP26" s="8">
        <f t="shared" si="54"/>
        <v>0</v>
      </c>
      <c r="BQ26" s="8">
        <f t="shared" si="55"/>
        <v>0</v>
      </c>
      <c r="BR26" s="8">
        <f t="shared" si="56"/>
        <v>0</v>
      </c>
      <c r="BS26" s="95">
        <f t="shared" si="57"/>
        <v>0</v>
      </c>
      <c r="BT26" s="8">
        <f t="shared" si="26"/>
        <v>0</v>
      </c>
      <c r="BU26" s="8">
        <f t="shared" si="58"/>
        <v>0</v>
      </c>
      <c r="BV26" s="8">
        <f t="shared" si="27"/>
        <v>0</v>
      </c>
      <c r="BW26" s="8">
        <f t="shared" si="28"/>
        <v>45068</v>
      </c>
      <c r="BX26" s="8">
        <f t="shared" si="59"/>
        <v>849369.14199999999</v>
      </c>
      <c r="BY26" s="8">
        <f t="shared" si="29"/>
        <v>1.0814935688231906</v>
      </c>
      <c r="BZ26" s="8">
        <f t="shared" si="30"/>
        <v>1.0854849037482155</v>
      </c>
      <c r="CB26" s="11"/>
      <c r="CD26" s="11"/>
      <c r="CJ26" s="11"/>
    </row>
    <row r="27" spans="1:89">
      <c r="A27" s="13">
        <f>Chem!A27</f>
        <v>46130</v>
      </c>
      <c r="B27" s="4" t="str">
        <f>Chem!B27</f>
        <v>Facial</v>
      </c>
      <c r="C27" s="13" t="str">
        <f>Chem!C27</f>
        <v>13</v>
      </c>
      <c r="D27" s="6">
        <f>+Chem!D27</f>
        <v>49.573999999999998</v>
      </c>
      <c r="E27" s="5">
        <f>+Chem!E27</f>
        <v>51.387999999999998</v>
      </c>
      <c r="F27" s="5">
        <f t="shared" si="31"/>
        <v>833.86700000000008</v>
      </c>
      <c r="G27" s="95"/>
      <c r="H27" s="8">
        <f t="shared" si="0"/>
        <v>0</v>
      </c>
      <c r="I27" s="6">
        <f t="shared" si="32"/>
        <v>0</v>
      </c>
      <c r="J27" s="8">
        <f t="shared" si="1"/>
        <v>0</v>
      </c>
      <c r="K27" s="95">
        <f>33.75*K7</f>
        <v>8437.5</v>
      </c>
      <c r="L27" s="8">
        <f t="shared" si="2"/>
        <v>15.809443507588533</v>
      </c>
      <c r="M27" s="8">
        <f t="shared" si="33"/>
        <v>150437.5</v>
      </c>
      <c r="N27" s="8">
        <f t="shared" si="3"/>
        <v>16.664559339557254</v>
      </c>
      <c r="O27" s="95"/>
      <c r="P27" s="8">
        <f t="shared" si="4"/>
        <v>0</v>
      </c>
      <c r="Q27" s="8">
        <f t="shared" si="34"/>
        <v>0</v>
      </c>
      <c r="R27" s="8">
        <f t="shared" si="5"/>
        <v>0</v>
      </c>
      <c r="S27" s="95"/>
      <c r="T27" s="8">
        <f t="shared" si="6"/>
        <v>0</v>
      </c>
      <c r="U27" s="8">
        <f t="shared" si="35"/>
        <v>125714.94750000001</v>
      </c>
      <c r="V27" s="8">
        <f t="shared" si="7"/>
        <v>13.92594401318205</v>
      </c>
      <c r="W27" s="8">
        <f t="shared" si="36"/>
        <v>8437.5</v>
      </c>
      <c r="X27" s="8">
        <f t="shared" si="8"/>
        <v>15.809443507588533</v>
      </c>
      <c r="Y27" s="8">
        <f t="shared" si="37"/>
        <v>276152.44750000001</v>
      </c>
      <c r="Z27" s="8">
        <f t="shared" si="9"/>
        <v>30.590503352739301</v>
      </c>
      <c r="AA27" s="95"/>
      <c r="AB27" s="8">
        <f t="shared" si="10"/>
        <v>0</v>
      </c>
      <c r="AC27" s="8">
        <f t="shared" si="38"/>
        <v>0</v>
      </c>
      <c r="AD27" s="8">
        <f t="shared" si="11"/>
        <v>0</v>
      </c>
      <c r="AE27" s="95"/>
      <c r="AF27" s="8">
        <f t="shared" si="12"/>
        <v>0</v>
      </c>
      <c r="AG27" s="8">
        <f t="shared" si="39"/>
        <v>0</v>
      </c>
      <c r="AH27" s="8">
        <f t="shared" si="13"/>
        <v>0</v>
      </c>
      <c r="AI27" s="95"/>
      <c r="AJ27" s="8">
        <f t="shared" si="14"/>
        <v>0</v>
      </c>
      <c r="AK27" s="8">
        <f t="shared" si="40"/>
        <v>0</v>
      </c>
      <c r="AL27" s="8">
        <f t="shared" si="15"/>
        <v>0</v>
      </c>
      <c r="AM27" s="95"/>
      <c r="AN27" s="8">
        <f t="shared" si="16"/>
        <v>0</v>
      </c>
      <c r="AO27" s="8">
        <f t="shared" si="41"/>
        <v>0</v>
      </c>
      <c r="AP27" s="8">
        <f t="shared" si="17"/>
        <v>0</v>
      </c>
      <c r="AQ27" s="8">
        <f t="shared" si="42"/>
        <v>0</v>
      </c>
      <c r="AR27" s="8">
        <f t="shared" si="18"/>
        <v>0</v>
      </c>
      <c r="AS27" s="8">
        <f t="shared" si="43"/>
        <v>0</v>
      </c>
      <c r="AT27" s="8">
        <f t="shared" si="19"/>
        <v>0</v>
      </c>
      <c r="AU27" s="95">
        <f>90*AU7</f>
        <v>22500</v>
      </c>
      <c r="AV27" s="8">
        <f t="shared" si="20"/>
        <v>42.158516020236085</v>
      </c>
      <c r="AW27" s="8">
        <f t="shared" si="44"/>
        <v>218000</v>
      </c>
      <c r="AX27" s="8">
        <f t="shared" si="21"/>
        <v>24.148725789935892</v>
      </c>
      <c r="AY27" s="95"/>
      <c r="AZ27" s="568">
        <f t="shared" si="45"/>
        <v>0</v>
      </c>
      <c r="BA27" s="8">
        <f t="shared" si="46"/>
        <v>207691.19449999998</v>
      </c>
      <c r="BB27" s="8">
        <f t="shared" si="47"/>
        <v>23.006778463141014</v>
      </c>
      <c r="BC27" s="95">
        <f>90*BC7</f>
        <v>22432.5</v>
      </c>
      <c r="BD27" s="12">
        <f t="shared" si="22"/>
        <v>42.032040472175382</v>
      </c>
      <c r="BE27" s="8">
        <f t="shared" si="48"/>
        <v>200895.5</v>
      </c>
      <c r="BF27" s="8">
        <f t="shared" si="23"/>
        <v>22.25399239418379</v>
      </c>
      <c r="BG27" s="8">
        <f t="shared" si="49"/>
        <v>44932.5</v>
      </c>
      <c r="BH27" s="8">
        <f t="shared" si="24"/>
        <v>84.190556492411474</v>
      </c>
      <c r="BI27" s="8">
        <f t="shared" si="50"/>
        <v>626586.69449999998</v>
      </c>
      <c r="BJ27" s="8">
        <f t="shared" si="25"/>
        <v>69.409496647260696</v>
      </c>
      <c r="BK27" s="95"/>
      <c r="BL27" s="8">
        <f t="shared" si="51"/>
        <v>0</v>
      </c>
      <c r="BM27" s="8">
        <f t="shared" si="52"/>
        <v>0</v>
      </c>
      <c r="BN27" s="8">
        <f t="shared" si="53"/>
        <v>0</v>
      </c>
      <c r="BO27" s="95"/>
      <c r="BP27" s="8">
        <f t="shared" si="54"/>
        <v>0</v>
      </c>
      <c r="BQ27" s="8">
        <f t="shared" si="55"/>
        <v>0</v>
      </c>
      <c r="BR27" s="8">
        <f t="shared" si="56"/>
        <v>0</v>
      </c>
      <c r="BS27" s="95">
        <f t="shared" si="57"/>
        <v>0</v>
      </c>
      <c r="BT27" s="8">
        <f t="shared" si="26"/>
        <v>0</v>
      </c>
      <c r="BU27" s="8">
        <f t="shared" si="58"/>
        <v>0</v>
      </c>
      <c r="BV27" s="8">
        <f t="shared" si="27"/>
        <v>0</v>
      </c>
      <c r="BW27" s="8">
        <f t="shared" si="28"/>
        <v>53370</v>
      </c>
      <c r="BX27" s="8">
        <f t="shared" si="59"/>
        <v>902739.14199999999</v>
      </c>
      <c r="BY27" s="8">
        <f t="shared" si="29"/>
        <v>1.0385693157935705</v>
      </c>
      <c r="BZ27" s="8">
        <f t="shared" si="30"/>
        <v>1.0825936774089873</v>
      </c>
      <c r="CJ27" s="11"/>
    </row>
    <row r="28" spans="1:89">
      <c r="A28" s="13">
        <f>Chem!A28</f>
        <v>46131</v>
      </c>
      <c r="B28" s="4" t="str">
        <f>Chem!B28</f>
        <v>Facial</v>
      </c>
      <c r="C28" s="13" t="str">
        <f>Chem!C28</f>
        <v>13</v>
      </c>
      <c r="D28" s="6">
        <f>+Chem!D28</f>
        <v>49.803000000000004</v>
      </c>
      <c r="E28" s="5">
        <f>+Chem!E28</f>
        <v>54.652000000000001</v>
      </c>
      <c r="F28" s="5">
        <f t="shared" si="31"/>
        <v>888.51900000000012</v>
      </c>
      <c r="G28" s="95"/>
      <c r="H28" s="8">
        <f t="shared" si="0"/>
        <v>0</v>
      </c>
      <c r="I28" s="6">
        <f t="shared" si="32"/>
        <v>0</v>
      </c>
      <c r="J28" s="8">
        <f t="shared" si="1"/>
        <v>0</v>
      </c>
      <c r="K28" s="95">
        <f>32.25*K7</f>
        <v>8062.5</v>
      </c>
      <c r="L28" s="8">
        <f t="shared" si="2"/>
        <v>15.809443507588533</v>
      </c>
      <c r="M28" s="8">
        <f t="shared" si="33"/>
        <v>158500</v>
      </c>
      <c r="N28" s="8">
        <f t="shared" si="3"/>
        <v>16.618834794209995</v>
      </c>
      <c r="O28" s="95"/>
      <c r="P28" s="8">
        <f t="shared" si="4"/>
        <v>0</v>
      </c>
      <c r="Q28" s="8">
        <f t="shared" si="34"/>
        <v>0</v>
      </c>
      <c r="R28" s="8">
        <f t="shared" si="5"/>
        <v>0</v>
      </c>
      <c r="S28" s="95"/>
      <c r="T28" s="8">
        <f t="shared" si="6"/>
        <v>0</v>
      </c>
      <c r="U28" s="8">
        <f t="shared" si="35"/>
        <v>125714.94750000001</v>
      </c>
      <c r="V28" s="8">
        <f t="shared" si="7"/>
        <v>13.181299329118506</v>
      </c>
      <c r="W28" s="8">
        <f t="shared" si="36"/>
        <v>8062.5</v>
      </c>
      <c r="X28" s="8">
        <f t="shared" si="8"/>
        <v>15.809443507588533</v>
      </c>
      <c r="Y28" s="8">
        <f t="shared" si="37"/>
        <v>284214.94750000001</v>
      </c>
      <c r="Z28" s="8">
        <f t="shared" si="9"/>
        <v>29.800134123328505</v>
      </c>
      <c r="AA28" s="95"/>
      <c r="AB28" s="8">
        <f t="shared" si="10"/>
        <v>0</v>
      </c>
      <c r="AC28" s="8">
        <f t="shared" si="38"/>
        <v>0</v>
      </c>
      <c r="AD28" s="8">
        <f t="shared" si="11"/>
        <v>0</v>
      </c>
      <c r="AE28" s="95"/>
      <c r="AF28" s="8">
        <f t="shared" si="12"/>
        <v>0</v>
      </c>
      <c r="AG28" s="8">
        <f t="shared" si="39"/>
        <v>0</v>
      </c>
      <c r="AH28" s="8">
        <f t="shared" si="13"/>
        <v>0</v>
      </c>
      <c r="AI28" s="95"/>
      <c r="AJ28" s="8">
        <f t="shared" si="14"/>
        <v>0</v>
      </c>
      <c r="AK28" s="8">
        <f t="shared" si="40"/>
        <v>0</v>
      </c>
      <c r="AL28" s="8">
        <f t="shared" si="15"/>
        <v>0</v>
      </c>
      <c r="AM28" s="95"/>
      <c r="AN28" s="8">
        <f t="shared" si="16"/>
        <v>0</v>
      </c>
      <c r="AO28" s="8">
        <f t="shared" si="41"/>
        <v>0</v>
      </c>
      <c r="AP28" s="8">
        <f t="shared" si="17"/>
        <v>0</v>
      </c>
      <c r="AQ28" s="8">
        <f t="shared" si="42"/>
        <v>0</v>
      </c>
      <c r="AR28" s="8">
        <f t="shared" si="18"/>
        <v>0</v>
      </c>
      <c r="AS28" s="8">
        <f t="shared" si="43"/>
        <v>0</v>
      </c>
      <c r="AT28" s="8">
        <f t="shared" si="19"/>
        <v>0</v>
      </c>
      <c r="AU28" s="95">
        <f>86*AU7</f>
        <v>21500</v>
      </c>
      <c r="AV28" s="8">
        <f t="shared" si="20"/>
        <v>42.158516020236085</v>
      </c>
      <c r="AW28" s="8">
        <f t="shared" si="44"/>
        <v>239500</v>
      </c>
      <c r="AX28" s="8">
        <f t="shared" si="21"/>
        <v>25.111740903553908</v>
      </c>
      <c r="AY28" s="95"/>
      <c r="AZ28" s="568">
        <f t="shared" si="45"/>
        <v>0</v>
      </c>
      <c r="BA28" s="8">
        <f t="shared" si="46"/>
        <v>207691.19449999998</v>
      </c>
      <c r="BB28" s="8">
        <f t="shared" si="47"/>
        <v>21.77656561266647</v>
      </c>
      <c r="BC28" s="95">
        <f>86*BC7</f>
        <v>21435.5</v>
      </c>
      <c r="BD28" s="12">
        <f t="shared" si="22"/>
        <v>42.032040472175382</v>
      </c>
      <c r="BE28" s="8">
        <f t="shared" si="48"/>
        <v>222331</v>
      </c>
      <c r="BF28" s="8">
        <f t="shared" si="23"/>
        <v>23.31155936045112</v>
      </c>
      <c r="BG28" s="8">
        <f t="shared" si="49"/>
        <v>42935.5</v>
      </c>
      <c r="BH28" s="8">
        <f t="shared" si="24"/>
        <v>84.190556492411474</v>
      </c>
      <c r="BI28" s="8">
        <f t="shared" si="50"/>
        <v>669522.19449999998</v>
      </c>
      <c r="BJ28" s="8">
        <f t="shared" si="25"/>
        <v>70.199865876671495</v>
      </c>
      <c r="BK28" s="95"/>
      <c r="BL28" s="8">
        <f t="shared" si="51"/>
        <v>0</v>
      </c>
      <c r="BM28" s="8">
        <f t="shared" si="52"/>
        <v>0</v>
      </c>
      <c r="BN28" s="8">
        <f t="shared" si="53"/>
        <v>0</v>
      </c>
      <c r="BO28" s="95"/>
      <c r="BP28" s="8">
        <f t="shared" si="54"/>
        <v>0</v>
      </c>
      <c r="BQ28" s="8">
        <f t="shared" si="55"/>
        <v>0</v>
      </c>
      <c r="BR28" s="8">
        <f t="shared" si="56"/>
        <v>0</v>
      </c>
      <c r="BS28" s="95">
        <f t="shared" si="57"/>
        <v>0</v>
      </c>
      <c r="BT28" s="8">
        <f t="shared" si="26"/>
        <v>0</v>
      </c>
      <c r="BU28" s="8">
        <f t="shared" si="58"/>
        <v>0</v>
      </c>
      <c r="BV28" s="8">
        <f t="shared" si="27"/>
        <v>0</v>
      </c>
      <c r="BW28" s="8">
        <f t="shared" si="28"/>
        <v>50998</v>
      </c>
      <c r="BX28" s="8">
        <f t="shared" si="59"/>
        <v>953737.14199999999</v>
      </c>
      <c r="BY28" s="8">
        <f t="shared" si="29"/>
        <v>0.93314059869721133</v>
      </c>
      <c r="BZ28" s="8">
        <f t="shared" si="30"/>
        <v>1.0734009537218674</v>
      </c>
      <c r="CJ28" s="11"/>
    </row>
    <row r="29" spans="1:89">
      <c r="A29" s="13">
        <f>Chem!A29</f>
        <v>46132</v>
      </c>
      <c r="B29" s="4" t="str">
        <f>Chem!B29</f>
        <v>Facial</v>
      </c>
      <c r="C29" s="13" t="str">
        <f>Chem!C29</f>
        <v>13</v>
      </c>
      <c r="D29" s="6">
        <f>+Chem!D29</f>
        <v>49.64</v>
      </c>
      <c r="E29" s="5">
        <f>+Chem!E29</f>
        <v>44.97</v>
      </c>
      <c r="F29" s="5">
        <f t="shared" si="31"/>
        <v>933.48900000000015</v>
      </c>
      <c r="G29" s="95"/>
      <c r="H29" s="8">
        <f t="shared" si="0"/>
        <v>0</v>
      </c>
      <c r="I29" s="6">
        <f t="shared" si="32"/>
        <v>0</v>
      </c>
      <c r="J29" s="8">
        <f t="shared" si="1"/>
        <v>0</v>
      </c>
      <c r="K29" s="95">
        <f>34.5*K7</f>
        <v>8625</v>
      </c>
      <c r="L29" s="8">
        <f t="shared" si="2"/>
        <v>15.809443507588533</v>
      </c>
      <c r="M29" s="8">
        <f t="shared" si="33"/>
        <v>167125</v>
      </c>
      <c r="N29" s="8">
        <f t="shared" si="3"/>
        <v>16.575040832718468</v>
      </c>
      <c r="O29" s="95"/>
      <c r="P29" s="8">
        <f t="shared" si="4"/>
        <v>0</v>
      </c>
      <c r="Q29" s="8">
        <f t="shared" si="34"/>
        <v>0</v>
      </c>
      <c r="R29" s="8">
        <f t="shared" si="5"/>
        <v>0</v>
      </c>
      <c r="S29" s="95"/>
      <c r="T29" s="8">
        <f t="shared" si="6"/>
        <v>0</v>
      </c>
      <c r="U29" s="8">
        <f t="shared" si="35"/>
        <v>125714.94750000001</v>
      </c>
      <c r="V29" s="8">
        <f t="shared" si="7"/>
        <v>12.468095067138719</v>
      </c>
      <c r="W29" s="8">
        <f t="shared" si="36"/>
        <v>8625</v>
      </c>
      <c r="X29" s="8">
        <f t="shared" si="8"/>
        <v>15.809443507588533</v>
      </c>
      <c r="Y29" s="8">
        <f t="shared" si="37"/>
        <v>292839.94750000001</v>
      </c>
      <c r="Z29" s="8">
        <f t="shared" si="9"/>
        <v>29.043135899857187</v>
      </c>
      <c r="AA29" s="95"/>
      <c r="AB29" s="8">
        <f t="shared" si="10"/>
        <v>0</v>
      </c>
      <c r="AC29" s="8">
        <f t="shared" si="38"/>
        <v>0</v>
      </c>
      <c r="AD29" s="8">
        <f t="shared" si="11"/>
        <v>0</v>
      </c>
      <c r="AE29" s="95"/>
      <c r="AF29" s="8">
        <f t="shared" si="12"/>
        <v>0</v>
      </c>
      <c r="AG29" s="8">
        <f t="shared" si="39"/>
        <v>0</v>
      </c>
      <c r="AH29" s="8">
        <f t="shared" si="13"/>
        <v>0</v>
      </c>
      <c r="AI29" s="95"/>
      <c r="AJ29" s="8">
        <f t="shared" si="14"/>
        <v>0</v>
      </c>
      <c r="AK29" s="8">
        <f t="shared" si="40"/>
        <v>0</v>
      </c>
      <c r="AL29" s="8">
        <f t="shared" si="15"/>
        <v>0</v>
      </c>
      <c r="AM29" s="95"/>
      <c r="AN29" s="8">
        <f t="shared" si="16"/>
        <v>0</v>
      </c>
      <c r="AO29" s="8">
        <f t="shared" si="41"/>
        <v>0</v>
      </c>
      <c r="AP29" s="8">
        <f t="shared" si="17"/>
        <v>0</v>
      </c>
      <c r="AQ29" s="8">
        <f t="shared" si="42"/>
        <v>0</v>
      </c>
      <c r="AR29" s="8">
        <f t="shared" si="18"/>
        <v>0</v>
      </c>
      <c r="AS29" s="8">
        <f t="shared" si="43"/>
        <v>0</v>
      </c>
      <c r="AT29" s="8">
        <f t="shared" si="19"/>
        <v>0</v>
      </c>
      <c r="AU29" s="95">
        <f>92*AU7</f>
        <v>23000</v>
      </c>
      <c r="AV29" s="8">
        <f t="shared" si="20"/>
        <v>42.158516020236085</v>
      </c>
      <c r="AW29" s="8">
        <f t="shared" si="44"/>
        <v>262500</v>
      </c>
      <c r="AX29" s="8">
        <f t="shared" si="21"/>
        <v>26.034095548772463</v>
      </c>
      <c r="AY29" s="95"/>
      <c r="AZ29" s="568">
        <f t="shared" si="45"/>
        <v>0</v>
      </c>
      <c r="BA29" s="8">
        <f t="shared" si="46"/>
        <v>207691.19449999998</v>
      </c>
      <c r="BB29" s="8">
        <f t="shared" si="47"/>
        <v>20.598294865720707</v>
      </c>
      <c r="BC29" s="95">
        <f>92*BC7</f>
        <v>22931</v>
      </c>
      <c r="BD29" s="12">
        <f t="shared" si="22"/>
        <v>42.032040472175382</v>
      </c>
      <c r="BE29" s="8">
        <f t="shared" si="48"/>
        <v>245262</v>
      </c>
      <c r="BF29" s="8">
        <f t="shared" si="23"/>
        <v>24.324473685649643</v>
      </c>
      <c r="BG29" s="8">
        <f t="shared" si="49"/>
        <v>45931</v>
      </c>
      <c r="BH29" s="8">
        <f t="shared" si="24"/>
        <v>84.190556492411474</v>
      </c>
      <c r="BI29" s="8">
        <f t="shared" si="50"/>
        <v>715453.19449999998</v>
      </c>
      <c r="BJ29" s="8">
        <f t="shared" si="25"/>
        <v>70.956864100142809</v>
      </c>
      <c r="BK29" s="95"/>
      <c r="BL29" s="8">
        <f t="shared" si="51"/>
        <v>0</v>
      </c>
      <c r="BM29" s="8">
        <f t="shared" si="52"/>
        <v>0</v>
      </c>
      <c r="BN29" s="8">
        <f t="shared" si="53"/>
        <v>0</v>
      </c>
      <c r="BO29" s="95"/>
      <c r="BP29" s="8">
        <f t="shared" si="54"/>
        <v>0</v>
      </c>
      <c r="BQ29" s="8">
        <f t="shared" si="55"/>
        <v>0</v>
      </c>
      <c r="BR29" s="8">
        <f t="shared" si="56"/>
        <v>0</v>
      </c>
      <c r="BS29" s="95">
        <f t="shared" si="57"/>
        <v>0</v>
      </c>
      <c r="BT29" s="8">
        <f t="shared" si="26"/>
        <v>0</v>
      </c>
      <c r="BU29" s="8">
        <f t="shared" si="58"/>
        <v>0</v>
      </c>
      <c r="BV29" s="8">
        <f t="shared" si="27"/>
        <v>0</v>
      </c>
      <c r="BW29" s="8">
        <f t="shared" si="28"/>
        <v>54556</v>
      </c>
      <c r="BX29" s="8">
        <f t="shared" si="59"/>
        <v>1008293.142</v>
      </c>
      <c r="BY29" s="8">
        <f t="shared" si="29"/>
        <v>1.21316433177674</v>
      </c>
      <c r="BZ29" s="8">
        <f t="shared" si="30"/>
        <v>1.0801339298052788</v>
      </c>
      <c r="CJ29" s="11"/>
    </row>
    <row r="30" spans="1:89">
      <c r="A30" s="13">
        <f>Chem!A30</f>
        <v>46133</v>
      </c>
      <c r="B30" s="4" t="str">
        <f>Chem!B30</f>
        <v>Facial</v>
      </c>
      <c r="C30" s="13" t="str">
        <f>Chem!C30</f>
        <v>13</v>
      </c>
      <c r="D30" s="6">
        <f>+Chem!D30</f>
        <v>51.710999999999999</v>
      </c>
      <c r="E30" s="5">
        <f>+Chem!E30</f>
        <v>51.795999999999999</v>
      </c>
      <c r="F30" s="5">
        <f t="shared" si="31"/>
        <v>985.2850000000002</v>
      </c>
      <c r="G30" s="95"/>
      <c r="H30" s="8">
        <f t="shared" si="0"/>
        <v>0</v>
      </c>
      <c r="I30" s="6">
        <f t="shared" si="32"/>
        <v>0</v>
      </c>
      <c r="J30" s="8">
        <f t="shared" si="1"/>
        <v>0</v>
      </c>
      <c r="K30" s="95">
        <f>33.75*K7</f>
        <v>8437.5</v>
      </c>
      <c r="L30" s="8">
        <f t="shared" si="2"/>
        <v>15.809443507588533</v>
      </c>
      <c r="M30" s="8">
        <f t="shared" si="33"/>
        <v>175562.5</v>
      </c>
      <c r="N30" s="8">
        <f t="shared" si="3"/>
        <v>16.536554115391905</v>
      </c>
      <c r="O30" s="95"/>
      <c r="P30" s="8">
        <f t="shared" si="4"/>
        <v>0</v>
      </c>
      <c r="Q30" s="8">
        <f t="shared" si="34"/>
        <v>0</v>
      </c>
      <c r="R30" s="8">
        <f t="shared" si="5"/>
        <v>0</v>
      </c>
      <c r="S30" s="95"/>
      <c r="T30" s="8">
        <f t="shared" si="6"/>
        <v>0</v>
      </c>
      <c r="U30" s="8">
        <f t="shared" si="35"/>
        <v>125714.94750000001</v>
      </c>
      <c r="V30" s="8">
        <f t="shared" si="7"/>
        <v>11.841321651533798</v>
      </c>
      <c r="W30" s="8">
        <f t="shared" si="36"/>
        <v>8437.5</v>
      </c>
      <c r="X30" s="8">
        <f t="shared" si="8"/>
        <v>15.809443507588533</v>
      </c>
      <c r="Y30" s="8">
        <f t="shared" si="37"/>
        <v>301277.44750000001</v>
      </c>
      <c r="Z30" s="8">
        <f t="shared" si="9"/>
        <v>28.377875766925705</v>
      </c>
      <c r="AA30" s="95"/>
      <c r="AB30" s="8">
        <f t="shared" si="10"/>
        <v>0</v>
      </c>
      <c r="AC30" s="8">
        <f t="shared" si="38"/>
        <v>0</v>
      </c>
      <c r="AD30" s="8">
        <f t="shared" si="11"/>
        <v>0</v>
      </c>
      <c r="AE30" s="95"/>
      <c r="AF30" s="8">
        <f t="shared" si="12"/>
        <v>0</v>
      </c>
      <c r="AG30" s="8">
        <f t="shared" si="39"/>
        <v>0</v>
      </c>
      <c r="AH30" s="8">
        <f t="shared" si="13"/>
        <v>0</v>
      </c>
      <c r="AI30" s="95"/>
      <c r="AJ30" s="8">
        <f t="shared" si="14"/>
        <v>0</v>
      </c>
      <c r="AK30" s="8">
        <f t="shared" si="40"/>
        <v>0</v>
      </c>
      <c r="AL30" s="8">
        <f t="shared" si="15"/>
        <v>0</v>
      </c>
      <c r="AM30" s="95"/>
      <c r="AN30" s="8">
        <f t="shared" si="16"/>
        <v>0</v>
      </c>
      <c r="AO30" s="8">
        <f t="shared" si="41"/>
        <v>0</v>
      </c>
      <c r="AP30" s="8">
        <f t="shared" si="17"/>
        <v>0</v>
      </c>
      <c r="AQ30" s="8">
        <f t="shared" si="42"/>
        <v>0</v>
      </c>
      <c r="AR30" s="8">
        <f t="shared" si="18"/>
        <v>0</v>
      </c>
      <c r="AS30" s="8">
        <f t="shared" si="43"/>
        <v>0</v>
      </c>
      <c r="AT30" s="8">
        <f t="shared" si="19"/>
        <v>0</v>
      </c>
      <c r="AU30" s="95">
        <f>90*AU7</f>
        <v>22500</v>
      </c>
      <c r="AV30" s="8">
        <f t="shared" si="20"/>
        <v>42.158516020236085</v>
      </c>
      <c r="AW30" s="8">
        <f t="shared" si="44"/>
        <v>285000</v>
      </c>
      <c r="AX30" s="8">
        <f t="shared" si="21"/>
        <v>26.844673110070161</v>
      </c>
      <c r="AY30" s="95"/>
      <c r="AZ30" s="568">
        <f t="shared" si="45"/>
        <v>0</v>
      </c>
      <c r="BA30" s="8">
        <f t="shared" si="46"/>
        <v>207691.19449999998</v>
      </c>
      <c r="BB30" s="8">
        <f t="shared" si="47"/>
        <v>19.562814821728075</v>
      </c>
      <c r="BC30" s="95">
        <f>90*BC7</f>
        <v>22432.5</v>
      </c>
      <c r="BD30" s="12">
        <f t="shared" si="22"/>
        <v>42.032040472175382</v>
      </c>
      <c r="BE30" s="8">
        <f t="shared" si="48"/>
        <v>267694.5</v>
      </c>
      <c r="BF30" s="8">
        <f t="shared" si="23"/>
        <v>25.214636301276062</v>
      </c>
      <c r="BG30" s="8">
        <f t="shared" si="49"/>
        <v>44932.5</v>
      </c>
      <c r="BH30" s="8">
        <f t="shared" si="24"/>
        <v>84.190556492411474</v>
      </c>
      <c r="BI30" s="8">
        <f t="shared" si="50"/>
        <v>760385.69449999998</v>
      </c>
      <c r="BJ30" s="8">
        <f t="shared" si="25"/>
        <v>71.622124233074302</v>
      </c>
      <c r="BK30" s="95"/>
      <c r="BL30" s="8">
        <f t="shared" si="51"/>
        <v>0</v>
      </c>
      <c r="BM30" s="8">
        <f t="shared" si="52"/>
        <v>0</v>
      </c>
      <c r="BN30" s="8">
        <f t="shared" si="53"/>
        <v>0</v>
      </c>
      <c r="BO30" s="95"/>
      <c r="BP30" s="8">
        <f t="shared" si="54"/>
        <v>0</v>
      </c>
      <c r="BQ30" s="8">
        <f t="shared" si="55"/>
        <v>0</v>
      </c>
      <c r="BR30" s="8">
        <f t="shared" si="56"/>
        <v>0</v>
      </c>
      <c r="BS30" s="95">
        <f t="shared" si="57"/>
        <v>0</v>
      </c>
      <c r="BT30" s="8">
        <f t="shared" si="26"/>
        <v>0</v>
      </c>
      <c r="BU30" s="8">
        <f t="shared" si="58"/>
        <v>0</v>
      </c>
      <c r="BV30" s="8">
        <f t="shared" si="27"/>
        <v>0</v>
      </c>
      <c r="BW30" s="8">
        <f t="shared" si="28"/>
        <v>53370</v>
      </c>
      <c r="BX30" s="8">
        <f t="shared" si="59"/>
        <v>1061663.142</v>
      </c>
      <c r="BY30" s="8">
        <f t="shared" si="29"/>
        <v>1.030388446984323</v>
      </c>
      <c r="BZ30" s="8">
        <f t="shared" si="30"/>
        <v>1.077518831607098</v>
      </c>
    </row>
    <row r="31" spans="1:89">
      <c r="A31" s="13">
        <f>Chem!A31</f>
        <v>46134</v>
      </c>
      <c r="B31" s="4" t="str">
        <f>Chem!B31</f>
        <v>Facial</v>
      </c>
      <c r="C31" s="13" t="str">
        <f>Chem!C31</f>
        <v>13</v>
      </c>
      <c r="D31" s="6">
        <f>+Chem!D31</f>
        <v>49.819999999999993</v>
      </c>
      <c r="E31" s="5">
        <f>+Chem!E31</f>
        <v>48.822000000000003</v>
      </c>
      <c r="F31" s="5">
        <f t="shared" si="31"/>
        <v>1034.1070000000002</v>
      </c>
      <c r="G31" s="95"/>
      <c r="H31" s="8">
        <f t="shared" si="0"/>
        <v>0</v>
      </c>
      <c r="I31" s="6">
        <f t="shared" si="32"/>
        <v>0</v>
      </c>
      <c r="J31" s="8">
        <f t="shared" si="1"/>
        <v>0</v>
      </c>
      <c r="K31" s="95">
        <f>32.75*K7</f>
        <v>8187.5</v>
      </c>
      <c r="L31" s="8">
        <f t="shared" si="2"/>
        <v>15.486537352109478</v>
      </c>
      <c r="M31" s="8">
        <f t="shared" si="33"/>
        <v>183750</v>
      </c>
      <c r="N31" s="8">
        <f t="shared" si="3"/>
        <v>16.486745918695057</v>
      </c>
      <c r="O31" s="95"/>
      <c r="P31" s="8">
        <f t="shared" si="4"/>
        <v>0</v>
      </c>
      <c r="Q31" s="8">
        <f t="shared" si="34"/>
        <v>0</v>
      </c>
      <c r="R31" s="8">
        <f t="shared" si="5"/>
        <v>0</v>
      </c>
      <c r="S31" s="95"/>
      <c r="T31" s="8">
        <f t="shared" si="6"/>
        <v>0</v>
      </c>
      <c r="U31" s="8">
        <f t="shared" si="35"/>
        <v>125714.94750000001</v>
      </c>
      <c r="V31" s="8">
        <f t="shared" si="7"/>
        <v>11.279621211507965</v>
      </c>
      <c r="W31" s="8">
        <f t="shared" si="36"/>
        <v>8187.5</v>
      </c>
      <c r="X31" s="8">
        <f t="shared" si="8"/>
        <v>15.486537352109478</v>
      </c>
      <c r="Y31" s="8">
        <f t="shared" si="37"/>
        <v>309464.94750000001</v>
      </c>
      <c r="Z31" s="8">
        <f t="shared" si="9"/>
        <v>27.766367130203022</v>
      </c>
      <c r="AA31" s="95"/>
      <c r="AB31" s="8">
        <f t="shared" si="10"/>
        <v>0</v>
      </c>
      <c r="AC31" s="8">
        <f t="shared" si="38"/>
        <v>0</v>
      </c>
      <c r="AD31" s="8">
        <f t="shared" si="11"/>
        <v>0</v>
      </c>
      <c r="AE31" s="95"/>
      <c r="AF31" s="8">
        <f t="shared" si="12"/>
        <v>0</v>
      </c>
      <c r="AG31" s="8">
        <f t="shared" si="39"/>
        <v>0</v>
      </c>
      <c r="AH31" s="8">
        <f t="shared" si="13"/>
        <v>0</v>
      </c>
      <c r="AI31" s="95"/>
      <c r="AJ31" s="8">
        <f t="shared" si="14"/>
        <v>0</v>
      </c>
      <c r="AK31" s="8">
        <f t="shared" si="40"/>
        <v>0</v>
      </c>
      <c r="AL31" s="8">
        <f t="shared" si="15"/>
        <v>0</v>
      </c>
      <c r="AM31" s="95"/>
      <c r="AN31" s="8">
        <f t="shared" si="16"/>
        <v>0</v>
      </c>
      <c r="AO31" s="8">
        <f t="shared" si="41"/>
        <v>0</v>
      </c>
      <c r="AP31" s="8">
        <f t="shared" si="17"/>
        <v>0</v>
      </c>
      <c r="AQ31" s="8">
        <f t="shared" si="42"/>
        <v>0</v>
      </c>
      <c r="AR31" s="8">
        <f t="shared" si="18"/>
        <v>0</v>
      </c>
      <c r="AS31" s="8">
        <f t="shared" si="43"/>
        <v>0</v>
      </c>
      <c r="AT31" s="8">
        <f t="shared" si="19"/>
        <v>0</v>
      </c>
      <c r="AU31" s="95">
        <f>87*AU7</f>
        <v>21750</v>
      </c>
      <c r="AV31" s="8">
        <f t="shared" si="20"/>
        <v>41.139809149115258</v>
      </c>
      <c r="AW31" s="8">
        <f t="shared" si="44"/>
        <v>306750</v>
      </c>
      <c r="AX31" s="8">
        <f t="shared" si="21"/>
        <v>27.522771758148075</v>
      </c>
      <c r="AY31" s="95"/>
      <c r="AZ31" s="568">
        <f t="shared" si="45"/>
        <v>0</v>
      </c>
      <c r="BA31" s="8">
        <f t="shared" si="46"/>
        <v>207691.19449999998</v>
      </c>
      <c r="BB31" s="8">
        <f t="shared" si="47"/>
        <v>18.634840562023271</v>
      </c>
      <c r="BC31" s="95">
        <f>92*BC7</f>
        <v>22931</v>
      </c>
      <c r="BD31" s="12">
        <f t="shared" si="22"/>
        <v>43.373653498775262</v>
      </c>
      <c r="BE31" s="8">
        <f t="shared" si="48"/>
        <v>290625.5</v>
      </c>
      <c r="BF31" s="8">
        <f t="shared" si="23"/>
        <v>26.076020549625632</v>
      </c>
      <c r="BG31" s="8">
        <f t="shared" si="49"/>
        <v>44681</v>
      </c>
      <c r="BH31" s="8">
        <f t="shared" si="24"/>
        <v>84.51346264789052</v>
      </c>
      <c r="BI31" s="8">
        <f t="shared" si="50"/>
        <v>805066.69449999998</v>
      </c>
      <c r="BJ31" s="8">
        <f t="shared" si="25"/>
        <v>72.233632869796978</v>
      </c>
      <c r="BK31" s="95"/>
      <c r="BL31" s="8">
        <f t="shared" si="51"/>
        <v>0</v>
      </c>
      <c r="BM31" s="8">
        <f t="shared" si="52"/>
        <v>0</v>
      </c>
      <c r="BN31" s="8">
        <f t="shared" si="53"/>
        <v>0</v>
      </c>
      <c r="BO31" s="95"/>
      <c r="BP31" s="8">
        <f t="shared" si="54"/>
        <v>0</v>
      </c>
      <c r="BQ31" s="8">
        <f t="shared" si="55"/>
        <v>0</v>
      </c>
      <c r="BR31" s="8">
        <f t="shared" si="56"/>
        <v>0</v>
      </c>
      <c r="BS31" s="95">
        <f t="shared" si="57"/>
        <v>0</v>
      </c>
      <c r="BT31" s="8">
        <f t="shared" si="26"/>
        <v>0</v>
      </c>
      <c r="BU31" s="8">
        <f t="shared" si="58"/>
        <v>0</v>
      </c>
      <c r="BV31" s="8">
        <f t="shared" si="27"/>
        <v>0</v>
      </c>
      <c r="BW31" s="8">
        <f t="shared" si="28"/>
        <v>52868.5</v>
      </c>
      <c r="BX31" s="8">
        <f t="shared" si="59"/>
        <v>1114531.642</v>
      </c>
      <c r="BY31" s="8">
        <f t="shared" si="29"/>
        <v>1.0828827168079962</v>
      </c>
      <c r="BZ31" s="8">
        <f t="shared" si="30"/>
        <v>1.0777720700082289</v>
      </c>
    </row>
    <row r="32" spans="1:89">
      <c r="A32" s="13">
        <f>Chem!A32</f>
        <v>46135</v>
      </c>
      <c r="B32" s="4" t="str">
        <f>Chem!B32</f>
        <v>Facial</v>
      </c>
      <c r="C32" s="13" t="str">
        <f>Chem!C32</f>
        <v>13</v>
      </c>
      <c r="D32" s="6">
        <f>+Chem!D32</f>
        <v>51.642000000000003</v>
      </c>
      <c r="E32" s="5">
        <f>+Chem!E32</f>
        <v>47.997</v>
      </c>
      <c r="F32" s="5">
        <f t="shared" si="31"/>
        <v>1082.1040000000003</v>
      </c>
      <c r="G32" s="95"/>
      <c r="H32" s="8">
        <f t="shared" si="0"/>
        <v>0</v>
      </c>
      <c r="I32" s="6">
        <f t="shared" si="32"/>
        <v>0</v>
      </c>
      <c r="J32" s="8">
        <f t="shared" si="1"/>
        <v>0</v>
      </c>
      <c r="K32" s="95">
        <f>34.5*K7</f>
        <v>8625</v>
      </c>
      <c r="L32" s="8">
        <f t="shared" si="2"/>
        <v>15.809443507588533</v>
      </c>
      <c r="M32" s="8">
        <f t="shared" si="33"/>
        <v>192375</v>
      </c>
      <c r="N32" s="8">
        <f t="shared" si="3"/>
        <v>16.455139297418047</v>
      </c>
      <c r="O32" s="95"/>
      <c r="P32" s="8">
        <f t="shared" si="4"/>
        <v>0</v>
      </c>
      <c r="Q32" s="8">
        <f t="shared" si="34"/>
        <v>0</v>
      </c>
      <c r="R32" s="8">
        <f t="shared" si="5"/>
        <v>0</v>
      </c>
      <c r="S32" s="95"/>
      <c r="T32" s="8">
        <f t="shared" si="6"/>
        <v>0</v>
      </c>
      <c r="U32" s="8">
        <f t="shared" si="35"/>
        <v>125714.94750000001</v>
      </c>
      <c r="V32" s="8">
        <f t="shared" si="7"/>
        <v>10.753252620559307</v>
      </c>
      <c r="W32" s="8">
        <f t="shared" si="36"/>
        <v>8625</v>
      </c>
      <c r="X32" s="8">
        <f t="shared" si="8"/>
        <v>15.809443507588533</v>
      </c>
      <c r="Y32" s="8">
        <f t="shared" si="37"/>
        <v>318089.94750000001</v>
      </c>
      <c r="Z32" s="8">
        <f t="shared" si="9"/>
        <v>27.208391917977355</v>
      </c>
      <c r="AA32" s="95"/>
      <c r="AB32" s="8">
        <f t="shared" si="10"/>
        <v>0</v>
      </c>
      <c r="AC32" s="8">
        <f t="shared" si="38"/>
        <v>0</v>
      </c>
      <c r="AD32" s="8">
        <f t="shared" si="11"/>
        <v>0</v>
      </c>
      <c r="AE32" s="95"/>
      <c r="AF32" s="8">
        <f t="shared" si="12"/>
        <v>0</v>
      </c>
      <c r="AG32" s="8">
        <f t="shared" si="39"/>
        <v>0</v>
      </c>
      <c r="AH32" s="8">
        <f t="shared" si="13"/>
        <v>0</v>
      </c>
      <c r="AI32" s="95"/>
      <c r="AJ32" s="8">
        <f t="shared" si="14"/>
        <v>0</v>
      </c>
      <c r="AK32" s="8">
        <f t="shared" si="40"/>
        <v>0</v>
      </c>
      <c r="AL32" s="8">
        <f t="shared" si="15"/>
        <v>0</v>
      </c>
      <c r="AM32" s="95"/>
      <c r="AN32" s="8">
        <f t="shared" si="16"/>
        <v>0</v>
      </c>
      <c r="AO32" s="8">
        <f t="shared" si="41"/>
        <v>0</v>
      </c>
      <c r="AP32" s="8">
        <f t="shared" si="17"/>
        <v>0</v>
      </c>
      <c r="AQ32" s="8">
        <f t="shared" si="42"/>
        <v>0</v>
      </c>
      <c r="AR32" s="8">
        <f t="shared" si="18"/>
        <v>0</v>
      </c>
      <c r="AS32" s="8">
        <f t="shared" si="43"/>
        <v>0</v>
      </c>
      <c r="AT32" s="8">
        <f t="shared" si="19"/>
        <v>0</v>
      </c>
      <c r="AU32" s="95">
        <f>92*AU7</f>
        <v>23000</v>
      </c>
      <c r="AV32" s="8">
        <f t="shared" si="20"/>
        <v>42.158516020236085</v>
      </c>
      <c r="AW32" s="8">
        <f t="shared" si="44"/>
        <v>329750</v>
      </c>
      <c r="AX32" s="8">
        <f t="shared" si="21"/>
        <v>28.205755338914102</v>
      </c>
      <c r="AY32" s="95"/>
      <c r="AZ32" s="568">
        <f t="shared" si="45"/>
        <v>0</v>
      </c>
      <c r="BA32" s="8">
        <f t="shared" si="46"/>
        <v>207691.19449999998</v>
      </c>
      <c r="BB32" s="8">
        <f t="shared" si="47"/>
        <v>17.765237355917581</v>
      </c>
      <c r="BC32" s="95">
        <f>92*BC7</f>
        <v>22931</v>
      </c>
      <c r="BD32" s="12">
        <f t="shared" si="22"/>
        <v>42.032040472175382</v>
      </c>
      <c r="BE32" s="8">
        <f t="shared" si="48"/>
        <v>313556.5</v>
      </c>
      <c r="BF32" s="8">
        <f t="shared" si="23"/>
        <v>26.820615387190966</v>
      </c>
      <c r="BG32" s="8">
        <f t="shared" si="49"/>
        <v>45931</v>
      </c>
      <c r="BH32" s="8">
        <f t="shared" si="24"/>
        <v>84.190556492411474</v>
      </c>
      <c r="BI32" s="8">
        <f t="shared" si="50"/>
        <v>850997.69449999998</v>
      </c>
      <c r="BJ32" s="8">
        <f t="shared" si="25"/>
        <v>72.791608082022648</v>
      </c>
      <c r="BK32" s="95"/>
      <c r="BL32" s="8">
        <f t="shared" si="51"/>
        <v>0</v>
      </c>
      <c r="BM32" s="8">
        <f t="shared" si="52"/>
        <v>0</v>
      </c>
      <c r="BN32" s="8">
        <f t="shared" si="53"/>
        <v>0</v>
      </c>
      <c r="BO32" s="95"/>
      <c r="BP32" s="8">
        <f t="shared" si="54"/>
        <v>0</v>
      </c>
      <c r="BQ32" s="8">
        <f t="shared" si="55"/>
        <v>0</v>
      </c>
      <c r="BR32" s="8">
        <f t="shared" si="56"/>
        <v>0</v>
      </c>
      <c r="BS32" s="95">
        <f t="shared" si="57"/>
        <v>0</v>
      </c>
      <c r="BT32" s="8">
        <f t="shared" si="26"/>
        <v>0</v>
      </c>
      <c r="BU32" s="8">
        <f t="shared" si="58"/>
        <v>0</v>
      </c>
      <c r="BV32" s="8">
        <f t="shared" si="27"/>
        <v>0</v>
      </c>
      <c r="BW32" s="8">
        <f t="shared" si="28"/>
        <v>54556</v>
      </c>
      <c r="BX32" s="8">
        <f t="shared" si="59"/>
        <v>1169087.642</v>
      </c>
      <c r="BY32" s="8">
        <f t="shared" si="29"/>
        <v>1.1366543742317228</v>
      </c>
      <c r="BZ32" s="8">
        <f t="shared" si="30"/>
        <v>1.0803838096892717</v>
      </c>
    </row>
    <row r="33" spans="1:78">
      <c r="A33" s="13">
        <f>Chem!A33</f>
        <v>46136</v>
      </c>
      <c r="B33" s="4" t="str">
        <f>Chem!B33</f>
        <v>Facial</v>
      </c>
      <c r="C33" s="13" t="str">
        <f>Chem!C33</f>
        <v>13</v>
      </c>
      <c r="D33" s="6">
        <f>+Chem!D33</f>
        <v>49.257999999999996</v>
      </c>
      <c r="E33" s="5">
        <f>+Chem!E33</f>
        <v>53.771000000000001</v>
      </c>
      <c r="F33" s="5">
        <f t="shared" si="31"/>
        <v>1135.8750000000002</v>
      </c>
      <c r="G33" s="95"/>
      <c r="H33" s="8">
        <f t="shared" si="0"/>
        <v>0</v>
      </c>
      <c r="I33" s="6">
        <f t="shared" si="32"/>
        <v>0</v>
      </c>
      <c r="J33" s="8">
        <f t="shared" si="1"/>
        <v>0</v>
      </c>
      <c r="K33" s="95">
        <f>35.25*K7</f>
        <v>8812.5</v>
      </c>
      <c r="L33" s="8">
        <f t="shared" si="2"/>
        <v>15.789473684210526</v>
      </c>
      <c r="M33" s="8">
        <f t="shared" si="33"/>
        <v>201187.5</v>
      </c>
      <c r="N33" s="8">
        <f t="shared" si="3"/>
        <v>16.424808284494429</v>
      </c>
      <c r="O33" s="95"/>
      <c r="P33" s="8">
        <f t="shared" si="4"/>
        <v>0</v>
      </c>
      <c r="Q33" s="8">
        <f t="shared" si="34"/>
        <v>0</v>
      </c>
      <c r="R33" s="8">
        <f t="shared" si="5"/>
        <v>0</v>
      </c>
      <c r="S33" s="95"/>
      <c r="T33" s="8">
        <f t="shared" si="6"/>
        <v>0</v>
      </c>
      <c r="U33" s="8">
        <f t="shared" si="35"/>
        <v>125714.94750000001</v>
      </c>
      <c r="V33" s="8">
        <f t="shared" si="7"/>
        <v>10.263281323058253</v>
      </c>
      <c r="W33" s="8">
        <f t="shared" si="36"/>
        <v>8812.5</v>
      </c>
      <c r="X33" s="8">
        <f t="shared" si="8"/>
        <v>15.789473684210526</v>
      </c>
      <c r="Y33" s="8">
        <f t="shared" si="37"/>
        <v>326902.44750000001</v>
      </c>
      <c r="Z33" s="8">
        <f t="shared" si="9"/>
        <v>26.68808960755268</v>
      </c>
      <c r="AA33" s="95"/>
      <c r="AB33" s="8">
        <f t="shared" si="10"/>
        <v>0</v>
      </c>
      <c r="AC33" s="8">
        <f>AA33+AC32</f>
        <v>0</v>
      </c>
      <c r="AD33" s="8">
        <f t="shared" si="11"/>
        <v>0</v>
      </c>
      <c r="AE33" s="95"/>
      <c r="AF33" s="8">
        <f t="shared" si="12"/>
        <v>0</v>
      </c>
      <c r="AG33" s="8">
        <f t="shared" si="39"/>
        <v>0</v>
      </c>
      <c r="AH33" s="8">
        <f t="shared" si="13"/>
        <v>0</v>
      </c>
      <c r="AI33" s="95"/>
      <c r="AJ33" s="8">
        <f t="shared" si="14"/>
        <v>0</v>
      </c>
      <c r="AK33" s="8">
        <f t="shared" si="40"/>
        <v>0</v>
      </c>
      <c r="AL33" s="8">
        <f t="shared" si="15"/>
        <v>0</v>
      </c>
      <c r="AM33" s="95"/>
      <c r="AN33" s="8">
        <f t="shared" si="16"/>
        <v>0</v>
      </c>
      <c r="AO33" s="8">
        <f t="shared" si="41"/>
        <v>0</v>
      </c>
      <c r="AP33" s="8">
        <f t="shared" si="17"/>
        <v>0</v>
      </c>
      <c r="AQ33" s="8">
        <f t="shared" si="42"/>
        <v>0</v>
      </c>
      <c r="AR33" s="8">
        <f t="shared" si="18"/>
        <v>0</v>
      </c>
      <c r="AS33" s="8">
        <f t="shared" si="43"/>
        <v>0</v>
      </c>
      <c r="AT33" s="8">
        <f t="shared" si="19"/>
        <v>0</v>
      </c>
      <c r="AU33" s="95">
        <f>188*AU7</f>
        <v>47000</v>
      </c>
      <c r="AV33" s="8">
        <f t="shared" si="20"/>
        <v>84.210526315789465</v>
      </c>
      <c r="AW33" s="8">
        <f t="shared" si="44"/>
        <v>376750</v>
      </c>
      <c r="AX33" s="8">
        <f t="shared" si="21"/>
        <v>30.75760930069351</v>
      </c>
      <c r="AY33" s="95"/>
      <c r="AZ33" s="568">
        <f t="shared" si="45"/>
        <v>0</v>
      </c>
      <c r="BA33" s="8">
        <f t="shared" si="46"/>
        <v>207691.19449999998</v>
      </c>
      <c r="BB33" s="8">
        <f t="shared" si="47"/>
        <v>16.955765403119692</v>
      </c>
      <c r="BC33" s="95"/>
      <c r="BD33" s="12">
        <f t="shared" si="22"/>
        <v>0</v>
      </c>
      <c r="BE33" s="8">
        <f t="shared" si="48"/>
        <v>313556.5</v>
      </c>
      <c r="BF33" s="8">
        <f t="shared" si="23"/>
        <v>25.598535688634115</v>
      </c>
      <c r="BG33" s="8">
        <f t="shared" si="49"/>
        <v>47000</v>
      </c>
      <c r="BH33" s="8">
        <f t="shared" si="24"/>
        <v>84.210526315789465</v>
      </c>
      <c r="BI33" s="8">
        <f t="shared" si="50"/>
        <v>897997.69449999998</v>
      </c>
      <c r="BJ33" s="8">
        <f t="shared" si="25"/>
        <v>73.311910392447317</v>
      </c>
      <c r="BK33" s="95"/>
      <c r="BL33" s="8">
        <f t="shared" si="51"/>
        <v>0</v>
      </c>
      <c r="BM33" s="8">
        <f t="shared" si="52"/>
        <v>0</v>
      </c>
      <c r="BN33" s="8">
        <f t="shared" si="53"/>
        <v>0</v>
      </c>
      <c r="BO33" s="95"/>
      <c r="BP33" s="8">
        <f t="shared" si="54"/>
        <v>0</v>
      </c>
      <c r="BQ33" s="8">
        <f t="shared" si="55"/>
        <v>0</v>
      </c>
      <c r="BR33" s="8">
        <f t="shared" si="56"/>
        <v>0</v>
      </c>
      <c r="BS33" s="95">
        <f t="shared" si="57"/>
        <v>0</v>
      </c>
      <c r="BT33" s="8">
        <f t="shared" si="26"/>
        <v>0</v>
      </c>
      <c r="BU33" s="8">
        <f t="shared" si="58"/>
        <v>0</v>
      </c>
      <c r="BV33" s="8">
        <f t="shared" si="27"/>
        <v>0</v>
      </c>
      <c r="BW33" s="8">
        <f t="shared" si="28"/>
        <v>55812.5</v>
      </c>
      <c r="BX33" s="8">
        <f t="shared" si="59"/>
        <v>1224900.142</v>
      </c>
      <c r="BY33" s="8">
        <f t="shared" si="29"/>
        <v>1.0379665619013967</v>
      </c>
      <c r="BZ33" s="8">
        <f t="shared" si="30"/>
        <v>1.0783758265654229</v>
      </c>
    </row>
    <row r="34" spans="1:78">
      <c r="A34" s="13">
        <f>Chem!A34</f>
        <v>46137</v>
      </c>
      <c r="B34" s="4" t="str">
        <f>Chem!B34</f>
        <v>Facial</v>
      </c>
      <c r="C34" s="13" t="str">
        <f>Chem!C34</f>
        <v>13</v>
      </c>
      <c r="D34" s="6">
        <f>+Chem!D34</f>
        <v>48.978000000000002</v>
      </c>
      <c r="E34" s="5">
        <f>+Chem!E34</f>
        <v>43.970999999999997</v>
      </c>
      <c r="F34" s="5">
        <f t="shared" si="31"/>
        <v>1179.8460000000002</v>
      </c>
      <c r="G34" s="95"/>
      <c r="H34" s="8">
        <f t="shared" si="0"/>
        <v>0</v>
      </c>
      <c r="I34" s="6">
        <f t="shared" si="32"/>
        <v>0</v>
      </c>
      <c r="J34" s="8">
        <f t="shared" si="1"/>
        <v>0</v>
      </c>
      <c r="K34" s="95">
        <f>32.25*K7</f>
        <v>8062.5</v>
      </c>
      <c r="L34" s="8">
        <f t="shared" si="2"/>
        <v>15.789473684210526</v>
      </c>
      <c r="M34" s="8">
        <f t="shared" si="33"/>
        <v>209250</v>
      </c>
      <c r="N34" s="8">
        <f t="shared" si="3"/>
        <v>16.399382953094328</v>
      </c>
      <c r="O34" s="95"/>
      <c r="P34" s="8">
        <f t="shared" si="4"/>
        <v>0</v>
      </c>
      <c r="Q34" s="8">
        <f t="shared" si="34"/>
        <v>0</v>
      </c>
      <c r="R34" s="8">
        <f t="shared" si="5"/>
        <v>0</v>
      </c>
      <c r="S34" s="95"/>
      <c r="T34" s="8">
        <f t="shared" si="6"/>
        <v>0</v>
      </c>
      <c r="U34" s="8">
        <f t="shared" si="35"/>
        <v>125714.94750000001</v>
      </c>
      <c r="V34" s="8">
        <f t="shared" si="7"/>
        <v>9.8525570703973653</v>
      </c>
      <c r="W34" s="8">
        <f t="shared" si="36"/>
        <v>8062.5</v>
      </c>
      <c r="X34" s="8">
        <f t="shared" si="8"/>
        <v>15.789473684210526</v>
      </c>
      <c r="Y34" s="8">
        <f t="shared" si="37"/>
        <v>334964.94750000001</v>
      </c>
      <c r="Z34" s="8">
        <f t="shared" si="9"/>
        <v>26.251940023491692</v>
      </c>
      <c r="AA34" s="95"/>
      <c r="AB34" s="8">
        <f t="shared" si="10"/>
        <v>0</v>
      </c>
      <c r="AC34" s="8">
        <f>AA34+AC33</f>
        <v>0</v>
      </c>
      <c r="AD34" s="8">
        <f t="shared" si="11"/>
        <v>0</v>
      </c>
      <c r="AE34" s="95"/>
      <c r="AF34" s="8">
        <f t="shared" si="12"/>
        <v>0</v>
      </c>
      <c r="AG34" s="8">
        <f t="shared" si="39"/>
        <v>0</v>
      </c>
      <c r="AH34" s="8">
        <f t="shared" si="13"/>
        <v>0</v>
      </c>
      <c r="AI34" s="95"/>
      <c r="AJ34" s="8">
        <f t="shared" si="14"/>
        <v>0</v>
      </c>
      <c r="AK34" s="8">
        <f t="shared" si="40"/>
        <v>0</v>
      </c>
      <c r="AL34" s="8">
        <f t="shared" si="15"/>
        <v>0</v>
      </c>
      <c r="AM34" s="95"/>
      <c r="AN34" s="8">
        <f t="shared" si="16"/>
        <v>0</v>
      </c>
      <c r="AO34" s="8">
        <f t="shared" si="41"/>
        <v>0</v>
      </c>
      <c r="AP34" s="8">
        <f t="shared" si="17"/>
        <v>0</v>
      </c>
      <c r="AQ34" s="8">
        <f t="shared" si="42"/>
        <v>0</v>
      </c>
      <c r="AR34" s="8">
        <f t="shared" si="18"/>
        <v>0</v>
      </c>
      <c r="AS34" s="8">
        <f t="shared" si="43"/>
        <v>0</v>
      </c>
      <c r="AT34" s="8">
        <f t="shared" si="19"/>
        <v>0</v>
      </c>
      <c r="AU34" s="95">
        <f>172*AU7</f>
        <v>43000</v>
      </c>
      <c r="AV34" s="8">
        <f t="shared" si="20"/>
        <v>84.210526315789465</v>
      </c>
      <c r="AW34" s="8">
        <f t="shared" si="44"/>
        <v>419750</v>
      </c>
      <c r="AX34" s="8">
        <f t="shared" si="21"/>
        <v>32.896731156804506</v>
      </c>
      <c r="AY34" s="95"/>
      <c r="AZ34" s="568">
        <f t="shared" si="45"/>
        <v>0</v>
      </c>
      <c r="BA34" s="8">
        <f t="shared" si="46"/>
        <v>207691.19449999998</v>
      </c>
      <c r="BB34" s="8">
        <f t="shared" si="47"/>
        <v>16.277215935919227</v>
      </c>
      <c r="BC34" s="95"/>
      <c r="BD34" s="12">
        <f t="shared" si="22"/>
        <v>0</v>
      </c>
      <c r="BE34" s="8">
        <f t="shared" si="48"/>
        <v>313556.5</v>
      </c>
      <c r="BF34" s="8">
        <f t="shared" si="23"/>
        <v>24.574112883784572</v>
      </c>
      <c r="BG34" s="8">
        <f t="shared" si="49"/>
        <v>43000</v>
      </c>
      <c r="BH34" s="8">
        <f t="shared" si="24"/>
        <v>84.210526315789465</v>
      </c>
      <c r="BI34" s="8">
        <f t="shared" si="50"/>
        <v>940997.69449999998</v>
      </c>
      <c r="BJ34" s="8">
        <f t="shared" si="25"/>
        <v>73.748059976508301</v>
      </c>
      <c r="BK34" s="95"/>
      <c r="BL34" s="8">
        <f t="shared" si="51"/>
        <v>0</v>
      </c>
      <c r="BM34" s="8">
        <f t="shared" si="52"/>
        <v>0</v>
      </c>
      <c r="BN34" s="8">
        <f t="shared" si="53"/>
        <v>0</v>
      </c>
      <c r="BO34" s="95"/>
      <c r="BP34" s="8">
        <f t="shared" si="54"/>
        <v>0</v>
      </c>
      <c r="BQ34" s="8">
        <f t="shared" si="55"/>
        <v>0</v>
      </c>
      <c r="BR34" s="8">
        <f t="shared" si="56"/>
        <v>0</v>
      </c>
      <c r="BS34" s="95">
        <f t="shared" si="57"/>
        <v>0</v>
      </c>
      <c r="BT34" s="8">
        <f t="shared" si="26"/>
        <v>0</v>
      </c>
      <c r="BU34" s="8">
        <f t="shared" si="58"/>
        <v>0</v>
      </c>
      <c r="BV34" s="8">
        <f t="shared" si="27"/>
        <v>0</v>
      </c>
      <c r="BW34" s="8">
        <f t="shared" si="28"/>
        <v>51062.5</v>
      </c>
      <c r="BX34" s="8">
        <f t="shared" si="59"/>
        <v>1275962.642</v>
      </c>
      <c r="BY34" s="8">
        <f t="shared" si="29"/>
        <v>1.1612767505856134</v>
      </c>
      <c r="BZ34" s="8">
        <f t="shared" si="30"/>
        <v>1.0814654132827501</v>
      </c>
    </row>
    <row r="35" spans="1:78">
      <c r="A35" s="13">
        <f>Chem!A35</f>
        <v>46138</v>
      </c>
      <c r="B35" s="4" t="str">
        <f>Chem!B35</f>
        <v>Facial</v>
      </c>
      <c r="C35" s="13" t="str">
        <f>Chem!C35</f>
        <v>13</v>
      </c>
      <c r="D35" s="6">
        <f>+Chem!D35</f>
        <v>51.676000000000002</v>
      </c>
      <c r="E35" s="5">
        <f>+Chem!E35</f>
        <v>45.142000000000003</v>
      </c>
      <c r="F35" s="5">
        <f t="shared" si="31"/>
        <v>1224.9880000000003</v>
      </c>
      <c r="G35" s="95"/>
      <c r="H35" s="8">
        <f t="shared" si="0"/>
        <v>0</v>
      </c>
      <c r="I35" s="6">
        <f t="shared" si="32"/>
        <v>0</v>
      </c>
      <c r="J35" s="8">
        <f t="shared" si="1"/>
        <v>0</v>
      </c>
      <c r="K35" s="95">
        <f>33*K7</f>
        <v>8250</v>
      </c>
      <c r="L35" s="8">
        <f t="shared" si="2"/>
        <v>15.789473684210526</v>
      </c>
      <c r="M35" s="8">
        <f t="shared" si="33"/>
        <v>217500</v>
      </c>
      <c r="N35" s="8">
        <f t="shared" si="3"/>
        <v>16.375389988194375</v>
      </c>
      <c r="O35" s="95"/>
      <c r="P35" s="8">
        <f t="shared" si="4"/>
        <v>0</v>
      </c>
      <c r="Q35" s="8">
        <f t="shared" si="34"/>
        <v>0</v>
      </c>
      <c r="R35" s="8">
        <f t="shared" si="5"/>
        <v>0</v>
      </c>
      <c r="S35" s="95"/>
      <c r="T35" s="8">
        <f t="shared" si="6"/>
        <v>0</v>
      </c>
      <c r="U35" s="8">
        <f t="shared" si="35"/>
        <v>125714.94750000001</v>
      </c>
      <c r="V35" s="8">
        <f t="shared" si="7"/>
        <v>9.4649714604960078</v>
      </c>
      <c r="W35" s="8">
        <f t="shared" si="36"/>
        <v>8250</v>
      </c>
      <c r="X35" s="8">
        <f t="shared" si="8"/>
        <v>15.789473684210526</v>
      </c>
      <c r="Y35" s="8">
        <f t="shared" si="37"/>
        <v>343214.94750000001</v>
      </c>
      <c r="Z35" s="8">
        <f t="shared" si="9"/>
        <v>25.840361448690384</v>
      </c>
      <c r="AA35" s="95"/>
      <c r="AB35" s="8">
        <f t="shared" si="10"/>
        <v>0</v>
      </c>
      <c r="AC35" s="8">
        <f>AA35+AC34</f>
        <v>0</v>
      </c>
      <c r="AD35" s="8">
        <f t="shared" si="11"/>
        <v>0</v>
      </c>
      <c r="AE35" s="95"/>
      <c r="AF35" s="8">
        <f t="shared" si="12"/>
        <v>0</v>
      </c>
      <c r="AG35" s="8">
        <f t="shared" si="39"/>
        <v>0</v>
      </c>
      <c r="AH35" s="8">
        <f t="shared" si="13"/>
        <v>0</v>
      </c>
      <c r="AI35" s="95"/>
      <c r="AJ35" s="8">
        <f t="shared" si="14"/>
        <v>0</v>
      </c>
      <c r="AK35" s="8">
        <f t="shared" si="40"/>
        <v>0</v>
      </c>
      <c r="AL35" s="8">
        <f t="shared" si="15"/>
        <v>0</v>
      </c>
      <c r="AM35" s="95"/>
      <c r="AN35" s="8">
        <f t="shared" si="16"/>
        <v>0</v>
      </c>
      <c r="AO35" s="8">
        <f t="shared" si="41"/>
        <v>0</v>
      </c>
      <c r="AP35" s="8">
        <f t="shared" si="17"/>
        <v>0</v>
      </c>
      <c r="AQ35" s="8">
        <f t="shared" si="42"/>
        <v>0</v>
      </c>
      <c r="AR35" s="8">
        <f t="shared" si="18"/>
        <v>0</v>
      </c>
      <c r="AS35" s="8">
        <f t="shared" si="43"/>
        <v>0</v>
      </c>
      <c r="AT35" s="8">
        <f t="shared" si="19"/>
        <v>0</v>
      </c>
      <c r="AU35" s="95">
        <f>176*AU7</f>
        <v>44000</v>
      </c>
      <c r="AV35" s="8">
        <f t="shared" si="20"/>
        <v>84.210526315789465</v>
      </c>
      <c r="AW35" s="8">
        <f t="shared" si="44"/>
        <v>463750</v>
      </c>
      <c r="AX35" s="8">
        <f t="shared" si="21"/>
        <v>34.915343020805253</v>
      </c>
      <c r="AY35" s="95"/>
      <c r="AZ35" s="568">
        <f t="shared" si="45"/>
        <v>0</v>
      </c>
      <c r="BA35" s="8">
        <f t="shared" si="46"/>
        <v>207691.19449999998</v>
      </c>
      <c r="BB35" s="8">
        <f t="shared" si="47"/>
        <v>15.636893365753703</v>
      </c>
      <c r="BC35" s="95"/>
      <c r="BD35" s="12">
        <f t="shared" si="22"/>
        <v>0</v>
      </c>
      <c r="BE35" s="8">
        <f t="shared" si="48"/>
        <v>313556.5</v>
      </c>
      <c r="BF35" s="8">
        <f t="shared" si="23"/>
        <v>23.607402164750667</v>
      </c>
      <c r="BG35" s="8">
        <f t="shared" si="49"/>
        <v>44000</v>
      </c>
      <c r="BH35" s="8">
        <f t="shared" si="24"/>
        <v>84.210526315789465</v>
      </c>
      <c r="BI35" s="8">
        <f t="shared" si="50"/>
        <v>984997.69449999998</v>
      </c>
      <c r="BJ35" s="8">
        <f t="shared" si="25"/>
        <v>74.159638551309612</v>
      </c>
      <c r="BK35" s="95"/>
      <c r="BL35" s="8">
        <f t="shared" si="51"/>
        <v>0</v>
      </c>
      <c r="BM35" s="8">
        <f t="shared" si="52"/>
        <v>0</v>
      </c>
      <c r="BN35" s="8">
        <f t="shared" si="53"/>
        <v>0</v>
      </c>
      <c r="BO35" s="95"/>
      <c r="BP35" s="8">
        <f t="shared" si="54"/>
        <v>0</v>
      </c>
      <c r="BQ35" s="8">
        <f t="shared" si="55"/>
        <v>0</v>
      </c>
      <c r="BR35" s="8">
        <f t="shared" si="56"/>
        <v>0</v>
      </c>
      <c r="BS35" s="95">
        <f t="shared" si="57"/>
        <v>0</v>
      </c>
      <c r="BT35" s="8">
        <f t="shared" si="26"/>
        <v>0</v>
      </c>
      <c r="BU35" s="8">
        <f t="shared" si="58"/>
        <v>0</v>
      </c>
      <c r="BV35" s="8">
        <f t="shared" si="27"/>
        <v>0</v>
      </c>
      <c r="BW35" s="8">
        <f t="shared" si="28"/>
        <v>52250</v>
      </c>
      <c r="BX35" s="8">
        <f t="shared" si="59"/>
        <v>1328212.642</v>
      </c>
      <c r="BY35" s="8">
        <f t="shared" si="29"/>
        <v>1.1574586859244163</v>
      </c>
      <c r="BZ35" s="8">
        <f t="shared" si="30"/>
        <v>1.084265839338834</v>
      </c>
    </row>
    <row r="36" spans="1:78">
      <c r="A36" s="13">
        <f>Chem!A36</f>
        <v>46139</v>
      </c>
      <c r="B36" s="4" t="str">
        <f>Chem!B36</f>
        <v>Facial</v>
      </c>
      <c r="C36" s="13" t="str">
        <f>Chem!C36</f>
        <v>13/12</v>
      </c>
      <c r="D36" s="6">
        <f>+Chem!D36</f>
        <v>43.106999999999999</v>
      </c>
      <c r="E36" s="5">
        <f>+Chem!E36</f>
        <v>50.276000000000003</v>
      </c>
      <c r="F36" s="5">
        <f t="shared" si="31"/>
        <v>1275.2640000000004</v>
      </c>
      <c r="G36" s="95"/>
      <c r="H36" s="8">
        <f t="shared" si="0"/>
        <v>0</v>
      </c>
      <c r="I36" s="6">
        <f t="shared" si="32"/>
        <v>0</v>
      </c>
      <c r="J36" s="8">
        <f t="shared" si="1"/>
        <v>0</v>
      </c>
      <c r="K36" s="95">
        <f>28.5*K7</f>
        <v>7125</v>
      </c>
      <c r="L36" s="8">
        <f t="shared" si="2"/>
        <v>15.789473684210526</v>
      </c>
      <c r="M36" s="8">
        <f t="shared" si="33"/>
        <v>224625</v>
      </c>
      <c r="N36" s="8">
        <f t="shared" si="3"/>
        <v>16.356138004990328</v>
      </c>
      <c r="O36" s="95"/>
      <c r="P36" s="8">
        <f t="shared" si="4"/>
        <v>0</v>
      </c>
      <c r="Q36" s="8">
        <f t="shared" si="34"/>
        <v>0</v>
      </c>
      <c r="R36" s="8">
        <f t="shared" si="5"/>
        <v>0</v>
      </c>
      <c r="S36" s="95"/>
      <c r="T36" s="8">
        <f t="shared" si="6"/>
        <v>0</v>
      </c>
      <c r="U36" s="8">
        <f t="shared" si="35"/>
        <v>125714.94750000001</v>
      </c>
      <c r="V36" s="8">
        <f t="shared" si="7"/>
        <v>9.1539723120761884</v>
      </c>
      <c r="W36" s="8">
        <f t="shared" si="36"/>
        <v>7125</v>
      </c>
      <c r="X36" s="8">
        <f t="shared" si="8"/>
        <v>15.789473684210526</v>
      </c>
      <c r="Y36" s="8">
        <f t="shared" si="37"/>
        <v>350339.94750000001</v>
      </c>
      <c r="Z36" s="8">
        <f t="shared" si="9"/>
        <v>25.510110317066513</v>
      </c>
      <c r="AA36" s="95"/>
      <c r="AB36" s="8">
        <f t="shared" si="10"/>
        <v>0</v>
      </c>
      <c r="AC36" s="8">
        <f t="shared" si="38"/>
        <v>0</v>
      </c>
      <c r="AD36" s="8">
        <f t="shared" si="11"/>
        <v>0</v>
      </c>
      <c r="AE36" s="95"/>
      <c r="AF36" s="8">
        <f t="shared" si="12"/>
        <v>0</v>
      </c>
      <c r="AG36" s="8">
        <f t="shared" si="39"/>
        <v>0</v>
      </c>
      <c r="AH36" s="8">
        <f t="shared" si="13"/>
        <v>0</v>
      </c>
      <c r="AI36" s="95"/>
      <c r="AJ36" s="8">
        <f t="shared" si="14"/>
        <v>0</v>
      </c>
      <c r="AK36" s="8">
        <f t="shared" si="40"/>
        <v>0</v>
      </c>
      <c r="AL36" s="8">
        <f t="shared" si="15"/>
        <v>0</v>
      </c>
      <c r="AM36" s="95"/>
      <c r="AN36" s="8">
        <f t="shared" si="16"/>
        <v>0</v>
      </c>
      <c r="AO36" s="8">
        <f t="shared" si="41"/>
        <v>0</v>
      </c>
      <c r="AP36" s="8">
        <f t="shared" si="17"/>
        <v>0</v>
      </c>
      <c r="AQ36" s="8">
        <f t="shared" si="42"/>
        <v>0</v>
      </c>
      <c r="AR36" s="8">
        <f t="shared" si="18"/>
        <v>0</v>
      </c>
      <c r="AS36" s="8">
        <f t="shared" si="43"/>
        <v>0</v>
      </c>
      <c r="AT36" s="8">
        <f t="shared" si="19"/>
        <v>0</v>
      </c>
      <c r="AU36" s="95">
        <f>152*AU7</f>
        <v>38000</v>
      </c>
      <c r="AV36" s="8">
        <f t="shared" si="20"/>
        <v>84.210526315789465</v>
      </c>
      <c r="AW36" s="8">
        <f t="shared" si="44"/>
        <v>501750</v>
      </c>
      <c r="AX36" s="8">
        <f t="shared" si="21"/>
        <v>36.535079550379059</v>
      </c>
      <c r="AY36" s="95"/>
      <c r="AZ36" s="568">
        <f t="shared" si="45"/>
        <v>0</v>
      </c>
      <c r="BA36" s="8">
        <f t="shared" si="46"/>
        <v>207691.19449999998</v>
      </c>
      <c r="BB36" s="8">
        <f t="shared" si="47"/>
        <v>15.123097783698555</v>
      </c>
      <c r="BC36" s="95"/>
      <c r="BD36" s="12">
        <f t="shared" si="22"/>
        <v>0</v>
      </c>
      <c r="BE36" s="8">
        <f t="shared" si="48"/>
        <v>313556.5</v>
      </c>
      <c r="BF36" s="8">
        <f t="shared" si="23"/>
        <v>22.831712348855866</v>
      </c>
      <c r="BG36" s="8">
        <f t="shared" si="49"/>
        <v>38000</v>
      </c>
      <c r="BH36" s="8">
        <f t="shared" si="24"/>
        <v>84.210526315789465</v>
      </c>
      <c r="BI36" s="8">
        <f t="shared" si="50"/>
        <v>1022997.6945</v>
      </c>
      <c r="BJ36" s="8">
        <f t="shared" si="25"/>
        <v>74.48988968293348</v>
      </c>
      <c r="BK36" s="95"/>
      <c r="BL36" s="8">
        <f t="shared" si="51"/>
        <v>0</v>
      </c>
      <c r="BM36" s="8">
        <f t="shared" si="52"/>
        <v>0</v>
      </c>
      <c r="BN36" s="8">
        <f t="shared" si="53"/>
        <v>0</v>
      </c>
      <c r="BO36" s="95"/>
      <c r="BP36" s="8">
        <f t="shared" si="54"/>
        <v>0</v>
      </c>
      <c r="BQ36" s="8">
        <f t="shared" si="55"/>
        <v>0</v>
      </c>
      <c r="BR36" s="8">
        <f t="shared" si="56"/>
        <v>0</v>
      </c>
      <c r="BS36" s="95">
        <f t="shared" si="57"/>
        <v>0</v>
      </c>
      <c r="BT36" s="8">
        <f t="shared" si="26"/>
        <v>0</v>
      </c>
      <c r="BU36" s="8">
        <f t="shared" si="58"/>
        <v>0</v>
      </c>
      <c r="BV36" s="8">
        <f t="shared" si="27"/>
        <v>0</v>
      </c>
      <c r="BW36" s="8">
        <f t="shared" si="28"/>
        <v>45125</v>
      </c>
      <c r="BX36" s="8">
        <f t="shared" si="59"/>
        <v>1373337.642</v>
      </c>
      <c r="BY36" s="8">
        <f t="shared" si="29"/>
        <v>0.89754554857188318</v>
      </c>
      <c r="BZ36" s="8">
        <f t="shared" si="30"/>
        <v>1.0769045797576029</v>
      </c>
    </row>
    <row r="37" spans="1:78">
      <c r="A37" s="13">
        <f>Chem!A37</f>
        <v>46140</v>
      </c>
      <c r="B37" s="4" t="str">
        <f>Chem!B37</f>
        <v>Facial/Toilet</v>
      </c>
      <c r="C37" s="13" t="str">
        <f>Chem!C37</f>
        <v>14/13/15</v>
      </c>
      <c r="D37" s="6">
        <f>+Chem!D37</f>
        <v>24.343</v>
      </c>
      <c r="E37" s="5">
        <f>+Chem!E37</f>
        <v>23.103999999999999</v>
      </c>
      <c r="F37" s="5">
        <f t="shared" si="31"/>
        <v>1298.3680000000004</v>
      </c>
      <c r="G37" s="95"/>
      <c r="H37" s="8">
        <f t="shared" si="0"/>
        <v>0</v>
      </c>
      <c r="I37" s="6">
        <f t="shared" si="32"/>
        <v>0</v>
      </c>
      <c r="J37" s="8">
        <f t="shared" si="1"/>
        <v>0</v>
      </c>
      <c r="K37" s="95">
        <f>18.75*K7</f>
        <v>4687.5</v>
      </c>
      <c r="L37" s="8">
        <f t="shared" si="2"/>
        <v>15.789473684210526</v>
      </c>
      <c r="M37" s="8">
        <f t="shared" si="33"/>
        <v>229312.5</v>
      </c>
      <c r="N37" s="8">
        <f t="shared" si="3"/>
        <v>16.344147594754936</v>
      </c>
      <c r="O37" s="95"/>
      <c r="P37" s="8">
        <f t="shared" si="4"/>
        <v>0</v>
      </c>
      <c r="Q37" s="8">
        <f t="shared" si="34"/>
        <v>0</v>
      </c>
      <c r="R37" s="8">
        <f t="shared" si="5"/>
        <v>0</v>
      </c>
      <c r="S37" s="95"/>
      <c r="T37" s="8">
        <f t="shared" si="6"/>
        <v>0</v>
      </c>
      <c r="U37" s="8">
        <f t="shared" si="35"/>
        <v>125714.94750000001</v>
      </c>
      <c r="V37" s="8">
        <f t="shared" si="7"/>
        <v>8.9602775985036498</v>
      </c>
      <c r="W37" s="8">
        <f t="shared" si="36"/>
        <v>4687.5</v>
      </c>
      <c r="X37" s="8">
        <f t="shared" si="8"/>
        <v>15.789473684210526</v>
      </c>
      <c r="Y37" s="8">
        <f t="shared" si="37"/>
        <v>355027.44750000001</v>
      </c>
      <c r="Z37" s="8">
        <f t="shared" si="9"/>
        <v>25.304425193258584</v>
      </c>
      <c r="AA37" s="95"/>
      <c r="AB37" s="8">
        <f t="shared" si="10"/>
        <v>0</v>
      </c>
      <c r="AC37" s="8">
        <f t="shared" si="38"/>
        <v>0</v>
      </c>
      <c r="AD37" s="8">
        <f t="shared" si="11"/>
        <v>0</v>
      </c>
      <c r="AE37" s="95"/>
      <c r="AF37" s="8">
        <f t="shared" si="12"/>
        <v>0</v>
      </c>
      <c r="AG37" s="8">
        <f t="shared" si="39"/>
        <v>0</v>
      </c>
      <c r="AH37" s="8">
        <f t="shared" si="13"/>
        <v>0</v>
      </c>
      <c r="AI37" s="95"/>
      <c r="AJ37" s="8">
        <f t="shared" si="14"/>
        <v>0</v>
      </c>
      <c r="AK37" s="8">
        <f t="shared" si="40"/>
        <v>0</v>
      </c>
      <c r="AL37" s="8">
        <f t="shared" si="15"/>
        <v>0</v>
      </c>
      <c r="AM37" s="95"/>
      <c r="AN37" s="8">
        <f t="shared" si="16"/>
        <v>0</v>
      </c>
      <c r="AO37" s="8">
        <f t="shared" si="41"/>
        <v>0</v>
      </c>
      <c r="AP37" s="8">
        <f t="shared" si="17"/>
        <v>0</v>
      </c>
      <c r="AQ37" s="8">
        <f t="shared" si="42"/>
        <v>0</v>
      </c>
      <c r="AR37" s="8">
        <f t="shared" si="18"/>
        <v>0</v>
      </c>
      <c r="AS37" s="8">
        <f t="shared" si="43"/>
        <v>0</v>
      </c>
      <c r="AT37" s="8">
        <f t="shared" si="19"/>
        <v>0</v>
      </c>
      <c r="AU37" s="95">
        <f>100*AU7</f>
        <v>25000</v>
      </c>
      <c r="AV37" s="8">
        <f t="shared" si="20"/>
        <v>84.210526315789465</v>
      </c>
      <c r="AW37" s="8">
        <f t="shared" si="44"/>
        <v>526750</v>
      </c>
      <c r="AX37" s="8">
        <f t="shared" si="21"/>
        <v>37.543874605776665</v>
      </c>
      <c r="AY37" s="95"/>
      <c r="AZ37" s="568">
        <f t="shared" si="45"/>
        <v>0</v>
      </c>
      <c r="BA37" s="8">
        <f t="shared" si="46"/>
        <v>207691.19449999998</v>
      </c>
      <c r="BB37" s="8">
        <f t="shared" si="47"/>
        <v>14.803098553454147</v>
      </c>
      <c r="BC37" s="95"/>
      <c r="BD37" s="12">
        <f t="shared" si="22"/>
        <v>0</v>
      </c>
      <c r="BE37" s="8">
        <f t="shared" si="48"/>
        <v>313556.5</v>
      </c>
      <c r="BF37" s="8">
        <f t="shared" si="23"/>
        <v>22.348601647510606</v>
      </c>
      <c r="BG37" s="8">
        <f t="shared" si="49"/>
        <v>25000</v>
      </c>
      <c r="BH37" s="8">
        <f t="shared" si="24"/>
        <v>84.210526315789465</v>
      </c>
      <c r="BI37" s="8">
        <f t="shared" si="50"/>
        <v>1047997.6945</v>
      </c>
      <c r="BJ37" s="8">
        <f t="shared" si="25"/>
        <v>74.695574806741419</v>
      </c>
      <c r="BK37" s="95"/>
      <c r="BL37" s="8">
        <f t="shared" si="51"/>
        <v>0</v>
      </c>
      <c r="BM37" s="8">
        <f t="shared" si="52"/>
        <v>0</v>
      </c>
      <c r="BN37" s="8">
        <f t="shared" si="53"/>
        <v>0</v>
      </c>
      <c r="BO37" s="95"/>
      <c r="BP37" s="8">
        <f t="shared" si="54"/>
        <v>0</v>
      </c>
      <c r="BQ37" s="8">
        <f t="shared" si="55"/>
        <v>0</v>
      </c>
      <c r="BR37" s="8">
        <f t="shared" si="56"/>
        <v>0</v>
      </c>
      <c r="BS37" s="95">
        <f t="shared" si="57"/>
        <v>0</v>
      </c>
      <c r="BT37" s="8">
        <f t="shared" si="26"/>
        <v>0</v>
      </c>
      <c r="BU37" s="8">
        <f t="shared" si="58"/>
        <v>0</v>
      </c>
      <c r="BV37" s="8">
        <f t="shared" si="27"/>
        <v>0</v>
      </c>
      <c r="BW37" s="8">
        <f t="shared" si="28"/>
        <v>29687.5</v>
      </c>
      <c r="BX37" s="8">
        <f t="shared" si="59"/>
        <v>1403025.142</v>
      </c>
      <c r="BY37" s="8">
        <f t="shared" si="29"/>
        <v>1.2849506578947369</v>
      </c>
      <c r="BZ37" s="8">
        <f t="shared" si="30"/>
        <v>1.0806066862399564</v>
      </c>
    </row>
    <row r="38" spans="1:78">
      <c r="A38" s="13">
        <f>Chem!A38</f>
        <v>46141</v>
      </c>
      <c r="B38" s="4" t="str">
        <f>Chem!B38</f>
        <v>Toilet</v>
      </c>
      <c r="C38" s="13" t="str">
        <f>Chem!C38</f>
        <v>15/16</v>
      </c>
      <c r="D38" s="6">
        <f>+Chem!D38</f>
        <v>45.942999999999998</v>
      </c>
      <c r="E38" s="5">
        <f>+Chem!E38</f>
        <v>40.548000000000002</v>
      </c>
      <c r="F38" s="5">
        <f t="shared" si="31"/>
        <v>1338.9160000000004</v>
      </c>
      <c r="G38" s="95"/>
      <c r="H38" s="8">
        <f t="shared" si="0"/>
        <v>0</v>
      </c>
      <c r="I38" s="6">
        <f t="shared" si="32"/>
        <v>0</v>
      </c>
      <c r="J38" s="8">
        <f t="shared" si="1"/>
        <v>0</v>
      </c>
      <c r="K38" s="95">
        <f>29.25*K7</f>
        <v>7312.5</v>
      </c>
      <c r="L38" s="8">
        <f t="shared" si="2"/>
        <v>15.789473684210526</v>
      </c>
      <c r="M38" s="8">
        <f t="shared" si="33"/>
        <v>236625</v>
      </c>
      <c r="N38" s="8">
        <f t="shared" si="3"/>
        <v>16.32642340493355</v>
      </c>
      <c r="O38" s="95"/>
      <c r="P38" s="8">
        <f t="shared" si="4"/>
        <v>0</v>
      </c>
      <c r="Q38" s="8">
        <f t="shared" si="34"/>
        <v>0</v>
      </c>
      <c r="R38" s="8">
        <f t="shared" si="5"/>
        <v>0</v>
      </c>
      <c r="S38" s="95"/>
      <c r="T38" s="8">
        <f t="shared" si="6"/>
        <v>0</v>
      </c>
      <c r="U38" s="8">
        <f t="shared" si="35"/>
        <v>125714.94750000001</v>
      </c>
      <c r="V38" s="8">
        <f t="shared" si="7"/>
        <v>8.6739586316492012</v>
      </c>
      <c r="W38" s="8">
        <f t="shared" si="36"/>
        <v>7312.5</v>
      </c>
      <c r="X38" s="8">
        <f t="shared" si="8"/>
        <v>15.789473684210526</v>
      </c>
      <c r="Y38" s="8">
        <f t="shared" si="37"/>
        <v>362339.94750000001</v>
      </c>
      <c r="Z38" s="8">
        <f t="shared" si="9"/>
        <v>25.000382036582753</v>
      </c>
      <c r="AA38" s="95"/>
      <c r="AB38" s="8">
        <f t="shared" si="10"/>
        <v>0</v>
      </c>
      <c r="AC38" s="8">
        <f t="shared" si="38"/>
        <v>0</v>
      </c>
      <c r="AD38" s="8">
        <f t="shared" si="11"/>
        <v>0</v>
      </c>
      <c r="AE38" s="95"/>
      <c r="AF38" s="8">
        <f t="shared" si="12"/>
        <v>0</v>
      </c>
      <c r="AG38" s="8">
        <f t="shared" si="39"/>
        <v>0</v>
      </c>
      <c r="AH38" s="8">
        <f t="shared" si="13"/>
        <v>0</v>
      </c>
      <c r="AI38" s="95"/>
      <c r="AJ38" s="8">
        <f t="shared" si="14"/>
        <v>0</v>
      </c>
      <c r="AK38" s="8">
        <f t="shared" si="40"/>
        <v>0</v>
      </c>
      <c r="AL38" s="8">
        <f t="shared" si="15"/>
        <v>0</v>
      </c>
      <c r="AM38" s="95"/>
      <c r="AN38" s="8">
        <f t="shared" si="16"/>
        <v>0</v>
      </c>
      <c r="AO38" s="8">
        <f t="shared" si="41"/>
        <v>0</v>
      </c>
      <c r="AP38" s="8">
        <f t="shared" si="17"/>
        <v>0</v>
      </c>
      <c r="AQ38" s="8">
        <f t="shared" si="42"/>
        <v>0</v>
      </c>
      <c r="AR38" s="8">
        <f t="shared" si="18"/>
        <v>0</v>
      </c>
      <c r="AS38" s="8">
        <f t="shared" si="43"/>
        <v>0</v>
      </c>
      <c r="AT38" s="8">
        <f t="shared" si="19"/>
        <v>0</v>
      </c>
      <c r="AU38" s="95">
        <f>156*AU7</f>
        <v>39000</v>
      </c>
      <c r="AV38" s="8">
        <f t="shared" si="20"/>
        <v>84.210526315789465</v>
      </c>
      <c r="AW38" s="8">
        <f t="shared" si="44"/>
        <v>565750</v>
      </c>
      <c r="AX38" s="8">
        <f t="shared" si="21"/>
        <v>39.035072546608156</v>
      </c>
      <c r="AY38" s="95"/>
      <c r="AZ38" s="568">
        <f t="shared" si="45"/>
        <v>0</v>
      </c>
      <c r="BA38" s="8">
        <f t="shared" si="46"/>
        <v>207691.19449999998</v>
      </c>
      <c r="BB38" s="8">
        <f t="shared" si="47"/>
        <v>14.33007661440425</v>
      </c>
      <c r="BC38" s="95"/>
      <c r="BD38" s="12">
        <f t="shared" si="22"/>
        <v>0</v>
      </c>
      <c r="BE38" s="8">
        <f t="shared" si="48"/>
        <v>313556.5</v>
      </c>
      <c r="BF38" s="8">
        <f t="shared" si="23"/>
        <v>21.634468802404843</v>
      </c>
      <c r="BG38" s="8">
        <f t="shared" si="49"/>
        <v>39000</v>
      </c>
      <c r="BH38" s="8">
        <f t="shared" si="24"/>
        <v>84.210526315789465</v>
      </c>
      <c r="BI38" s="8">
        <f t="shared" si="50"/>
        <v>1086997.6945</v>
      </c>
      <c r="BJ38" s="8">
        <f t="shared" si="25"/>
        <v>74.999617963417251</v>
      </c>
      <c r="BK38" s="95"/>
      <c r="BL38" s="8">
        <f t="shared" si="51"/>
        <v>0</v>
      </c>
      <c r="BM38" s="8">
        <f t="shared" si="52"/>
        <v>0</v>
      </c>
      <c r="BN38" s="8">
        <f t="shared" si="53"/>
        <v>0</v>
      </c>
      <c r="BO38" s="95"/>
      <c r="BP38" s="8">
        <f t="shared" si="54"/>
        <v>0</v>
      </c>
      <c r="BQ38" s="8">
        <f t="shared" si="55"/>
        <v>0</v>
      </c>
      <c r="BR38" s="8">
        <f t="shared" si="56"/>
        <v>0</v>
      </c>
      <c r="BS38" s="95">
        <f t="shared" si="57"/>
        <v>0</v>
      </c>
      <c r="BT38" s="8">
        <f t="shared" si="26"/>
        <v>0</v>
      </c>
      <c r="BU38" s="8">
        <f t="shared" si="58"/>
        <v>0</v>
      </c>
      <c r="BV38" s="8">
        <f t="shared" si="27"/>
        <v>0</v>
      </c>
      <c r="BW38" s="8">
        <f t="shared" si="28"/>
        <v>46312.5</v>
      </c>
      <c r="BX38" s="8">
        <f t="shared" si="59"/>
        <v>1449337.642</v>
      </c>
      <c r="BY38" s="8">
        <f t="shared" si="29"/>
        <v>1.1421648416691328</v>
      </c>
      <c r="BZ38" s="8">
        <f t="shared" si="30"/>
        <v>1.0824709257339515</v>
      </c>
    </row>
    <row r="39" spans="1:78">
      <c r="A39" s="13">
        <f>Chem!A39</f>
        <v>46142</v>
      </c>
      <c r="B39" s="4" t="str">
        <f>Chem!B39</f>
        <v>Facial/Toilet</v>
      </c>
      <c r="C39" s="13" t="str">
        <f>Chem!C39</f>
        <v>12/14/18/19</v>
      </c>
      <c r="D39" s="6">
        <f>+Chem!D39</f>
        <v>44.423000000000002</v>
      </c>
      <c r="E39" s="5">
        <f>+Chem!E39</f>
        <v>39.274999999999999</v>
      </c>
      <c r="F39" s="5">
        <f t="shared" si="31"/>
        <v>1378.1910000000005</v>
      </c>
      <c r="G39" s="95"/>
      <c r="H39" s="8">
        <f t="shared" si="0"/>
        <v>0</v>
      </c>
      <c r="I39" s="6">
        <f t="shared" si="32"/>
        <v>0</v>
      </c>
      <c r="J39" s="8">
        <f t="shared" si="1"/>
        <v>0</v>
      </c>
      <c r="K39" s="95">
        <f>28.5*K7</f>
        <v>7125</v>
      </c>
      <c r="L39" s="8">
        <f t="shared" si="2"/>
        <v>15.789473684210526</v>
      </c>
      <c r="M39" s="8">
        <f t="shared" si="33"/>
        <v>243750</v>
      </c>
      <c r="N39" s="8">
        <f t="shared" si="3"/>
        <v>16.310210315715608</v>
      </c>
      <c r="O39" s="95"/>
      <c r="P39" s="8">
        <f t="shared" si="4"/>
        <v>0</v>
      </c>
      <c r="Q39" s="8">
        <f t="shared" si="34"/>
        <v>0</v>
      </c>
      <c r="R39" s="8">
        <f t="shared" si="5"/>
        <v>0</v>
      </c>
      <c r="S39" s="95"/>
      <c r="T39" s="8">
        <f t="shared" si="6"/>
        <v>0</v>
      </c>
      <c r="U39" s="8">
        <f t="shared" si="35"/>
        <v>125714.94750000001</v>
      </c>
      <c r="V39" s="8">
        <f t="shared" si="7"/>
        <v>8.4120501889400874</v>
      </c>
      <c r="W39" s="8">
        <f t="shared" si="36"/>
        <v>7125</v>
      </c>
      <c r="X39" s="8">
        <f t="shared" si="8"/>
        <v>15.789473684210526</v>
      </c>
      <c r="Y39" s="8">
        <f t="shared" si="37"/>
        <v>369464.94750000001</v>
      </c>
      <c r="Z39" s="8">
        <f t="shared" si="9"/>
        <v>24.722260504655694</v>
      </c>
      <c r="AA39" s="95"/>
      <c r="AB39" s="8">
        <f t="shared" si="10"/>
        <v>0</v>
      </c>
      <c r="AC39" s="8">
        <f t="shared" si="38"/>
        <v>0</v>
      </c>
      <c r="AD39" s="8">
        <f t="shared" si="11"/>
        <v>0</v>
      </c>
      <c r="AE39" s="95"/>
      <c r="AF39" s="8">
        <f t="shared" si="12"/>
        <v>0</v>
      </c>
      <c r="AG39" s="8">
        <f t="shared" si="39"/>
        <v>0</v>
      </c>
      <c r="AH39" s="8">
        <f t="shared" si="13"/>
        <v>0</v>
      </c>
      <c r="AI39" s="95"/>
      <c r="AJ39" s="8">
        <f t="shared" si="14"/>
        <v>0</v>
      </c>
      <c r="AK39" s="8">
        <f t="shared" si="40"/>
        <v>0</v>
      </c>
      <c r="AL39" s="8">
        <f t="shared" si="15"/>
        <v>0</v>
      </c>
      <c r="AM39" s="95"/>
      <c r="AN39" s="8">
        <f t="shared" si="16"/>
        <v>0</v>
      </c>
      <c r="AO39" s="8">
        <f t="shared" si="41"/>
        <v>0</v>
      </c>
      <c r="AP39" s="8">
        <f t="shared" si="17"/>
        <v>0</v>
      </c>
      <c r="AQ39" s="8">
        <f t="shared" si="42"/>
        <v>0</v>
      </c>
      <c r="AR39" s="8">
        <f t="shared" si="18"/>
        <v>0</v>
      </c>
      <c r="AS39" s="8">
        <f t="shared" si="43"/>
        <v>0</v>
      </c>
      <c r="AT39" s="8">
        <f t="shared" si="19"/>
        <v>0</v>
      </c>
      <c r="AU39" s="95">
        <f>152*AU7</f>
        <v>38000</v>
      </c>
      <c r="AV39" s="8">
        <f t="shared" si="20"/>
        <v>84.210526315789465</v>
      </c>
      <c r="AW39" s="8">
        <f t="shared" si="44"/>
        <v>603750</v>
      </c>
      <c r="AX39" s="8">
        <f t="shared" si="21"/>
        <v>40.399136320464812</v>
      </c>
      <c r="AY39" s="95"/>
      <c r="AZ39" s="568">
        <f t="shared" si="45"/>
        <v>0</v>
      </c>
      <c r="BA39" s="8">
        <f t="shared" si="46"/>
        <v>207691.19449999998</v>
      </c>
      <c r="BB39" s="8">
        <f t="shared" si="47"/>
        <v>13.897382822634652</v>
      </c>
      <c r="BC39" s="95"/>
      <c r="BD39" s="12">
        <f t="shared" si="22"/>
        <v>0</v>
      </c>
      <c r="BE39" s="8">
        <f t="shared" si="48"/>
        <v>313556.5</v>
      </c>
      <c r="BF39" s="8">
        <f t="shared" si="23"/>
        <v>20.981220352244843</v>
      </c>
      <c r="BG39" s="8">
        <f t="shared" si="49"/>
        <v>38000</v>
      </c>
      <c r="BH39" s="8">
        <f t="shared" si="24"/>
        <v>84.210526315789465</v>
      </c>
      <c r="BI39" s="8">
        <f t="shared" si="50"/>
        <v>1124997.6945</v>
      </c>
      <c r="BJ39" s="8">
        <f t="shared" si="25"/>
        <v>75.277739495344306</v>
      </c>
      <c r="BK39" s="95"/>
      <c r="BL39" s="8">
        <f t="shared" si="51"/>
        <v>0</v>
      </c>
      <c r="BM39" s="8">
        <f t="shared" si="52"/>
        <v>0</v>
      </c>
      <c r="BN39" s="8">
        <f t="shared" si="53"/>
        <v>0</v>
      </c>
      <c r="BO39" s="95"/>
      <c r="BP39" s="8">
        <f t="shared" si="54"/>
        <v>0</v>
      </c>
      <c r="BQ39" s="8">
        <f t="shared" si="55"/>
        <v>0</v>
      </c>
      <c r="BR39" s="8">
        <f t="shared" si="56"/>
        <v>0</v>
      </c>
      <c r="BS39" s="95">
        <f t="shared" si="57"/>
        <v>0</v>
      </c>
      <c r="BT39" s="8">
        <f t="shared" si="26"/>
        <v>0</v>
      </c>
      <c r="BU39" s="8">
        <f t="shared" si="58"/>
        <v>0</v>
      </c>
      <c r="BV39" s="8">
        <f t="shared" si="27"/>
        <v>0</v>
      </c>
      <c r="BW39" s="8">
        <f t="shared" si="28"/>
        <v>45125</v>
      </c>
      <c r="BX39" s="8">
        <f t="shared" si="59"/>
        <v>1494462.642</v>
      </c>
      <c r="BY39" s="8">
        <f t="shared" si="29"/>
        <v>1.1489497135582432</v>
      </c>
      <c r="BZ39" s="8">
        <f t="shared" si="30"/>
        <v>1.0843654050853615</v>
      </c>
    </row>
    <row r="40" spans="1:78">
      <c r="A40" s="13"/>
      <c r="B40" s="4"/>
      <c r="C40" s="13"/>
      <c r="D40" s="6"/>
      <c r="E40" s="5"/>
      <c r="F40" s="5"/>
      <c r="G40" s="95"/>
      <c r="H40" s="8"/>
      <c r="I40" s="6"/>
      <c r="J40" s="8"/>
      <c r="K40" s="95"/>
      <c r="L40" s="8"/>
      <c r="M40" s="8"/>
      <c r="N40" s="8"/>
      <c r="O40" s="95"/>
      <c r="P40" s="8"/>
      <c r="Q40" s="8"/>
      <c r="R40" s="8"/>
      <c r="S40" s="95"/>
      <c r="T40" s="8"/>
      <c r="U40" s="8"/>
      <c r="V40" s="8"/>
      <c r="W40" s="8"/>
      <c r="X40" s="8"/>
      <c r="Y40" s="8"/>
      <c r="Z40" s="8"/>
      <c r="AA40" s="95"/>
      <c r="AB40" s="8"/>
      <c r="AC40" s="8"/>
      <c r="AD40" s="8"/>
      <c r="AE40" s="95"/>
      <c r="AF40" s="8"/>
      <c r="AG40" s="8"/>
      <c r="AH40" s="8"/>
      <c r="AI40" s="95"/>
      <c r="AJ40" s="8"/>
      <c r="AK40" s="8"/>
      <c r="AL40" s="8"/>
      <c r="AM40" s="95"/>
      <c r="AN40" s="8"/>
      <c r="AO40" s="8"/>
      <c r="AP40" s="8"/>
      <c r="AQ40" s="8"/>
      <c r="AR40" s="8"/>
      <c r="AS40" s="8"/>
      <c r="AT40" s="8"/>
      <c r="AU40" s="95"/>
      <c r="AV40" s="8"/>
      <c r="AW40" s="8"/>
      <c r="AX40" s="8"/>
      <c r="AY40" s="95"/>
      <c r="AZ40" s="568"/>
      <c r="BA40" s="8"/>
      <c r="BB40" s="8"/>
      <c r="BC40" s="95"/>
      <c r="BD40" s="12"/>
      <c r="BE40" s="8"/>
      <c r="BF40" s="8"/>
      <c r="BG40" s="8"/>
      <c r="BH40" s="8"/>
      <c r="BI40" s="8"/>
      <c r="BJ40" s="8"/>
      <c r="BK40" s="95"/>
      <c r="BL40" s="8"/>
      <c r="BM40" s="8"/>
      <c r="BN40" s="8"/>
      <c r="BO40" s="95"/>
      <c r="BP40" s="8"/>
      <c r="BQ40" s="8"/>
      <c r="BR40" s="8"/>
      <c r="BS40" s="95"/>
      <c r="BT40" s="8"/>
      <c r="BU40" s="8"/>
      <c r="BV40" s="8"/>
      <c r="BW40" s="8"/>
      <c r="BX40" s="8"/>
      <c r="BY40" s="8"/>
      <c r="BZ40" s="8"/>
    </row>
    <row r="41" spans="1:78">
      <c r="A41" s="13"/>
      <c r="B41" s="13"/>
      <c r="C41" s="13"/>
      <c r="D41" s="6"/>
      <c r="E41" s="5"/>
      <c r="F41" s="5"/>
      <c r="G41" s="95"/>
      <c r="H41" s="8"/>
      <c r="I41" s="6"/>
      <c r="J41" s="8"/>
      <c r="K41" s="95"/>
      <c r="L41" s="8"/>
      <c r="M41" s="8"/>
      <c r="N41" s="8"/>
      <c r="O41" s="95"/>
      <c r="P41" s="8"/>
      <c r="Q41" s="8"/>
      <c r="R41" s="8"/>
      <c r="S41" s="95"/>
      <c r="T41" s="8"/>
      <c r="U41" s="8"/>
      <c r="V41" s="8"/>
      <c r="W41" s="8"/>
      <c r="X41" s="8"/>
      <c r="Y41" s="8"/>
      <c r="Z41" s="8"/>
      <c r="AA41" s="95"/>
      <c r="AB41" s="8"/>
      <c r="AC41" s="8"/>
      <c r="AD41" s="8"/>
      <c r="AE41" s="95"/>
      <c r="AF41" s="8"/>
      <c r="AG41" s="8"/>
      <c r="AH41" s="8"/>
      <c r="AI41" s="95"/>
      <c r="AJ41" s="8"/>
      <c r="AK41" s="8"/>
      <c r="AL41" s="8"/>
      <c r="AM41" s="95"/>
      <c r="AN41" s="8"/>
      <c r="AO41" s="8"/>
      <c r="AP41" s="8"/>
      <c r="AQ41" s="8"/>
      <c r="AR41" s="8"/>
      <c r="AS41" s="8"/>
      <c r="AT41" s="8"/>
      <c r="AU41" s="95"/>
      <c r="AV41" s="8"/>
      <c r="AW41" s="8"/>
      <c r="AX41" s="8"/>
      <c r="AY41" s="95"/>
      <c r="AZ41" s="8"/>
      <c r="BA41" s="8"/>
      <c r="BB41" s="8"/>
      <c r="BC41" s="95"/>
      <c r="BD41" s="12"/>
      <c r="BE41" s="8"/>
      <c r="BF41" s="8"/>
      <c r="BG41" s="8"/>
      <c r="BH41" s="8"/>
      <c r="BI41" s="8"/>
      <c r="BJ41" s="8"/>
      <c r="BK41" s="95"/>
      <c r="BL41" s="8"/>
      <c r="BM41" s="8"/>
      <c r="BN41" s="8"/>
      <c r="BO41" s="95"/>
      <c r="BP41" s="8"/>
      <c r="BQ41" s="8"/>
      <c r="BR41" s="8"/>
      <c r="BS41" s="95"/>
      <c r="BT41" s="8"/>
      <c r="BU41" s="8"/>
      <c r="BV41" s="8"/>
      <c r="BW41" s="8"/>
      <c r="BX41" s="8"/>
      <c r="BY41" s="8"/>
      <c r="BZ41" s="8"/>
    </row>
    <row r="42" spans="1:78" ht="13.5" thickBot="1">
      <c r="A42" s="9" t="s">
        <v>27</v>
      </c>
      <c r="B42" s="9"/>
      <c r="C42" s="10"/>
      <c r="D42" s="10">
        <f>SUM(D10:D41)</f>
        <v>1443.3009999999997</v>
      </c>
      <c r="E42" s="10">
        <f>SUM(E10:E41)</f>
        <v>1378.1910000000005</v>
      </c>
      <c r="F42" s="10"/>
      <c r="G42" s="10">
        <f>SUM(G10:G41)</f>
        <v>0</v>
      </c>
      <c r="H42" s="10">
        <f>G42/BW42*100</f>
        <v>0</v>
      </c>
      <c r="I42" s="10"/>
      <c r="J42" s="10"/>
      <c r="K42" s="10">
        <f>SUM(K10:K41)</f>
        <v>243750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>
        <f>SUM(W10:W41)</f>
        <v>369464.94750000001</v>
      </c>
      <c r="X42" s="16">
        <f>W42/$BW$42*100</f>
        <v>24.722260504655694</v>
      </c>
      <c r="Y42" s="10"/>
      <c r="Z42" s="10"/>
      <c r="AA42" s="10">
        <f>SUM(AA10:AA41)</f>
        <v>0</v>
      </c>
      <c r="AB42" s="10">
        <f>AA42/$BW$42*100</f>
        <v>0</v>
      </c>
      <c r="AC42" s="10"/>
      <c r="AD42" s="10"/>
      <c r="AE42" s="10">
        <f>SUM(AE10:AE41)</f>
        <v>0</v>
      </c>
      <c r="AF42" s="10">
        <f>AE42/$BW$42*100</f>
        <v>0</v>
      </c>
      <c r="AG42" s="10"/>
      <c r="AH42" s="10"/>
      <c r="AI42" s="10">
        <f>SUM(AI10:AI41)</f>
        <v>0</v>
      </c>
      <c r="AJ42" s="10">
        <f>AI42/$BW$42*100</f>
        <v>0</v>
      </c>
      <c r="AK42" s="10"/>
      <c r="AL42" s="10"/>
      <c r="AM42" s="10">
        <f>SUM(AM10:AM41)</f>
        <v>0</v>
      </c>
      <c r="AN42" s="10">
        <f>AM42/$BW$42*100</f>
        <v>0</v>
      </c>
      <c r="AO42" s="10"/>
      <c r="AP42" s="10"/>
      <c r="AQ42" s="10">
        <f>SUM(AQ10:AQ41)</f>
        <v>0</v>
      </c>
      <c r="AR42" s="16">
        <f>AQ42/$BW$42*100</f>
        <v>0</v>
      </c>
      <c r="AS42" s="10"/>
      <c r="AT42" s="10"/>
      <c r="AU42" s="10">
        <f>SUM(AU10:AU41)</f>
        <v>603750</v>
      </c>
      <c r="AV42" s="10">
        <f>AU42/$BW$42*100</f>
        <v>40.399136320464812</v>
      </c>
      <c r="AW42" s="10"/>
      <c r="AX42" s="10"/>
      <c r="AY42" s="10">
        <f>SUM(AY10:AY41)</f>
        <v>207691.19449999998</v>
      </c>
      <c r="AZ42" s="10">
        <f>AY42/$BW$42*100</f>
        <v>13.897382822634652</v>
      </c>
      <c r="BA42" s="10"/>
      <c r="BB42" s="10"/>
      <c r="BC42" s="10">
        <f>SUM(BC10:BC41)</f>
        <v>313556.5</v>
      </c>
      <c r="BD42" s="10">
        <f>BC42/$BW$42*100</f>
        <v>20.981220352244843</v>
      </c>
      <c r="BE42" s="10"/>
      <c r="BF42" s="10"/>
      <c r="BG42" s="10">
        <f>SUM(BG10:BG41)</f>
        <v>1124997.6945</v>
      </c>
      <c r="BH42" s="18">
        <f>BG42/$BW$42*100</f>
        <v>75.277739495344306</v>
      </c>
      <c r="BI42" s="10"/>
      <c r="BJ42" s="10"/>
      <c r="BK42" s="10">
        <f>SUM(BK10:BK41)</f>
        <v>0</v>
      </c>
      <c r="BL42" s="10">
        <f>BK42/$BW$42*100</f>
        <v>0</v>
      </c>
      <c r="BM42" s="10"/>
      <c r="BN42" s="10"/>
      <c r="BO42" s="10">
        <f>SUM(BO10:BO41)</f>
        <v>0</v>
      </c>
      <c r="BP42" s="10">
        <f>BO42/$BW$42*100</f>
        <v>0</v>
      </c>
      <c r="BQ42" s="10"/>
      <c r="BR42" s="10"/>
      <c r="BS42" s="10">
        <f>SUM(BS10:BS41)</f>
        <v>0</v>
      </c>
      <c r="BT42" s="10">
        <f>BS42/$BW$42*100</f>
        <v>0</v>
      </c>
      <c r="BU42" s="10"/>
      <c r="BV42" s="10"/>
      <c r="BW42" s="10">
        <f>SUM(BW10:BW41)</f>
        <v>1494462.642</v>
      </c>
      <c r="BX42" s="10">
        <f>BW42/$BW$42*100</f>
        <v>100</v>
      </c>
      <c r="BY42" s="10">
        <f>BW42/1000/E42</f>
        <v>1.0843654050853615</v>
      </c>
      <c r="BZ42" s="10"/>
    </row>
    <row r="43" spans="1:78" ht="13.5" thickTop="1"/>
    <row r="44" spans="1:78">
      <c r="AA44" s="11"/>
      <c r="AE44" s="11"/>
      <c r="BH44" s="11"/>
      <c r="BO44" s="11"/>
      <c r="BP44" s="11"/>
      <c r="BS44" s="11"/>
      <c r="BT44" s="11"/>
    </row>
    <row r="45" spans="1:78">
      <c r="E45" s="11"/>
      <c r="F45" s="11"/>
      <c r="G45" s="11"/>
      <c r="I45" s="11"/>
      <c r="AA45" s="11"/>
      <c r="AE45" s="11"/>
      <c r="BO45" s="11"/>
      <c r="BS45" s="11"/>
    </row>
  </sheetData>
  <mergeCells count="24">
    <mergeCell ref="BW8:BX8"/>
    <mergeCell ref="BY8:BZ8"/>
    <mergeCell ref="A8:A9"/>
    <mergeCell ref="B8:B9"/>
    <mergeCell ref="C8:C9"/>
    <mergeCell ref="K8:N8"/>
    <mergeCell ref="W8:Z8"/>
    <mergeCell ref="D8:D9"/>
    <mergeCell ref="E8:F8"/>
    <mergeCell ref="O8:R8"/>
    <mergeCell ref="G8:J8"/>
    <mergeCell ref="AI8:AL8"/>
    <mergeCell ref="BS8:BV8"/>
    <mergeCell ref="BC8:BF8"/>
    <mergeCell ref="BO8:BR8"/>
    <mergeCell ref="BK8:BN8"/>
    <mergeCell ref="AY8:BB8"/>
    <mergeCell ref="AQ8:AT8"/>
    <mergeCell ref="BG8:BJ8"/>
    <mergeCell ref="AU8:AX8"/>
    <mergeCell ref="S8:V8"/>
    <mergeCell ref="AA8:AD8"/>
    <mergeCell ref="AM8:AP8"/>
    <mergeCell ref="AE8:AH8"/>
  </mergeCells>
  <phoneticPr fontId="31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selection activeCell="AH12" sqref="AH12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1" width="9.140625" hidden="1" customWidth="1"/>
    <col min="22" max="32" width="9.140625" customWidth="1"/>
    <col min="34" max="34" width="10.85546875" bestFit="1" customWidth="1"/>
    <col min="35" max="35" width="16.28515625" bestFit="1" customWidth="1"/>
  </cols>
  <sheetData>
    <row r="1" spans="1:42">
      <c r="A1" s="378" t="s">
        <v>355</v>
      </c>
      <c r="B1">
        <v>6014</v>
      </c>
      <c r="C1">
        <v>5236</v>
      </c>
      <c r="D1">
        <v>4670</v>
      </c>
      <c r="E1">
        <v>5920</v>
      </c>
      <c r="F1">
        <v>5673</v>
      </c>
      <c r="G1">
        <v>5298</v>
      </c>
      <c r="H1">
        <v>5712</v>
      </c>
      <c r="I1">
        <v>5222</v>
      </c>
      <c r="J1">
        <v>5895</v>
      </c>
      <c r="K1">
        <v>5530</v>
      </c>
      <c r="L1">
        <v>5530</v>
      </c>
      <c r="M1">
        <v>5290</v>
      </c>
      <c r="N1">
        <v>5537</v>
      </c>
      <c r="O1">
        <v>4785</v>
      </c>
      <c r="P1">
        <v>4720</v>
      </c>
      <c r="Q1">
        <v>4600</v>
      </c>
      <c r="R1">
        <v>3068</v>
      </c>
      <c r="S1">
        <v>3162</v>
      </c>
      <c r="T1">
        <v>0</v>
      </c>
      <c r="U1">
        <v>3790</v>
      </c>
      <c r="V1">
        <v>3177</v>
      </c>
      <c r="W1">
        <v>3386</v>
      </c>
      <c r="X1">
        <v>3296</v>
      </c>
      <c r="Y1">
        <v>3974</v>
      </c>
      <c r="Z1">
        <v>3877</v>
      </c>
      <c r="AA1">
        <v>3218</v>
      </c>
      <c r="AB1">
        <v>4812</v>
      </c>
      <c r="AC1">
        <v>4218</v>
      </c>
      <c r="AD1">
        <v>3812</v>
      </c>
      <c r="AE1">
        <v>3612</v>
      </c>
    </row>
    <row r="2" spans="1:42" ht="15">
      <c r="A2" s="4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48" t="s">
        <v>260</v>
      </c>
      <c r="AH2" s="449" t="s">
        <v>261</v>
      </c>
      <c r="AI2" s="450" t="s">
        <v>262</v>
      </c>
      <c r="AL2" s="512"/>
      <c r="AM2" s="512"/>
      <c r="AN2" s="512"/>
      <c r="AO2" s="512"/>
    </row>
    <row r="3" spans="1:42">
      <c r="A3" s="422" t="s">
        <v>192</v>
      </c>
      <c r="B3" s="4">
        <v>21.37</v>
      </c>
      <c r="C3" s="4">
        <v>15.323</v>
      </c>
      <c r="D3" s="423">
        <v>4.3639999999999999</v>
      </c>
      <c r="E3" s="4">
        <f>0.94+8.469</f>
        <v>9.4089999999999989</v>
      </c>
      <c r="F3" s="4">
        <f>6.894+5.508</f>
        <v>12.402000000000001</v>
      </c>
      <c r="G3" s="4">
        <v>10.164</v>
      </c>
      <c r="H3" s="4">
        <f>2.57+2.94</f>
        <v>5.51</v>
      </c>
      <c r="I3" s="4">
        <f>6.52+2.94</f>
        <v>9.4599999999999991</v>
      </c>
      <c r="J3" s="4">
        <f>8.212+2.94</f>
        <v>11.151999999999999</v>
      </c>
      <c r="K3" s="4">
        <v>3.427</v>
      </c>
      <c r="L3" s="4">
        <v>3.427</v>
      </c>
      <c r="M3" s="4">
        <v>8.2149999999999999</v>
      </c>
      <c r="N3" s="4">
        <v>6.6340000000000003</v>
      </c>
      <c r="O3" s="4">
        <v>9.4139999999999997</v>
      </c>
      <c r="P3" s="4">
        <v>4.37</v>
      </c>
      <c r="Q3" s="4">
        <f>7.847+3.9</f>
        <v>11.747</v>
      </c>
      <c r="R3" s="4">
        <v>13.7</v>
      </c>
      <c r="S3" s="4">
        <v>10.26</v>
      </c>
      <c r="T3" s="4">
        <v>4</v>
      </c>
      <c r="U3" s="4">
        <v>7.5679999999999996</v>
      </c>
      <c r="V3" s="4">
        <v>6.5119999999999996</v>
      </c>
      <c r="W3" s="4">
        <v>5.9059999999999997</v>
      </c>
      <c r="X3" s="4">
        <v>7.9820000000000002</v>
      </c>
      <c r="Y3" s="4">
        <v>2.7050000000000001</v>
      </c>
      <c r="Z3" s="4">
        <v>5.7060000000000004</v>
      </c>
      <c r="AA3" s="4">
        <v>11.39</v>
      </c>
      <c r="AB3" s="4">
        <f>2.352+0.28</f>
        <v>2.6319999999999997</v>
      </c>
      <c r="AC3" s="4">
        <v>1.1619999999999999</v>
      </c>
      <c r="AD3" s="4">
        <f>3.974+0.56</f>
        <v>4.5340000000000007</v>
      </c>
      <c r="AE3" s="4">
        <v>6.76</v>
      </c>
      <c r="AF3" s="4"/>
      <c r="AG3" s="4">
        <f>+AE3</f>
        <v>6.76</v>
      </c>
      <c r="AH3" s="445">
        <f>+AG3/Efficiency1!$K$143</f>
        <v>4.2805516801399093E-3</v>
      </c>
      <c r="AI3" s="792">
        <f>SUM(AH3:AH4)</f>
        <v>5.6090424234732719E-3</v>
      </c>
      <c r="AL3" s="512"/>
      <c r="AM3" s="512"/>
      <c r="AN3" s="512"/>
      <c r="AO3" s="512"/>
    </row>
    <row r="4" spans="1:42">
      <c r="A4" s="422" t="s">
        <v>193</v>
      </c>
      <c r="B4" s="4">
        <v>2.157</v>
      </c>
      <c r="C4" s="4">
        <v>0.121</v>
      </c>
      <c r="D4" s="4">
        <v>0.77</v>
      </c>
      <c r="E4" s="4">
        <v>1.349</v>
      </c>
      <c r="F4" s="4">
        <v>0</v>
      </c>
      <c r="G4" s="4">
        <v>0.65300000000000002</v>
      </c>
      <c r="H4" s="4">
        <v>2.2850000000000001</v>
      </c>
      <c r="I4" s="4">
        <v>1.4990000000000001</v>
      </c>
      <c r="J4" s="4">
        <v>0.95599999999999996</v>
      </c>
      <c r="K4" s="4">
        <v>1.05</v>
      </c>
      <c r="L4" s="4">
        <v>1.05</v>
      </c>
      <c r="M4" s="4">
        <v>1.1200000000000001</v>
      </c>
      <c r="N4" s="423">
        <v>0.95</v>
      </c>
      <c r="O4" s="423">
        <v>0.88</v>
      </c>
      <c r="P4" s="4">
        <v>0.65</v>
      </c>
      <c r="Q4" s="4">
        <v>0.55500000000000005</v>
      </c>
      <c r="R4" s="4">
        <v>1.1399999999999999</v>
      </c>
      <c r="S4" s="4">
        <v>1.0900000000000001</v>
      </c>
      <c r="T4" s="4">
        <v>1.01</v>
      </c>
      <c r="U4" s="4">
        <v>1.9830000000000001</v>
      </c>
      <c r="V4" s="4">
        <v>0.995</v>
      </c>
      <c r="W4" s="423">
        <v>0.873</v>
      </c>
      <c r="X4" s="4">
        <v>0.622</v>
      </c>
      <c r="Y4" s="4">
        <v>2.0840000000000001</v>
      </c>
      <c r="Z4" s="4">
        <v>1.909</v>
      </c>
      <c r="AA4" s="4">
        <v>0.56200000000000006</v>
      </c>
      <c r="AB4" s="4">
        <v>0</v>
      </c>
      <c r="AC4" s="4">
        <v>1.7390000000000001</v>
      </c>
      <c r="AD4" s="4">
        <v>1.06</v>
      </c>
      <c r="AE4" s="4">
        <v>2.0979999999999999</v>
      </c>
      <c r="AF4" s="4"/>
      <c r="AG4" s="4">
        <f>+AE4</f>
        <v>2.0979999999999999</v>
      </c>
      <c r="AH4" s="445">
        <f>+AG4/Efficiency1!$K$143</f>
        <v>1.3284907433333624E-3</v>
      </c>
      <c r="AI4" s="793"/>
      <c r="AL4" s="512"/>
      <c r="AM4" s="512"/>
      <c r="AN4" s="512"/>
      <c r="AO4" s="512"/>
    </row>
    <row r="5" spans="1:42">
      <c r="A5" s="451"/>
      <c r="B5" s="452"/>
      <c r="C5" s="452"/>
      <c r="D5" s="452"/>
      <c r="E5" s="452"/>
      <c r="F5" s="452"/>
      <c r="G5" s="452"/>
      <c r="H5" s="452"/>
      <c r="I5" s="452"/>
      <c r="J5" s="452"/>
      <c r="K5" s="452"/>
      <c r="L5" s="452"/>
      <c r="M5" s="452"/>
      <c r="N5" s="453"/>
      <c r="O5" s="453"/>
      <c r="P5" s="452"/>
      <c r="Q5" s="452"/>
      <c r="R5" s="452"/>
      <c r="S5" s="452"/>
      <c r="T5" s="452"/>
      <c r="U5" s="452"/>
      <c r="V5" s="452"/>
      <c r="W5" s="453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4"/>
      <c r="AL5" s="512"/>
      <c r="AM5" s="512"/>
      <c r="AN5" s="512"/>
      <c r="AO5" s="512"/>
    </row>
    <row r="6" spans="1:42">
      <c r="A6" s="422" t="s">
        <v>356</v>
      </c>
      <c r="B6" s="423">
        <f>0.085+0.17+0.065</f>
        <v>0.32</v>
      </c>
      <c r="C6" s="4">
        <f>0.15+0.5</f>
        <v>0.65</v>
      </c>
      <c r="D6" s="4">
        <f>0.2+0.076+0.082</f>
        <v>0.35800000000000004</v>
      </c>
      <c r="E6" s="4">
        <f>0.15+0.025+0.032</f>
        <v>0.20699999999999999</v>
      </c>
      <c r="F6" s="4">
        <f>0.08+0.085+0.065</f>
        <v>0.23</v>
      </c>
      <c r="G6" s="4">
        <f>0.18+0.094+0.098</f>
        <v>0.372</v>
      </c>
      <c r="H6" s="4">
        <f>0.02+0.039</f>
        <v>5.8999999999999997E-2</v>
      </c>
      <c r="I6" s="4">
        <f>0.071+0.078+0.025</f>
        <v>0.17399999999999999</v>
      </c>
      <c r="J6" s="4">
        <f>0.235+0.075+0.166</f>
        <v>0.47599999999999998</v>
      </c>
      <c r="K6" s="4">
        <f>0.332+0.29+0.15</f>
        <v>0.77200000000000002</v>
      </c>
      <c r="L6" s="4">
        <f>0.332+0.29+0.15</f>
        <v>0.77200000000000002</v>
      </c>
      <c r="M6" s="4">
        <f>0.355+0.15+0.23+0.34</f>
        <v>1.075</v>
      </c>
      <c r="N6" s="4">
        <f>0.125+0.125+0.085</f>
        <v>0.33500000000000002</v>
      </c>
      <c r="O6" s="4">
        <f>0.093+0.25</f>
        <v>0.34299999999999997</v>
      </c>
      <c r="P6" s="4">
        <f>0.1+0.208</f>
        <v>0.308</v>
      </c>
      <c r="Q6" s="4">
        <f>0.076+0.2+0.38</f>
        <v>0.65600000000000003</v>
      </c>
      <c r="R6" s="4">
        <f>0.212+0.263+0.08</f>
        <v>0.55499999999999994</v>
      </c>
      <c r="S6" s="4">
        <f>0.2+0.15+0.251</f>
        <v>0.60099999999999998</v>
      </c>
      <c r="T6" s="4">
        <f>0.215+0.2+0.211</f>
        <v>0.626</v>
      </c>
      <c r="U6" s="4">
        <f>0.211+0.11+0.038</f>
        <v>0.35899999999999999</v>
      </c>
      <c r="V6" s="4">
        <f>0.06+0.31+0.11+0.119</f>
        <v>0.59899999999999998</v>
      </c>
      <c r="W6" s="423">
        <f>0.13+0.213+0.142</f>
        <v>0.48499999999999999</v>
      </c>
      <c r="X6" s="4">
        <f>0.098+0.211+0.119</f>
        <v>0.42799999999999999</v>
      </c>
      <c r="Y6" s="4">
        <f>0.105+0.149+0.049</f>
        <v>0.30299999999999999</v>
      </c>
      <c r="Z6" s="423">
        <f>0.15+0.12+0.137</f>
        <v>0.40700000000000003</v>
      </c>
      <c r="AA6" s="4">
        <f>0.23+0.15+0.1</f>
        <v>0.48</v>
      </c>
      <c r="AB6" s="4">
        <f>0.2+0.371+0.11</f>
        <v>0.68099999999999994</v>
      </c>
      <c r="AC6" s="4">
        <f>0.06+0.165</f>
        <v>0.22500000000000001</v>
      </c>
      <c r="AD6" s="4">
        <f>0.12+0.095+0.08</f>
        <v>0.29499999999999998</v>
      </c>
      <c r="AE6" s="4">
        <f>0.128+0.107+0.3</f>
        <v>0.53499999999999992</v>
      </c>
      <c r="AF6" s="4"/>
      <c r="AG6" s="4">
        <f t="shared" ref="AG6:AG37" si="0">+SUM(B6:AF6)</f>
        <v>13.686</v>
      </c>
      <c r="AH6" s="455">
        <f t="shared" ref="AH6:AH36" si="1">+AG6/$AG$39</f>
        <v>0.19282574391343552</v>
      </c>
      <c r="AL6" s="512"/>
      <c r="AM6" s="512"/>
      <c r="AN6" s="512"/>
      <c r="AO6" s="512"/>
    </row>
    <row r="7" spans="1:42">
      <c r="A7" s="422" t="s">
        <v>357</v>
      </c>
      <c r="B7" s="4">
        <f>0.08+0.054+0.18</f>
        <v>0.314</v>
      </c>
      <c r="C7" s="4">
        <f>0.559+0.2+0.2+0.21</f>
        <v>1.169</v>
      </c>
      <c r="D7" s="4">
        <f>0.38+0.25</f>
        <v>0.63</v>
      </c>
      <c r="E7" s="4">
        <f>0.2+0.05+0.07</f>
        <v>0.32</v>
      </c>
      <c r="F7" s="4">
        <f>0.083+0.115+0.7+0.105</f>
        <v>1.0029999999999999</v>
      </c>
      <c r="G7" s="4">
        <f>0.163+1.995+0.113+0.124</f>
        <v>2.395</v>
      </c>
      <c r="H7" s="4">
        <f>0.03+0.029</f>
        <v>5.8999999999999997E-2</v>
      </c>
      <c r="I7" s="4">
        <f>0.1+0.033</f>
        <v>0.13300000000000001</v>
      </c>
      <c r="J7" s="4">
        <f>0.076+0.21+0.43</f>
        <v>0.71599999999999997</v>
      </c>
      <c r="K7" s="4">
        <f>0.144+0.12+0.303</f>
        <v>0.56699999999999995</v>
      </c>
      <c r="L7" s="4">
        <f>0.144+0.12+0.303</f>
        <v>0.56699999999999995</v>
      </c>
      <c r="M7" s="4">
        <f>0.345+0.215+0.43</f>
        <v>0.99</v>
      </c>
      <c r="N7" s="4">
        <f>0.2+0.198+0.3</f>
        <v>0.69799999999999995</v>
      </c>
      <c r="O7" s="4">
        <f>0.225+0.18+0.45</f>
        <v>0.85499999999999998</v>
      </c>
      <c r="P7" s="4">
        <f>0.098+0.2</f>
        <v>0.29800000000000004</v>
      </c>
      <c r="Q7" s="4">
        <f>0.605+0.35+0.2</f>
        <v>1.155</v>
      </c>
      <c r="R7">
        <f>0.074+0.065+1.112</f>
        <v>1.2510000000000001</v>
      </c>
      <c r="S7" s="4">
        <f>0.105+0.45+0.2</f>
        <v>0.75500000000000012</v>
      </c>
      <c r="T7" s="4">
        <f>0.15+0.45+0.12</f>
        <v>0.72</v>
      </c>
      <c r="U7" s="4">
        <f>0.258+0.141+0.3+0.048</f>
        <v>0.74700000000000011</v>
      </c>
      <c r="V7" s="4">
        <f>0.068+0.16+0.144</f>
        <v>0.372</v>
      </c>
      <c r="W7" s="4">
        <f>0.3+0.285+0.15+0.178</f>
        <v>0.91300000000000003</v>
      </c>
      <c r="X7" s="4">
        <f>0.101+0.087+0.137</f>
        <v>0.32500000000000001</v>
      </c>
      <c r="Y7" s="4">
        <f>0.19+0.21+0.062</f>
        <v>0.46200000000000002</v>
      </c>
      <c r="Z7" s="4">
        <f>0.132+0.077+0.23</f>
        <v>0.43900000000000006</v>
      </c>
      <c r="AA7" s="4">
        <f>0.16+0.175+0.092</f>
        <v>0.42699999999999994</v>
      </c>
      <c r="AB7" s="4">
        <f>0.3+0.107</f>
        <v>0.40699999999999997</v>
      </c>
      <c r="AC7" s="4">
        <f>0.04+0.19</f>
        <v>0.23</v>
      </c>
      <c r="AD7" s="4">
        <f>0.15+0.122+0.035+0.6</f>
        <v>0.90700000000000003</v>
      </c>
      <c r="AE7" s="4">
        <f>0.056+0.131+0.2</f>
        <v>0.38700000000000001</v>
      </c>
      <c r="AF7" s="4"/>
      <c r="AG7" s="4">
        <f t="shared" si="0"/>
        <v>20.210999999999999</v>
      </c>
      <c r="AH7" s="445">
        <f t="shared" si="1"/>
        <v>0.28475822813345353</v>
      </c>
      <c r="AL7" s="512"/>
      <c r="AM7" s="512"/>
      <c r="AN7" s="512"/>
      <c r="AO7" s="512"/>
      <c r="AP7" s="378"/>
    </row>
    <row r="8" spans="1:42">
      <c r="A8" s="424" t="s">
        <v>194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H8" s="445">
        <f t="shared" si="1"/>
        <v>0</v>
      </c>
      <c r="AL8" s="511"/>
      <c r="AM8" s="512"/>
      <c r="AN8" s="512"/>
      <c r="AO8" s="512"/>
    </row>
    <row r="9" spans="1:42">
      <c r="A9" s="422" t="s">
        <v>195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H9" s="445">
        <f t="shared" si="1"/>
        <v>0</v>
      </c>
      <c r="AL9" s="512"/>
      <c r="AM9" s="512"/>
      <c r="AN9" s="512"/>
      <c r="AO9" s="512"/>
    </row>
    <row r="10" spans="1:42">
      <c r="A10" s="422" t="s">
        <v>196</v>
      </c>
      <c r="B10" s="4"/>
      <c r="C10" s="4"/>
      <c r="D10" s="4">
        <v>0.2</v>
      </c>
      <c r="E10" s="4">
        <f>0.19+1.2</f>
        <v>1.39</v>
      </c>
      <c r="F10" s="4">
        <f>1.85+2.016+1.16</f>
        <v>5.0259999999999998</v>
      </c>
      <c r="G10" s="4">
        <v>0.88</v>
      </c>
      <c r="H10" s="4"/>
      <c r="I10" s="4"/>
      <c r="J10" s="4">
        <v>2.2799999999999998</v>
      </c>
      <c r="K10" s="4"/>
      <c r="L10" s="4"/>
      <c r="M10" s="4"/>
      <c r="N10" s="4"/>
      <c r="O10" s="4"/>
      <c r="P10" s="4"/>
      <c r="Q10" s="4">
        <v>0.56999999999999995</v>
      </c>
      <c r="R10" s="4">
        <v>0.52</v>
      </c>
      <c r="S10" s="4"/>
      <c r="T10" s="4"/>
      <c r="U10" s="4"/>
      <c r="V10" s="4"/>
      <c r="W10" s="4"/>
      <c r="X10" s="4">
        <v>0.52600000000000002</v>
      </c>
      <c r="Y10" s="4"/>
      <c r="Z10" s="4">
        <f>0.9+0.26</f>
        <v>1.1600000000000001</v>
      </c>
      <c r="AA10" s="4">
        <v>0.35</v>
      </c>
      <c r="AB10" s="4"/>
      <c r="AC10" s="4">
        <v>0.65</v>
      </c>
      <c r="AD10" s="4">
        <f>0.168+0.659+0.935</f>
        <v>1.762</v>
      </c>
      <c r="AE10" s="4"/>
      <c r="AF10" s="4"/>
      <c r="AG10" s="4">
        <f t="shared" si="0"/>
        <v>15.314</v>
      </c>
      <c r="AH10" s="445">
        <f t="shared" si="1"/>
        <v>0.2157630748422002</v>
      </c>
    </row>
    <row r="11" spans="1:42">
      <c r="A11" s="422" t="s">
        <v>13</v>
      </c>
      <c r="B11" s="4"/>
      <c r="C11" s="4"/>
      <c r="D11" s="4"/>
      <c r="E11" s="4"/>
      <c r="F11" s="4">
        <v>0.377</v>
      </c>
      <c r="G11" s="4">
        <v>0.32500000000000001</v>
      </c>
      <c r="H11" s="4"/>
      <c r="I11" s="4"/>
      <c r="J11" s="4"/>
      <c r="K11" s="4"/>
      <c r="L11" s="4"/>
      <c r="M11" s="4">
        <v>0.28000000000000003</v>
      </c>
      <c r="N11" s="4">
        <v>0.73899999999999999</v>
      </c>
      <c r="O11" s="4"/>
      <c r="P11" s="4">
        <v>0.05</v>
      </c>
      <c r="Q11" s="4">
        <f>0.312+0.46</f>
        <v>0.77200000000000002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>
        <f>0.659+0.6</f>
        <v>1.2589999999999999</v>
      </c>
      <c r="AF11" s="4"/>
      <c r="AG11" s="4">
        <f t="shared" si="0"/>
        <v>3.802</v>
      </c>
      <c r="AH11" s="445">
        <f t="shared" si="1"/>
        <v>5.3567403065825067E-2</v>
      </c>
    </row>
    <row r="12" spans="1:42">
      <c r="A12" s="422" t="s">
        <v>197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>
        <v>0.27</v>
      </c>
      <c r="T12" s="4"/>
      <c r="U12" s="4"/>
      <c r="V12" s="4"/>
      <c r="W12" s="4"/>
      <c r="X12" s="4">
        <v>0.28999999999999998</v>
      </c>
      <c r="Y12" s="4"/>
      <c r="Z12" s="4"/>
      <c r="AA12" s="4"/>
      <c r="AB12" s="4"/>
      <c r="AC12" s="4"/>
      <c r="AD12" s="4"/>
      <c r="AE12" s="4"/>
      <c r="AF12" s="4"/>
      <c r="AG12" s="4">
        <f t="shared" si="0"/>
        <v>0.56000000000000005</v>
      </c>
      <c r="AH12" s="445">
        <f t="shared" si="1"/>
        <v>7.8899909828674484E-3</v>
      </c>
      <c r="AM12" s="378"/>
      <c r="AN12" s="378"/>
    </row>
    <row r="13" spans="1:42">
      <c r="A13" s="422" t="s">
        <v>198</v>
      </c>
      <c r="B13" s="4">
        <v>2.419</v>
      </c>
      <c r="C13" s="4">
        <f>1.05+1.17+1.21</f>
        <v>3.4299999999999997</v>
      </c>
      <c r="D13" s="4"/>
      <c r="E13" s="4">
        <f>0.984+0.597</f>
        <v>1.581</v>
      </c>
      <c r="F13" s="4"/>
      <c r="G13" s="4"/>
      <c r="H13" s="4"/>
      <c r="I13" s="4"/>
      <c r="J13" s="4"/>
      <c r="K13" s="4"/>
      <c r="L13" s="4"/>
      <c r="M13" s="4"/>
      <c r="N13" s="4"/>
      <c r="O13" s="4">
        <f>0.88+3.51</f>
        <v>4.3899999999999997</v>
      </c>
      <c r="P13" s="4"/>
      <c r="Q13" s="4"/>
      <c r="R13" s="4">
        <v>2.5129999999999999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14.333</v>
      </c>
      <c r="AH13" s="445">
        <f t="shared" si="1"/>
        <v>0.20194150135256989</v>
      </c>
    </row>
    <row r="14" spans="1:42">
      <c r="A14" s="422" t="s">
        <v>358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H14" s="445">
        <f t="shared" si="1"/>
        <v>0</v>
      </c>
    </row>
    <row r="15" spans="1:42">
      <c r="A15" s="422" t="s">
        <v>263</v>
      </c>
      <c r="B15" s="4"/>
      <c r="C15" s="4"/>
      <c r="D15" s="4">
        <v>2.2999999999999998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2.2999999999999998</v>
      </c>
      <c r="AH15" s="445">
        <f t="shared" si="1"/>
        <v>3.2405320108205592E-2</v>
      </c>
    </row>
    <row r="16" spans="1:42">
      <c r="A16" s="422" t="s">
        <v>264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H16" s="445">
        <f t="shared" si="1"/>
        <v>0</v>
      </c>
    </row>
    <row r="17" spans="1:34">
      <c r="A17" s="422" t="s">
        <v>199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H17" s="445">
        <f t="shared" si="1"/>
        <v>0</v>
      </c>
    </row>
    <row r="18" spans="1:34">
      <c r="A18" s="422" t="s">
        <v>200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2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>
        <v>0.2</v>
      </c>
      <c r="AC18" s="4"/>
      <c r="AD18" s="4"/>
      <c r="AE18" s="4"/>
      <c r="AF18" s="4"/>
      <c r="AG18" s="4">
        <f t="shared" si="0"/>
        <v>0.2</v>
      </c>
      <c r="AH18" s="445">
        <f t="shared" si="1"/>
        <v>2.8178539224526602E-3</v>
      </c>
    </row>
    <row r="19" spans="1:34">
      <c r="A19" s="422" t="s">
        <v>265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H19" s="445">
        <f t="shared" si="1"/>
        <v>0</v>
      </c>
    </row>
    <row r="20" spans="1:34">
      <c r="A20" s="422" t="s">
        <v>201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H20" s="445">
        <f t="shared" si="1"/>
        <v>0</v>
      </c>
    </row>
    <row r="21" spans="1:34">
      <c r="A21" s="422" t="s">
        <v>202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H21" s="445">
        <f t="shared" si="1"/>
        <v>0</v>
      </c>
    </row>
    <row r="22" spans="1:34">
      <c r="A22" s="422" t="s">
        <v>203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H22" s="445">
        <f t="shared" si="1"/>
        <v>0</v>
      </c>
    </row>
    <row r="23" spans="1:34">
      <c r="A23" s="422" t="s">
        <v>204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H23" s="445">
        <f t="shared" si="1"/>
        <v>0</v>
      </c>
    </row>
    <row r="24" spans="1:34">
      <c r="A24" s="422" t="s">
        <v>359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H24" s="445">
        <f t="shared" si="1"/>
        <v>0</v>
      </c>
    </row>
    <row r="25" spans="1:34">
      <c r="A25" s="422" t="s">
        <v>205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H25" s="445">
        <f t="shared" si="1"/>
        <v>0</v>
      </c>
    </row>
    <row r="26" spans="1:34">
      <c r="A26" s="422" t="s">
        <v>360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>
        <f t="shared" si="0"/>
        <v>0</v>
      </c>
      <c r="AH26" s="445">
        <f t="shared" si="1"/>
        <v>0</v>
      </c>
    </row>
    <row r="27" spans="1:34">
      <c r="A27" s="422" t="s">
        <v>361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>
        <f t="shared" si="0"/>
        <v>0</v>
      </c>
      <c r="AH27" s="445">
        <f t="shared" si="1"/>
        <v>0</v>
      </c>
    </row>
    <row r="28" spans="1:34">
      <c r="A28" s="422" t="s">
        <v>206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>
        <f t="shared" si="0"/>
        <v>0</v>
      </c>
      <c r="AH28" s="445">
        <f t="shared" si="1"/>
        <v>0</v>
      </c>
    </row>
    <row r="29" spans="1:34">
      <c r="A29" s="422" t="s">
        <v>362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f t="shared" si="0"/>
        <v>0</v>
      </c>
      <c r="AH29" s="445">
        <f t="shared" si="1"/>
        <v>0</v>
      </c>
    </row>
    <row r="30" spans="1:34">
      <c r="A30" s="422" t="s">
        <v>363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>
        <f t="shared" si="0"/>
        <v>0</v>
      </c>
      <c r="AH30" s="445">
        <f t="shared" si="1"/>
        <v>0</v>
      </c>
    </row>
    <row r="31" spans="1:34">
      <c r="A31" s="422" t="s">
        <v>364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>
        <f t="shared" si="0"/>
        <v>0</v>
      </c>
      <c r="AH31" s="445">
        <f t="shared" si="1"/>
        <v>0</v>
      </c>
    </row>
    <row r="32" spans="1:34">
      <c r="A32" s="422" t="s">
        <v>370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>
        <f t="shared" si="0"/>
        <v>0</v>
      </c>
      <c r="AH32" s="445">
        <f t="shared" si="1"/>
        <v>0</v>
      </c>
    </row>
    <row r="33" spans="1:34">
      <c r="A33" s="422" t="s">
        <v>365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>
        <v>0.56999999999999995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>
        <f t="shared" si="0"/>
        <v>0.56999999999999995</v>
      </c>
      <c r="AH33" s="445">
        <f t="shared" si="1"/>
        <v>8.0308836789900803E-3</v>
      </c>
    </row>
    <row r="34" spans="1:34">
      <c r="A34" s="422" t="s">
        <v>207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>
        <f t="shared" si="0"/>
        <v>0</v>
      </c>
      <c r="AH34" s="445">
        <f t="shared" si="1"/>
        <v>0</v>
      </c>
    </row>
    <row r="35" spans="1:34">
      <c r="A35" s="422" t="s">
        <v>366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>
        <f t="shared" si="0"/>
        <v>0</v>
      </c>
      <c r="AH35" s="445">
        <f t="shared" si="1"/>
        <v>0</v>
      </c>
    </row>
    <row r="36" spans="1:34">
      <c r="A36" s="422" t="s">
        <v>367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f t="shared" si="0"/>
        <v>0</v>
      </c>
      <c r="AH36" s="445">
        <f t="shared" si="1"/>
        <v>0</v>
      </c>
    </row>
    <row r="37" spans="1:34">
      <c r="A37" s="422" t="s">
        <v>368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>
        <f t="shared" si="0"/>
        <v>0</v>
      </c>
      <c r="AH37" s="445">
        <f>+AG37/$AG$39</f>
        <v>0</v>
      </c>
    </row>
    <row r="38" spans="1:34">
      <c r="A38" s="45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57">
        <f>+AG39/Efficiency1!$K$143</f>
        <v>4.4943259770652402E-2</v>
      </c>
    </row>
    <row r="39" spans="1:34">
      <c r="A39" s="425" t="s">
        <v>2</v>
      </c>
      <c r="B39" s="4">
        <f t="shared" ref="B39:AF39" si="2">SUM(B3:B37)</f>
        <v>26.580000000000002</v>
      </c>
      <c r="C39" s="4">
        <f t="shared" si="2"/>
        <v>20.693000000000001</v>
      </c>
      <c r="D39" s="4">
        <f t="shared" si="2"/>
        <v>8.6219999999999999</v>
      </c>
      <c r="E39" s="4">
        <f t="shared" si="2"/>
        <v>14.256</v>
      </c>
      <c r="F39" s="4">
        <f t="shared" si="2"/>
        <v>19.038</v>
      </c>
      <c r="G39" s="4">
        <f t="shared" si="2"/>
        <v>14.789</v>
      </c>
      <c r="H39" s="4">
        <f t="shared" si="2"/>
        <v>7.9130000000000003</v>
      </c>
      <c r="I39" s="4">
        <f t="shared" si="2"/>
        <v>11.265999999999998</v>
      </c>
      <c r="J39" s="4">
        <f t="shared" si="2"/>
        <v>15.579999999999998</v>
      </c>
      <c r="K39" s="4">
        <f t="shared" si="2"/>
        <v>5.8160000000000007</v>
      </c>
      <c r="L39" s="4">
        <f t="shared" si="2"/>
        <v>5.8160000000000007</v>
      </c>
      <c r="M39" s="4">
        <f t="shared" si="2"/>
        <v>11.68</v>
      </c>
      <c r="N39" s="4">
        <f t="shared" si="2"/>
        <v>9.3560000000000016</v>
      </c>
      <c r="O39" s="5">
        <f t="shared" si="2"/>
        <v>15.882000000000001</v>
      </c>
      <c r="P39" s="4">
        <f t="shared" si="2"/>
        <v>5.6760000000000002</v>
      </c>
      <c r="Q39" s="4">
        <f t="shared" si="2"/>
        <v>16.024999999999999</v>
      </c>
      <c r="R39" s="4">
        <f t="shared" si="2"/>
        <v>19.679000000000002</v>
      </c>
      <c r="S39" s="4">
        <f t="shared" si="2"/>
        <v>12.976000000000001</v>
      </c>
      <c r="T39" s="4">
        <f t="shared" si="2"/>
        <v>6.3559999999999999</v>
      </c>
      <c r="U39" s="4">
        <f t="shared" si="2"/>
        <v>10.657</v>
      </c>
      <c r="V39" s="4">
        <f t="shared" si="2"/>
        <v>8.4779999999999998</v>
      </c>
      <c r="W39" s="4">
        <f t="shared" si="2"/>
        <v>8.1769999999999996</v>
      </c>
      <c r="X39" s="4">
        <f t="shared" si="2"/>
        <v>10.173</v>
      </c>
      <c r="Y39" s="4">
        <f t="shared" si="2"/>
        <v>5.5539999999999994</v>
      </c>
      <c r="Z39" s="4">
        <f t="shared" si="2"/>
        <v>9.6210000000000004</v>
      </c>
      <c r="AA39" s="4">
        <f t="shared" si="2"/>
        <v>13.209</v>
      </c>
      <c r="AB39" s="4">
        <f t="shared" si="2"/>
        <v>3.92</v>
      </c>
      <c r="AC39" s="4">
        <f t="shared" si="2"/>
        <v>4.0060000000000002</v>
      </c>
      <c r="AD39" s="4">
        <f t="shared" si="2"/>
        <v>8.5580000000000016</v>
      </c>
      <c r="AE39" s="4">
        <f t="shared" si="2"/>
        <v>11.039000000000001</v>
      </c>
      <c r="AF39" s="4">
        <f t="shared" si="2"/>
        <v>0</v>
      </c>
      <c r="AG39" s="14">
        <f>SUM(AG6:AG38)</f>
        <v>70.975999999999999</v>
      </c>
      <c r="AH39" s="458">
        <f>SUM(AH6:AH37)</f>
        <v>1.0000000000000002</v>
      </c>
    </row>
  </sheetData>
  <mergeCells count="1">
    <mergeCell ref="AI3:AI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6"/>
  <sheetViews>
    <sheetView topLeftCell="F1" workbookViewId="0">
      <selection activeCell="N2" sqref="N2:O137"/>
    </sheetView>
  </sheetViews>
  <sheetFormatPr defaultColWidth="9.140625" defaultRowHeight="12.75"/>
  <cols>
    <col min="1" max="1" width="9.140625" style="433"/>
    <col min="2" max="2" width="10.85546875" style="446" bestFit="1" customWidth="1"/>
    <col min="3" max="3" width="11.85546875" style="436" customWidth="1"/>
    <col min="4" max="4" width="43.42578125" style="433" customWidth="1"/>
    <col min="5" max="6" width="23.140625" style="433" bestFit="1" customWidth="1"/>
    <col min="7" max="7" width="9.140625" style="433"/>
    <col min="8" max="8" width="30.7109375" style="433" bestFit="1" customWidth="1"/>
    <col min="9" max="9" width="9.140625" style="433"/>
    <col min="10" max="10" width="12" style="433" customWidth="1"/>
    <col min="11" max="12" width="9.140625" style="433"/>
    <col min="13" max="13" width="10.85546875" style="446" bestFit="1" customWidth="1"/>
    <col min="14" max="14" width="11.85546875" style="436" customWidth="1"/>
    <col min="15" max="15" width="43.5703125" style="433" customWidth="1"/>
    <col min="16" max="17" width="23.140625" style="433" bestFit="1" customWidth="1"/>
    <col min="18" max="18" width="9.140625" style="433"/>
    <col min="19" max="19" width="30.7109375" style="433" bestFit="1" customWidth="1"/>
    <col min="20" max="20" width="9.140625" style="433"/>
    <col min="21" max="21" width="12" style="433" customWidth="1"/>
    <col min="22" max="16384" width="9.140625" style="433"/>
  </cols>
  <sheetData>
    <row r="1" spans="1:21" ht="30">
      <c r="A1" s="429" t="s">
        <v>216</v>
      </c>
      <c r="B1" s="430" t="s">
        <v>7</v>
      </c>
      <c r="C1" s="431" t="s">
        <v>220</v>
      </c>
      <c r="D1" s="432" t="s">
        <v>124</v>
      </c>
      <c r="E1" s="432" t="s">
        <v>221</v>
      </c>
      <c r="F1" s="432" t="s">
        <v>222</v>
      </c>
      <c r="H1" s="434" t="s">
        <v>223</v>
      </c>
      <c r="I1" s="435" t="s">
        <v>224</v>
      </c>
      <c r="J1" s="435" t="s">
        <v>225</v>
      </c>
      <c r="L1" s="429" t="s">
        <v>349</v>
      </c>
      <c r="M1" s="430" t="s">
        <v>7</v>
      </c>
      <c r="N1" s="431" t="s">
        <v>220</v>
      </c>
      <c r="O1" s="432" t="s">
        <v>124</v>
      </c>
      <c r="P1" s="432" t="s">
        <v>221</v>
      </c>
      <c r="Q1" s="432" t="s">
        <v>222</v>
      </c>
      <c r="S1" s="497" t="s">
        <v>223</v>
      </c>
      <c r="T1" s="435" t="s">
        <v>224</v>
      </c>
      <c r="U1" s="435" t="s">
        <v>225</v>
      </c>
    </row>
    <row r="2" spans="1:21">
      <c r="B2" s="39">
        <v>46113</v>
      </c>
      <c r="C2" s="436">
        <v>0</v>
      </c>
      <c r="D2" s="437" t="s">
        <v>385</v>
      </c>
      <c r="E2" s="433" t="s">
        <v>226</v>
      </c>
      <c r="F2" s="433" t="s">
        <v>227</v>
      </c>
      <c r="H2" s="438" t="s">
        <v>142</v>
      </c>
      <c r="I2" s="439">
        <f>+Efficiency1!Z143</f>
        <v>28.846000000000004</v>
      </c>
      <c r="J2" s="440">
        <f>I2/$I$8</f>
        <v>1.8265797894277493E-2</v>
      </c>
      <c r="M2" s="39">
        <v>46113</v>
      </c>
      <c r="N2" s="436">
        <v>0</v>
      </c>
      <c r="O2" s="437" t="s">
        <v>385</v>
      </c>
      <c r="P2" s="433" t="s">
        <v>226</v>
      </c>
      <c r="Q2" s="433" t="s">
        <v>227</v>
      </c>
      <c r="S2" s="438" t="s">
        <v>142</v>
      </c>
      <c r="T2" s="439">
        <f>+Efficiency2!Z143</f>
        <v>28.846000000000004</v>
      </c>
      <c r="U2" s="440">
        <f>T2/$T$8</f>
        <v>1.8634102490156505E-2</v>
      </c>
    </row>
    <row r="3" spans="1:21">
      <c r="B3" s="39"/>
      <c r="C3" s="436">
        <v>7</v>
      </c>
      <c r="D3" s="437" t="s">
        <v>420</v>
      </c>
      <c r="E3" s="433" t="s">
        <v>228</v>
      </c>
      <c r="F3" s="433" t="s">
        <v>227</v>
      </c>
      <c r="H3" s="438" t="s">
        <v>229</v>
      </c>
      <c r="I3" s="439">
        <f>+Efficiency1!AA143+Efficiency1!Y143</f>
        <v>50.264865883809925</v>
      </c>
      <c r="J3" s="440">
        <f>I3/$I$8</f>
        <v>3.1828602974992577E-2</v>
      </c>
      <c r="M3" s="39"/>
      <c r="N3" s="436">
        <v>7</v>
      </c>
      <c r="O3" s="437" t="s">
        <v>420</v>
      </c>
      <c r="P3" s="433" t="s">
        <v>228</v>
      </c>
      <c r="Q3" s="433" t="s">
        <v>227</v>
      </c>
      <c r="S3" s="438" t="s">
        <v>229</v>
      </c>
      <c r="T3" s="439">
        <f>+Efficiency2!Y143+Efficiency2!AA143</f>
        <v>50.264865883809925</v>
      </c>
      <c r="U3" s="440">
        <f>T3/$T$8</f>
        <v>3.247038280984834E-2</v>
      </c>
    </row>
    <row r="4" spans="1:21">
      <c r="B4" s="39"/>
      <c r="C4" s="436">
        <v>29</v>
      </c>
      <c r="D4" s="437" t="s">
        <v>421</v>
      </c>
      <c r="E4" s="433" t="s">
        <v>230</v>
      </c>
      <c r="F4" s="433" t="s">
        <v>227</v>
      </c>
      <c r="H4" s="438" t="s">
        <v>231</v>
      </c>
      <c r="I4" s="439">
        <f>+Efficiency1!AB143</f>
        <v>-3.5393920139066566</v>
      </c>
      <c r="J4" s="440">
        <f>I4/$I$8</f>
        <v>-2.2412056851777986E-3</v>
      </c>
      <c r="M4" s="39"/>
      <c r="N4" s="436">
        <v>29</v>
      </c>
      <c r="O4" s="437" t="s">
        <v>421</v>
      </c>
      <c r="P4" s="433" t="s">
        <v>230</v>
      </c>
      <c r="Q4" s="433" t="s">
        <v>227</v>
      </c>
      <c r="S4" s="438" t="s">
        <v>231</v>
      </c>
      <c r="T4" s="439">
        <f>+Efficiency2!AB143</f>
        <v>-1.0262991657985572</v>
      </c>
      <c r="U4" s="440">
        <f>T4/$T$8</f>
        <v>-6.6297454902074595E-4</v>
      </c>
    </row>
    <row r="5" spans="1:21" ht="15" customHeight="1">
      <c r="B5" s="39"/>
      <c r="C5" s="436">
        <v>120</v>
      </c>
      <c r="D5" s="437" t="s">
        <v>422</v>
      </c>
      <c r="E5" s="437" t="s">
        <v>423</v>
      </c>
      <c r="F5" s="433" t="s">
        <v>255</v>
      </c>
      <c r="H5" s="438" t="s">
        <v>233</v>
      </c>
      <c r="I5" s="439">
        <f>+Efficiency1!AC143</f>
        <v>15.465198564471711</v>
      </c>
      <c r="J5" s="440">
        <f>I5/$I$8</f>
        <v>9.7928375294151927E-3</v>
      </c>
      <c r="M5" s="39"/>
      <c r="N5" s="436">
        <v>120</v>
      </c>
      <c r="O5" s="437" t="s">
        <v>422</v>
      </c>
      <c r="P5" s="437" t="s">
        <v>423</v>
      </c>
      <c r="Q5" s="433" t="s">
        <v>255</v>
      </c>
      <c r="S5" s="438" t="s">
        <v>233</v>
      </c>
      <c r="T5" s="439">
        <f>+Efficiency2!AC143</f>
        <v>12.952105716363606</v>
      </c>
      <c r="U5" s="440">
        <f>T5/$T$8</f>
        <v>8.3668746232427853E-3</v>
      </c>
    </row>
    <row r="6" spans="1:21" ht="15" customHeight="1">
      <c r="B6" s="39"/>
      <c r="D6" s="437"/>
      <c r="M6" s="39"/>
      <c r="O6" s="437"/>
    </row>
    <row r="7" spans="1:21" ht="12.75" customHeight="1">
      <c r="B7" s="39">
        <v>46114</v>
      </c>
      <c r="C7" s="436">
        <v>0</v>
      </c>
      <c r="D7" s="437" t="s">
        <v>385</v>
      </c>
      <c r="E7" s="433" t="s">
        <v>226</v>
      </c>
      <c r="F7" s="433" t="s">
        <v>227</v>
      </c>
      <c r="I7" s="441"/>
      <c r="J7" s="442"/>
      <c r="M7" s="39">
        <v>46114</v>
      </c>
      <c r="N7" s="436">
        <v>0</v>
      </c>
      <c r="O7" s="437" t="s">
        <v>385</v>
      </c>
      <c r="P7" s="433" t="s">
        <v>226</v>
      </c>
      <c r="Q7" s="433" t="s">
        <v>227</v>
      </c>
      <c r="T7" s="441"/>
      <c r="U7" s="442"/>
    </row>
    <row r="8" spans="1:21" ht="12.75" customHeight="1">
      <c r="B8" s="39"/>
      <c r="C8" s="436">
        <v>3</v>
      </c>
      <c r="D8" s="437" t="s">
        <v>419</v>
      </c>
      <c r="E8" s="433" t="s">
        <v>228</v>
      </c>
      <c r="F8" s="433" t="s">
        <v>227</v>
      </c>
      <c r="H8" s="443" t="s">
        <v>235</v>
      </c>
      <c r="I8" s="444">
        <f>+Efficiency1!K143</f>
        <v>1579.2356932317307</v>
      </c>
      <c r="M8" s="39"/>
      <c r="N8" s="436">
        <v>3</v>
      </c>
      <c r="O8" s="437" t="s">
        <v>419</v>
      </c>
      <c r="P8" s="433" t="s">
        <v>228</v>
      </c>
      <c r="Q8" s="433" t="s">
        <v>227</v>
      </c>
      <c r="S8" s="443" t="s">
        <v>235</v>
      </c>
      <c r="T8" s="444">
        <f>+Efficiency2!K143</f>
        <v>1548.021967531731</v>
      </c>
    </row>
    <row r="9" spans="1:21" ht="12.75" customHeight="1">
      <c r="B9" s="39"/>
      <c r="C9" s="436">
        <v>29</v>
      </c>
      <c r="D9" s="437" t="s">
        <v>443</v>
      </c>
      <c r="E9" s="433" t="s">
        <v>230</v>
      </c>
      <c r="F9" s="433" t="s">
        <v>227</v>
      </c>
      <c r="H9" s="443" t="s">
        <v>236</v>
      </c>
      <c r="I9" s="444">
        <f>+Efficiency1!AD143</f>
        <v>3043</v>
      </c>
      <c r="M9" s="39"/>
      <c r="N9" s="436">
        <v>29</v>
      </c>
      <c r="O9" s="437" t="s">
        <v>443</v>
      </c>
      <c r="P9" s="433" t="s">
        <v>230</v>
      </c>
      <c r="Q9" s="433" t="s">
        <v>227</v>
      </c>
      <c r="S9" s="443" t="s">
        <v>236</v>
      </c>
      <c r="T9" s="444">
        <f>+Efficiency2!AD143</f>
        <v>2156</v>
      </c>
    </row>
    <row r="10" spans="1:21" ht="15" customHeight="1">
      <c r="B10" s="39"/>
      <c r="C10" s="436">
        <v>71</v>
      </c>
      <c r="D10" s="437" t="s">
        <v>434</v>
      </c>
      <c r="E10" s="437" t="s">
        <v>423</v>
      </c>
      <c r="F10" s="433" t="s">
        <v>255</v>
      </c>
      <c r="H10" s="443" t="s">
        <v>237</v>
      </c>
      <c r="I10" s="444">
        <f>+Efficiency1!V143</f>
        <v>110.00802079735577</v>
      </c>
      <c r="M10" s="39"/>
      <c r="N10" s="436">
        <v>71</v>
      </c>
      <c r="O10" s="437" t="s">
        <v>434</v>
      </c>
      <c r="P10" s="437" t="s">
        <v>423</v>
      </c>
      <c r="Q10" s="433" t="s">
        <v>255</v>
      </c>
      <c r="S10" s="443" t="s">
        <v>237</v>
      </c>
      <c r="T10" s="444">
        <f>+Efficiency2!V143</f>
        <v>78.794295097355786</v>
      </c>
    </row>
    <row r="11" spans="1:21" ht="12.75" customHeight="1">
      <c r="B11" s="39"/>
      <c r="D11" s="437"/>
      <c r="G11" s="476">
        <f>+summary!H42</f>
        <v>1</v>
      </c>
      <c r="H11" s="443" t="s">
        <v>238</v>
      </c>
      <c r="I11" s="445">
        <f>I10/I8</f>
        <v>6.9659026368785112E-2</v>
      </c>
      <c r="M11" s="39"/>
      <c r="O11" s="437"/>
      <c r="R11" s="476">
        <f>+summary!Q42</f>
        <v>0.99999999999999978</v>
      </c>
      <c r="S11" s="443" t="s">
        <v>238</v>
      </c>
      <c r="T11" s="445">
        <f>T10/T8</f>
        <v>5.0899985110024401E-2</v>
      </c>
    </row>
    <row r="12" spans="1:21">
      <c r="B12" s="39">
        <v>46115</v>
      </c>
      <c r="C12" s="436">
        <v>0</v>
      </c>
      <c r="D12" s="433" t="s">
        <v>385</v>
      </c>
      <c r="E12" s="433" t="s">
        <v>226</v>
      </c>
      <c r="F12" s="433" t="s">
        <v>227</v>
      </c>
      <c r="M12" s="39">
        <v>46115</v>
      </c>
      <c r="N12" s="436">
        <v>0</v>
      </c>
      <c r="O12" s="433" t="s">
        <v>385</v>
      </c>
      <c r="P12" s="433" t="s">
        <v>226</v>
      </c>
      <c r="Q12" s="433" t="s">
        <v>227</v>
      </c>
    </row>
    <row r="13" spans="1:21">
      <c r="B13" s="39"/>
      <c r="C13" s="436">
        <v>0</v>
      </c>
      <c r="D13" s="433" t="s">
        <v>399</v>
      </c>
      <c r="E13" s="433" t="s">
        <v>228</v>
      </c>
      <c r="F13" s="433" t="s">
        <v>227</v>
      </c>
      <c r="M13" s="39"/>
      <c r="N13" s="436">
        <v>0</v>
      </c>
      <c r="O13" s="433" t="s">
        <v>399</v>
      </c>
      <c r="P13" s="433" t="s">
        <v>228</v>
      </c>
      <c r="Q13" s="433" t="s">
        <v>227</v>
      </c>
    </row>
    <row r="14" spans="1:21">
      <c r="B14" s="39"/>
      <c r="C14" s="436">
        <v>23</v>
      </c>
      <c r="D14" s="433" t="s">
        <v>446</v>
      </c>
      <c r="E14" s="433" t="s">
        <v>230</v>
      </c>
      <c r="F14" s="433" t="s">
        <v>227</v>
      </c>
      <c r="M14" s="39"/>
      <c r="N14" s="436">
        <v>23</v>
      </c>
      <c r="O14" s="433" t="s">
        <v>446</v>
      </c>
      <c r="P14" s="433" t="s">
        <v>230</v>
      </c>
      <c r="Q14" s="433" t="s">
        <v>227</v>
      </c>
    </row>
    <row r="15" spans="1:21">
      <c r="B15" s="39"/>
      <c r="M15" s="39"/>
    </row>
    <row r="16" spans="1:21">
      <c r="B16" s="39">
        <v>46116</v>
      </c>
      <c r="C16" s="436">
        <v>0</v>
      </c>
      <c r="D16" s="433" t="s">
        <v>385</v>
      </c>
      <c r="E16" s="433" t="s">
        <v>226</v>
      </c>
      <c r="F16" s="433" t="s">
        <v>227</v>
      </c>
      <c r="M16" s="39">
        <v>46116</v>
      </c>
      <c r="N16" s="436">
        <v>0</v>
      </c>
      <c r="O16" s="433" t="s">
        <v>385</v>
      </c>
      <c r="P16" s="433" t="s">
        <v>226</v>
      </c>
      <c r="Q16" s="433" t="s">
        <v>227</v>
      </c>
    </row>
    <row r="17" spans="2:17">
      <c r="B17" s="39"/>
      <c r="C17" s="436">
        <v>0</v>
      </c>
      <c r="D17" s="433" t="s">
        <v>399</v>
      </c>
      <c r="E17" s="433" t="s">
        <v>228</v>
      </c>
      <c r="F17" s="433" t="s">
        <v>227</v>
      </c>
      <c r="M17" s="39"/>
      <c r="N17" s="436">
        <v>0</v>
      </c>
      <c r="O17" s="433" t="s">
        <v>399</v>
      </c>
      <c r="P17" s="433" t="s">
        <v>228</v>
      </c>
      <c r="Q17" s="433" t="s">
        <v>227</v>
      </c>
    </row>
    <row r="18" spans="2:17">
      <c r="B18" s="39"/>
      <c r="C18" s="436">
        <v>28</v>
      </c>
      <c r="D18" s="433" t="s">
        <v>469</v>
      </c>
      <c r="E18" s="433" t="s">
        <v>230</v>
      </c>
      <c r="F18" s="433" t="s">
        <v>227</v>
      </c>
      <c r="M18" s="39"/>
      <c r="N18" s="436">
        <v>28</v>
      </c>
      <c r="O18" s="433" t="s">
        <v>469</v>
      </c>
      <c r="P18" s="433" t="s">
        <v>230</v>
      </c>
      <c r="Q18" s="433" t="s">
        <v>227</v>
      </c>
    </row>
    <row r="19" spans="2:17">
      <c r="B19" s="39"/>
      <c r="M19" s="39"/>
    </row>
    <row r="20" spans="2:17">
      <c r="B20" s="39"/>
      <c r="M20" s="39"/>
    </row>
    <row r="21" spans="2:17">
      <c r="B21" s="39">
        <v>46117</v>
      </c>
      <c r="C21" s="436">
        <v>20</v>
      </c>
      <c r="D21" s="433" t="s">
        <v>474</v>
      </c>
      <c r="E21" s="433" t="s">
        <v>226</v>
      </c>
      <c r="F21" s="433" t="s">
        <v>227</v>
      </c>
      <c r="M21" s="39">
        <v>46117</v>
      </c>
      <c r="N21" s="436">
        <v>20</v>
      </c>
      <c r="O21" s="433" t="s">
        <v>474</v>
      </c>
      <c r="P21" s="433" t="s">
        <v>226</v>
      </c>
      <c r="Q21" s="433" t="s">
        <v>227</v>
      </c>
    </row>
    <row r="22" spans="2:17">
      <c r="B22" s="39"/>
      <c r="C22" s="436">
        <v>2</v>
      </c>
      <c r="D22" s="433" t="s">
        <v>419</v>
      </c>
      <c r="E22" s="433" t="s">
        <v>228</v>
      </c>
      <c r="F22" s="433" t="s">
        <v>227</v>
      </c>
      <c r="M22" s="39"/>
      <c r="N22" s="436">
        <v>2</v>
      </c>
      <c r="O22" s="433" t="s">
        <v>419</v>
      </c>
      <c r="P22" s="433" t="s">
        <v>228</v>
      </c>
      <c r="Q22" s="433" t="s">
        <v>227</v>
      </c>
    </row>
    <row r="23" spans="2:17">
      <c r="B23" s="39"/>
      <c r="C23" s="436">
        <v>24</v>
      </c>
      <c r="D23" s="433" t="s">
        <v>476</v>
      </c>
      <c r="E23" s="433" t="s">
        <v>230</v>
      </c>
      <c r="F23" s="433" t="s">
        <v>227</v>
      </c>
      <c r="M23" s="39"/>
      <c r="N23" s="436">
        <v>24</v>
      </c>
      <c r="O23" s="433" t="s">
        <v>476</v>
      </c>
      <c r="P23" s="433" t="s">
        <v>230</v>
      </c>
      <c r="Q23" s="433" t="s">
        <v>227</v>
      </c>
    </row>
    <row r="24" spans="2:17">
      <c r="B24" s="39"/>
      <c r="C24" s="436">
        <v>60</v>
      </c>
      <c r="D24" s="433" t="s">
        <v>462</v>
      </c>
      <c r="E24" s="433" t="s">
        <v>477</v>
      </c>
      <c r="F24" s="433" t="s">
        <v>350</v>
      </c>
      <c r="M24" s="39"/>
      <c r="N24" s="436">
        <v>60</v>
      </c>
      <c r="O24" s="433" t="s">
        <v>462</v>
      </c>
      <c r="P24" s="433" t="s">
        <v>477</v>
      </c>
      <c r="Q24" s="433" t="s">
        <v>350</v>
      </c>
    </row>
    <row r="25" spans="2:17">
      <c r="B25" s="39"/>
      <c r="M25" s="39"/>
    </row>
    <row r="26" spans="2:17">
      <c r="B26" s="39">
        <v>46118</v>
      </c>
      <c r="C26" s="436">
        <v>5</v>
      </c>
      <c r="D26" s="433" t="s">
        <v>496</v>
      </c>
      <c r="E26" s="433" t="s">
        <v>226</v>
      </c>
      <c r="F26" s="433" t="s">
        <v>227</v>
      </c>
      <c r="M26" s="39">
        <v>46118</v>
      </c>
      <c r="N26" s="436">
        <v>5</v>
      </c>
      <c r="O26" s="433" t="s">
        <v>496</v>
      </c>
      <c r="P26" s="433" t="s">
        <v>226</v>
      </c>
      <c r="Q26" s="433" t="s">
        <v>227</v>
      </c>
    </row>
    <row r="27" spans="2:17">
      <c r="B27" s="39"/>
      <c r="C27" s="436">
        <v>0</v>
      </c>
      <c r="D27" s="433" t="s">
        <v>399</v>
      </c>
      <c r="E27" s="433" t="s">
        <v>228</v>
      </c>
      <c r="F27" s="433" t="s">
        <v>227</v>
      </c>
      <c r="M27" s="39"/>
      <c r="N27" s="436">
        <v>0</v>
      </c>
      <c r="O27" s="433" t="s">
        <v>399</v>
      </c>
      <c r="P27" s="433" t="s">
        <v>228</v>
      </c>
      <c r="Q27" s="433" t="s">
        <v>227</v>
      </c>
    </row>
    <row r="28" spans="2:17">
      <c r="B28" s="39"/>
      <c r="C28" s="436">
        <v>24</v>
      </c>
      <c r="D28" s="433" t="s">
        <v>498</v>
      </c>
      <c r="E28" s="433" t="s">
        <v>230</v>
      </c>
      <c r="F28" s="433" t="s">
        <v>227</v>
      </c>
      <c r="M28" s="39"/>
      <c r="N28" s="436">
        <v>24</v>
      </c>
      <c r="O28" s="433" t="s">
        <v>498</v>
      </c>
      <c r="P28" s="433" t="s">
        <v>230</v>
      </c>
      <c r="Q28" s="433" t="s">
        <v>227</v>
      </c>
    </row>
    <row r="29" spans="2:17">
      <c r="B29" s="39"/>
      <c r="M29" s="39"/>
    </row>
    <row r="30" spans="2:17">
      <c r="B30" s="39">
        <v>46119</v>
      </c>
      <c r="C30" s="436">
        <v>0</v>
      </c>
      <c r="D30" s="433" t="s">
        <v>385</v>
      </c>
      <c r="E30" s="433" t="s">
        <v>226</v>
      </c>
      <c r="F30" s="433" t="s">
        <v>227</v>
      </c>
      <c r="M30" s="39">
        <v>46119</v>
      </c>
      <c r="N30" s="436">
        <v>0</v>
      </c>
      <c r="O30" s="433" t="s">
        <v>385</v>
      </c>
      <c r="P30" s="433" t="s">
        <v>226</v>
      </c>
      <c r="Q30" s="433" t="s">
        <v>227</v>
      </c>
    </row>
    <row r="31" spans="2:17">
      <c r="B31" s="39"/>
      <c r="C31" s="436">
        <v>1</v>
      </c>
      <c r="D31" s="433" t="s">
        <v>419</v>
      </c>
      <c r="E31" s="433" t="s">
        <v>228</v>
      </c>
      <c r="F31" s="433" t="s">
        <v>227</v>
      </c>
      <c r="M31" s="39"/>
      <c r="N31" s="436">
        <v>1</v>
      </c>
      <c r="O31" s="433" t="s">
        <v>419</v>
      </c>
      <c r="P31" s="433" t="s">
        <v>228</v>
      </c>
      <c r="Q31" s="433" t="s">
        <v>227</v>
      </c>
    </row>
    <row r="32" spans="2:17">
      <c r="B32" s="39"/>
      <c r="C32" s="436">
        <v>19</v>
      </c>
      <c r="D32" s="433" t="s">
        <v>469</v>
      </c>
      <c r="E32" s="433" t="s">
        <v>230</v>
      </c>
      <c r="F32" s="433" t="s">
        <v>227</v>
      </c>
      <c r="M32" s="39"/>
      <c r="N32" s="436">
        <v>19</v>
      </c>
      <c r="O32" s="433" t="s">
        <v>469</v>
      </c>
      <c r="P32" s="433" t="s">
        <v>230</v>
      </c>
      <c r="Q32" s="433" t="s">
        <v>227</v>
      </c>
    </row>
    <row r="33" spans="2:17">
      <c r="B33" s="39"/>
      <c r="M33" s="39"/>
    </row>
    <row r="34" spans="2:17">
      <c r="B34" s="39">
        <v>46120</v>
      </c>
      <c r="C34" s="436">
        <v>0</v>
      </c>
      <c r="D34" s="433" t="s">
        <v>385</v>
      </c>
      <c r="E34" s="433" t="s">
        <v>226</v>
      </c>
      <c r="F34" s="433" t="s">
        <v>227</v>
      </c>
      <c r="M34" s="39">
        <v>46120</v>
      </c>
      <c r="N34" s="436">
        <v>0</v>
      </c>
      <c r="O34" s="433" t="s">
        <v>385</v>
      </c>
      <c r="P34" s="433" t="s">
        <v>226</v>
      </c>
      <c r="Q34" s="433" t="s">
        <v>227</v>
      </c>
    </row>
    <row r="35" spans="2:17">
      <c r="B35" s="39"/>
      <c r="C35" s="436">
        <v>0</v>
      </c>
      <c r="D35" s="433" t="s">
        <v>399</v>
      </c>
      <c r="E35" s="433" t="s">
        <v>228</v>
      </c>
      <c r="F35" s="433" t="s">
        <v>227</v>
      </c>
      <c r="M35" s="39"/>
      <c r="N35" s="436">
        <v>0</v>
      </c>
      <c r="O35" s="433" t="s">
        <v>399</v>
      </c>
      <c r="P35" s="433" t="s">
        <v>228</v>
      </c>
      <c r="Q35" s="433" t="s">
        <v>227</v>
      </c>
    </row>
    <row r="36" spans="2:17">
      <c r="B36" s="39"/>
      <c r="C36" s="436">
        <v>14</v>
      </c>
      <c r="D36" s="433" t="s">
        <v>524</v>
      </c>
      <c r="E36" s="433" t="s">
        <v>230</v>
      </c>
      <c r="F36" s="433" t="s">
        <v>227</v>
      </c>
      <c r="M36" s="39"/>
      <c r="N36" s="436">
        <v>14</v>
      </c>
      <c r="O36" s="433" t="s">
        <v>524</v>
      </c>
      <c r="P36" s="433" t="s">
        <v>230</v>
      </c>
      <c r="Q36" s="433" t="s">
        <v>227</v>
      </c>
    </row>
    <row r="37" spans="2:17">
      <c r="B37" s="39"/>
      <c r="C37" s="436">
        <v>126</v>
      </c>
      <c r="D37" s="433" t="s">
        <v>525</v>
      </c>
      <c r="E37" s="433" t="s">
        <v>526</v>
      </c>
      <c r="F37" s="433" t="s">
        <v>239</v>
      </c>
      <c r="M37" s="39"/>
      <c r="N37" s="436">
        <v>126</v>
      </c>
      <c r="O37" s="433" t="s">
        <v>525</v>
      </c>
      <c r="P37" s="433" t="s">
        <v>526</v>
      </c>
      <c r="Q37" s="433" t="s">
        <v>239</v>
      </c>
    </row>
    <row r="38" spans="2:17">
      <c r="B38" s="39"/>
      <c r="M38" s="39"/>
    </row>
    <row r="39" spans="2:17">
      <c r="B39" s="39">
        <v>46121</v>
      </c>
      <c r="C39" s="436">
        <v>0</v>
      </c>
      <c r="D39" s="433" t="s">
        <v>385</v>
      </c>
      <c r="E39" s="433" t="s">
        <v>226</v>
      </c>
      <c r="F39" s="433" t="s">
        <v>227</v>
      </c>
      <c r="M39" s="39">
        <v>46121</v>
      </c>
      <c r="N39" s="436">
        <v>0</v>
      </c>
      <c r="O39" s="433" t="s">
        <v>385</v>
      </c>
      <c r="P39" s="433" t="s">
        <v>226</v>
      </c>
      <c r="Q39" s="433" t="s">
        <v>227</v>
      </c>
    </row>
    <row r="40" spans="2:17">
      <c r="B40" s="39"/>
      <c r="C40" s="436">
        <v>3</v>
      </c>
      <c r="D40" s="433" t="s">
        <v>420</v>
      </c>
      <c r="E40" s="433" t="s">
        <v>228</v>
      </c>
      <c r="F40" s="433" t="s">
        <v>227</v>
      </c>
      <c r="M40" s="39"/>
      <c r="N40" s="436">
        <v>3</v>
      </c>
      <c r="O40" s="433" t="s">
        <v>420</v>
      </c>
      <c r="P40" s="433" t="s">
        <v>228</v>
      </c>
      <c r="Q40" s="433" t="s">
        <v>227</v>
      </c>
    </row>
    <row r="41" spans="2:17">
      <c r="B41" s="39"/>
      <c r="C41" s="436">
        <v>9</v>
      </c>
      <c r="D41" s="433" t="s">
        <v>469</v>
      </c>
      <c r="E41" s="433" t="s">
        <v>230</v>
      </c>
      <c r="F41" s="433" t="s">
        <v>227</v>
      </c>
      <c r="M41" s="39"/>
      <c r="N41" s="436">
        <v>9</v>
      </c>
      <c r="O41" s="433" t="s">
        <v>469</v>
      </c>
      <c r="P41" s="433" t="s">
        <v>230</v>
      </c>
      <c r="Q41" s="433" t="s">
        <v>227</v>
      </c>
    </row>
    <row r="42" spans="2:17">
      <c r="B42" s="39"/>
      <c r="C42" s="436">
        <v>62</v>
      </c>
      <c r="D42" s="437" t="s">
        <v>529</v>
      </c>
      <c r="E42" s="437" t="s">
        <v>539</v>
      </c>
      <c r="F42" s="433" t="s">
        <v>285</v>
      </c>
      <c r="M42" s="39"/>
      <c r="N42" s="436">
        <v>62</v>
      </c>
      <c r="O42" s="437" t="s">
        <v>529</v>
      </c>
      <c r="P42" s="437" t="s">
        <v>539</v>
      </c>
      <c r="Q42" s="433" t="s">
        <v>285</v>
      </c>
    </row>
    <row r="43" spans="2:17">
      <c r="B43" s="39"/>
      <c r="M43" s="39"/>
    </row>
    <row r="44" spans="2:17">
      <c r="B44" s="39">
        <v>46122</v>
      </c>
      <c r="C44" s="436">
        <v>0</v>
      </c>
      <c r="D44" s="433" t="s">
        <v>385</v>
      </c>
      <c r="E44" s="433" t="s">
        <v>226</v>
      </c>
      <c r="F44" s="433" t="s">
        <v>227</v>
      </c>
      <c r="M44" s="39">
        <v>46122</v>
      </c>
      <c r="N44" s="436">
        <v>0</v>
      </c>
      <c r="O44" s="433" t="s">
        <v>385</v>
      </c>
      <c r="P44" s="433" t="s">
        <v>226</v>
      </c>
      <c r="Q44" s="433" t="s">
        <v>227</v>
      </c>
    </row>
    <row r="45" spans="2:17">
      <c r="B45" s="39"/>
      <c r="C45" s="436">
        <v>0</v>
      </c>
      <c r="D45" s="433" t="s">
        <v>399</v>
      </c>
      <c r="E45" s="433" t="s">
        <v>228</v>
      </c>
      <c r="F45" s="433" t="s">
        <v>227</v>
      </c>
      <c r="M45" s="39"/>
      <c r="N45" s="436">
        <v>0</v>
      </c>
      <c r="O45" s="433" t="s">
        <v>399</v>
      </c>
      <c r="P45" s="433" t="s">
        <v>228</v>
      </c>
      <c r="Q45" s="433" t="s">
        <v>227</v>
      </c>
    </row>
    <row r="46" spans="2:17">
      <c r="B46" s="39"/>
      <c r="C46" s="436">
        <v>19</v>
      </c>
      <c r="D46" s="433" t="s">
        <v>541</v>
      </c>
      <c r="E46" s="433" t="s">
        <v>230</v>
      </c>
      <c r="F46" s="433" t="s">
        <v>227</v>
      </c>
      <c r="M46" s="39"/>
      <c r="N46" s="436">
        <v>19</v>
      </c>
      <c r="O46" s="433" t="s">
        <v>541</v>
      </c>
      <c r="P46" s="433" t="s">
        <v>230</v>
      </c>
      <c r="Q46" s="433" t="s">
        <v>227</v>
      </c>
    </row>
    <row r="47" spans="2:17">
      <c r="B47" s="39"/>
      <c r="M47" s="39"/>
    </row>
    <row r="48" spans="2:17">
      <c r="B48" s="39">
        <v>46123</v>
      </c>
      <c r="C48" s="436">
        <v>0</v>
      </c>
      <c r="D48" s="433" t="s">
        <v>385</v>
      </c>
      <c r="E48" s="433" t="s">
        <v>226</v>
      </c>
      <c r="F48" s="433" t="s">
        <v>227</v>
      </c>
      <c r="M48" s="39">
        <v>46123</v>
      </c>
      <c r="N48" s="436">
        <v>0</v>
      </c>
      <c r="O48" s="433" t="s">
        <v>385</v>
      </c>
      <c r="P48" s="433" t="s">
        <v>226</v>
      </c>
      <c r="Q48" s="433" t="s">
        <v>227</v>
      </c>
    </row>
    <row r="49" spans="2:17">
      <c r="B49" s="39"/>
      <c r="C49" s="436">
        <v>1</v>
      </c>
      <c r="D49" s="433" t="s">
        <v>419</v>
      </c>
      <c r="E49" s="433" t="s">
        <v>228</v>
      </c>
      <c r="F49" s="433" t="s">
        <v>227</v>
      </c>
      <c r="M49" s="39"/>
      <c r="N49" s="436">
        <v>1</v>
      </c>
      <c r="O49" s="433" t="s">
        <v>419</v>
      </c>
      <c r="P49" s="433" t="s">
        <v>228</v>
      </c>
      <c r="Q49" s="433" t="s">
        <v>227</v>
      </c>
    </row>
    <row r="50" spans="2:17">
      <c r="B50" s="39"/>
      <c r="C50" s="436">
        <v>28</v>
      </c>
      <c r="D50" s="433" t="s">
        <v>421</v>
      </c>
      <c r="E50" s="433" t="s">
        <v>230</v>
      </c>
      <c r="F50" s="433" t="s">
        <v>227</v>
      </c>
      <c r="M50" s="39"/>
      <c r="N50" s="436">
        <v>28</v>
      </c>
      <c r="O50" s="433" t="s">
        <v>421</v>
      </c>
      <c r="P50" s="433" t="s">
        <v>230</v>
      </c>
      <c r="Q50" s="433" t="s">
        <v>227</v>
      </c>
    </row>
    <row r="51" spans="2:17">
      <c r="B51" s="39"/>
      <c r="M51" s="39"/>
    </row>
    <row r="52" spans="2:17">
      <c r="B52" s="39">
        <v>46124</v>
      </c>
      <c r="C52" s="436">
        <v>35</v>
      </c>
      <c r="D52" s="433" t="s">
        <v>566</v>
      </c>
      <c r="E52" s="433" t="s">
        <v>226</v>
      </c>
      <c r="F52" s="433" t="s">
        <v>227</v>
      </c>
      <c r="M52" s="39">
        <v>46124</v>
      </c>
      <c r="N52" s="436">
        <v>35</v>
      </c>
      <c r="O52" s="433" t="s">
        <v>566</v>
      </c>
      <c r="P52" s="433" t="s">
        <v>226</v>
      </c>
      <c r="Q52" s="433" t="s">
        <v>227</v>
      </c>
    </row>
    <row r="53" spans="2:17">
      <c r="B53" s="39"/>
      <c r="C53" s="436">
        <v>0</v>
      </c>
      <c r="D53" s="433" t="s">
        <v>399</v>
      </c>
      <c r="E53" s="433" t="s">
        <v>228</v>
      </c>
      <c r="F53" s="433" t="s">
        <v>227</v>
      </c>
      <c r="M53" s="39"/>
      <c r="N53" s="436">
        <v>0</v>
      </c>
      <c r="O53" s="433" t="s">
        <v>399</v>
      </c>
      <c r="P53" s="433" t="s">
        <v>228</v>
      </c>
      <c r="Q53" s="433" t="s">
        <v>227</v>
      </c>
    </row>
    <row r="54" spans="2:17">
      <c r="B54" s="39"/>
      <c r="C54" s="436">
        <v>29</v>
      </c>
      <c r="D54" s="433" t="s">
        <v>421</v>
      </c>
      <c r="E54" s="433" t="s">
        <v>230</v>
      </c>
      <c r="F54" s="433" t="s">
        <v>227</v>
      </c>
      <c r="M54" s="39"/>
      <c r="N54" s="436">
        <v>29</v>
      </c>
      <c r="O54" s="433" t="s">
        <v>421</v>
      </c>
      <c r="P54" s="433" t="s">
        <v>230</v>
      </c>
      <c r="Q54" s="433" t="s">
        <v>227</v>
      </c>
    </row>
    <row r="55" spans="2:17">
      <c r="B55" s="39"/>
      <c r="C55" s="436">
        <v>15</v>
      </c>
      <c r="D55" s="433" t="s">
        <v>561</v>
      </c>
      <c r="E55" s="433" t="s">
        <v>569</v>
      </c>
      <c r="F55" s="433" t="s">
        <v>239</v>
      </c>
      <c r="M55" s="39"/>
      <c r="N55" s="436">
        <v>15</v>
      </c>
      <c r="O55" s="433" t="s">
        <v>561</v>
      </c>
      <c r="P55" s="433" t="s">
        <v>569</v>
      </c>
      <c r="Q55" s="433" t="s">
        <v>239</v>
      </c>
    </row>
    <row r="56" spans="2:17">
      <c r="B56" s="39"/>
      <c r="C56" s="436">
        <v>9</v>
      </c>
      <c r="D56" s="433" t="s">
        <v>551</v>
      </c>
      <c r="E56" s="433" t="s">
        <v>570</v>
      </c>
      <c r="F56" s="433" t="s">
        <v>259</v>
      </c>
      <c r="M56" s="39"/>
      <c r="N56" s="436">
        <v>9</v>
      </c>
      <c r="O56" s="433" t="s">
        <v>551</v>
      </c>
      <c r="P56" s="433" t="s">
        <v>570</v>
      </c>
      <c r="Q56" s="433" t="s">
        <v>259</v>
      </c>
    </row>
    <row r="57" spans="2:17">
      <c r="B57" s="39"/>
      <c r="M57" s="39"/>
    </row>
    <row r="58" spans="2:17">
      <c r="B58" s="39">
        <v>46125</v>
      </c>
      <c r="C58" s="436">
        <v>35</v>
      </c>
      <c r="D58" s="433" t="s">
        <v>566</v>
      </c>
      <c r="E58" s="433" t="s">
        <v>226</v>
      </c>
      <c r="F58" s="433" t="s">
        <v>227</v>
      </c>
      <c r="M58" s="39">
        <v>46125</v>
      </c>
      <c r="N58" s="436">
        <v>35</v>
      </c>
      <c r="O58" s="433" t="s">
        <v>566</v>
      </c>
      <c r="P58" s="433" t="s">
        <v>226</v>
      </c>
      <c r="Q58" s="433" t="s">
        <v>227</v>
      </c>
    </row>
    <row r="59" spans="2:17">
      <c r="B59" s="39"/>
      <c r="C59" s="436">
        <v>3</v>
      </c>
      <c r="D59" s="433" t="s">
        <v>589</v>
      </c>
      <c r="E59" s="433" t="s">
        <v>228</v>
      </c>
      <c r="F59" s="433" t="s">
        <v>227</v>
      </c>
      <c r="M59" s="39"/>
      <c r="N59" s="436">
        <v>3</v>
      </c>
      <c r="O59" s="433" t="s">
        <v>589</v>
      </c>
      <c r="P59" s="433" t="s">
        <v>228</v>
      </c>
      <c r="Q59" s="433" t="s">
        <v>227</v>
      </c>
    </row>
    <row r="60" spans="2:17">
      <c r="B60" s="39"/>
      <c r="C60" s="436">
        <v>24</v>
      </c>
      <c r="D60" s="433" t="s">
        <v>590</v>
      </c>
      <c r="E60" s="433" t="s">
        <v>230</v>
      </c>
      <c r="F60" s="433" t="s">
        <v>227</v>
      </c>
      <c r="M60" s="39"/>
      <c r="N60" s="436">
        <v>24</v>
      </c>
      <c r="O60" s="433" t="s">
        <v>590</v>
      </c>
      <c r="P60" s="433" t="s">
        <v>230</v>
      </c>
      <c r="Q60" s="433" t="s">
        <v>227</v>
      </c>
    </row>
    <row r="61" spans="2:17">
      <c r="B61" s="39"/>
      <c r="C61" s="436">
        <v>498</v>
      </c>
      <c r="D61" s="433" t="s">
        <v>591</v>
      </c>
      <c r="E61" s="433" t="s">
        <v>593</v>
      </c>
      <c r="F61" s="433" t="s">
        <v>350</v>
      </c>
      <c r="M61" s="39"/>
      <c r="N61" s="436">
        <v>94</v>
      </c>
      <c r="O61" s="433" t="s">
        <v>591</v>
      </c>
      <c r="P61" s="433" t="s">
        <v>593</v>
      </c>
      <c r="Q61" s="433" t="s">
        <v>350</v>
      </c>
    </row>
    <row r="62" spans="2:17">
      <c r="B62" s="39"/>
      <c r="M62" s="39"/>
    </row>
    <row r="63" spans="2:17">
      <c r="B63" s="39">
        <v>46126</v>
      </c>
      <c r="C63" s="436">
        <v>0</v>
      </c>
      <c r="D63" s="433" t="s">
        <v>385</v>
      </c>
      <c r="E63" s="433" t="s">
        <v>226</v>
      </c>
      <c r="F63" s="433" t="s">
        <v>227</v>
      </c>
      <c r="M63" s="39">
        <v>46126</v>
      </c>
      <c r="N63" s="436">
        <v>0</v>
      </c>
      <c r="O63" s="433" t="s">
        <v>385</v>
      </c>
      <c r="P63" s="433" t="s">
        <v>226</v>
      </c>
      <c r="Q63" s="433" t="s">
        <v>227</v>
      </c>
    </row>
    <row r="64" spans="2:17">
      <c r="B64" s="39"/>
      <c r="C64" s="436">
        <v>0</v>
      </c>
      <c r="D64" s="433" t="s">
        <v>399</v>
      </c>
      <c r="E64" s="433" t="s">
        <v>228</v>
      </c>
      <c r="F64" s="433" t="s">
        <v>227</v>
      </c>
      <c r="M64" s="39"/>
      <c r="N64" s="436">
        <v>0</v>
      </c>
      <c r="O64" s="433" t="s">
        <v>399</v>
      </c>
      <c r="P64" s="433" t="s">
        <v>228</v>
      </c>
      <c r="Q64" s="433" t="s">
        <v>227</v>
      </c>
    </row>
    <row r="65" spans="2:17">
      <c r="B65" s="39"/>
      <c r="C65" s="436">
        <v>29</v>
      </c>
      <c r="D65" s="433" t="s">
        <v>611</v>
      </c>
      <c r="E65" s="433" t="s">
        <v>230</v>
      </c>
      <c r="F65" s="433" t="s">
        <v>227</v>
      </c>
      <c r="M65" s="39"/>
      <c r="N65" s="436">
        <v>29</v>
      </c>
      <c r="O65" s="433" t="s">
        <v>611</v>
      </c>
      <c r="P65" s="433" t="s">
        <v>230</v>
      </c>
      <c r="Q65" s="433" t="s">
        <v>227</v>
      </c>
    </row>
    <row r="66" spans="2:17">
      <c r="B66" s="39"/>
      <c r="M66" s="39"/>
    </row>
    <row r="67" spans="2:17">
      <c r="B67" s="39"/>
      <c r="M67" s="39"/>
    </row>
    <row r="68" spans="2:17">
      <c r="B68" s="39">
        <v>46127</v>
      </c>
      <c r="C68" s="436">
        <v>0</v>
      </c>
      <c r="D68" s="433" t="s">
        <v>385</v>
      </c>
      <c r="E68" s="433" t="s">
        <v>226</v>
      </c>
      <c r="F68" s="433" t="s">
        <v>227</v>
      </c>
      <c r="M68" s="39">
        <v>46127</v>
      </c>
      <c r="N68" s="436">
        <v>0</v>
      </c>
      <c r="O68" s="433" t="s">
        <v>385</v>
      </c>
      <c r="P68" s="433" t="s">
        <v>226</v>
      </c>
      <c r="Q68" s="433" t="s">
        <v>227</v>
      </c>
    </row>
    <row r="69" spans="2:17">
      <c r="B69" s="39"/>
      <c r="C69" s="436">
        <v>2</v>
      </c>
      <c r="D69" s="433" t="s">
        <v>419</v>
      </c>
      <c r="E69" s="433" t="s">
        <v>228</v>
      </c>
      <c r="F69" s="433" t="s">
        <v>227</v>
      </c>
      <c r="M69" s="39"/>
      <c r="N69" s="436">
        <v>2</v>
      </c>
      <c r="O69" s="433" t="s">
        <v>419</v>
      </c>
      <c r="P69" s="433" t="s">
        <v>228</v>
      </c>
      <c r="Q69" s="433" t="s">
        <v>227</v>
      </c>
    </row>
    <row r="70" spans="2:17">
      <c r="B70" s="39"/>
      <c r="C70" s="436">
        <v>28</v>
      </c>
      <c r="D70" s="433" t="s">
        <v>629</v>
      </c>
      <c r="E70" s="433" t="s">
        <v>230</v>
      </c>
      <c r="F70" s="433" t="s">
        <v>227</v>
      </c>
      <c r="M70" s="39"/>
      <c r="N70" s="436">
        <v>28</v>
      </c>
      <c r="O70" s="433" t="s">
        <v>629</v>
      </c>
      <c r="P70" s="433" t="s">
        <v>230</v>
      </c>
      <c r="Q70" s="433" t="s">
        <v>227</v>
      </c>
    </row>
    <row r="71" spans="2:17">
      <c r="B71" s="39"/>
      <c r="M71" s="39"/>
    </row>
    <row r="72" spans="2:17">
      <c r="B72" s="39">
        <v>46128</v>
      </c>
      <c r="C72" s="436">
        <v>10</v>
      </c>
      <c r="D72" s="433" t="s">
        <v>564</v>
      </c>
      <c r="E72" s="433" t="s">
        <v>226</v>
      </c>
      <c r="F72" s="433" t="s">
        <v>227</v>
      </c>
      <c r="M72" s="39">
        <v>46128</v>
      </c>
      <c r="N72" s="436">
        <v>10</v>
      </c>
      <c r="O72" s="433" t="s">
        <v>564</v>
      </c>
      <c r="P72" s="433" t="s">
        <v>226</v>
      </c>
      <c r="Q72" s="433" t="s">
        <v>227</v>
      </c>
    </row>
    <row r="73" spans="2:17">
      <c r="B73" s="39"/>
      <c r="C73" s="436">
        <v>2</v>
      </c>
      <c r="D73" s="433" t="s">
        <v>420</v>
      </c>
      <c r="E73" s="433" t="s">
        <v>228</v>
      </c>
      <c r="F73" s="433" t="s">
        <v>227</v>
      </c>
      <c r="M73" s="39"/>
      <c r="N73" s="436">
        <v>2</v>
      </c>
      <c r="O73" s="433" t="s">
        <v>420</v>
      </c>
      <c r="P73" s="433" t="s">
        <v>228</v>
      </c>
      <c r="Q73" s="433" t="s">
        <v>227</v>
      </c>
    </row>
    <row r="74" spans="2:17">
      <c r="B74" s="39"/>
      <c r="C74" s="436">
        <v>24</v>
      </c>
      <c r="D74" s="433" t="s">
        <v>611</v>
      </c>
      <c r="E74" s="433" t="s">
        <v>230</v>
      </c>
      <c r="F74" s="433" t="s">
        <v>227</v>
      </c>
      <c r="M74" s="39"/>
      <c r="N74" s="436">
        <v>24</v>
      </c>
      <c r="O74" s="433" t="s">
        <v>611</v>
      </c>
      <c r="P74" s="433" t="s">
        <v>230</v>
      </c>
      <c r="Q74" s="433" t="s">
        <v>227</v>
      </c>
    </row>
    <row r="75" spans="2:17">
      <c r="B75" s="39"/>
      <c r="M75" s="39"/>
    </row>
    <row r="76" spans="2:17">
      <c r="B76" s="39">
        <v>46129</v>
      </c>
      <c r="C76" s="436">
        <v>9</v>
      </c>
      <c r="D76" s="433" t="s">
        <v>585</v>
      </c>
      <c r="E76" s="433" t="s">
        <v>226</v>
      </c>
      <c r="F76" s="433" t="s">
        <v>227</v>
      </c>
      <c r="M76" s="39">
        <v>46129</v>
      </c>
      <c r="N76" s="436">
        <v>9</v>
      </c>
      <c r="O76" s="433" t="s">
        <v>585</v>
      </c>
      <c r="P76" s="433" t="s">
        <v>226</v>
      </c>
      <c r="Q76" s="433" t="s">
        <v>227</v>
      </c>
    </row>
    <row r="77" spans="2:17">
      <c r="B77" s="39"/>
      <c r="C77" s="436">
        <v>6</v>
      </c>
      <c r="D77" s="433" t="s">
        <v>661</v>
      </c>
      <c r="E77" s="433" t="s">
        <v>228</v>
      </c>
      <c r="F77" s="433" t="s">
        <v>227</v>
      </c>
      <c r="M77" s="39"/>
      <c r="N77" s="436">
        <v>6</v>
      </c>
      <c r="O77" s="433" t="s">
        <v>661</v>
      </c>
      <c r="P77" s="433" t="s">
        <v>228</v>
      </c>
      <c r="Q77" s="433" t="s">
        <v>227</v>
      </c>
    </row>
    <row r="78" spans="2:17">
      <c r="B78" s="39"/>
      <c r="C78" s="436">
        <v>30</v>
      </c>
      <c r="D78" s="433" t="s">
        <v>421</v>
      </c>
      <c r="E78" s="433" t="s">
        <v>230</v>
      </c>
      <c r="F78" s="433" t="s">
        <v>227</v>
      </c>
      <c r="M78" s="39"/>
      <c r="N78" s="436">
        <v>30</v>
      </c>
      <c r="O78" s="433" t="s">
        <v>421</v>
      </c>
      <c r="P78" s="433" t="s">
        <v>230</v>
      </c>
      <c r="Q78" s="433" t="s">
        <v>227</v>
      </c>
    </row>
    <row r="79" spans="2:17">
      <c r="B79" s="39"/>
      <c r="M79" s="39"/>
    </row>
    <row r="80" spans="2:17">
      <c r="B80" s="39">
        <v>46130</v>
      </c>
      <c r="C80" s="436">
        <v>0</v>
      </c>
      <c r="D80" s="433" t="s">
        <v>385</v>
      </c>
      <c r="E80" s="433" t="s">
        <v>226</v>
      </c>
      <c r="F80" s="433" t="s">
        <v>227</v>
      </c>
      <c r="M80" s="39">
        <v>46130</v>
      </c>
      <c r="N80" s="436">
        <v>0</v>
      </c>
      <c r="O80" s="433" t="s">
        <v>385</v>
      </c>
      <c r="P80" s="433" t="s">
        <v>226</v>
      </c>
      <c r="Q80" s="433" t="s">
        <v>227</v>
      </c>
    </row>
    <row r="81" spans="2:17">
      <c r="B81" s="39"/>
      <c r="C81" s="436">
        <v>2</v>
      </c>
      <c r="D81" s="433" t="s">
        <v>419</v>
      </c>
      <c r="E81" s="433" t="s">
        <v>228</v>
      </c>
      <c r="F81" s="433" t="s">
        <v>227</v>
      </c>
      <c r="M81" s="39"/>
      <c r="N81" s="436">
        <v>2</v>
      </c>
      <c r="O81" s="433" t="s">
        <v>419</v>
      </c>
      <c r="P81" s="433" t="s">
        <v>228</v>
      </c>
      <c r="Q81" s="433" t="s">
        <v>227</v>
      </c>
    </row>
    <row r="82" spans="2:17">
      <c r="B82" s="39"/>
      <c r="C82" s="436">
        <v>21</v>
      </c>
      <c r="D82" s="433" t="s">
        <v>443</v>
      </c>
      <c r="E82" s="433" t="s">
        <v>230</v>
      </c>
      <c r="F82" s="433" t="s">
        <v>227</v>
      </c>
      <c r="M82" s="39"/>
      <c r="N82" s="436">
        <v>21</v>
      </c>
      <c r="O82" s="433" t="s">
        <v>443</v>
      </c>
      <c r="P82" s="433" t="s">
        <v>230</v>
      </c>
      <c r="Q82" s="433" t="s">
        <v>227</v>
      </c>
    </row>
    <row r="83" spans="2:17">
      <c r="B83" s="39"/>
      <c r="M83" s="39"/>
    </row>
    <row r="84" spans="2:17">
      <c r="B84" s="39">
        <v>46131</v>
      </c>
      <c r="C84" s="436">
        <v>0</v>
      </c>
      <c r="D84" s="433" t="s">
        <v>385</v>
      </c>
      <c r="E84" s="433" t="s">
        <v>226</v>
      </c>
      <c r="F84" s="433" t="s">
        <v>227</v>
      </c>
      <c r="M84" s="39">
        <v>46131</v>
      </c>
      <c r="N84" s="436">
        <v>0</v>
      </c>
      <c r="O84" s="433" t="s">
        <v>385</v>
      </c>
      <c r="P84" s="433" t="s">
        <v>226</v>
      </c>
      <c r="Q84" s="433" t="s">
        <v>227</v>
      </c>
    </row>
    <row r="85" spans="2:17">
      <c r="B85" s="39"/>
      <c r="C85" s="436">
        <v>1</v>
      </c>
      <c r="D85" s="433" t="s">
        <v>419</v>
      </c>
      <c r="E85" s="433" t="s">
        <v>228</v>
      </c>
      <c r="F85" s="433" t="s">
        <v>227</v>
      </c>
      <c r="M85" s="39"/>
      <c r="N85" s="436">
        <v>1</v>
      </c>
      <c r="O85" s="433" t="s">
        <v>419</v>
      </c>
      <c r="P85" s="433" t="s">
        <v>228</v>
      </c>
      <c r="Q85" s="433" t="s">
        <v>227</v>
      </c>
    </row>
    <row r="86" spans="2:17">
      <c r="B86" s="39"/>
      <c r="C86" s="436">
        <v>20</v>
      </c>
      <c r="D86" s="433" t="s">
        <v>541</v>
      </c>
      <c r="E86" s="433" t="s">
        <v>230</v>
      </c>
      <c r="F86" s="433" t="s">
        <v>227</v>
      </c>
      <c r="M86" s="39"/>
      <c r="N86" s="436">
        <v>20</v>
      </c>
      <c r="O86" s="433" t="s">
        <v>541</v>
      </c>
      <c r="P86" s="433" t="s">
        <v>230</v>
      </c>
      <c r="Q86" s="433" t="s">
        <v>227</v>
      </c>
    </row>
    <row r="87" spans="2:17">
      <c r="B87" s="39"/>
      <c r="M87" s="39"/>
    </row>
    <row r="88" spans="2:17">
      <c r="B88" s="39">
        <v>46132</v>
      </c>
      <c r="C88" s="436">
        <v>5</v>
      </c>
      <c r="D88" s="433" t="s">
        <v>496</v>
      </c>
      <c r="E88" s="433" t="s">
        <v>226</v>
      </c>
      <c r="F88" s="433" t="s">
        <v>227</v>
      </c>
      <c r="M88" s="39">
        <v>46132</v>
      </c>
      <c r="N88" s="436">
        <v>5</v>
      </c>
      <c r="O88" s="433" t="s">
        <v>496</v>
      </c>
      <c r="P88" s="433" t="s">
        <v>226</v>
      </c>
      <c r="Q88" s="433" t="s">
        <v>227</v>
      </c>
    </row>
    <row r="89" spans="2:17">
      <c r="B89" s="39"/>
      <c r="C89" s="436">
        <v>1</v>
      </c>
      <c r="D89" s="433" t="s">
        <v>419</v>
      </c>
      <c r="E89" s="433" t="s">
        <v>228</v>
      </c>
      <c r="F89" s="433" t="s">
        <v>227</v>
      </c>
      <c r="M89" s="39"/>
      <c r="N89" s="436">
        <v>1</v>
      </c>
      <c r="O89" s="433" t="s">
        <v>419</v>
      </c>
      <c r="P89" s="433" t="s">
        <v>228</v>
      </c>
      <c r="Q89" s="433" t="s">
        <v>227</v>
      </c>
    </row>
    <row r="90" spans="2:17">
      <c r="B90" s="39"/>
      <c r="C90" s="436">
        <v>19</v>
      </c>
      <c r="D90" s="433" t="s">
        <v>675</v>
      </c>
      <c r="E90" s="433" t="s">
        <v>230</v>
      </c>
      <c r="F90" s="433" t="s">
        <v>227</v>
      </c>
      <c r="M90" s="39"/>
      <c r="N90" s="436">
        <v>19</v>
      </c>
      <c r="O90" s="433" t="s">
        <v>675</v>
      </c>
      <c r="P90" s="433" t="s">
        <v>230</v>
      </c>
      <c r="Q90" s="433" t="s">
        <v>227</v>
      </c>
    </row>
    <row r="91" spans="2:17">
      <c r="B91" s="39"/>
      <c r="M91" s="39"/>
    </row>
    <row r="92" spans="2:17">
      <c r="B92" s="39">
        <v>46133</v>
      </c>
      <c r="C92" s="436">
        <v>0</v>
      </c>
      <c r="D92" s="433" t="s">
        <v>385</v>
      </c>
      <c r="E92" s="433" t="s">
        <v>226</v>
      </c>
      <c r="F92" s="433" t="s">
        <v>227</v>
      </c>
      <c r="M92" s="39">
        <v>46133</v>
      </c>
      <c r="N92" s="436">
        <v>0</v>
      </c>
      <c r="O92" s="433" t="s">
        <v>385</v>
      </c>
      <c r="P92" s="433" t="s">
        <v>226</v>
      </c>
      <c r="Q92" s="433" t="s">
        <v>227</v>
      </c>
    </row>
    <row r="93" spans="2:17">
      <c r="B93" s="39"/>
      <c r="C93" s="436">
        <v>2</v>
      </c>
      <c r="D93" s="433" t="s">
        <v>419</v>
      </c>
      <c r="E93" s="433" t="s">
        <v>228</v>
      </c>
      <c r="F93" s="433" t="s">
        <v>227</v>
      </c>
      <c r="M93" s="39"/>
      <c r="N93" s="436">
        <v>2</v>
      </c>
      <c r="O93" s="433" t="s">
        <v>419</v>
      </c>
      <c r="P93" s="433" t="s">
        <v>228</v>
      </c>
      <c r="Q93" s="433" t="s">
        <v>227</v>
      </c>
    </row>
    <row r="94" spans="2:17">
      <c r="B94" s="39"/>
      <c r="C94" s="436">
        <v>18</v>
      </c>
      <c r="D94" s="433" t="s">
        <v>446</v>
      </c>
      <c r="E94" s="433" t="s">
        <v>230</v>
      </c>
      <c r="F94" s="433" t="s">
        <v>227</v>
      </c>
      <c r="M94" s="39"/>
      <c r="N94" s="436">
        <v>18</v>
      </c>
      <c r="O94" s="433" t="s">
        <v>446</v>
      </c>
      <c r="P94" s="433" t="s">
        <v>230</v>
      </c>
      <c r="Q94" s="433" t="s">
        <v>227</v>
      </c>
    </row>
    <row r="95" spans="2:17">
      <c r="B95" s="39"/>
      <c r="M95" s="39"/>
    </row>
    <row r="96" spans="2:17">
      <c r="B96" s="39">
        <v>46134</v>
      </c>
      <c r="C96" s="436">
        <v>0</v>
      </c>
      <c r="D96" s="433" t="s">
        <v>385</v>
      </c>
      <c r="E96" s="433" t="s">
        <v>226</v>
      </c>
      <c r="F96" s="433" t="s">
        <v>227</v>
      </c>
      <c r="M96" s="39">
        <v>46134</v>
      </c>
      <c r="N96" s="436">
        <v>0</v>
      </c>
      <c r="O96" s="433" t="s">
        <v>385</v>
      </c>
      <c r="P96" s="433" t="s">
        <v>226</v>
      </c>
      <c r="Q96" s="433" t="s">
        <v>227</v>
      </c>
    </row>
    <row r="97" spans="2:17">
      <c r="B97" s="39"/>
      <c r="C97" s="436">
        <v>1</v>
      </c>
      <c r="D97" s="433" t="s">
        <v>419</v>
      </c>
      <c r="E97" s="433" t="s">
        <v>228</v>
      </c>
      <c r="F97" s="433" t="s">
        <v>227</v>
      </c>
      <c r="M97" s="39"/>
      <c r="N97" s="436">
        <v>1</v>
      </c>
      <c r="O97" s="433" t="s">
        <v>419</v>
      </c>
      <c r="P97" s="433" t="s">
        <v>228</v>
      </c>
      <c r="Q97" s="433" t="s">
        <v>227</v>
      </c>
    </row>
    <row r="98" spans="2:17">
      <c r="B98" s="39"/>
      <c r="C98" s="436">
        <v>26</v>
      </c>
      <c r="D98" s="433" t="s">
        <v>446</v>
      </c>
      <c r="E98" s="433" t="s">
        <v>230</v>
      </c>
      <c r="F98" s="433" t="s">
        <v>227</v>
      </c>
      <c r="M98" s="39"/>
      <c r="N98" s="436">
        <v>26</v>
      </c>
      <c r="O98" s="433" t="s">
        <v>446</v>
      </c>
      <c r="P98" s="433" t="s">
        <v>230</v>
      </c>
      <c r="Q98" s="433" t="s">
        <v>227</v>
      </c>
    </row>
    <row r="99" spans="2:17">
      <c r="B99" s="39"/>
      <c r="C99" s="436">
        <v>8</v>
      </c>
      <c r="D99" s="433" t="s">
        <v>679</v>
      </c>
      <c r="E99" s="433" t="s">
        <v>683</v>
      </c>
      <c r="F99" s="433" t="s">
        <v>232</v>
      </c>
      <c r="M99" s="39"/>
      <c r="N99" s="436">
        <v>8</v>
      </c>
      <c r="O99" s="433" t="s">
        <v>679</v>
      </c>
      <c r="P99" s="433" t="s">
        <v>683</v>
      </c>
      <c r="Q99" s="433" t="s">
        <v>232</v>
      </c>
    </row>
    <row r="100" spans="2:17">
      <c r="B100" s="39"/>
      <c r="M100" s="39"/>
    </row>
    <row r="101" spans="2:17">
      <c r="B101" s="39">
        <v>46135</v>
      </c>
      <c r="C101" s="436">
        <v>0</v>
      </c>
      <c r="D101" s="433" t="s">
        <v>385</v>
      </c>
      <c r="E101" s="433" t="s">
        <v>226</v>
      </c>
      <c r="F101" s="433" t="s">
        <v>227</v>
      </c>
      <c r="M101" s="39">
        <v>46135</v>
      </c>
      <c r="N101" s="436">
        <v>0</v>
      </c>
      <c r="O101" s="433" t="s">
        <v>385</v>
      </c>
      <c r="P101" s="433" t="s">
        <v>226</v>
      </c>
      <c r="Q101" s="433" t="s">
        <v>227</v>
      </c>
    </row>
    <row r="102" spans="2:17">
      <c r="B102" s="39"/>
      <c r="C102" s="436">
        <v>0</v>
      </c>
      <c r="D102" s="433" t="s">
        <v>399</v>
      </c>
      <c r="E102" s="433" t="s">
        <v>228</v>
      </c>
      <c r="F102" s="433" t="s">
        <v>227</v>
      </c>
      <c r="M102" s="39"/>
      <c r="N102" s="436">
        <v>0</v>
      </c>
      <c r="O102" s="433" t="s">
        <v>399</v>
      </c>
      <c r="P102" s="433" t="s">
        <v>228</v>
      </c>
      <c r="Q102" s="433" t="s">
        <v>227</v>
      </c>
    </row>
    <row r="103" spans="2:17">
      <c r="B103" s="39"/>
      <c r="C103" s="436">
        <v>20</v>
      </c>
      <c r="D103" s="433" t="s">
        <v>541</v>
      </c>
      <c r="E103" s="433" t="s">
        <v>230</v>
      </c>
      <c r="F103" s="433" t="s">
        <v>227</v>
      </c>
      <c r="M103" s="39"/>
      <c r="N103" s="436">
        <v>20</v>
      </c>
      <c r="O103" s="433" t="s">
        <v>541</v>
      </c>
      <c r="P103" s="433" t="s">
        <v>230</v>
      </c>
      <c r="Q103" s="433" t="s">
        <v>227</v>
      </c>
    </row>
    <row r="104" spans="2:17">
      <c r="B104" s="39"/>
      <c r="M104" s="39"/>
    </row>
    <row r="105" spans="2:17">
      <c r="B105" s="39">
        <v>46136</v>
      </c>
      <c r="C105" s="436">
        <v>0</v>
      </c>
      <c r="D105" s="433" t="s">
        <v>385</v>
      </c>
      <c r="E105" s="433" t="s">
        <v>226</v>
      </c>
      <c r="F105" s="433" t="s">
        <v>227</v>
      </c>
      <c r="M105" s="39">
        <v>46136</v>
      </c>
      <c r="N105" s="436">
        <v>0</v>
      </c>
      <c r="O105" s="433" t="s">
        <v>385</v>
      </c>
      <c r="P105" s="433" t="s">
        <v>226</v>
      </c>
      <c r="Q105" s="433" t="s">
        <v>227</v>
      </c>
    </row>
    <row r="106" spans="2:17">
      <c r="B106" s="39"/>
      <c r="C106" s="436">
        <v>2</v>
      </c>
      <c r="D106" s="433" t="s">
        <v>419</v>
      </c>
      <c r="E106" s="433" t="s">
        <v>228</v>
      </c>
      <c r="F106" s="433" t="s">
        <v>227</v>
      </c>
      <c r="M106" s="39"/>
      <c r="N106" s="436">
        <v>2</v>
      </c>
      <c r="O106" s="433" t="s">
        <v>419</v>
      </c>
      <c r="P106" s="433" t="s">
        <v>228</v>
      </c>
      <c r="Q106" s="433" t="s">
        <v>227</v>
      </c>
    </row>
    <row r="107" spans="2:17">
      <c r="B107" s="39"/>
      <c r="C107" s="436">
        <v>22</v>
      </c>
      <c r="D107" s="433" t="s">
        <v>675</v>
      </c>
      <c r="E107" s="433" t="s">
        <v>230</v>
      </c>
      <c r="F107" s="433" t="s">
        <v>227</v>
      </c>
      <c r="M107" s="39"/>
      <c r="N107" s="436">
        <v>22</v>
      </c>
      <c r="O107" s="433" t="s">
        <v>675</v>
      </c>
      <c r="P107" s="433" t="s">
        <v>230</v>
      </c>
      <c r="Q107" s="433" t="s">
        <v>227</v>
      </c>
    </row>
    <row r="108" spans="2:17">
      <c r="B108" s="39"/>
      <c r="M108" s="39"/>
    </row>
    <row r="109" spans="2:17">
      <c r="B109" s="39">
        <v>46137</v>
      </c>
      <c r="C109" s="436">
        <v>0</v>
      </c>
      <c r="D109" s="433" t="s">
        <v>385</v>
      </c>
      <c r="E109" s="433" t="s">
        <v>226</v>
      </c>
      <c r="F109" s="433" t="s">
        <v>227</v>
      </c>
      <c r="M109" s="39">
        <v>46137</v>
      </c>
      <c r="N109" s="436">
        <v>0</v>
      </c>
      <c r="O109" s="433" t="s">
        <v>385</v>
      </c>
      <c r="P109" s="433" t="s">
        <v>226</v>
      </c>
      <c r="Q109" s="433" t="s">
        <v>227</v>
      </c>
    </row>
    <row r="110" spans="2:17">
      <c r="B110" s="39"/>
      <c r="C110" s="436">
        <v>3</v>
      </c>
      <c r="D110" s="433" t="s">
        <v>420</v>
      </c>
      <c r="E110" s="433" t="s">
        <v>228</v>
      </c>
      <c r="F110" s="433" t="s">
        <v>227</v>
      </c>
      <c r="M110" s="39"/>
      <c r="N110" s="436">
        <v>3</v>
      </c>
      <c r="O110" s="433" t="s">
        <v>420</v>
      </c>
      <c r="P110" s="433" t="s">
        <v>228</v>
      </c>
      <c r="Q110" s="433" t="s">
        <v>227</v>
      </c>
    </row>
    <row r="111" spans="2:17">
      <c r="B111" s="39"/>
      <c r="C111" s="436">
        <v>21</v>
      </c>
      <c r="D111" s="433" t="s">
        <v>675</v>
      </c>
      <c r="E111" s="433" t="s">
        <v>230</v>
      </c>
      <c r="F111" s="433" t="s">
        <v>227</v>
      </c>
      <c r="M111" s="39"/>
      <c r="N111" s="436">
        <v>21</v>
      </c>
      <c r="O111" s="433" t="s">
        <v>675</v>
      </c>
      <c r="P111" s="433" t="s">
        <v>230</v>
      </c>
      <c r="Q111" s="433" t="s">
        <v>227</v>
      </c>
    </row>
    <row r="112" spans="2:17">
      <c r="B112" s="39"/>
      <c r="M112" s="39"/>
    </row>
    <row r="113" spans="2:17">
      <c r="B113" s="39">
        <v>46138</v>
      </c>
      <c r="C113" s="436">
        <v>0</v>
      </c>
      <c r="D113" s="433" t="s">
        <v>385</v>
      </c>
      <c r="E113" s="433" t="s">
        <v>226</v>
      </c>
      <c r="F113" s="433" t="s">
        <v>227</v>
      </c>
      <c r="M113" s="39">
        <v>46138</v>
      </c>
      <c r="N113" s="436">
        <v>0</v>
      </c>
      <c r="O113" s="433" t="s">
        <v>385</v>
      </c>
      <c r="P113" s="433" t="s">
        <v>226</v>
      </c>
      <c r="Q113" s="433" t="s">
        <v>227</v>
      </c>
    </row>
    <row r="114" spans="2:17">
      <c r="B114" s="39"/>
      <c r="C114" s="436">
        <v>1</v>
      </c>
      <c r="D114" s="433" t="s">
        <v>419</v>
      </c>
      <c r="E114" s="433" t="s">
        <v>228</v>
      </c>
      <c r="F114" s="433" t="s">
        <v>227</v>
      </c>
      <c r="M114" s="39"/>
      <c r="N114" s="436">
        <v>1</v>
      </c>
      <c r="O114" s="433" t="s">
        <v>419</v>
      </c>
      <c r="P114" s="433" t="s">
        <v>228</v>
      </c>
      <c r="Q114" s="433" t="s">
        <v>227</v>
      </c>
    </row>
    <row r="115" spans="2:17">
      <c r="B115" s="39"/>
      <c r="C115" s="436">
        <v>26</v>
      </c>
      <c r="D115" s="433" t="s">
        <v>675</v>
      </c>
      <c r="E115" s="433" t="s">
        <v>230</v>
      </c>
      <c r="F115" s="433" t="s">
        <v>227</v>
      </c>
      <c r="M115" s="39"/>
      <c r="N115" s="436">
        <v>26</v>
      </c>
      <c r="O115" s="433" t="s">
        <v>675</v>
      </c>
      <c r="P115" s="433" t="s">
        <v>230</v>
      </c>
      <c r="Q115" s="433" t="s">
        <v>227</v>
      </c>
    </row>
    <row r="116" spans="2:17">
      <c r="B116" s="39"/>
      <c r="M116" s="39"/>
    </row>
    <row r="117" spans="2:17">
      <c r="B117" s="39">
        <v>46139</v>
      </c>
      <c r="C117" s="436">
        <v>0</v>
      </c>
      <c r="D117" s="433" t="s">
        <v>385</v>
      </c>
      <c r="E117" s="433" t="s">
        <v>226</v>
      </c>
      <c r="F117" s="433" t="s">
        <v>227</v>
      </c>
      <c r="M117" s="39">
        <v>46139</v>
      </c>
      <c r="N117" s="436">
        <v>0</v>
      </c>
      <c r="O117" s="433" t="s">
        <v>385</v>
      </c>
      <c r="P117" s="433" t="s">
        <v>226</v>
      </c>
      <c r="Q117" s="433" t="s">
        <v>227</v>
      </c>
    </row>
    <row r="118" spans="2:17">
      <c r="B118" s="39"/>
      <c r="C118" s="436">
        <v>2</v>
      </c>
      <c r="D118" s="433" t="s">
        <v>420</v>
      </c>
      <c r="E118" s="433" t="s">
        <v>228</v>
      </c>
      <c r="F118" s="433" t="s">
        <v>227</v>
      </c>
      <c r="M118" s="39"/>
      <c r="N118" s="436">
        <v>2</v>
      </c>
      <c r="O118" s="433" t="s">
        <v>420</v>
      </c>
      <c r="P118" s="433" t="s">
        <v>228</v>
      </c>
      <c r="Q118" s="433" t="s">
        <v>227</v>
      </c>
    </row>
    <row r="119" spans="2:17">
      <c r="B119" s="39"/>
      <c r="C119" s="436">
        <v>25</v>
      </c>
      <c r="D119" s="433" t="s">
        <v>541</v>
      </c>
      <c r="E119" s="433" t="s">
        <v>230</v>
      </c>
      <c r="F119" s="433" t="s">
        <v>227</v>
      </c>
      <c r="M119" s="39"/>
      <c r="N119" s="436">
        <v>25</v>
      </c>
      <c r="O119" s="433" t="s">
        <v>541</v>
      </c>
      <c r="P119" s="433" t="s">
        <v>230</v>
      </c>
      <c r="Q119" s="433" t="s">
        <v>227</v>
      </c>
    </row>
    <row r="120" spans="2:17">
      <c r="B120" s="39"/>
      <c r="C120" s="436">
        <v>200</v>
      </c>
      <c r="D120" s="433" t="s">
        <v>716</v>
      </c>
      <c r="E120" s="437" t="s">
        <v>423</v>
      </c>
      <c r="F120" s="433" t="s">
        <v>255</v>
      </c>
      <c r="M120" s="39"/>
      <c r="N120" s="436">
        <v>200</v>
      </c>
      <c r="O120" s="433" t="s">
        <v>716</v>
      </c>
      <c r="P120" s="437" t="s">
        <v>423</v>
      </c>
      <c r="Q120" s="433" t="s">
        <v>255</v>
      </c>
    </row>
    <row r="121" spans="2:17">
      <c r="B121" s="39"/>
      <c r="M121" s="39"/>
    </row>
    <row r="122" spans="2:17">
      <c r="B122" s="39">
        <v>46140</v>
      </c>
      <c r="C122" s="436">
        <v>0</v>
      </c>
      <c r="D122" s="433" t="s">
        <v>385</v>
      </c>
      <c r="E122" s="433" t="s">
        <v>226</v>
      </c>
      <c r="F122" s="433" t="s">
        <v>227</v>
      </c>
      <c r="M122" s="39">
        <v>46140</v>
      </c>
      <c r="N122" s="436">
        <v>0</v>
      </c>
      <c r="O122" s="433" t="s">
        <v>385</v>
      </c>
      <c r="P122" s="433" t="s">
        <v>226</v>
      </c>
      <c r="Q122" s="433" t="s">
        <v>227</v>
      </c>
    </row>
    <row r="123" spans="2:17">
      <c r="B123" s="39"/>
      <c r="C123" s="436">
        <v>2</v>
      </c>
      <c r="D123" s="433" t="s">
        <v>419</v>
      </c>
      <c r="E123" s="433" t="s">
        <v>228</v>
      </c>
      <c r="F123" s="433" t="s">
        <v>227</v>
      </c>
      <c r="M123" s="39"/>
      <c r="N123" s="436">
        <v>2</v>
      </c>
      <c r="O123" s="433" t="s">
        <v>419</v>
      </c>
      <c r="P123" s="433" t="s">
        <v>228</v>
      </c>
      <c r="Q123" s="433" t="s">
        <v>227</v>
      </c>
    </row>
    <row r="124" spans="2:17">
      <c r="B124" s="39"/>
      <c r="C124" s="436">
        <v>18</v>
      </c>
      <c r="D124" s="433" t="s">
        <v>590</v>
      </c>
      <c r="E124" s="433" t="s">
        <v>230</v>
      </c>
      <c r="F124" s="433" t="s">
        <v>227</v>
      </c>
      <c r="M124" s="39"/>
      <c r="N124" s="436">
        <v>18</v>
      </c>
      <c r="O124" s="433" t="s">
        <v>590</v>
      </c>
      <c r="P124" s="433" t="s">
        <v>230</v>
      </c>
      <c r="Q124" s="433" t="s">
        <v>227</v>
      </c>
    </row>
    <row r="125" spans="2:17">
      <c r="B125" s="39"/>
      <c r="C125" s="436">
        <v>540</v>
      </c>
      <c r="D125" s="433" t="s">
        <v>730</v>
      </c>
      <c r="E125" s="433" t="s">
        <v>736</v>
      </c>
      <c r="F125" s="433" t="s">
        <v>234</v>
      </c>
      <c r="M125" s="39"/>
      <c r="N125" s="436">
        <v>540</v>
      </c>
      <c r="O125" s="433" t="s">
        <v>730</v>
      </c>
      <c r="P125" s="433" t="s">
        <v>736</v>
      </c>
      <c r="Q125" s="433" t="s">
        <v>234</v>
      </c>
    </row>
    <row r="126" spans="2:17">
      <c r="B126" s="39"/>
      <c r="C126" s="436">
        <v>133</v>
      </c>
      <c r="D126" s="433" t="s">
        <v>724</v>
      </c>
      <c r="E126" s="433" t="s">
        <v>737</v>
      </c>
      <c r="F126" s="433" t="s">
        <v>284</v>
      </c>
      <c r="M126" s="39"/>
      <c r="N126" s="436">
        <v>0</v>
      </c>
      <c r="O126" s="433" t="s">
        <v>724</v>
      </c>
      <c r="P126" s="433" t="s">
        <v>737</v>
      </c>
      <c r="Q126" s="433" t="s">
        <v>284</v>
      </c>
    </row>
    <row r="127" spans="2:17">
      <c r="B127" s="39"/>
      <c r="M127" s="39"/>
    </row>
    <row r="128" spans="2:17">
      <c r="B128" s="39">
        <v>46141</v>
      </c>
      <c r="C128" s="436">
        <v>0</v>
      </c>
      <c r="D128" s="433" t="s">
        <v>385</v>
      </c>
      <c r="E128" s="433" t="s">
        <v>226</v>
      </c>
      <c r="F128" s="433" t="s">
        <v>227</v>
      </c>
      <c r="M128" s="39">
        <v>46141</v>
      </c>
      <c r="N128" s="436">
        <v>0</v>
      </c>
      <c r="O128" s="433" t="s">
        <v>385</v>
      </c>
      <c r="P128" s="433" t="s">
        <v>226</v>
      </c>
      <c r="Q128" s="433" t="s">
        <v>227</v>
      </c>
    </row>
    <row r="129" spans="2:17">
      <c r="B129" s="39"/>
      <c r="C129" s="436">
        <v>3</v>
      </c>
      <c r="D129" s="433" t="s">
        <v>589</v>
      </c>
      <c r="E129" s="433" t="s">
        <v>228</v>
      </c>
      <c r="F129" s="433" t="s">
        <v>227</v>
      </c>
      <c r="M129" s="39"/>
      <c r="N129" s="436">
        <v>3</v>
      </c>
      <c r="O129" s="433" t="s">
        <v>589</v>
      </c>
      <c r="P129" s="433" t="s">
        <v>228</v>
      </c>
      <c r="Q129" s="433" t="s">
        <v>227</v>
      </c>
    </row>
    <row r="130" spans="2:17">
      <c r="B130" s="39"/>
      <c r="C130" s="436">
        <v>19</v>
      </c>
      <c r="D130" s="433" t="s">
        <v>756</v>
      </c>
      <c r="E130" s="433" t="s">
        <v>230</v>
      </c>
      <c r="F130" s="433" t="s">
        <v>227</v>
      </c>
      <c r="M130" s="39"/>
      <c r="N130" s="436">
        <v>19</v>
      </c>
      <c r="O130" s="433" t="s">
        <v>756</v>
      </c>
      <c r="P130" s="433" t="s">
        <v>230</v>
      </c>
      <c r="Q130" s="433" t="s">
        <v>227</v>
      </c>
    </row>
    <row r="131" spans="2:17">
      <c r="B131" s="39"/>
      <c r="C131" s="436">
        <v>220</v>
      </c>
      <c r="D131" s="433" t="s">
        <v>757</v>
      </c>
      <c r="E131" s="433" t="s">
        <v>737</v>
      </c>
      <c r="F131" s="433" t="s">
        <v>284</v>
      </c>
      <c r="M131" s="39"/>
      <c r="N131" s="436">
        <v>0</v>
      </c>
      <c r="O131" s="433" t="s">
        <v>757</v>
      </c>
      <c r="P131" s="433" t="s">
        <v>737</v>
      </c>
      <c r="Q131" s="433" t="s">
        <v>284</v>
      </c>
    </row>
    <row r="132" spans="2:17">
      <c r="B132" s="39"/>
      <c r="M132" s="39"/>
    </row>
    <row r="133" spans="2:17">
      <c r="B133" s="39">
        <v>46142</v>
      </c>
      <c r="C133" s="436">
        <v>0</v>
      </c>
      <c r="D133" s="433" t="s">
        <v>385</v>
      </c>
      <c r="E133" s="433" t="s">
        <v>226</v>
      </c>
      <c r="F133" s="433" t="s">
        <v>227</v>
      </c>
      <c r="M133" s="39">
        <v>46142</v>
      </c>
      <c r="N133" s="436">
        <v>0</v>
      </c>
      <c r="O133" s="433" t="s">
        <v>385</v>
      </c>
      <c r="P133" s="433" t="s">
        <v>226</v>
      </c>
      <c r="Q133" s="433" t="s">
        <v>227</v>
      </c>
    </row>
    <row r="134" spans="2:17">
      <c r="B134" s="39"/>
      <c r="C134" s="436">
        <v>0</v>
      </c>
      <c r="D134" s="433" t="s">
        <v>399</v>
      </c>
      <c r="E134" s="433" t="s">
        <v>228</v>
      </c>
      <c r="F134" s="433" t="s">
        <v>227</v>
      </c>
      <c r="M134" s="39"/>
      <c r="N134" s="436">
        <v>0</v>
      </c>
      <c r="O134" s="433" t="s">
        <v>399</v>
      </c>
      <c r="P134" s="433" t="s">
        <v>228</v>
      </c>
      <c r="Q134" s="433" t="s">
        <v>227</v>
      </c>
    </row>
    <row r="135" spans="2:17">
      <c r="B135" s="39"/>
      <c r="C135" s="436">
        <v>17</v>
      </c>
      <c r="D135" s="433" t="s">
        <v>675</v>
      </c>
      <c r="E135" s="433" t="s">
        <v>230</v>
      </c>
      <c r="F135" s="433" t="s">
        <v>227</v>
      </c>
      <c r="M135" s="39"/>
      <c r="N135" s="436">
        <v>17</v>
      </c>
      <c r="O135" s="433" t="s">
        <v>675</v>
      </c>
      <c r="P135" s="433" t="s">
        <v>230</v>
      </c>
      <c r="Q135" s="433" t="s">
        <v>227</v>
      </c>
    </row>
    <row r="136" spans="2:17">
      <c r="B136" s="39"/>
      <c r="C136" s="436">
        <v>130</v>
      </c>
      <c r="D136" s="433" t="s">
        <v>771</v>
      </c>
      <c r="E136" s="433" t="s">
        <v>737</v>
      </c>
      <c r="F136" s="433" t="s">
        <v>284</v>
      </c>
      <c r="M136" s="39"/>
      <c r="N136" s="436">
        <v>0</v>
      </c>
      <c r="O136" s="433" t="s">
        <v>771</v>
      </c>
      <c r="P136" s="433" t="s">
        <v>737</v>
      </c>
      <c r="Q136" s="433" t="s">
        <v>284</v>
      </c>
    </row>
  </sheetData>
  <autoFilter ref="B1:F45"/>
  <conditionalFormatting sqref="G1:G19 G26:G1048576">
    <cfRule type="cellIs" dxfId="8" priority="3" operator="greaterThan">
      <formula>0</formula>
    </cfRule>
  </conditionalFormatting>
  <conditionalFormatting sqref="R1:R1048576">
    <cfRule type="cellIs" dxfId="7" priority="2" operator="greaterThan">
      <formula>0</formula>
    </cfRule>
  </conditionalFormatting>
  <conditionalFormatting sqref="G20:G25">
    <cfRule type="cellIs" dxfId="6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H1" workbookViewId="0">
      <selection activeCell="K19" sqref="K19:K23"/>
    </sheetView>
  </sheetViews>
  <sheetFormatPr defaultRowHeight="12.75"/>
  <cols>
    <col min="1" max="1" width="15.28515625" bestFit="1" customWidth="1"/>
    <col min="2" max="2" width="23.28515625" bestFit="1" customWidth="1"/>
    <col min="3" max="3" width="38.140625" style="537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37" customWidth="1"/>
    <col min="13" max="17" width="13.5703125" customWidth="1"/>
  </cols>
  <sheetData>
    <row r="1" spans="1:17" ht="15">
      <c r="A1" s="426" t="s">
        <v>242</v>
      </c>
      <c r="E1" s="538"/>
      <c r="F1" s="1"/>
      <c r="J1" s="426" t="s">
        <v>348</v>
      </c>
      <c r="N1" s="538"/>
      <c r="O1" s="1"/>
    </row>
    <row r="2" spans="1:17" ht="30">
      <c r="A2" s="795" t="s">
        <v>243</v>
      </c>
      <c r="B2" s="795" t="s">
        <v>244</v>
      </c>
      <c r="C2" s="796" t="s">
        <v>245</v>
      </c>
      <c r="D2" s="539" t="s">
        <v>246</v>
      </c>
      <c r="E2" s="540" t="s">
        <v>247</v>
      </c>
      <c r="F2" s="447" t="s">
        <v>248</v>
      </c>
      <c r="G2" s="540" t="s">
        <v>249</v>
      </c>
      <c r="H2" s="540" t="s">
        <v>250</v>
      </c>
      <c r="J2" s="795" t="s">
        <v>243</v>
      </c>
      <c r="K2" s="795" t="s">
        <v>244</v>
      </c>
      <c r="L2" s="794" t="s">
        <v>245</v>
      </c>
      <c r="M2" s="539" t="s">
        <v>246</v>
      </c>
      <c r="N2" s="540" t="s">
        <v>247</v>
      </c>
      <c r="O2" s="447" t="s">
        <v>248</v>
      </c>
      <c r="P2" s="540" t="s">
        <v>249</v>
      </c>
      <c r="Q2" s="540" t="s">
        <v>250</v>
      </c>
    </row>
    <row r="3" spans="1:17" ht="15">
      <c r="A3" s="795"/>
      <c r="B3" s="795"/>
      <c r="C3" s="797"/>
      <c r="D3" s="539" t="s">
        <v>404</v>
      </c>
      <c r="E3" s="539" t="str">
        <f>+D3</f>
        <v>APRIL</v>
      </c>
      <c r="F3" s="539" t="str">
        <f>+E3</f>
        <v>APRIL</v>
      </c>
      <c r="G3" s="539" t="str">
        <f>+F3</f>
        <v>APRIL</v>
      </c>
      <c r="H3" s="539" t="str">
        <f>+G3</f>
        <v>APRIL</v>
      </c>
      <c r="J3" s="795"/>
      <c r="K3" s="795"/>
      <c r="L3" s="794"/>
      <c r="M3" s="539" t="str">
        <f>+H3</f>
        <v>APRIL</v>
      </c>
      <c r="N3" s="539" t="str">
        <f>+M3</f>
        <v>APRIL</v>
      </c>
      <c r="O3" s="539" t="str">
        <f>+N3</f>
        <v>APRIL</v>
      </c>
      <c r="P3" s="539" t="str">
        <f>+O3</f>
        <v>APRIL</v>
      </c>
      <c r="Q3" s="539" t="str">
        <f>+P3</f>
        <v>APRIL</v>
      </c>
    </row>
    <row r="4" spans="1:17" ht="15">
      <c r="A4" s="798" t="s">
        <v>251</v>
      </c>
      <c r="B4" s="541" t="s">
        <v>275</v>
      </c>
      <c r="C4" s="437"/>
      <c r="D4" s="5">
        <f>SUMIFS(Sheet1!$C$2:$C$180,Sheet1!$F$2:$F$180,B4,Sheet1!$E$2:$E$180,C4)</f>
        <v>0</v>
      </c>
      <c r="E4" s="5">
        <f>D4/Sheet1!$I$9*Sheet1!$I$10</f>
        <v>0</v>
      </c>
      <c r="F4" s="543">
        <f>D4/Sheet1!$I$9*Sheet1!$I$11</f>
        <v>0</v>
      </c>
      <c r="G4" s="544">
        <f>F4</f>
        <v>0</v>
      </c>
      <c r="H4" s="799">
        <f>SUM(G4:G11)</f>
        <v>2.5249394046917506E-2</v>
      </c>
      <c r="J4" s="798" t="s">
        <v>251</v>
      </c>
      <c r="K4" s="541" t="s">
        <v>275</v>
      </c>
      <c r="L4" s="623"/>
      <c r="M4" s="5">
        <f>SUMIFS(Sheet1!$N$2:$N$180,Sheet1!$Q$2:$Q$180,K4,Sheet1!$P$2:$P$180,L4)</f>
        <v>0</v>
      </c>
      <c r="N4" s="5">
        <f>M4/Sheet1!$T$9*Sheet1!$T$10</f>
        <v>0</v>
      </c>
      <c r="O4" s="543">
        <f>M4/Sheet1!$T$9*Sheet1!$T$11</f>
        <v>0</v>
      </c>
      <c r="P4" s="544">
        <f>O4</f>
        <v>0</v>
      </c>
      <c r="Q4" s="799">
        <f>SUM(P4:P11)</f>
        <v>5.0994419219690494E-3</v>
      </c>
    </row>
    <row r="5" spans="1:17" ht="15">
      <c r="A5" s="798"/>
      <c r="B5" s="541" t="s">
        <v>252</v>
      </c>
      <c r="C5" s="542"/>
      <c r="D5" s="5">
        <f>SUMIFS(Sheet1!$C$2:$C$180,Sheet1!$F$2:$F$180,B5,Sheet1!$E$2:$E$180,C5)</f>
        <v>0</v>
      </c>
      <c r="E5" s="5">
        <f>D5/Sheet1!$I$9*Sheet1!$I$10</f>
        <v>0</v>
      </c>
      <c r="F5" s="543">
        <f>D5/Sheet1!$I$9*Sheet1!$I$11</f>
        <v>0</v>
      </c>
      <c r="G5" s="545">
        <f t="shared" ref="G5:G14" si="0">F5</f>
        <v>0</v>
      </c>
      <c r="H5" s="798"/>
      <c r="J5" s="798"/>
      <c r="K5" s="541" t="s">
        <v>252</v>
      </c>
      <c r="L5" s="542"/>
      <c r="M5" s="5">
        <f>SUMIFS(Sheet1!$N$2:$N$180,Sheet1!$Q$2:$Q$180,K5,Sheet1!$P$2:$P$180,L5)</f>
        <v>0</v>
      </c>
      <c r="N5" s="5">
        <f>M5/Sheet1!$T$9*Sheet1!$T$10</f>
        <v>0</v>
      </c>
      <c r="O5" s="543">
        <f>M5/Sheet1!$T$9*Sheet1!$T$11</f>
        <v>0</v>
      </c>
      <c r="P5" s="545">
        <f t="shared" ref="P5:P14" si="1">O5</f>
        <v>0</v>
      </c>
      <c r="Q5" s="798"/>
    </row>
    <row r="6" spans="1:17" ht="25.5">
      <c r="A6" s="798"/>
      <c r="B6" s="800" t="s">
        <v>285</v>
      </c>
      <c r="C6" s="542" t="s">
        <v>539</v>
      </c>
      <c r="D6" s="5">
        <f>SUMIFS(Sheet1!$C$2:$C$180,Sheet1!$F$2:$F$180,B6,Sheet1!$E$2:$E$180,C6)</f>
        <v>62</v>
      </c>
      <c r="E6" s="5">
        <f>D6/Sheet1!$I$9*Sheet1!$I$10</f>
        <v>2.2413727536759964</v>
      </c>
      <c r="F6" s="543">
        <f>D6/Sheet1!$I$9*Sheet1!$I$11</f>
        <v>1.4192769092555627E-3</v>
      </c>
      <c r="G6" s="545">
        <f t="shared" si="0"/>
        <v>1.4192769092555627E-3</v>
      </c>
      <c r="H6" s="798"/>
      <c r="J6" s="798"/>
      <c r="K6" s="800" t="s">
        <v>285</v>
      </c>
      <c r="L6" s="542" t="s">
        <v>539</v>
      </c>
      <c r="M6" s="5">
        <f>SUMIFS(Sheet1!$N$2:$N$180,Sheet1!$Q$2:$Q$180,K6,Sheet1!$P$2:$P$180,L6)</f>
        <v>62</v>
      </c>
      <c r="N6" s="5">
        <f>M6/Sheet1!$T$9*Sheet1!$T$10</f>
        <v>2.2658841818349069</v>
      </c>
      <c r="O6" s="543">
        <f>M6/Sheet1!$T$9*Sheet1!$T$11</f>
        <v>1.4637286998244496E-3</v>
      </c>
      <c r="P6" s="545">
        <f t="shared" si="1"/>
        <v>1.4637286998244496E-3</v>
      </c>
      <c r="Q6" s="798"/>
    </row>
    <row r="7" spans="1:17" ht="15">
      <c r="A7" s="798"/>
      <c r="B7" s="801"/>
      <c r="C7" s="542"/>
      <c r="D7" s="5">
        <f>SUMIFS(Sheet1!$C$2:$C$180,Sheet1!$F$2:$F$180,B6,Sheet1!$E$2:$E$180,C7)</f>
        <v>0</v>
      </c>
      <c r="E7" s="5">
        <f>D7/Sheet1!$I$9*Sheet1!$I$10</f>
        <v>0</v>
      </c>
      <c r="F7" s="543">
        <f>D7/Sheet1!$I$9*Sheet1!$I$11</f>
        <v>0</v>
      </c>
      <c r="G7" s="545">
        <f t="shared" si="0"/>
        <v>0</v>
      </c>
      <c r="H7" s="798"/>
      <c r="J7" s="798"/>
      <c r="K7" s="801"/>
      <c r="L7" s="542"/>
      <c r="M7" s="5">
        <f>SUMIFS(Sheet1!$N$2:$N$180,Sheet1!$Q$2:$Q$180,K6,Sheet1!$P$2:$P$180,L7)</f>
        <v>0</v>
      </c>
      <c r="N7" s="5">
        <f>M7/Sheet1!$T$9*Sheet1!$T$10</f>
        <v>0</v>
      </c>
      <c r="O7" s="543">
        <f>M7/Sheet1!$T$9*Sheet1!$T$11</f>
        <v>0</v>
      </c>
      <c r="P7" s="545">
        <f t="shared" si="1"/>
        <v>0</v>
      </c>
      <c r="Q7" s="798"/>
    </row>
    <row r="8" spans="1:17" ht="25.5">
      <c r="A8" s="798"/>
      <c r="B8" s="800" t="s">
        <v>284</v>
      </c>
      <c r="C8" s="542" t="s">
        <v>737</v>
      </c>
      <c r="D8" s="5">
        <f>SUMIFS(Sheet1!$C$2:$C$180,Sheet1!$F$2:$F$180,B8,Sheet1!$E$2:$E$180,C8)</f>
        <v>483</v>
      </c>
      <c r="E8" s="5">
        <f>D8/Sheet1!$I$9*Sheet1!$I$10</f>
        <v>17.461016774604939</v>
      </c>
      <c r="F8" s="543">
        <f>D8/Sheet1!$I$9*Sheet1!$I$11</f>
        <v>1.1056624954361882E-2</v>
      </c>
      <c r="G8" s="546">
        <f t="shared" si="0"/>
        <v>1.1056624954361882E-2</v>
      </c>
      <c r="H8" s="798"/>
      <c r="J8" s="798"/>
      <c r="K8" s="800" t="s">
        <v>284</v>
      </c>
      <c r="L8" s="542" t="s">
        <v>737</v>
      </c>
      <c r="M8" s="5">
        <f>SUMIFS(Sheet1!$N$2:$N$180,Sheet1!$Q$2:$Q$180,K8,Sheet1!$P$2:$P$180,L8)</f>
        <v>0</v>
      </c>
      <c r="N8" s="5">
        <f>M8/Sheet1!$T$9*Sheet1!$T$10</f>
        <v>0</v>
      </c>
      <c r="O8" s="543">
        <f>M8/Sheet1!$T$9*Sheet1!$T$11</f>
        <v>0</v>
      </c>
      <c r="P8" s="546">
        <f t="shared" si="1"/>
        <v>0</v>
      </c>
      <c r="Q8" s="798"/>
    </row>
    <row r="9" spans="1:17">
      <c r="A9" s="798"/>
      <c r="B9" s="801"/>
      <c r="C9" s="542"/>
      <c r="D9" s="5">
        <f>SUMIFS(Sheet1!$C$2:$C$180,Sheet1!$F$2:$F$180,B8,Sheet1!$E$2:$E$180,C9)</f>
        <v>0</v>
      </c>
      <c r="E9" s="5">
        <f>D9/Sheet1!$I$9*Sheet1!$I$10</f>
        <v>0</v>
      </c>
      <c r="F9" s="543">
        <f>D9/Sheet1!$I$9*Sheet1!$I$11</f>
        <v>0</v>
      </c>
      <c r="G9" s="546">
        <f t="shared" si="0"/>
        <v>0</v>
      </c>
      <c r="H9" s="798"/>
      <c r="J9" s="798"/>
      <c r="K9" s="801"/>
      <c r="L9" s="542"/>
      <c r="M9" s="5">
        <f>SUMIFS(Sheet1!$N$2:$N$180,Sheet1!$Q$2:$Q$180,K8,Sheet1!$P$2:$P$180,L9)</f>
        <v>0</v>
      </c>
      <c r="N9" s="5">
        <f>M9/Sheet1!$T$9*Sheet1!$T$10</f>
        <v>0</v>
      </c>
      <c r="O9" s="543">
        <f>M9/Sheet1!$T$9*Sheet1!$T$11</f>
        <v>0</v>
      </c>
      <c r="P9" s="546">
        <f t="shared" si="1"/>
        <v>0</v>
      </c>
      <c r="Q9" s="798"/>
    </row>
    <row r="10" spans="1:17" ht="15" customHeight="1">
      <c r="A10" s="798"/>
      <c r="B10" s="800" t="s">
        <v>350</v>
      </c>
      <c r="C10" s="542" t="s">
        <v>477</v>
      </c>
      <c r="D10" s="5">
        <f>SUMIFS(Sheet1!$C$2:$C$180,Sheet1!$F$2:$F$180,B10,Sheet1!$E$2:$E$180,C10)</f>
        <v>60</v>
      </c>
      <c r="E10" s="5">
        <f>D10/Sheet1!$I$9*Sheet1!$I$10</f>
        <v>2.1690704067832223</v>
      </c>
      <c r="F10" s="543">
        <f>D10/Sheet1!$I$9*Sheet1!$I$11</f>
        <v>1.3734937831505444E-3</v>
      </c>
      <c r="G10" s="546">
        <f t="shared" si="0"/>
        <v>1.3734937831505444E-3</v>
      </c>
      <c r="H10" s="798"/>
      <c r="J10" s="798"/>
      <c r="K10" s="800" t="s">
        <v>350</v>
      </c>
      <c r="L10" s="542" t="s">
        <v>477</v>
      </c>
      <c r="M10" s="5">
        <f>SUMIFS(Sheet1!$N$2:$N$180,Sheet1!$Q$2:$Q$180,K10,Sheet1!$P$2:$P$180,L10)</f>
        <v>60</v>
      </c>
      <c r="N10" s="5">
        <f>M10/Sheet1!$T$9*Sheet1!$T$10</f>
        <v>2.1927911437112</v>
      </c>
      <c r="O10" s="543">
        <f>M10/Sheet1!$T$9*Sheet1!$T$11</f>
        <v>1.4165116449914026E-3</v>
      </c>
      <c r="P10" s="546">
        <f t="shared" si="1"/>
        <v>1.4165116449914026E-3</v>
      </c>
      <c r="Q10" s="798"/>
    </row>
    <row r="11" spans="1:17" ht="15" customHeight="1">
      <c r="A11" s="798"/>
      <c r="B11" s="801"/>
      <c r="C11" s="542" t="s">
        <v>593</v>
      </c>
      <c r="D11" s="5">
        <f>SUMIFS(Sheet1!$C$2:$C$180,Sheet1!$F$2:$F$180,B10,Sheet1!$E$2:$E$180,C11)</f>
        <v>498</v>
      </c>
      <c r="E11" s="5">
        <f>D11/Sheet1!$I$9*Sheet1!$I$10</f>
        <v>18.003284376300748</v>
      </c>
      <c r="F11" s="543">
        <f>D11/Sheet1!$I$9*Sheet1!$I$11</f>
        <v>1.1399998400149519E-2</v>
      </c>
      <c r="G11" s="546">
        <f t="shared" si="0"/>
        <v>1.1399998400149519E-2</v>
      </c>
      <c r="H11" s="798"/>
      <c r="J11" s="798"/>
      <c r="K11" s="801"/>
      <c r="L11" s="542" t="s">
        <v>593</v>
      </c>
      <c r="M11" s="5">
        <f>SUMIFS(Sheet1!$N$2:$N$180,Sheet1!$Q$2:$Q$180,K10,Sheet1!$P$2:$P$180,L11)</f>
        <v>94</v>
      </c>
      <c r="N11" s="5">
        <f>M11/Sheet1!$T$9*Sheet1!$T$10</f>
        <v>3.435372791814213</v>
      </c>
      <c r="O11" s="543">
        <f>M11/Sheet1!$T$9*Sheet1!$T$11</f>
        <v>2.2192015771531973E-3</v>
      </c>
      <c r="P11" s="546">
        <f t="shared" si="1"/>
        <v>2.2192015771531973E-3</v>
      </c>
      <c r="Q11" s="798"/>
    </row>
    <row r="12" spans="1:17" ht="15">
      <c r="A12" s="798" t="s">
        <v>9</v>
      </c>
      <c r="B12" s="541" t="s">
        <v>142</v>
      </c>
      <c r="C12" s="542" t="s">
        <v>142</v>
      </c>
      <c r="D12" s="5"/>
      <c r="E12" s="5">
        <f>+Sheet1!I2</f>
        <v>28.846000000000004</v>
      </c>
      <c r="F12" s="543">
        <f>E12/Sheet1!$I$8</f>
        <v>1.8265797894277493E-2</v>
      </c>
      <c r="G12" s="545">
        <f t="shared" si="0"/>
        <v>1.8265797894277493E-2</v>
      </c>
      <c r="H12" s="802">
        <f>SUM(G12:G13)</f>
        <v>5.009440086927007E-2</v>
      </c>
      <c r="J12" s="798" t="s">
        <v>9</v>
      </c>
      <c r="K12" s="541" t="s">
        <v>142</v>
      </c>
      <c r="L12" s="542" t="s">
        <v>142</v>
      </c>
      <c r="M12" s="5"/>
      <c r="N12" s="5">
        <f>+Sheet1!T2</f>
        <v>28.846000000000004</v>
      </c>
      <c r="O12" s="543">
        <f>+Sheet1!U2</f>
        <v>1.8634102490156505E-2</v>
      </c>
      <c r="P12" s="545">
        <f t="shared" si="1"/>
        <v>1.8634102490156505E-2</v>
      </c>
      <c r="Q12" s="802">
        <f>SUM(P12:P13)</f>
        <v>5.1104485300004845E-2</v>
      </c>
    </row>
    <row r="13" spans="1:17" ht="15">
      <c r="A13" s="798"/>
      <c r="B13" s="541" t="s">
        <v>229</v>
      </c>
      <c r="C13" s="542" t="s">
        <v>253</v>
      </c>
      <c r="D13" s="5"/>
      <c r="E13" s="5">
        <f>+Sheet1!I3</f>
        <v>50.264865883809925</v>
      </c>
      <c r="F13" s="543">
        <f>E13/Sheet1!$I$8</f>
        <v>3.1828602974992577E-2</v>
      </c>
      <c r="G13" s="545">
        <f t="shared" si="0"/>
        <v>3.1828602974992577E-2</v>
      </c>
      <c r="H13" s="803"/>
      <c r="J13" s="798"/>
      <c r="K13" s="541" t="s">
        <v>229</v>
      </c>
      <c r="L13" s="542" t="s">
        <v>253</v>
      </c>
      <c r="M13" s="5"/>
      <c r="N13" s="5">
        <f>+Sheet1!T3</f>
        <v>50.264865883809925</v>
      </c>
      <c r="O13" s="543">
        <f>+Sheet1!U3</f>
        <v>3.247038280984834E-2</v>
      </c>
      <c r="P13" s="545">
        <f t="shared" si="1"/>
        <v>3.247038280984834E-2</v>
      </c>
      <c r="Q13" s="803"/>
    </row>
    <row r="14" spans="1:17" ht="15">
      <c r="A14" s="804" t="s">
        <v>11</v>
      </c>
      <c r="B14" s="541" t="s">
        <v>254</v>
      </c>
      <c r="C14" s="542" t="s">
        <v>254</v>
      </c>
      <c r="D14" s="5"/>
      <c r="E14" s="5">
        <f>+Sheet1!I4</f>
        <v>-3.5393920139066566</v>
      </c>
      <c r="F14" s="543">
        <f>E14/Sheet1!$I$8</f>
        <v>-2.2412056851777986E-3</v>
      </c>
      <c r="G14" s="545">
        <f t="shared" si="0"/>
        <v>-2.2412056851777986E-3</v>
      </c>
      <c r="H14" s="806">
        <f>SUM(G14:G23)</f>
        <v>3.5982953155453662E-2</v>
      </c>
      <c r="J14" s="804" t="s">
        <v>11</v>
      </c>
      <c r="K14" s="541" t="s">
        <v>254</v>
      </c>
      <c r="L14" s="542" t="s">
        <v>254</v>
      </c>
      <c r="M14" s="5"/>
      <c r="N14" s="5">
        <f>+Sheet1!T4</f>
        <v>-1.0262991657985572</v>
      </c>
      <c r="O14" s="543">
        <f>+Sheet1!U4</f>
        <v>-6.6297454902074595E-4</v>
      </c>
      <c r="P14" s="545">
        <f t="shared" si="1"/>
        <v>-6.6297454902074595E-4</v>
      </c>
      <c r="Q14" s="806">
        <f>SUM(P14:P23)</f>
        <v>3.7025691125544075E-2</v>
      </c>
    </row>
    <row r="15" spans="1:17" ht="15">
      <c r="A15" s="805"/>
      <c r="B15" s="541" t="s">
        <v>233</v>
      </c>
      <c r="C15" s="542" t="s">
        <v>233</v>
      </c>
      <c r="D15" s="5"/>
      <c r="E15" s="5">
        <f>+Sheet1!I5</f>
        <v>15.465198564471711</v>
      </c>
      <c r="F15" s="543">
        <f>E15/Sheet1!$I$8</f>
        <v>9.7928375294151927E-3</v>
      </c>
      <c r="G15" s="545">
        <f>F15</f>
        <v>9.7928375294151927E-3</v>
      </c>
      <c r="H15" s="806"/>
      <c r="J15" s="805"/>
      <c r="K15" s="541" t="s">
        <v>233</v>
      </c>
      <c r="L15" s="542" t="s">
        <v>233</v>
      </c>
      <c r="M15" s="5"/>
      <c r="N15" s="5">
        <f>+Sheet1!T5</f>
        <v>12.952105716363606</v>
      </c>
      <c r="O15" s="543">
        <f>+Sheet1!U5</f>
        <v>8.3668746232427853E-3</v>
      </c>
      <c r="P15" s="545">
        <f>O15</f>
        <v>8.3668746232427853E-3</v>
      </c>
      <c r="Q15" s="806"/>
    </row>
    <row r="16" spans="1:17">
      <c r="A16" s="805"/>
      <c r="B16" s="807" t="s">
        <v>255</v>
      </c>
      <c r="C16" s="542" t="s">
        <v>423</v>
      </c>
      <c r="D16" s="5">
        <f>SUMIFS(Sheet1!$C$2:$C$180,Sheet1!$F$2:$F$180,B16,Sheet1!$E$2:$E$180,C16)</f>
        <v>391</v>
      </c>
      <c r="E16" s="5">
        <f>D16/Sheet1!$I$9*Sheet1!$I$10</f>
        <v>14.135108817537335</v>
      </c>
      <c r="F16" s="543">
        <f>D16/Sheet1!$I$9*Sheet1!$I$11</f>
        <v>8.950601153531048E-3</v>
      </c>
      <c r="G16" s="808">
        <f>SUM(F16:F17)</f>
        <v>8.950601153531048E-3</v>
      </c>
      <c r="H16" s="806"/>
      <c r="J16" s="805"/>
      <c r="K16" s="807" t="s">
        <v>255</v>
      </c>
      <c r="L16" s="542" t="s">
        <v>423</v>
      </c>
      <c r="M16" s="5">
        <f>SUMIFS(Sheet1!$N$2:$N$180,Sheet1!$Q$2:$Q$180,K16,Sheet1!$P$2:$P$180,L16)</f>
        <v>391</v>
      </c>
      <c r="N16" s="5">
        <f>M16/Sheet1!$T$9*Sheet1!$T$10</f>
        <v>14.289688953184653</v>
      </c>
      <c r="O16" s="543">
        <f>M16/Sheet1!$T$9*Sheet1!$T$11</f>
        <v>9.2309342198606398E-3</v>
      </c>
      <c r="P16" s="808">
        <f>SUM(O16:O17)</f>
        <v>9.2309342198606398E-3</v>
      </c>
      <c r="Q16" s="806"/>
    </row>
    <row r="17" spans="1:17">
      <c r="A17" s="805"/>
      <c r="B17" s="807"/>
      <c r="C17" s="542"/>
      <c r="D17" s="5">
        <f>SUMIFS(Sheet1!$C$2:$C$180,Sheet1!$F$2:$F$180,B16,Sheet1!$E$2:$E$180,C17)</f>
        <v>0</v>
      </c>
      <c r="E17" s="5">
        <f>D17/Sheet1!$I$9*Sheet1!$I$10</f>
        <v>0</v>
      </c>
      <c r="F17" s="543">
        <f>D17/Sheet1!$I$9*Sheet1!$I$11</f>
        <v>0</v>
      </c>
      <c r="G17" s="808"/>
      <c r="H17" s="806"/>
      <c r="J17" s="805"/>
      <c r="K17" s="807"/>
      <c r="L17" s="542"/>
      <c r="M17" s="5">
        <f>SUMIFS(Sheet1!$N$2:$N$180,Sheet1!$Q$2:$Q$180,K16,Sheet1!$P$2:$P$180,L17)</f>
        <v>0</v>
      </c>
      <c r="N17" s="5">
        <f>M17/Sheet1!$T$9*Sheet1!$T$10</f>
        <v>0</v>
      </c>
      <c r="O17" s="543">
        <f>M17/Sheet1!$T$9*Sheet1!$T$11</f>
        <v>0</v>
      </c>
      <c r="P17" s="808"/>
      <c r="Q17" s="806"/>
    </row>
    <row r="18" spans="1:17" ht="15">
      <c r="A18" s="805"/>
      <c r="B18" s="541" t="s">
        <v>256</v>
      </c>
      <c r="C18" s="542" t="s">
        <v>257</v>
      </c>
      <c r="D18" s="5">
        <f>SUMIFS(Sheet1!$C$2:$C$180,Sheet1!$F$2:$F$180,B18,Sheet1!$E$2:$E$180,C18)</f>
        <v>0</v>
      </c>
      <c r="E18" s="5">
        <f>D18/Sheet1!$I$9*Sheet1!$I$10</f>
        <v>0</v>
      </c>
      <c r="F18" s="543">
        <f>D18/Sheet1!$I$9*Sheet1!$I$11</f>
        <v>0</v>
      </c>
      <c r="G18" s="545">
        <f>F18</f>
        <v>0</v>
      </c>
      <c r="H18" s="806"/>
      <c r="J18" s="805"/>
      <c r="K18" s="541" t="s">
        <v>256</v>
      </c>
      <c r="L18" s="542" t="s">
        <v>257</v>
      </c>
      <c r="M18" s="5">
        <f>SUMIFS(Sheet1!$N$2:$N$180,Sheet1!$Q$2:$Q$180,K18,Sheet1!$P$2:$P$180,L18)</f>
        <v>0</v>
      </c>
      <c r="N18" s="5">
        <f>M18/Sheet1!$T$9*Sheet1!$T$10</f>
        <v>0</v>
      </c>
      <c r="O18" s="543">
        <f>M18/Sheet1!$T$9*Sheet1!$T$11</f>
        <v>0</v>
      </c>
      <c r="P18" s="545">
        <f>O18</f>
        <v>0</v>
      </c>
      <c r="Q18" s="806"/>
    </row>
    <row r="19" spans="1:17">
      <c r="A19" s="805"/>
      <c r="B19" s="800" t="s">
        <v>227</v>
      </c>
      <c r="C19" s="542" t="s">
        <v>228</v>
      </c>
      <c r="D19" s="5">
        <f>SUMIFS(Sheet1!$C$2:$C$180,Sheet1!$F$2:$F$180,B19,Sheet1!$E$2:$E$180,C19)</f>
        <v>50</v>
      </c>
      <c r="E19" s="5">
        <f>D19/Sheet1!$I$9*Sheet1!$I$10</f>
        <v>1.807558672319352</v>
      </c>
      <c r="F19" s="543">
        <f>D19/Sheet1!$I$9*Sheet1!$I$11</f>
        <v>1.1445781526254536E-3</v>
      </c>
      <c r="G19" s="810">
        <f>SUM(F19:F23)</f>
        <v>1.9480720157685222E-2</v>
      </c>
      <c r="H19" s="806"/>
      <c r="J19" s="805"/>
      <c r="K19" s="800" t="s">
        <v>227</v>
      </c>
      <c r="L19" s="542" t="s">
        <v>228</v>
      </c>
      <c r="M19" s="5">
        <f>SUMIFS(Sheet1!$N$2:$N$180,Sheet1!$Q$2:$Q$180,$K$19,Sheet1!$P$2:$P$180,L19)</f>
        <v>50</v>
      </c>
      <c r="N19" s="5">
        <f>M19/Sheet1!$T$9*Sheet1!$T$10</f>
        <v>1.8273259530926664</v>
      </c>
      <c r="O19" s="543">
        <f>M19/Sheet1!$T$9*Sheet1!$T$11</f>
        <v>1.1804263708261689E-3</v>
      </c>
      <c r="P19" s="810">
        <f>SUM(O19:O23)</f>
        <v>2.0090856831461393E-2</v>
      </c>
      <c r="Q19" s="806"/>
    </row>
    <row r="20" spans="1:17">
      <c r="A20" s="805"/>
      <c r="B20" s="809"/>
      <c r="C20" s="542" t="s">
        <v>230</v>
      </c>
      <c r="D20" s="5">
        <f>SUMIFS(Sheet1!$C$2:$C$180,Sheet1!$F$2:$F$180,B19,Sheet1!$E$2:$E$180,C20)</f>
        <v>682</v>
      </c>
      <c r="E20" s="5">
        <f>D20/Sheet1!$I$9*Sheet1!$I$10</f>
        <v>24.655100290435964</v>
      </c>
      <c r="F20" s="543">
        <f>D20/Sheet1!$I$9*Sheet1!$I$11</f>
        <v>1.5612046001811189E-2</v>
      </c>
      <c r="G20" s="811"/>
      <c r="H20" s="806"/>
      <c r="J20" s="805"/>
      <c r="K20" s="809"/>
      <c r="L20" s="542" t="s">
        <v>230</v>
      </c>
      <c r="M20" s="5">
        <f>SUMIFS(Sheet1!$N$2:$N$180,Sheet1!$Q$2:$Q$180,$K$19,Sheet1!$P$2:$P$180,L20)</f>
        <v>682</v>
      </c>
      <c r="N20" s="5">
        <f>M20/Sheet1!$T$9*Sheet1!$T$10</f>
        <v>24.924726000183973</v>
      </c>
      <c r="O20" s="543">
        <f>M20/Sheet1!$T$9*Sheet1!$T$11</f>
        <v>1.6101015698068943E-2</v>
      </c>
      <c r="P20" s="811"/>
      <c r="Q20" s="806"/>
    </row>
    <row r="21" spans="1:17">
      <c r="A21" s="805"/>
      <c r="B21" s="809"/>
      <c r="C21" s="542" t="s">
        <v>226</v>
      </c>
      <c r="D21" s="5">
        <f>SUMIFS(Sheet1!$C$2:$C$180,Sheet1!$F$2:$F$180,B19,Sheet1!$E$2:$E$180,C21)</f>
        <v>119</v>
      </c>
      <c r="E21" s="5">
        <f>D21/Sheet1!$I$9*Sheet1!$I$10</f>
        <v>4.3019896401200581</v>
      </c>
      <c r="F21" s="543">
        <f>D21/Sheet1!$I$9*Sheet1!$I$11</f>
        <v>2.7240960032485799E-3</v>
      </c>
      <c r="G21" s="811"/>
      <c r="H21" s="806"/>
      <c r="J21" s="805"/>
      <c r="K21" s="809"/>
      <c r="L21" s="542" t="s">
        <v>226</v>
      </c>
      <c r="M21" s="5">
        <f>SUMIFS(Sheet1!$N$2:$N$180,Sheet1!$Q$2:$Q$180,$K$19,Sheet1!$P$2:$P$180,L21)</f>
        <v>119</v>
      </c>
      <c r="N21" s="5">
        <f>M21/Sheet1!$T$9*Sheet1!$T$10</f>
        <v>4.3490357683605465</v>
      </c>
      <c r="O21" s="543">
        <f>M21/Sheet1!$T$9*Sheet1!$T$11</f>
        <v>2.8094147625662819E-3</v>
      </c>
      <c r="P21" s="811"/>
      <c r="Q21" s="806"/>
    </row>
    <row r="22" spans="1:17">
      <c r="A22" s="805"/>
      <c r="B22" s="809"/>
      <c r="C22" s="542"/>
      <c r="D22" s="5">
        <f>SUMIFS(Sheet1!$C$2:$C$180,Sheet1!$F$2:$F$180,B19,Sheet1!$E$2:$E$180,C22)</f>
        <v>0</v>
      </c>
      <c r="E22" s="5">
        <f>D22/Sheet1!$I$9*Sheet1!$I$10</f>
        <v>0</v>
      </c>
      <c r="F22" s="543">
        <f>D22/Sheet1!$I$9*Sheet1!$I$11</f>
        <v>0</v>
      </c>
      <c r="G22" s="811"/>
      <c r="H22" s="806"/>
      <c r="J22" s="805"/>
      <c r="K22" s="809"/>
      <c r="L22" s="542"/>
      <c r="M22" s="5">
        <f>SUMIFS(Sheet1!$N$2:$N$180,Sheet1!$Q$2:$Q$180,$K$19,Sheet1!$P$2:$P$180,L22)</f>
        <v>0</v>
      </c>
      <c r="N22" s="5">
        <f>M22/Sheet1!$T$9*Sheet1!$T$10</f>
        <v>0</v>
      </c>
      <c r="O22" s="543">
        <f>M22/Sheet1!$T$9*Sheet1!$T$11</f>
        <v>0</v>
      </c>
      <c r="P22" s="811"/>
      <c r="Q22" s="806"/>
    </row>
    <row r="23" spans="1:17">
      <c r="A23" s="805"/>
      <c r="B23" s="801"/>
      <c r="C23" s="542"/>
      <c r="D23" s="5">
        <f>SUMIFS(Sheet1!$C$2:$C$180,Sheet1!$F$2:$F$180,B19,Sheet1!$E$2:$E$180,C23)</f>
        <v>0</v>
      </c>
      <c r="E23" s="5">
        <f>D23/Sheet1!$I$9*Sheet1!$I$10</f>
        <v>0</v>
      </c>
      <c r="F23" s="543">
        <f>D23/Sheet1!$I$9*Sheet1!$I$11</f>
        <v>0</v>
      </c>
      <c r="G23" s="812"/>
      <c r="H23" s="806"/>
      <c r="J23" s="805"/>
      <c r="K23" s="801"/>
      <c r="L23" s="542"/>
      <c r="M23" s="5">
        <f>SUMIFS(Sheet1!$N$2:$N$180,Sheet1!$Q$2:$Q$180,$K$19,Sheet1!$P$2:$P$180,L23)</f>
        <v>0</v>
      </c>
      <c r="N23" s="5">
        <f>M23/Sheet1!$T$9*Sheet1!$T$10</f>
        <v>0</v>
      </c>
      <c r="O23" s="543">
        <f>M23/Sheet1!$T$9*Sheet1!$T$11</f>
        <v>0</v>
      </c>
      <c r="P23" s="812"/>
      <c r="Q23" s="806"/>
    </row>
    <row r="24" spans="1:17" ht="12.75" customHeight="1">
      <c r="A24" s="798" t="s">
        <v>258</v>
      </c>
      <c r="B24" s="807" t="s">
        <v>239</v>
      </c>
      <c r="C24" s="547" t="s">
        <v>526</v>
      </c>
      <c r="D24" s="5">
        <f>SUMIFS(Sheet1!$C$2:$C$180,Sheet1!$F$2:$F$180,B24,Sheet1!$E$2:$E$180,C24)</f>
        <v>126</v>
      </c>
      <c r="E24" s="5">
        <f>D24/Sheet1!$I$9*Sheet1!$I$10</f>
        <v>4.5550478542447674</v>
      </c>
      <c r="F24" s="543">
        <f>D24/Sheet1!$I$9*Sheet1!$I$11</f>
        <v>2.8843369446161435E-3</v>
      </c>
      <c r="G24" s="808">
        <f>SUM(F24:F30)</f>
        <v>3.2277103904037796E-3</v>
      </c>
      <c r="H24" s="806">
        <f>SUM(G24:G37)</f>
        <v>3.6168669622964338E-3</v>
      </c>
      <c r="J24" s="798" t="s">
        <v>258</v>
      </c>
      <c r="K24" s="807" t="s">
        <v>239</v>
      </c>
      <c r="L24" s="547" t="s">
        <v>526</v>
      </c>
      <c r="M24" s="5">
        <f>SUMIFS(Sheet1!$N$2:$N$180,Sheet1!$Q$2:$Q$180,$K$24,Sheet1!$P$2:$P$180,L24)</f>
        <v>126</v>
      </c>
      <c r="N24" s="5">
        <f>M24/Sheet1!$T$9*Sheet1!$T$10</f>
        <v>4.6048614017935199</v>
      </c>
      <c r="O24" s="543">
        <f>M24/Sheet1!$T$9*Sheet1!$T$11</f>
        <v>2.9746744544819456E-3</v>
      </c>
      <c r="P24" s="808">
        <f>SUM(O24:O30)</f>
        <v>3.3288023657297963E-3</v>
      </c>
      <c r="Q24" s="806">
        <f>SUM(P24:P37)</f>
        <v>3.7301473318106936E-3</v>
      </c>
    </row>
    <row r="25" spans="1:17" ht="12.75" customHeight="1">
      <c r="A25" s="798"/>
      <c r="B25" s="807"/>
      <c r="C25" s="547" t="s">
        <v>569</v>
      </c>
      <c r="D25" s="5">
        <f>SUMIFS(Sheet1!$C$2:$C$180,Sheet1!$F$2:$F$180,B24,Sheet1!$E$2:$E$180,C25)</f>
        <v>15</v>
      </c>
      <c r="E25" s="5">
        <f>D25/Sheet1!$I$9*Sheet1!$I$10</f>
        <v>0.54226760169580557</v>
      </c>
      <c r="F25" s="543">
        <f>D25/Sheet1!$I$9*Sheet1!$I$11</f>
        <v>3.4337344578763609E-4</v>
      </c>
      <c r="G25" s="808"/>
      <c r="H25" s="806"/>
      <c r="J25" s="798"/>
      <c r="K25" s="807"/>
      <c r="L25" s="547" t="s">
        <v>569</v>
      </c>
      <c r="M25" s="5">
        <f>SUMIFS(Sheet1!$N$2:$N$180,Sheet1!$Q$2:$Q$180,$K$24,Sheet1!$P$2:$P$180,L25)</f>
        <v>15</v>
      </c>
      <c r="N25" s="5">
        <f>M25/Sheet1!$T$9*Sheet1!$T$10</f>
        <v>0.5481977859278</v>
      </c>
      <c r="O25" s="543">
        <f>M25/Sheet1!$T$9*Sheet1!$T$11</f>
        <v>3.5412791124785065E-4</v>
      </c>
      <c r="P25" s="808"/>
      <c r="Q25" s="806"/>
    </row>
    <row r="26" spans="1:17" ht="12.75" customHeight="1">
      <c r="A26" s="798"/>
      <c r="B26" s="807"/>
      <c r="C26" s="548"/>
      <c r="D26" s="5">
        <f>SUMIFS(Sheet1!$C$2:$C$180,Sheet1!$F$2:$F$180,B24,Sheet1!$E$2:$E$180,C26)</f>
        <v>0</v>
      </c>
      <c r="E26" s="5">
        <f>D26/Sheet1!$I$9*Sheet1!$I$10</f>
        <v>0</v>
      </c>
      <c r="F26" s="543">
        <f>D26/Sheet1!$I$9*Sheet1!$I$11</f>
        <v>0</v>
      </c>
      <c r="G26" s="808"/>
      <c r="H26" s="806"/>
      <c r="J26" s="798"/>
      <c r="K26" s="807"/>
      <c r="L26" s="548"/>
      <c r="M26" s="5">
        <f>SUMIFS(Sheet1!$N$2:$N$180,Sheet1!$Q$2:$Q$180,$K$24,Sheet1!$P$2:$P$180,L26)</f>
        <v>0</v>
      </c>
      <c r="N26" s="5">
        <f>M26/Sheet1!$T$9*Sheet1!$T$10</f>
        <v>0</v>
      </c>
      <c r="O26" s="543">
        <f>M26/Sheet1!$T$9*Sheet1!$T$11</f>
        <v>0</v>
      </c>
      <c r="P26" s="808"/>
      <c r="Q26" s="806"/>
    </row>
    <row r="27" spans="1:17" ht="12.75" customHeight="1">
      <c r="A27" s="798"/>
      <c r="B27" s="807"/>
      <c r="D27" s="5">
        <f>SUMIFS(Sheet1!$C$2:$C$180,Sheet1!$F$2:$F$180,B24,Sheet1!$E$2:$E$180,C27)</f>
        <v>0</v>
      </c>
      <c r="E27" s="5">
        <f>D27/Sheet1!$I$9*Sheet1!$I$10</f>
        <v>0</v>
      </c>
      <c r="F27" s="543">
        <f>D27/Sheet1!$I$9*Sheet1!$I$11</f>
        <v>0</v>
      </c>
      <c r="G27" s="808"/>
      <c r="H27" s="806"/>
      <c r="J27" s="798"/>
      <c r="K27" s="807"/>
      <c r="M27" s="5">
        <f>SUMIFS(Sheet1!$N$2:$N$180,Sheet1!$Q$2:$Q$180,$K$24,Sheet1!$P$2:$P$180,L27)</f>
        <v>0</v>
      </c>
      <c r="N27" s="5">
        <f>M27/Sheet1!$T$9*Sheet1!$T$10</f>
        <v>0</v>
      </c>
      <c r="O27" s="543">
        <f>M27/Sheet1!$T$9*Sheet1!$T$11</f>
        <v>0</v>
      </c>
      <c r="P27" s="808"/>
      <c r="Q27" s="806"/>
    </row>
    <row r="28" spans="1:17" ht="12.75" customHeight="1">
      <c r="A28" s="798"/>
      <c r="B28" s="807"/>
      <c r="C28" s="542"/>
      <c r="D28" s="5">
        <f>SUMIFS(Sheet1!$C$2:$C$180,Sheet1!$F$2:$F$180,B24,Sheet1!$E$2:$E$180,C28)</f>
        <v>0</v>
      </c>
      <c r="E28" s="5">
        <f>D28/Sheet1!$I$9*Sheet1!$I$10</f>
        <v>0</v>
      </c>
      <c r="F28" s="543">
        <f>D28/Sheet1!$I$9*Sheet1!$I$11</f>
        <v>0</v>
      </c>
      <c r="G28" s="808"/>
      <c r="H28" s="806"/>
      <c r="J28" s="798"/>
      <c r="K28" s="807"/>
      <c r="L28" s="542"/>
      <c r="M28" s="5">
        <f>SUMIFS(Sheet1!$N$2:$N$180,Sheet1!$Q$2:$Q$180,$K$24,Sheet1!$P$2:$P$180,L28)</f>
        <v>0</v>
      </c>
      <c r="N28" s="5">
        <f>M28/Sheet1!$T$9*Sheet1!$T$10</f>
        <v>0</v>
      </c>
      <c r="O28" s="543">
        <f>M28/Sheet1!$T$9*Sheet1!$T$11</f>
        <v>0</v>
      </c>
      <c r="P28" s="808"/>
      <c r="Q28" s="806"/>
    </row>
    <row r="29" spans="1:17" ht="12.75" customHeight="1">
      <c r="A29" s="798"/>
      <c r="B29" s="807"/>
      <c r="C29" s="542"/>
      <c r="D29" s="5">
        <f>SUMIFS(Sheet1!$C$2:$C$180,Sheet1!$F$2:$F$180,B24,Sheet1!$E$2:$E$180,C29)</f>
        <v>0</v>
      </c>
      <c r="E29" s="5">
        <f>D29/Sheet1!$I$9*Sheet1!$I$10</f>
        <v>0</v>
      </c>
      <c r="F29" s="543">
        <f>D29/Sheet1!$I$9*Sheet1!$I$11</f>
        <v>0</v>
      </c>
      <c r="G29" s="808"/>
      <c r="H29" s="806"/>
      <c r="J29" s="798"/>
      <c r="K29" s="807"/>
      <c r="L29" s="542"/>
      <c r="M29" s="5">
        <f>SUMIFS(Sheet1!$N$2:$N$180,Sheet1!$Q$2:$Q$180,$K$24,Sheet1!$P$2:$P$180,L29)</f>
        <v>0</v>
      </c>
      <c r="N29" s="5">
        <f>M29/Sheet1!$T$9*Sheet1!$T$10</f>
        <v>0</v>
      </c>
      <c r="O29" s="543">
        <f>M29/Sheet1!$T$9*Sheet1!$T$11</f>
        <v>0</v>
      </c>
      <c r="P29" s="808"/>
      <c r="Q29" s="806"/>
    </row>
    <row r="30" spans="1:17" ht="12.75" customHeight="1">
      <c r="A30" s="798"/>
      <c r="B30" s="807"/>
      <c r="C30" s="542"/>
      <c r="D30" s="5">
        <f>SUMIFS(Sheet1!$C$2:$C$180,Sheet1!$F$2:$F$180,B24,Sheet1!$E$2:$E$180,C30)</f>
        <v>0</v>
      </c>
      <c r="E30" s="5">
        <f>D30/Sheet1!$I$9*Sheet1!$I$10</f>
        <v>0</v>
      </c>
      <c r="F30" s="543">
        <f>D30/Sheet1!$I$9*Sheet1!$I$11</f>
        <v>0</v>
      </c>
      <c r="G30" s="808"/>
      <c r="H30" s="806"/>
      <c r="J30" s="798"/>
      <c r="K30" s="807"/>
      <c r="L30" s="542"/>
      <c r="M30" s="5">
        <f>SUMIFS(Sheet1!$N$2:$N$180,Sheet1!$Q$2:$Q$180,$K$24,Sheet1!$P$2:$P$180,L30)</f>
        <v>0</v>
      </c>
      <c r="N30" s="5">
        <f>M30/Sheet1!$T$9*Sheet1!$T$10</f>
        <v>0</v>
      </c>
      <c r="O30" s="543">
        <f>M30/Sheet1!$T$9*Sheet1!$T$11</f>
        <v>0</v>
      </c>
      <c r="P30" s="808"/>
      <c r="Q30" s="806"/>
    </row>
    <row r="31" spans="1:17" ht="12.75" customHeight="1">
      <c r="A31" s="798"/>
      <c r="B31" s="800" t="s">
        <v>240</v>
      </c>
      <c r="D31" s="5">
        <f>SUMIFS(Sheet1!$C$2:$C$180,Sheet1!$F$2:$F$180,B31,Sheet1!$E$2:$E$180,C31)</f>
        <v>0</v>
      </c>
      <c r="E31" s="5">
        <f>D31/Sheet1!$I$9*Sheet1!$I$10</f>
        <v>0</v>
      </c>
      <c r="F31" s="543">
        <f>D31/Sheet1!$I$9*Sheet1!$I$11</f>
        <v>0</v>
      </c>
      <c r="G31" s="810">
        <f>SUM(F31:F32)</f>
        <v>0</v>
      </c>
      <c r="H31" s="806"/>
      <c r="J31" s="798"/>
      <c r="K31" s="800" t="s">
        <v>240</v>
      </c>
      <c r="M31" s="5">
        <f>SUMIFS(Sheet1!$N$2:$N$180,Sheet1!$Q$2:$Q$180,$K$31,Sheet1!$P$2:$P$180,L31)</f>
        <v>0</v>
      </c>
      <c r="N31" s="5">
        <f>M31/Sheet1!$T$9*Sheet1!$T$10</f>
        <v>0</v>
      </c>
      <c r="O31" s="543">
        <f>M31/Sheet1!$T$9*Sheet1!$T$11</f>
        <v>0</v>
      </c>
      <c r="P31" s="810">
        <f>SUM(O31:O32)</f>
        <v>0</v>
      </c>
      <c r="Q31" s="806"/>
    </row>
    <row r="32" spans="1:17" ht="12.75" customHeight="1">
      <c r="A32" s="798"/>
      <c r="B32" s="801"/>
      <c r="C32" s="542"/>
      <c r="D32" s="5">
        <f>SUMIFS(Sheet1!$C$2:$C$180,Sheet1!$F$2:$F$180,B31,Sheet1!$E$2:$E$180,C32)</f>
        <v>0</v>
      </c>
      <c r="E32" s="5">
        <f>D32/Sheet1!$I$9*Sheet1!$I$10</f>
        <v>0</v>
      </c>
      <c r="F32" s="543">
        <f>D32/Sheet1!$I$9*Sheet1!$I$11</f>
        <v>0</v>
      </c>
      <c r="G32" s="812"/>
      <c r="H32" s="806"/>
      <c r="J32" s="798"/>
      <c r="K32" s="801"/>
      <c r="L32" s="542"/>
      <c r="M32" s="5">
        <f>SUMIFS(Sheet1!$N$2:$N$180,Sheet1!$Q$2:$Q$180,$K$31,Sheet1!$P$2:$P$180,L32)</f>
        <v>0</v>
      </c>
      <c r="N32" s="5">
        <f>M32/Sheet1!$T$9*Sheet1!$T$10</f>
        <v>0</v>
      </c>
      <c r="O32" s="543">
        <f>M32/Sheet1!$T$9*Sheet1!$T$11</f>
        <v>0</v>
      </c>
      <c r="P32" s="812"/>
      <c r="Q32" s="806"/>
    </row>
    <row r="33" spans="1:17" ht="12.75" customHeight="1">
      <c r="A33" s="798"/>
      <c r="B33" s="807" t="s">
        <v>259</v>
      </c>
      <c r="C33" s="542" t="s">
        <v>570</v>
      </c>
      <c r="D33" s="5">
        <f>SUMIFS(Sheet1!$C$2:$C$180,Sheet1!$F$2:$F$180,B33,Sheet1!$E$2:$E$180,C33)</f>
        <v>9</v>
      </c>
      <c r="E33" s="5">
        <f>D33/Sheet1!$I$9*Sheet1!$I$10</f>
        <v>0.3253605610174834</v>
      </c>
      <c r="F33" s="543">
        <f>D33/Sheet1!$I$9*Sheet1!$I$11</f>
        <v>2.0602406747258166E-4</v>
      </c>
      <c r="G33" s="808">
        <f>SUM(F33:F35)</f>
        <v>2.0602406747258166E-4</v>
      </c>
      <c r="H33" s="806"/>
      <c r="J33" s="798"/>
      <c r="K33" s="807" t="s">
        <v>259</v>
      </c>
      <c r="L33" s="542" t="s">
        <v>570</v>
      </c>
      <c r="M33" s="5">
        <f>SUMIFS(Sheet1!$N$2:$N$180,Sheet1!$Q$2:$Q$180,$K$33,Sheet1!$P$2:$P$180,L33)</f>
        <v>9</v>
      </c>
      <c r="N33" s="5">
        <f>M33/Sheet1!$T$9*Sheet1!$T$10</f>
        <v>0.32891867155667998</v>
      </c>
      <c r="O33" s="543">
        <f>M33/Sheet1!$T$9*Sheet1!$T$11</f>
        <v>2.1247674674871038E-4</v>
      </c>
      <c r="P33" s="808">
        <f>SUM(O33:O35)</f>
        <v>2.1247674674871038E-4</v>
      </c>
      <c r="Q33" s="806"/>
    </row>
    <row r="34" spans="1:17" ht="12.75" customHeight="1">
      <c r="A34" s="798"/>
      <c r="B34" s="807"/>
      <c r="C34" s="542"/>
      <c r="D34" s="5">
        <f>SUMIFS(Sheet1!$C$2:$C$180,Sheet1!$F$2:$F$180,B33,Sheet1!$E$2:$E$180,C34)</f>
        <v>0</v>
      </c>
      <c r="E34" s="5">
        <f>D34/Sheet1!$I$9*Sheet1!$I$10</f>
        <v>0</v>
      </c>
      <c r="F34" s="543">
        <f>D34/Sheet1!$I$9*Sheet1!$I$11</f>
        <v>0</v>
      </c>
      <c r="G34" s="808"/>
      <c r="H34" s="806"/>
      <c r="J34" s="798"/>
      <c r="K34" s="807"/>
      <c r="L34" s="542"/>
      <c r="M34" s="5">
        <f>SUMIFS(Sheet1!$N$2:$N$180,Sheet1!$Q$2:$Q$180,$K$33,Sheet1!$P$2:$P$180,L34)</f>
        <v>0</v>
      </c>
      <c r="N34" s="5">
        <f>M34/Sheet1!$T$9*Sheet1!$T$10</f>
        <v>0</v>
      </c>
      <c r="O34" s="543">
        <f>M34/Sheet1!$T$9*Sheet1!$T$11</f>
        <v>0</v>
      </c>
      <c r="P34" s="808"/>
      <c r="Q34" s="806"/>
    </row>
    <row r="35" spans="1:17" ht="12.75" customHeight="1">
      <c r="A35" s="798"/>
      <c r="B35" s="807"/>
      <c r="C35" s="542"/>
      <c r="D35" s="5">
        <f>SUMIFS(Sheet1!$C$2:$C$180,Sheet1!$F$2:$F$180,B33,Sheet1!$E$2:$E$180,C35)</f>
        <v>0</v>
      </c>
      <c r="E35" s="5">
        <f>D35/Sheet1!$I$9*Sheet1!$I$10</f>
        <v>0</v>
      </c>
      <c r="F35" s="543">
        <f>D35/Sheet1!$I$9*Sheet1!$I$11</f>
        <v>0</v>
      </c>
      <c r="G35" s="808"/>
      <c r="H35" s="806"/>
      <c r="J35" s="798"/>
      <c r="K35" s="807"/>
      <c r="L35" s="542"/>
      <c r="M35" s="5">
        <f>SUMIFS(Sheet1!$N$2:$N$180,Sheet1!$Q$2:$Q$180,$K$33,Sheet1!$P$2:$P$180,L35)</f>
        <v>0</v>
      </c>
      <c r="N35" s="5">
        <f>M35/Sheet1!$T$9*Sheet1!$T$10</f>
        <v>0</v>
      </c>
      <c r="O35" s="543">
        <f>M35/Sheet1!$T$9*Sheet1!$T$11</f>
        <v>0</v>
      </c>
      <c r="P35" s="808"/>
      <c r="Q35" s="806"/>
    </row>
    <row r="36" spans="1:17" ht="12.75" customHeight="1">
      <c r="A36" s="798"/>
      <c r="B36" s="800" t="s">
        <v>232</v>
      </c>
      <c r="C36" s="437" t="s">
        <v>683</v>
      </c>
      <c r="D36" s="5">
        <f>SUMIFS(Sheet1!$C$2:$C$180,Sheet1!$F$2:$F$180,B36,Sheet1!$E$2:$E$180,C36)</f>
        <v>8</v>
      </c>
      <c r="E36" s="5">
        <f>D36/Sheet1!$I$9*Sheet1!$I$10</f>
        <v>0.28920938757109638</v>
      </c>
      <c r="F36" s="543">
        <f>D36/Sheet1!$I$9*Sheet1!$I$11</f>
        <v>1.831325044200726E-4</v>
      </c>
      <c r="G36" s="810">
        <f>SUM(F36:F37)</f>
        <v>1.831325044200726E-4</v>
      </c>
      <c r="H36" s="806"/>
      <c r="J36" s="798"/>
      <c r="K36" s="800" t="s">
        <v>232</v>
      </c>
      <c r="L36" s="623" t="s">
        <v>683</v>
      </c>
      <c r="M36" s="5">
        <f>SUMIFS(Sheet1!$N$2:$N$180,Sheet1!$Q$2:$Q$180,$K$36,Sheet1!$P$2:$P$180,L36)</f>
        <v>8</v>
      </c>
      <c r="N36" s="5">
        <f>M36/Sheet1!$T$9*Sheet1!$T$10</f>
        <v>0.29237215249482668</v>
      </c>
      <c r="O36" s="543">
        <f>M36/Sheet1!$T$9*Sheet1!$T$11</f>
        <v>1.8886821933218701E-4</v>
      </c>
      <c r="P36" s="810">
        <f>SUM(O36:O37)</f>
        <v>1.8886821933218701E-4</v>
      </c>
      <c r="Q36" s="806"/>
    </row>
    <row r="37" spans="1:17" ht="12.75" customHeight="1">
      <c r="A37" s="798"/>
      <c r="B37" s="801"/>
      <c r="C37" s="542"/>
      <c r="D37" s="5">
        <f>SUMIFS(Sheet1!$C$2:$C$180,Sheet1!$F$2:$F$180,B36,Sheet1!$E$2:$E$180,C37)</f>
        <v>0</v>
      </c>
      <c r="E37" s="5">
        <f>D37/Sheet1!$I$9*Sheet1!$I$10</f>
        <v>0</v>
      </c>
      <c r="F37" s="543">
        <f>D37/Sheet1!$I$9*Sheet1!$I$11</f>
        <v>0</v>
      </c>
      <c r="G37" s="812"/>
      <c r="H37" s="806"/>
      <c r="J37" s="798"/>
      <c r="K37" s="801"/>
      <c r="L37" s="542"/>
      <c r="M37" s="5">
        <f>SUMIFS(Sheet1!$N$2:$N$180,Sheet1!$Q$2:$Q$180,$K$36,Sheet1!$P$2:$P$180,L37)</f>
        <v>0</v>
      </c>
      <c r="N37" s="5">
        <f>M37/Sheet1!$T$9*Sheet1!$T$10</f>
        <v>0</v>
      </c>
      <c r="O37" s="543">
        <f>M37/Sheet1!$T$9*Sheet1!$T$11</f>
        <v>0</v>
      </c>
      <c r="P37" s="812"/>
      <c r="Q37" s="806"/>
    </row>
    <row r="38" spans="1:17" ht="12.75" customHeight="1">
      <c r="A38" s="798" t="s">
        <v>382</v>
      </c>
      <c r="B38" s="800" t="s">
        <v>234</v>
      </c>
      <c r="C38" s="542" t="s">
        <v>736</v>
      </c>
      <c r="D38" s="5">
        <f>SUMIFS(Sheet1!$C$2:$C$180,Sheet1!$F$2:$F$180,B38,Sheet1!$E$2:$E$180,C38)</f>
        <v>540</v>
      </c>
      <c r="E38" s="5">
        <f>D38/Sheet1!$I$9*Sheet1!$I$10</f>
        <v>19.521633661049002</v>
      </c>
      <c r="F38" s="543">
        <f>D38/Sheet1!$I$9*Sheet1!$I$11</f>
        <v>1.2361444048354899E-2</v>
      </c>
      <c r="G38" s="810">
        <f>SUM(F38:F39)</f>
        <v>1.2361444048354899E-2</v>
      </c>
      <c r="H38" s="814">
        <f>SUM(G38:G39)</f>
        <v>1.2361444048354899E-2</v>
      </c>
      <c r="J38" s="798" t="s">
        <v>382</v>
      </c>
      <c r="K38" s="800" t="s">
        <v>234</v>
      </c>
      <c r="L38" s="542" t="s">
        <v>736</v>
      </c>
      <c r="M38" s="5">
        <f>SUMIFS(Sheet1!$N$2:$N$180,Sheet1!$Q$2:$Q$180,K38,Sheet1!$P$2:$P$180,L38)</f>
        <v>540</v>
      </c>
      <c r="N38" s="5">
        <f>M38/Sheet1!$T$9*Sheet1!$T$10</f>
        <v>19.735120293400797</v>
      </c>
      <c r="O38" s="543">
        <f>M38/Sheet1!$T$9*Sheet1!$T$11</f>
        <v>1.2748604804922622E-2</v>
      </c>
      <c r="P38" s="810">
        <f>SUM(O38:O39)</f>
        <v>1.2748604804922622E-2</v>
      </c>
      <c r="Q38" s="814">
        <f>SUM(P38:P39)</f>
        <v>1.2748604804922622E-2</v>
      </c>
    </row>
    <row r="39" spans="1:17" ht="12.75" customHeight="1">
      <c r="A39" s="798"/>
      <c r="B39" s="801"/>
      <c r="C39" s="547"/>
      <c r="D39" s="5">
        <f>SUMIFS(Sheet1!$C$2:$C$180,Sheet1!$F$2:$F$180,B38,Sheet1!$E$2:$E$180,C39)</f>
        <v>0</v>
      </c>
      <c r="E39" s="5">
        <f>D39/Sheet1!$I$9*Sheet1!$I$10</f>
        <v>0</v>
      </c>
      <c r="F39" s="543">
        <f>D39/Sheet1!$I$9*Sheet1!$I$11</f>
        <v>0</v>
      </c>
      <c r="G39" s="812"/>
      <c r="H39" s="815"/>
      <c r="J39" s="798"/>
      <c r="K39" s="801"/>
      <c r="L39" s="547"/>
      <c r="M39" s="5">
        <f>SUMIFS(Sheet1!$N$2:$N$180,Sheet1!$Q$2:$Q$180,K38,Sheet1!$P$2:$P$180,L39)</f>
        <v>0</v>
      </c>
      <c r="N39" s="5">
        <f>M39/Sheet1!$T$9*Sheet1!$T$10</f>
        <v>0</v>
      </c>
      <c r="O39" s="543">
        <f>M39/Sheet1!$T$9*Sheet1!$T$11</f>
        <v>0</v>
      </c>
      <c r="P39" s="812"/>
      <c r="Q39" s="815"/>
    </row>
    <row r="40" spans="1:17" ht="15">
      <c r="A40" s="549"/>
      <c r="B40" s="813" t="s">
        <v>2</v>
      </c>
      <c r="C40" s="813"/>
      <c r="D40" s="300">
        <f>SUM(D4:D39)</f>
        <v>3043</v>
      </c>
      <c r="E40" s="300">
        <f>SUM(E4:E39)</f>
        <v>201.0446932317308</v>
      </c>
      <c r="F40" s="440">
        <f>SUM(F4:F39)</f>
        <v>0.12730505908229256</v>
      </c>
      <c r="G40" s="440">
        <f>SUM(G4:G39)</f>
        <v>0.12730505908229256</v>
      </c>
      <c r="H40" s="440">
        <f>SUM(H4:H39)</f>
        <v>0.12730505908229256</v>
      </c>
      <c r="J40" s="549"/>
      <c r="K40" s="813" t="s">
        <v>2</v>
      </c>
      <c r="L40" s="813"/>
      <c r="M40" s="300">
        <f>SUM(M4:M39)</f>
        <v>2156</v>
      </c>
      <c r="N40" s="300">
        <f>SUM(N4:N39)</f>
        <v>169.83096753173081</v>
      </c>
      <c r="O40" s="440">
        <f>SUM(O4:O39)</f>
        <v>0.10970837048425129</v>
      </c>
      <c r="P40" s="440">
        <f>SUM(P4:P39)</f>
        <v>0.10970837048425128</v>
      </c>
      <c r="Q40" s="440">
        <f>SUM(Q4:Q39)</f>
        <v>0.10970837048425129</v>
      </c>
    </row>
    <row r="41" spans="1:17" ht="15">
      <c r="A41" s="549"/>
      <c r="B41" s="813" t="s">
        <v>1</v>
      </c>
      <c r="C41" s="813"/>
      <c r="D41" s="813"/>
      <c r="E41" s="813"/>
      <c r="F41" s="550">
        <f>+Efficiency1!X143</f>
        <v>0.87269494091770738</v>
      </c>
      <c r="G41" s="550">
        <f>+F41</f>
        <v>0.87269494091770738</v>
      </c>
      <c r="H41" s="550">
        <f>+G41</f>
        <v>0.87269494091770738</v>
      </c>
      <c r="J41" s="549"/>
      <c r="K41" s="813" t="s">
        <v>1</v>
      </c>
      <c r="L41" s="813"/>
      <c r="M41" s="813"/>
      <c r="N41" s="813"/>
      <c r="O41" s="550">
        <f>+Efficiency2!X143</f>
        <v>0.89029162951574847</v>
      </c>
      <c r="P41" s="550">
        <f>+O41</f>
        <v>0.89029162951574847</v>
      </c>
      <c r="Q41" s="550">
        <f>+P41</f>
        <v>0.89029162951574847</v>
      </c>
    </row>
    <row r="42" spans="1:17" ht="15">
      <c r="A42" s="549"/>
      <c r="B42" s="813" t="s">
        <v>53</v>
      </c>
      <c r="C42" s="813"/>
      <c r="D42" s="813"/>
      <c r="E42" s="813"/>
      <c r="F42" s="551">
        <f>SUM(F40:F41)</f>
        <v>1</v>
      </c>
      <c r="G42" s="551">
        <f>SUM(G40:G41)</f>
        <v>1</v>
      </c>
      <c r="H42" s="544">
        <f>SUM(H40:H41)</f>
        <v>1</v>
      </c>
      <c r="J42" s="549"/>
      <c r="K42" s="813" t="s">
        <v>53</v>
      </c>
      <c r="L42" s="813"/>
      <c r="M42" s="813"/>
      <c r="N42" s="813"/>
      <c r="O42" s="551">
        <f>SUM(O40:O41)</f>
        <v>0.99999999999999978</v>
      </c>
      <c r="P42" s="551">
        <f>SUM(P40:P41)</f>
        <v>0.99999999999999978</v>
      </c>
      <c r="Q42" s="544">
        <f>SUM(Q40:Q41)</f>
        <v>0.99999999999999978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19685039370078741" right="0.19685039370078741" top="0.19685039370078741" bottom="0.19685039370078741" header="0.31496062992125984" footer="0.31496062992125984"/>
  <pageSetup paperSize="9" scale="69" fitToHeight="0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80" zoomScaleSheetLayoutView="80" workbookViewId="0">
      <selection activeCell="A7" sqref="A7:A14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30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468+366+410</f>
        <v>1244</v>
      </c>
    </row>
    <row r="7" spans="1:18" ht="13.5" customHeight="1" thickBot="1">
      <c r="A7" s="824" t="s">
        <v>432</v>
      </c>
      <c r="B7" s="212" t="s">
        <v>717</v>
      </c>
      <c r="C7" s="213">
        <f>1838+1969</f>
        <v>3807</v>
      </c>
      <c r="D7" s="214"/>
      <c r="E7" s="215"/>
      <c r="F7" s="226"/>
      <c r="G7" s="224" t="s">
        <v>11</v>
      </c>
      <c r="H7" s="225" t="s">
        <v>385</v>
      </c>
      <c r="I7" s="827" t="s">
        <v>767</v>
      </c>
      <c r="J7" s="211" t="str">
        <f>+'29'!J7</f>
        <v>N 12 VP OW</v>
      </c>
      <c r="K7" s="233"/>
      <c r="L7" s="237"/>
      <c r="M7" s="116">
        <f>+K7+'29'!M7+L7</f>
        <v>107831</v>
      </c>
    </row>
    <row r="8" spans="1:18" ht="13.5" thickBot="1">
      <c r="A8" s="825"/>
      <c r="B8" s="212" t="s">
        <v>615</v>
      </c>
      <c r="C8" s="213">
        <v>4367</v>
      </c>
      <c r="D8" s="214"/>
      <c r="E8" s="216"/>
      <c r="F8" s="226"/>
      <c r="G8" s="227" t="s">
        <v>11</v>
      </c>
      <c r="H8" s="225" t="s">
        <v>399</v>
      </c>
      <c r="I8" s="828"/>
      <c r="J8" s="211" t="str">
        <f>+'29'!J8</f>
        <v>F 12.5 VP OW</v>
      </c>
      <c r="K8" s="234"/>
      <c r="L8" s="234"/>
      <c r="M8" s="116">
        <f>+K8+'29'!M8+L8</f>
        <v>66421</v>
      </c>
      <c r="N8" s="148">
        <v>1200</v>
      </c>
      <c r="O8" s="148">
        <f>+N8-N8*0.25</f>
        <v>900</v>
      </c>
      <c r="P8" s="148">
        <f>50+300</f>
        <v>350</v>
      </c>
      <c r="Q8" s="148">
        <f>+N8*P8</f>
        <v>420000</v>
      </c>
      <c r="R8" s="148">
        <f>+O8*P8</f>
        <v>315000</v>
      </c>
    </row>
    <row r="9" spans="1:18" ht="13.5" thickBot="1">
      <c r="A9" s="825"/>
      <c r="B9" s="212"/>
      <c r="C9" s="213"/>
      <c r="D9" s="214"/>
      <c r="E9" s="217"/>
      <c r="F9" s="226">
        <v>4</v>
      </c>
      <c r="G9" s="227" t="s">
        <v>11</v>
      </c>
      <c r="H9" s="228" t="s">
        <v>375</v>
      </c>
      <c r="I9" s="828"/>
      <c r="J9" s="211" t="str">
        <f>+'29'!J9</f>
        <v>F 13 VP OW</v>
      </c>
      <c r="K9" s="234"/>
      <c r="L9" s="234"/>
      <c r="M9" s="116">
        <f>+K9+'29'!M9+L9</f>
        <v>547781</v>
      </c>
      <c r="N9" s="148">
        <v>1240</v>
      </c>
      <c r="O9" s="148">
        <f>+N9-N9*0.25</f>
        <v>930</v>
      </c>
      <c r="P9" s="148">
        <f>60+34</f>
        <v>94</v>
      </c>
      <c r="Q9" s="148">
        <f>+N9*P9</f>
        <v>116560</v>
      </c>
      <c r="R9" s="148">
        <f>+O9*P9</f>
        <v>87420</v>
      </c>
    </row>
    <row r="10" spans="1:18" ht="39" thickBot="1">
      <c r="A10" s="825"/>
      <c r="B10" s="212"/>
      <c r="C10" s="213"/>
      <c r="D10" s="214"/>
      <c r="E10" s="216"/>
      <c r="F10" s="226"/>
      <c r="G10" s="224"/>
      <c r="H10" s="225" t="s">
        <v>759</v>
      </c>
      <c r="I10" s="828"/>
      <c r="J10" s="211" t="str">
        <f>+'29'!J10</f>
        <v>N 17 VP OW</v>
      </c>
      <c r="K10" s="234"/>
      <c r="L10" s="234"/>
      <c r="M10" s="116">
        <f>+K10+'29'!M10+L10</f>
        <v>76374</v>
      </c>
      <c r="P10" s="148">
        <f>SUM(P8:P9)</f>
        <v>444</v>
      </c>
      <c r="Q10" s="148">
        <f t="shared" ref="Q10" si="0">SUM(Q8:Q9)</f>
        <v>536560</v>
      </c>
      <c r="R10" s="148">
        <f t="shared" ref="R10" si="1">SUM(R8:R9)</f>
        <v>402420</v>
      </c>
    </row>
    <row r="11" spans="1:18" ht="51.75" thickBot="1">
      <c r="A11" s="825"/>
      <c r="B11" s="212"/>
      <c r="C11" s="213"/>
      <c r="D11" s="214"/>
      <c r="E11" s="216" t="s">
        <v>414</v>
      </c>
      <c r="F11" s="468">
        <v>130</v>
      </c>
      <c r="G11" s="469" t="s">
        <v>19</v>
      </c>
      <c r="H11" s="228" t="s">
        <v>766</v>
      </c>
      <c r="I11" s="828"/>
      <c r="J11" s="211" t="str">
        <f>+'29'!J11</f>
        <v>N 17,5 VP OW</v>
      </c>
      <c r="K11" s="234"/>
      <c r="L11" s="234"/>
      <c r="M11" s="116">
        <f>+K11+'29'!M11+L11</f>
        <v>23535</v>
      </c>
      <c r="Q11" s="148">
        <f>+Q10/P10</f>
        <v>1208.4684684684685</v>
      </c>
      <c r="R11" s="148">
        <f>+R10/P10</f>
        <v>906.35135135135135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+'29'!J12</f>
        <v>TW 17 VP OW</v>
      </c>
      <c r="K12" s="234"/>
      <c r="L12" s="234"/>
      <c r="M12" s="116">
        <f>+K12+'29'!M12+L12</f>
        <v>243570</v>
      </c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+'29'!J13</f>
        <v>N 15,5 VP OW</v>
      </c>
      <c r="K13" s="234"/>
      <c r="L13" s="234"/>
      <c r="M13" s="116">
        <f>+K13+'29'!M13+L13</f>
        <v>40521</v>
      </c>
    </row>
    <row r="14" spans="1:18" ht="13.5" thickBot="1">
      <c r="A14" s="826"/>
      <c r="B14" s="164" t="s">
        <v>2</v>
      </c>
      <c r="C14" s="98">
        <f>SUM(C7:C13)</f>
        <v>8174</v>
      </c>
      <c r="D14" s="110">
        <f>SUM(D7:D13)</f>
        <v>0</v>
      </c>
      <c r="E14" s="111">
        <f>SUM(E5:E13)</f>
        <v>0</v>
      </c>
      <c r="F14" s="101">
        <f>SUM(F6:F13)</f>
        <v>134</v>
      </c>
      <c r="G14" s="158"/>
      <c r="H14" s="165"/>
      <c r="I14" s="166"/>
      <c r="J14" s="211" t="str">
        <f>+'29'!J14</f>
        <v>N 11 VP OW</v>
      </c>
      <c r="K14" s="234"/>
      <c r="L14" s="234"/>
      <c r="M14" s="116">
        <f>+K14+'29'!M14+L14</f>
        <v>41975</v>
      </c>
    </row>
    <row r="15" spans="1:18" ht="13.5" customHeight="1" thickBot="1">
      <c r="A15" s="830" t="s">
        <v>431</v>
      </c>
      <c r="B15" s="498"/>
      <c r="C15" s="112">
        <f>C14/($C$23+$D$23+$E$23)</f>
        <v>0.6603118184021326</v>
      </c>
      <c r="D15" s="113">
        <f>D14/($C$23+$D$23+$E$23)</f>
        <v>0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769</v>
      </c>
      <c r="J15" s="211" t="str">
        <f>+'29'!J15</f>
        <v>T 14 VP OW</v>
      </c>
      <c r="K15" s="234">
        <f>+C17+C25</f>
        <v>20956</v>
      </c>
      <c r="L15" s="234"/>
      <c r="M15" s="116">
        <f>+K15+'29'!M15+L15</f>
        <v>29360</v>
      </c>
    </row>
    <row r="16" spans="1:18" ht="13.5" thickBot="1">
      <c r="A16" s="825"/>
      <c r="B16" s="212" t="s">
        <v>717</v>
      </c>
      <c r="C16" s="499">
        <f>3495+3753</f>
        <v>7248</v>
      </c>
      <c r="D16" s="218"/>
      <c r="E16" s="219"/>
      <c r="F16" s="226"/>
      <c r="G16" s="227" t="s">
        <v>11</v>
      </c>
      <c r="H16" s="225" t="s">
        <v>399</v>
      </c>
      <c r="I16" s="828"/>
      <c r="J16" s="211" t="str">
        <f>+'29'!J16</f>
        <v>T 16 VP OW</v>
      </c>
      <c r="K16" s="224">
        <f>+C8</f>
        <v>4367</v>
      </c>
      <c r="L16" s="224"/>
      <c r="M16" s="116">
        <f>+K16+'29'!M16+L16</f>
        <v>67771</v>
      </c>
      <c r="N16" s="148">
        <v>1240</v>
      </c>
      <c r="O16" s="148">
        <f>+N16-N16*0.25</f>
        <v>930</v>
      </c>
      <c r="P16" s="148">
        <f>60+34</f>
        <v>94</v>
      </c>
      <c r="Q16" s="148">
        <f>+N16*P16</f>
        <v>116560</v>
      </c>
      <c r="R16" s="148">
        <f>+O16*P16</f>
        <v>87420</v>
      </c>
    </row>
    <row r="17" spans="1:18" ht="13.5" thickBot="1">
      <c r="A17" s="825"/>
      <c r="B17" s="212" t="s">
        <v>614</v>
      </c>
      <c r="C17" s="213">
        <v>5131</v>
      </c>
      <c r="D17" s="214"/>
      <c r="E17" s="220"/>
      <c r="F17" s="226">
        <v>5</v>
      </c>
      <c r="G17" s="227" t="s">
        <v>11</v>
      </c>
      <c r="H17" s="228" t="s">
        <v>445</v>
      </c>
      <c r="I17" s="828"/>
      <c r="J17" s="211" t="str">
        <f>+'29'!J17</f>
        <v>T 18 VP OW</v>
      </c>
      <c r="K17" s="224">
        <f>+C26</f>
        <v>2897</v>
      </c>
      <c r="L17" s="224"/>
      <c r="M17" s="116">
        <f>+K17+'29'!M17+L17</f>
        <v>47203</v>
      </c>
      <c r="N17" s="148">
        <v>1300</v>
      </c>
      <c r="O17" s="148">
        <f>+N17-N17*0.25</f>
        <v>975</v>
      </c>
      <c r="P17" s="148">
        <v>386</v>
      </c>
      <c r="Q17" s="148">
        <f>+N17*P17</f>
        <v>501800</v>
      </c>
      <c r="R17" s="148">
        <f>+O17*P17</f>
        <v>376350</v>
      </c>
    </row>
    <row r="18" spans="1:18" ht="13.5" thickBot="1">
      <c r="A18" s="825"/>
      <c r="B18" s="212"/>
      <c r="C18" s="213"/>
      <c r="D18" s="214"/>
      <c r="E18" s="220"/>
      <c r="F18" s="226"/>
      <c r="G18" s="224"/>
      <c r="H18" s="228" t="s">
        <v>760</v>
      </c>
      <c r="I18" s="828"/>
      <c r="J18" s="211" t="str">
        <f>+'29'!J18</f>
        <v>T 15 VP OW</v>
      </c>
      <c r="K18" s="234"/>
      <c r="L18" s="234"/>
      <c r="M18" s="116">
        <f>+K18+'29'!M18+L18</f>
        <v>48284</v>
      </c>
      <c r="P18" s="148">
        <f>SUM(P16:P17)</f>
        <v>480</v>
      </c>
      <c r="Q18" s="148">
        <f t="shared" ref="Q18:R18" si="2">SUM(Q16:Q17)</f>
        <v>618360</v>
      </c>
      <c r="R18" s="148">
        <f t="shared" si="2"/>
        <v>463770</v>
      </c>
    </row>
    <row r="19" spans="1:18" ht="13.5" thickBot="1">
      <c r="A19" s="825"/>
      <c r="B19" s="212"/>
      <c r="C19" s="213"/>
      <c r="D19" s="214"/>
      <c r="E19" s="220"/>
      <c r="F19" s="223"/>
      <c r="G19" s="227"/>
      <c r="H19" s="225" t="s">
        <v>761</v>
      </c>
      <c r="I19" s="828"/>
      <c r="J19" s="211" t="str">
        <f>+'29'!J19</f>
        <v>F 12 VP OW</v>
      </c>
      <c r="K19" s="234">
        <f>+C7+C16</f>
        <v>11055</v>
      </c>
      <c r="L19" s="234"/>
      <c r="M19" s="116">
        <f>+K19+'29'!M19+L19</f>
        <v>19235</v>
      </c>
      <c r="Q19" s="148">
        <f>+Q18/P18</f>
        <v>1288.25</v>
      </c>
      <c r="R19" s="148">
        <f>+R18/P18</f>
        <v>966.1875</v>
      </c>
    </row>
    <row r="20" spans="1:18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 t="str">
        <f>+'29'!J20</f>
        <v>F 14 VP OW</v>
      </c>
      <c r="K20" s="235"/>
      <c r="L20" s="235"/>
      <c r="M20" s="116">
        <f>+K20+'29'!M20+L20</f>
        <v>18330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 t="s">
        <v>773</v>
      </c>
      <c r="K21" s="234">
        <v>0</v>
      </c>
      <c r="L21" s="234"/>
      <c r="M21" s="116">
        <f>+K21+'29'!M21+L21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+'29'!J22</f>
        <v>0</v>
      </c>
      <c r="K22" s="234"/>
      <c r="L22" s="234"/>
      <c r="M22" s="116">
        <f>+K22+'29'!M22+L22</f>
        <v>0</v>
      </c>
    </row>
    <row r="23" spans="1:18" ht="13.5" thickBot="1">
      <c r="A23" s="826"/>
      <c r="B23" s="164" t="s">
        <v>2</v>
      </c>
      <c r="C23" s="98">
        <f>SUM(C16:C22)</f>
        <v>12379</v>
      </c>
      <c r="D23" s="110">
        <f>SUM(D16:D22)</f>
        <v>0</v>
      </c>
      <c r="E23" s="111">
        <f>SUM(E18:E22)</f>
        <v>0</v>
      </c>
      <c r="F23" s="101">
        <f>SUM(F15:F22)</f>
        <v>5</v>
      </c>
      <c r="G23" s="158"/>
      <c r="H23" s="165"/>
      <c r="I23" s="167"/>
      <c r="J23" s="211">
        <f>+'29'!J23</f>
        <v>0</v>
      </c>
      <c r="K23" s="234"/>
      <c r="L23" s="234"/>
      <c r="M23" s="116">
        <f>+K23+'29'!M23+L23</f>
        <v>0</v>
      </c>
    </row>
    <row r="24" spans="1:18" ht="13.5" customHeight="1" thickBot="1">
      <c r="A24" s="830" t="s">
        <v>353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768</v>
      </c>
      <c r="J24" s="211">
        <f>+'29'!J24</f>
        <v>0</v>
      </c>
      <c r="K24" s="234"/>
      <c r="L24" s="234"/>
      <c r="M24" s="116">
        <f>+K24+'29'!M24+L24</f>
        <v>0</v>
      </c>
    </row>
    <row r="25" spans="1:18" ht="13.5" thickBot="1">
      <c r="A25" s="831"/>
      <c r="B25" s="212" t="s">
        <v>614</v>
      </c>
      <c r="C25" s="221">
        <v>15825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+'29'!J25</f>
        <v>0</v>
      </c>
      <c r="K25" s="234"/>
      <c r="L25" s="234"/>
      <c r="M25" s="116">
        <f>+K25+'29'!M25+L25</f>
        <v>0</v>
      </c>
      <c r="N25" s="148">
        <v>1300</v>
      </c>
      <c r="O25" s="148">
        <f>+N25-N25*0.25</f>
        <v>975</v>
      </c>
      <c r="P25" s="148">
        <f>120+50</f>
        <v>170</v>
      </c>
      <c r="Q25" s="148">
        <f>+N25*P25</f>
        <v>221000</v>
      </c>
      <c r="R25" s="148">
        <f>+O25*P25</f>
        <v>165750</v>
      </c>
    </row>
    <row r="26" spans="1:18" ht="13.5" thickBot="1">
      <c r="A26" s="831"/>
      <c r="B26" s="212" t="s">
        <v>616</v>
      </c>
      <c r="C26" s="221">
        <v>2897</v>
      </c>
      <c r="D26" s="214"/>
      <c r="E26" s="222"/>
      <c r="F26" s="226">
        <v>8</v>
      </c>
      <c r="G26" s="227" t="s">
        <v>11</v>
      </c>
      <c r="H26" s="228" t="s">
        <v>400</v>
      </c>
      <c r="I26" s="828"/>
      <c r="J26" s="211">
        <f>+'29'!J26</f>
        <v>0</v>
      </c>
      <c r="K26" s="234"/>
      <c r="L26" s="234"/>
      <c r="M26" s="116">
        <f>+K26+'29'!M26+L26</f>
        <v>0</v>
      </c>
      <c r="N26" s="148">
        <v>980</v>
      </c>
      <c r="O26" s="148">
        <f>+N26-N26*0.25</f>
        <v>735</v>
      </c>
      <c r="P26" s="148">
        <f>10+240+6</f>
        <v>256</v>
      </c>
      <c r="Q26" s="148">
        <f>+N26*P26</f>
        <v>250880</v>
      </c>
      <c r="R26" s="148">
        <f>+O26*P26</f>
        <v>188160</v>
      </c>
    </row>
    <row r="27" spans="1:18" ht="13.5" thickBot="1">
      <c r="A27" s="831"/>
      <c r="B27" s="212" t="s">
        <v>773</v>
      </c>
      <c r="C27" s="213"/>
      <c r="D27" s="214"/>
      <c r="E27" s="220"/>
      <c r="F27" s="226"/>
      <c r="G27" s="224"/>
      <c r="H27" s="228" t="s">
        <v>762</v>
      </c>
      <c r="I27" s="828"/>
      <c r="J27" s="211">
        <f>+'29'!J27</f>
        <v>0</v>
      </c>
      <c r="K27" s="234"/>
      <c r="L27" s="234"/>
      <c r="M27" s="116">
        <f>+K27+'29'!M27+L27</f>
        <v>0</v>
      </c>
      <c r="N27" s="148">
        <v>980</v>
      </c>
      <c r="O27" s="148">
        <f>+N27-N27*0.25</f>
        <v>735</v>
      </c>
      <c r="P27" s="148">
        <v>54</v>
      </c>
      <c r="Q27" s="148">
        <f>+N27*P27</f>
        <v>52920</v>
      </c>
      <c r="R27" s="148">
        <f>+O27*P27</f>
        <v>39690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765</v>
      </c>
      <c r="I28" s="828"/>
      <c r="J28" s="211">
        <f>+'29'!J28</f>
        <v>0</v>
      </c>
      <c r="K28" s="234"/>
      <c r="L28" s="234"/>
      <c r="M28" s="116">
        <f>+K28+'29'!M28+L28</f>
        <v>0</v>
      </c>
      <c r="P28" s="148">
        <f>SUM(P25:P27)</f>
        <v>480</v>
      </c>
      <c r="Q28" s="148">
        <f t="shared" ref="Q28:R28" si="3">SUM(Q25:Q27)</f>
        <v>524800</v>
      </c>
      <c r="R28" s="148">
        <f t="shared" si="3"/>
        <v>393600</v>
      </c>
    </row>
    <row r="29" spans="1:18" ht="13.5" thickBot="1">
      <c r="A29" s="831"/>
      <c r="B29" s="212"/>
      <c r="C29" s="213"/>
      <c r="D29" s="214"/>
      <c r="E29" s="220"/>
      <c r="F29" s="231"/>
      <c r="G29" s="227"/>
      <c r="H29" s="228" t="s">
        <v>763</v>
      </c>
      <c r="I29" s="828"/>
      <c r="J29" s="211">
        <f>+'29'!J29</f>
        <v>0</v>
      </c>
      <c r="K29" s="234"/>
      <c r="L29" s="234"/>
      <c r="M29" s="116">
        <f>+K29+'29'!M29+L29</f>
        <v>0</v>
      </c>
      <c r="Q29" s="148">
        <f>+Q28/P28</f>
        <v>1093.3333333333333</v>
      </c>
      <c r="R29" s="148">
        <f>+R28/P28</f>
        <v>820</v>
      </c>
    </row>
    <row r="30" spans="1:18" ht="13.5" thickBot="1">
      <c r="A30" s="831"/>
      <c r="B30" s="212"/>
      <c r="C30" s="221"/>
      <c r="D30" s="214"/>
      <c r="E30" s="220"/>
      <c r="F30" s="231"/>
      <c r="G30" s="227"/>
      <c r="H30" s="228" t="s">
        <v>764</v>
      </c>
      <c r="I30" s="828"/>
      <c r="J30" s="211">
        <f>+'29'!J30</f>
        <v>0</v>
      </c>
      <c r="K30" s="234"/>
      <c r="L30" s="234"/>
      <c r="M30" s="116">
        <f>+K30+'29'!M30+L30</f>
        <v>0</v>
      </c>
      <c r="N30" s="154"/>
    </row>
    <row r="31" spans="1:18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+'29'!J31</f>
        <v>0</v>
      </c>
      <c r="K31" s="234"/>
      <c r="L31" s="234"/>
      <c r="M31" s="116">
        <f>+K31+'29'!M31+L31</f>
        <v>0</v>
      </c>
    </row>
    <row r="32" spans="1:18" ht="13.5" thickBot="1">
      <c r="A32" s="832"/>
      <c r="B32" s="164" t="s">
        <v>2</v>
      </c>
      <c r="C32" s="98">
        <f>SUM(C25:C31)</f>
        <v>18722</v>
      </c>
      <c r="D32" s="99">
        <f>SUM(D25:D31)</f>
        <v>0</v>
      </c>
      <c r="E32" s="100">
        <f>SUM(E25:E31)</f>
        <v>0</v>
      </c>
      <c r="F32" s="98">
        <f>SUM(F24:F31)</f>
        <v>8</v>
      </c>
      <c r="G32" s="168"/>
      <c r="H32" s="169"/>
      <c r="I32" s="167"/>
      <c r="J32" s="211">
        <f>+'29'!J32</f>
        <v>0</v>
      </c>
      <c r="K32" s="236"/>
      <c r="L32" s="238"/>
      <c r="M32" s="116">
        <f>+K32+'29'!M32+L32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39275</v>
      </c>
      <c r="D34" s="106">
        <f>D14+D23+D32</f>
        <v>0</v>
      </c>
      <c r="E34" s="106">
        <f>E14+E23+E32</f>
        <v>0</v>
      </c>
      <c r="F34" s="107">
        <f>F14+F23+F32</f>
        <v>147</v>
      </c>
      <c r="H34" s="175"/>
      <c r="I34" s="175"/>
      <c r="J34" s="122" t="s">
        <v>27</v>
      </c>
      <c r="K34" s="123">
        <f>SUM(K7:K32)</f>
        <v>39275</v>
      </c>
      <c r="L34" s="209">
        <f>SUM(L7:L32)</f>
        <v>0</v>
      </c>
      <c r="M34" s="119">
        <f>SUM(M7:M32)</f>
        <v>1378191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(12*444+14*556+18*256+19*54)/1310*G42*2.85*1310/1000000</f>
        <v>47.813096837404586</v>
      </c>
      <c r="J37" s="124">
        <f>+I37+'29'!J37</f>
        <v>1549.4612047969865</v>
      </c>
      <c r="K37" s="125" t="s">
        <v>59</v>
      </c>
      <c r="L37" s="148">
        <f>9.787+1.62+1.296+0.972</f>
        <v>13.674999999999999</v>
      </c>
    </row>
    <row r="38" spans="1:14" ht="17.45" customHeight="1">
      <c r="A38" s="822" t="s">
        <v>11</v>
      </c>
      <c r="B38" s="823"/>
      <c r="C38" s="163">
        <f>SUMIF($G$7:$G$31,"Process",$F$7:$F$31)</f>
        <v>17</v>
      </c>
      <c r="D38" s="117">
        <f>+C38+'29'!D38</f>
        <v>1242</v>
      </c>
      <c r="E38" s="142">
        <f t="shared" ref="E38:E51" si="4">D38/60</f>
        <v>20.7</v>
      </c>
      <c r="F38" s="320">
        <v>1200</v>
      </c>
      <c r="G38" s="320">
        <f>+F38-F38*0.25</f>
        <v>900</v>
      </c>
      <c r="H38" s="184" t="s">
        <v>60</v>
      </c>
      <c r="I38" s="611">
        <f>9.787+18.473+16.163</f>
        <v>44.423000000000002</v>
      </c>
      <c r="J38" s="126">
        <f>+I38+'29'!J38</f>
        <v>1443.3009999999997</v>
      </c>
      <c r="K38" s="127" t="s">
        <v>59</v>
      </c>
      <c r="L38" s="613">
        <f>14.585+2.285</f>
        <v>16.87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+C39+'29'!D39</f>
        <v>0</v>
      </c>
      <c r="E39" s="142">
        <f t="shared" si="4"/>
        <v>0</v>
      </c>
      <c r="F39" s="320">
        <v>1288.25</v>
      </c>
      <c r="G39" s="320">
        <v>966.1875</v>
      </c>
      <c r="H39" s="184" t="s">
        <v>61</v>
      </c>
      <c r="I39" s="141"/>
      <c r="J39" s="128">
        <f>J37/G4</f>
        <v>51.648706826566219</v>
      </c>
      <c r="K39" s="129" t="s">
        <v>59</v>
      </c>
      <c r="L39" s="148">
        <v>2.2850000000000001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+C40+'29'!D40</f>
        <v>8</v>
      </c>
      <c r="E40" s="142">
        <f t="shared" ca="1" si="4"/>
        <v>0.13333333333333333</v>
      </c>
      <c r="F40" s="320">
        <v>1093.3333333333333</v>
      </c>
      <c r="G40" s="320">
        <v>820</v>
      </c>
      <c r="H40" s="184" t="s">
        <v>63</v>
      </c>
      <c r="I40" s="117">
        <f>(K34+L34)/1000</f>
        <v>39.274999999999999</v>
      </c>
      <c r="J40" s="130">
        <f>+I40+'29'!J40</f>
        <v>1378.1910000000005</v>
      </c>
      <c r="K40" s="129" t="s">
        <v>59</v>
      </c>
      <c r="L40" s="148">
        <f>16.163-2.285-2.285</f>
        <v>11.593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+C41+'29'!D41</f>
        <v>150</v>
      </c>
      <c r="E41" s="142">
        <f t="shared" ca="1" si="4"/>
        <v>2.5</v>
      </c>
      <c r="F41" s="320"/>
      <c r="G41" s="320"/>
      <c r="H41" s="184" t="s">
        <v>65</v>
      </c>
      <c r="I41" s="141"/>
      <c r="J41" s="128">
        <f>J40/G4</f>
        <v>45.939700000000016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+C42+'29'!D42</f>
        <v>0</v>
      </c>
      <c r="E42" s="142">
        <f t="shared" ca="1" si="4"/>
        <v>0</v>
      </c>
      <c r="F42" s="320">
        <f>+(F38*350+F39*480+F40*480)/1310</f>
        <v>1193.2519083969466</v>
      </c>
      <c r="G42" s="320">
        <f>+(G38*350+G39*480+G40*480)/1310</f>
        <v>894.93893129770993</v>
      </c>
      <c r="H42" s="184" t="s">
        <v>66</v>
      </c>
      <c r="I42" s="241" t="s">
        <v>770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+C43+'29'!D43</f>
        <v>0</v>
      </c>
      <c r="E43" s="142">
        <f t="shared" ca="1" si="4"/>
        <v>0</v>
      </c>
      <c r="F43" s="320"/>
      <c r="G43" s="321"/>
      <c r="H43" s="185" t="s">
        <v>69</v>
      </c>
      <c r="I43" s="117">
        <f>+Report1!T38</f>
        <v>105</v>
      </c>
      <c r="J43" s="132">
        <f>+I43+'29'!J43</f>
        <v>3551.2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+C44+'29'!D44</f>
        <v>558</v>
      </c>
      <c r="E44" s="142">
        <f t="shared" si="4"/>
        <v>9.3000000000000007</v>
      </c>
      <c r="F44" s="320"/>
      <c r="G44" s="321"/>
      <c r="H44" s="185" t="s">
        <v>70</v>
      </c>
      <c r="I44" s="117">
        <f>I43/I38</f>
        <v>2.3636404565202711</v>
      </c>
      <c r="J44" s="133">
        <f>J43/J38</f>
        <v>2.4604708234803416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+C45+'29'!D45</f>
        <v>0</v>
      </c>
      <c r="E45" s="142">
        <f t="shared" si="4"/>
        <v>0</v>
      </c>
      <c r="F45" s="320"/>
      <c r="G45" s="323"/>
      <c r="H45" s="185" t="s">
        <v>71</v>
      </c>
      <c r="I45" s="117">
        <f>I43/I40</f>
        <v>2.6734563971992364</v>
      </c>
      <c r="J45" s="133">
        <f>J43/J40</f>
        <v>2.5767110654473862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+C46+'29'!D46</f>
        <v>0</v>
      </c>
      <c r="E46" s="142">
        <f t="shared" si="4"/>
        <v>0</v>
      </c>
      <c r="F46" s="320"/>
      <c r="G46" s="321"/>
      <c r="H46" s="185" t="s">
        <v>73</v>
      </c>
      <c r="I46" s="139">
        <f>+SUMIF(Listrik!AN37,"&gt;0")</f>
        <v>42080.283904864664</v>
      </c>
      <c r="J46" s="134">
        <f>+I46+'29'!J46</f>
        <v>1360440.5471897284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+C47+'29'!D47</f>
        <v>0</v>
      </c>
      <c r="E47" s="142">
        <f t="shared" si="4"/>
        <v>0</v>
      </c>
      <c r="F47" s="320"/>
      <c r="G47" s="321"/>
      <c r="H47" s="185" t="s">
        <v>76</v>
      </c>
      <c r="I47" s="117">
        <f>I46/I38</f>
        <v>947.26344247044688</v>
      </c>
      <c r="J47" s="134">
        <f>J46/J38</f>
        <v>942.58962419462648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+C48+'29'!D48</f>
        <v>0</v>
      </c>
      <c r="E48" s="142">
        <f t="shared" si="4"/>
        <v>0</v>
      </c>
      <c r="F48" s="320"/>
      <c r="G48" s="321"/>
      <c r="H48" s="185" t="s">
        <v>77</v>
      </c>
      <c r="I48" s="117">
        <f>I46/I40</f>
        <v>1071.4267066801951</v>
      </c>
      <c r="J48" s="134">
        <f>J46/J40</f>
        <v>987.12046965168679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130</v>
      </c>
      <c r="D49" s="117">
        <f>+C49+'29'!D49</f>
        <v>545</v>
      </c>
      <c r="E49" s="142">
        <f t="shared" si="4"/>
        <v>9.0833333333333339</v>
      </c>
      <c r="F49" s="182"/>
      <c r="H49" s="185" t="s">
        <v>78</v>
      </c>
      <c r="I49" s="117">
        <v>0</v>
      </c>
      <c r="J49" s="134">
        <f>+I49+'29'!J49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+C50+'29'!D50</f>
        <v>0</v>
      </c>
      <c r="E50" s="142">
        <f t="shared" si="4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+C51+'29'!D51</f>
        <v>540</v>
      </c>
      <c r="E51" s="142">
        <f t="shared" si="4"/>
        <v>9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147</v>
      </c>
      <c r="D52" s="143">
        <f ca="1">SUM(D38:D51)</f>
        <v>3043</v>
      </c>
      <c r="E52" s="144">
        <f ca="1">SUM(E38:E51)</f>
        <v>50.716666666666669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0.10208333333333333</v>
      </c>
      <c r="D53" s="145">
        <f ca="1">D52/(24*60*G4)</f>
        <v>7.0439814814814816E-2</v>
      </c>
      <c r="E53" s="146">
        <f ca="1">E52/(G4*24)</f>
        <v>7.0439814814814816E-2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+D34+'29'!J56</f>
        <v>28846</v>
      </c>
      <c r="K56" s="198">
        <f>J56/(J40+J56/1000)/1000</f>
        <v>2.0501237707323965E-2</v>
      </c>
    </row>
    <row r="57" spans="1:11">
      <c r="A57" s="173"/>
      <c r="I57" s="196" t="s">
        <v>85</v>
      </c>
      <c r="J57" s="197">
        <f>+E34+'29'!J57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5625" right="0.19513888888888889" top="0.39027777777777778" bottom="0.39027777777777778" header="0" footer="0"/>
  <pageSetup paperSize="9" scale="55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4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6384" width="9.140625" style="148"/>
  </cols>
  <sheetData>
    <row r="1" spans="1:16" ht="15.75">
      <c r="A1" s="147"/>
    </row>
    <row r="2" spans="1:16" ht="15.75">
      <c r="A2" s="147" t="s">
        <v>217</v>
      </c>
    </row>
    <row r="3" spans="1:16" ht="15">
      <c r="A3" s="149"/>
    </row>
    <row r="4" spans="1:16" ht="20.25">
      <c r="A4" s="150" t="s">
        <v>3</v>
      </c>
      <c r="B4" s="151"/>
      <c r="F4" s="152" t="s">
        <v>28</v>
      </c>
      <c r="G4" s="153">
        <v>29</v>
      </c>
      <c r="H4" s="153" t="str">
        <f>+'1'!H4</f>
        <v>.06.24</v>
      </c>
    </row>
    <row r="5" spans="1:16" ht="13.5" thickBot="1">
      <c r="C5" s="154"/>
      <c r="D5" s="154"/>
    </row>
    <row r="6" spans="1:16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451+399+432</f>
        <v>1282</v>
      </c>
    </row>
    <row r="7" spans="1:16" ht="13.5" customHeight="1" thickBot="1">
      <c r="A7" s="824" t="s">
        <v>219</v>
      </c>
      <c r="B7" s="212" t="s">
        <v>380</v>
      </c>
      <c r="C7" s="213">
        <v>1009</v>
      </c>
      <c r="D7" s="214">
        <v>328</v>
      </c>
      <c r="E7" s="215"/>
      <c r="F7" s="226"/>
      <c r="G7" s="224" t="s">
        <v>11</v>
      </c>
      <c r="H7" s="225" t="s">
        <v>385</v>
      </c>
      <c r="I7" s="827" t="s">
        <v>751</v>
      </c>
      <c r="J7" s="211" t="str">
        <f>+'28'!J7</f>
        <v>N 12 VP OW</v>
      </c>
      <c r="K7" s="233"/>
      <c r="L7" s="237"/>
      <c r="M7" s="116">
        <f>+K7+'28'!M7+L7</f>
        <v>107831</v>
      </c>
    </row>
    <row r="8" spans="1:16" ht="13.5" thickBot="1">
      <c r="A8" s="825"/>
      <c r="B8" s="212" t="s">
        <v>650</v>
      </c>
      <c r="C8" s="213">
        <v>3923</v>
      </c>
      <c r="D8" s="214"/>
      <c r="E8" s="216"/>
      <c r="F8" s="226">
        <v>2</v>
      </c>
      <c r="G8" s="227" t="s">
        <v>11</v>
      </c>
      <c r="H8" s="225" t="s">
        <v>420</v>
      </c>
      <c r="I8" s="828"/>
      <c r="J8" s="211" t="str">
        <f>+'28'!J8</f>
        <v>F 12.5 VP OW</v>
      </c>
      <c r="K8" s="234"/>
      <c r="L8" s="234"/>
      <c r="M8" s="116">
        <f>+K8+'28'!M8+L8</f>
        <v>66421</v>
      </c>
      <c r="N8" s="148">
        <v>1200</v>
      </c>
      <c r="O8" s="148">
        <f>+N8-N8*0.25</f>
        <v>900</v>
      </c>
      <c r="P8" s="148">
        <f>480-220+480+310</f>
        <v>1050</v>
      </c>
    </row>
    <row r="9" spans="1:16" ht="13.5" thickBot="1">
      <c r="A9" s="825"/>
      <c r="B9" s="212"/>
      <c r="C9" s="213"/>
      <c r="D9" s="214"/>
      <c r="E9" s="217"/>
      <c r="F9" s="226">
        <v>3</v>
      </c>
      <c r="G9" s="227" t="s">
        <v>11</v>
      </c>
      <c r="H9" s="228" t="s">
        <v>400</v>
      </c>
      <c r="I9" s="828"/>
      <c r="J9" s="211" t="str">
        <f>+'28'!J9</f>
        <v>F 13 VP OW</v>
      </c>
      <c r="K9" s="234">
        <f>+C7</f>
        <v>1009</v>
      </c>
      <c r="L9" s="234"/>
      <c r="M9" s="116">
        <f>+K9+'28'!M9+L9</f>
        <v>547781</v>
      </c>
    </row>
    <row r="10" spans="1:16" ht="13.5" thickBot="1">
      <c r="A10" s="825"/>
      <c r="B10" s="212"/>
      <c r="C10" s="213"/>
      <c r="D10" s="214"/>
      <c r="E10" s="216"/>
      <c r="F10" s="226"/>
      <c r="G10" s="232"/>
      <c r="H10" s="427" t="s">
        <v>744</v>
      </c>
      <c r="I10" s="828"/>
      <c r="J10" s="211" t="str">
        <f>+'28'!J10</f>
        <v>N 17 VP OW</v>
      </c>
      <c r="K10" s="234"/>
      <c r="L10" s="234"/>
      <c r="M10" s="116">
        <f>+K10+'28'!M10+L10</f>
        <v>76374</v>
      </c>
    </row>
    <row r="11" spans="1:16" ht="51.75" thickBot="1">
      <c r="A11" s="825"/>
      <c r="B11" s="212"/>
      <c r="C11" s="213"/>
      <c r="D11" s="214"/>
      <c r="E11" s="216"/>
      <c r="F11" s="468">
        <v>220</v>
      </c>
      <c r="G11" s="469" t="s">
        <v>19</v>
      </c>
      <c r="H11" s="225" t="s">
        <v>745</v>
      </c>
      <c r="I11" s="828"/>
      <c r="J11" s="211" t="str">
        <f>+'28'!J11</f>
        <v>N 17,5 VP OW</v>
      </c>
      <c r="K11" s="234"/>
      <c r="L11" s="234"/>
      <c r="M11" s="116">
        <f>+K11+'28'!M11+L11</f>
        <v>23535</v>
      </c>
    </row>
    <row r="12" spans="1:16" ht="26.25" thickBot="1">
      <c r="A12" s="825"/>
      <c r="B12" s="212"/>
      <c r="C12" s="213"/>
      <c r="D12" s="214"/>
      <c r="E12" s="216"/>
      <c r="F12" s="223"/>
      <c r="G12" s="227"/>
      <c r="H12" s="228" t="s">
        <v>747</v>
      </c>
      <c r="I12" s="828"/>
      <c r="J12" s="211" t="str">
        <f>+'28'!J12</f>
        <v>TW 17 VP OW</v>
      </c>
      <c r="K12" s="234"/>
      <c r="L12" s="234"/>
      <c r="M12" s="116">
        <f>+K12+'28'!M12+L12</f>
        <v>243570</v>
      </c>
    </row>
    <row r="13" spans="1:16" ht="26.25" thickBot="1">
      <c r="A13" s="825"/>
      <c r="B13" s="212"/>
      <c r="C13" s="213"/>
      <c r="D13" s="213"/>
      <c r="E13" s="216"/>
      <c r="F13" s="223"/>
      <c r="G13" s="227"/>
      <c r="H13" s="228" t="s">
        <v>746</v>
      </c>
      <c r="I13" s="829"/>
      <c r="J13" s="211" t="str">
        <f>+'28'!J13</f>
        <v>N 15,5 VP OW</v>
      </c>
      <c r="K13" s="234"/>
      <c r="L13" s="234"/>
      <c r="M13" s="116">
        <f>+K13+'28'!M13+L13</f>
        <v>40521</v>
      </c>
    </row>
    <row r="14" spans="1:16" ht="13.5" thickBot="1">
      <c r="A14" s="826"/>
      <c r="B14" s="164" t="s">
        <v>2</v>
      </c>
      <c r="C14" s="98">
        <f>SUM(C7:C13)</f>
        <v>4932</v>
      </c>
      <c r="D14" s="110">
        <f>SUM(D7:D13)</f>
        <v>328</v>
      </c>
      <c r="E14" s="111">
        <f>SUM(E5:E13)</f>
        <v>0</v>
      </c>
      <c r="F14" s="101">
        <f>SUM(F6:F13)</f>
        <v>225</v>
      </c>
      <c r="G14" s="158"/>
      <c r="H14" s="165"/>
      <c r="I14" s="166"/>
      <c r="J14" s="211" t="str">
        <f>+'28'!J14</f>
        <v>N 11 VP OW</v>
      </c>
      <c r="K14" s="234"/>
      <c r="L14" s="234"/>
      <c r="M14" s="116">
        <f>+K14+'28'!M14+L14</f>
        <v>41975</v>
      </c>
    </row>
    <row r="15" spans="1:16" ht="13.5" customHeight="1" thickBot="1">
      <c r="A15" s="830" t="s">
        <v>431</v>
      </c>
      <c r="B15" s="498"/>
      <c r="C15" s="112">
        <f>C14/($C$23+$D$23+$E$23)</f>
        <v>0.25140177388112955</v>
      </c>
      <c r="D15" s="113">
        <f>D14/($C$23+$D$23+$E$23)</f>
        <v>1.6719339382200021E-2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751</v>
      </c>
      <c r="J15" s="211" t="str">
        <f>+'28'!J15</f>
        <v>T 14 VP OW</v>
      </c>
      <c r="K15" s="234"/>
      <c r="L15" s="234"/>
      <c r="M15" s="116">
        <f>+K15+'28'!M15+L15</f>
        <v>8404</v>
      </c>
    </row>
    <row r="16" spans="1:16" ht="13.5" thickBot="1">
      <c r="A16" s="825"/>
      <c r="B16" s="212" t="s">
        <v>650</v>
      </c>
      <c r="C16" s="499">
        <v>18344</v>
      </c>
      <c r="D16" s="218">
        <v>1274</v>
      </c>
      <c r="E16" s="219"/>
      <c r="F16" s="226">
        <v>1</v>
      </c>
      <c r="G16" s="227" t="s">
        <v>11</v>
      </c>
      <c r="H16" s="225" t="s">
        <v>419</v>
      </c>
      <c r="I16" s="828"/>
      <c r="J16" s="211" t="str">
        <f>+'28'!J16</f>
        <v>T 16 VP OW</v>
      </c>
      <c r="K16" s="224">
        <f>+C26</f>
        <v>1238</v>
      </c>
      <c r="L16" s="224"/>
      <c r="M16" s="116">
        <f>+K16+'28'!M16+L16</f>
        <v>63404</v>
      </c>
    </row>
    <row r="17" spans="1:18" ht="13.5" thickBot="1">
      <c r="A17" s="825"/>
      <c r="B17" s="212"/>
      <c r="C17" s="213"/>
      <c r="D17" s="214"/>
      <c r="E17" s="220"/>
      <c r="F17" s="226">
        <v>4</v>
      </c>
      <c r="G17" s="227" t="s">
        <v>11</v>
      </c>
      <c r="H17" s="228" t="s">
        <v>445</v>
      </c>
      <c r="I17" s="828"/>
      <c r="J17" s="211" t="str">
        <f>+'28'!J17</f>
        <v>T 18 VP OW</v>
      </c>
      <c r="K17" s="224"/>
      <c r="L17" s="224"/>
      <c r="M17" s="116">
        <f>+K17+'28'!M17+L17</f>
        <v>44306</v>
      </c>
    </row>
    <row r="18" spans="1:18" ht="13.5" thickBot="1">
      <c r="A18" s="825"/>
      <c r="B18" s="212"/>
      <c r="C18" s="213"/>
      <c r="D18" s="214"/>
      <c r="E18" s="220"/>
      <c r="F18" s="226"/>
      <c r="G18" s="232"/>
      <c r="H18" s="427" t="s">
        <v>744</v>
      </c>
      <c r="I18" s="828"/>
      <c r="J18" s="211" t="str">
        <f>+'28'!J18</f>
        <v>T 15 VP OW</v>
      </c>
      <c r="K18" s="234">
        <f>+C8+C16+C25</f>
        <v>38301</v>
      </c>
      <c r="L18" s="234"/>
      <c r="M18" s="116">
        <f>+K18+'28'!M18+L18</f>
        <v>48284</v>
      </c>
    </row>
    <row r="19" spans="1:18" ht="13.5" thickBot="1">
      <c r="A19" s="825"/>
      <c r="B19" s="212"/>
      <c r="C19" s="213"/>
      <c r="D19" s="214"/>
      <c r="E19" s="220"/>
      <c r="F19" s="223"/>
      <c r="G19" s="227"/>
      <c r="H19" s="225" t="s">
        <v>748</v>
      </c>
      <c r="I19" s="828"/>
      <c r="J19" s="211" t="str">
        <f>+'28'!J19</f>
        <v>F 12 VP OW</v>
      </c>
      <c r="K19" s="234"/>
      <c r="L19" s="234"/>
      <c r="M19" s="116">
        <f>+K19+'28'!M19+L19</f>
        <v>8180</v>
      </c>
    </row>
    <row r="20" spans="1:18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 t="str">
        <f>+'28'!J20</f>
        <v>F 14 VP OW</v>
      </c>
      <c r="K20" s="235"/>
      <c r="L20" s="235"/>
      <c r="M20" s="116">
        <f>+K20+'28'!M20+L20</f>
        <v>18330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+'28'!J21</f>
        <v>0</v>
      </c>
      <c r="K21" s="234"/>
      <c r="L21" s="234"/>
      <c r="M21" s="116">
        <f>+K21+'28'!M21+L21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+'28'!J22</f>
        <v>0</v>
      </c>
      <c r="K22" s="234"/>
      <c r="L22" s="234"/>
      <c r="M22" s="116">
        <f>+K22+'28'!M22+L22</f>
        <v>0</v>
      </c>
    </row>
    <row r="23" spans="1:18" ht="13.5" thickBot="1">
      <c r="A23" s="826"/>
      <c r="B23" s="164" t="s">
        <v>2</v>
      </c>
      <c r="C23" s="98">
        <f>SUM(C16:C22)</f>
        <v>18344</v>
      </c>
      <c r="D23" s="110">
        <f>SUM(D16:D22)</f>
        <v>1274</v>
      </c>
      <c r="E23" s="111">
        <f>SUM(E18:E22)</f>
        <v>0</v>
      </c>
      <c r="F23" s="101">
        <f>SUM(F15:F22)</f>
        <v>5</v>
      </c>
      <c r="G23" s="158"/>
      <c r="H23" s="165"/>
      <c r="I23" s="167"/>
      <c r="J23" s="211">
        <f>+'28'!J23</f>
        <v>0</v>
      </c>
      <c r="K23" s="234"/>
      <c r="L23" s="234"/>
      <c r="M23" s="116">
        <f>+K23+'28'!M23+L23</f>
        <v>0</v>
      </c>
    </row>
    <row r="24" spans="1:18" ht="13.5" customHeight="1" thickBot="1">
      <c r="A24" s="830" t="s">
        <v>353</v>
      </c>
      <c r="B24" s="498"/>
      <c r="C24" s="112">
        <f>C23/($C$23+$D$23+$E$23)</f>
        <v>0.93505963910694256</v>
      </c>
      <c r="D24" s="113">
        <f>D23/($C$23+$D$23+$E$23)</f>
        <v>6.4940360893057394E-2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753</v>
      </c>
      <c r="J24" s="211">
        <f>+'28'!J24</f>
        <v>0</v>
      </c>
      <c r="K24" s="234"/>
      <c r="L24" s="234"/>
      <c r="M24" s="116">
        <f>+K24+'28'!M24+L24</f>
        <v>0</v>
      </c>
    </row>
    <row r="25" spans="1:18" ht="13.5" customHeight="1" thickBot="1">
      <c r="A25" s="831"/>
      <c r="B25" s="212" t="s">
        <v>650</v>
      </c>
      <c r="C25" s="221">
        <v>16034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+'28'!J25</f>
        <v>0</v>
      </c>
      <c r="K25" s="234"/>
      <c r="L25" s="234"/>
      <c r="M25" s="116">
        <f>+K25+'28'!M25+L25</f>
        <v>0</v>
      </c>
      <c r="N25" s="148">
        <v>1200</v>
      </c>
      <c r="O25" s="148">
        <f t="shared" ref="O25:O26" si="0">+N25-N25*0.25</f>
        <v>900</v>
      </c>
      <c r="P25" s="148">
        <v>310</v>
      </c>
      <c r="Q25" s="148">
        <f>+N25*P25</f>
        <v>372000</v>
      </c>
      <c r="R25" s="148">
        <f>+O25*P25</f>
        <v>279000</v>
      </c>
    </row>
    <row r="26" spans="1:18" ht="13.5" customHeight="1" thickBot="1">
      <c r="A26" s="831"/>
      <c r="B26" s="212" t="s">
        <v>615</v>
      </c>
      <c r="C26" s="221">
        <v>1238</v>
      </c>
      <c r="D26" s="214"/>
      <c r="E26" s="222"/>
      <c r="F26" s="226">
        <v>12</v>
      </c>
      <c r="G26" s="227" t="s">
        <v>11</v>
      </c>
      <c r="H26" s="228" t="s">
        <v>755</v>
      </c>
      <c r="I26" s="828"/>
      <c r="J26" s="211">
        <f>+'28'!J26</f>
        <v>0</v>
      </c>
      <c r="K26" s="234"/>
      <c r="L26" s="234"/>
      <c r="M26" s="116">
        <f>+K26+'28'!M26+L26</f>
        <v>0</v>
      </c>
      <c r="N26" s="148">
        <v>1170</v>
      </c>
      <c r="O26" s="148">
        <f t="shared" si="0"/>
        <v>877.5</v>
      </c>
      <c r="P26" s="148">
        <f>50+120</f>
        <v>170</v>
      </c>
      <c r="Q26" s="148">
        <f>+N26*P26</f>
        <v>198900</v>
      </c>
      <c r="R26" s="148">
        <f>+O26*P26</f>
        <v>149175</v>
      </c>
    </row>
    <row r="27" spans="1:18" ht="13.5" customHeight="1" thickBot="1">
      <c r="A27" s="831"/>
      <c r="B27" s="212"/>
      <c r="C27" s="213"/>
      <c r="D27" s="214"/>
      <c r="E27" s="220"/>
      <c r="F27" s="226"/>
      <c r="G27" s="232"/>
      <c r="H27" s="427" t="s">
        <v>744</v>
      </c>
      <c r="I27" s="828"/>
      <c r="J27" s="211">
        <f>+'28'!J27</f>
        <v>0</v>
      </c>
      <c r="K27" s="234"/>
      <c r="L27" s="234"/>
      <c r="M27" s="116">
        <f>+K27+'28'!M27+L27</f>
        <v>0</v>
      </c>
      <c r="P27" s="148">
        <f>SUM(P25:P26)</f>
        <v>480</v>
      </c>
      <c r="Q27" s="148">
        <f t="shared" ref="Q27:R27" si="1">SUM(Q25:Q26)</f>
        <v>570900</v>
      </c>
      <c r="R27" s="148">
        <f t="shared" si="1"/>
        <v>428175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752</v>
      </c>
      <c r="I28" s="828"/>
      <c r="J28" s="211">
        <f>+'28'!J28</f>
        <v>0</v>
      </c>
      <c r="K28" s="234"/>
      <c r="L28" s="234"/>
      <c r="M28" s="116">
        <f>+K28+'28'!M28+L28</f>
        <v>0</v>
      </c>
      <c r="Q28" s="148">
        <f>+Q27/P27</f>
        <v>1189.375</v>
      </c>
      <c r="R28" s="148">
        <f>+R27/P27</f>
        <v>892.03125</v>
      </c>
    </row>
    <row r="29" spans="1:18" ht="13.5" customHeight="1" thickBot="1">
      <c r="A29" s="831"/>
      <c r="B29" s="212"/>
      <c r="C29" s="213"/>
      <c r="D29" s="214"/>
      <c r="E29" s="220"/>
      <c r="F29" s="231"/>
      <c r="G29" s="227"/>
      <c r="H29" s="228" t="s">
        <v>749</v>
      </c>
      <c r="I29" s="828"/>
      <c r="J29" s="211">
        <f>+'28'!J29</f>
        <v>0</v>
      </c>
      <c r="K29" s="234"/>
      <c r="L29" s="234"/>
      <c r="M29" s="116">
        <f>+K29+'28'!M29+L29</f>
        <v>0</v>
      </c>
    </row>
    <row r="30" spans="1:18" ht="13.5" customHeight="1" thickBot="1">
      <c r="A30" s="831"/>
      <c r="B30" s="212"/>
      <c r="C30" s="221"/>
      <c r="D30" s="214"/>
      <c r="E30" s="220"/>
      <c r="F30" s="231"/>
      <c r="G30" s="227"/>
      <c r="H30" s="228" t="s">
        <v>750</v>
      </c>
      <c r="I30" s="828"/>
      <c r="J30" s="211">
        <f>+'28'!J30</f>
        <v>0</v>
      </c>
      <c r="K30" s="234"/>
      <c r="L30" s="234"/>
      <c r="M30" s="116">
        <f>+K30+'28'!M30+L30</f>
        <v>0</v>
      </c>
      <c r="N30" s="154"/>
    </row>
    <row r="31" spans="1:18" ht="13.5" customHeight="1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+'28'!J31</f>
        <v>0</v>
      </c>
      <c r="K31" s="234"/>
      <c r="L31" s="234"/>
      <c r="M31" s="116">
        <f>+K31+'28'!M31+L31</f>
        <v>0</v>
      </c>
    </row>
    <row r="32" spans="1:18" ht="13.5" customHeight="1" thickBot="1">
      <c r="A32" s="832"/>
      <c r="B32" s="164" t="s">
        <v>2</v>
      </c>
      <c r="C32" s="98">
        <f>SUM(C25:C31)</f>
        <v>17272</v>
      </c>
      <c r="D32" s="99">
        <f>SUM(D25:D31)</f>
        <v>0</v>
      </c>
      <c r="E32" s="100">
        <f>SUM(E25:E31)</f>
        <v>0</v>
      </c>
      <c r="F32" s="98">
        <f>SUM(F24:F31)</f>
        <v>12</v>
      </c>
      <c r="G32" s="168"/>
      <c r="H32" s="169"/>
      <c r="I32" s="167"/>
      <c r="J32" s="211">
        <f>+'28'!J32</f>
        <v>0</v>
      </c>
      <c r="K32" s="236"/>
      <c r="L32" s="238"/>
      <c r="M32" s="116">
        <f>+K32+'28'!M32+L32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40548</v>
      </c>
      <c r="D34" s="106">
        <f>D14+D23+D32</f>
        <v>1602</v>
      </c>
      <c r="E34" s="106">
        <f>E14+E23+E32</f>
        <v>0</v>
      </c>
      <c r="F34" s="107">
        <f>F14+F23+F32</f>
        <v>242</v>
      </c>
      <c r="H34" s="175"/>
      <c r="I34" s="175"/>
      <c r="J34" s="122" t="s">
        <v>27</v>
      </c>
      <c r="K34" s="123">
        <f>SUM(K7:K32)</f>
        <v>40548</v>
      </c>
      <c r="L34" s="209">
        <f>SUM(L7:L32)</f>
        <v>0</v>
      </c>
      <c r="M34" s="119">
        <f>SUM(M7:M32)</f>
        <v>1338916</v>
      </c>
      <c r="N34" s="154"/>
    </row>
    <row r="35" spans="1:14" ht="13.5" thickBot="1">
      <c r="A35" s="176"/>
      <c r="B35" s="177"/>
      <c r="C35" s="103">
        <f>C34/($C$34+$D$34+$E$34)</f>
        <v>0.96199288256227755</v>
      </c>
      <c r="D35" s="103">
        <f>D34/($C$34+$D$34+$E$34)</f>
        <v>3.8007117437722421E-2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(15*1050+16*170)/1220*G42*2.85*1220/1000000</f>
        <v>47.210512223360659</v>
      </c>
      <c r="J37" s="124">
        <f>+I37+'28'!J37</f>
        <v>1501.6481079595819</v>
      </c>
      <c r="K37" s="125" t="s">
        <v>59</v>
      </c>
      <c r="L37" s="154">
        <f>+I38-L38</f>
        <v>29.72</v>
      </c>
    </row>
    <row r="38" spans="1:14" ht="17.45" customHeight="1">
      <c r="A38" s="822" t="s">
        <v>11</v>
      </c>
      <c r="B38" s="823"/>
      <c r="C38" s="163">
        <f>SUMIF($G$7:$G$31,"Process",$F$7:$F$31)</f>
        <v>22</v>
      </c>
      <c r="D38" s="117">
        <f>+C38+'28'!D38</f>
        <v>1225</v>
      </c>
      <c r="E38" s="142">
        <f t="shared" ref="E38:E51" si="2">D38/60</f>
        <v>20.416666666666668</v>
      </c>
      <c r="F38" s="320">
        <v>1200</v>
      </c>
      <c r="G38" s="320">
        <v>900</v>
      </c>
      <c r="H38" s="184" t="s">
        <v>60</v>
      </c>
      <c r="I38" s="501">
        <f>11.178+17.388+17.377</f>
        <v>45.942999999999998</v>
      </c>
      <c r="J38" s="126">
        <f>+I38+'28'!J38</f>
        <v>1398.8779999999997</v>
      </c>
      <c r="K38" s="127" t="s">
        <v>59</v>
      </c>
      <c r="L38" s="148">
        <f>17.377-1.154</f>
        <v>16.222999999999999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+C39+'28'!D39</f>
        <v>0</v>
      </c>
      <c r="E39" s="142">
        <f t="shared" si="2"/>
        <v>0</v>
      </c>
      <c r="F39" s="320">
        <v>1200</v>
      </c>
      <c r="G39" s="320">
        <v>900</v>
      </c>
      <c r="H39" s="184" t="s">
        <v>61</v>
      </c>
      <c r="I39" s="141"/>
      <c r="J39" s="128">
        <f>J37/G4</f>
        <v>51.780969239985581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+C40+'28'!D40</f>
        <v>8</v>
      </c>
      <c r="E40" s="142">
        <f t="shared" ca="1" si="2"/>
        <v>0.13333333333333333</v>
      </c>
      <c r="F40" s="320">
        <v>1189.375</v>
      </c>
      <c r="G40" s="320">
        <v>892.03125</v>
      </c>
      <c r="H40" s="184" t="s">
        <v>63</v>
      </c>
      <c r="I40" s="117">
        <f>(K34+L34)/1000</f>
        <v>40.548000000000002</v>
      </c>
      <c r="J40" s="130">
        <f>+I40+'28'!J40</f>
        <v>1338.9160000000004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+C41+'28'!D41</f>
        <v>150</v>
      </c>
      <c r="E41" s="142">
        <f t="shared" ca="1" si="2"/>
        <v>2.5</v>
      </c>
      <c r="F41" s="320"/>
      <c r="G41" s="320"/>
      <c r="H41" s="184" t="s">
        <v>65</v>
      </c>
      <c r="I41" s="141"/>
      <c r="J41" s="128">
        <f>J40/G4</f>
        <v>46.169517241379324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+C42+'28'!D42</f>
        <v>0</v>
      </c>
      <c r="E42" s="142">
        <f t="shared" ca="1" si="2"/>
        <v>0</v>
      </c>
      <c r="F42" s="320">
        <f>+(F38*260+F39*480+F40*480)/1220</f>
        <v>1195.8196721311476</v>
      </c>
      <c r="G42" s="320">
        <f>+(G38*260+G39*480+G40*480)/1220</f>
        <v>896.86475409836066</v>
      </c>
      <c r="H42" s="184" t="s">
        <v>66</v>
      </c>
      <c r="I42" s="241" t="s">
        <v>754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+C43+'28'!D43</f>
        <v>0</v>
      </c>
      <c r="E43" s="142">
        <f t="shared" ca="1" si="2"/>
        <v>0</v>
      </c>
      <c r="F43" s="320"/>
      <c r="G43" s="321"/>
      <c r="H43" s="185" t="s">
        <v>69</v>
      </c>
      <c r="I43" s="117">
        <f>+Report1!T37</f>
        <v>111</v>
      </c>
      <c r="J43" s="132">
        <f>+I43+'28'!J43</f>
        <v>3446.2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+C44+'28'!D44</f>
        <v>558</v>
      </c>
      <c r="E44" s="142">
        <f t="shared" si="2"/>
        <v>9.3000000000000007</v>
      </c>
      <c r="F44" s="320"/>
      <c r="G44" s="321"/>
      <c r="H44" s="185" t="s">
        <v>70</v>
      </c>
      <c r="I44" s="117">
        <f>I43/I38</f>
        <v>2.4160372635657228</v>
      </c>
      <c r="J44" s="133">
        <f>J43/J38</f>
        <v>2.46354578455019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+C45+'28'!D45</f>
        <v>0</v>
      </c>
      <c r="E45" s="142">
        <f t="shared" si="2"/>
        <v>0</v>
      </c>
      <c r="F45" s="320"/>
      <c r="G45" s="323"/>
      <c r="H45" s="185" t="s">
        <v>71</v>
      </c>
      <c r="I45" s="117">
        <f>I43/I40</f>
        <v>2.7374963006806747</v>
      </c>
      <c r="J45" s="133">
        <f>J43/J40</f>
        <v>2.5738731929411545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+C46+'28'!D46</f>
        <v>0</v>
      </c>
      <c r="E46" s="142">
        <f t="shared" si="2"/>
        <v>0</v>
      </c>
      <c r="F46" s="320"/>
      <c r="G46" s="321"/>
      <c r="H46" s="185" t="s">
        <v>73</v>
      </c>
      <c r="I46" s="139">
        <f>+SUMIF(Listrik!AN36,"&gt;0")</f>
        <v>39450.608257483065</v>
      </c>
      <c r="J46" s="134">
        <f>+I46+'28'!J46</f>
        <v>1318360.2632848637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+C47+'28'!D47</f>
        <v>0</v>
      </c>
      <c r="E47" s="142">
        <f t="shared" si="2"/>
        <v>0</v>
      </c>
      <c r="F47" s="320"/>
      <c r="G47" s="321"/>
      <c r="H47" s="185" t="s">
        <v>76</v>
      </c>
      <c r="I47" s="117">
        <f>I46/I38</f>
        <v>858.68594252624052</v>
      </c>
      <c r="J47" s="134">
        <f>J46/J38</f>
        <v>942.44120165222694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+C48+'28'!D48</f>
        <v>0</v>
      </c>
      <c r="E48" s="142">
        <f t="shared" si="2"/>
        <v>0</v>
      </c>
      <c r="F48" s="320"/>
      <c r="G48" s="321"/>
      <c r="H48" s="185" t="s">
        <v>77</v>
      </c>
      <c r="I48" s="117">
        <f>I46/I40</f>
        <v>972.93598346362489</v>
      </c>
      <c r="J48" s="134">
        <f>J46/J40</f>
        <v>984.6474784712882</v>
      </c>
      <c r="K48" s="129" t="s">
        <v>23</v>
      </c>
    </row>
    <row r="49" spans="1:11" ht="17.45" customHeight="1">
      <c r="A49" s="837" t="s">
        <v>19</v>
      </c>
      <c r="B49" s="819"/>
      <c r="C49" s="163">
        <f>SUMIF($G$7:$G$31,"Others",$F$7:$F$31)</f>
        <v>220</v>
      </c>
      <c r="D49" s="117">
        <f>+C49+'28'!D49</f>
        <v>415</v>
      </c>
      <c r="E49" s="142">
        <f t="shared" si="2"/>
        <v>6.916666666666667</v>
      </c>
      <c r="F49" s="182"/>
      <c r="H49" s="185" t="s">
        <v>78</v>
      </c>
      <c r="I49" s="117">
        <v>0</v>
      </c>
      <c r="J49" s="134">
        <f>+I49+'28'!J49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+C50+'28'!D50</f>
        <v>0</v>
      </c>
      <c r="E50" s="142">
        <f t="shared" si="2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+C51+'28'!D51</f>
        <v>540</v>
      </c>
      <c r="E51" s="142">
        <f t="shared" si="2"/>
        <v>9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242</v>
      </c>
      <c r="D52" s="143">
        <f ca="1">SUM(D38:D51)</f>
        <v>2896</v>
      </c>
      <c r="E52" s="144">
        <f ca="1">SUM(E38:E51)</f>
        <v>48.266666666666666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0.16805555555555557</v>
      </c>
      <c r="D53" s="145">
        <f ca="1">D52/(24*60*G4)</f>
        <v>6.9348659003831414E-2</v>
      </c>
      <c r="E53" s="146">
        <f ca="1">E52/(G4*24)</f>
        <v>6.9348659003831414E-2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+D34+'28'!J56</f>
        <v>28846</v>
      </c>
      <c r="K56" s="198">
        <f>J56/(J40+J56/1000)/1000</f>
        <v>2.1089926463814607E-2</v>
      </c>
    </row>
    <row r="57" spans="1:11">
      <c r="A57" s="173"/>
      <c r="I57" s="196" t="s">
        <v>85</v>
      </c>
      <c r="J57" s="197">
        <f>+E34+'28'!J57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55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7" zoomScale="80" zoomScaleNormal="80" zoomScaleSheetLayoutView="80" workbookViewId="0">
      <selection activeCell="B26" sqref="B2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42578125" style="148" customWidth="1"/>
    <col min="14" max="16384" width="9.140625" style="148"/>
  </cols>
  <sheetData>
    <row r="1" spans="1:16" ht="15.75">
      <c r="A1" s="147"/>
    </row>
    <row r="2" spans="1:16" ht="15.75">
      <c r="A2" s="147" t="s">
        <v>217</v>
      </c>
    </row>
    <row r="3" spans="1:16" ht="15">
      <c r="A3" s="149"/>
    </row>
    <row r="4" spans="1:16" ht="20.25">
      <c r="A4" s="150" t="s">
        <v>3</v>
      </c>
      <c r="B4" s="151"/>
      <c r="F4" s="152" t="s">
        <v>28</v>
      </c>
      <c r="G4" s="153">
        <v>28</v>
      </c>
      <c r="H4" s="153" t="str">
        <f>+'1'!H4</f>
        <v>.06.24</v>
      </c>
    </row>
    <row r="5" spans="1:16" ht="13.5" thickBot="1">
      <c r="C5" s="154"/>
      <c r="D5" s="154"/>
    </row>
    <row r="6" spans="1:16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328+390+500</f>
        <v>1218</v>
      </c>
    </row>
    <row r="7" spans="1:16" ht="13.5" customHeight="1" thickBot="1">
      <c r="A7" s="824" t="s">
        <v>219</v>
      </c>
      <c r="B7" s="212" t="s">
        <v>717</v>
      </c>
      <c r="C7" s="213">
        <v>668</v>
      </c>
      <c r="D7" s="214"/>
      <c r="E7" s="215"/>
      <c r="F7" s="226"/>
      <c r="G7" s="224" t="s">
        <v>11</v>
      </c>
      <c r="H7" s="225" t="s">
        <v>385</v>
      </c>
      <c r="I7" s="827">
        <v>0</v>
      </c>
      <c r="J7" s="211" t="str">
        <f>+'27'!J7</f>
        <v>N 12 VP OW</v>
      </c>
      <c r="K7" s="233"/>
      <c r="L7" s="237"/>
      <c r="M7" s="116">
        <f>+K7+'27'!M7+L7</f>
        <v>107831</v>
      </c>
    </row>
    <row r="8" spans="1:16" ht="13.5" thickBot="1">
      <c r="A8" s="825"/>
      <c r="B8" s="212"/>
      <c r="C8" s="213"/>
      <c r="D8" s="214"/>
      <c r="E8" s="216"/>
      <c r="F8" s="226"/>
      <c r="G8" s="227" t="s">
        <v>11</v>
      </c>
      <c r="H8" s="225" t="s">
        <v>399</v>
      </c>
      <c r="I8" s="828"/>
      <c r="J8" s="211" t="str">
        <f>+'27'!J8</f>
        <v>F 12.5 VP OW</v>
      </c>
      <c r="K8" s="234"/>
      <c r="L8" s="234"/>
      <c r="M8" s="116">
        <f>+K8+'27'!M8+L8</f>
        <v>66421</v>
      </c>
      <c r="N8" s="173">
        <v>1280</v>
      </c>
      <c r="O8" s="173">
        <f>+N8-N8*0.25</f>
        <v>960</v>
      </c>
      <c r="P8" s="173">
        <f>420+150</f>
        <v>570</v>
      </c>
    </row>
    <row r="9" spans="1:16" ht="13.5" thickBot="1">
      <c r="A9" s="825"/>
      <c r="B9" s="212"/>
      <c r="C9" s="213"/>
      <c r="D9" s="214"/>
      <c r="E9" s="217"/>
      <c r="F9" s="226"/>
      <c r="G9" s="227" t="s">
        <v>11</v>
      </c>
      <c r="H9" s="228" t="s">
        <v>735</v>
      </c>
      <c r="I9" s="828"/>
      <c r="J9" s="211" t="str">
        <f>+'27'!J9</f>
        <v>F 13 VP OW</v>
      </c>
      <c r="K9" s="234">
        <f>+C26</f>
        <v>4106</v>
      </c>
      <c r="L9" s="234"/>
      <c r="M9" s="116">
        <f>+K9+'27'!M9+L9</f>
        <v>546772</v>
      </c>
    </row>
    <row r="10" spans="1:16" ht="13.5" thickBot="1">
      <c r="A10" s="825"/>
      <c r="B10" s="212"/>
      <c r="C10" s="213"/>
      <c r="D10" s="214"/>
      <c r="E10" s="216"/>
      <c r="F10" s="226">
        <v>480</v>
      </c>
      <c r="G10" s="224" t="s">
        <v>731</v>
      </c>
      <c r="H10" s="228" t="s">
        <v>730</v>
      </c>
      <c r="I10" s="828"/>
      <c r="J10" s="211" t="str">
        <f>+'27'!J10</f>
        <v>N 17 VP OW</v>
      </c>
      <c r="K10" s="234"/>
      <c r="L10" s="234"/>
      <c r="M10" s="116">
        <f>+K10+'27'!M10+L10</f>
        <v>76374</v>
      </c>
    </row>
    <row r="11" spans="1:16" ht="51.75" thickBot="1">
      <c r="A11" s="825"/>
      <c r="B11" s="212"/>
      <c r="C11" s="213"/>
      <c r="D11" s="214"/>
      <c r="E11" s="216"/>
      <c r="F11" s="468"/>
      <c r="G11" s="469"/>
      <c r="H11" s="225" t="s">
        <v>729</v>
      </c>
      <c r="I11" s="828"/>
      <c r="J11" s="211" t="str">
        <f>+'27'!J11</f>
        <v>N 17,5 VP OW</v>
      </c>
      <c r="K11" s="234"/>
      <c r="L11" s="234"/>
      <c r="M11" s="116">
        <f>+K11+'27'!M11+L11</f>
        <v>23535</v>
      </c>
    </row>
    <row r="12" spans="1:16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+'27'!J12</f>
        <v>TW 17 VP OW</v>
      </c>
      <c r="K12" s="234"/>
      <c r="L12" s="234"/>
      <c r="M12" s="116">
        <f>+K12+'27'!M12+L12</f>
        <v>243570</v>
      </c>
    </row>
    <row r="13" spans="1:16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+'27'!J13</f>
        <v>N 15,5 VP OW</v>
      </c>
      <c r="K13" s="234"/>
      <c r="L13" s="234"/>
      <c r="M13" s="116">
        <f>+K13+'27'!M13+L13</f>
        <v>40521</v>
      </c>
    </row>
    <row r="14" spans="1:16" ht="13.5" thickBot="1">
      <c r="A14" s="826"/>
      <c r="B14" s="164" t="s">
        <v>2</v>
      </c>
      <c r="C14" s="98">
        <f>SUM(C7:C13)</f>
        <v>668</v>
      </c>
      <c r="D14" s="110">
        <f>SUM(D7:D13)</f>
        <v>0</v>
      </c>
      <c r="E14" s="111">
        <f>SUM(E5:E13)</f>
        <v>0</v>
      </c>
      <c r="F14" s="101">
        <f>SUM(F6:F13)</f>
        <v>480</v>
      </c>
      <c r="G14" s="158"/>
      <c r="H14" s="165"/>
      <c r="I14" s="166"/>
      <c r="J14" s="211" t="str">
        <f>+'27'!J14</f>
        <v>N 11 VP OW</v>
      </c>
      <c r="K14" s="234"/>
      <c r="L14" s="234"/>
      <c r="M14" s="116">
        <f>+K14+'27'!M14+L14</f>
        <v>41975</v>
      </c>
    </row>
    <row r="15" spans="1:16" ht="13.5" customHeight="1" thickBot="1">
      <c r="A15" s="830" t="s">
        <v>431</v>
      </c>
      <c r="B15" s="498"/>
      <c r="C15" s="112">
        <f>C14/($C$23+$D$23+$E$23)</f>
        <v>8.8936226867261353E-2</v>
      </c>
      <c r="D15" s="113">
        <f>D14/($C$23+$D$23+$E$23)</f>
        <v>0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741</v>
      </c>
      <c r="J15" s="211" t="str">
        <f>+'27'!J15</f>
        <v>T 14 VP OW</v>
      </c>
      <c r="K15" s="234"/>
      <c r="L15" s="234"/>
      <c r="M15" s="116">
        <f>+K15+'27'!M15+L15</f>
        <v>8404</v>
      </c>
    </row>
    <row r="16" spans="1:16" ht="13.5" thickBot="1">
      <c r="A16" s="825"/>
      <c r="B16" s="212" t="s">
        <v>740</v>
      </c>
      <c r="C16" s="499">
        <v>7511</v>
      </c>
      <c r="D16" s="218"/>
      <c r="E16" s="219"/>
      <c r="F16" s="226">
        <v>2</v>
      </c>
      <c r="G16" s="227" t="s">
        <v>11</v>
      </c>
      <c r="H16" s="225" t="s">
        <v>419</v>
      </c>
      <c r="I16" s="828"/>
      <c r="J16" s="211" t="str">
        <f>+'27'!J16</f>
        <v>T 16 VP OW</v>
      </c>
      <c r="K16" s="224"/>
      <c r="L16" s="224"/>
      <c r="M16" s="116">
        <f>+K16+'27'!M16+L16</f>
        <v>62166</v>
      </c>
    </row>
    <row r="17" spans="1:18" ht="13.5" thickBot="1">
      <c r="A17" s="825"/>
      <c r="B17" s="212"/>
      <c r="C17" s="213"/>
      <c r="D17" s="214"/>
      <c r="E17" s="220"/>
      <c r="F17" s="226">
        <v>9</v>
      </c>
      <c r="G17" s="227" t="s">
        <v>11</v>
      </c>
      <c r="H17" s="228" t="s">
        <v>375</v>
      </c>
      <c r="I17" s="828"/>
      <c r="J17" s="211" t="str">
        <f>+'27'!J17</f>
        <v>T 18 VP OW</v>
      </c>
      <c r="K17" s="224"/>
      <c r="L17" s="224"/>
      <c r="M17" s="116">
        <f>+K17+'27'!M17+L17</f>
        <v>44306</v>
      </c>
    </row>
    <row r="18" spans="1:18" ht="13.5" thickBot="1">
      <c r="A18" s="825"/>
      <c r="B18" s="212"/>
      <c r="C18" s="213"/>
      <c r="D18" s="214"/>
      <c r="E18" s="220" t="s">
        <v>414</v>
      </c>
      <c r="F18" s="223">
        <v>60</v>
      </c>
      <c r="G18" s="224" t="s">
        <v>731</v>
      </c>
      <c r="H18" s="228" t="s">
        <v>723</v>
      </c>
      <c r="I18" s="828"/>
      <c r="J18" s="211" t="str">
        <f>+'27'!J18</f>
        <v>T 15 VP OW</v>
      </c>
      <c r="K18" s="234"/>
      <c r="L18" s="234"/>
      <c r="M18" s="116">
        <f>+K18+'27'!M18+L18</f>
        <v>9983</v>
      </c>
      <c r="P18" s="173"/>
    </row>
    <row r="19" spans="1:18" ht="13.5" thickBot="1">
      <c r="A19" s="825"/>
      <c r="B19" s="212"/>
      <c r="C19" s="213"/>
      <c r="D19" s="214"/>
      <c r="E19" s="220"/>
      <c r="F19" s="223"/>
      <c r="G19" s="227"/>
      <c r="H19" s="225" t="s">
        <v>720</v>
      </c>
      <c r="I19" s="828"/>
      <c r="J19" s="211" t="str">
        <f>+'27'!J19</f>
        <v>F 12 VP OW</v>
      </c>
      <c r="K19" s="234">
        <f>+C7</f>
        <v>668</v>
      </c>
      <c r="L19" s="234"/>
      <c r="M19" s="116">
        <f>+K19+'27'!M19+L19</f>
        <v>8180</v>
      </c>
      <c r="Q19" s="173"/>
      <c r="R19" s="173"/>
    </row>
    <row r="20" spans="1:18" ht="13.5" thickBot="1">
      <c r="A20" s="825"/>
      <c r="B20" s="212"/>
      <c r="C20" s="213"/>
      <c r="D20" s="214"/>
      <c r="E20" s="220"/>
      <c r="F20" s="231"/>
      <c r="G20" s="227"/>
      <c r="H20" s="228" t="s">
        <v>728</v>
      </c>
      <c r="I20" s="828"/>
      <c r="J20" s="211" t="s">
        <v>740</v>
      </c>
      <c r="K20" s="235">
        <f>+C16+C25</f>
        <v>18330</v>
      </c>
      <c r="L20" s="235"/>
      <c r="M20" s="116">
        <f>+K20+'27'!M20+L20</f>
        <v>18330</v>
      </c>
    </row>
    <row r="21" spans="1:18" ht="13.5" thickBot="1">
      <c r="A21" s="825"/>
      <c r="B21" s="212"/>
      <c r="C21" s="213"/>
      <c r="D21" s="214"/>
      <c r="E21" s="220"/>
      <c r="F21" s="231"/>
      <c r="G21" s="227"/>
      <c r="H21" s="228" t="s">
        <v>721</v>
      </c>
      <c r="I21" s="828"/>
      <c r="J21" s="211">
        <f>+'27'!J21</f>
        <v>0</v>
      </c>
      <c r="K21" s="234"/>
      <c r="L21" s="234"/>
      <c r="M21" s="116">
        <f>+K21+'27'!M21+L21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32"/>
      <c r="H22" s="427" t="s">
        <v>722</v>
      </c>
      <c r="I22" s="829"/>
      <c r="J22" s="211">
        <f>+'27'!J22</f>
        <v>0</v>
      </c>
      <c r="K22" s="234"/>
      <c r="L22" s="234"/>
      <c r="M22" s="116">
        <f>+K22+'27'!M22+L22</f>
        <v>0</v>
      </c>
    </row>
    <row r="23" spans="1:18" ht="13.5" thickBot="1">
      <c r="A23" s="826"/>
      <c r="B23" s="164" t="s">
        <v>2</v>
      </c>
      <c r="C23" s="98">
        <f>SUM(C16:C22)</f>
        <v>7511</v>
      </c>
      <c r="D23" s="110">
        <f>SUM(D16:D22)</f>
        <v>0</v>
      </c>
      <c r="E23" s="111">
        <f>SUM(E18:E22)</f>
        <v>0</v>
      </c>
      <c r="F23" s="101">
        <f>SUM(F15:F22)</f>
        <v>71</v>
      </c>
      <c r="G23" s="158"/>
      <c r="H23" s="165"/>
      <c r="I23" s="167"/>
      <c r="J23" s="211">
        <f>+'27'!J23</f>
        <v>0</v>
      </c>
      <c r="K23" s="234"/>
      <c r="L23" s="234"/>
      <c r="M23" s="116">
        <f>+K23+'27'!M23+L23</f>
        <v>0</v>
      </c>
    </row>
    <row r="24" spans="1:18" ht="13.5" customHeight="1" thickBot="1">
      <c r="A24" s="830" t="s">
        <v>353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733</v>
      </c>
      <c r="J24" s="211">
        <f>+'27'!J24</f>
        <v>0</v>
      </c>
      <c r="K24" s="234"/>
      <c r="L24" s="234"/>
      <c r="M24" s="116">
        <f>+K24+'27'!M24+L24</f>
        <v>0</v>
      </c>
    </row>
    <row r="25" spans="1:18" ht="13.5" customHeight="1" thickBot="1">
      <c r="A25" s="831"/>
      <c r="B25" s="212" t="s">
        <v>740</v>
      </c>
      <c r="C25" s="221">
        <v>10819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+'27'!J25</f>
        <v>0</v>
      </c>
      <c r="K25" s="234"/>
      <c r="L25" s="234"/>
      <c r="M25" s="116">
        <f>+K25+'27'!M25+L25</f>
        <v>0</v>
      </c>
      <c r="N25" s="148">
        <v>1280</v>
      </c>
      <c r="O25" s="173">
        <f t="shared" ref="O25:O27" si="0">+N25-N25*0.25</f>
        <v>960</v>
      </c>
      <c r="P25" s="148">
        <f>120+30</f>
        <v>150</v>
      </c>
      <c r="Q25" s="148">
        <f>+N25*P25</f>
        <v>192000</v>
      </c>
      <c r="R25" s="148">
        <f>+O25*P25</f>
        <v>144000</v>
      </c>
    </row>
    <row r="26" spans="1:18" ht="13.5" customHeight="1" thickBot="1">
      <c r="A26" s="831"/>
      <c r="B26" s="212" t="s">
        <v>380</v>
      </c>
      <c r="C26" s="221">
        <v>4106</v>
      </c>
      <c r="D26" s="214"/>
      <c r="E26" s="222"/>
      <c r="F26" s="226">
        <v>9</v>
      </c>
      <c r="G26" s="227" t="s">
        <v>11</v>
      </c>
      <c r="H26" s="228" t="s">
        <v>400</v>
      </c>
      <c r="I26" s="828"/>
      <c r="J26" s="211">
        <f>+'27'!J26</f>
        <v>0</v>
      </c>
      <c r="K26" s="234"/>
      <c r="L26" s="234"/>
      <c r="M26" s="116">
        <f>+K26+'27'!M26+L26</f>
        <v>0</v>
      </c>
      <c r="N26" s="173">
        <v>1280</v>
      </c>
      <c r="O26" s="173">
        <f t="shared" si="0"/>
        <v>960</v>
      </c>
      <c r="P26" s="173">
        <f>30+120+7</f>
        <v>157</v>
      </c>
      <c r="Q26" s="148">
        <f>+N26*P26</f>
        <v>200960</v>
      </c>
      <c r="R26" s="148">
        <f>+O26*P26</f>
        <v>150720</v>
      </c>
    </row>
    <row r="27" spans="1:18" ht="13.5" customHeight="1" thickBot="1">
      <c r="A27" s="831"/>
      <c r="B27" s="212"/>
      <c r="C27" s="213"/>
      <c r="D27" s="214"/>
      <c r="E27" s="220"/>
      <c r="F27" s="223"/>
      <c r="G27" s="227"/>
      <c r="H27" s="228" t="s">
        <v>726</v>
      </c>
      <c r="I27" s="828"/>
      <c r="J27" s="211">
        <f>+'27'!J27</f>
        <v>0</v>
      </c>
      <c r="K27" s="234"/>
      <c r="L27" s="234"/>
      <c r="M27" s="116">
        <f>+K27+'27'!M27+L27</f>
        <v>0</v>
      </c>
      <c r="N27" s="148">
        <v>1200</v>
      </c>
      <c r="O27" s="173">
        <f t="shared" si="0"/>
        <v>900</v>
      </c>
      <c r="P27" s="148">
        <v>40</v>
      </c>
      <c r="Q27" s="148">
        <f>+N27*P27</f>
        <v>48000</v>
      </c>
      <c r="R27" s="148">
        <f>+O27*P27</f>
        <v>36000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732</v>
      </c>
      <c r="I28" s="828"/>
      <c r="J28" s="211">
        <f>+'27'!J28</f>
        <v>0</v>
      </c>
      <c r="K28" s="234"/>
      <c r="L28" s="234"/>
      <c r="M28" s="116">
        <f>+K28+'27'!M28+L28</f>
        <v>0</v>
      </c>
      <c r="P28" s="148">
        <f>SUM(P25:P27)</f>
        <v>347</v>
      </c>
      <c r="Q28" s="148">
        <f t="shared" ref="Q28:R28" si="1">SUM(Q25:Q27)</f>
        <v>440960</v>
      </c>
      <c r="R28" s="148">
        <f t="shared" si="1"/>
        <v>330720</v>
      </c>
    </row>
    <row r="29" spans="1:18" ht="26.25" thickBot="1">
      <c r="A29" s="831"/>
      <c r="B29" s="212"/>
      <c r="C29" s="213"/>
      <c r="D29" s="214"/>
      <c r="E29" s="220" t="s">
        <v>414</v>
      </c>
      <c r="F29" s="231">
        <f>53+60+20</f>
        <v>133</v>
      </c>
      <c r="G29" s="227" t="s">
        <v>19</v>
      </c>
      <c r="H29" s="228" t="s">
        <v>724</v>
      </c>
      <c r="I29" s="828"/>
      <c r="J29" s="211">
        <f>+'27'!J29</f>
        <v>0</v>
      </c>
      <c r="K29" s="234"/>
      <c r="L29" s="234"/>
      <c r="M29" s="116">
        <f>+K29+'27'!M29+L29</f>
        <v>0</v>
      </c>
      <c r="Q29" s="148">
        <f>+Q28/P28</f>
        <v>1270.7780979827089</v>
      </c>
      <c r="R29" s="148">
        <f>+R28/P28</f>
        <v>953.08357348703169</v>
      </c>
    </row>
    <row r="30" spans="1:18" ht="13.5" customHeight="1" thickBot="1">
      <c r="A30" s="831"/>
      <c r="B30" s="212"/>
      <c r="C30" s="221"/>
      <c r="D30" s="214"/>
      <c r="E30" s="220"/>
      <c r="F30" s="231"/>
      <c r="G30" s="227"/>
      <c r="H30" s="228" t="s">
        <v>725</v>
      </c>
      <c r="I30" s="828"/>
      <c r="J30" s="211">
        <f>+'27'!J30</f>
        <v>0</v>
      </c>
      <c r="K30" s="234"/>
      <c r="L30" s="234"/>
      <c r="M30" s="116">
        <f>+K30+'27'!M30+L30</f>
        <v>0</v>
      </c>
      <c r="N30" s="154"/>
    </row>
    <row r="31" spans="1:18" ht="13.5" customHeight="1" thickBot="1">
      <c r="A31" s="831"/>
      <c r="B31" s="212"/>
      <c r="C31" s="221"/>
      <c r="D31" s="214"/>
      <c r="E31" s="220"/>
      <c r="F31" s="231"/>
      <c r="G31" s="232"/>
      <c r="H31" s="427" t="s">
        <v>727</v>
      </c>
      <c r="I31" s="829"/>
      <c r="J31" s="211">
        <f>+'27'!J31</f>
        <v>0</v>
      </c>
      <c r="K31" s="234"/>
      <c r="L31" s="234"/>
      <c r="M31" s="116">
        <f>+K31+'27'!M31+L31</f>
        <v>0</v>
      </c>
    </row>
    <row r="32" spans="1:18" ht="13.5" customHeight="1" thickBot="1">
      <c r="A32" s="832"/>
      <c r="B32" s="164" t="s">
        <v>2</v>
      </c>
      <c r="C32" s="98">
        <f>SUM(C25:C31)</f>
        <v>14925</v>
      </c>
      <c r="D32" s="99">
        <f>SUM(D25:D31)</f>
        <v>0</v>
      </c>
      <c r="E32" s="100">
        <f>SUM(E25:E31)</f>
        <v>0</v>
      </c>
      <c r="F32" s="98">
        <f>SUM(F24:F31)</f>
        <v>142</v>
      </c>
      <c r="G32" s="168"/>
      <c r="H32" s="169"/>
      <c r="I32" s="167"/>
      <c r="J32" s="211">
        <f>+'27'!J32</f>
        <v>0</v>
      </c>
      <c r="K32" s="236"/>
      <c r="L32" s="238"/>
      <c r="M32" s="116">
        <f>+K32+'27'!M32+L32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23104</v>
      </c>
      <c r="D34" s="106">
        <f>D14+D23+D32</f>
        <v>0</v>
      </c>
      <c r="E34" s="106">
        <f>E14+E23+E32</f>
        <v>0</v>
      </c>
      <c r="F34" s="107">
        <f>F14+F23+F32</f>
        <v>693</v>
      </c>
      <c r="H34" s="175"/>
      <c r="I34" s="175"/>
      <c r="J34" s="122" t="s">
        <v>27</v>
      </c>
      <c r="K34" s="123">
        <f>SUM(K7:K32)</f>
        <v>23104</v>
      </c>
      <c r="L34" s="209">
        <f>SUM(L7:L32)</f>
        <v>0</v>
      </c>
      <c r="M34" s="119">
        <f>SUM(M7:M32)</f>
        <v>1298368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(14*570+13*157+15*40)/767*G42*2.85*767/1000000</f>
        <v>28.96433938983051</v>
      </c>
      <c r="J37" s="124">
        <f>+I37+'27'!J37</f>
        <v>1454.4375957362213</v>
      </c>
      <c r="K37" s="125" t="s">
        <v>59</v>
      </c>
      <c r="L37" s="148">
        <f>12.811+2.197</f>
        <v>15.007999999999999</v>
      </c>
    </row>
    <row r="38" spans="1:14" ht="17.45" customHeight="1">
      <c r="A38" s="822" t="s">
        <v>11</v>
      </c>
      <c r="B38" s="823"/>
      <c r="C38" s="163">
        <f>SUMIF($G$7:$G$31,"Process",$F$7:$F$31)</f>
        <v>20</v>
      </c>
      <c r="D38" s="117">
        <f>+C38+'27'!D38</f>
        <v>1203</v>
      </c>
      <c r="E38" s="142">
        <f t="shared" ref="E38:E51" si="2">D38/60</f>
        <v>20.05</v>
      </c>
      <c r="F38" s="320">
        <v>0</v>
      </c>
      <c r="G38" s="320">
        <v>0</v>
      </c>
      <c r="H38" s="184" t="s">
        <v>60</v>
      </c>
      <c r="I38" s="611">
        <f>12.811+11.532</f>
        <v>24.343</v>
      </c>
      <c r="J38" s="126">
        <f>+I38+'27'!J38</f>
        <v>1352.9349999999997</v>
      </c>
      <c r="K38" s="127" t="s">
        <v>59</v>
      </c>
      <c r="L38" s="148">
        <f>11.532-2.197</f>
        <v>9.3350000000000009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+C39+'27'!D39</f>
        <v>0</v>
      </c>
      <c r="E39" s="142">
        <f t="shared" si="2"/>
        <v>0</v>
      </c>
      <c r="F39" s="320">
        <v>1280</v>
      </c>
      <c r="G39" s="320">
        <v>960</v>
      </c>
      <c r="H39" s="184" t="s">
        <v>61</v>
      </c>
      <c r="I39" s="141"/>
      <c r="J39" s="128">
        <f>J37/G4</f>
        <v>51.944199847722189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+C40+'27'!D40</f>
        <v>8</v>
      </c>
      <c r="E40" s="142">
        <f t="shared" ca="1" si="2"/>
        <v>0.13333333333333333</v>
      </c>
      <c r="F40" s="320">
        <v>1270.7780979827089</v>
      </c>
      <c r="G40" s="320">
        <v>953.08357348703169</v>
      </c>
      <c r="H40" s="184" t="s">
        <v>63</v>
      </c>
      <c r="I40" s="117">
        <f>(K34+L34)/1000</f>
        <v>23.103999999999999</v>
      </c>
      <c r="J40" s="130">
        <f>+I40+'27'!J40</f>
        <v>1298.3680000000004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+C41+'27'!D41</f>
        <v>150</v>
      </c>
      <c r="E41" s="142">
        <f t="shared" ca="1" si="2"/>
        <v>2.5</v>
      </c>
      <c r="F41" s="320"/>
      <c r="G41" s="320"/>
      <c r="H41" s="184" t="s">
        <v>65</v>
      </c>
      <c r="I41" s="141"/>
      <c r="J41" s="128">
        <f>J40/G4</f>
        <v>46.370285714285728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+C42+'27'!D42</f>
        <v>0</v>
      </c>
      <c r="E42" s="142">
        <f t="shared" ca="1" si="2"/>
        <v>0</v>
      </c>
      <c r="F42" s="320">
        <f>+(F38*0+F39*420+F40*347)/767</f>
        <v>1275.8279009126468</v>
      </c>
      <c r="G42" s="320">
        <f>+(G38*0+G39*420+G40*347)/767</f>
        <v>956.87092568448497</v>
      </c>
      <c r="H42" s="184" t="s">
        <v>66</v>
      </c>
      <c r="I42" s="241" t="s">
        <v>734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+C43+'27'!D43</f>
        <v>0</v>
      </c>
      <c r="E43" s="142">
        <f t="shared" ca="1" si="2"/>
        <v>0</v>
      </c>
      <c r="F43" s="320"/>
      <c r="G43" s="321"/>
      <c r="H43" s="185" t="s">
        <v>69</v>
      </c>
      <c r="I43" s="117">
        <f>+Report1!T36</f>
        <v>82.3</v>
      </c>
      <c r="J43" s="132">
        <f>+I43+'27'!J43</f>
        <v>3335.2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+C44+'27'!D44</f>
        <v>558</v>
      </c>
      <c r="E44" s="142">
        <f t="shared" si="2"/>
        <v>9.3000000000000007</v>
      </c>
      <c r="F44" s="320"/>
      <c r="G44" s="321"/>
      <c r="H44" s="185" t="s">
        <v>70</v>
      </c>
      <c r="I44" s="117">
        <f>I43/I38</f>
        <v>3.380848703939531</v>
      </c>
      <c r="J44" s="133">
        <f>J43/J38</f>
        <v>2.4651590800740615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+C45+'27'!D45</f>
        <v>0</v>
      </c>
      <c r="E45" s="142">
        <f t="shared" si="2"/>
        <v>0</v>
      </c>
      <c r="F45" s="320"/>
      <c r="G45" s="323"/>
      <c r="H45" s="185" t="s">
        <v>71</v>
      </c>
      <c r="I45" s="117">
        <f>I43/I40</f>
        <v>3.5621537396121883</v>
      </c>
      <c r="J45" s="133">
        <f>J43/J40</f>
        <v>2.5687632473998119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+C46+'27'!D46</f>
        <v>0</v>
      </c>
      <c r="E46" s="142">
        <f t="shared" si="2"/>
        <v>0</v>
      </c>
      <c r="F46" s="320"/>
      <c r="G46" s="321"/>
      <c r="H46" s="185" t="s">
        <v>73</v>
      </c>
      <c r="I46" s="139">
        <f>+SUMIF(Listrik!AN35,"&gt;0")</f>
        <v>25534.64832381779</v>
      </c>
      <c r="J46" s="134">
        <f>+I46+'27'!J46</f>
        <v>1278909.6550273807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+C47+'27'!D47</f>
        <v>0</v>
      </c>
      <c r="E47" s="142">
        <f t="shared" si="2"/>
        <v>0</v>
      </c>
      <c r="F47" s="320"/>
      <c r="G47" s="321"/>
      <c r="H47" s="185" t="s">
        <v>76</v>
      </c>
      <c r="I47" s="117">
        <f>I46/I38</f>
        <v>1048.9524020793572</v>
      </c>
      <c r="J47" s="134">
        <f>J46/J38</f>
        <v>945.28536480125126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+C48+'27'!D48</f>
        <v>0</v>
      </c>
      <c r="E48" s="142">
        <f t="shared" si="2"/>
        <v>0</v>
      </c>
      <c r="F48" s="320"/>
      <c r="G48" s="321"/>
      <c r="H48" s="185" t="s">
        <v>77</v>
      </c>
      <c r="I48" s="117">
        <f>I46/I40</f>
        <v>1105.2046539048558</v>
      </c>
      <c r="J48" s="134">
        <f>J46/J40</f>
        <v>985.01322816595939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133</v>
      </c>
      <c r="D49" s="117">
        <f>+C49+'27'!D49</f>
        <v>195</v>
      </c>
      <c r="E49" s="142">
        <f t="shared" si="2"/>
        <v>3.25</v>
      </c>
      <c r="F49" s="182"/>
      <c r="H49" s="185" t="s">
        <v>78</v>
      </c>
      <c r="I49" s="117">
        <v>0</v>
      </c>
      <c r="J49" s="134">
        <f>+I49+'27'!J49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+C50+'27'!D50</f>
        <v>0</v>
      </c>
      <c r="E50" s="142">
        <f t="shared" si="2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540</v>
      </c>
      <c r="D51" s="117">
        <f>+C51+'27'!D51</f>
        <v>540</v>
      </c>
      <c r="E51" s="142">
        <f t="shared" si="2"/>
        <v>9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693</v>
      </c>
      <c r="D52" s="143">
        <f ca="1">SUM(D38:D51)</f>
        <v>2654</v>
      </c>
      <c r="E52" s="144">
        <f ca="1">SUM(E38:E51)</f>
        <v>44.233333333333334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0.48125000000000001</v>
      </c>
      <c r="D53" s="145">
        <f ca="1">D52/(24*60*G4)</f>
        <v>6.58234126984127E-2</v>
      </c>
      <c r="E53" s="146">
        <f ca="1">E52/(G4*24)</f>
        <v>6.58234126984127E-2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+D34+'27'!J56</f>
        <v>27244</v>
      </c>
      <c r="K56" s="198">
        <f>J56/(J40+J56/1000)/1000</f>
        <v>2.055201672887692E-2</v>
      </c>
    </row>
    <row r="57" spans="1:11">
      <c r="A57" s="173"/>
      <c r="I57" s="196" t="s">
        <v>85</v>
      </c>
      <c r="J57" s="197">
        <f>+E34+'27'!J57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05" right="0.05" top="0.19513888888888889" bottom="0.39027777777777778" header="0" footer="0"/>
  <pageSetup paperSize="9" scale="58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1"/>
  <sheetViews>
    <sheetView view="pageBreakPreview" zoomScale="80" zoomScaleNormal="80" zoomScaleSheetLayoutView="80" workbookViewId="0">
      <selection activeCell="H27" sqref="H27"/>
    </sheetView>
  </sheetViews>
  <sheetFormatPr defaultColWidth="9.140625" defaultRowHeight="12.75"/>
  <cols>
    <col min="1" max="1" width="8" style="148" customWidth="1"/>
    <col min="2" max="2" width="7" style="148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28515625" style="148" customWidth="1"/>
    <col min="14" max="16384" width="9.140625" style="148"/>
  </cols>
  <sheetData>
    <row r="1" spans="1:35" ht="15.75">
      <c r="A1" s="147"/>
      <c r="W1" s="528"/>
      <c r="Y1" s="523"/>
      <c r="AD1" s="519"/>
      <c r="AF1" s="523"/>
    </row>
    <row r="2" spans="1:35" ht="15.75">
      <c r="A2" s="147" t="s">
        <v>217</v>
      </c>
      <c r="Y2" s="523"/>
      <c r="AD2" s="521"/>
      <c r="AF2" s="523"/>
    </row>
    <row r="3" spans="1:35" ht="15">
      <c r="A3" s="149"/>
      <c r="Y3" s="523"/>
      <c r="AG3" s="173"/>
    </row>
    <row r="4" spans="1:35" ht="20.25">
      <c r="A4" s="150" t="s">
        <v>3</v>
      </c>
      <c r="B4" s="151"/>
      <c r="F4" s="152" t="s">
        <v>28</v>
      </c>
      <c r="G4" s="153">
        <v>27</v>
      </c>
      <c r="H4" s="153" t="str">
        <f>+'1'!H4</f>
        <v>.06.24</v>
      </c>
      <c r="Y4" s="523"/>
      <c r="AH4" s="173"/>
      <c r="AI4" s="173"/>
    </row>
    <row r="5" spans="1:35" ht="13.5" thickBot="1">
      <c r="C5" s="154"/>
      <c r="D5" s="154"/>
      <c r="W5" s="528"/>
      <c r="Y5" s="523"/>
    </row>
    <row r="6" spans="1:35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392+367+322</f>
        <v>1081</v>
      </c>
      <c r="Z6" s="529"/>
    </row>
    <row r="7" spans="1:35" ht="13.5" customHeight="1" thickBot="1">
      <c r="A7" s="824" t="s">
        <v>219</v>
      </c>
      <c r="B7" s="212" t="s">
        <v>380</v>
      </c>
      <c r="C7" s="213">
        <v>19447</v>
      </c>
      <c r="D7" s="214"/>
      <c r="E7" s="215"/>
      <c r="F7" s="226"/>
      <c r="G7" s="224" t="s">
        <v>11</v>
      </c>
      <c r="H7" s="225" t="s">
        <v>385</v>
      </c>
      <c r="I7" s="827" t="s">
        <v>671</v>
      </c>
      <c r="J7" s="211" t="str">
        <f>+'26'!J7</f>
        <v>N 12 VP OW</v>
      </c>
      <c r="K7" s="233"/>
      <c r="L7" s="237"/>
      <c r="M7" s="116">
        <f>+K7+'26'!M7+L7</f>
        <v>107831</v>
      </c>
      <c r="AA7" s="529"/>
      <c r="AB7" s="529"/>
    </row>
    <row r="8" spans="1:35" ht="13.5" thickBot="1">
      <c r="A8" s="825"/>
      <c r="B8" s="212"/>
      <c r="C8" s="213"/>
      <c r="D8" s="214"/>
      <c r="E8" s="216"/>
      <c r="F8" s="226">
        <v>2</v>
      </c>
      <c r="G8" s="227" t="s">
        <v>11</v>
      </c>
      <c r="H8" s="225" t="s">
        <v>420</v>
      </c>
      <c r="I8" s="828"/>
      <c r="J8" s="211" t="str">
        <f>+'26'!J8</f>
        <v>F 12.5 VP OW</v>
      </c>
      <c r="K8" s="234"/>
      <c r="L8" s="234"/>
      <c r="M8" s="116">
        <f>+K8+'26'!M8+L8</f>
        <v>66421</v>
      </c>
      <c r="N8" s="528">
        <v>1350</v>
      </c>
      <c r="O8" s="148">
        <f>+N8-N8*0.25</f>
        <v>1012.5</v>
      </c>
      <c r="P8" s="523">
        <v>480</v>
      </c>
    </row>
    <row r="9" spans="1:35" ht="13.5" thickBot="1">
      <c r="A9" s="825"/>
      <c r="B9" s="212"/>
      <c r="C9" s="213"/>
      <c r="D9" s="214"/>
      <c r="E9" s="217"/>
      <c r="F9" s="226">
        <v>8</v>
      </c>
      <c r="G9" s="227" t="s">
        <v>11</v>
      </c>
      <c r="H9" s="228" t="s">
        <v>418</v>
      </c>
      <c r="I9" s="828"/>
      <c r="J9" s="211" t="str">
        <f>+'26'!J9</f>
        <v>F 13 VP OW</v>
      </c>
      <c r="K9" s="234">
        <f>+C7+C16+C25</f>
        <v>42764</v>
      </c>
      <c r="L9" s="234"/>
      <c r="M9" s="116">
        <f>+K9+'26'!M9+L9</f>
        <v>542666</v>
      </c>
      <c r="N9" s="148">
        <v>1350</v>
      </c>
      <c r="O9" s="148">
        <f>+N9-N9*0.25</f>
        <v>1012.5</v>
      </c>
      <c r="P9" s="523">
        <v>480</v>
      </c>
    </row>
    <row r="10" spans="1:35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+'26'!J10</f>
        <v>N 17 VP OW</v>
      </c>
      <c r="K10" s="234"/>
      <c r="L10" s="234"/>
      <c r="M10" s="116">
        <f>+K10+'26'!M10+L10</f>
        <v>76374</v>
      </c>
      <c r="N10" s="148">
        <v>1350</v>
      </c>
      <c r="O10" s="148">
        <f>+N10-N10*0.25</f>
        <v>1012.5</v>
      </c>
      <c r="P10" s="523">
        <v>280</v>
      </c>
    </row>
    <row r="11" spans="1:35" ht="13.5" thickBot="1">
      <c r="A11" s="825"/>
      <c r="B11" s="212"/>
      <c r="C11" s="213"/>
      <c r="D11" s="214"/>
      <c r="E11" s="216"/>
      <c r="F11" s="468"/>
      <c r="G11" s="469"/>
      <c r="H11" s="225" t="s">
        <v>708</v>
      </c>
      <c r="I11" s="828"/>
      <c r="J11" s="211" t="str">
        <f>+'26'!J11</f>
        <v>N 17,5 VP OW</v>
      </c>
      <c r="K11" s="234"/>
      <c r="L11" s="234"/>
      <c r="M11" s="116">
        <f>+K11+'26'!M11+L11</f>
        <v>23535</v>
      </c>
      <c r="P11" s="523">
        <f>SUM(P8:P10)</f>
        <v>1240</v>
      </c>
    </row>
    <row r="12" spans="1:35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+'26'!J12</f>
        <v>TW 17 VP OW</v>
      </c>
      <c r="K12" s="234"/>
      <c r="L12" s="234"/>
      <c r="M12" s="116">
        <f>+K12+'26'!M12+L12</f>
        <v>243570</v>
      </c>
      <c r="Q12" s="529"/>
    </row>
    <row r="13" spans="1:35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+'26'!J13</f>
        <v>N 15,5 VP OW</v>
      </c>
      <c r="K13" s="234"/>
      <c r="L13" s="234"/>
      <c r="M13" s="116">
        <f>+K13+'26'!M13+L13</f>
        <v>40521</v>
      </c>
      <c r="R13" s="529"/>
      <c r="S13" s="529"/>
    </row>
    <row r="14" spans="1:35" ht="13.5" thickBot="1">
      <c r="A14" s="826"/>
      <c r="B14" s="164" t="s">
        <v>2</v>
      </c>
      <c r="C14" s="98">
        <f>SUM(C7:C13)</f>
        <v>19447</v>
      </c>
      <c r="D14" s="110">
        <f>SUM(D7:D13)</f>
        <v>0</v>
      </c>
      <c r="E14" s="111">
        <f>SUM(E5:E13)</f>
        <v>0</v>
      </c>
      <c r="F14" s="101">
        <f>SUM(F6:F13)</f>
        <v>10</v>
      </c>
      <c r="G14" s="158"/>
      <c r="H14" s="165"/>
      <c r="I14" s="166"/>
      <c r="J14" s="211" t="str">
        <f>+'26'!J14</f>
        <v>N 11 VP OW</v>
      </c>
      <c r="K14" s="234"/>
      <c r="L14" s="234"/>
      <c r="M14" s="116">
        <f>+K14+'26'!M14+L14</f>
        <v>41975</v>
      </c>
    </row>
    <row r="15" spans="1:35" ht="13.5" customHeight="1" thickBot="1">
      <c r="A15" s="830" t="s">
        <v>432</v>
      </c>
      <c r="B15" s="498"/>
      <c r="C15" s="112">
        <f>C14/($C$23+$D$23+$E$23)</f>
        <v>0.97312850280224183</v>
      </c>
      <c r="D15" s="113">
        <f>D14/($C$23+$D$23+$E$23)</f>
        <v>0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+'26'!J15</f>
        <v>T 14 VP OW</v>
      </c>
      <c r="K15" s="234"/>
      <c r="L15" s="234"/>
      <c r="M15" s="116">
        <f>+K15+'26'!M15+L15</f>
        <v>8404</v>
      </c>
    </row>
    <row r="16" spans="1:35" ht="13.5" thickBot="1">
      <c r="A16" s="825"/>
      <c r="B16" s="212" t="s">
        <v>380</v>
      </c>
      <c r="C16" s="499">
        <v>19984</v>
      </c>
      <c r="D16" s="218"/>
      <c r="E16" s="219"/>
      <c r="F16" s="226"/>
      <c r="G16" s="227" t="s">
        <v>11</v>
      </c>
      <c r="H16" s="225" t="s">
        <v>399</v>
      </c>
      <c r="I16" s="828"/>
      <c r="J16" s="211" t="str">
        <f>+'26'!J16</f>
        <v>T 16 VP OW</v>
      </c>
      <c r="K16" s="224"/>
      <c r="L16" s="224"/>
      <c r="M16" s="116">
        <f>+K16+'26'!M16+L16</f>
        <v>62166</v>
      </c>
      <c r="N16" s="528"/>
      <c r="P16" s="523"/>
    </row>
    <row r="17" spans="1:19" ht="13.5" thickBot="1">
      <c r="A17" s="825"/>
      <c r="B17" s="212"/>
      <c r="C17" s="213"/>
      <c r="D17" s="214"/>
      <c r="E17" s="220"/>
      <c r="F17" s="226">
        <v>7</v>
      </c>
      <c r="G17" s="227" t="s">
        <v>11</v>
      </c>
      <c r="H17" s="228" t="s">
        <v>375</v>
      </c>
      <c r="I17" s="828"/>
      <c r="J17" s="211" t="str">
        <f>+'26'!J17</f>
        <v>T 18 VP OW</v>
      </c>
      <c r="K17" s="224"/>
      <c r="L17" s="224"/>
      <c r="M17" s="116">
        <f>+K17+'26'!M17+L17</f>
        <v>44306</v>
      </c>
      <c r="N17" s="519"/>
      <c r="P17" s="523"/>
    </row>
    <row r="18" spans="1:19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+'26'!J18</f>
        <v>T 15 VP OW</v>
      </c>
      <c r="K18" s="234"/>
      <c r="L18" s="234"/>
      <c r="M18" s="116">
        <f>+K18+'26'!M18+L18</f>
        <v>9983</v>
      </c>
      <c r="Q18" s="173"/>
    </row>
    <row r="19" spans="1:19" ht="13.5" thickBot="1">
      <c r="A19" s="825"/>
      <c r="B19" s="212"/>
      <c r="C19" s="213"/>
      <c r="D19" s="214"/>
      <c r="E19" s="220"/>
      <c r="F19" s="223"/>
      <c r="G19" s="227"/>
      <c r="H19" s="225" t="s">
        <v>709</v>
      </c>
      <c r="I19" s="828"/>
      <c r="J19" s="211" t="s">
        <v>717</v>
      </c>
      <c r="K19" s="234">
        <f>+C26</f>
        <v>7512</v>
      </c>
      <c r="L19" s="234"/>
      <c r="M19" s="116">
        <f>+K19+'26'!M19+L19</f>
        <v>7512</v>
      </c>
      <c r="R19" s="173"/>
      <c r="S19" s="173"/>
    </row>
    <row r="20" spans="1:19" ht="13.5" thickBot="1">
      <c r="A20" s="825"/>
      <c r="B20" s="212"/>
      <c r="C20" s="213"/>
      <c r="D20" s="214"/>
      <c r="E20" s="220"/>
      <c r="F20" s="223"/>
      <c r="G20" s="227"/>
      <c r="H20" s="228" t="s">
        <v>710</v>
      </c>
      <c r="I20" s="828"/>
      <c r="J20" s="211">
        <f>+'26'!J20</f>
        <v>0</v>
      </c>
      <c r="K20" s="235"/>
      <c r="L20" s="235"/>
      <c r="M20" s="116">
        <f>+K20+'26'!M20+L20</f>
        <v>0</v>
      </c>
    </row>
    <row r="21" spans="1:19" ht="13.5" thickBot="1">
      <c r="A21" s="825"/>
      <c r="B21" s="212"/>
      <c r="C21" s="213"/>
      <c r="D21" s="214"/>
      <c r="E21" s="220"/>
      <c r="F21" s="226"/>
      <c r="G21" s="227"/>
      <c r="H21" s="228" t="s">
        <v>711</v>
      </c>
      <c r="I21" s="828"/>
      <c r="J21" s="211">
        <f>+'26'!J21</f>
        <v>0</v>
      </c>
      <c r="K21" s="234"/>
      <c r="L21" s="234"/>
      <c r="M21" s="116">
        <f>+K21+'26'!M21+L21</f>
        <v>0</v>
      </c>
    </row>
    <row r="22" spans="1:19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+'26'!J22</f>
        <v>0</v>
      </c>
      <c r="K22" s="234"/>
      <c r="L22" s="234"/>
      <c r="M22" s="116">
        <f>+K22+'26'!M22+L22</f>
        <v>0</v>
      </c>
    </row>
    <row r="23" spans="1:19" ht="13.5" thickBot="1">
      <c r="A23" s="826"/>
      <c r="B23" s="164" t="s">
        <v>2</v>
      </c>
      <c r="C23" s="98">
        <f>SUM(C16:C22)</f>
        <v>19984</v>
      </c>
      <c r="D23" s="110">
        <f>SUM(D16:D22)</f>
        <v>0</v>
      </c>
      <c r="E23" s="111">
        <f>SUM(E18:E22)</f>
        <v>0</v>
      </c>
      <c r="F23" s="101">
        <f>SUM(F15:F22)</f>
        <v>7</v>
      </c>
      <c r="G23" s="158"/>
      <c r="H23" s="165"/>
      <c r="I23" s="167"/>
      <c r="J23" s="211">
        <f>+'26'!J23</f>
        <v>0</v>
      </c>
      <c r="K23" s="234"/>
      <c r="L23" s="234"/>
      <c r="M23" s="116">
        <f>+K23+'26'!M23+L23</f>
        <v>0</v>
      </c>
    </row>
    <row r="24" spans="1:19" ht="13.5" customHeight="1" thickBot="1">
      <c r="A24" s="830" t="s">
        <v>353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+'26'!J24</f>
        <v>0</v>
      </c>
      <c r="K24" s="234"/>
      <c r="L24" s="234"/>
      <c r="M24" s="116">
        <f>+K24+'26'!M24+L24</f>
        <v>0</v>
      </c>
    </row>
    <row r="25" spans="1:19" ht="13.5" thickBot="1">
      <c r="A25" s="831"/>
      <c r="B25" s="212" t="s">
        <v>380</v>
      </c>
      <c r="C25" s="221">
        <f>1602+1731</f>
        <v>3333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+'26'!J25</f>
        <v>0</v>
      </c>
      <c r="K25" s="234"/>
      <c r="L25" s="234"/>
      <c r="M25" s="116">
        <f>+K25+'26'!M25+L25</f>
        <v>0</v>
      </c>
      <c r="N25" s="519"/>
      <c r="O25" s="173"/>
      <c r="P25" s="524"/>
      <c r="Q25" s="173"/>
    </row>
    <row r="26" spans="1:19" ht="13.5" thickBot="1">
      <c r="A26" s="831"/>
      <c r="B26" s="212" t="s">
        <v>717</v>
      </c>
      <c r="C26" s="221">
        <v>7512</v>
      </c>
      <c r="D26" s="214">
        <v>325</v>
      </c>
      <c r="E26" s="222"/>
      <c r="F26" s="226">
        <v>10</v>
      </c>
      <c r="G26" s="227" t="s">
        <v>11</v>
      </c>
      <c r="H26" s="228" t="s">
        <v>400</v>
      </c>
      <c r="I26" s="828"/>
      <c r="J26" s="211">
        <f>+'26'!J26</f>
        <v>0</v>
      </c>
      <c r="K26" s="234"/>
      <c r="L26" s="234"/>
      <c r="M26" s="116">
        <f>+K26+'26'!M26+L26</f>
        <v>0</v>
      </c>
    </row>
    <row r="27" spans="1:19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+'26'!J27</f>
        <v>0</v>
      </c>
      <c r="K27" s="234"/>
      <c r="L27" s="234"/>
      <c r="M27" s="116">
        <f>+K27+'26'!M27+L27</f>
        <v>0</v>
      </c>
    </row>
    <row r="28" spans="1:19" ht="13.5" thickBot="1">
      <c r="A28" s="831"/>
      <c r="B28" s="212"/>
      <c r="C28" s="213"/>
      <c r="D28" s="214"/>
      <c r="E28" s="220"/>
      <c r="F28" s="223"/>
      <c r="G28" s="227"/>
      <c r="H28" s="225" t="s">
        <v>712</v>
      </c>
      <c r="I28" s="828"/>
      <c r="J28" s="211">
        <f>+'26'!J28</f>
        <v>0</v>
      </c>
      <c r="K28" s="234"/>
      <c r="L28" s="234"/>
      <c r="M28" s="116">
        <f>+K28+'26'!M28+L28</f>
        <v>0</v>
      </c>
    </row>
    <row r="29" spans="1:19" ht="13.5" thickBot="1">
      <c r="A29" s="831"/>
      <c r="B29" s="212"/>
      <c r="C29" s="213"/>
      <c r="D29" s="214"/>
      <c r="E29" s="220"/>
      <c r="F29" s="231">
        <f>20+15</f>
        <v>35</v>
      </c>
      <c r="G29" s="227" t="s">
        <v>11</v>
      </c>
      <c r="H29" s="228" t="s">
        <v>713</v>
      </c>
      <c r="I29" s="828"/>
      <c r="J29" s="211">
        <f>+'26'!J29</f>
        <v>0</v>
      </c>
      <c r="K29" s="234"/>
      <c r="L29" s="234"/>
      <c r="M29" s="116">
        <f>+K29+'26'!M29+L29</f>
        <v>0</v>
      </c>
    </row>
    <row r="30" spans="1:19" ht="13.5" thickBot="1">
      <c r="A30" s="831"/>
      <c r="B30" s="212"/>
      <c r="C30" s="221"/>
      <c r="D30" s="214"/>
      <c r="E30" s="220"/>
      <c r="F30" s="231"/>
      <c r="G30" s="227"/>
      <c r="H30" s="228" t="s">
        <v>715</v>
      </c>
      <c r="I30" s="828"/>
      <c r="J30" s="211">
        <f>+'26'!J30</f>
        <v>0</v>
      </c>
      <c r="K30" s="234"/>
      <c r="L30" s="234"/>
      <c r="M30" s="116">
        <f>+K30+'26'!M30+L30</f>
        <v>0</v>
      </c>
      <c r="N30" s="154"/>
    </row>
    <row r="31" spans="1:19" ht="13.5" thickBot="1">
      <c r="A31" s="831"/>
      <c r="B31" s="212"/>
      <c r="C31" s="221"/>
      <c r="D31" s="214"/>
      <c r="E31" s="220"/>
      <c r="F31" s="223">
        <f>45+120</f>
        <v>165</v>
      </c>
      <c r="G31" s="227" t="s">
        <v>11</v>
      </c>
      <c r="H31" s="427" t="s">
        <v>714</v>
      </c>
      <c r="I31" s="829"/>
      <c r="J31" s="211">
        <f>+'26'!J31</f>
        <v>0</v>
      </c>
      <c r="K31" s="234"/>
      <c r="L31" s="234"/>
      <c r="M31" s="116">
        <f>+K31+'26'!M31+L31</f>
        <v>0</v>
      </c>
    </row>
    <row r="32" spans="1:19" ht="13.5" thickBot="1">
      <c r="A32" s="832"/>
      <c r="B32" s="164" t="s">
        <v>2</v>
      </c>
      <c r="C32" s="98">
        <f>SUM(C25:C31)</f>
        <v>10845</v>
      </c>
      <c r="D32" s="99">
        <f>SUM(D25:D31)</f>
        <v>325</v>
      </c>
      <c r="E32" s="100">
        <f>SUM(E25:E31)</f>
        <v>0</v>
      </c>
      <c r="F32" s="98">
        <f>SUM(F24:F31)</f>
        <v>210</v>
      </c>
      <c r="G32" s="168"/>
      <c r="H32" s="169"/>
      <c r="I32" s="167"/>
      <c r="J32" s="211">
        <f>+'26'!J32</f>
        <v>0</v>
      </c>
      <c r="K32" s="236"/>
      <c r="L32" s="238"/>
      <c r="M32" s="116">
        <f>+K32+'26'!M32+L32</f>
        <v>0</v>
      </c>
    </row>
    <row r="33" spans="1:14" ht="13.5" thickBot="1">
      <c r="A33" s="170"/>
      <c r="B33" s="171"/>
      <c r="C33" s="102">
        <f>C32/($C$32+$D$32+$E$32)</f>
        <v>0.97090420769919428</v>
      </c>
      <c r="D33" s="103">
        <f>D32/($C$32+$D$32+$E$32)</f>
        <v>2.909579230080573E-2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50276</v>
      </c>
      <c r="D34" s="106">
        <f>D14+D23+D32</f>
        <v>325</v>
      </c>
      <c r="E34" s="106">
        <f>E14+E23+E32</f>
        <v>0</v>
      </c>
      <c r="F34" s="107">
        <f>F14+F23+F32</f>
        <v>227</v>
      </c>
      <c r="H34" s="175"/>
      <c r="I34" s="175"/>
      <c r="J34" s="122" t="s">
        <v>27</v>
      </c>
      <c r="K34" s="123">
        <f>SUM(K7:K32)</f>
        <v>50276</v>
      </c>
      <c r="L34" s="209">
        <f>SUM(L7:L32)</f>
        <v>0</v>
      </c>
      <c r="M34" s="119">
        <f>SUM(M7:M32)</f>
        <v>1275264</v>
      </c>
      <c r="N34" s="154"/>
    </row>
    <row r="35" spans="1:14" ht="13.5" thickBot="1">
      <c r="A35" s="176"/>
      <c r="B35" s="177"/>
      <c r="C35" s="103">
        <f>C34/($C$34+$D$34+$E$34)</f>
        <v>0.9935772020315804</v>
      </c>
      <c r="D35" s="103">
        <f>D34/($C$34+$D$34+$E$34)</f>
        <v>6.4227979684195963E-3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5"/>
      <c r="G37" s="322"/>
      <c r="H37" s="183" t="s">
        <v>58</v>
      </c>
      <c r="I37" s="239">
        <f>(13*973+12*267)/1240*G42*2.85*1240/1000000</f>
        <v>45.745813125000005</v>
      </c>
      <c r="J37" s="124">
        <f>+I37+'26'!J37</f>
        <v>1425.4732563463908</v>
      </c>
      <c r="K37" s="125" t="s">
        <v>59</v>
      </c>
      <c r="L37" s="154">
        <f>+I38-L38</f>
        <v>35.244999999999997</v>
      </c>
    </row>
    <row r="38" spans="1:14" ht="17.45" customHeight="1">
      <c r="A38" s="822" t="s">
        <v>11</v>
      </c>
      <c r="B38" s="823"/>
      <c r="C38" s="163">
        <f>SUMIF($G$7:$G$31,"Process",$F$7:$F$31)</f>
        <v>227</v>
      </c>
      <c r="D38" s="117">
        <f>+C38+'26'!D38</f>
        <v>1183</v>
      </c>
      <c r="E38" s="142">
        <f t="shared" ref="E38:E51" si="0">D38/60</f>
        <v>19.716666666666665</v>
      </c>
      <c r="F38" s="320">
        <v>1350</v>
      </c>
      <c r="G38" s="320">
        <f>+F38-F38*0.25</f>
        <v>1012.5</v>
      </c>
      <c r="H38" s="184" t="s">
        <v>60</v>
      </c>
      <c r="I38" s="501">
        <f>17.447+16.116+9.544</f>
        <v>43.106999999999999</v>
      </c>
      <c r="J38" s="126">
        <f>+I38+'26'!J38</f>
        <v>1328.5919999999996</v>
      </c>
      <c r="K38" s="127" t="s">
        <v>59</v>
      </c>
      <c r="L38" s="148">
        <v>7.8620000000000001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+C39+'26'!D39</f>
        <v>0</v>
      </c>
      <c r="E39" s="142">
        <f t="shared" si="0"/>
        <v>0</v>
      </c>
      <c r="F39" s="320">
        <v>1350</v>
      </c>
      <c r="G39" s="320">
        <f>+F39-F39*0.25</f>
        <v>1012.5</v>
      </c>
      <c r="H39" s="184" t="s">
        <v>61</v>
      </c>
      <c r="I39" s="141"/>
      <c r="J39" s="128">
        <f>J37/G4</f>
        <v>52.795305790607067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+C40+'26'!D40</f>
        <v>8</v>
      </c>
      <c r="E40" s="142">
        <f t="shared" ca="1" si="0"/>
        <v>0.13333333333333333</v>
      </c>
      <c r="F40" s="320">
        <v>1350</v>
      </c>
      <c r="G40" s="320">
        <f>+F40-F40*0.25</f>
        <v>1012.5</v>
      </c>
      <c r="H40" s="184" t="s">
        <v>63</v>
      </c>
      <c r="I40" s="117">
        <f>(K34+L34)/1000</f>
        <v>50.276000000000003</v>
      </c>
      <c r="J40" s="130">
        <f>+I40+'26'!J40</f>
        <v>1275.2640000000004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+C41+'26'!D41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47.232000000000014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+C42+'26'!D42</f>
        <v>0</v>
      </c>
      <c r="E42" s="142">
        <f t="shared" ca="1" si="0"/>
        <v>0</v>
      </c>
      <c r="F42" s="320">
        <f>+(F38*480+F39*480+F40*280)/1240</f>
        <v>1350</v>
      </c>
      <c r="G42" s="320">
        <f>+(G38*480+G39*480+G40*280)/1240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+C43+'26'!D43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+Report1!T35</f>
        <v>106.8</v>
      </c>
      <c r="J43" s="132">
        <f>+I43+'26'!J43</f>
        <v>3252.8999999999996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+C44+'26'!D44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2.4775558493980094</v>
      </c>
      <c r="J44" s="133">
        <f>J43/J38</f>
        <v>2.448381444416345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+C45+'26'!D45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2.1242740074787174</v>
      </c>
      <c r="J45" s="133">
        <f>J43/J40</f>
        <v>2.5507659590484786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+C46+'26'!D46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+SUMIF(Listrik!AN34,"&gt;0")</f>
        <v>42056.830717251221</v>
      </c>
      <c r="J46" s="134">
        <f>+I46+'26'!J46</f>
        <v>1253375.0067035628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+C47+'26'!D47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975.63808006243119</v>
      </c>
      <c r="J47" s="134">
        <f>J46/J38</f>
        <v>943.38593541400451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+C48+'26'!D48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836.51902930327037</v>
      </c>
      <c r="J48" s="134">
        <f>J46/J40</f>
        <v>982.83571613686456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+C49+'26'!D49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+I49+'26'!J49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+C50+'26'!D50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+C51+'26'!D51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227</v>
      </c>
      <c r="D52" s="143">
        <f ca="1">SUM(D38:D51)</f>
        <v>1961</v>
      </c>
      <c r="E52" s="144">
        <f ca="1">SUM(E38:E51)</f>
        <v>32.68333333333333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0.15763888888888888</v>
      </c>
      <c r="D53" s="145">
        <f ca="1">D52/(24*60*G4)</f>
        <v>5.0437242798353911E-2</v>
      </c>
      <c r="E53" s="146">
        <f ca="1">E52/(G4*24)</f>
        <v>5.0437242798353904E-2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+D34+'26'!J56</f>
        <v>27244</v>
      </c>
      <c r="K56" s="198">
        <f>J56/(J40+J56/1000)/1000</f>
        <v>2.0916570186133212E-2</v>
      </c>
    </row>
    <row r="57" spans="1:11">
      <c r="A57" s="173"/>
      <c r="I57" s="196" t="s">
        <v>85</v>
      </c>
      <c r="J57" s="197">
        <f>+E34+'26'!J57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217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26</v>
      </c>
      <c r="H4" s="153" t="str">
        <f>+'1'!H4</f>
        <v>.06.24</v>
      </c>
    </row>
    <row r="5" spans="1:19" ht="13.5" thickBot="1">
      <c r="C5" s="154"/>
      <c r="D5" s="154"/>
    </row>
    <row r="6" spans="1:19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396+343+403</f>
        <v>1142</v>
      </c>
    </row>
    <row r="7" spans="1:19" ht="13.5" customHeight="1" thickBot="1">
      <c r="A7" s="824" t="s">
        <v>219</v>
      </c>
      <c r="B7" s="212" t="s">
        <v>380</v>
      </c>
      <c r="C7" s="213">
        <v>16789</v>
      </c>
      <c r="D7" s="214"/>
      <c r="E7" s="215"/>
      <c r="F7" s="226"/>
      <c r="G7" s="224" t="s">
        <v>11</v>
      </c>
      <c r="H7" s="225" t="s">
        <v>385</v>
      </c>
      <c r="I7" s="827" t="s">
        <v>671</v>
      </c>
      <c r="J7" s="211" t="str">
        <f>+'25'!J7</f>
        <v>N 12 VP OW</v>
      </c>
      <c r="K7" s="233"/>
      <c r="L7" s="237"/>
      <c r="M7" s="116">
        <f>+K7+'25'!M7+L7</f>
        <v>107831</v>
      </c>
    </row>
    <row r="8" spans="1:19" ht="13.5" thickBot="1">
      <c r="A8" s="825"/>
      <c r="B8" s="212"/>
      <c r="C8" s="213"/>
      <c r="D8" s="214"/>
      <c r="E8" s="216"/>
      <c r="F8" s="226"/>
      <c r="G8" s="227" t="s">
        <v>11</v>
      </c>
      <c r="H8" s="225" t="s">
        <v>399</v>
      </c>
      <c r="I8" s="828"/>
      <c r="J8" s="211" t="str">
        <f>+'25'!J8</f>
        <v>F 12.5 VP OW</v>
      </c>
      <c r="K8" s="234"/>
      <c r="L8" s="234"/>
      <c r="M8" s="116">
        <f>+K8+'25'!M8+L8</f>
        <v>66421</v>
      </c>
      <c r="N8" s="519">
        <v>1350</v>
      </c>
      <c r="O8" s="148">
        <f>+N8-N8*0.25</f>
        <v>1012.5</v>
      </c>
      <c r="P8" s="523"/>
    </row>
    <row r="9" spans="1:19" ht="13.5" thickBot="1">
      <c r="A9" s="825"/>
      <c r="B9" s="212"/>
      <c r="C9" s="213"/>
      <c r="D9" s="214"/>
      <c r="E9" s="217"/>
      <c r="F9" s="226">
        <v>6</v>
      </c>
      <c r="G9" s="227" t="s">
        <v>11</v>
      </c>
      <c r="H9" s="228" t="s">
        <v>375</v>
      </c>
      <c r="I9" s="828"/>
      <c r="J9" s="211" t="str">
        <f>+'25'!J9</f>
        <v>F 13 VP OW</v>
      </c>
      <c r="K9" s="234">
        <f>+C34</f>
        <v>45142</v>
      </c>
      <c r="L9" s="234"/>
      <c r="M9" s="116">
        <f>+K9+'25'!M9+L9</f>
        <v>499902</v>
      </c>
      <c r="N9" s="519">
        <v>1350</v>
      </c>
      <c r="O9" s="148">
        <f>+N9-N9*0.25</f>
        <v>1012.5</v>
      </c>
      <c r="P9" s="523"/>
    </row>
    <row r="10" spans="1:19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+'25'!J10</f>
        <v>N 17 VP OW</v>
      </c>
      <c r="K10" s="234"/>
      <c r="L10" s="234"/>
      <c r="M10" s="116">
        <f>+K10+'25'!M10+L10</f>
        <v>76374</v>
      </c>
      <c r="N10" s="519">
        <v>1350</v>
      </c>
      <c r="O10" s="148">
        <f>+N10-N10*0.25</f>
        <v>1012.5</v>
      </c>
      <c r="P10" s="523"/>
    </row>
    <row r="11" spans="1:19" ht="26.25" thickBot="1">
      <c r="A11" s="825"/>
      <c r="B11" s="212"/>
      <c r="C11" s="213"/>
      <c r="D11" s="214"/>
      <c r="E11" s="216"/>
      <c r="F11" s="468"/>
      <c r="G11" s="469"/>
      <c r="H11" s="225" t="s">
        <v>702</v>
      </c>
      <c r="I11" s="828"/>
      <c r="J11" s="211" t="str">
        <f>+'25'!J11</f>
        <v>N 17,5 VP OW</v>
      </c>
      <c r="K11" s="234"/>
      <c r="L11" s="234"/>
      <c r="M11" s="116">
        <f>+K11+'25'!M11+L11</f>
        <v>23535</v>
      </c>
      <c r="Q11" s="173"/>
    </row>
    <row r="12" spans="1:19" ht="13.5" thickBot="1">
      <c r="A12" s="825"/>
      <c r="B12" s="212"/>
      <c r="C12" s="213"/>
      <c r="D12" s="214"/>
      <c r="E12" s="216"/>
      <c r="F12" s="223"/>
      <c r="G12" s="227"/>
      <c r="H12" s="228" t="s">
        <v>703</v>
      </c>
      <c r="I12" s="828"/>
      <c r="J12" s="211" t="str">
        <f>+'25'!J12</f>
        <v>TW 17 VP OW</v>
      </c>
      <c r="K12" s="234"/>
      <c r="L12" s="234"/>
      <c r="M12" s="116">
        <f>+K12+'25'!M12+L12</f>
        <v>243570</v>
      </c>
      <c r="R12" s="173"/>
      <c r="S12" s="173"/>
    </row>
    <row r="13" spans="1:19" ht="13.5" thickBot="1">
      <c r="A13" s="825"/>
      <c r="B13" s="212"/>
      <c r="C13" s="213"/>
      <c r="D13" s="213"/>
      <c r="E13" s="216"/>
      <c r="F13" s="223"/>
      <c r="G13" s="227"/>
      <c r="H13" s="228" t="s">
        <v>704</v>
      </c>
      <c r="I13" s="829"/>
      <c r="J13" s="211" t="str">
        <f>+'25'!J13</f>
        <v>N 15,5 VP OW</v>
      </c>
      <c r="K13" s="234"/>
      <c r="L13" s="234"/>
      <c r="M13" s="116">
        <f>+K13+'25'!M13+L13</f>
        <v>40521</v>
      </c>
    </row>
    <row r="14" spans="1:19" ht="13.5" thickBot="1">
      <c r="A14" s="826"/>
      <c r="B14" s="164" t="s">
        <v>2</v>
      </c>
      <c r="C14" s="98">
        <f>SUM(C7:C13)</f>
        <v>16789</v>
      </c>
      <c r="D14" s="110">
        <f>SUM(D7:D13)</f>
        <v>0</v>
      </c>
      <c r="E14" s="111">
        <f>SUM(E5:E13)</f>
        <v>0</v>
      </c>
      <c r="F14" s="101">
        <f>SUM(F6:F13)</f>
        <v>6</v>
      </c>
      <c r="G14" s="158"/>
      <c r="H14" s="165"/>
      <c r="I14" s="166"/>
      <c r="J14" s="211" t="str">
        <f>+'25'!J14</f>
        <v>N 11 VP OW</v>
      </c>
      <c r="K14" s="234"/>
      <c r="L14" s="234"/>
      <c r="M14" s="116">
        <f>+K14+'25'!M14+L14</f>
        <v>41975</v>
      </c>
    </row>
    <row r="15" spans="1:19" ht="13.5" customHeight="1" thickBot="1">
      <c r="A15" s="830" t="s">
        <v>432</v>
      </c>
      <c r="B15" s="498"/>
      <c r="C15" s="112">
        <f>C14/($C$23+$D$23+$E$23)</f>
        <v>1.113698175787728</v>
      </c>
      <c r="D15" s="113">
        <f>D14/($C$23+$D$23+$E$23)</f>
        <v>0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+'25'!J15</f>
        <v>T 14 VP OW</v>
      </c>
      <c r="K15" s="234"/>
      <c r="L15" s="234"/>
      <c r="M15" s="116">
        <f>+K15+'25'!M15+L15</f>
        <v>8404</v>
      </c>
      <c r="N15" s="528"/>
      <c r="P15" s="523"/>
    </row>
    <row r="16" spans="1:19" ht="13.5" thickBot="1">
      <c r="A16" s="825"/>
      <c r="B16" s="212" t="s">
        <v>380</v>
      </c>
      <c r="C16" s="499">
        <v>15075</v>
      </c>
      <c r="D16" s="218"/>
      <c r="E16" s="219"/>
      <c r="F16" s="226">
        <v>1</v>
      </c>
      <c r="G16" s="227" t="s">
        <v>11</v>
      </c>
      <c r="H16" s="225" t="s">
        <v>419</v>
      </c>
      <c r="I16" s="828"/>
      <c r="J16" s="211" t="str">
        <f>+'25'!J16</f>
        <v>T 16 VP OW</v>
      </c>
      <c r="K16" s="224"/>
      <c r="L16" s="224"/>
      <c r="M16" s="116">
        <f>+K16+'25'!M16+L16</f>
        <v>62166</v>
      </c>
      <c r="P16" s="523"/>
    </row>
    <row r="17" spans="1:19" ht="13.5" thickBot="1">
      <c r="A17" s="825"/>
      <c r="B17" s="212"/>
      <c r="C17" s="213"/>
      <c r="D17" s="214"/>
      <c r="E17" s="220"/>
      <c r="F17" s="226">
        <v>9</v>
      </c>
      <c r="G17" s="227" t="s">
        <v>11</v>
      </c>
      <c r="H17" s="228" t="s">
        <v>375</v>
      </c>
      <c r="I17" s="828"/>
      <c r="J17" s="211" t="str">
        <f>+'25'!J17</f>
        <v>T 18 VP OW</v>
      </c>
      <c r="K17" s="224"/>
      <c r="L17" s="224"/>
      <c r="M17" s="116">
        <f>+K17+'25'!M17+L17</f>
        <v>44306</v>
      </c>
      <c r="P17" s="523"/>
    </row>
    <row r="18" spans="1:19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+'25'!J18</f>
        <v>T 15 VP OW</v>
      </c>
      <c r="K18" s="234"/>
      <c r="L18" s="234"/>
      <c r="M18" s="116">
        <f>+K18+'25'!M18+L18</f>
        <v>9983</v>
      </c>
      <c r="Q18" s="173"/>
    </row>
    <row r="19" spans="1:19" ht="13.5" thickBot="1">
      <c r="A19" s="825"/>
      <c r="B19" s="212"/>
      <c r="C19" s="213"/>
      <c r="D19" s="214"/>
      <c r="E19" s="220"/>
      <c r="F19" s="223"/>
      <c r="G19" s="227"/>
      <c r="H19" s="225" t="s">
        <v>705</v>
      </c>
      <c r="I19" s="828"/>
      <c r="J19" s="211">
        <f>+'25'!J19</f>
        <v>0</v>
      </c>
      <c r="K19" s="234"/>
      <c r="L19" s="234"/>
      <c r="M19" s="116">
        <f>+K19+'25'!M19+L19</f>
        <v>0</v>
      </c>
      <c r="R19" s="173"/>
      <c r="S19" s="173"/>
    </row>
    <row r="20" spans="1:19" ht="13.5" thickBot="1">
      <c r="A20" s="825"/>
      <c r="B20" s="212"/>
      <c r="C20" s="213"/>
      <c r="D20" s="214"/>
      <c r="E20" s="220"/>
      <c r="F20" s="223"/>
      <c r="G20" s="227"/>
      <c r="H20" s="228" t="s">
        <v>706</v>
      </c>
      <c r="I20" s="828"/>
      <c r="J20" s="211">
        <f>+'25'!J20</f>
        <v>0</v>
      </c>
      <c r="K20" s="235"/>
      <c r="L20" s="235"/>
      <c r="M20" s="116">
        <f>+K20+'25'!M20+L20</f>
        <v>0</v>
      </c>
    </row>
    <row r="21" spans="1:19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+'25'!J21</f>
        <v>0</v>
      </c>
      <c r="K21" s="234"/>
      <c r="L21" s="234"/>
      <c r="M21" s="116">
        <f>+K21+'25'!M21+L21</f>
        <v>0</v>
      </c>
    </row>
    <row r="22" spans="1:19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+'25'!J22</f>
        <v>0</v>
      </c>
      <c r="K22" s="234"/>
      <c r="L22" s="234"/>
      <c r="M22" s="116">
        <f>+K22+'25'!M22+L22</f>
        <v>0</v>
      </c>
    </row>
    <row r="23" spans="1:19" ht="13.5" thickBot="1">
      <c r="A23" s="826"/>
      <c r="B23" s="164" t="s">
        <v>2</v>
      </c>
      <c r="C23" s="98">
        <f>SUM(C16:C22)</f>
        <v>15075</v>
      </c>
      <c r="D23" s="110">
        <f>SUM(D16:D22)</f>
        <v>0</v>
      </c>
      <c r="E23" s="111">
        <f>SUM(E18:E22)</f>
        <v>0</v>
      </c>
      <c r="F23" s="101">
        <f>SUM(F15:F22)</f>
        <v>10</v>
      </c>
      <c r="G23" s="158"/>
      <c r="H23" s="165"/>
      <c r="I23" s="167"/>
      <c r="J23" s="211">
        <f>+'25'!J23</f>
        <v>0</v>
      </c>
      <c r="K23" s="234"/>
      <c r="L23" s="234"/>
      <c r="M23" s="116">
        <f>+K23+'25'!M23+L23</f>
        <v>0</v>
      </c>
    </row>
    <row r="24" spans="1:19" ht="13.5" customHeight="1" thickBot="1">
      <c r="A24" s="830" t="s">
        <v>353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+'25'!J24</f>
        <v>0</v>
      </c>
      <c r="K24" s="234"/>
      <c r="L24" s="234"/>
      <c r="M24" s="116">
        <f>+K24+'25'!M24+L24</f>
        <v>0</v>
      </c>
    </row>
    <row r="25" spans="1:19" ht="13.5" thickBot="1">
      <c r="A25" s="831"/>
      <c r="B25" s="212" t="s">
        <v>380</v>
      </c>
      <c r="C25" s="221">
        <v>13278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+'25'!J25</f>
        <v>0</v>
      </c>
      <c r="K25" s="234"/>
      <c r="L25" s="234"/>
      <c r="M25" s="116">
        <f>+K25+'25'!M25+L25</f>
        <v>0</v>
      </c>
      <c r="N25" s="528"/>
      <c r="O25" s="529"/>
      <c r="P25" s="530"/>
      <c r="Q25" s="529"/>
    </row>
    <row r="26" spans="1:19" ht="13.5" thickBot="1">
      <c r="A26" s="831"/>
      <c r="B26" s="212"/>
      <c r="C26" s="221"/>
      <c r="D26" s="214"/>
      <c r="E26" s="222"/>
      <c r="F26" s="226">
        <v>11</v>
      </c>
      <c r="G26" s="227" t="s">
        <v>11</v>
      </c>
      <c r="H26" s="228" t="s">
        <v>418</v>
      </c>
      <c r="I26" s="828"/>
      <c r="J26" s="211">
        <f>+'25'!J26</f>
        <v>0</v>
      </c>
      <c r="K26" s="234"/>
      <c r="L26" s="234"/>
      <c r="M26" s="116">
        <f>+K26+'25'!M26+L26</f>
        <v>0</v>
      </c>
    </row>
    <row r="27" spans="1:19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+'25'!J27</f>
        <v>0</v>
      </c>
      <c r="K27" s="234"/>
      <c r="L27" s="234"/>
      <c r="M27" s="116">
        <f>+K27+'25'!M27+L27</f>
        <v>0</v>
      </c>
    </row>
    <row r="28" spans="1:19" ht="13.5" thickBot="1">
      <c r="A28" s="831"/>
      <c r="B28" s="212"/>
      <c r="C28" s="213"/>
      <c r="D28" s="214"/>
      <c r="E28" s="220"/>
      <c r="F28" s="223"/>
      <c r="G28" s="227"/>
      <c r="H28" s="225" t="s">
        <v>707</v>
      </c>
      <c r="I28" s="828"/>
      <c r="J28" s="211">
        <f>+'25'!J28</f>
        <v>0</v>
      </c>
      <c r="K28" s="234"/>
      <c r="L28" s="234"/>
      <c r="M28" s="116">
        <f>+K28+'25'!M28+L28</f>
        <v>0</v>
      </c>
    </row>
    <row r="29" spans="1:19" ht="13.5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+'25'!J29</f>
        <v>0</v>
      </c>
      <c r="K29" s="234"/>
      <c r="L29" s="234"/>
      <c r="M29" s="116">
        <f>+K29+'25'!M29+L29</f>
        <v>0</v>
      </c>
    </row>
    <row r="30" spans="1:19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+'25'!J30</f>
        <v>0</v>
      </c>
      <c r="K30" s="234"/>
      <c r="L30" s="234"/>
      <c r="M30" s="116">
        <f>+K30+'25'!M30+L30</f>
        <v>0</v>
      </c>
      <c r="N30" s="154"/>
    </row>
    <row r="31" spans="1:19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+'25'!J31</f>
        <v>0</v>
      </c>
      <c r="K31" s="234"/>
      <c r="L31" s="234"/>
      <c r="M31" s="116">
        <f>+K31+'25'!M31+L31</f>
        <v>0</v>
      </c>
    </row>
    <row r="32" spans="1:19" ht="13.5" thickBot="1">
      <c r="A32" s="832"/>
      <c r="B32" s="164" t="s">
        <v>2</v>
      </c>
      <c r="C32" s="98">
        <f>SUM(C25:C31)</f>
        <v>13278</v>
      </c>
      <c r="D32" s="99">
        <f>SUM(D25:D31)</f>
        <v>0</v>
      </c>
      <c r="E32" s="100">
        <f>SUM(E25:E31)</f>
        <v>0</v>
      </c>
      <c r="F32" s="98">
        <f>SUM(F24:F31)</f>
        <v>11</v>
      </c>
      <c r="G32" s="168"/>
      <c r="H32" s="169"/>
      <c r="I32" s="167"/>
      <c r="J32" s="211">
        <f>+'25'!J32</f>
        <v>0</v>
      </c>
      <c r="K32" s="236"/>
      <c r="L32" s="238"/>
      <c r="M32" s="116">
        <f>+K32+'25'!M32+L32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45142</v>
      </c>
      <c r="D34" s="106">
        <f>D14+D23+D32</f>
        <v>0</v>
      </c>
      <c r="E34" s="106">
        <f>E14+E23+E32</f>
        <v>0</v>
      </c>
      <c r="F34" s="107">
        <f>F14+F23+F32</f>
        <v>27</v>
      </c>
      <c r="H34" s="175"/>
      <c r="I34" s="175"/>
      <c r="J34" s="122" t="s">
        <v>27</v>
      </c>
      <c r="K34" s="123">
        <f>SUM(K7:K32)</f>
        <v>45142</v>
      </c>
      <c r="L34" s="209">
        <f>SUM(L7:L32)</f>
        <v>0</v>
      </c>
      <c r="M34" s="119">
        <f>SUM(M7:M32)</f>
        <v>1224988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+I37+'25'!J37</f>
        <v>1379.7274432213908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27</v>
      </c>
      <c r="D38" s="117">
        <f>+C38+'25'!D38</f>
        <v>956</v>
      </c>
      <c r="E38" s="142">
        <f t="shared" ref="E38:E51" si="0">D38/60</f>
        <v>15.933333333333334</v>
      </c>
      <c r="F38" s="320">
        <v>1350</v>
      </c>
      <c r="G38" s="320">
        <f>+F38-F38*0.25</f>
        <v>1012.5</v>
      </c>
      <c r="H38" s="184" t="s">
        <v>60</v>
      </c>
      <c r="I38" s="501">
        <f>17.307+18.113+16.256</f>
        <v>51.676000000000002</v>
      </c>
      <c r="J38" s="126">
        <f>+I38+'25'!J38</f>
        <v>1285.4849999999997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+C39+'25'!D39</f>
        <v>0</v>
      </c>
      <c r="E39" s="142">
        <f t="shared" si="0"/>
        <v>0</v>
      </c>
      <c r="F39" s="320">
        <v>1350</v>
      </c>
      <c r="G39" s="320">
        <f>+F39-F39*0.25</f>
        <v>1012.5</v>
      </c>
      <c r="H39" s="184" t="s">
        <v>61</v>
      </c>
      <c r="I39" s="141"/>
      <c r="J39" s="128">
        <f>J37/G4</f>
        <v>53.066440123899646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+C40+'25'!D40</f>
        <v>8</v>
      </c>
      <c r="E40" s="142">
        <f t="shared" ca="1" si="0"/>
        <v>0.13333333333333333</v>
      </c>
      <c r="F40" s="320">
        <v>1350</v>
      </c>
      <c r="G40" s="320">
        <f>+F40-F40*0.25</f>
        <v>1012.5</v>
      </c>
      <c r="H40" s="184" t="s">
        <v>63</v>
      </c>
      <c r="I40" s="117">
        <f>(K34+L34)/1000</f>
        <v>45.142000000000003</v>
      </c>
      <c r="J40" s="130">
        <f>+I40+'25'!J40</f>
        <v>1224.9880000000003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+C41+'25'!D41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47.114923076923091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+C42+'25'!D42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+C43+'25'!D43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+Report1!T34</f>
        <v>121.2</v>
      </c>
      <c r="J43" s="132">
        <f>+I43+'25'!J43</f>
        <v>3146.0999999999995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+C44+'25'!D44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2.3453827695642078</v>
      </c>
      <c r="J44" s="133">
        <f>J43/J38</f>
        <v>2.4474031202231066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+C45+'25'!D45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2.6848611049576889</v>
      </c>
      <c r="J45" s="133">
        <f>J43/J40</f>
        <v>2.5682700565230014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+C46+'25'!D46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+SUMIF(Listrik!AN33,"&gt;0")</f>
        <v>48978.838109397526</v>
      </c>
      <c r="J46" s="134">
        <f>+I46+'25'!J46</f>
        <v>1211318.1759863116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+C47+'25'!D47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947.80629517372711</v>
      </c>
      <c r="J47" s="134">
        <f>J46/J38</f>
        <v>942.30440338573533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+C48+'25'!D48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1084.99486308532</v>
      </c>
      <c r="J48" s="134">
        <f>J46/J40</f>
        <v>988.84085067470971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+C49+'25'!D49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+I49+'25'!J49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+C50+'25'!D50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+C51+'25'!D51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27</v>
      </c>
      <c r="D52" s="143">
        <f ca="1">SUM(D38:D51)</f>
        <v>1734</v>
      </c>
      <c r="E52" s="144">
        <f ca="1">SUM(E38:E51)</f>
        <v>28.900000000000002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1.8749999999999999E-2</v>
      </c>
      <c r="D53" s="145">
        <f ca="1">D52/(24*60*G4)</f>
        <v>4.6314102564102566E-2</v>
      </c>
      <c r="E53" s="146">
        <f ca="1">E52/(G4*24)</f>
        <v>4.6314102564102566E-2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+D34+'25'!J56</f>
        <v>26919</v>
      </c>
      <c r="K56" s="198">
        <f>J56/(J40+J56/1000)/1000</f>
        <v>2.1502395944746688E-2</v>
      </c>
    </row>
    <row r="57" spans="1:11">
      <c r="A57" s="173"/>
      <c r="I57" s="196" t="s">
        <v>85</v>
      </c>
      <c r="J57" s="197">
        <f>+E34+'25'!J57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topLeftCell="A4" zoomScale="80" zoomScaleNormal="80" zoomScaleSheetLayoutView="80" workbookViewId="0">
      <selection activeCell="D8" sqref="D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6384" width="9.140625" style="148"/>
  </cols>
  <sheetData>
    <row r="1" spans="1:15" ht="15.75">
      <c r="A1" s="147"/>
    </row>
    <row r="2" spans="1:15" ht="15.75">
      <c r="A2" s="147" t="s">
        <v>217</v>
      </c>
    </row>
    <row r="3" spans="1:15" ht="15">
      <c r="A3" s="149"/>
    </row>
    <row r="4" spans="1:15" ht="20.25">
      <c r="A4" s="150" t="s">
        <v>3</v>
      </c>
      <c r="B4" s="151"/>
      <c r="F4" s="152" t="s">
        <v>28</v>
      </c>
      <c r="G4" s="153">
        <v>25</v>
      </c>
      <c r="H4" s="153" t="str">
        <f>+'1'!H4</f>
        <v>.06.24</v>
      </c>
    </row>
    <row r="5" spans="1:15" ht="13.5" thickBot="1">
      <c r="C5" s="154"/>
      <c r="D5" s="154"/>
    </row>
    <row r="6" spans="1:15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421+412+363</f>
        <v>1196</v>
      </c>
    </row>
    <row r="7" spans="1:15" ht="13.5" customHeight="1" thickBot="1">
      <c r="A7" s="824" t="s">
        <v>219</v>
      </c>
      <c r="B7" s="212" t="s">
        <v>380</v>
      </c>
      <c r="C7" s="213">
        <v>12649</v>
      </c>
      <c r="D7" s="214">
        <v>280</v>
      </c>
      <c r="E7" s="215"/>
      <c r="F7" s="226"/>
      <c r="G7" s="224" t="s">
        <v>11</v>
      </c>
      <c r="H7" s="225" t="s">
        <v>385</v>
      </c>
      <c r="I7" s="827" t="s">
        <v>671</v>
      </c>
      <c r="J7" s="211" t="str">
        <f>+'24'!J7</f>
        <v>N 12 VP OW</v>
      </c>
      <c r="K7" s="233"/>
      <c r="L7" s="237"/>
      <c r="M7" s="116">
        <f>+K7+'24'!M7+L7</f>
        <v>107831</v>
      </c>
    </row>
    <row r="8" spans="1:15" ht="13.5" thickBot="1">
      <c r="A8" s="825"/>
      <c r="B8" s="212"/>
      <c r="C8" s="213"/>
      <c r="D8" s="214"/>
      <c r="E8" s="216"/>
      <c r="F8" s="226">
        <v>2</v>
      </c>
      <c r="G8" s="227" t="s">
        <v>11</v>
      </c>
      <c r="H8" s="225" t="s">
        <v>419</v>
      </c>
      <c r="I8" s="828"/>
      <c r="J8" s="211" t="str">
        <f>+'24'!J8</f>
        <v>F 12.5 VP OW</v>
      </c>
      <c r="K8" s="234"/>
      <c r="L8" s="234"/>
      <c r="M8" s="116">
        <f>+K8+'24'!M8+L8</f>
        <v>66421</v>
      </c>
      <c r="N8" s="148">
        <v>1350</v>
      </c>
      <c r="O8" s="523">
        <f>+N8-N8*0.25</f>
        <v>1012.5</v>
      </c>
    </row>
    <row r="9" spans="1:15" ht="13.5" thickBot="1">
      <c r="A9" s="825"/>
      <c r="B9" s="212"/>
      <c r="C9" s="213"/>
      <c r="D9" s="214"/>
      <c r="E9" s="217"/>
      <c r="F9" s="226">
        <v>10</v>
      </c>
      <c r="G9" s="227" t="s">
        <v>11</v>
      </c>
      <c r="H9" s="228" t="s">
        <v>375</v>
      </c>
      <c r="I9" s="828"/>
      <c r="J9" s="211" t="str">
        <f>+'24'!J9</f>
        <v>F 13 VP OW</v>
      </c>
      <c r="K9" s="234">
        <f>+C34</f>
        <v>43971</v>
      </c>
      <c r="L9" s="234"/>
      <c r="M9" s="116">
        <f>+K9+'24'!M9+L9</f>
        <v>454760</v>
      </c>
      <c r="N9" s="148">
        <v>1350</v>
      </c>
      <c r="O9" s="523">
        <f>+N9-N9*0.25</f>
        <v>1012.5</v>
      </c>
    </row>
    <row r="10" spans="1:15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+'24'!J10</f>
        <v>N 17 VP OW</v>
      </c>
      <c r="K10" s="234"/>
      <c r="L10" s="234"/>
      <c r="M10" s="116">
        <f>+K10+'24'!M10+L10</f>
        <v>76374</v>
      </c>
      <c r="N10" s="148">
        <v>1350</v>
      </c>
      <c r="O10" s="523">
        <f>+N10-N10*0.25</f>
        <v>1012.5</v>
      </c>
    </row>
    <row r="11" spans="1:15" ht="13.5" thickBot="1">
      <c r="A11" s="825"/>
      <c r="B11" s="212"/>
      <c r="C11" s="213"/>
      <c r="D11" s="214"/>
      <c r="E11" s="216"/>
      <c r="F11" s="468"/>
      <c r="G11" s="469"/>
      <c r="H11" s="225" t="s">
        <v>695</v>
      </c>
      <c r="I11" s="828"/>
      <c r="J11" s="211" t="str">
        <f>+'24'!J11</f>
        <v>N 17,5 VP OW</v>
      </c>
      <c r="K11" s="234"/>
      <c r="L11" s="234"/>
      <c r="M11" s="116">
        <f>+K11+'24'!M11+L11</f>
        <v>23535</v>
      </c>
    </row>
    <row r="12" spans="1:15" ht="13.5" thickBot="1">
      <c r="A12" s="825"/>
      <c r="B12" s="212"/>
      <c r="C12" s="213"/>
      <c r="D12" s="214"/>
      <c r="E12" s="216"/>
      <c r="F12" s="223"/>
      <c r="G12" s="227"/>
      <c r="H12" s="228" t="s">
        <v>696</v>
      </c>
      <c r="I12" s="828"/>
      <c r="J12" s="211" t="str">
        <f>+'24'!J12</f>
        <v>TW 17 VP OW</v>
      </c>
      <c r="K12" s="234"/>
      <c r="L12" s="234"/>
      <c r="M12" s="116">
        <f>+K12+'24'!M12+L12</f>
        <v>243570</v>
      </c>
    </row>
    <row r="13" spans="1:15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+'24'!J13</f>
        <v>N 15,5 VP OW</v>
      </c>
      <c r="K13" s="234"/>
      <c r="L13" s="234"/>
      <c r="M13" s="116">
        <f>+K13+'24'!M13+L13</f>
        <v>40521</v>
      </c>
    </row>
    <row r="14" spans="1:15" ht="13.5" thickBot="1">
      <c r="A14" s="826"/>
      <c r="B14" s="164" t="s">
        <v>2</v>
      </c>
      <c r="C14" s="98">
        <f>SUM(C7:C13)</f>
        <v>12649</v>
      </c>
      <c r="D14" s="110">
        <f>SUM(D7:D13)</f>
        <v>280</v>
      </c>
      <c r="E14" s="111">
        <f>SUM(E5:E13)</f>
        <v>0</v>
      </c>
      <c r="F14" s="101">
        <f>SUM(F6:F13)</f>
        <v>12</v>
      </c>
      <c r="G14" s="158"/>
      <c r="H14" s="165"/>
      <c r="I14" s="166"/>
      <c r="J14" s="211" t="str">
        <f>+'24'!J14</f>
        <v>N 11 VP OW</v>
      </c>
      <c r="K14" s="234"/>
      <c r="L14" s="234"/>
      <c r="M14" s="116">
        <f>+K14+'24'!M14+L14</f>
        <v>41975</v>
      </c>
    </row>
    <row r="15" spans="1:15" ht="13.5" customHeight="1" thickBot="1">
      <c r="A15" s="830" t="s">
        <v>432</v>
      </c>
      <c r="B15" s="498"/>
      <c r="C15" s="112">
        <f>C14/($C$23+$D$23+$E$23)</f>
        <v>0.76479835540238228</v>
      </c>
      <c r="D15" s="113">
        <f>D14/($C$23+$D$23+$E$23)</f>
        <v>1.6929681359211562E-2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+'24'!J15</f>
        <v>T 14 VP OW</v>
      </c>
      <c r="K15" s="234"/>
      <c r="L15" s="234"/>
      <c r="M15" s="116">
        <f>+K15+'24'!M15+L15</f>
        <v>8404</v>
      </c>
    </row>
    <row r="16" spans="1:15" ht="13.5" thickBot="1">
      <c r="A16" s="825"/>
      <c r="B16" s="212" t="s">
        <v>380</v>
      </c>
      <c r="C16" s="499">
        <v>16539</v>
      </c>
      <c r="D16" s="218"/>
      <c r="E16" s="219"/>
      <c r="F16" s="226">
        <v>1</v>
      </c>
      <c r="G16" s="227" t="s">
        <v>11</v>
      </c>
      <c r="H16" s="225" t="s">
        <v>419</v>
      </c>
      <c r="I16" s="828"/>
      <c r="J16" s="211" t="str">
        <f>+'24'!J16</f>
        <v>T 16 VP OW</v>
      </c>
      <c r="K16" s="224"/>
      <c r="L16" s="224"/>
      <c r="M16" s="116">
        <f>+K16+'24'!M16+L16</f>
        <v>62166</v>
      </c>
      <c r="O16" s="523"/>
    </row>
    <row r="17" spans="1:15" ht="13.5" thickBot="1">
      <c r="A17" s="825"/>
      <c r="B17" s="212"/>
      <c r="C17" s="213"/>
      <c r="D17" s="214"/>
      <c r="E17" s="220"/>
      <c r="F17" s="226">
        <v>5</v>
      </c>
      <c r="G17" s="227" t="s">
        <v>11</v>
      </c>
      <c r="H17" s="228" t="s">
        <v>375</v>
      </c>
      <c r="I17" s="828"/>
      <c r="J17" s="211" t="str">
        <f>+'24'!J17</f>
        <v>T 18 VP OW</v>
      </c>
      <c r="K17" s="224"/>
      <c r="L17" s="224"/>
      <c r="M17" s="116">
        <f>+K17+'24'!M17+L17</f>
        <v>44306</v>
      </c>
    </row>
    <row r="18" spans="1:15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+'24'!J18</f>
        <v>T 15 VP OW</v>
      </c>
      <c r="K18" s="234"/>
      <c r="L18" s="234"/>
      <c r="M18" s="116">
        <f>+K18+'24'!M18+L18</f>
        <v>9983</v>
      </c>
    </row>
    <row r="19" spans="1:15" ht="13.5" thickBot="1">
      <c r="A19" s="825"/>
      <c r="B19" s="212"/>
      <c r="C19" s="213"/>
      <c r="D19" s="214"/>
      <c r="E19" s="220"/>
      <c r="F19" s="223"/>
      <c r="G19" s="227"/>
      <c r="H19" s="225" t="s">
        <v>697</v>
      </c>
      <c r="I19" s="828"/>
      <c r="J19" s="211">
        <f>+'24'!J19</f>
        <v>0</v>
      </c>
      <c r="K19" s="234"/>
      <c r="L19" s="234"/>
      <c r="M19" s="116">
        <f>+K19+'24'!M19+L19</f>
        <v>0</v>
      </c>
    </row>
    <row r="20" spans="1:15" ht="13.5" thickBot="1">
      <c r="A20" s="825"/>
      <c r="B20" s="212"/>
      <c r="C20" s="213"/>
      <c r="D20" s="214"/>
      <c r="E20" s="220"/>
      <c r="F20" s="223"/>
      <c r="G20" s="227"/>
      <c r="H20" s="228" t="s">
        <v>698</v>
      </c>
      <c r="I20" s="828"/>
      <c r="J20" s="211">
        <f>+'24'!J20</f>
        <v>0</v>
      </c>
      <c r="K20" s="235"/>
      <c r="L20" s="235"/>
      <c r="M20" s="116">
        <f>+K20+'24'!M20+L20</f>
        <v>0</v>
      </c>
    </row>
    <row r="21" spans="1:15" ht="13.5" thickBot="1">
      <c r="A21" s="825"/>
      <c r="B21" s="212"/>
      <c r="C21" s="213"/>
      <c r="D21" s="214"/>
      <c r="E21" s="220"/>
      <c r="F21" s="226"/>
      <c r="G21" s="227"/>
      <c r="H21" s="228" t="s">
        <v>699</v>
      </c>
      <c r="I21" s="828"/>
      <c r="J21" s="211">
        <f>+'24'!J21</f>
        <v>0</v>
      </c>
      <c r="K21" s="234"/>
      <c r="L21" s="234"/>
      <c r="M21" s="116">
        <f>+K21+'24'!M21+L21</f>
        <v>0</v>
      </c>
    </row>
    <row r="22" spans="1:15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+'24'!J22</f>
        <v>0</v>
      </c>
      <c r="K22" s="234"/>
      <c r="L22" s="234"/>
      <c r="M22" s="116">
        <f>+K22+'24'!M22+L22</f>
        <v>0</v>
      </c>
    </row>
    <row r="23" spans="1:15" ht="13.5" thickBot="1">
      <c r="A23" s="826"/>
      <c r="B23" s="164" t="s">
        <v>2</v>
      </c>
      <c r="C23" s="98">
        <f>SUM(C16:C22)</f>
        <v>16539</v>
      </c>
      <c r="D23" s="110">
        <f>SUM(D16:D22)</f>
        <v>0</v>
      </c>
      <c r="E23" s="111">
        <f>SUM(E18:E22)</f>
        <v>0</v>
      </c>
      <c r="F23" s="101">
        <f>SUM(F15:F22)</f>
        <v>6</v>
      </c>
      <c r="G23" s="158"/>
      <c r="H23" s="165"/>
      <c r="I23" s="167"/>
      <c r="J23" s="211">
        <f>+'24'!J23</f>
        <v>0</v>
      </c>
      <c r="K23" s="234"/>
      <c r="L23" s="234"/>
      <c r="M23" s="116">
        <f>+K23+'24'!M23+L23</f>
        <v>0</v>
      </c>
    </row>
    <row r="24" spans="1:15" ht="13.5" customHeight="1" thickBot="1">
      <c r="A24" s="830" t="s">
        <v>431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+'24'!J24</f>
        <v>0</v>
      </c>
      <c r="K24" s="234"/>
      <c r="L24" s="234"/>
      <c r="M24" s="116">
        <f>+K24+'24'!M24+L24</f>
        <v>0</v>
      </c>
    </row>
    <row r="25" spans="1:15" ht="13.5" thickBot="1">
      <c r="A25" s="831"/>
      <c r="B25" s="212" t="s">
        <v>380</v>
      </c>
      <c r="C25" s="221">
        <v>14783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+'24'!J25</f>
        <v>0</v>
      </c>
      <c r="K25" s="234"/>
      <c r="L25" s="234"/>
      <c r="M25" s="116">
        <f>+K25+'24'!M25+L25</f>
        <v>0</v>
      </c>
      <c r="O25" s="523"/>
    </row>
    <row r="26" spans="1:15" ht="13.5" thickBot="1">
      <c r="A26" s="831"/>
      <c r="B26" s="212"/>
      <c r="C26" s="221"/>
      <c r="D26" s="214"/>
      <c r="E26" s="222"/>
      <c r="F26" s="226">
        <v>6</v>
      </c>
      <c r="G26" s="227" t="s">
        <v>11</v>
      </c>
      <c r="H26" s="228" t="s">
        <v>418</v>
      </c>
      <c r="I26" s="828"/>
      <c r="J26" s="211">
        <f>+'24'!J26</f>
        <v>0</v>
      </c>
      <c r="K26" s="234"/>
      <c r="L26" s="234"/>
      <c r="M26" s="116">
        <f>+K26+'24'!M26+L26</f>
        <v>0</v>
      </c>
    </row>
    <row r="27" spans="1:15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+'24'!J27</f>
        <v>0</v>
      </c>
      <c r="K27" s="234"/>
      <c r="L27" s="234"/>
      <c r="M27" s="116">
        <f>+K27+'24'!M27+L27</f>
        <v>0</v>
      </c>
    </row>
    <row r="28" spans="1:15" ht="13.5" thickBot="1">
      <c r="A28" s="831"/>
      <c r="B28" s="212"/>
      <c r="C28" s="213"/>
      <c r="D28" s="214"/>
      <c r="E28" s="220"/>
      <c r="F28" s="223"/>
      <c r="G28" s="227"/>
      <c r="H28" s="225" t="s">
        <v>700</v>
      </c>
      <c r="I28" s="828"/>
      <c r="J28" s="211">
        <f>+'24'!J28</f>
        <v>0</v>
      </c>
      <c r="K28" s="234"/>
      <c r="L28" s="234"/>
      <c r="M28" s="116">
        <f>+K28+'24'!M28+L28</f>
        <v>0</v>
      </c>
    </row>
    <row r="29" spans="1:15" ht="13.5" thickBot="1">
      <c r="A29" s="831"/>
      <c r="B29" s="212"/>
      <c r="C29" s="213"/>
      <c r="D29" s="214"/>
      <c r="E29" s="220"/>
      <c r="F29" s="231"/>
      <c r="G29" s="227"/>
      <c r="H29" s="228" t="s">
        <v>701</v>
      </c>
      <c r="I29" s="828"/>
      <c r="J29" s="211">
        <f>+'24'!J29</f>
        <v>0</v>
      </c>
      <c r="K29" s="234"/>
      <c r="L29" s="234"/>
      <c r="M29" s="116">
        <f>+K29+'24'!M29+L29</f>
        <v>0</v>
      </c>
    </row>
    <row r="30" spans="1:15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+'24'!J30</f>
        <v>0</v>
      </c>
      <c r="K30" s="234"/>
      <c r="L30" s="234"/>
      <c r="M30" s="116">
        <f>+K30+'24'!M30+L30</f>
        <v>0</v>
      </c>
      <c r="N30" s="154"/>
    </row>
    <row r="31" spans="1:15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+'24'!J31</f>
        <v>0</v>
      </c>
      <c r="K31" s="234"/>
      <c r="L31" s="234"/>
      <c r="M31" s="116">
        <f>+K31+'24'!M31+L31</f>
        <v>0</v>
      </c>
    </row>
    <row r="32" spans="1:15" ht="13.5" thickBot="1">
      <c r="A32" s="832"/>
      <c r="B32" s="164" t="s">
        <v>2</v>
      </c>
      <c r="C32" s="98">
        <f>SUM(C25:C31)</f>
        <v>14783</v>
      </c>
      <c r="D32" s="99">
        <f>SUM(D25:D31)</f>
        <v>0</v>
      </c>
      <c r="E32" s="100">
        <f>SUM(E25:E31)</f>
        <v>0</v>
      </c>
      <c r="F32" s="98">
        <f>SUM(F24:F31)</f>
        <v>6</v>
      </c>
      <c r="G32" s="168"/>
      <c r="H32" s="169"/>
      <c r="I32" s="167"/>
      <c r="J32" s="211">
        <f>+'24'!J32</f>
        <v>0</v>
      </c>
      <c r="K32" s="236"/>
      <c r="L32" s="238"/>
      <c r="M32" s="116">
        <f>+K32+'24'!M32+L32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43971</v>
      </c>
      <c r="D34" s="106">
        <f>D14+D23+D32</f>
        <v>280</v>
      </c>
      <c r="E34" s="106">
        <f>E14+E23+E32</f>
        <v>0</v>
      </c>
      <c r="F34" s="107">
        <f>F14+F23+F32</f>
        <v>24</v>
      </c>
      <c r="H34" s="175"/>
      <c r="I34" s="175"/>
      <c r="J34" s="122" t="s">
        <v>27</v>
      </c>
      <c r="K34" s="123">
        <f>SUM(K7:K32)</f>
        <v>43971</v>
      </c>
      <c r="L34" s="209">
        <f>SUM(L7:L32)</f>
        <v>0</v>
      </c>
      <c r="M34" s="119">
        <f>SUM(M7:M32)</f>
        <v>1179846</v>
      </c>
      <c r="N34" s="154"/>
    </row>
    <row r="35" spans="1:14" ht="13.5" thickBot="1">
      <c r="A35" s="176"/>
      <c r="B35" s="177"/>
      <c r="C35" s="103">
        <f>C34/($C$34+$D$34+$E$34)</f>
        <v>0.99367245937944904</v>
      </c>
      <c r="D35" s="103">
        <f>D34/($C$34+$D$34+$E$34)</f>
        <v>6.3275406205509479E-3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+I37+'24'!J37</f>
        <v>1325.7085432213908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24</v>
      </c>
      <c r="D38" s="117">
        <f>+C38+'24'!D38</f>
        <v>929</v>
      </c>
      <c r="E38" s="142">
        <f t="shared" ref="E38:E51" si="0">D38/60</f>
        <v>15.483333333333333</v>
      </c>
      <c r="F38" s="320">
        <v>1350</v>
      </c>
      <c r="G38" s="320">
        <f>+F38-F38*0.25</f>
        <v>1012.5</v>
      </c>
      <c r="H38" s="184" t="s">
        <v>60</v>
      </c>
      <c r="I38" s="501">
        <f>16.501+16.221+16.256</f>
        <v>48.978000000000002</v>
      </c>
      <c r="J38" s="126">
        <f>+I38+'24'!J38</f>
        <v>1233.8089999999997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+C39+'24'!D39</f>
        <v>0</v>
      </c>
      <c r="E39" s="142">
        <f t="shared" si="0"/>
        <v>0</v>
      </c>
      <c r="F39" s="320">
        <v>1350</v>
      </c>
      <c r="G39" s="320">
        <f>+F39-F39*0.25</f>
        <v>1012.5</v>
      </c>
      <c r="H39" s="184" t="s">
        <v>61</v>
      </c>
      <c r="I39" s="141"/>
      <c r="J39" s="128">
        <f>J37/G4</f>
        <v>53.028341728855629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+C40+'24'!D40</f>
        <v>8</v>
      </c>
      <c r="E40" s="142">
        <f t="shared" ca="1" si="0"/>
        <v>0.13333333333333333</v>
      </c>
      <c r="F40" s="320">
        <v>1350</v>
      </c>
      <c r="G40" s="320">
        <f>+F40-F40*0.25</f>
        <v>1012.5</v>
      </c>
      <c r="H40" s="184" t="s">
        <v>63</v>
      </c>
      <c r="I40" s="117">
        <f>(K34+L34)/1000</f>
        <v>43.970999999999997</v>
      </c>
      <c r="J40" s="130">
        <f>+I40+'24'!J40</f>
        <v>1179.8460000000002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+C41+'24'!D41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47.193840000000009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+C42+'24'!D42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+C43+'24'!D43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+Report1!T33</f>
        <v>120.6</v>
      </c>
      <c r="J43" s="132">
        <f>+I43+'24'!J43</f>
        <v>3024.8999999999996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+C44+'24'!D44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2.4623300257258358</v>
      </c>
      <c r="J44" s="133">
        <f>J43/J38</f>
        <v>2.4516760697968651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+C45+'24'!D45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2.7427167906119942</v>
      </c>
      <c r="J45" s="133">
        <f>J43/J40</f>
        <v>2.5638091750957321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+C46+'24'!D46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+SUMIF(Listrik!AN32,"&gt;0")</f>
        <v>47143.816892463597</v>
      </c>
      <c r="J46" s="134">
        <f>+I46+'24'!J46</f>
        <v>1162339.3378769141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+C47+'24'!D47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962.55087779132668</v>
      </c>
      <c r="J47" s="134">
        <f>J46/J38</f>
        <v>942.07396596792069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+C48+'24'!D48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1072.1570328731118</v>
      </c>
      <c r="J48" s="134">
        <f>J46/J40</f>
        <v>985.16190916180062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+C49+'24'!D49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+I49+'24'!J49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+C50+'24'!D50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+C51+'24'!D51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24</v>
      </c>
      <c r="D52" s="143">
        <f ca="1">SUM(D38:D51)</f>
        <v>1707</v>
      </c>
      <c r="E52" s="144">
        <f ca="1">SUM(E38:E51)</f>
        <v>28.450000000000003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1.6666666666666666E-2</v>
      </c>
      <c r="D53" s="145">
        <f ca="1">D52/(24*60*G4)</f>
        <v>4.7416666666666669E-2</v>
      </c>
      <c r="E53" s="146">
        <f ca="1">E52/(G4*24)</f>
        <v>4.7416666666666669E-2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+D34+'24'!J56</f>
        <v>26919</v>
      </c>
      <c r="K56" s="198">
        <f>J56/(J40+J56/1000)/1000</f>
        <v>2.2306745720997868E-2</v>
      </c>
    </row>
    <row r="57" spans="1:11">
      <c r="A57" s="173"/>
      <c r="I57" s="196" t="s">
        <v>85</v>
      </c>
      <c r="J57" s="197">
        <f>+E34+'24'!J57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topLeftCell="A4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3.5703125" style="148" customWidth="1"/>
    <col min="14" max="16384" width="9.140625" style="148"/>
  </cols>
  <sheetData>
    <row r="1" spans="1:27" ht="15.75">
      <c r="A1" s="147"/>
      <c r="V1" s="519"/>
    </row>
    <row r="2" spans="1:27" ht="15.75">
      <c r="A2" s="147" t="s">
        <v>217</v>
      </c>
      <c r="V2" s="519"/>
    </row>
    <row r="3" spans="1:27" ht="15">
      <c r="A3" s="149"/>
      <c r="Y3" s="173"/>
    </row>
    <row r="4" spans="1:27" ht="20.25">
      <c r="A4" s="150" t="s">
        <v>3</v>
      </c>
      <c r="B4" s="151"/>
      <c r="F4" s="152" t="s">
        <v>28</v>
      </c>
      <c r="G4" s="153">
        <v>24</v>
      </c>
      <c r="H4" s="153" t="str">
        <f>+'1'!H4</f>
        <v>.06.24</v>
      </c>
      <c r="Z4" s="173"/>
      <c r="AA4" s="173"/>
    </row>
    <row r="5" spans="1:27" ht="13.5" thickBot="1">
      <c r="C5" s="154"/>
      <c r="D5" s="154"/>
    </row>
    <row r="6" spans="1:27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421+383+383</f>
        <v>1187</v>
      </c>
      <c r="V6" s="520"/>
    </row>
    <row r="7" spans="1:27" ht="13.5" customHeight="1" thickBot="1">
      <c r="A7" s="824" t="s">
        <v>219</v>
      </c>
      <c r="B7" s="212" t="s">
        <v>380</v>
      </c>
      <c r="C7" s="213">
        <v>17813</v>
      </c>
      <c r="D7" s="214"/>
      <c r="E7" s="215"/>
      <c r="F7" s="226"/>
      <c r="G7" s="224" t="s">
        <v>11</v>
      </c>
      <c r="H7" s="225" t="s">
        <v>385</v>
      </c>
      <c r="I7" s="827" t="s">
        <v>671</v>
      </c>
      <c r="J7" s="211" t="str">
        <f>+'23'!J7</f>
        <v>N 12 VP OW</v>
      </c>
      <c r="K7" s="233"/>
      <c r="L7" s="237"/>
      <c r="M7" s="116">
        <f>+K7+'23'!M7+L7</f>
        <v>107831</v>
      </c>
      <c r="V7" s="526"/>
      <c r="W7" s="527"/>
      <c r="X7" s="527"/>
      <c r="Y7" s="527"/>
    </row>
    <row r="8" spans="1:27" ht="13.5" thickBot="1">
      <c r="A8" s="825"/>
      <c r="B8" s="212"/>
      <c r="C8" s="213"/>
      <c r="D8" s="214"/>
      <c r="E8" s="216"/>
      <c r="F8" s="226"/>
      <c r="G8" s="227" t="s">
        <v>11</v>
      </c>
      <c r="H8" s="225" t="s">
        <v>399</v>
      </c>
      <c r="I8" s="828"/>
      <c r="J8" s="211" t="str">
        <f>+'23'!J8</f>
        <v>F 12.5 VP OW</v>
      </c>
      <c r="K8" s="234"/>
      <c r="L8" s="234"/>
      <c r="M8" s="116">
        <f>+K8+'23'!M8+L8</f>
        <v>66421</v>
      </c>
      <c r="N8" s="519">
        <v>1350</v>
      </c>
      <c r="O8" s="148">
        <f>+N8-N8*0.25</f>
        <v>1012.5</v>
      </c>
      <c r="V8" s="520"/>
    </row>
    <row r="9" spans="1:27" ht="13.5" thickBot="1">
      <c r="A9" s="825"/>
      <c r="B9" s="212"/>
      <c r="C9" s="213"/>
      <c r="D9" s="214"/>
      <c r="E9" s="217"/>
      <c r="F9" s="226">
        <v>10</v>
      </c>
      <c r="G9" s="227" t="s">
        <v>11</v>
      </c>
      <c r="H9" s="228" t="s">
        <v>400</v>
      </c>
      <c r="I9" s="828"/>
      <c r="J9" s="211" t="str">
        <f>+'23'!J9</f>
        <v>F 13 VP OW</v>
      </c>
      <c r="K9" s="234">
        <f>+C34</f>
        <v>53771</v>
      </c>
      <c r="L9" s="234"/>
      <c r="M9" s="116">
        <f>+K9+'23'!M9+L9</f>
        <v>410789</v>
      </c>
      <c r="N9" s="519">
        <v>1350</v>
      </c>
      <c r="O9" s="148">
        <f>+N9-N9*0.25</f>
        <v>1012.5</v>
      </c>
      <c r="Y9" s="525"/>
    </row>
    <row r="10" spans="1:27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+'23'!J10</f>
        <v>N 17 VP OW</v>
      </c>
      <c r="K10" s="234"/>
      <c r="L10" s="234"/>
      <c r="M10" s="116">
        <f>+K10+'23'!M10+L10</f>
        <v>76374</v>
      </c>
      <c r="N10" s="519">
        <v>1350</v>
      </c>
      <c r="O10" s="148">
        <f>+N10-N10*0.25</f>
        <v>1012.5</v>
      </c>
      <c r="Q10" s="173"/>
      <c r="Z10" s="525"/>
      <c r="AA10" s="525"/>
    </row>
    <row r="11" spans="1:27" ht="13.5" thickBot="1">
      <c r="A11" s="825"/>
      <c r="B11" s="212"/>
      <c r="C11" s="213"/>
      <c r="D11" s="214"/>
      <c r="E11" s="216"/>
      <c r="F11" s="468"/>
      <c r="G11" s="469"/>
      <c r="H11" s="225" t="s">
        <v>690</v>
      </c>
      <c r="I11" s="828"/>
      <c r="J11" s="211" t="str">
        <f>+'23'!J11</f>
        <v>N 17,5 VP OW</v>
      </c>
      <c r="K11" s="234"/>
      <c r="L11" s="234"/>
      <c r="M11" s="116">
        <f>+K11+'23'!M11+L11</f>
        <v>23535</v>
      </c>
      <c r="R11" s="173"/>
      <c r="S11" s="173"/>
    </row>
    <row r="12" spans="1:27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+'23'!J12</f>
        <v>TW 17 VP OW</v>
      </c>
      <c r="K12" s="234"/>
      <c r="L12" s="234"/>
      <c r="M12" s="116">
        <f>+K12+'23'!M12+L12</f>
        <v>243570</v>
      </c>
    </row>
    <row r="13" spans="1:27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+'23'!J13</f>
        <v>N 15,5 VP OW</v>
      </c>
      <c r="K13" s="234"/>
      <c r="L13" s="234"/>
      <c r="M13" s="116">
        <f>+K13+'23'!M13+L13</f>
        <v>40521</v>
      </c>
    </row>
    <row r="14" spans="1:27" ht="13.5" thickBot="1">
      <c r="A14" s="826"/>
      <c r="B14" s="164" t="s">
        <v>2</v>
      </c>
      <c r="C14" s="98">
        <f>SUM(C7:C13)</f>
        <v>17813</v>
      </c>
      <c r="D14" s="110">
        <f>SUM(D7:D13)</f>
        <v>0</v>
      </c>
      <c r="E14" s="111">
        <f>SUM(E5:E13)</f>
        <v>0</v>
      </c>
      <c r="F14" s="101">
        <f>SUM(F6:F13)</f>
        <v>10</v>
      </c>
      <c r="G14" s="158"/>
      <c r="H14" s="165"/>
      <c r="I14" s="166"/>
      <c r="J14" s="211" t="str">
        <f>+'23'!J14</f>
        <v>N 11 VP OW</v>
      </c>
      <c r="K14" s="234"/>
      <c r="L14" s="234"/>
      <c r="M14" s="116">
        <f>+K14+'23'!M14+L14</f>
        <v>41975</v>
      </c>
    </row>
    <row r="15" spans="1:27" ht="13.5" customHeight="1" thickBot="1">
      <c r="A15" s="830" t="s">
        <v>432</v>
      </c>
      <c r="B15" s="498"/>
      <c r="C15" s="112">
        <f>C14/($C$23+$D$23+$E$23)</f>
        <v>1.0547101663804843</v>
      </c>
      <c r="D15" s="113">
        <f>D14/($C$23+$D$23+$E$23)</f>
        <v>0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+'23'!J15</f>
        <v>T 14 VP OW</v>
      </c>
      <c r="K15" s="234"/>
      <c r="L15" s="234"/>
      <c r="M15" s="116">
        <f>+K15+'23'!M15+L15</f>
        <v>8404</v>
      </c>
    </row>
    <row r="16" spans="1:27" ht="13.5" thickBot="1">
      <c r="A16" s="825"/>
      <c r="B16" s="212" t="s">
        <v>380</v>
      </c>
      <c r="C16" s="499">
        <v>16889</v>
      </c>
      <c r="D16" s="218"/>
      <c r="E16" s="219"/>
      <c r="F16" s="226"/>
      <c r="G16" s="227" t="s">
        <v>11</v>
      </c>
      <c r="H16" s="225" t="s">
        <v>399</v>
      </c>
      <c r="I16" s="828"/>
      <c r="J16" s="211" t="str">
        <f>+'23'!J16</f>
        <v>T 16 VP OW</v>
      </c>
      <c r="K16" s="224"/>
      <c r="L16" s="224"/>
      <c r="M16" s="116">
        <f>+K16+'23'!M16+L16</f>
        <v>62166</v>
      </c>
      <c r="N16" s="520"/>
      <c r="O16" s="525"/>
      <c r="P16" s="525"/>
      <c r="Q16" s="525"/>
    </row>
    <row r="17" spans="1:19" ht="13.5" thickBot="1">
      <c r="A17" s="825"/>
      <c r="B17" s="212"/>
      <c r="C17" s="213"/>
      <c r="D17" s="214"/>
      <c r="E17" s="220"/>
      <c r="F17" s="226">
        <v>4</v>
      </c>
      <c r="G17" s="227" t="s">
        <v>11</v>
      </c>
      <c r="H17" s="228" t="s">
        <v>375</v>
      </c>
      <c r="I17" s="828"/>
      <c r="J17" s="211" t="str">
        <f>+'23'!J17</f>
        <v>T 18 VP OW</v>
      </c>
      <c r="K17" s="224"/>
      <c r="L17" s="224"/>
      <c r="M17" s="116">
        <f>+K17+'23'!M17+L17</f>
        <v>44306</v>
      </c>
    </row>
    <row r="18" spans="1:19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+'23'!J18</f>
        <v>T 15 VP OW</v>
      </c>
      <c r="K18" s="234"/>
      <c r="L18" s="234"/>
      <c r="M18" s="116">
        <f>+K18+'23'!M18+L18</f>
        <v>9983</v>
      </c>
    </row>
    <row r="19" spans="1:19" ht="13.5" thickBot="1">
      <c r="A19" s="825"/>
      <c r="B19" s="212"/>
      <c r="C19" s="213"/>
      <c r="D19" s="214"/>
      <c r="E19" s="220"/>
      <c r="F19" s="223"/>
      <c r="G19" s="227"/>
      <c r="H19" s="225" t="s">
        <v>692</v>
      </c>
      <c r="I19" s="828"/>
      <c r="J19" s="211">
        <f>+'23'!J19</f>
        <v>0</v>
      </c>
      <c r="K19" s="234"/>
      <c r="L19" s="234"/>
      <c r="M19" s="116">
        <f>+K19+'23'!M19+L19</f>
        <v>0</v>
      </c>
    </row>
    <row r="20" spans="1:19" ht="13.5" thickBot="1">
      <c r="A20" s="825"/>
      <c r="B20" s="212"/>
      <c r="C20" s="213"/>
      <c r="D20" s="214"/>
      <c r="E20" s="220"/>
      <c r="F20" s="223"/>
      <c r="G20" s="227"/>
      <c r="H20" s="228" t="s">
        <v>691</v>
      </c>
      <c r="I20" s="828"/>
      <c r="J20" s="211">
        <f>+'23'!J20</f>
        <v>0</v>
      </c>
      <c r="K20" s="235"/>
      <c r="L20" s="235"/>
      <c r="M20" s="116">
        <f>+K20+'23'!M20+L20</f>
        <v>0</v>
      </c>
    </row>
    <row r="21" spans="1:19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+'23'!J21</f>
        <v>0</v>
      </c>
      <c r="K21" s="234"/>
      <c r="L21" s="234"/>
      <c r="M21" s="116">
        <f>+K21+'23'!M21+L21</f>
        <v>0</v>
      </c>
    </row>
    <row r="22" spans="1:19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+'23'!J22</f>
        <v>0</v>
      </c>
      <c r="K22" s="234"/>
      <c r="L22" s="234"/>
      <c r="M22" s="116">
        <f>+K22+'23'!M22+L22</f>
        <v>0</v>
      </c>
    </row>
    <row r="23" spans="1:19" ht="13.5" thickBot="1">
      <c r="A23" s="826"/>
      <c r="B23" s="164" t="s">
        <v>2</v>
      </c>
      <c r="C23" s="98">
        <f>SUM(C16:C22)</f>
        <v>16889</v>
      </c>
      <c r="D23" s="110">
        <f>SUM(D16:D22)</f>
        <v>0</v>
      </c>
      <c r="E23" s="111">
        <f>SUM(E18:E22)</f>
        <v>0</v>
      </c>
      <c r="F23" s="101">
        <f>SUM(F15:F22)</f>
        <v>4</v>
      </c>
      <c r="G23" s="158"/>
      <c r="H23" s="165"/>
      <c r="I23" s="167"/>
      <c r="J23" s="211">
        <f>+'23'!J23</f>
        <v>0</v>
      </c>
      <c r="K23" s="234"/>
      <c r="L23" s="234"/>
      <c r="M23" s="116">
        <f>+K23+'23'!M23+L23</f>
        <v>0</v>
      </c>
    </row>
    <row r="24" spans="1:19" ht="13.5" customHeight="1" thickBot="1">
      <c r="A24" s="830" t="s">
        <v>431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+'23'!J24</f>
        <v>0</v>
      </c>
      <c r="K24" s="234"/>
      <c r="L24" s="234"/>
      <c r="M24" s="116">
        <f>+K24+'23'!M24+L24</f>
        <v>0</v>
      </c>
      <c r="N24" s="520"/>
    </row>
    <row r="25" spans="1:19" ht="13.5" thickBot="1">
      <c r="A25" s="831"/>
      <c r="B25" s="212" t="s">
        <v>380</v>
      </c>
      <c r="C25" s="221">
        <v>19069</v>
      </c>
      <c r="D25" s="214"/>
      <c r="E25" s="220"/>
      <c r="F25" s="226">
        <v>2</v>
      </c>
      <c r="G25" s="227" t="s">
        <v>11</v>
      </c>
      <c r="H25" s="225" t="s">
        <v>419</v>
      </c>
      <c r="I25" s="828"/>
      <c r="J25" s="211">
        <f>+'23'!J25</f>
        <v>0</v>
      </c>
      <c r="K25" s="234"/>
      <c r="L25" s="234"/>
      <c r="M25" s="116">
        <f>+K25+'23'!M25+L25</f>
        <v>0</v>
      </c>
      <c r="N25" s="519"/>
    </row>
    <row r="26" spans="1:19" ht="13.5" thickBot="1">
      <c r="A26" s="831"/>
      <c r="B26" s="212"/>
      <c r="C26" s="221"/>
      <c r="D26" s="214"/>
      <c r="E26" s="222"/>
      <c r="F26" s="226">
        <v>8</v>
      </c>
      <c r="G26" s="227" t="s">
        <v>11</v>
      </c>
      <c r="H26" s="228" t="s">
        <v>445</v>
      </c>
      <c r="I26" s="828"/>
      <c r="J26" s="211">
        <f>+'23'!J26</f>
        <v>0</v>
      </c>
      <c r="K26" s="234"/>
      <c r="L26" s="234"/>
      <c r="M26" s="116">
        <f>+K26+'23'!M26+L26</f>
        <v>0</v>
      </c>
      <c r="Q26" s="173"/>
    </row>
    <row r="27" spans="1:19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+'23'!J27</f>
        <v>0</v>
      </c>
      <c r="K27" s="234"/>
      <c r="L27" s="234"/>
      <c r="M27" s="116">
        <f>+K27+'23'!M27+L27</f>
        <v>0</v>
      </c>
      <c r="R27" s="173"/>
      <c r="S27" s="173"/>
    </row>
    <row r="28" spans="1:19" ht="13.5" thickBot="1">
      <c r="A28" s="831"/>
      <c r="B28" s="212"/>
      <c r="C28" s="213"/>
      <c r="D28" s="214"/>
      <c r="E28" s="220"/>
      <c r="F28" s="223"/>
      <c r="G28" s="227"/>
      <c r="H28" s="225" t="s">
        <v>693</v>
      </c>
      <c r="I28" s="828"/>
      <c r="J28" s="211">
        <f>+'23'!J28</f>
        <v>0</v>
      </c>
      <c r="K28" s="234"/>
      <c r="L28" s="234"/>
      <c r="M28" s="116">
        <f>+K28+'23'!M28+L28</f>
        <v>0</v>
      </c>
    </row>
    <row r="29" spans="1:19" ht="13.5" thickBot="1">
      <c r="A29" s="831"/>
      <c r="B29" s="212"/>
      <c r="C29" s="213"/>
      <c r="D29" s="214"/>
      <c r="E29" s="220"/>
      <c r="F29" s="231"/>
      <c r="G29" s="227"/>
      <c r="H29" s="228" t="s">
        <v>694</v>
      </c>
      <c r="I29" s="828"/>
      <c r="J29" s="211">
        <f>+'23'!J29</f>
        <v>0</v>
      </c>
      <c r="K29" s="234"/>
      <c r="L29" s="234"/>
      <c r="M29" s="116">
        <f>+K29+'23'!M29+L29</f>
        <v>0</v>
      </c>
    </row>
    <row r="30" spans="1:19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+'23'!J30</f>
        <v>0</v>
      </c>
      <c r="K30" s="234"/>
      <c r="L30" s="234"/>
      <c r="M30" s="116">
        <f>+K30+'23'!M30+L30</f>
        <v>0</v>
      </c>
      <c r="N30" s="154"/>
    </row>
    <row r="31" spans="1:19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+'23'!J31</f>
        <v>0</v>
      </c>
      <c r="K31" s="234"/>
      <c r="L31" s="234"/>
      <c r="M31" s="116">
        <f>+K31+'23'!M31+L31</f>
        <v>0</v>
      </c>
    </row>
    <row r="32" spans="1:19" ht="13.5" thickBot="1">
      <c r="A32" s="832"/>
      <c r="B32" s="164" t="s">
        <v>2</v>
      </c>
      <c r="C32" s="98">
        <f>SUM(C25:C31)</f>
        <v>19069</v>
      </c>
      <c r="D32" s="99">
        <f>SUM(D25:D31)</f>
        <v>0</v>
      </c>
      <c r="E32" s="100">
        <f>SUM(E25:E31)</f>
        <v>0</v>
      </c>
      <c r="F32" s="98">
        <f>SUM(F24:F31)</f>
        <v>10</v>
      </c>
      <c r="G32" s="168"/>
      <c r="H32" s="169"/>
      <c r="I32" s="167"/>
      <c r="J32" s="211">
        <f>+'23'!J32</f>
        <v>0</v>
      </c>
      <c r="K32" s="236"/>
      <c r="L32" s="238"/>
      <c r="M32" s="116">
        <f>+K32+'23'!M32+L32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53771</v>
      </c>
      <c r="D34" s="106">
        <f>D14+D23+D32</f>
        <v>0</v>
      </c>
      <c r="E34" s="106">
        <f>E14+E23+E32</f>
        <v>0</v>
      </c>
      <c r="F34" s="107">
        <f>F14+F23+F32</f>
        <v>24</v>
      </c>
      <c r="H34" s="175"/>
      <c r="I34" s="175"/>
      <c r="J34" s="122" t="s">
        <v>27</v>
      </c>
      <c r="K34" s="123">
        <f>SUM(K7:K32)</f>
        <v>53771</v>
      </c>
      <c r="L34" s="209">
        <f>SUM(L7:L32)</f>
        <v>0</v>
      </c>
      <c r="M34" s="119">
        <f>SUM(M7:M32)</f>
        <v>1135875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(13*1440)/1440*G42*2.66*1440/1000000</f>
        <v>50.417639999999999</v>
      </c>
      <c r="J37" s="124">
        <f>+I37+'23'!J37</f>
        <v>1271.6896432213907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24</v>
      </c>
      <c r="D38" s="117">
        <f>+C38+'23'!D38</f>
        <v>905</v>
      </c>
      <c r="E38" s="142">
        <f t="shared" ref="E38:E51" si="0">D38/60</f>
        <v>15.083333333333334</v>
      </c>
      <c r="F38" s="320">
        <v>1350</v>
      </c>
      <c r="G38" s="320">
        <f>+F38-F38*0.25</f>
        <v>1012.5</v>
      </c>
      <c r="H38" s="184" t="s">
        <v>60</v>
      </c>
      <c r="I38" s="240">
        <f>15.45+18.323+15.485</f>
        <v>49.257999999999996</v>
      </c>
      <c r="J38" s="126">
        <f>+I38+'23'!J38</f>
        <v>1184.8309999999997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+C39+'23'!D39</f>
        <v>0</v>
      </c>
      <c r="E39" s="142">
        <f t="shared" si="0"/>
        <v>0</v>
      </c>
      <c r="F39" s="320">
        <v>1350</v>
      </c>
      <c r="G39" s="320">
        <f>+F39-F39*0.25</f>
        <v>1012.5</v>
      </c>
      <c r="H39" s="184" t="s">
        <v>61</v>
      </c>
      <c r="I39" s="141"/>
      <c r="J39" s="128">
        <f>J37/G4</f>
        <v>52.987068467557947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+C40+'23'!D40</f>
        <v>8</v>
      </c>
      <c r="E40" s="142">
        <f t="shared" ca="1" si="0"/>
        <v>0.13333333333333333</v>
      </c>
      <c r="F40" s="320">
        <v>1350</v>
      </c>
      <c r="G40" s="320">
        <f>+F40-F40*0.25</f>
        <v>1012.5</v>
      </c>
      <c r="H40" s="184" t="s">
        <v>63</v>
      </c>
      <c r="I40" s="117">
        <f>(K34+L34)/1000</f>
        <v>53.771000000000001</v>
      </c>
      <c r="J40" s="130">
        <f>+I40+'23'!J40</f>
        <v>1135.8750000000002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+C41+'23'!D41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47.328125000000007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+C42+'23'!D42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+C43+'23'!D43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+Report1!T32</f>
        <v>120</v>
      </c>
      <c r="J43" s="132">
        <f>+I43+'23'!J43</f>
        <v>2904.2999999999997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+C44+'23'!D44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2.4361525031466971</v>
      </c>
      <c r="J44" s="133">
        <f>J43/J38</f>
        <v>2.4512356614572042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+C45+'23'!D45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2.2316862249167766</v>
      </c>
      <c r="J45" s="133">
        <f>J43/J40</f>
        <v>2.556883459887751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+C46+'23'!D46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+SUMIF(Listrik!AN31,"&gt;0")</f>
        <v>46550.358187728249</v>
      </c>
      <c r="J46" s="134">
        <f>+I46+'23'!J46</f>
        <v>1115195.5209844506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+C47+'23'!D47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945.03143017841273</v>
      </c>
      <c r="J47" s="134">
        <f>J46/J38</f>
        <v>941.22750078656861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+C48+'23'!D48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865.71494277079182</v>
      </c>
      <c r="J48" s="134">
        <f>J46/J40</f>
        <v>981.79422998520999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+C49+'23'!D49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+I49+'23'!J49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+C50+'23'!D50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+C51+'23'!D51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24</v>
      </c>
      <c r="D52" s="143">
        <f ca="1">SUM(D38:D51)</f>
        <v>1683</v>
      </c>
      <c r="E52" s="144">
        <f ca="1">SUM(E38:E51)</f>
        <v>28.050000000000004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1.6666666666666666E-2</v>
      </c>
      <c r="D53" s="145">
        <f ca="1">D52/(24*60*G4)</f>
        <v>4.8697916666666667E-2</v>
      </c>
      <c r="E53" s="146">
        <f ca="1">E52/(G4*24)</f>
        <v>4.8697916666666674E-2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+D34+'23'!J56</f>
        <v>26639</v>
      </c>
      <c r="K56" s="198">
        <f>J56/(J40+J56/1000)/1000</f>
        <v>2.2914992851698988E-2</v>
      </c>
    </row>
    <row r="57" spans="1:11">
      <c r="A57" s="173"/>
      <c r="I57" s="196" t="s">
        <v>85</v>
      </c>
      <c r="J57" s="197">
        <f>+E34+'23'!J57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3.7109375" style="148" customWidth="1"/>
    <col min="14" max="16384" width="9.140625" style="148"/>
  </cols>
  <sheetData>
    <row r="1" spans="1:16" ht="15.75">
      <c r="A1" s="147"/>
    </row>
    <row r="2" spans="1:16" ht="15.75">
      <c r="A2" s="147" t="s">
        <v>217</v>
      </c>
    </row>
    <row r="3" spans="1:16" ht="15">
      <c r="A3" s="149"/>
    </row>
    <row r="4" spans="1:16" ht="20.25">
      <c r="A4" s="150" t="s">
        <v>3</v>
      </c>
      <c r="B4" s="151"/>
      <c r="F4" s="152" t="s">
        <v>28</v>
      </c>
      <c r="G4" s="153">
        <v>23</v>
      </c>
      <c r="H4" s="153" t="str">
        <f>+'1'!H4</f>
        <v>.06.24</v>
      </c>
    </row>
    <row r="5" spans="1:16" ht="13.5" thickBot="1">
      <c r="C5" s="154"/>
      <c r="D5" s="154"/>
    </row>
    <row r="6" spans="1:16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430+472+393</f>
        <v>1295</v>
      </c>
    </row>
    <row r="7" spans="1:16" ht="13.5" customHeight="1" thickBot="1">
      <c r="A7" s="824" t="s">
        <v>353</v>
      </c>
      <c r="B7" s="212" t="s">
        <v>380</v>
      </c>
      <c r="C7" s="213">
        <v>14982</v>
      </c>
      <c r="D7" s="214">
        <v>280</v>
      </c>
      <c r="E7" s="215"/>
      <c r="F7" s="226"/>
      <c r="G7" s="224" t="s">
        <v>11</v>
      </c>
      <c r="H7" s="225" t="s">
        <v>385</v>
      </c>
      <c r="I7" s="827" t="s">
        <v>671</v>
      </c>
      <c r="J7" s="211" t="str">
        <f>+'22'!J7</f>
        <v>N 12 VP OW</v>
      </c>
      <c r="K7" s="233"/>
      <c r="L7" s="237"/>
      <c r="M7" s="116">
        <f>+K7+'22'!M7+L7</f>
        <v>107831</v>
      </c>
    </row>
    <row r="8" spans="1:16" ht="13.5" thickBot="1">
      <c r="A8" s="825"/>
      <c r="B8" s="212"/>
      <c r="C8" s="213"/>
      <c r="D8" s="214"/>
      <c r="E8" s="216"/>
      <c r="F8" s="226"/>
      <c r="G8" s="227" t="s">
        <v>11</v>
      </c>
      <c r="H8" s="225" t="s">
        <v>399</v>
      </c>
      <c r="I8" s="828"/>
      <c r="J8" s="211" t="str">
        <f>+'22'!J8</f>
        <v>F 12.5 VP OW</v>
      </c>
      <c r="K8" s="234"/>
      <c r="L8" s="234"/>
      <c r="M8" s="116">
        <f>+K8+'22'!M8+L8</f>
        <v>66421</v>
      </c>
      <c r="N8" s="173">
        <v>1350</v>
      </c>
      <c r="O8" s="524">
        <f>+N8-N8*0.25</f>
        <v>1012.5</v>
      </c>
      <c r="P8" s="173"/>
    </row>
    <row r="9" spans="1:16" ht="13.5" thickBot="1">
      <c r="A9" s="825"/>
      <c r="B9" s="212"/>
      <c r="C9" s="213"/>
      <c r="D9" s="214"/>
      <c r="E9" s="217"/>
      <c r="F9" s="226">
        <v>9</v>
      </c>
      <c r="G9" s="227" t="s">
        <v>11</v>
      </c>
      <c r="H9" s="228" t="s">
        <v>418</v>
      </c>
      <c r="I9" s="828"/>
      <c r="J9" s="211" t="str">
        <f>+'22'!J9</f>
        <v>F 13 VP OW</v>
      </c>
      <c r="K9" s="234">
        <f>+C34</f>
        <v>47997</v>
      </c>
      <c r="L9" s="234"/>
      <c r="M9" s="116">
        <f>+K9+'22'!M9+L9</f>
        <v>357018</v>
      </c>
    </row>
    <row r="10" spans="1:16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+'22'!J10</f>
        <v>N 17 VP OW</v>
      </c>
      <c r="K10" s="234"/>
      <c r="L10" s="234"/>
      <c r="M10" s="116">
        <f>+K10+'22'!M10+L10</f>
        <v>76374</v>
      </c>
    </row>
    <row r="11" spans="1:16" ht="13.5" thickBot="1">
      <c r="A11" s="825"/>
      <c r="B11" s="212"/>
      <c r="C11" s="213"/>
      <c r="D11" s="214"/>
      <c r="E11" s="216"/>
      <c r="F11" s="468"/>
      <c r="G11" s="469"/>
      <c r="H11" s="225" t="s">
        <v>684</v>
      </c>
      <c r="I11" s="828"/>
      <c r="J11" s="211" t="str">
        <f>+'22'!J11</f>
        <v>N 17,5 VP OW</v>
      </c>
      <c r="K11" s="234"/>
      <c r="L11" s="234"/>
      <c r="M11" s="116">
        <f>+K11+'22'!M11+L11</f>
        <v>23535</v>
      </c>
    </row>
    <row r="12" spans="1:16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+'22'!J12</f>
        <v>TW 17 VP OW</v>
      </c>
      <c r="K12" s="234"/>
      <c r="L12" s="234"/>
      <c r="M12" s="116">
        <f>+K12+'22'!M12+L12</f>
        <v>243570</v>
      </c>
    </row>
    <row r="13" spans="1:16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+'22'!J13</f>
        <v>N 15,5 VP OW</v>
      </c>
      <c r="K13" s="234"/>
      <c r="L13" s="234"/>
      <c r="M13" s="116">
        <f>+K13+'22'!M13+L13</f>
        <v>40521</v>
      </c>
    </row>
    <row r="14" spans="1:16" ht="13.5" thickBot="1">
      <c r="A14" s="826"/>
      <c r="B14" s="164" t="s">
        <v>2</v>
      </c>
      <c r="C14" s="98">
        <f>SUM(C7:C13)</f>
        <v>14982</v>
      </c>
      <c r="D14" s="110">
        <f>SUM(D7:D13)</f>
        <v>280</v>
      </c>
      <c r="E14" s="111">
        <f>SUM(E5:E13)</f>
        <v>0</v>
      </c>
      <c r="F14" s="101">
        <f>SUM(F6:F13)</f>
        <v>9</v>
      </c>
      <c r="G14" s="158"/>
      <c r="H14" s="165"/>
      <c r="I14" s="166"/>
      <c r="J14" s="211" t="str">
        <f>+'22'!J14</f>
        <v>N 11 VP OW</v>
      </c>
      <c r="K14" s="234"/>
      <c r="L14" s="234"/>
      <c r="M14" s="116">
        <f>+K14+'22'!M14+L14</f>
        <v>41975</v>
      </c>
    </row>
    <row r="15" spans="1:16" ht="13.5" customHeight="1" thickBot="1">
      <c r="A15" s="830" t="s">
        <v>432</v>
      </c>
      <c r="B15" s="498"/>
      <c r="C15" s="112">
        <f>C14/($C$23+$D$23+$E$23)</f>
        <v>0.79290817676634029</v>
      </c>
      <c r="D15" s="113">
        <f>D14/($C$23+$D$23+$E$23)</f>
        <v>1.4818735115109817E-2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+'22'!J15</f>
        <v>T 14 VP OW</v>
      </c>
      <c r="K15" s="234"/>
      <c r="L15" s="234"/>
      <c r="M15" s="116">
        <f>+K15+'22'!M15+L15</f>
        <v>8404</v>
      </c>
    </row>
    <row r="16" spans="1:16" ht="13.5" thickBot="1">
      <c r="A16" s="825"/>
      <c r="B16" s="212" t="s">
        <v>380</v>
      </c>
      <c r="C16" s="499">
        <v>18895</v>
      </c>
      <c r="D16" s="218"/>
      <c r="E16" s="219"/>
      <c r="F16" s="226"/>
      <c r="G16" s="227" t="s">
        <v>11</v>
      </c>
      <c r="H16" s="225" t="s">
        <v>399</v>
      </c>
      <c r="I16" s="828"/>
      <c r="J16" s="211" t="str">
        <f>+'22'!J16</f>
        <v>T 16 VP OW</v>
      </c>
      <c r="K16" s="224"/>
      <c r="L16" s="224"/>
      <c r="M16" s="116">
        <f>+K16+'22'!M16+L16</f>
        <v>62166</v>
      </c>
      <c r="N16" s="173"/>
      <c r="O16" s="524"/>
      <c r="P16" s="173"/>
    </row>
    <row r="17" spans="1:16" ht="13.5" thickBot="1">
      <c r="A17" s="825"/>
      <c r="B17" s="212"/>
      <c r="C17" s="213"/>
      <c r="D17" s="214"/>
      <c r="E17" s="220"/>
      <c r="F17" s="226">
        <v>6</v>
      </c>
      <c r="G17" s="227" t="s">
        <v>11</v>
      </c>
      <c r="H17" s="228" t="s">
        <v>418</v>
      </c>
      <c r="I17" s="828"/>
      <c r="J17" s="211" t="str">
        <f>+'22'!J17</f>
        <v>T 18 VP OW</v>
      </c>
      <c r="K17" s="224"/>
      <c r="L17" s="224"/>
      <c r="M17" s="116">
        <f>+K17+'22'!M17+L17</f>
        <v>44306</v>
      </c>
    </row>
    <row r="18" spans="1:16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+'22'!J18</f>
        <v>T 15 VP OW</v>
      </c>
      <c r="K18" s="234"/>
      <c r="L18" s="234"/>
      <c r="M18" s="116">
        <f>+K18+'22'!M18+L18</f>
        <v>9983</v>
      </c>
    </row>
    <row r="19" spans="1:16" ht="13.5" thickBot="1">
      <c r="A19" s="825"/>
      <c r="B19" s="212"/>
      <c r="C19" s="213"/>
      <c r="D19" s="214"/>
      <c r="E19" s="220"/>
      <c r="F19" s="223"/>
      <c r="G19" s="227"/>
      <c r="H19" s="225" t="s">
        <v>685</v>
      </c>
      <c r="I19" s="828"/>
      <c r="J19" s="211">
        <f>+'22'!J19</f>
        <v>0</v>
      </c>
      <c r="K19" s="234"/>
      <c r="L19" s="234"/>
      <c r="M19" s="116">
        <f>+K19+'22'!M19+L19</f>
        <v>0</v>
      </c>
    </row>
    <row r="20" spans="1:16" ht="13.5" thickBot="1">
      <c r="A20" s="825"/>
      <c r="B20" s="212"/>
      <c r="C20" s="213"/>
      <c r="D20" s="214"/>
      <c r="E20" s="220"/>
      <c r="F20" s="223"/>
      <c r="G20" s="227"/>
      <c r="H20" s="228" t="s">
        <v>686</v>
      </c>
      <c r="I20" s="828"/>
      <c r="J20" s="211">
        <f>+'22'!J20</f>
        <v>0</v>
      </c>
      <c r="K20" s="235"/>
      <c r="L20" s="235"/>
      <c r="M20" s="116">
        <f>+K20+'22'!M20+L20</f>
        <v>0</v>
      </c>
    </row>
    <row r="21" spans="1:16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+'22'!J21</f>
        <v>0</v>
      </c>
      <c r="K21" s="234"/>
      <c r="L21" s="234"/>
      <c r="M21" s="116">
        <f>+K21+'22'!M21+L21</f>
        <v>0</v>
      </c>
    </row>
    <row r="22" spans="1:16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+'22'!J22</f>
        <v>0</v>
      </c>
      <c r="K22" s="234"/>
      <c r="L22" s="234"/>
      <c r="M22" s="116">
        <f>+K22+'22'!M22+L22</f>
        <v>0</v>
      </c>
    </row>
    <row r="23" spans="1:16" ht="13.5" thickBot="1">
      <c r="A23" s="826"/>
      <c r="B23" s="164" t="s">
        <v>2</v>
      </c>
      <c r="C23" s="98">
        <f>SUM(C16:C22)</f>
        <v>18895</v>
      </c>
      <c r="D23" s="110">
        <f>SUM(D16:D22)</f>
        <v>0</v>
      </c>
      <c r="E23" s="111">
        <f>SUM(E18:E22)</f>
        <v>0</v>
      </c>
      <c r="F23" s="101">
        <f>SUM(F15:F22)</f>
        <v>6</v>
      </c>
      <c r="G23" s="158"/>
      <c r="H23" s="165"/>
      <c r="I23" s="167"/>
      <c r="J23" s="211">
        <f>+'22'!J23</f>
        <v>0</v>
      </c>
      <c r="K23" s="234"/>
      <c r="L23" s="234"/>
      <c r="M23" s="116">
        <f>+K23+'22'!M23+L23</f>
        <v>0</v>
      </c>
    </row>
    <row r="24" spans="1:16" ht="13.5" customHeight="1" thickBot="1">
      <c r="A24" s="830" t="s">
        <v>431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+'22'!J24</f>
        <v>0</v>
      </c>
      <c r="K24" s="234"/>
      <c r="L24" s="234"/>
      <c r="M24" s="116">
        <f>+K24+'22'!M24+L24</f>
        <v>0</v>
      </c>
    </row>
    <row r="25" spans="1:16" ht="13.5" thickBot="1">
      <c r="A25" s="831"/>
      <c r="B25" s="212" t="s">
        <v>380</v>
      </c>
      <c r="C25" s="221">
        <v>14120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+'22'!J25</f>
        <v>0</v>
      </c>
      <c r="K25" s="234"/>
      <c r="L25" s="234"/>
      <c r="M25" s="116">
        <f>+K25+'22'!M25+L25</f>
        <v>0</v>
      </c>
      <c r="N25" s="173"/>
      <c r="O25" s="524"/>
      <c r="P25" s="173"/>
    </row>
    <row r="26" spans="1:16" ht="13.5" thickBot="1">
      <c r="A26" s="831"/>
      <c r="B26" s="212"/>
      <c r="C26" s="221"/>
      <c r="D26" s="214"/>
      <c r="E26" s="222"/>
      <c r="F26" s="226">
        <v>5</v>
      </c>
      <c r="G26" s="227" t="s">
        <v>11</v>
      </c>
      <c r="H26" s="228" t="s">
        <v>418</v>
      </c>
      <c r="I26" s="828"/>
      <c r="J26" s="211">
        <f>+'22'!J26</f>
        <v>0</v>
      </c>
      <c r="K26" s="234"/>
      <c r="L26" s="234"/>
      <c r="M26" s="116">
        <f>+K26+'22'!M26+L26</f>
        <v>0</v>
      </c>
    </row>
    <row r="27" spans="1:16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+'22'!J27</f>
        <v>0</v>
      </c>
      <c r="K27" s="234"/>
      <c r="L27" s="234"/>
      <c r="M27" s="116">
        <f>+K27+'22'!M27+L27</f>
        <v>0</v>
      </c>
    </row>
    <row r="28" spans="1:16" ht="13.5" thickBot="1">
      <c r="A28" s="831"/>
      <c r="B28" s="212"/>
      <c r="C28" s="213"/>
      <c r="D28" s="214"/>
      <c r="E28" s="220"/>
      <c r="F28" s="223"/>
      <c r="G28" s="227"/>
      <c r="H28" s="225" t="s">
        <v>687</v>
      </c>
      <c r="I28" s="828"/>
      <c r="J28" s="211">
        <f>+'22'!J28</f>
        <v>0</v>
      </c>
      <c r="K28" s="234"/>
      <c r="L28" s="234"/>
      <c r="M28" s="116">
        <f>+K28+'22'!M28+L28</f>
        <v>0</v>
      </c>
    </row>
    <row r="29" spans="1:16" ht="13.5" thickBot="1">
      <c r="A29" s="831"/>
      <c r="B29" s="212"/>
      <c r="C29" s="213"/>
      <c r="D29" s="214"/>
      <c r="E29" s="220"/>
      <c r="F29" s="231"/>
      <c r="G29" s="227"/>
      <c r="H29" s="228" t="s">
        <v>688</v>
      </c>
      <c r="I29" s="828"/>
      <c r="J29" s="211">
        <f>+'22'!J29</f>
        <v>0</v>
      </c>
      <c r="K29" s="234"/>
      <c r="L29" s="234"/>
      <c r="M29" s="116">
        <f>+K29+'22'!M29+L29</f>
        <v>0</v>
      </c>
    </row>
    <row r="30" spans="1:16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+'22'!J30</f>
        <v>0</v>
      </c>
      <c r="K30" s="234"/>
      <c r="L30" s="234"/>
      <c r="M30" s="116">
        <f>+K30+'22'!M30+L30</f>
        <v>0</v>
      </c>
      <c r="N30" s="154"/>
    </row>
    <row r="31" spans="1:16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+'22'!J31</f>
        <v>0</v>
      </c>
      <c r="K31" s="234"/>
      <c r="L31" s="234"/>
      <c r="M31" s="116">
        <f>+K31+'22'!M31+L31</f>
        <v>0</v>
      </c>
    </row>
    <row r="32" spans="1:16" ht="13.5" thickBot="1">
      <c r="A32" s="832"/>
      <c r="B32" s="164" t="s">
        <v>2</v>
      </c>
      <c r="C32" s="98">
        <f>SUM(C25:C31)</f>
        <v>14120</v>
      </c>
      <c r="D32" s="99">
        <f>SUM(D25:D31)</f>
        <v>0</v>
      </c>
      <c r="E32" s="100">
        <f>SUM(E25:E31)</f>
        <v>0</v>
      </c>
      <c r="F32" s="98">
        <f>SUM(F24:F31)</f>
        <v>5</v>
      </c>
      <c r="G32" s="168"/>
      <c r="H32" s="169"/>
      <c r="I32" s="167"/>
      <c r="J32" s="211">
        <f>+'22'!J32</f>
        <v>0</v>
      </c>
      <c r="K32" s="236"/>
      <c r="L32" s="238"/>
      <c r="M32" s="116">
        <f>+K32+'22'!M32+L32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47997</v>
      </c>
      <c r="D34" s="106">
        <f>D14+D23+D32</f>
        <v>280</v>
      </c>
      <c r="E34" s="106">
        <f>E14+E23+E32</f>
        <v>0</v>
      </c>
      <c r="F34" s="107">
        <f>F14+F23+F32</f>
        <v>20</v>
      </c>
      <c r="H34" s="175"/>
      <c r="I34" s="175"/>
      <c r="J34" s="122" t="s">
        <v>27</v>
      </c>
      <c r="K34" s="123">
        <f>SUM(K7:K32)</f>
        <v>47997</v>
      </c>
      <c r="L34" s="209">
        <f>SUM(L7:L32)</f>
        <v>0</v>
      </c>
      <c r="M34" s="119">
        <f>SUM(M7:M32)</f>
        <v>1082104</v>
      </c>
      <c r="N34" s="154"/>
    </row>
    <row r="35" spans="1:14" ht="13.5" thickBot="1">
      <c r="A35" s="176"/>
      <c r="B35" s="177"/>
      <c r="C35" s="103">
        <f>C34/($C$34+$D$34+$E$34)</f>
        <v>0.99420013671106322</v>
      </c>
      <c r="D35" s="103">
        <f>D34/($C$34+$D$34+$E$34)</f>
        <v>5.7998632889367605E-3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+I37+'22'!J37</f>
        <v>1221.2720032213908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20</v>
      </c>
      <c r="D38" s="117">
        <f>+C38+'22'!D38</f>
        <v>881</v>
      </c>
      <c r="E38" s="142">
        <f t="shared" ref="E38:E51" si="0">D38/60</f>
        <v>14.683333333333334</v>
      </c>
      <c r="F38" s="320">
        <v>1350</v>
      </c>
      <c r="G38" s="320">
        <f t="shared" ref="G38:G40" si="1">+F38-F38*0.25</f>
        <v>1012.5</v>
      </c>
      <c r="H38" s="184" t="s">
        <v>60</v>
      </c>
      <c r="I38" s="501">
        <f>16.957+17.027+17.658</f>
        <v>51.642000000000003</v>
      </c>
      <c r="J38" s="126">
        <f>+I38+'22'!J38</f>
        <v>1135.5729999999996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+C39+'22'!D39</f>
        <v>0</v>
      </c>
      <c r="E39" s="142">
        <f t="shared" si="0"/>
        <v>0</v>
      </c>
      <c r="F39" s="320">
        <v>1350</v>
      </c>
      <c r="G39" s="320">
        <f t="shared" si="1"/>
        <v>1012.5</v>
      </c>
      <c r="H39" s="184" t="s">
        <v>61</v>
      </c>
      <c r="I39" s="141"/>
      <c r="J39" s="128">
        <f>J37/G4</f>
        <v>53.098782748756122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+C40+'22'!D40</f>
        <v>8</v>
      </c>
      <c r="E40" s="142">
        <f t="shared" ca="1" si="0"/>
        <v>0.13333333333333333</v>
      </c>
      <c r="F40" s="320">
        <v>1350</v>
      </c>
      <c r="G40" s="320">
        <f t="shared" si="1"/>
        <v>1012.5</v>
      </c>
      <c r="H40" s="184" t="s">
        <v>63</v>
      </c>
      <c r="I40" s="117">
        <f>(K34+L34)/1000</f>
        <v>47.997</v>
      </c>
      <c r="J40" s="130">
        <f>+I40+'22'!J40</f>
        <v>1082.1040000000003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+C41+'22'!D41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47.048000000000009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+C42+'22'!D42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+C43+'22'!D43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+Report1!T31</f>
        <v>119.3</v>
      </c>
      <c r="J43" s="132">
        <f>+I43+'22'!J43</f>
        <v>2784.2999999999997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+C44+'22'!D44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2.3101351613028154</v>
      </c>
      <c r="J44" s="133">
        <f>J43/J38</f>
        <v>2.4518899269355652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+C45+'22'!D45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2.485572014917599</v>
      </c>
      <c r="J45" s="133">
        <f>J43/J40</f>
        <v>2.5730428868204895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+C46+'22'!D46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+SUMIF(Listrik!AN30,"&gt;0")</f>
        <v>44584.471476040031</v>
      </c>
      <c r="J46" s="134">
        <f>+I46+'22'!J46</f>
        <v>1068645.1627967223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+C47+'22'!D47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863.33742837303021</v>
      </c>
      <c r="J47" s="134">
        <f>J46/J38</f>
        <v>941.0624969039618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+C48+'22'!D48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928.90121207658876</v>
      </c>
      <c r="J48" s="134">
        <f>J46/J40</f>
        <v>987.56234409698322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+C49+'22'!D49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+I49+'22'!J49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+C50+'22'!D50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+C51+'22'!D51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20</v>
      </c>
      <c r="D52" s="143">
        <f ca="1">SUM(D38:D51)</f>
        <v>1659</v>
      </c>
      <c r="E52" s="144">
        <f ca="1">SUM(E38:E51)</f>
        <v>27.650000000000002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1.3888888888888888E-2</v>
      </c>
      <c r="D53" s="145">
        <f ca="1">D52/(24*60*G4)</f>
        <v>5.0090579710144925E-2</v>
      </c>
      <c r="E53" s="146">
        <f ca="1">E52/(G4*24)</f>
        <v>5.0090579710144932E-2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+D34+'22'!J56</f>
        <v>26639</v>
      </c>
      <c r="K56" s="198">
        <f>J56/(J40+J56/1000)/1000</f>
        <v>2.4026307268681737E-2</v>
      </c>
    </row>
    <row r="57" spans="1:11">
      <c r="A57" s="173"/>
      <c r="I57" s="196" t="s">
        <v>85</v>
      </c>
      <c r="J57" s="197">
        <f>+E34+'22'!J57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7109375" style="148" bestFit="1" customWidth="1"/>
    <col min="12" max="12" width="8.28515625" style="148" customWidth="1"/>
    <col min="13" max="13" width="14.140625" style="148" customWidth="1"/>
    <col min="14" max="16384" width="9.140625" style="148"/>
  </cols>
  <sheetData>
    <row r="1" spans="1:23" ht="15.75">
      <c r="A1" s="147"/>
    </row>
    <row r="2" spans="1:23" ht="15.75">
      <c r="A2" s="147" t="s">
        <v>217</v>
      </c>
    </row>
    <row r="3" spans="1:23" ht="15">
      <c r="A3" s="149"/>
    </row>
    <row r="4" spans="1:23" ht="20.25">
      <c r="A4" s="150" t="s">
        <v>3</v>
      </c>
      <c r="B4" s="151"/>
      <c r="F4" s="152" t="s">
        <v>28</v>
      </c>
      <c r="G4" s="153">
        <v>22</v>
      </c>
      <c r="H4" s="153" t="str">
        <f>+'1'!H4</f>
        <v>.06.24</v>
      </c>
    </row>
    <row r="5" spans="1:23" ht="13.5" thickBot="1">
      <c r="C5" s="154"/>
      <c r="D5" s="154"/>
    </row>
    <row r="6" spans="1:23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429+382+400</f>
        <v>1211</v>
      </c>
    </row>
    <row r="7" spans="1:23" ht="13.5" customHeight="1" thickBot="1">
      <c r="A7" s="824" t="s">
        <v>353</v>
      </c>
      <c r="B7" s="212" t="s">
        <v>380</v>
      </c>
      <c r="C7" s="213">
        <v>18057</v>
      </c>
      <c r="D7" s="214">
        <v>260</v>
      </c>
      <c r="E7" s="215"/>
      <c r="F7" s="226"/>
      <c r="G7" s="224" t="s">
        <v>11</v>
      </c>
      <c r="H7" s="225" t="s">
        <v>385</v>
      </c>
      <c r="I7" s="827" t="s">
        <v>671</v>
      </c>
      <c r="J7" s="211" t="str">
        <f>+'21'!J7</f>
        <v>N 12 VP OW</v>
      </c>
      <c r="K7" s="233"/>
      <c r="L7" s="237"/>
      <c r="M7" s="116">
        <f>+K7+'21'!M7+L7</f>
        <v>107831</v>
      </c>
    </row>
    <row r="8" spans="1:23" ht="13.5" thickBot="1">
      <c r="A8" s="825"/>
      <c r="B8" s="212"/>
      <c r="C8" s="213"/>
      <c r="D8" s="214"/>
      <c r="E8" s="216"/>
      <c r="F8" s="226"/>
      <c r="G8" s="227" t="s">
        <v>11</v>
      </c>
      <c r="H8" s="225" t="s">
        <v>399</v>
      </c>
      <c r="I8" s="828"/>
      <c r="J8" s="211" t="str">
        <f>+'21'!J8</f>
        <v>F 12.5 VP OW</v>
      </c>
      <c r="K8" s="234"/>
      <c r="L8" s="234"/>
      <c r="M8" s="116">
        <f>+K8+'21'!M8+L8</f>
        <v>66421</v>
      </c>
      <c r="N8" s="173">
        <v>1350</v>
      </c>
      <c r="O8" s="173">
        <f>+N8-N8*0.25</f>
        <v>1012.5</v>
      </c>
      <c r="P8" s="173"/>
    </row>
    <row r="9" spans="1:23" ht="13.5" thickBot="1">
      <c r="A9" s="825"/>
      <c r="B9" s="212"/>
      <c r="C9" s="213"/>
      <c r="D9" s="214"/>
      <c r="E9" s="217"/>
      <c r="F9" s="226">
        <v>12</v>
      </c>
      <c r="G9" s="227" t="s">
        <v>11</v>
      </c>
      <c r="H9" s="228" t="s">
        <v>375</v>
      </c>
      <c r="I9" s="828"/>
      <c r="J9" s="211" t="str">
        <f>+'21'!J9</f>
        <v>F 13 VP OW</v>
      </c>
      <c r="K9" s="234">
        <f>+C34</f>
        <v>48822</v>
      </c>
      <c r="L9" s="234"/>
      <c r="M9" s="116">
        <f>+K9+'21'!M9+L9</f>
        <v>309021</v>
      </c>
    </row>
    <row r="10" spans="1:23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+'21'!J10</f>
        <v>N 17 VP OW</v>
      </c>
      <c r="K10" s="234"/>
      <c r="L10" s="234"/>
      <c r="M10" s="116">
        <f>+K10+'21'!M10+L10</f>
        <v>76374</v>
      </c>
    </row>
    <row r="11" spans="1:23" ht="13.5" thickBot="1">
      <c r="A11" s="825"/>
      <c r="B11" s="212"/>
      <c r="C11" s="213"/>
      <c r="D11" s="214"/>
      <c r="E11" s="216" t="s">
        <v>538</v>
      </c>
      <c r="F11" s="468">
        <v>8</v>
      </c>
      <c r="G11" s="469" t="s">
        <v>62</v>
      </c>
      <c r="H11" s="225" t="s">
        <v>679</v>
      </c>
      <c r="I11" s="828"/>
      <c r="J11" s="211" t="str">
        <f>+'21'!J11</f>
        <v>N 17,5 VP OW</v>
      </c>
      <c r="K11" s="234"/>
      <c r="L11" s="234"/>
      <c r="M11" s="116">
        <f>+K11+'21'!M11+L11</f>
        <v>23535</v>
      </c>
      <c r="N11" s="178" t="s">
        <v>89</v>
      </c>
      <c r="O11" s="585" t="s">
        <v>530</v>
      </c>
      <c r="P11" s="585" t="s">
        <v>530</v>
      </c>
      <c r="Q11" s="585" t="s">
        <v>531</v>
      </c>
      <c r="R11" s="585" t="s">
        <v>532</v>
      </c>
      <c r="S11" s="585" t="s">
        <v>533</v>
      </c>
      <c r="T11" s="585" t="s">
        <v>534</v>
      </c>
      <c r="U11" s="586" t="s">
        <v>535</v>
      </c>
      <c r="V11" s="585" t="s">
        <v>536</v>
      </c>
      <c r="W11" s="585" t="s">
        <v>537</v>
      </c>
    </row>
    <row r="12" spans="1:23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+'21'!J12</f>
        <v>TW 17 VP OW</v>
      </c>
      <c r="K12" s="234"/>
      <c r="L12" s="234"/>
      <c r="M12" s="116">
        <f>+K12+'21'!M12+L12</f>
        <v>243570</v>
      </c>
      <c r="N12" s="587">
        <v>13</v>
      </c>
      <c r="O12" s="196">
        <v>1350</v>
      </c>
      <c r="P12" s="196">
        <v>1350</v>
      </c>
      <c r="Q12" s="196">
        <f>+P12-P12*0.25</f>
        <v>1012.5</v>
      </c>
      <c r="R12" s="588">
        <f>1-(Q12/P12)</f>
        <v>0.25</v>
      </c>
      <c r="S12" s="589">
        <v>8</v>
      </c>
      <c r="T12" s="590">
        <f>+'Trim Rwd'!H65</f>
        <v>269.5</v>
      </c>
      <c r="U12" s="591">
        <f>(O12*(1-R12)*N12*T12*S12)/100000000</f>
        <v>0.28378350000000002</v>
      </c>
      <c r="V12" s="592">
        <f>+C19/1000</f>
        <v>0</v>
      </c>
      <c r="W12" s="593">
        <f>SUM(V12:V14)/SUM(U12:U14)</f>
        <v>0</v>
      </c>
    </row>
    <row r="13" spans="1:23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+'21'!J13</f>
        <v>N 15,5 VP OW</v>
      </c>
      <c r="K13" s="234"/>
      <c r="L13" s="234"/>
      <c r="M13" s="116">
        <f>+K13+'21'!M13+L13</f>
        <v>40521</v>
      </c>
      <c r="U13" s="148">
        <v>0.28499999999999998</v>
      </c>
    </row>
    <row r="14" spans="1:23" ht="13.5" thickBot="1">
      <c r="A14" s="826"/>
      <c r="B14" s="164" t="s">
        <v>2</v>
      </c>
      <c r="C14" s="98">
        <f>SUM(C7:C13)</f>
        <v>18057</v>
      </c>
      <c r="D14" s="110">
        <f>SUM(D7:D13)</f>
        <v>260</v>
      </c>
      <c r="E14" s="111">
        <f>SUM(E5:E13)</f>
        <v>0</v>
      </c>
      <c r="F14" s="101">
        <f>SUM(F6:F13)</f>
        <v>20</v>
      </c>
      <c r="G14" s="158"/>
      <c r="H14" s="165"/>
      <c r="I14" s="166"/>
      <c r="J14" s="211" t="str">
        <f>+'21'!J14</f>
        <v>N 11 VP OW</v>
      </c>
      <c r="K14" s="234"/>
      <c r="L14" s="234"/>
      <c r="M14" s="116">
        <f>+K14+'21'!M14+L14</f>
        <v>41975</v>
      </c>
    </row>
    <row r="15" spans="1:23" ht="13.5" customHeight="1" thickBot="1">
      <c r="A15" s="830" t="s">
        <v>432</v>
      </c>
      <c r="B15" s="498"/>
      <c r="C15" s="112">
        <f>C14/($C$23+$D$23+$E$23)</f>
        <v>1.0591237022699278</v>
      </c>
      <c r="D15" s="113">
        <f>D14/($C$23+$D$23+$E$23)</f>
        <v>1.5250161299782978E-2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+'21'!J15</f>
        <v>T 14 VP OW</v>
      </c>
      <c r="K15" s="234"/>
      <c r="L15" s="234"/>
      <c r="M15" s="116">
        <f>+K15+'21'!M15+L15</f>
        <v>8404</v>
      </c>
    </row>
    <row r="16" spans="1:23" ht="13.5" thickBot="1">
      <c r="A16" s="825"/>
      <c r="B16" s="212" t="s">
        <v>380</v>
      </c>
      <c r="C16" s="499">
        <v>17049</v>
      </c>
      <c r="D16" s="218"/>
      <c r="E16" s="219"/>
      <c r="F16" s="226"/>
      <c r="G16" s="227" t="s">
        <v>11</v>
      </c>
      <c r="H16" s="225" t="s">
        <v>399</v>
      </c>
      <c r="I16" s="828"/>
      <c r="J16" s="211" t="str">
        <f>+'21'!J16</f>
        <v>T 16 VP OW</v>
      </c>
      <c r="K16" s="224"/>
      <c r="L16" s="224"/>
      <c r="M16" s="116">
        <f>+K16+'21'!M16+L16</f>
        <v>62166</v>
      </c>
      <c r="O16" s="523"/>
    </row>
    <row r="17" spans="1:18" ht="13.5" thickBot="1">
      <c r="A17" s="825"/>
      <c r="B17" s="212"/>
      <c r="C17" s="213"/>
      <c r="D17" s="214"/>
      <c r="E17" s="220"/>
      <c r="F17" s="226">
        <v>7</v>
      </c>
      <c r="G17" s="227" t="s">
        <v>11</v>
      </c>
      <c r="H17" s="228" t="s">
        <v>375</v>
      </c>
      <c r="I17" s="828"/>
      <c r="J17" s="211" t="str">
        <f>+'21'!J17</f>
        <v>T 18 VP OW</v>
      </c>
      <c r="K17" s="224"/>
      <c r="L17" s="224"/>
      <c r="M17" s="116">
        <f>+K17+'21'!M17+L17</f>
        <v>44306</v>
      </c>
      <c r="P17" s="173"/>
    </row>
    <row r="18" spans="1:18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+'21'!J18</f>
        <v>T 15 VP OW</v>
      </c>
      <c r="K18" s="234"/>
      <c r="L18" s="234"/>
      <c r="M18" s="116">
        <f>+K18+'21'!M18+L18</f>
        <v>9983</v>
      </c>
      <c r="Q18" s="173"/>
      <c r="R18" s="173"/>
    </row>
    <row r="19" spans="1:18" ht="13.5" thickBot="1">
      <c r="A19" s="825"/>
      <c r="B19" s="212"/>
      <c r="C19" s="213"/>
      <c r="D19" s="214"/>
      <c r="E19" s="220"/>
      <c r="F19" s="223"/>
      <c r="G19" s="227"/>
      <c r="H19" s="225" t="s">
        <v>680</v>
      </c>
      <c r="I19" s="828"/>
      <c r="J19" s="211">
        <f>+'21'!J19</f>
        <v>0</v>
      </c>
      <c r="K19" s="234"/>
      <c r="L19" s="234"/>
      <c r="M19" s="116">
        <f>+K19+'21'!M19+L19</f>
        <v>0</v>
      </c>
    </row>
    <row r="20" spans="1:18" ht="13.5" thickBot="1">
      <c r="A20" s="825"/>
      <c r="B20" s="212"/>
      <c r="C20" s="213"/>
      <c r="D20" s="214"/>
      <c r="E20" s="220"/>
      <c r="F20" s="223"/>
      <c r="G20" s="227"/>
      <c r="H20" s="228" t="s">
        <v>681</v>
      </c>
      <c r="I20" s="828"/>
      <c r="J20" s="211">
        <f>+'21'!J20</f>
        <v>0</v>
      </c>
      <c r="K20" s="235"/>
      <c r="L20" s="235"/>
      <c r="M20" s="116">
        <f>+K20+'21'!M20+L20</f>
        <v>0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+'21'!J21</f>
        <v>0</v>
      </c>
      <c r="K21" s="234"/>
      <c r="L21" s="234"/>
      <c r="M21" s="116">
        <f>+K21+'21'!M21+L21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+'21'!J22</f>
        <v>0</v>
      </c>
      <c r="K22" s="234"/>
      <c r="L22" s="234"/>
      <c r="M22" s="116">
        <f>+K22+'21'!M22+L22</f>
        <v>0</v>
      </c>
    </row>
    <row r="23" spans="1:18" ht="13.5" thickBot="1">
      <c r="A23" s="826"/>
      <c r="B23" s="164" t="s">
        <v>2</v>
      </c>
      <c r="C23" s="98">
        <f>SUM(C16:C22)</f>
        <v>17049</v>
      </c>
      <c r="D23" s="110">
        <f>SUM(D16:D22)</f>
        <v>0</v>
      </c>
      <c r="E23" s="111">
        <f>SUM(E18:E22)</f>
        <v>0</v>
      </c>
      <c r="F23" s="101">
        <f>SUM(F15:F22)</f>
        <v>7</v>
      </c>
      <c r="G23" s="158"/>
      <c r="H23" s="165"/>
      <c r="I23" s="167"/>
      <c r="J23" s="211">
        <f>+'21'!J23</f>
        <v>0</v>
      </c>
      <c r="K23" s="234"/>
      <c r="L23" s="234"/>
      <c r="M23" s="116">
        <f>+K23+'21'!M23+L23</f>
        <v>0</v>
      </c>
    </row>
    <row r="24" spans="1:18" ht="13.5" customHeight="1" thickBot="1">
      <c r="A24" s="830" t="s">
        <v>431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+'21'!J24</f>
        <v>0</v>
      </c>
      <c r="K24" s="234"/>
      <c r="L24" s="234"/>
      <c r="M24" s="116">
        <f>+K24+'21'!M24+L24</f>
        <v>0</v>
      </c>
    </row>
    <row r="25" spans="1:18" ht="13.5" thickBot="1">
      <c r="A25" s="831"/>
      <c r="B25" s="212" t="s">
        <v>380</v>
      </c>
      <c r="C25" s="221">
        <v>13716</v>
      </c>
      <c r="D25" s="214"/>
      <c r="E25" s="220"/>
      <c r="F25" s="226">
        <v>1</v>
      </c>
      <c r="G25" s="227" t="s">
        <v>11</v>
      </c>
      <c r="H25" s="225" t="s">
        <v>419</v>
      </c>
      <c r="I25" s="828"/>
      <c r="J25" s="211">
        <f>+'21'!J25</f>
        <v>0</v>
      </c>
      <c r="K25" s="234"/>
      <c r="L25" s="234"/>
      <c r="M25" s="116">
        <f>+K25+'21'!M25+L25</f>
        <v>0</v>
      </c>
      <c r="N25" s="173"/>
      <c r="O25" s="524"/>
      <c r="P25" s="173"/>
    </row>
    <row r="26" spans="1:18" ht="13.5" thickBot="1">
      <c r="A26" s="831"/>
      <c r="B26" s="212"/>
      <c r="C26" s="221"/>
      <c r="D26" s="214"/>
      <c r="E26" s="222"/>
      <c r="F26" s="226">
        <v>7</v>
      </c>
      <c r="G26" s="227" t="s">
        <v>11</v>
      </c>
      <c r="H26" s="228" t="s">
        <v>375</v>
      </c>
      <c r="I26" s="828"/>
      <c r="J26" s="211">
        <f>+'21'!J26</f>
        <v>0</v>
      </c>
      <c r="K26" s="234"/>
      <c r="L26" s="234"/>
      <c r="M26" s="116">
        <f>+K26+'21'!M26+L26</f>
        <v>0</v>
      </c>
    </row>
    <row r="27" spans="1:18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+'21'!J27</f>
        <v>0</v>
      </c>
      <c r="K27" s="234"/>
      <c r="L27" s="234"/>
      <c r="M27" s="116">
        <f>+K27+'21'!M27+L27</f>
        <v>0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682</v>
      </c>
      <c r="I28" s="828"/>
      <c r="J28" s="211">
        <f>+'21'!J28</f>
        <v>0</v>
      </c>
      <c r="K28" s="234"/>
      <c r="L28" s="234"/>
      <c r="M28" s="116">
        <f>+K28+'21'!M28+L28</f>
        <v>0</v>
      </c>
    </row>
    <row r="29" spans="1:18" ht="13.5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+'21'!J29</f>
        <v>0</v>
      </c>
      <c r="K29" s="234"/>
      <c r="L29" s="234"/>
      <c r="M29" s="116">
        <f>+K29+'21'!M29+L29</f>
        <v>0</v>
      </c>
    </row>
    <row r="30" spans="1:18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+'21'!J30</f>
        <v>0</v>
      </c>
      <c r="K30" s="234"/>
      <c r="L30" s="234"/>
      <c r="M30" s="116">
        <f>+K30+'21'!M30+L30</f>
        <v>0</v>
      </c>
      <c r="N30" s="154"/>
    </row>
    <row r="31" spans="1:18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+'21'!J31</f>
        <v>0</v>
      </c>
      <c r="K31" s="234"/>
      <c r="L31" s="234"/>
      <c r="M31" s="116">
        <f>+K31+'21'!M31+L31</f>
        <v>0</v>
      </c>
    </row>
    <row r="32" spans="1:18" ht="13.5" thickBot="1">
      <c r="A32" s="832"/>
      <c r="B32" s="164" t="s">
        <v>2</v>
      </c>
      <c r="C32" s="98">
        <f>SUM(C25:C31)</f>
        <v>13716</v>
      </c>
      <c r="D32" s="99">
        <f>SUM(D25:D31)</f>
        <v>0</v>
      </c>
      <c r="E32" s="100">
        <f>SUM(E25:E31)</f>
        <v>0</v>
      </c>
      <c r="F32" s="98">
        <f>SUM(F24:F31)</f>
        <v>8</v>
      </c>
      <c r="G32" s="168"/>
      <c r="H32" s="169"/>
      <c r="I32" s="167"/>
      <c r="J32" s="211">
        <f>+'21'!J32</f>
        <v>0</v>
      </c>
      <c r="K32" s="236"/>
      <c r="L32" s="238"/>
      <c r="M32" s="116">
        <f>+K32+'21'!M32+L32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48822</v>
      </c>
      <c r="D34" s="106">
        <f>D14+D23+D32</f>
        <v>260</v>
      </c>
      <c r="E34" s="106">
        <f>E14+E23+E32</f>
        <v>0</v>
      </c>
      <c r="F34" s="107">
        <f>F14+F23+F32</f>
        <v>35</v>
      </c>
      <c r="H34" s="175"/>
      <c r="I34" s="175"/>
      <c r="J34" s="122" t="s">
        <v>27</v>
      </c>
      <c r="K34" s="123">
        <f>SUM(K7:K32)</f>
        <v>48822</v>
      </c>
      <c r="L34" s="209">
        <f>SUM(L7:L32)</f>
        <v>0</v>
      </c>
      <c r="M34" s="119">
        <f>SUM(M7:M32)</f>
        <v>1034107</v>
      </c>
      <c r="N34" s="154"/>
    </row>
    <row r="35" spans="1:14" ht="13.5" thickBot="1">
      <c r="A35" s="176"/>
      <c r="B35" s="177"/>
      <c r="C35" s="103">
        <f>C34/($C$34+$D$34+$E$34)</f>
        <v>0.99470274234953748</v>
      </c>
      <c r="D35" s="103">
        <f>D34/($C$34+$D$34+$E$34)</f>
        <v>5.2972576504624917E-3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+I37+'21'!J37</f>
        <v>1167.2531032213908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27</v>
      </c>
      <c r="D38" s="117">
        <f>+C38+'21'!D38</f>
        <v>861</v>
      </c>
      <c r="E38" s="142">
        <f t="shared" ref="E38:E51" si="0">D38/60</f>
        <v>14.35</v>
      </c>
      <c r="F38" s="320">
        <v>1350</v>
      </c>
      <c r="G38" s="320">
        <f t="shared" ref="G38:G40" si="1">+F38-F38*0.25</f>
        <v>1012.5</v>
      </c>
      <c r="H38" s="184" t="s">
        <v>60</v>
      </c>
      <c r="I38" s="501">
        <f>15.871+17.307+16.642</f>
        <v>49.819999999999993</v>
      </c>
      <c r="J38" s="126">
        <f>+I38+'21'!J38</f>
        <v>1083.9309999999996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+C39+'21'!D39</f>
        <v>0</v>
      </c>
      <c r="E39" s="142">
        <f t="shared" si="0"/>
        <v>0</v>
      </c>
      <c r="F39" s="320">
        <v>1350</v>
      </c>
      <c r="G39" s="320">
        <f t="shared" si="1"/>
        <v>1012.5</v>
      </c>
      <c r="H39" s="184" t="s">
        <v>61</v>
      </c>
      <c r="I39" s="141"/>
      <c r="J39" s="128">
        <f>J37/G4</f>
        <v>53.056959237335946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8</v>
      </c>
      <c r="D40" s="117">
        <f ca="1">+C40+'21'!D40</f>
        <v>8</v>
      </c>
      <c r="E40" s="142">
        <f t="shared" ca="1" si="0"/>
        <v>0.13333333333333333</v>
      </c>
      <c r="F40" s="320">
        <v>1350</v>
      </c>
      <c r="G40" s="320">
        <f t="shared" si="1"/>
        <v>1012.5</v>
      </c>
      <c r="H40" s="184" t="s">
        <v>63</v>
      </c>
      <c r="I40" s="117">
        <f>(K34+L34)/1000</f>
        <v>48.822000000000003</v>
      </c>
      <c r="J40" s="130">
        <f>+I40+'21'!J40</f>
        <v>1034.1070000000002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+C41+'21'!D41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47.004863636363645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+C42+'21'!D42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+C43+'21'!D43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+Report1!T30</f>
        <v>119.4</v>
      </c>
      <c r="J43" s="132">
        <f>+I43+'21'!J43</f>
        <v>2664.9999999999995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+C44+'21'!D44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2.3966278602970701</v>
      </c>
      <c r="J44" s="133">
        <f>J43/J38</f>
        <v>2.458643585246663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+C45+'21'!D45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2.4456187784195649</v>
      </c>
      <c r="J45" s="133">
        <f>J43/J40</f>
        <v>2.5771027562911759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+C46+'21'!D46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+SUMIF(Listrik!AN29,"&gt;0")</f>
        <v>44440.814717034766</v>
      </c>
      <c r="J46" s="134">
        <f>+I46+'21'!J46</f>
        <v>1024060.6913206822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+C47+'21'!D47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892.02759367793601</v>
      </c>
      <c r="J47" s="134">
        <f>J46/J38</f>
        <v>944.76557208962799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+C48+'21'!D48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910.26206867876704</v>
      </c>
      <c r="J48" s="134">
        <f>J46/J40</f>
        <v>990.28503947916602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+C49+'21'!D49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+I49+'21'!J49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+C50+'21'!D50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+C51+'21'!D51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35</v>
      </c>
      <c r="D52" s="143">
        <f ca="1">SUM(D38:D51)</f>
        <v>1639</v>
      </c>
      <c r="E52" s="144">
        <f ca="1">SUM(E38:E51)</f>
        <v>27.31666666666667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2.4305555555555556E-2</v>
      </c>
      <c r="D53" s="145">
        <f ca="1">D52/(24*60*G4)</f>
        <v>5.1736111111111108E-2</v>
      </c>
      <c r="E53" s="146">
        <f ca="1">E52/(G4*24)</f>
        <v>5.1736111111111115E-2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+D34+'21'!J56</f>
        <v>26359</v>
      </c>
      <c r="K56" s="198">
        <f>J56/(J40+J56/1000)/1000</f>
        <v>2.4856053848025302E-2</v>
      </c>
    </row>
    <row r="57" spans="1:11">
      <c r="A57" s="173"/>
      <c r="I57" s="196" t="s">
        <v>85</v>
      </c>
      <c r="J57" s="197">
        <f>+E34+'21'!J57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710937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710937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21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464+448+416</f>
        <v>1328</v>
      </c>
    </row>
    <row r="7" spans="1:18" ht="13.5" customHeight="1" thickBot="1">
      <c r="A7" s="824" t="s">
        <v>353</v>
      </c>
      <c r="B7" s="212" t="s">
        <v>380</v>
      </c>
      <c r="C7" s="213">
        <v>20934</v>
      </c>
      <c r="D7" s="214">
        <v>280</v>
      </c>
      <c r="E7" s="215"/>
      <c r="F7" s="226"/>
      <c r="G7" s="224" t="s">
        <v>11</v>
      </c>
      <c r="H7" s="225" t="s">
        <v>385</v>
      </c>
      <c r="I7" s="827" t="s">
        <v>671</v>
      </c>
      <c r="J7" s="324" t="str">
        <f>+'20'!J7</f>
        <v>N 12 VP OW</v>
      </c>
      <c r="K7" s="233"/>
      <c r="L7" s="237"/>
      <c r="M7" s="116">
        <f>+K7+'20'!M7+L7</f>
        <v>107831</v>
      </c>
    </row>
    <row r="8" spans="1:18" ht="13.5" thickBot="1">
      <c r="A8" s="825"/>
      <c r="B8" s="212"/>
      <c r="C8" s="213"/>
      <c r="D8" s="214"/>
      <c r="E8" s="216"/>
      <c r="F8" s="226">
        <v>2</v>
      </c>
      <c r="G8" s="227" t="s">
        <v>11</v>
      </c>
      <c r="H8" s="225" t="s">
        <v>419</v>
      </c>
      <c r="I8" s="828"/>
      <c r="J8" s="211" t="str">
        <f>+'20'!J8</f>
        <v>F 12.5 VP OW</v>
      </c>
      <c r="K8" s="234"/>
      <c r="L8" s="234"/>
      <c r="M8" s="116">
        <f>+K8+'20'!M8+L8</f>
        <v>66421</v>
      </c>
      <c r="N8" s="148">
        <v>1350</v>
      </c>
      <c r="O8" s="148">
        <f>+N8-N8*0.25</f>
        <v>1012.5</v>
      </c>
    </row>
    <row r="9" spans="1:18" ht="13.5" thickBot="1">
      <c r="A9" s="825"/>
      <c r="B9" s="212"/>
      <c r="C9" s="213"/>
      <c r="D9" s="214"/>
      <c r="E9" s="217"/>
      <c r="F9" s="226">
        <v>11</v>
      </c>
      <c r="G9" s="227" t="s">
        <v>11</v>
      </c>
      <c r="H9" s="228" t="s">
        <v>628</v>
      </c>
      <c r="I9" s="828"/>
      <c r="J9" s="211" t="str">
        <f>+'20'!J9</f>
        <v>F 13 VP OW</v>
      </c>
      <c r="K9" s="234">
        <f>+C34</f>
        <v>51796</v>
      </c>
      <c r="L9" s="234"/>
      <c r="M9" s="116">
        <f>+K9+'20'!M9+L9</f>
        <v>260199</v>
      </c>
    </row>
    <row r="10" spans="1:18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+'20'!J10</f>
        <v>N 17 VP OW</v>
      </c>
      <c r="K10" s="234"/>
      <c r="L10" s="234"/>
      <c r="M10" s="116">
        <f>+K10+'20'!M10+L10</f>
        <v>76374</v>
      </c>
    </row>
    <row r="11" spans="1:18" ht="13.5" thickBot="1">
      <c r="A11" s="825"/>
      <c r="B11" s="212"/>
      <c r="C11" s="213"/>
      <c r="D11" s="214"/>
      <c r="E11" s="216"/>
      <c r="F11" s="468"/>
      <c r="G11" s="469"/>
      <c r="H11" s="225" t="s">
        <v>676</v>
      </c>
      <c r="I11" s="828"/>
      <c r="J11" s="211" t="str">
        <f>+'20'!J11</f>
        <v>N 17,5 VP OW</v>
      </c>
      <c r="K11" s="234"/>
      <c r="L11" s="234"/>
      <c r="M11" s="116">
        <f>+K11+'20'!M11+L11</f>
        <v>23535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 t="s">
        <v>677</v>
      </c>
      <c r="I12" s="828"/>
      <c r="J12" s="211" t="str">
        <f>+'20'!J12</f>
        <v>TW 17 VP OW</v>
      </c>
      <c r="K12" s="234"/>
      <c r="L12" s="234"/>
      <c r="M12" s="116">
        <f>+K12+'20'!M12+L12</f>
        <v>243570</v>
      </c>
      <c r="P12" s="173"/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+'20'!J13</f>
        <v>N 15,5 VP OW</v>
      </c>
      <c r="K13" s="234"/>
      <c r="L13" s="234"/>
      <c r="M13" s="116">
        <f>+K13+'20'!M13+L13</f>
        <v>40521</v>
      </c>
      <c r="Q13" s="173"/>
      <c r="R13" s="173"/>
    </row>
    <row r="14" spans="1:18" ht="13.5" thickBot="1">
      <c r="A14" s="826"/>
      <c r="B14" s="164" t="s">
        <v>2</v>
      </c>
      <c r="C14" s="98">
        <f>SUM(C7:C13)</f>
        <v>20934</v>
      </c>
      <c r="D14" s="110">
        <f>SUM(D7:D13)</f>
        <v>280</v>
      </c>
      <c r="E14" s="111">
        <f>SUM(E5:E13)</f>
        <v>0</v>
      </c>
      <c r="F14" s="101">
        <f>SUM(F6:F13)</f>
        <v>13</v>
      </c>
      <c r="G14" s="158"/>
      <c r="H14" s="165"/>
      <c r="I14" s="166"/>
      <c r="J14" s="211" t="str">
        <f>+'20'!J14</f>
        <v>N 11 VP OW</v>
      </c>
      <c r="K14" s="234"/>
      <c r="L14" s="234"/>
      <c r="M14" s="116">
        <f>+K14+'20'!M14+L14</f>
        <v>41975</v>
      </c>
    </row>
    <row r="15" spans="1:18" ht="13.5" customHeight="1" thickBot="1">
      <c r="A15" s="830" t="s">
        <v>219</v>
      </c>
      <c r="B15" s="498"/>
      <c r="C15" s="112">
        <f>C14/($C$23+$D$23+$E$23)</f>
        <v>1.4853128991060025</v>
      </c>
      <c r="D15" s="113">
        <f>D14/($C$23+$D$23+$E$23)</f>
        <v>1.986660990492408E-2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+'20'!J15</f>
        <v>T 14 VP OW</v>
      </c>
      <c r="K15" s="234"/>
      <c r="L15" s="234"/>
      <c r="M15" s="116">
        <f>+K15+'20'!M15+L15</f>
        <v>8404</v>
      </c>
    </row>
    <row r="16" spans="1:18" ht="13.5" thickBot="1">
      <c r="A16" s="825"/>
      <c r="B16" s="212" t="s">
        <v>380</v>
      </c>
      <c r="C16" s="499">
        <v>14094</v>
      </c>
      <c r="D16" s="218"/>
      <c r="E16" s="219"/>
      <c r="F16" s="226"/>
      <c r="G16" s="227" t="s">
        <v>11</v>
      </c>
      <c r="H16" s="225" t="s">
        <v>399</v>
      </c>
      <c r="I16" s="828"/>
      <c r="J16" s="211" t="str">
        <f>+'20'!J16</f>
        <v>T 16 VP OW</v>
      </c>
      <c r="K16" s="224"/>
      <c r="L16" s="224"/>
      <c r="M16" s="116">
        <f>+K16+'20'!M16+L16</f>
        <v>62166</v>
      </c>
    </row>
    <row r="17" spans="1:16" ht="13.5" thickBot="1">
      <c r="A17" s="825"/>
      <c r="B17" s="212"/>
      <c r="C17" s="213"/>
      <c r="D17" s="214"/>
      <c r="E17" s="220"/>
      <c r="F17" s="226">
        <v>3</v>
      </c>
      <c r="G17" s="227" t="s">
        <v>11</v>
      </c>
      <c r="H17" s="228" t="s">
        <v>418</v>
      </c>
      <c r="I17" s="828"/>
      <c r="J17" s="211" t="str">
        <f>+'20'!J17</f>
        <v>T 18 VP OW</v>
      </c>
      <c r="K17" s="224"/>
      <c r="L17" s="224"/>
      <c r="M17" s="116">
        <f>+K17+'20'!M17+L17</f>
        <v>44306</v>
      </c>
      <c r="N17" s="173"/>
      <c r="O17" s="173"/>
      <c r="P17" s="173"/>
    </row>
    <row r="18" spans="1:16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+'20'!J18</f>
        <v>T 15 VP OW</v>
      </c>
      <c r="K18" s="234"/>
      <c r="L18" s="234"/>
      <c r="M18" s="116">
        <f>+K18+'20'!M18+L18</f>
        <v>9983</v>
      </c>
    </row>
    <row r="19" spans="1:16" ht="13.5" thickBot="1">
      <c r="A19" s="825"/>
      <c r="B19" s="212"/>
      <c r="C19" s="213"/>
      <c r="D19" s="214"/>
      <c r="E19" s="220"/>
      <c r="F19" s="223"/>
      <c r="G19" s="227"/>
      <c r="H19" s="225"/>
      <c r="I19" s="828"/>
      <c r="J19" s="211">
        <f>+'20'!J19</f>
        <v>0</v>
      </c>
      <c r="K19" s="234"/>
      <c r="L19" s="234"/>
      <c r="M19" s="116">
        <f>+K19+'20'!M19+L19</f>
        <v>0</v>
      </c>
    </row>
    <row r="20" spans="1:16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+'20'!J20</f>
        <v>0</v>
      </c>
      <c r="K20" s="235"/>
      <c r="L20" s="235"/>
      <c r="M20" s="116">
        <f>+K20+'20'!M20+L20</f>
        <v>0</v>
      </c>
    </row>
    <row r="21" spans="1:16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+'20'!J21</f>
        <v>0</v>
      </c>
      <c r="K21" s="234"/>
      <c r="L21" s="234"/>
      <c r="M21" s="116">
        <f>+K21+'20'!M21+L21</f>
        <v>0</v>
      </c>
    </row>
    <row r="22" spans="1:16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+'20'!J22</f>
        <v>0</v>
      </c>
      <c r="K22" s="234"/>
      <c r="L22" s="234"/>
      <c r="M22" s="116">
        <f>+K22+'20'!M22+L22</f>
        <v>0</v>
      </c>
    </row>
    <row r="23" spans="1:16" ht="13.5" thickBot="1">
      <c r="A23" s="826"/>
      <c r="B23" s="164" t="s">
        <v>2</v>
      </c>
      <c r="C23" s="98">
        <f>SUM(C16:C22)</f>
        <v>14094</v>
      </c>
      <c r="D23" s="110">
        <f>SUM(D16:D22)</f>
        <v>0</v>
      </c>
      <c r="E23" s="111">
        <f>SUM(E18:E22)</f>
        <v>0</v>
      </c>
      <c r="F23" s="101">
        <f>SUM(F15:F22)</f>
        <v>3</v>
      </c>
      <c r="G23" s="158"/>
      <c r="H23" s="165"/>
      <c r="I23" s="167"/>
      <c r="J23" s="211">
        <f>+'20'!J23</f>
        <v>0</v>
      </c>
      <c r="K23" s="234"/>
      <c r="L23" s="234"/>
      <c r="M23" s="116">
        <f>+K23+'20'!M23+L23</f>
        <v>0</v>
      </c>
    </row>
    <row r="24" spans="1:16" ht="13.5" customHeight="1" thickBot="1">
      <c r="A24" s="830" t="s">
        <v>431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+'20'!J24</f>
        <v>0</v>
      </c>
      <c r="K24" s="234"/>
      <c r="L24" s="234"/>
      <c r="M24" s="116">
        <f>+K24+'20'!M24+L24</f>
        <v>0</v>
      </c>
    </row>
    <row r="25" spans="1:16" ht="13.5" thickBot="1">
      <c r="A25" s="831"/>
      <c r="B25" s="212" t="s">
        <v>380</v>
      </c>
      <c r="C25" s="221">
        <v>16768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+'20'!J25</f>
        <v>0</v>
      </c>
      <c r="K25" s="234"/>
      <c r="L25" s="234"/>
      <c r="M25" s="116">
        <f>+K25+'20'!M25+L25</f>
        <v>0</v>
      </c>
    </row>
    <row r="26" spans="1:16" ht="13.5" thickBot="1">
      <c r="A26" s="831"/>
      <c r="B26" s="212"/>
      <c r="C26" s="221"/>
      <c r="D26" s="214"/>
      <c r="E26" s="222"/>
      <c r="F26" s="226">
        <v>4</v>
      </c>
      <c r="G26" s="227" t="s">
        <v>11</v>
      </c>
      <c r="H26" s="228" t="s">
        <v>418</v>
      </c>
      <c r="I26" s="828"/>
      <c r="J26" s="211">
        <f>+'20'!J26</f>
        <v>0</v>
      </c>
      <c r="K26" s="234"/>
      <c r="L26" s="234"/>
      <c r="M26" s="116">
        <f>+K26+'20'!M26+L26</f>
        <v>0</v>
      </c>
      <c r="N26" s="173"/>
      <c r="O26" s="173"/>
      <c r="P26" s="173"/>
    </row>
    <row r="27" spans="1:16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+'20'!J27</f>
        <v>0</v>
      </c>
      <c r="K27" s="234"/>
      <c r="L27" s="234"/>
      <c r="M27" s="116">
        <f>+K27+'20'!M27+L27</f>
        <v>0</v>
      </c>
    </row>
    <row r="28" spans="1:16" ht="13.5" thickBot="1">
      <c r="A28" s="831"/>
      <c r="B28" s="212"/>
      <c r="C28" s="213"/>
      <c r="D28" s="214"/>
      <c r="E28" s="220"/>
      <c r="F28" s="223"/>
      <c r="G28" s="227"/>
      <c r="H28" s="225" t="s">
        <v>678</v>
      </c>
      <c r="I28" s="828"/>
      <c r="J28" s="211">
        <f>+'20'!J28</f>
        <v>0</v>
      </c>
      <c r="K28" s="234"/>
      <c r="L28" s="234"/>
      <c r="M28" s="116">
        <f>+K28+'20'!M28+L28</f>
        <v>0</v>
      </c>
    </row>
    <row r="29" spans="1:16" ht="13.5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+'20'!J29</f>
        <v>0</v>
      </c>
      <c r="K29" s="234"/>
      <c r="L29" s="234"/>
      <c r="M29" s="116">
        <f>+K29+'20'!M29+L29</f>
        <v>0</v>
      </c>
    </row>
    <row r="30" spans="1:16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+'20'!J30</f>
        <v>0</v>
      </c>
      <c r="K30" s="234"/>
      <c r="L30" s="234"/>
      <c r="M30" s="116">
        <f>+K30+'20'!M30+L30</f>
        <v>0</v>
      </c>
      <c r="N30" s="154"/>
    </row>
    <row r="31" spans="1:16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+'20'!J31</f>
        <v>0</v>
      </c>
      <c r="K31" s="234"/>
      <c r="L31" s="234"/>
      <c r="M31" s="116">
        <f>+K31+'20'!M31+L31</f>
        <v>0</v>
      </c>
    </row>
    <row r="32" spans="1:16" ht="13.5" thickBot="1">
      <c r="A32" s="832"/>
      <c r="B32" s="164" t="s">
        <v>2</v>
      </c>
      <c r="C32" s="98">
        <f>SUM(C25:C31)</f>
        <v>16768</v>
      </c>
      <c r="D32" s="99">
        <f>SUM(D25:D31)</f>
        <v>0</v>
      </c>
      <c r="E32" s="100">
        <f>SUM(E25:E31)</f>
        <v>0</v>
      </c>
      <c r="F32" s="98">
        <f>SUM(F24:F31)</f>
        <v>4</v>
      </c>
      <c r="G32" s="168"/>
      <c r="H32" s="169"/>
      <c r="I32" s="167"/>
      <c r="J32" s="211">
        <f>+'20'!J32</f>
        <v>0</v>
      </c>
      <c r="K32" s="236"/>
      <c r="L32" s="238"/>
      <c r="M32" s="116">
        <f>+K32+'20'!M32+L32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51796</v>
      </c>
      <c r="D34" s="106">
        <f>D14+D23+D32</f>
        <v>280</v>
      </c>
      <c r="E34" s="106">
        <f>E14+E23+E32</f>
        <v>0</v>
      </c>
      <c r="F34" s="107">
        <f>F14+F23+F32</f>
        <v>20</v>
      </c>
      <c r="H34" s="175"/>
      <c r="I34" s="175"/>
      <c r="J34" s="122" t="s">
        <v>27</v>
      </c>
      <c r="K34" s="123">
        <f>SUM(K7:K32)</f>
        <v>51796</v>
      </c>
      <c r="L34" s="209">
        <f>SUM(L7:L32)</f>
        <v>0</v>
      </c>
      <c r="M34" s="119">
        <f>SUM(M7:M32)</f>
        <v>985285</v>
      </c>
      <c r="N34" s="154"/>
    </row>
    <row r="35" spans="1:14" ht="13.5" thickBot="1">
      <c r="A35" s="176"/>
      <c r="B35" s="177"/>
      <c r="C35" s="103">
        <f>C34/($C$34+$D$34+$E$34)</f>
        <v>0.99462324295260773</v>
      </c>
      <c r="D35" s="103">
        <f>D34/($C$34+$D$34+$E$34)</f>
        <v>5.3767570473922726E-3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+I37+'20'!J37</f>
        <v>1113.2342032213908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20</v>
      </c>
      <c r="D38" s="117">
        <f>+C38+'20'!D38</f>
        <v>834</v>
      </c>
      <c r="E38" s="142">
        <f t="shared" ref="E38:E51" si="0">D38/60</f>
        <v>13.9</v>
      </c>
      <c r="F38" s="320">
        <v>1350</v>
      </c>
      <c r="G38" s="320">
        <f t="shared" ref="G38:G40" si="1">+F38-F38*0.25</f>
        <v>1012.5</v>
      </c>
      <c r="H38" s="184" t="s">
        <v>60</v>
      </c>
      <c r="I38" s="501">
        <f>17.167+17.167+17.377</f>
        <v>51.710999999999999</v>
      </c>
      <c r="J38" s="126">
        <f>+I38+'20'!J38</f>
        <v>1034.1109999999996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+C39+'20'!D39</f>
        <v>0</v>
      </c>
      <c r="E39" s="142">
        <f t="shared" si="0"/>
        <v>0</v>
      </c>
      <c r="F39" s="320">
        <v>1350</v>
      </c>
      <c r="G39" s="320">
        <f t="shared" si="1"/>
        <v>1012.5</v>
      </c>
      <c r="H39" s="184" t="s">
        <v>61</v>
      </c>
      <c r="I39" s="141"/>
      <c r="J39" s="128">
        <f>J37/G4</f>
        <v>53.011152534351943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+C40+'20'!D40</f>
        <v>0</v>
      </c>
      <c r="E40" s="142">
        <f t="shared" ca="1" si="0"/>
        <v>0</v>
      </c>
      <c r="F40" s="320">
        <v>1350</v>
      </c>
      <c r="G40" s="320">
        <f t="shared" si="1"/>
        <v>1012.5</v>
      </c>
      <c r="H40" s="184" t="s">
        <v>63</v>
      </c>
      <c r="I40" s="117">
        <f>(K34+L34)/1000</f>
        <v>51.795999999999999</v>
      </c>
      <c r="J40" s="130">
        <f>+I40+'20'!J40</f>
        <v>985.2850000000002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+C41+'20'!D41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46.918333333333344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+C42+'20'!D42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+C43+'20'!D43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+Report1!T29</f>
        <v>119</v>
      </c>
      <c r="J43" s="132">
        <f>+I43+'20'!J43</f>
        <v>2545.5999999999995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+C44+'20'!D44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2.3012511844675214</v>
      </c>
      <c r="J44" s="133">
        <f>J43/J38</f>
        <v>2.4616312948996772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+C45+'20'!D45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2.2974747084716967</v>
      </c>
      <c r="J45" s="133">
        <f>J43/J40</f>
        <v>2.5836179379570368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+C46+'20'!D46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+SUMIF(Listrik!AN28,"&gt;0")</f>
        <v>48826.456506070928</v>
      </c>
      <c r="J46" s="134">
        <f>+I46+'20'!J46</f>
        <v>979619.87660364737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+C47+'20'!D47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944.21799048695505</v>
      </c>
      <c r="J47" s="134">
        <f>J46/J38</f>
        <v>947.30631102816596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+C48+'20'!D48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942.66847837807802</v>
      </c>
      <c r="J48" s="134">
        <f>J46/J40</f>
        <v>994.25026931664161</v>
      </c>
      <c r="K48" s="129" t="s">
        <v>23</v>
      </c>
    </row>
    <row r="49" spans="1:11" ht="17.45" customHeight="1">
      <c r="A49" s="837" t="s">
        <v>19</v>
      </c>
      <c r="B49" s="819"/>
      <c r="C49" s="163">
        <f>SUMIF($G$7:$G$31,"Others",$F$7:$F$31)</f>
        <v>0</v>
      </c>
      <c r="D49" s="117">
        <f>+C49+'20'!D49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+I49+'20'!J49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+C50+'20'!D50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+C51+'20'!D51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20</v>
      </c>
      <c r="D52" s="143">
        <f ca="1">SUM(D38:D51)</f>
        <v>1604</v>
      </c>
      <c r="E52" s="144">
        <f ca="1">SUM(E38:E51)</f>
        <v>26.733333333333334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1.3888888888888888E-2</v>
      </c>
      <c r="D53" s="145">
        <f ca="1">D52/(24*60*G4)</f>
        <v>5.3042328042328044E-2</v>
      </c>
      <c r="E53" s="146">
        <f ca="1">E52/(G4*24)</f>
        <v>5.3042328042328044E-2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+D34+'20'!J56</f>
        <v>26099</v>
      </c>
      <c r="K56" s="198">
        <f>J56/(J40+J56/1000)/1000</f>
        <v>2.5805233224966969E-2</v>
      </c>
    </row>
    <row r="57" spans="1:11">
      <c r="A57" s="173"/>
      <c r="I57" s="196" t="s">
        <v>85</v>
      </c>
      <c r="J57" s="197">
        <f>+E34+'20'!J57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42578125" style="148" customWidth="1"/>
    <col min="14" max="16384" width="9.140625" style="148"/>
  </cols>
  <sheetData>
    <row r="1" spans="1:15" ht="15.75">
      <c r="A1" s="147"/>
    </row>
    <row r="2" spans="1:15" ht="15.75">
      <c r="A2" s="147" t="s">
        <v>217</v>
      </c>
    </row>
    <row r="3" spans="1:15" ht="15">
      <c r="A3" s="149"/>
    </row>
    <row r="4" spans="1:15" ht="20.25">
      <c r="A4" s="150" t="s">
        <v>3</v>
      </c>
      <c r="B4" s="151"/>
      <c r="F4" s="152" t="s">
        <v>28</v>
      </c>
      <c r="G4" s="153">
        <v>20</v>
      </c>
      <c r="H4" s="153" t="str">
        <f>+'1'!H4</f>
        <v>.06.24</v>
      </c>
    </row>
    <row r="5" spans="1:15" ht="13.5" thickBot="1">
      <c r="C5" s="154"/>
      <c r="D5" s="154"/>
    </row>
    <row r="6" spans="1:15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468+403+393</f>
        <v>1264</v>
      </c>
    </row>
    <row r="7" spans="1:15" ht="13.5" customHeight="1" thickBot="1">
      <c r="A7" s="824" t="s">
        <v>353</v>
      </c>
      <c r="B7" s="212" t="s">
        <v>380</v>
      </c>
      <c r="C7" s="213">
        <v>14742</v>
      </c>
      <c r="D7" s="214"/>
      <c r="E7" s="215"/>
      <c r="F7" s="226">
        <v>5</v>
      </c>
      <c r="G7" s="224" t="s">
        <v>11</v>
      </c>
      <c r="H7" s="225" t="s">
        <v>496</v>
      </c>
      <c r="I7" s="827" t="s">
        <v>671</v>
      </c>
      <c r="J7" s="211" t="str">
        <f>+'19'!J7</f>
        <v>N 12 VP OW</v>
      </c>
      <c r="K7" s="233"/>
      <c r="L7" s="237"/>
      <c r="M7" s="116">
        <f>+K7+'19'!M7+L7</f>
        <v>107831</v>
      </c>
    </row>
    <row r="8" spans="1:15" ht="13.5" thickBot="1">
      <c r="A8" s="825"/>
      <c r="B8" s="212"/>
      <c r="C8" s="213"/>
      <c r="D8" s="214"/>
      <c r="E8" s="216"/>
      <c r="F8" s="226"/>
      <c r="G8" s="227" t="s">
        <v>11</v>
      </c>
      <c r="H8" s="225" t="s">
        <v>399</v>
      </c>
      <c r="I8" s="828"/>
      <c r="J8" s="211" t="str">
        <f>+'19'!J8</f>
        <v>F 12.5 VP OW</v>
      </c>
      <c r="K8" s="234"/>
      <c r="L8" s="234"/>
      <c r="M8" s="116">
        <f>+K8+'19'!M8+L8</f>
        <v>66421</v>
      </c>
      <c r="N8" s="148">
        <v>1350</v>
      </c>
      <c r="O8" s="148">
        <f>+N8-N8*0.25</f>
        <v>1012.5</v>
      </c>
    </row>
    <row r="9" spans="1:15" ht="13.5" thickBot="1">
      <c r="A9" s="825"/>
      <c r="B9" s="212"/>
      <c r="C9" s="213"/>
      <c r="D9" s="214"/>
      <c r="E9" s="217"/>
      <c r="F9" s="226">
        <v>9</v>
      </c>
      <c r="G9" s="227" t="s">
        <v>11</v>
      </c>
      <c r="H9" s="228" t="s">
        <v>445</v>
      </c>
      <c r="I9" s="828"/>
      <c r="J9" s="211" t="str">
        <f>+'19'!J9</f>
        <v>F 13 VP OW</v>
      </c>
      <c r="K9" s="234">
        <f>+C34</f>
        <v>44970</v>
      </c>
      <c r="L9" s="234"/>
      <c r="M9" s="116">
        <f>+K9+'19'!M9+L9</f>
        <v>208403</v>
      </c>
      <c r="N9" s="148">
        <v>1350</v>
      </c>
      <c r="O9" s="148">
        <f>+N9-N9*0.25</f>
        <v>1012.5</v>
      </c>
    </row>
    <row r="10" spans="1:15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+'19'!J10</f>
        <v>N 17 VP OW</v>
      </c>
      <c r="K10" s="234"/>
      <c r="L10" s="234"/>
      <c r="M10" s="116">
        <f>+K10+'19'!M10+L10</f>
        <v>76374</v>
      </c>
      <c r="N10" s="148">
        <v>1350</v>
      </c>
      <c r="O10" s="148">
        <f>+N10-N10*0.25</f>
        <v>1012.5</v>
      </c>
    </row>
    <row r="11" spans="1:15" ht="13.5" thickBot="1">
      <c r="A11" s="825"/>
      <c r="B11" s="212"/>
      <c r="C11" s="213"/>
      <c r="D11" s="214"/>
      <c r="E11" s="216"/>
      <c r="F11" s="468"/>
      <c r="G11" s="469"/>
      <c r="H11" s="225" t="s">
        <v>672</v>
      </c>
      <c r="I11" s="828"/>
      <c r="J11" s="211" t="str">
        <f>+'19'!J11</f>
        <v>N 17,5 VP OW</v>
      </c>
      <c r="K11" s="234"/>
      <c r="L11" s="234"/>
      <c r="M11" s="116">
        <f>+K11+'19'!M11+L11</f>
        <v>23535</v>
      </c>
    </row>
    <row r="12" spans="1:15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+'19'!J12</f>
        <v>TW 17 VP OW</v>
      </c>
      <c r="K12" s="234"/>
      <c r="L12" s="234"/>
      <c r="M12" s="116">
        <f>+K12+'19'!M12+L12</f>
        <v>243570</v>
      </c>
    </row>
    <row r="13" spans="1:15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+'19'!J13</f>
        <v>N 15,5 VP OW</v>
      </c>
      <c r="K13" s="234"/>
      <c r="L13" s="234"/>
      <c r="M13" s="116">
        <f>+K13+'19'!M13+L13</f>
        <v>40521</v>
      </c>
    </row>
    <row r="14" spans="1:15" ht="13.5" thickBot="1">
      <c r="A14" s="826"/>
      <c r="B14" s="164" t="s">
        <v>2</v>
      </c>
      <c r="C14" s="98">
        <f>SUM(C7:C13)</f>
        <v>14742</v>
      </c>
      <c r="D14" s="110">
        <f>SUM(D7:D13)</f>
        <v>0</v>
      </c>
      <c r="E14" s="111">
        <f>SUM(E5:E13)</f>
        <v>0</v>
      </c>
      <c r="F14" s="101">
        <f>SUM(F6:F13)</f>
        <v>14</v>
      </c>
      <c r="G14" s="158"/>
      <c r="H14" s="165"/>
      <c r="I14" s="166"/>
      <c r="J14" s="211" t="str">
        <f>+'19'!J14</f>
        <v>N 11 VP OW</v>
      </c>
      <c r="K14" s="234"/>
      <c r="L14" s="234"/>
      <c r="M14" s="116">
        <f>+K14+'19'!M14+L14</f>
        <v>41975</v>
      </c>
    </row>
    <row r="15" spans="1:15" ht="13.5" customHeight="1" thickBot="1">
      <c r="A15" s="830" t="s">
        <v>219</v>
      </c>
      <c r="B15" s="498"/>
      <c r="C15" s="112">
        <f>C14/($C$23+$D$23+$E$23)</f>
        <v>0.86004317134356223</v>
      </c>
      <c r="D15" s="113">
        <f>D14/($C$23+$D$23+$E$23)</f>
        <v>0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+'19'!J15</f>
        <v>T 14 VP OW</v>
      </c>
      <c r="K15" s="234"/>
      <c r="L15" s="234"/>
      <c r="M15" s="116">
        <f>+K15+'19'!M15+L15</f>
        <v>8404</v>
      </c>
    </row>
    <row r="16" spans="1:15" ht="13.5" thickBot="1">
      <c r="A16" s="825"/>
      <c r="B16" s="212" t="s">
        <v>380</v>
      </c>
      <c r="C16" s="499">
        <v>17141</v>
      </c>
      <c r="D16" s="218"/>
      <c r="E16" s="219"/>
      <c r="F16" s="226"/>
      <c r="G16" s="227" t="s">
        <v>11</v>
      </c>
      <c r="H16" s="225" t="s">
        <v>399</v>
      </c>
      <c r="I16" s="828"/>
      <c r="J16" s="211" t="str">
        <f>+'19'!J16</f>
        <v>T 16 VP OW</v>
      </c>
      <c r="K16" s="224"/>
      <c r="L16" s="224"/>
      <c r="M16" s="116">
        <f>+K16+'19'!M16+L16</f>
        <v>62166</v>
      </c>
    </row>
    <row r="17" spans="1:14" ht="13.5" thickBot="1">
      <c r="A17" s="825"/>
      <c r="B17" s="212"/>
      <c r="C17" s="213"/>
      <c r="D17" s="214"/>
      <c r="E17" s="220"/>
      <c r="F17" s="226">
        <v>5</v>
      </c>
      <c r="G17" s="227" t="s">
        <v>11</v>
      </c>
      <c r="H17" s="228" t="s">
        <v>375</v>
      </c>
      <c r="I17" s="828"/>
      <c r="J17" s="211" t="str">
        <f>+'19'!J17</f>
        <v>T 18 VP OW</v>
      </c>
      <c r="K17" s="224"/>
      <c r="L17" s="224"/>
      <c r="M17" s="116">
        <f>+K17+'19'!M17+L17</f>
        <v>44306</v>
      </c>
    </row>
    <row r="18" spans="1:14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+'19'!J18</f>
        <v>T 15 VP OW</v>
      </c>
      <c r="K18" s="234"/>
      <c r="L18" s="234"/>
      <c r="M18" s="116">
        <f>+K18+'19'!M18+L18</f>
        <v>9983</v>
      </c>
    </row>
    <row r="19" spans="1:14" ht="13.5" thickBot="1">
      <c r="A19" s="825"/>
      <c r="B19" s="212"/>
      <c r="C19" s="213"/>
      <c r="D19" s="214"/>
      <c r="E19" s="220"/>
      <c r="F19" s="223"/>
      <c r="G19" s="227"/>
      <c r="H19" s="225"/>
      <c r="I19" s="828"/>
      <c r="J19" s="211">
        <f>+'19'!J19</f>
        <v>0</v>
      </c>
      <c r="K19" s="234"/>
      <c r="L19" s="234"/>
      <c r="M19" s="116">
        <f>+K19+'19'!M19+L19</f>
        <v>0</v>
      </c>
    </row>
    <row r="20" spans="1:14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+'19'!J20</f>
        <v>0</v>
      </c>
      <c r="K20" s="235"/>
      <c r="L20" s="235"/>
      <c r="M20" s="116">
        <f>+K20+'19'!M20+L20</f>
        <v>0</v>
      </c>
    </row>
    <row r="21" spans="1:14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+'19'!J21</f>
        <v>0</v>
      </c>
      <c r="K21" s="234"/>
      <c r="L21" s="234"/>
      <c r="M21" s="116">
        <f>+K21+'19'!M21+L21</f>
        <v>0</v>
      </c>
    </row>
    <row r="22" spans="1:14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+'19'!J22</f>
        <v>0</v>
      </c>
      <c r="K22" s="234"/>
      <c r="L22" s="234"/>
      <c r="M22" s="116">
        <f>+K22+'19'!M22+L22</f>
        <v>0</v>
      </c>
    </row>
    <row r="23" spans="1:14" ht="13.5" thickBot="1">
      <c r="A23" s="826"/>
      <c r="B23" s="164" t="s">
        <v>2</v>
      </c>
      <c r="C23" s="98">
        <f>SUM(C16:C22)</f>
        <v>17141</v>
      </c>
      <c r="D23" s="110">
        <f>SUM(D16:D22)</f>
        <v>0</v>
      </c>
      <c r="E23" s="111">
        <f>SUM(E18:E22)</f>
        <v>0</v>
      </c>
      <c r="F23" s="101">
        <f>SUM(F15:F22)</f>
        <v>5</v>
      </c>
      <c r="G23" s="158"/>
      <c r="H23" s="165"/>
      <c r="I23" s="167"/>
      <c r="J23" s="211">
        <f>+'19'!J23</f>
        <v>0</v>
      </c>
      <c r="K23" s="234"/>
      <c r="L23" s="234"/>
      <c r="M23" s="116">
        <f>+K23+'19'!M23+L23</f>
        <v>0</v>
      </c>
    </row>
    <row r="24" spans="1:14" ht="13.5" customHeight="1" thickBot="1">
      <c r="A24" s="830" t="s">
        <v>431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+'19'!J24</f>
        <v>0</v>
      </c>
      <c r="K24" s="234"/>
      <c r="L24" s="234"/>
      <c r="M24" s="116">
        <f>+K24+'19'!M24+L24</f>
        <v>0</v>
      </c>
    </row>
    <row r="25" spans="1:14" ht="13.5" thickBot="1">
      <c r="A25" s="831"/>
      <c r="B25" s="212" t="s">
        <v>380</v>
      </c>
      <c r="C25" s="221">
        <v>13087</v>
      </c>
      <c r="D25" s="214"/>
      <c r="E25" s="220"/>
      <c r="F25" s="226">
        <v>1</v>
      </c>
      <c r="G25" s="227" t="s">
        <v>11</v>
      </c>
      <c r="H25" s="225" t="s">
        <v>419</v>
      </c>
      <c r="I25" s="828"/>
      <c r="J25" s="211">
        <f>+'19'!J25</f>
        <v>0</v>
      </c>
      <c r="K25" s="234"/>
      <c r="L25" s="234"/>
      <c r="M25" s="116">
        <f>+K25+'19'!M25+L25</f>
        <v>0</v>
      </c>
    </row>
    <row r="26" spans="1:14" ht="13.5" thickBot="1">
      <c r="A26" s="831"/>
      <c r="B26" s="212"/>
      <c r="C26" s="221"/>
      <c r="D26" s="214"/>
      <c r="E26" s="222"/>
      <c r="F26" s="226">
        <v>5</v>
      </c>
      <c r="G26" s="227" t="s">
        <v>11</v>
      </c>
      <c r="H26" s="228" t="s">
        <v>400</v>
      </c>
      <c r="I26" s="828"/>
      <c r="J26" s="211">
        <f>+'19'!J26</f>
        <v>0</v>
      </c>
      <c r="K26" s="234"/>
      <c r="L26" s="234"/>
      <c r="M26" s="116">
        <f>+K26+'19'!M26+L26</f>
        <v>0</v>
      </c>
    </row>
    <row r="27" spans="1:14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+'19'!J27</f>
        <v>0</v>
      </c>
      <c r="K27" s="234"/>
      <c r="L27" s="234"/>
      <c r="M27" s="116">
        <f>+K27+'19'!M27+L27</f>
        <v>0</v>
      </c>
    </row>
    <row r="28" spans="1:14" ht="13.5" thickBot="1">
      <c r="A28" s="831"/>
      <c r="B28" s="212"/>
      <c r="C28" s="213"/>
      <c r="D28" s="214"/>
      <c r="E28" s="220"/>
      <c r="F28" s="223"/>
      <c r="G28" s="227"/>
      <c r="H28" s="225" t="s">
        <v>673</v>
      </c>
      <c r="I28" s="828"/>
      <c r="J28" s="211">
        <f>+'19'!J28</f>
        <v>0</v>
      </c>
      <c r="K28" s="234"/>
      <c r="L28" s="234"/>
      <c r="M28" s="116">
        <f>+K28+'19'!M28+L28</f>
        <v>0</v>
      </c>
    </row>
    <row r="29" spans="1:14" ht="13.5" thickBot="1">
      <c r="A29" s="831"/>
      <c r="B29" s="212"/>
      <c r="C29" s="213"/>
      <c r="D29" s="214"/>
      <c r="E29" s="220"/>
      <c r="F29" s="231"/>
      <c r="G29" s="227"/>
      <c r="H29" s="228" t="s">
        <v>674</v>
      </c>
      <c r="I29" s="828"/>
      <c r="J29" s="211">
        <f>+'19'!J29</f>
        <v>0</v>
      </c>
      <c r="K29" s="234"/>
      <c r="L29" s="234"/>
      <c r="M29" s="116">
        <f>+K29+'19'!M29+L29</f>
        <v>0</v>
      </c>
    </row>
    <row r="30" spans="1:14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+'19'!J30</f>
        <v>0</v>
      </c>
      <c r="K30" s="234"/>
      <c r="L30" s="234"/>
      <c r="M30" s="116">
        <f>+K30+'19'!M30+L30</f>
        <v>0</v>
      </c>
      <c r="N30" s="154"/>
    </row>
    <row r="31" spans="1:14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+'19'!J31</f>
        <v>0</v>
      </c>
      <c r="K31" s="234"/>
      <c r="L31" s="234"/>
      <c r="M31" s="116">
        <f>+K31+'19'!M31+L31</f>
        <v>0</v>
      </c>
    </row>
    <row r="32" spans="1:14" ht="13.5" thickBot="1">
      <c r="A32" s="832"/>
      <c r="B32" s="164" t="s">
        <v>2</v>
      </c>
      <c r="C32" s="98">
        <f>SUM(C25:C31)</f>
        <v>13087</v>
      </c>
      <c r="D32" s="99">
        <f>SUM(D25:D31)</f>
        <v>0</v>
      </c>
      <c r="E32" s="100">
        <f>SUM(E25:E31)</f>
        <v>0</v>
      </c>
      <c r="F32" s="98">
        <f>SUM(F24:F31)</f>
        <v>6</v>
      </c>
      <c r="G32" s="168"/>
      <c r="H32" s="169"/>
      <c r="I32" s="167"/>
      <c r="J32" s="211">
        <f>+'19'!J32</f>
        <v>0</v>
      </c>
      <c r="K32" s="236"/>
      <c r="L32" s="238"/>
      <c r="M32" s="116">
        <f>+K32+'19'!M32+L32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44970</v>
      </c>
      <c r="D34" s="106">
        <f>D14+D23+D32</f>
        <v>0</v>
      </c>
      <c r="E34" s="106">
        <f>E14+E23+E32</f>
        <v>0</v>
      </c>
      <c r="F34" s="107">
        <f>F14+F23+F32</f>
        <v>25</v>
      </c>
      <c r="H34" s="175"/>
      <c r="I34" s="175"/>
      <c r="J34" s="122" t="s">
        <v>27</v>
      </c>
      <c r="K34" s="123">
        <f>SUM(K7:K32)</f>
        <v>44970</v>
      </c>
      <c r="L34" s="209">
        <f>SUM(L7:L32)</f>
        <v>0</v>
      </c>
      <c r="M34" s="119">
        <f>SUM(M7:M32)</f>
        <v>933489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+I37+'19'!J37</f>
        <v>1059.2153032213907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25</v>
      </c>
      <c r="D38" s="117">
        <f>+C38+'19'!D38</f>
        <v>814</v>
      </c>
      <c r="E38" s="142">
        <f t="shared" ref="E38:E51" si="0">D38/60</f>
        <v>13.566666666666666</v>
      </c>
      <c r="F38" s="320">
        <v>1350</v>
      </c>
      <c r="G38" s="320">
        <f>+F38-F38*0.25</f>
        <v>1012.5</v>
      </c>
      <c r="H38" s="184" t="s">
        <v>60</v>
      </c>
      <c r="I38" s="501">
        <f>16.532+17.412+15.696</f>
        <v>49.64</v>
      </c>
      <c r="J38" s="126">
        <f>+I38+'19'!J38</f>
        <v>982.39999999999975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+C39+'19'!D39</f>
        <v>0</v>
      </c>
      <c r="E39" s="142">
        <f t="shared" si="0"/>
        <v>0</v>
      </c>
      <c r="F39" s="320">
        <v>1350</v>
      </c>
      <c r="G39" s="320">
        <f>+F39-F39*0.25</f>
        <v>1012.5</v>
      </c>
      <c r="H39" s="184" t="s">
        <v>61</v>
      </c>
      <c r="I39" s="141"/>
      <c r="J39" s="128">
        <f>J37/G4</f>
        <v>52.960765161069538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+C40+'19'!D40</f>
        <v>0</v>
      </c>
      <c r="E40" s="142">
        <f t="shared" ca="1" si="0"/>
        <v>0</v>
      </c>
      <c r="F40" s="320">
        <v>1350</v>
      </c>
      <c r="G40" s="320">
        <f>+F40-F40*0.25</f>
        <v>1012.5</v>
      </c>
      <c r="H40" s="184" t="s">
        <v>63</v>
      </c>
      <c r="I40" s="117">
        <f>(K34+L34)/1000</f>
        <v>44.97</v>
      </c>
      <c r="J40" s="130">
        <f>+I40+'19'!J40</f>
        <v>933.48900000000015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+C41+'19'!D41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46.674450000000007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+C42+'19'!D42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+C43+'19'!D43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+Report1!T28</f>
        <v>121.2</v>
      </c>
      <c r="J43" s="132">
        <f>+I43+'19'!J43</f>
        <v>2426.5999999999995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+C44+'19'!D44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2.4415793714746172</v>
      </c>
      <c r="J44" s="133">
        <f>J43/J38</f>
        <v>2.4700732899022801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+C45+'19'!D45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2.695130086724483</v>
      </c>
      <c r="J45" s="133">
        <f>J43/J40</f>
        <v>2.599495012796079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+C46+'19'!D46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+SUMIF(Listrik!AN27,"&gt;0")</f>
        <v>45745.382108830054</v>
      </c>
      <c r="J46" s="134">
        <f>+I46+'19'!J46</f>
        <v>930793.42009757645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+C47+'19'!D47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921.54274997643142</v>
      </c>
      <c r="J47" s="134">
        <f>J46/J38</f>
        <v>947.4688722491619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+C48+'19'!D48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1017.2422083351136</v>
      </c>
      <c r="J48" s="134">
        <f>J46/J40</f>
        <v>997.11236029302574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+C49+'19'!D49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+I49+'19'!J49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+C50+'19'!D50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+C51+'19'!D51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25</v>
      </c>
      <c r="D52" s="143">
        <f ca="1">SUM(D38:D51)</f>
        <v>1584</v>
      </c>
      <c r="E52" s="144">
        <f ca="1">SUM(E38:E51)</f>
        <v>26.400000000000002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1.7361111111111112E-2</v>
      </c>
      <c r="D53" s="145">
        <f ca="1">D52/(24*60*G4)</f>
        <v>5.5E-2</v>
      </c>
      <c r="E53" s="146">
        <f ca="1">E52/(G4*24)</f>
        <v>5.5000000000000007E-2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+D34+'19'!J56</f>
        <v>25819</v>
      </c>
      <c r="K56" s="198">
        <f>J56/(J40+J56/1000)/1000</f>
        <v>2.691419231362607E-2</v>
      </c>
    </row>
    <row r="57" spans="1:11">
      <c r="A57" s="173"/>
      <c r="I57" s="196" t="s">
        <v>85</v>
      </c>
      <c r="J57" s="197">
        <f>+E34+'19'!J57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59027777777777779" header="0" footer="0"/>
  <pageSetup paperSize="9" scale="57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topLeftCell="A4" zoomScale="80" zoomScaleNormal="80" zoomScaleSheetLayoutView="80" workbookViewId="0">
      <selection activeCell="I24" sqref="I7:I3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6384" width="9.140625" style="148"/>
  </cols>
  <sheetData>
    <row r="1" spans="1:15" ht="15.75">
      <c r="A1" s="147"/>
    </row>
    <row r="2" spans="1:15" ht="15.75">
      <c r="A2" s="147" t="s">
        <v>217</v>
      </c>
    </row>
    <row r="3" spans="1:15" ht="15">
      <c r="A3" s="149"/>
    </row>
    <row r="4" spans="1:15" ht="20.25">
      <c r="A4" s="150" t="s">
        <v>3</v>
      </c>
      <c r="B4" s="151"/>
      <c r="F4" s="152" t="s">
        <v>28</v>
      </c>
      <c r="G4" s="153">
        <v>19</v>
      </c>
      <c r="H4" s="153" t="str">
        <f>+'1'!H4</f>
        <v>.06.24</v>
      </c>
    </row>
    <row r="5" spans="1:15" ht="13.5" thickBot="1">
      <c r="C5" s="154"/>
      <c r="D5" s="154"/>
    </row>
    <row r="6" spans="1:15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497+413+414</f>
        <v>1324</v>
      </c>
    </row>
    <row r="7" spans="1:15" ht="13.5" customHeight="1" thickBot="1">
      <c r="A7" s="824" t="s">
        <v>353</v>
      </c>
      <c r="B7" s="212" t="s">
        <v>380</v>
      </c>
      <c r="C7" s="213">
        <v>14828</v>
      </c>
      <c r="D7" s="214"/>
      <c r="E7" s="215"/>
      <c r="F7" s="226"/>
      <c r="G7" s="224" t="s">
        <v>11</v>
      </c>
      <c r="H7" s="225" t="s">
        <v>385</v>
      </c>
      <c r="I7" s="827" t="s">
        <v>671</v>
      </c>
      <c r="J7" s="211" t="str">
        <f>+'18'!J7</f>
        <v>N 12 VP OW</v>
      </c>
      <c r="K7" s="233"/>
      <c r="L7" s="237"/>
      <c r="M7" s="116">
        <f>+K7+'18'!M7+L7</f>
        <v>107831</v>
      </c>
    </row>
    <row r="8" spans="1:15" ht="13.5" thickBot="1">
      <c r="A8" s="825"/>
      <c r="B8" s="212"/>
      <c r="C8" s="213"/>
      <c r="D8" s="214"/>
      <c r="E8" s="216"/>
      <c r="F8" s="226"/>
      <c r="G8" s="227" t="s">
        <v>11</v>
      </c>
      <c r="H8" s="225" t="s">
        <v>399</v>
      </c>
      <c r="I8" s="828"/>
      <c r="J8" s="211" t="str">
        <f>+'18'!J8</f>
        <v>F 12.5 VP OW</v>
      </c>
      <c r="K8" s="234"/>
      <c r="L8" s="234"/>
      <c r="M8" s="116">
        <f>+K8+'18'!M8+L8</f>
        <v>66421</v>
      </c>
      <c r="N8" s="148">
        <v>1350</v>
      </c>
      <c r="O8" s="148">
        <f>+N8-N8*0.25</f>
        <v>1012.5</v>
      </c>
    </row>
    <row r="9" spans="1:15" ht="13.5" thickBot="1">
      <c r="A9" s="825"/>
      <c r="B9" s="212"/>
      <c r="C9" s="213"/>
      <c r="D9" s="214"/>
      <c r="E9" s="217"/>
      <c r="F9" s="226">
        <v>10</v>
      </c>
      <c r="G9" s="227" t="s">
        <v>11</v>
      </c>
      <c r="H9" s="228" t="s">
        <v>418</v>
      </c>
      <c r="I9" s="828"/>
      <c r="J9" s="211" t="str">
        <f>+'18'!J9</f>
        <v>F 13 VP OW</v>
      </c>
      <c r="K9" s="234">
        <f>+C34</f>
        <v>54652</v>
      </c>
      <c r="L9" s="234"/>
      <c r="M9" s="116">
        <f>+K9+'18'!M9+L9</f>
        <v>163433</v>
      </c>
    </row>
    <row r="10" spans="1:15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+'18'!J10</f>
        <v>N 17 VP OW</v>
      </c>
      <c r="K10" s="234"/>
      <c r="L10" s="234"/>
      <c r="M10" s="116">
        <f>+K10+'18'!M10+L10</f>
        <v>76374</v>
      </c>
    </row>
    <row r="11" spans="1:15" ht="13.5" thickBot="1">
      <c r="A11" s="825"/>
      <c r="B11" s="212"/>
      <c r="C11" s="213"/>
      <c r="D11" s="214"/>
      <c r="E11" s="216"/>
      <c r="F11" s="468"/>
      <c r="G11" s="469"/>
      <c r="H11" s="225" t="s">
        <v>666</v>
      </c>
      <c r="I11" s="828"/>
      <c r="J11" s="211" t="str">
        <f>+'18'!J11</f>
        <v>N 17,5 VP OW</v>
      </c>
      <c r="K11" s="234"/>
      <c r="L11" s="234"/>
      <c r="M11" s="116">
        <f>+K11+'18'!M11+L11</f>
        <v>23535</v>
      </c>
    </row>
    <row r="12" spans="1:15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+'18'!J12</f>
        <v>TW 17 VP OW</v>
      </c>
      <c r="K12" s="234"/>
      <c r="L12" s="234"/>
      <c r="M12" s="116">
        <f>+K12+'18'!M12+L12</f>
        <v>243570</v>
      </c>
    </row>
    <row r="13" spans="1:15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+'18'!J13</f>
        <v>N 15,5 VP OW</v>
      </c>
      <c r="K13" s="234"/>
      <c r="L13" s="234"/>
      <c r="M13" s="116">
        <f>+K13+'18'!M13+L13</f>
        <v>40521</v>
      </c>
    </row>
    <row r="14" spans="1:15" ht="13.5" thickBot="1">
      <c r="A14" s="826"/>
      <c r="B14" s="164" t="s">
        <v>2</v>
      </c>
      <c r="C14" s="98">
        <f>SUM(C7:C13)</f>
        <v>14828</v>
      </c>
      <c r="D14" s="110">
        <f>SUM(D7:D13)</f>
        <v>0</v>
      </c>
      <c r="E14" s="111">
        <f>SUM(E5:E13)</f>
        <v>0</v>
      </c>
      <c r="F14" s="101">
        <f>SUM(F6:F13)</f>
        <v>10</v>
      </c>
      <c r="G14" s="158"/>
      <c r="H14" s="165"/>
      <c r="I14" s="166"/>
      <c r="J14" s="211" t="str">
        <f>+'18'!J14</f>
        <v>N 11 VP OW</v>
      </c>
      <c r="K14" s="234"/>
      <c r="L14" s="234"/>
      <c r="M14" s="116">
        <f>+K14+'18'!M14+L14</f>
        <v>41975</v>
      </c>
    </row>
    <row r="15" spans="1:15" ht="13.5" customHeight="1" thickBot="1">
      <c r="A15" s="830" t="s">
        <v>219</v>
      </c>
      <c r="B15" s="498"/>
      <c r="C15" s="112">
        <f>C14/($C$23+$D$23+$E$23)</f>
        <v>0.64584694455333425</v>
      </c>
      <c r="D15" s="113">
        <f>D14/($C$23+$D$23+$E$23)</f>
        <v>0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+'18'!J15</f>
        <v>T 14 VP OW</v>
      </c>
      <c r="K15" s="234"/>
      <c r="L15" s="234"/>
      <c r="M15" s="116">
        <f>+K15+'18'!M15+L15</f>
        <v>8404</v>
      </c>
    </row>
    <row r="16" spans="1:15" ht="13.5" thickBot="1">
      <c r="A16" s="825"/>
      <c r="B16" s="212" t="s">
        <v>380</v>
      </c>
      <c r="C16" s="221">
        <v>22959</v>
      </c>
      <c r="D16" s="218"/>
      <c r="E16" s="219"/>
      <c r="F16" s="226">
        <v>0</v>
      </c>
      <c r="G16" s="227" t="s">
        <v>11</v>
      </c>
      <c r="H16" s="225" t="s">
        <v>399</v>
      </c>
      <c r="I16" s="828"/>
      <c r="J16" s="211" t="str">
        <f>+'18'!J16</f>
        <v>T 16 VP OW</v>
      </c>
      <c r="K16" s="224"/>
      <c r="L16" s="224"/>
      <c r="M16" s="116">
        <f>+K16+'18'!M16+L16</f>
        <v>62166</v>
      </c>
    </row>
    <row r="17" spans="1:14" ht="13.5" thickBot="1">
      <c r="A17" s="825"/>
      <c r="B17" s="212"/>
      <c r="C17" s="221"/>
      <c r="D17" s="214"/>
      <c r="E17" s="220"/>
      <c r="F17" s="226">
        <v>5</v>
      </c>
      <c r="G17" s="227" t="s">
        <v>11</v>
      </c>
      <c r="H17" s="228" t="s">
        <v>418</v>
      </c>
      <c r="I17" s="828"/>
      <c r="J17" s="211" t="str">
        <f>+'18'!J17</f>
        <v>T 18 VP OW</v>
      </c>
      <c r="K17" s="224"/>
      <c r="L17" s="224"/>
      <c r="M17" s="116">
        <f>+K17+'18'!M17+L17</f>
        <v>44306</v>
      </c>
    </row>
    <row r="18" spans="1:14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+'18'!J18</f>
        <v>T 15 VP OW</v>
      </c>
      <c r="K18" s="234"/>
      <c r="L18" s="234"/>
      <c r="M18" s="116">
        <f>+K18+'18'!M18+L18</f>
        <v>9983</v>
      </c>
    </row>
    <row r="19" spans="1:14" ht="13.5" thickBot="1">
      <c r="A19" s="825"/>
      <c r="B19" s="212"/>
      <c r="C19" s="213"/>
      <c r="D19" s="214"/>
      <c r="E19" s="220"/>
      <c r="F19" s="223"/>
      <c r="G19" s="227"/>
      <c r="H19" s="225" t="s">
        <v>667</v>
      </c>
      <c r="I19" s="828"/>
      <c r="J19" s="211">
        <f>+'18'!J19</f>
        <v>0</v>
      </c>
      <c r="K19" s="234"/>
      <c r="L19" s="234"/>
      <c r="M19" s="116">
        <f>+K19+'18'!M19+L19</f>
        <v>0</v>
      </c>
    </row>
    <row r="20" spans="1:14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+'18'!J20</f>
        <v>0</v>
      </c>
      <c r="K20" s="235"/>
      <c r="L20" s="235"/>
      <c r="M20" s="116">
        <f>+K20+'18'!M20+L20</f>
        <v>0</v>
      </c>
    </row>
    <row r="21" spans="1:14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+'18'!J21</f>
        <v>0</v>
      </c>
      <c r="K21" s="234"/>
      <c r="L21" s="234"/>
      <c r="M21" s="116">
        <f>+K21+'18'!M21+L21</f>
        <v>0</v>
      </c>
    </row>
    <row r="22" spans="1:14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+'18'!J22</f>
        <v>0</v>
      </c>
      <c r="K22" s="234"/>
      <c r="L22" s="234"/>
      <c r="M22" s="116">
        <f>+K22+'18'!M22+L22</f>
        <v>0</v>
      </c>
    </row>
    <row r="23" spans="1:14" ht="13.5" thickBot="1">
      <c r="A23" s="826"/>
      <c r="B23" s="164" t="s">
        <v>2</v>
      </c>
      <c r="C23" s="98">
        <f>SUM(C16:C22)</f>
        <v>22959</v>
      </c>
      <c r="D23" s="110">
        <f>SUM(D16:D22)</f>
        <v>0</v>
      </c>
      <c r="E23" s="111">
        <f>SUM(E18:E22)</f>
        <v>0</v>
      </c>
      <c r="F23" s="101">
        <f>SUM(F15:F22)</f>
        <v>5</v>
      </c>
      <c r="G23" s="158"/>
      <c r="H23" s="165"/>
      <c r="I23" s="167"/>
      <c r="J23" s="211">
        <f>+'18'!J23</f>
        <v>0</v>
      </c>
      <c r="K23" s="234"/>
      <c r="L23" s="234"/>
      <c r="M23" s="116">
        <f>+K23+'18'!M23+L23</f>
        <v>0</v>
      </c>
    </row>
    <row r="24" spans="1:14" ht="13.5" customHeight="1" thickBot="1">
      <c r="A24" s="830" t="s">
        <v>432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+'18'!J24</f>
        <v>0</v>
      </c>
      <c r="K24" s="234"/>
      <c r="L24" s="234"/>
      <c r="M24" s="116">
        <f>+K24+'18'!M24+L24</f>
        <v>0</v>
      </c>
    </row>
    <row r="25" spans="1:14" ht="13.5" thickBot="1">
      <c r="A25" s="831"/>
      <c r="B25" s="212" t="s">
        <v>380</v>
      </c>
      <c r="C25" s="221">
        <v>16865</v>
      </c>
      <c r="D25" s="214"/>
      <c r="E25" s="220"/>
      <c r="F25" s="226">
        <v>1</v>
      </c>
      <c r="G25" s="227" t="s">
        <v>11</v>
      </c>
      <c r="H25" s="225" t="s">
        <v>419</v>
      </c>
      <c r="I25" s="828"/>
      <c r="J25" s="211">
        <f>+'18'!J25</f>
        <v>0</v>
      </c>
      <c r="K25" s="234"/>
      <c r="L25" s="234"/>
      <c r="M25" s="116">
        <f>+K25+'18'!M25+L25</f>
        <v>0</v>
      </c>
    </row>
    <row r="26" spans="1:14" ht="13.5" thickBot="1">
      <c r="A26" s="831"/>
      <c r="B26" s="212"/>
      <c r="C26" s="221"/>
      <c r="D26" s="214"/>
      <c r="E26" s="222"/>
      <c r="F26" s="226">
        <v>5</v>
      </c>
      <c r="G26" s="227" t="s">
        <v>11</v>
      </c>
      <c r="H26" s="228" t="s">
        <v>418</v>
      </c>
      <c r="I26" s="828"/>
      <c r="J26" s="211">
        <f>+'18'!J26</f>
        <v>0</v>
      </c>
      <c r="K26" s="234"/>
      <c r="L26" s="234"/>
      <c r="M26" s="116">
        <f>+K26+'18'!M26+L26</f>
        <v>0</v>
      </c>
    </row>
    <row r="27" spans="1:14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+'18'!J27</f>
        <v>0</v>
      </c>
      <c r="K27" s="234"/>
      <c r="L27" s="234"/>
      <c r="M27" s="116">
        <f>+K27+'18'!M27+L27</f>
        <v>0</v>
      </c>
    </row>
    <row r="28" spans="1:14" ht="13.5" thickBot="1">
      <c r="A28" s="831"/>
      <c r="B28" s="212"/>
      <c r="C28" s="213"/>
      <c r="D28" s="214"/>
      <c r="E28" s="220"/>
      <c r="F28" s="223"/>
      <c r="G28" s="227"/>
      <c r="H28" s="225" t="s">
        <v>668</v>
      </c>
      <c r="I28" s="828"/>
      <c r="J28" s="211">
        <f>+'18'!J28</f>
        <v>0</v>
      </c>
      <c r="K28" s="234"/>
      <c r="L28" s="234"/>
      <c r="M28" s="116">
        <f>+K28+'18'!M28+L28</f>
        <v>0</v>
      </c>
    </row>
    <row r="29" spans="1:14" ht="13.5" thickBot="1">
      <c r="A29" s="831"/>
      <c r="B29" s="212"/>
      <c r="C29" s="213"/>
      <c r="D29" s="214"/>
      <c r="E29" s="220"/>
      <c r="F29" s="231"/>
      <c r="G29" s="227"/>
      <c r="H29" s="228" t="s">
        <v>669</v>
      </c>
      <c r="I29" s="828"/>
      <c r="J29" s="211">
        <f>+'18'!J29</f>
        <v>0</v>
      </c>
      <c r="K29" s="234"/>
      <c r="L29" s="234"/>
      <c r="M29" s="116">
        <f>+K29+'18'!M29+L29</f>
        <v>0</v>
      </c>
    </row>
    <row r="30" spans="1:14" ht="13.5" thickBot="1">
      <c r="A30" s="831"/>
      <c r="B30" s="212"/>
      <c r="C30" s="221"/>
      <c r="D30" s="214"/>
      <c r="E30" s="220"/>
      <c r="F30" s="231"/>
      <c r="G30" s="227"/>
      <c r="H30" s="228" t="s">
        <v>670</v>
      </c>
      <c r="I30" s="828"/>
      <c r="J30" s="211">
        <f>+'18'!J30</f>
        <v>0</v>
      </c>
      <c r="K30" s="234"/>
      <c r="L30" s="234"/>
      <c r="M30" s="116">
        <f>+K30+'18'!M30+L30</f>
        <v>0</v>
      </c>
      <c r="N30" s="154"/>
    </row>
    <row r="31" spans="1:14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+'18'!J31</f>
        <v>0</v>
      </c>
      <c r="K31" s="234"/>
      <c r="L31" s="234"/>
      <c r="M31" s="116">
        <f>+K31+'18'!M31+L31</f>
        <v>0</v>
      </c>
    </row>
    <row r="32" spans="1:14" ht="13.5" thickBot="1">
      <c r="A32" s="832"/>
      <c r="B32" s="164" t="s">
        <v>2</v>
      </c>
      <c r="C32" s="98">
        <f>SUM(C25:C31)</f>
        <v>16865</v>
      </c>
      <c r="D32" s="99">
        <f>SUM(D25:D31)</f>
        <v>0</v>
      </c>
      <c r="E32" s="100">
        <f>SUM(E25:E31)</f>
        <v>0</v>
      </c>
      <c r="F32" s="98">
        <f>SUM(F24:F31)</f>
        <v>6</v>
      </c>
      <c r="G32" s="168"/>
      <c r="H32" s="169"/>
      <c r="I32" s="167"/>
      <c r="J32" s="211">
        <f>+'18'!J32</f>
        <v>0</v>
      </c>
      <c r="K32" s="236"/>
      <c r="L32" s="238"/>
      <c r="M32" s="116">
        <f>+K32+'18'!M32+L32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54652</v>
      </c>
      <c r="D34" s="106">
        <f>D14+D23+D32</f>
        <v>0</v>
      </c>
      <c r="E34" s="106">
        <f>E14+E23+E32</f>
        <v>0</v>
      </c>
      <c r="F34" s="107">
        <f>F14+F23+F32</f>
        <v>21</v>
      </c>
      <c r="H34" s="175"/>
      <c r="I34" s="175"/>
      <c r="J34" s="122" t="s">
        <v>27</v>
      </c>
      <c r="K34" s="123">
        <f>SUM(K7:K32)</f>
        <v>54652</v>
      </c>
      <c r="L34" s="209">
        <f>SUM(L7:L32)</f>
        <v>0</v>
      </c>
      <c r="M34" s="119">
        <f>SUM(M7:M32)</f>
        <v>888519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+I37+'18'!J37</f>
        <v>1005.1964032213908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21</v>
      </c>
      <c r="D38" s="117">
        <f>+C38+'18'!D38</f>
        <v>789</v>
      </c>
      <c r="E38" s="142">
        <f t="shared" ref="E38:E51" si="0">D38/60</f>
        <v>13.15</v>
      </c>
      <c r="F38" s="320">
        <v>1350</v>
      </c>
      <c r="G38" s="320">
        <f>+F38-F38*0.25</f>
        <v>1012.5</v>
      </c>
      <c r="H38" s="184" t="s">
        <v>60</v>
      </c>
      <c r="I38" s="501">
        <f>16.817+16.169+16.817</f>
        <v>49.803000000000004</v>
      </c>
      <c r="J38" s="126">
        <f>+I38+'18'!J38</f>
        <v>932.75999999999976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+C39+'18'!D39</f>
        <v>0</v>
      </c>
      <c r="E39" s="142">
        <f t="shared" si="0"/>
        <v>0</v>
      </c>
      <c r="F39" s="320">
        <v>1350</v>
      </c>
      <c r="G39" s="320">
        <f>+F39-F39*0.25</f>
        <v>1012.5</v>
      </c>
      <c r="H39" s="184" t="s">
        <v>61</v>
      </c>
      <c r="I39" s="141"/>
      <c r="J39" s="128">
        <f>J37/G4</f>
        <v>52.905073853757415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+C40+'18'!D40</f>
        <v>0</v>
      </c>
      <c r="E40" s="142">
        <f t="shared" ca="1" si="0"/>
        <v>0</v>
      </c>
      <c r="F40" s="320">
        <v>1350</v>
      </c>
      <c r="G40" s="320">
        <f>+F40-F40*0.25</f>
        <v>1012.5</v>
      </c>
      <c r="H40" s="184" t="s">
        <v>63</v>
      </c>
      <c r="I40" s="117">
        <f>(K34+L34)/1000</f>
        <v>54.652000000000001</v>
      </c>
      <c r="J40" s="130">
        <f>+I40+'18'!J40</f>
        <v>888.51900000000012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+C41+'18'!D41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46.764157894736847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+C42+'18'!D42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+C43+'18'!D43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+Report1!T27</f>
        <v>122.2</v>
      </c>
      <c r="J43" s="132">
        <f>+I43+'18'!J43</f>
        <v>2305.3999999999996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+C44+'18'!D44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2.453667449752023</v>
      </c>
      <c r="J44" s="133">
        <f>J43/J38</f>
        <v>2.4715896908100694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+C45+'18'!D45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2.235965746907707</v>
      </c>
      <c r="J45" s="133">
        <f>J43/J40</f>
        <v>2.5946547006873226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+C46+'18'!D46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+SUMIF(Listrik!AN26,"&gt;0")</f>
        <v>45466.081589716574</v>
      </c>
      <c r="J46" s="134">
        <f>+I46+'18'!J46</f>
        <v>885048.03798874642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+C47+'18'!D47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912.91853080570593</v>
      </c>
      <c r="J47" s="134">
        <f>J46/J38</f>
        <v>948.84861913970008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+C48+'18'!D48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831.91981244449562</v>
      </c>
      <c r="J48" s="134">
        <f>J46/J40</f>
        <v>996.09354216257202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+C49+'18'!D49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+I49+'18'!J49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+C50+'18'!D50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+C51+'18'!D51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21</v>
      </c>
      <c r="D52" s="143">
        <f ca="1">SUM(D38:D51)</f>
        <v>1559</v>
      </c>
      <c r="E52" s="144">
        <f ca="1">SUM(E38:E51)</f>
        <v>25.983333333333338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1.4583333333333334E-2</v>
      </c>
      <c r="D53" s="145">
        <f ca="1">D52/(24*60*G4)</f>
        <v>5.6980994152046785E-2</v>
      </c>
      <c r="E53" s="146">
        <f ca="1">E52/(G4*24)</f>
        <v>5.6980994152046792E-2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+D34+'18'!J56</f>
        <v>25819</v>
      </c>
      <c r="K56" s="198">
        <f>J56/(J40+J56/1000)/1000</f>
        <v>2.8237916394156209E-2</v>
      </c>
    </row>
    <row r="57" spans="1:11">
      <c r="A57" s="173"/>
      <c r="I57" s="196" t="s">
        <v>85</v>
      </c>
      <c r="J57" s="197">
        <f>+E34+'18'!J57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7" zoomScale="80" zoomScaleNormal="80" zoomScaleSheetLayoutView="80" workbookViewId="0">
      <selection activeCell="D17" sqref="D1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2.2851562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14062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18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465+455+473</f>
        <v>1393</v>
      </c>
    </row>
    <row r="7" spans="1:18" ht="13.5" customHeight="1" thickBot="1">
      <c r="A7" s="824" t="s">
        <v>353</v>
      </c>
      <c r="B7" s="212" t="s">
        <v>380</v>
      </c>
      <c r="C7" s="213">
        <v>12500</v>
      </c>
      <c r="D7" s="214"/>
      <c r="E7" s="215"/>
      <c r="F7" s="226"/>
      <c r="G7" s="224" t="s">
        <v>11</v>
      </c>
      <c r="H7" s="225" t="s">
        <v>385</v>
      </c>
      <c r="I7" s="827" t="s">
        <v>671</v>
      </c>
      <c r="J7" s="211" t="str">
        <f>+'17'!J7</f>
        <v>N 12 VP OW</v>
      </c>
      <c r="K7" s="233"/>
      <c r="L7" s="237"/>
      <c r="M7" s="116">
        <f>+K7+'17'!M7+L7</f>
        <v>107831</v>
      </c>
    </row>
    <row r="8" spans="1:18" ht="13.5" thickBot="1">
      <c r="A8" s="825"/>
      <c r="B8" s="212"/>
      <c r="C8" s="213"/>
      <c r="D8" s="214"/>
      <c r="E8" s="216"/>
      <c r="F8" s="226">
        <v>2</v>
      </c>
      <c r="G8" s="227" t="s">
        <v>11</v>
      </c>
      <c r="H8" s="225" t="s">
        <v>419</v>
      </c>
      <c r="I8" s="828"/>
      <c r="J8" s="211" t="str">
        <f>+'17'!J8</f>
        <v>F 12.5 VP OW</v>
      </c>
      <c r="K8" s="234"/>
      <c r="L8" s="234"/>
      <c r="M8" s="116">
        <f>+K8+'17'!M8+L8</f>
        <v>66421</v>
      </c>
      <c r="N8" s="148">
        <v>1350</v>
      </c>
      <c r="O8" s="148">
        <f>+N8-N8*0.25</f>
        <v>1012.5</v>
      </c>
    </row>
    <row r="9" spans="1:18" ht="13.5" thickBot="1">
      <c r="A9" s="825"/>
      <c r="B9" s="212"/>
      <c r="C9" s="213"/>
      <c r="D9" s="214"/>
      <c r="E9" s="217"/>
      <c r="F9" s="226">
        <v>10</v>
      </c>
      <c r="G9" s="227" t="s">
        <v>11</v>
      </c>
      <c r="H9" s="228" t="s">
        <v>418</v>
      </c>
      <c r="I9" s="828"/>
      <c r="J9" s="211" t="str">
        <f>+'17'!J9</f>
        <v>F 13 VP OW</v>
      </c>
      <c r="K9" s="234">
        <f>+C34</f>
        <v>51388</v>
      </c>
      <c r="L9" s="234"/>
      <c r="M9" s="116">
        <f>+K9+'17'!M9+L9</f>
        <v>108781</v>
      </c>
    </row>
    <row r="10" spans="1:18" ht="13.5" thickBot="1">
      <c r="A10" s="825"/>
      <c r="B10" s="212"/>
      <c r="C10" s="213"/>
      <c r="D10" s="214"/>
      <c r="E10" s="216"/>
      <c r="F10" s="226"/>
      <c r="G10" s="224"/>
      <c r="H10" s="228" t="s">
        <v>636</v>
      </c>
      <c r="I10" s="828"/>
      <c r="J10" s="211" t="str">
        <f>+'17'!J10</f>
        <v>N 17 VP OW</v>
      </c>
      <c r="K10" s="234"/>
      <c r="L10" s="234"/>
      <c r="M10" s="116">
        <f>+K10+'17'!M10+L10</f>
        <v>76374</v>
      </c>
    </row>
    <row r="11" spans="1:18" ht="13.5" thickBot="1">
      <c r="A11" s="825"/>
      <c r="B11" s="212"/>
      <c r="C11" s="213"/>
      <c r="D11" s="214"/>
      <c r="E11" s="216"/>
      <c r="F11" s="468"/>
      <c r="G11" s="469"/>
      <c r="H11" s="225" t="s">
        <v>662</v>
      </c>
      <c r="I11" s="828"/>
      <c r="J11" s="211" t="str">
        <f>+'17'!J11</f>
        <v>N 17,5 VP OW</v>
      </c>
      <c r="K11" s="234"/>
      <c r="L11" s="234"/>
      <c r="M11" s="116">
        <f>+K11+'17'!M11+L11</f>
        <v>23535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+'17'!J12</f>
        <v>TW 17 VP OW</v>
      </c>
      <c r="K12" s="234"/>
      <c r="L12" s="234"/>
      <c r="M12" s="116">
        <f>+K12+'17'!M12+L12</f>
        <v>243570</v>
      </c>
      <c r="P12" s="173"/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+'17'!J13</f>
        <v>N 15,5 VP OW</v>
      </c>
      <c r="K13" s="234"/>
      <c r="L13" s="234"/>
      <c r="M13" s="116">
        <f>+K13+'17'!M13+L13</f>
        <v>40521</v>
      </c>
      <c r="Q13" s="173"/>
      <c r="R13" s="173"/>
    </row>
    <row r="14" spans="1:18" ht="13.5" thickBot="1">
      <c r="A14" s="826"/>
      <c r="B14" s="164" t="s">
        <v>2</v>
      </c>
      <c r="C14" s="98">
        <f>SUM(C7:C13)</f>
        <v>12500</v>
      </c>
      <c r="D14" s="110">
        <f>SUM(D7:D13)</f>
        <v>0</v>
      </c>
      <c r="E14" s="111">
        <f>SUM(E5:E13)</f>
        <v>0</v>
      </c>
      <c r="F14" s="101">
        <f>SUM(F6:F13)</f>
        <v>12</v>
      </c>
      <c r="G14" s="158"/>
      <c r="H14" s="165"/>
      <c r="I14" s="166"/>
      <c r="J14" s="211" t="str">
        <f>+'17'!J14</f>
        <v>N 11 VP OW</v>
      </c>
      <c r="K14" s="234"/>
      <c r="L14" s="234"/>
      <c r="M14" s="116">
        <f>+K14+'17'!M14+L14</f>
        <v>41975</v>
      </c>
    </row>
    <row r="15" spans="1:18" ht="13.5" thickBot="1">
      <c r="A15" s="830" t="s">
        <v>219</v>
      </c>
      <c r="B15" s="498"/>
      <c r="C15" s="112">
        <f>C14/($C$23+$D$23+$E$23)</f>
        <v>0.65658157369471581</v>
      </c>
      <c r="D15" s="113">
        <f>D14/($C$23+$D$23+$E$23)</f>
        <v>0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671</v>
      </c>
      <c r="J15" s="211" t="str">
        <f>+'17'!J15</f>
        <v>T 14 VP OW</v>
      </c>
      <c r="K15" s="234"/>
      <c r="L15" s="234"/>
      <c r="M15" s="116">
        <f>+K15+'17'!M15+L15</f>
        <v>8404</v>
      </c>
    </row>
    <row r="16" spans="1:18" ht="13.5" thickBot="1">
      <c r="A16" s="825"/>
      <c r="B16" s="212" t="s">
        <v>380</v>
      </c>
      <c r="C16" s="221">
        <v>18738</v>
      </c>
      <c r="D16" s="218">
        <v>300</v>
      </c>
      <c r="E16" s="219"/>
      <c r="F16" s="226"/>
      <c r="G16" s="227" t="s">
        <v>11</v>
      </c>
      <c r="H16" s="225" t="s">
        <v>399</v>
      </c>
      <c r="I16" s="828"/>
      <c r="J16" s="211" t="str">
        <f>+'17'!J16</f>
        <v>T 16 VP OW</v>
      </c>
      <c r="K16" s="224"/>
      <c r="L16" s="224"/>
      <c r="M16" s="116">
        <f>+K16+'17'!M16+L16</f>
        <v>62166</v>
      </c>
      <c r="N16" s="173"/>
      <c r="O16" s="173"/>
      <c r="P16" s="173"/>
    </row>
    <row r="17" spans="1:16" ht="13.5" thickBot="1">
      <c r="A17" s="825"/>
      <c r="B17" s="212"/>
      <c r="C17" s="221"/>
      <c r="D17" s="214"/>
      <c r="E17" s="220"/>
      <c r="F17" s="226">
        <v>5</v>
      </c>
      <c r="G17" s="227" t="s">
        <v>11</v>
      </c>
      <c r="H17" s="228" t="s">
        <v>400</v>
      </c>
      <c r="I17" s="828"/>
      <c r="J17" s="211" t="str">
        <f>+'17'!J17</f>
        <v>T 18 VP OW</v>
      </c>
      <c r="K17" s="224"/>
      <c r="L17" s="224"/>
      <c r="M17" s="116">
        <f>+K17+'17'!M17+L17</f>
        <v>44306</v>
      </c>
      <c r="N17" s="173"/>
      <c r="O17" s="173"/>
      <c r="P17" s="173"/>
    </row>
    <row r="18" spans="1:16" ht="13.5" thickBot="1">
      <c r="A18" s="825"/>
      <c r="B18" s="212"/>
      <c r="C18" s="213"/>
      <c r="D18" s="214"/>
      <c r="E18" s="220"/>
      <c r="F18" s="226"/>
      <c r="G18" s="224"/>
      <c r="H18" s="228" t="s">
        <v>636</v>
      </c>
      <c r="I18" s="828"/>
      <c r="J18" s="211" t="str">
        <f>+'17'!J18</f>
        <v>T 15 VP OW</v>
      </c>
      <c r="K18" s="234"/>
      <c r="L18" s="234"/>
      <c r="M18" s="116">
        <f>+K18+'17'!M18+L18</f>
        <v>9983</v>
      </c>
    </row>
    <row r="19" spans="1:16" ht="13.5" thickBot="1">
      <c r="A19" s="825"/>
      <c r="B19" s="212"/>
      <c r="C19" s="213"/>
      <c r="D19" s="214"/>
      <c r="E19" s="220"/>
      <c r="F19" s="223"/>
      <c r="G19" s="227"/>
      <c r="H19" s="225"/>
      <c r="I19" s="828"/>
      <c r="J19" s="211">
        <f>+'17'!J19</f>
        <v>0</v>
      </c>
      <c r="K19" s="234"/>
      <c r="L19" s="234"/>
      <c r="M19" s="116">
        <f>+K19+'17'!M19+L19</f>
        <v>0</v>
      </c>
    </row>
    <row r="20" spans="1:16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+'17'!J20</f>
        <v>0</v>
      </c>
      <c r="K20" s="235"/>
      <c r="L20" s="235"/>
      <c r="M20" s="116">
        <f>+K20+'17'!M20+L20</f>
        <v>0</v>
      </c>
    </row>
    <row r="21" spans="1:16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+'17'!J21</f>
        <v>0</v>
      </c>
      <c r="K21" s="234"/>
      <c r="L21" s="234"/>
      <c r="M21" s="116">
        <f>+K21+'17'!M21+L21</f>
        <v>0</v>
      </c>
    </row>
    <row r="22" spans="1:16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+'17'!J22</f>
        <v>0</v>
      </c>
      <c r="K22" s="234"/>
      <c r="L22" s="234"/>
      <c r="M22" s="116">
        <f>+K22+'17'!M22+L22</f>
        <v>0</v>
      </c>
    </row>
    <row r="23" spans="1:16" ht="13.5" thickBot="1">
      <c r="A23" s="826"/>
      <c r="B23" s="164" t="s">
        <v>2</v>
      </c>
      <c r="C23" s="98">
        <f>SUM(C16:C22)</f>
        <v>18738</v>
      </c>
      <c r="D23" s="110">
        <f>SUM(D16:D22)</f>
        <v>300</v>
      </c>
      <c r="E23" s="111">
        <f>SUM(E18:E22)</f>
        <v>0</v>
      </c>
      <c r="F23" s="101">
        <f>SUM(F15:F22)</f>
        <v>5</v>
      </c>
      <c r="G23" s="158"/>
      <c r="H23" s="165"/>
      <c r="I23" s="167"/>
      <c r="J23" s="211">
        <f>+'17'!J23</f>
        <v>0</v>
      </c>
      <c r="K23" s="234"/>
      <c r="L23" s="234"/>
      <c r="M23" s="116">
        <f>+K23+'17'!M23+L23</f>
        <v>0</v>
      </c>
    </row>
    <row r="24" spans="1:16" ht="13.5" thickBot="1">
      <c r="A24" s="830" t="s">
        <v>432</v>
      </c>
      <c r="B24" s="498"/>
      <c r="C24" s="112">
        <f>C23/($C$23+$D$23+$E$23)</f>
        <v>0.98424204223132683</v>
      </c>
      <c r="D24" s="113">
        <f>D23/($C$23+$D$23+$E$23)</f>
        <v>1.575795776867318E-2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671</v>
      </c>
      <c r="J24" s="211">
        <f>+'17'!J24</f>
        <v>0</v>
      </c>
      <c r="K24" s="234"/>
      <c r="L24" s="234"/>
      <c r="M24" s="116">
        <f>+K24+'17'!M24+L24</f>
        <v>0</v>
      </c>
    </row>
    <row r="25" spans="1:16" ht="13.5" thickBot="1">
      <c r="A25" s="831"/>
      <c r="B25" s="212" t="s">
        <v>380</v>
      </c>
      <c r="C25" s="221">
        <v>20150</v>
      </c>
      <c r="D25" s="214"/>
      <c r="E25" s="220"/>
      <c r="F25" s="226"/>
      <c r="G25" s="227" t="s">
        <v>11</v>
      </c>
      <c r="H25" s="225" t="s">
        <v>399</v>
      </c>
      <c r="I25" s="828"/>
      <c r="J25" s="211">
        <f>+'17'!J25</f>
        <v>0</v>
      </c>
      <c r="K25" s="234"/>
      <c r="L25" s="234"/>
      <c r="M25" s="116">
        <f>+K25+'17'!M25+L25</f>
        <v>0</v>
      </c>
      <c r="N25" s="173"/>
      <c r="O25" s="173"/>
      <c r="P25" s="173"/>
    </row>
    <row r="26" spans="1:16" ht="13.5" thickBot="1">
      <c r="A26" s="831"/>
      <c r="B26" s="212"/>
      <c r="C26" s="221"/>
      <c r="D26" s="214"/>
      <c r="E26" s="222"/>
      <c r="F26" s="226">
        <v>6</v>
      </c>
      <c r="G26" s="227" t="s">
        <v>11</v>
      </c>
      <c r="H26" s="228" t="s">
        <v>418</v>
      </c>
      <c r="I26" s="828"/>
      <c r="J26" s="211">
        <f>+'17'!J26</f>
        <v>0</v>
      </c>
      <c r="K26" s="234"/>
      <c r="L26" s="234"/>
      <c r="M26" s="116">
        <f>+K26+'17'!M26+L26</f>
        <v>0</v>
      </c>
    </row>
    <row r="27" spans="1:16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+'17'!J27</f>
        <v>0</v>
      </c>
      <c r="K27" s="234"/>
      <c r="L27" s="234"/>
      <c r="M27" s="116">
        <f>+K27+'17'!M27+L27</f>
        <v>0</v>
      </c>
    </row>
    <row r="28" spans="1:16" ht="13.5" thickBot="1">
      <c r="A28" s="831"/>
      <c r="B28" s="212"/>
      <c r="C28" s="213"/>
      <c r="D28" s="214"/>
      <c r="E28" s="220"/>
      <c r="F28" s="223"/>
      <c r="G28" s="227"/>
      <c r="H28" s="225" t="s">
        <v>663</v>
      </c>
      <c r="I28" s="828"/>
      <c r="J28" s="211">
        <f>+'17'!J28</f>
        <v>0</v>
      </c>
      <c r="K28" s="234"/>
      <c r="L28" s="234"/>
      <c r="M28" s="116">
        <f>+K28+'17'!M28+L28</f>
        <v>0</v>
      </c>
    </row>
    <row r="29" spans="1:16" ht="13.5" thickBot="1">
      <c r="A29" s="831"/>
      <c r="B29" s="212"/>
      <c r="C29" s="213"/>
      <c r="D29" s="214"/>
      <c r="E29" s="220"/>
      <c r="F29" s="223"/>
      <c r="G29" s="227"/>
      <c r="H29" s="228" t="s">
        <v>664</v>
      </c>
      <c r="I29" s="828"/>
      <c r="J29" s="211">
        <f>+'17'!J29</f>
        <v>0</v>
      </c>
      <c r="K29" s="234"/>
      <c r="L29" s="234"/>
      <c r="M29" s="116">
        <f>+K29+'17'!M29+L29</f>
        <v>0</v>
      </c>
    </row>
    <row r="30" spans="1:16" ht="13.5" thickBot="1">
      <c r="A30" s="831"/>
      <c r="B30" s="212"/>
      <c r="C30" s="221"/>
      <c r="D30" s="214"/>
      <c r="E30" s="220"/>
      <c r="F30" s="226"/>
      <c r="G30" s="227"/>
      <c r="H30" s="228" t="s">
        <v>665</v>
      </c>
      <c r="I30" s="828"/>
      <c r="J30" s="211">
        <f>+'17'!J30</f>
        <v>0</v>
      </c>
      <c r="K30" s="234"/>
      <c r="L30" s="234"/>
      <c r="M30" s="116">
        <f>+K30+'17'!M30+L30</f>
        <v>0</v>
      </c>
      <c r="N30" s="154"/>
    </row>
    <row r="31" spans="1:16" ht="13.5" thickBot="1">
      <c r="A31" s="831"/>
      <c r="B31" s="212"/>
      <c r="C31" s="221"/>
      <c r="D31" s="214"/>
      <c r="E31" s="220"/>
      <c r="F31" s="231"/>
      <c r="G31" s="227"/>
      <c r="H31" s="228"/>
      <c r="I31" s="829"/>
      <c r="J31" s="211">
        <f>+'17'!J31</f>
        <v>0</v>
      </c>
      <c r="K31" s="234"/>
      <c r="L31" s="234"/>
      <c r="M31" s="116">
        <f>+K31+'17'!M31+L31</f>
        <v>0</v>
      </c>
    </row>
    <row r="32" spans="1:16" ht="13.5" thickBot="1">
      <c r="A32" s="832"/>
      <c r="B32" s="164" t="s">
        <v>2</v>
      </c>
      <c r="C32" s="98">
        <f>SUM(C25:C31)</f>
        <v>20150</v>
      </c>
      <c r="D32" s="99">
        <f>SUM(D25:D31)</f>
        <v>0</v>
      </c>
      <c r="E32" s="100">
        <f>SUM(E25:E31)</f>
        <v>0</v>
      </c>
      <c r="F32" s="98">
        <f>SUM(F24:F31)</f>
        <v>6</v>
      </c>
      <c r="G32" s="168"/>
      <c r="H32" s="169"/>
      <c r="I32" s="167"/>
      <c r="J32" s="211">
        <f>+'17'!J32</f>
        <v>0</v>
      </c>
      <c r="K32" s="236"/>
      <c r="L32" s="238"/>
      <c r="M32" s="116">
        <f>+K32+'17'!M32+L32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51388</v>
      </c>
      <c r="D34" s="106">
        <f>D14+D23+D32</f>
        <v>300</v>
      </c>
      <c r="E34" s="106">
        <f>E14+E23+E32</f>
        <v>0</v>
      </c>
      <c r="F34" s="107">
        <f>F14+F23+F32</f>
        <v>23</v>
      </c>
      <c r="H34" s="175"/>
      <c r="I34" s="175"/>
      <c r="J34" s="122" t="s">
        <v>27</v>
      </c>
      <c r="K34" s="123">
        <f>SUM(K7:K32)</f>
        <v>51388</v>
      </c>
      <c r="L34" s="209">
        <f>SUM(L7:L32)</f>
        <v>0</v>
      </c>
      <c r="M34" s="119">
        <f>SUM(M7:M32)</f>
        <v>833867</v>
      </c>
      <c r="N34" s="154"/>
    </row>
    <row r="35" spans="1:14" ht="13.5" thickBot="1">
      <c r="A35" s="176"/>
      <c r="B35" s="177"/>
      <c r="C35" s="103">
        <f>C34/($C$34+$D$34+$E$34)</f>
        <v>0.99419594490017027</v>
      </c>
      <c r="D35" s="103">
        <f>D34/($C$34+$D$34+$E$34)</f>
        <v>5.8040550998297476E-3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+I37+'17'!J37</f>
        <v>951.17750322139079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23</v>
      </c>
      <c r="D38" s="117">
        <f>+C38+'17'!D38</f>
        <v>768</v>
      </c>
      <c r="E38" s="142">
        <f t="shared" ref="E38:E51" si="0">D38/60</f>
        <v>12.8</v>
      </c>
      <c r="F38" s="320">
        <v>1350</v>
      </c>
      <c r="G38" s="320">
        <f>+F38-F38*0.25</f>
        <v>1012.5</v>
      </c>
      <c r="H38" s="184" t="s">
        <v>60</v>
      </c>
      <c r="I38" s="501">
        <f>17.062+15.135+17.377</f>
        <v>49.573999999999998</v>
      </c>
      <c r="J38" s="126">
        <f>+I38+'17'!J38</f>
        <v>882.95699999999977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+C39+'17'!D39</f>
        <v>0</v>
      </c>
      <c r="E39" s="142">
        <f t="shared" si="0"/>
        <v>0</v>
      </c>
      <c r="F39" s="320">
        <v>1350</v>
      </c>
      <c r="G39" s="320">
        <f>+F39-F39*0.25</f>
        <v>1012.5</v>
      </c>
      <c r="H39" s="184" t="s">
        <v>61</v>
      </c>
      <c r="I39" s="141"/>
      <c r="J39" s="128">
        <f>J37/G4</f>
        <v>52.843194623410596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+C40+'17'!D40</f>
        <v>0</v>
      </c>
      <c r="E40" s="142">
        <f t="shared" ca="1" si="0"/>
        <v>0</v>
      </c>
      <c r="F40" s="320">
        <v>1350</v>
      </c>
      <c r="G40" s="320">
        <f>+F40-F40*0.25</f>
        <v>1012.5</v>
      </c>
      <c r="H40" s="184" t="s">
        <v>63</v>
      </c>
      <c r="I40" s="117">
        <f>(K34+L34)/1000</f>
        <v>51.387999999999998</v>
      </c>
      <c r="J40" s="130">
        <f>+I40+'17'!J40</f>
        <v>833.86700000000008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+C41+'17'!D41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46.325944444444445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+C42+'17'!D42</f>
        <v>0</v>
      </c>
      <c r="E42" s="142">
        <f t="shared" ca="1" si="0"/>
        <v>0</v>
      </c>
      <c r="F42" s="320">
        <f>+(F38*480+F39*480+F40*480)/1440</f>
        <v>1350</v>
      </c>
      <c r="G42" s="320">
        <f>+(G38*480+G39*480+G40*480)/1440</f>
        <v>1012.5</v>
      </c>
      <c r="H42" s="184" t="s">
        <v>66</v>
      </c>
      <c r="I42" s="241" t="s">
        <v>671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+C43+'17'!D43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+Report1!T26</f>
        <v>122.2</v>
      </c>
      <c r="J43" s="132">
        <f>+I43+'17'!J43</f>
        <v>2183.1999999999998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+C44+'17'!D44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2.4650018154677857</v>
      </c>
      <c r="J44" s="133">
        <f>J43/J38</f>
        <v>2.4726005909687565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+C45+'17'!D45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2.3779870786954156</v>
      </c>
      <c r="J45" s="133">
        <f>J43/J40</f>
        <v>2.6181633282046173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+C46+'17'!D46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+SUMIF(Listrik!AN25,"&gt;0")</f>
        <v>44126.786938472942</v>
      </c>
      <c r="J46" s="134">
        <f>+I46+'17'!J46</f>
        <v>839581.95639902982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+C47+'17'!D47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890.11955739849407</v>
      </c>
      <c r="J47" s="134">
        <f>J46/J38</f>
        <v>950.87524805741396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+C48+'17'!D48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858.69827466476499</v>
      </c>
      <c r="J48" s="134">
        <f>J46/J40</f>
        <v>1006.8535586598699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+C49+'17'!D49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+I49+'17'!J49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+C50+'17'!D50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+C51+'17'!D51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23</v>
      </c>
      <c r="D52" s="143">
        <f ca="1">SUM(D38:D51)</f>
        <v>1538</v>
      </c>
      <c r="E52" s="144">
        <f ca="1">SUM(E38:E51)</f>
        <v>25.633333333333336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1.5972222222222221E-2</v>
      </c>
      <c r="D53" s="145">
        <f ca="1">D52/(24*60*G4)</f>
        <v>5.9336419753086421E-2</v>
      </c>
      <c r="E53" s="146">
        <f ca="1">E52/(G4*24)</f>
        <v>5.9336419753086428E-2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+D34+'17'!J56</f>
        <v>25819</v>
      </c>
      <c r="K56" s="198">
        <f>J56/(J40+J56/1000)/1000</f>
        <v>3.0033058581854302E-2</v>
      </c>
    </row>
    <row r="57" spans="1:11">
      <c r="A57" s="173"/>
      <c r="I57" s="196" t="s">
        <v>85</v>
      </c>
      <c r="J57" s="197">
        <f>+E34+'17'!J57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9" zoomScale="80" zoomScaleNormal="80" zoomScaleSheetLayoutView="80" workbookViewId="0">
      <selection activeCell="D8" sqref="D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17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435+391+376</f>
        <v>1202</v>
      </c>
    </row>
    <row r="7" spans="1:18" ht="13.5" customHeight="1" thickBot="1">
      <c r="A7" s="824" t="s">
        <v>431</v>
      </c>
      <c r="B7" s="212" t="s">
        <v>380</v>
      </c>
      <c r="C7" s="213">
        <v>14098</v>
      </c>
      <c r="D7" s="214">
        <v>1685</v>
      </c>
      <c r="E7" s="215"/>
      <c r="F7" s="226">
        <v>9</v>
      </c>
      <c r="G7" s="224" t="s">
        <v>11</v>
      </c>
      <c r="H7" s="225" t="s">
        <v>585</v>
      </c>
      <c r="I7" s="827" t="s">
        <v>659</v>
      </c>
      <c r="J7" s="211" t="str">
        <f>+'16'!J7</f>
        <v>N 12 VP OW</v>
      </c>
      <c r="K7" s="233"/>
      <c r="L7" s="237"/>
      <c r="M7" s="116">
        <f>+K7+'16'!M7+L7</f>
        <v>107831</v>
      </c>
    </row>
    <row r="8" spans="1:18" ht="13.5" thickBot="1">
      <c r="A8" s="825"/>
      <c r="B8" s="212"/>
      <c r="C8" s="213"/>
      <c r="D8" s="214"/>
      <c r="E8" s="216"/>
      <c r="F8" s="226">
        <v>4</v>
      </c>
      <c r="G8" s="227" t="s">
        <v>11</v>
      </c>
      <c r="H8" s="225" t="s">
        <v>420</v>
      </c>
      <c r="I8" s="828"/>
      <c r="J8" s="211" t="str">
        <f>+'16'!J8</f>
        <v>F 12.5 VP OW</v>
      </c>
      <c r="K8" s="234"/>
      <c r="L8" s="234"/>
      <c r="M8" s="116">
        <f>+K8+'16'!M8+L8</f>
        <v>66421</v>
      </c>
      <c r="N8" s="148">
        <v>1350</v>
      </c>
      <c r="O8" s="148">
        <f>+N8-N8*0.25</f>
        <v>1012.5</v>
      </c>
    </row>
    <row r="9" spans="1:18" ht="13.5" thickBot="1">
      <c r="A9" s="825"/>
      <c r="B9" s="212"/>
      <c r="C9" s="213"/>
      <c r="D9" s="214"/>
      <c r="E9" s="217"/>
      <c r="F9" s="226">
        <f>32-13</f>
        <v>19</v>
      </c>
      <c r="G9" s="227" t="s">
        <v>11</v>
      </c>
      <c r="H9" s="228" t="s">
        <v>473</v>
      </c>
      <c r="I9" s="828"/>
      <c r="J9" s="211" t="str">
        <f>+'16'!J9</f>
        <v>F 13 VP OW</v>
      </c>
      <c r="K9" s="234">
        <f>+C34</f>
        <v>41672</v>
      </c>
      <c r="L9" s="234"/>
      <c r="M9" s="116">
        <f>+K9+'16'!M9+L9</f>
        <v>57393</v>
      </c>
      <c r="N9" s="148">
        <v>1350</v>
      </c>
      <c r="O9" s="148">
        <f>+N9-N9*0.25</f>
        <v>1012.5</v>
      </c>
    </row>
    <row r="10" spans="1:18" ht="51.75" thickBot="1">
      <c r="A10" s="825"/>
      <c r="B10" s="212"/>
      <c r="C10" s="213"/>
      <c r="D10" s="214"/>
      <c r="E10" s="216"/>
      <c r="F10" s="226"/>
      <c r="G10" s="224"/>
      <c r="H10" s="228" t="s">
        <v>654</v>
      </c>
      <c r="I10" s="828"/>
      <c r="J10" s="211" t="str">
        <f>+'16'!J10</f>
        <v>N 17 VP OW</v>
      </c>
      <c r="K10" s="234"/>
      <c r="L10" s="234"/>
      <c r="M10" s="116">
        <f>+K10+'16'!M10+L10</f>
        <v>76374</v>
      </c>
      <c r="N10" s="148">
        <v>1350</v>
      </c>
      <c r="O10" s="148">
        <f>+N10-N10*0.25</f>
        <v>1012.5</v>
      </c>
    </row>
    <row r="11" spans="1:18" ht="123" customHeight="1" thickBot="1">
      <c r="A11" s="825"/>
      <c r="B11" s="212"/>
      <c r="C11" s="213"/>
      <c r="D11" s="214"/>
      <c r="E11" s="216"/>
      <c r="F11" s="468"/>
      <c r="G11" s="469"/>
      <c r="H11" s="225" t="s">
        <v>655</v>
      </c>
      <c r="I11" s="828"/>
      <c r="J11" s="211" t="str">
        <f>+'16'!J11</f>
        <v>N 17,5 VP OW</v>
      </c>
      <c r="K11" s="234"/>
      <c r="L11" s="234"/>
      <c r="M11" s="116">
        <f>+K11+'16'!M11+L11</f>
        <v>23535</v>
      </c>
      <c r="P11" s="173"/>
    </row>
    <row r="12" spans="1:18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+'16'!J12</f>
        <v>TW 17 VP OW</v>
      </c>
      <c r="K12" s="234"/>
      <c r="L12" s="234"/>
      <c r="M12" s="116">
        <f>+K12+'16'!M12+L12</f>
        <v>243570</v>
      </c>
      <c r="Q12" s="173"/>
      <c r="R12" s="173"/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+'16'!J13</f>
        <v>N 15,5 VP OW</v>
      </c>
      <c r="K13" s="234"/>
      <c r="L13" s="234"/>
      <c r="M13" s="116">
        <f>+K13+'16'!M13+L13</f>
        <v>40521</v>
      </c>
    </row>
    <row r="14" spans="1:18" ht="13.5" thickBot="1">
      <c r="A14" s="826"/>
      <c r="B14" s="164" t="s">
        <v>2</v>
      </c>
      <c r="C14" s="98">
        <f>SUM(C7:C13)</f>
        <v>14098</v>
      </c>
      <c r="D14" s="110">
        <f>SUM(D7:D13)</f>
        <v>1685</v>
      </c>
      <c r="E14" s="111">
        <f>SUM(E5:E13)</f>
        <v>0</v>
      </c>
      <c r="F14" s="101">
        <f>SUM(F6:F13)</f>
        <v>32</v>
      </c>
      <c r="G14" s="158"/>
      <c r="H14" s="165"/>
      <c r="I14" s="166"/>
      <c r="J14" s="211" t="str">
        <f>+'16'!J14</f>
        <v>N 11 VP OW</v>
      </c>
      <c r="K14" s="234"/>
      <c r="L14" s="234"/>
      <c r="M14" s="116">
        <f>+K14+'16'!M14+L14</f>
        <v>41975</v>
      </c>
    </row>
    <row r="15" spans="1:18" ht="13.5" thickBot="1">
      <c r="A15" s="830" t="s">
        <v>219</v>
      </c>
      <c r="B15" s="498"/>
      <c r="C15" s="112">
        <f>C14/($C$23+$D$23+$E$23)</f>
        <v>0.82127461260631485</v>
      </c>
      <c r="D15" s="113">
        <f>D14/($C$23+$D$23+$E$23)</f>
        <v>9.8159151811720843E-2</v>
      </c>
      <c r="E15" s="114">
        <f>E14/($C$23+$D$23+$E$23)</f>
        <v>0</v>
      </c>
      <c r="F15" s="226"/>
      <c r="G15" s="224" t="s">
        <v>11</v>
      </c>
      <c r="H15" s="225" t="s">
        <v>385</v>
      </c>
      <c r="I15" s="827" t="s">
        <v>659</v>
      </c>
      <c r="J15" s="211" t="str">
        <f>+'16'!J15</f>
        <v>T 14 VP OW</v>
      </c>
      <c r="K15" s="234"/>
      <c r="L15" s="234"/>
      <c r="M15" s="116">
        <f>+K15+'16'!M15+L15</f>
        <v>8404</v>
      </c>
    </row>
    <row r="16" spans="1:18" ht="13.5" thickBot="1">
      <c r="A16" s="825"/>
      <c r="B16" s="212" t="s">
        <v>380</v>
      </c>
      <c r="C16" s="221">
        <v>16126</v>
      </c>
      <c r="D16" s="218">
        <v>1040</v>
      </c>
      <c r="E16" s="219"/>
      <c r="F16" s="226">
        <v>2</v>
      </c>
      <c r="G16" s="227" t="s">
        <v>11</v>
      </c>
      <c r="H16" s="225" t="s">
        <v>419</v>
      </c>
      <c r="I16" s="828"/>
      <c r="J16" s="211" t="str">
        <f>+'16'!J16</f>
        <v>T 16 VP OW</v>
      </c>
      <c r="K16" s="224"/>
      <c r="L16" s="224"/>
      <c r="M16" s="116">
        <f>+K16+'16'!M16+L16</f>
        <v>62166</v>
      </c>
    </row>
    <row r="17" spans="1:18" ht="13.5" thickBot="1">
      <c r="A17" s="825"/>
      <c r="B17" s="212"/>
      <c r="C17" s="221"/>
      <c r="D17" s="214"/>
      <c r="E17" s="220"/>
      <c r="F17" s="226">
        <v>4</v>
      </c>
      <c r="G17" s="227" t="s">
        <v>11</v>
      </c>
      <c r="H17" s="228" t="s">
        <v>375</v>
      </c>
      <c r="I17" s="828"/>
      <c r="J17" s="211" t="str">
        <f>+'16'!J17</f>
        <v>T 18 VP OW</v>
      </c>
      <c r="K17" s="224"/>
      <c r="L17" s="224"/>
      <c r="M17" s="116">
        <f>+K17+'16'!M17+L17</f>
        <v>44306</v>
      </c>
      <c r="P17" s="173"/>
    </row>
    <row r="18" spans="1:18" ht="51.75" thickBot="1">
      <c r="A18" s="825"/>
      <c r="B18" s="212"/>
      <c r="C18" s="213"/>
      <c r="D18" s="214"/>
      <c r="E18" s="220"/>
      <c r="F18" s="226"/>
      <c r="G18" s="224"/>
      <c r="H18" s="228" t="s">
        <v>654</v>
      </c>
      <c r="I18" s="828"/>
      <c r="J18" s="211" t="str">
        <f>+'16'!J18</f>
        <v>T 15 VP OW</v>
      </c>
      <c r="K18" s="234"/>
      <c r="L18" s="234"/>
      <c r="M18" s="116">
        <f>+K18+'16'!M18+L18</f>
        <v>9983</v>
      </c>
      <c r="Q18" s="173"/>
      <c r="R18" s="173"/>
    </row>
    <row r="19" spans="1:18" ht="26.25" thickBot="1">
      <c r="A19" s="825"/>
      <c r="B19" s="212"/>
      <c r="C19" s="213"/>
      <c r="D19" s="214"/>
      <c r="E19" s="220"/>
      <c r="F19" s="223"/>
      <c r="G19" s="227"/>
      <c r="H19" s="225" t="s">
        <v>658</v>
      </c>
      <c r="I19" s="828"/>
      <c r="J19" s="211">
        <f>+'16'!J19</f>
        <v>0</v>
      </c>
      <c r="K19" s="234"/>
      <c r="L19" s="234"/>
      <c r="M19" s="116">
        <f>+K19+'16'!M19+L19</f>
        <v>0</v>
      </c>
    </row>
    <row r="20" spans="1:18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+'16'!J20</f>
        <v>0</v>
      </c>
      <c r="K20" s="235"/>
      <c r="L20" s="235"/>
      <c r="M20" s="116">
        <f>+K20+'16'!M20+L20</f>
        <v>0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+'16'!J21</f>
        <v>0</v>
      </c>
      <c r="K21" s="234"/>
      <c r="L21" s="234"/>
      <c r="M21" s="116">
        <f>+K21+'16'!M21+L21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+'16'!J22</f>
        <v>0</v>
      </c>
      <c r="K22" s="234"/>
      <c r="L22" s="234"/>
      <c r="M22" s="116">
        <f>+K22+'16'!M22+L22</f>
        <v>0</v>
      </c>
    </row>
    <row r="23" spans="1:18" ht="13.5" thickBot="1">
      <c r="A23" s="826"/>
      <c r="B23" s="164" t="s">
        <v>2</v>
      </c>
      <c r="C23" s="98">
        <f>SUM(C16:C22)</f>
        <v>16126</v>
      </c>
      <c r="D23" s="110">
        <f>SUM(D16:D22)</f>
        <v>1040</v>
      </c>
      <c r="E23" s="111">
        <f>SUM(E18:E22)</f>
        <v>0</v>
      </c>
      <c r="F23" s="101">
        <f>SUM(F15:F22)</f>
        <v>6</v>
      </c>
      <c r="G23" s="158"/>
      <c r="H23" s="165"/>
      <c r="I23" s="167"/>
      <c r="J23" s="211">
        <f>+'16'!J23</f>
        <v>0</v>
      </c>
      <c r="K23" s="234"/>
      <c r="L23" s="234"/>
      <c r="M23" s="116">
        <f>+K23+'16'!M23+L23</f>
        <v>0</v>
      </c>
    </row>
    <row r="24" spans="1:18" ht="13.5" thickBot="1">
      <c r="A24" s="830" t="s">
        <v>432</v>
      </c>
      <c r="B24" s="498"/>
      <c r="C24" s="112">
        <f>C23/($C$23+$D$23+$E$23)</f>
        <v>0.93941512291739482</v>
      </c>
      <c r="D24" s="113">
        <f>D23/($C$23+$D$23+$E$23)</f>
        <v>6.0584877082605147E-2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659</v>
      </c>
      <c r="J24" s="211">
        <f>+'16'!J24</f>
        <v>0</v>
      </c>
      <c r="K24" s="234"/>
      <c r="L24" s="234"/>
      <c r="M24" s="116">
        <f>+K24+'16'!M24+L24</f>
        <v>0</v>
      </c>
    </row>
    <row r="25" spans="1:18" ht="13.5" thickBot="1">
      <c r="A25" s="831"/>
      <c r="B25" s="212" t="s">
        <v>380</v>
      </c>
      <c r="C25" s="221">
        <v>11448</v>
      </c>
      <c r="D25" s="214">
        <f>281+290</f>
        <v>571</v>
      </c>
      <c r="E25" s="220"/>
      <c r="F25" s="226"/>
      <c r="G25" s="227" t="s">
        <v>11</v>
      </c>
      <c r="H25" s="225" t="s">
        <v>419</v>
      </c>
      <c r="I25" s="828"/>
      <c r="J25" s="211">
        <f>+'16'!J25</f>
        <v>0</v>
      </c>
      <c r="K25" s="234"/>
      <c r="L25" s="234"/>
      <c r="M25" s="116">
        <f>+K25+'16'!M25+L25</f>
        <v>0</v>
      </c>
    </row>
    <row r="26" spans="1:18" ht="13.5" thickBot="1">
      <c r="A26" s="831"/>
      <c r="B26" s="212"/>
      <c r="C26" s="221"/>
      <c r="D26" s="214"/>
      <c r="E26" s="222"/>
      <c r="F26" s="226">
        <v>7</v>
      </c>
      <c r="G26" s="227" t="s">
        <v>11</v>
      </c>
      <c r="H26" s="228" t="s">
        <v>400</v>
      </c>
      <c r="I26" s="828"/>
      <c r="J26" s="211">
        <f>+'16'!J26</f>
        <v>0</v>
      </c>
      <c r="K26" s="234"/>
      <c r="L26" s="234"/>
      <c r="M26" s="116">
        <f>+K26+'16'!M26+L26</f>
        <v>0</v>
      </c>
    </row>
    <row r="27" spans="1:18" ht="51.75" thickBot="1">
      <c r="A27" s="831"/>
      <c r="B27" s="212"/>
      <c r="C27" s="213"/>
      <c r="D27" s="214"/>
      <c r="E27" s="220"/>
      <c r="F27" s="226"/>
      <c r="G27" s="224"/>
      <c r="H27" s="228" t="s">
        <v>656</v>
      </c>
      <c r="I27" s="828"/>
      <c r="J27" s="211">
        <f>+'16'!J27</f>
        <v>0</v>
      </c>
      <c r="K27" s="234"/>
      <c r="L27" s="234"/>
      <c r="M27" s="116">
        <f>+K27+'16'!M27+L27</f>
        <v>0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657</v>
      </c>
      <c r="I28" s="828"/>
      <c r="J28" s="211">
        <f>+'16'!J28</f>
        <v>0</v>
      </c>
      <c r="K28" s="234"/>
      <c r="L28" s="234"/>
      <c r="M28" s="116">
        <f>+K28+'16'!M28+L28</f>
        <v>0</v>
      </c>
      <c r="P28" s="173"/>
    </row>
    <row r="29" spans="1:18" ht="13.5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+'16'!J29</f>
        <v>0</v>
      </c>
      <c r="K29" s="234"/>
      <c r="L29" s="234"/>
      <c r="M29" s="116">
        <f>+K29+'16'!M29+L29</f>
        <v>0</v>
      </c>
      <c r="Q29" s="173"/>
      <c r="R29" s="173"/>
    </row>
    <row r="30" spans="1:18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+'16'!J30</f>
        <v>0</v>
      </c>
      <c r="K30" s="234"/>
      <c r="L30" s="234"/>
      <c r="M30" s="116">
        <f>+K30+'16'!M30+L30</f>
        <v>0</v>
      </c>
      <c r="N30" s="154"/>
    </row>
    <row r="31" spans="1:18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+'16'!J31</f>
        <v>0</v>
      </c>
      <c r="K31" s="234"/>
      <c r="L31" s="234"/>
      <c r="M31" s="116">
        <f>+K31+'16'!M31+L31</f>
        <v>0</v>
      </c>
    </row>
    <row r="32" spans="1:18" ht="13.5" thickBot="1">
      <c r="A32" s="832"/>
      <c r="B32" s="164" t="s">
        <v>2</v>
      </c>
      <c r="C32" s="98">
        <f>SUM(C25:C31)</f>
        <v>11448</v>
      </c>
      <c r="D32" s="99">
        <f>SUM(D25:D31)</f>
        <v>571</v>
      </c>
      <c r="E32" s="100">
        <f>SUM(E25:E31)</f>
        <v>0</v>
      </c>
      <c r="F32" s="98">
        <f>SUM(F24:F31)</f>
        <v>7</v>
      </c>
      <c r="G32" s="168"/>
      <c r="H32" s="169"/>
      <c r="I32" s="167"/>
      <c r="J32" s="211">
        <f>+'16'!J32</f>
        <v>0</v>
      </c>
      <c r="K32" s="236"/>
      <c r="L32" s="238"/>
      <c r="M32" s="116">
        <f>+K32+'16'!M32+L32</f>
        <v>0</v>
      </c>
    </row>
    <row r="33" spans="1:14" ht="13.5" thickBot="1">
      <c r="A33" s="170"/>
      <c r="B33" s="171"/>
      <c r="C33" s="102">
        <f>C32/($C$32+$D$32+$E$32)</f>
        <v>0.95249188784424665</v>
      </c>
      <c r="D33" s="103">
        <f>D32/($C$32+$D$32+$E$32)</f>
        <v>4.7508112155753388E-2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41672</v>
      </c>
      <c r="D34" s="106">
        <f>D14+D23+D32</f>
        <v>3296</v>
      </c>
      <c r="E34" s="106">
        <f>E14+E23+E32</f>
        <v>0</v>
      </c>
      <c r="F34" s="107">
        <f>F14+F23+F32</f>
        <v>45</v>
      </c>
      <c r="H34" s="175"/>
      <c r="I34" s="175"/>
      <c r="J34" s="122" t="s">
        <v>27</v>
      </c>
      <c r="K34" s="123">
        <f>SUM(K7:K32)</f>
        <v>41672</v>
      </c>
      <c r="L34" s="209">
        <f>SUM(L7:L32)</f>
        <v>0</v>
      </c>
      <c r="M34" s="119">
        <f>SUM(M7:M32)</f>
        <v>782479</v>
      </c>
      <c r="N34" s="154"/>
    </row>
    <row r="35" spans="1:14" ht="13.5" thickBot="1">
      <c r="A35" s="176"/>
      <c r="B35" s="177"/>
      <c r="C35" s="103">
        <f>C34/($C$34+$D$34+$E$34)</f>
        <v>0.92670343355274865</v>
      </c>
      <c r="D35" s="103">
        <f>D34/($C$34+$D$34+$E$34)</f>
        <v>7.3296566447251382E-2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(13*1440)/1440*G42*2.85*1440/1000000</f>
        <v>54.018900000000002</v>
      </c>
      <c r="J37" s="124">
        <f>+I37+'16'!J37</f>
        <v>897.15860322139076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45</v>
      </c>
      <c r="D38" s="117">
        <f>+C38+'16'!D38</f>
        <v>745</v>
      </c>
      <c r="E38" s="142">
        <f t="shared" ref="E38:E51" si="0">D38/60</f>
        <v>12.416666666666666</v>
      </c>
      <c r="F38" s="320">
        <v>1350</v>
      </c>
      <c r="G38" s="320">
        <v>1012.5</v>
      </c>
      <c r="H38" s="184" t="s">
        <v>60</v>
      </c>
      <c r="I38" s="501">
        <f>13.804+18.288+15.626</f>
        <v>47.717999999999996</v>
      </c>
      <c r="J38" s="126">
        <f>+I38+'16'!J38</f>
        <v>833.38299999999981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+C39+'16'!D39</f>
        <v>0</v>
      </c>
      <c r="E39" s="142">
        <f t="shared" si="0"/>
        <v>0</v>
      </c>
      <c r="F39" s="320">
        <v>1350</v>
      </c>
      <c r="G39" s="320">
        <v>1012.5</v>
      </c>
      <c r="H39" s="184" t="s">
        <v>61</v>
      </c>
      <c r="I39" s="141"/>
      <c r="J39" s="128">
        <f>J37/G4</f>
        <v>52.774035483611222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+C40+'16'!D40</f>
        <v>0</v>
      </c>
      <c r="E40" s="142">
        <f t="shared" ca="1" si="0"/>
        <v>0</v>
      </c>
      <c r="F40" s="320">
        <v>1350</v>
      </c>
      <c r="G40" s="320">
        <v>1012.5</v>
      </c>
      <c r="H40" s="184" t="s">
        <v>63</v>
      </c>
      <c r="I40" s="117">
        <f>(K34+L34)/1000</f>
        <v>41.671999999999997</v>
      </c>
      <c r="J40" s="130">
        <f>+I40+'16'!J40</f>
        <v>782.47900000000004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+C41+'16'!D41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46.028176470588235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+C42+'16'!D42</f>
        <v>0</v>
      </c>
      <c r="E42" s="142">
        <f t="shared" ca="1" si="0"/>
        <v>0</v>
      </c>
      <c r="F42" s="320">
        <f>+(480*F38+480*F39+480*F40)/1440</f>
        <v>1350</v>
      </c>
      <c r="G42" s="320">
        <f>+(480*G38+480*G39+480*G40)/1440</f>
        <v>1012.5</v>
      </c>
      <c r="H42" s="184" t="s">
        <v>66</v>
      </c>
      <c r="I42" s="241" t="s">
        <v>659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+C43+'16'!D43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+Report1!T25</f>
        <v>125.7</v>
      </c>
      <c r="J43" s="132">
        <f>+I43+'16'!J43</f>
        <v>2061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+C44+'16'!D44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2.6342260782094811</v>
      </c>
      <c r="J44" s="133">
        <f>J43/J38</f>
        <v>2.4730526060646789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+C45+'16'!D45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3.0164138990209257</v>
      </c>
      <c r="J45" s="133">
        <f>J43/J40</f>
        <v>2.6339365018102723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+C46+'16'!D46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+SUMIF(Listrik!AN24,"&gt;0")</f>
        <v>48839.192611495702</v>
      </c>
      <c r="J46" s="134">
        <f>+I46+'16'!J46</f>
        <v>795455.16946055694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+C47+'16'!D47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1023.4962196968797</v>
      </c>
      <c r="J47" s="134">
        <f>J46/J38</f>
        <v>954.48931578944746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+C48+'16'!D48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1171.9906078780884</v>
      </c>
      <c r="J48" s="134">
        <f>J46/J40</f>
        <v>1016.5834092168056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+C49+'16'!D49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+I49+'16'!J49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+C50+'16'!D50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+C51+'16'!D51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45</v>
      </c>
      <c r="D52" s="143">
        <f ca="1">SUM(D38:D51)</f>
        <v>1515</v>
      </c>
      <c r="E52" s="144">
        <f ca="1">SUM(E38:E51)</f>
        <v>25.250000000000004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3.125E-2</v>
      </c>
      <c r="D53" s="145">
        <f ca="1">D52/(24*60*G4)</f>
        <v>6.1887254901960786E-2</v>
      </c>
      <c r="E53" s="146">
        <f ca="1">E52/(G4*24)</f>
        <v>6.1887254901960793E-2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+D34+'16'!J56</f>
        <v>25519</v>
      </c>
      <c r="K56" s="198">
        <f>J56/(J40+J56/1000)/1000</f>
        <v>3.1582998967819229E-2</v>
      </c>
    </row>
    <row r="57" spans="1:11">
      <c r="A57" s="173"/>
      <c r="I57" s="196" t="s">
        <v>85</v>
      </c>
      <c r="J57" s="197">
        <f>+E34+'16'!J57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4" zoomScale="80" zoomScaleNormal="80" zoomScaleSheetLayoutView="80" workbookViewId="0">
      <selection activeCell="D17" sqref="D1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16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388+338+342</f>
        <v>1068</v>
      </c>
    </row>
    <row r="7" spans="1:18" ht="13.5" customHeight="1" thickBot="1">
      <c r="A7" s="824" t="s">
        <v>431</v>
      </c>
      <c r="B7" s="212" t="s">
        <v>615</v>
      </c>
      <c r="C7" s="213">
        <v>14784</v>
      </c>
      <c r="D7" s="214"/>
      <c r="E7" s="215"/>
      <c r="F7" s="226"/>
      <c r="G7" s="224" t="s">
        <v>11</v>
      </c>
      <c r="H7" s="225" t="s">
        <v>385</v>
      </c>
      <c r="I7" s="827" t="s">
        <v>640</v>
      </c>
      <c r="J7" s="211" t="str">
        <f>+'15'!J7</f>
        <v>N 12 VP OW</v>
      </c>
      <c r="K7" s="233"/>
      <c r="L7" s="237"/>
      <c r="M7" s="116">
        <f>+K7+'15'!M7+L7</f>
        <v>107831</v>
      </c>
    </row>
    <row r="8" spans="1:18" ht="13.5" thickBot="1">
      <c r="A8" s="825"/>
      <c r="B8" s="212"/>
      <c r="C8" s="213"/>
      <c r="D8" s="214"/>
      <c r="E8" s="216"/>
      <c r="F8" s="226">
        <v>1</v>
      </c>
      <c r="G8" s="227" t="s">
        <v>11</v>
      </c>
      <c r="H8" s="225" t="s">
        <v>419</v>
      </c>
      <c r="I8" s="828"/>
      <c r="J8" s="211" t="str">
        <f>+'15'!J8</f>
        <v>F 12.5 VP OW</v>
      </c>
      <c r="K8" s="234"/>
      <c r="L8" s="234"/>
      <c r="M8" s="116">
        <f>+K8+'15'!M8+L8</f>
        <v>66421</v>
      </c>
      <c r="N8" s="148">
        <v>1180</v>
      </c>
      <c r="O8" s="148">
        <f>+N8-N8*0.25</f>
        <v>885</v>
      </c>
      <c r="P8" s="148">
        <v>290</v>
      </c>
      <c r="Q8" s="148">
        <f>+N8*P8</f>
        <v>342200</v>
      </c>
      <c r="R8" s="148">
        <f>+O8*P8</f>
        <v>256650</v>
      </c>
    </row>
    <row r="9" spans="1:18" ht="13.5" thickBot="1">
      <c r="A9" s="825"/>
      <c r="B9" s="212"/>
      <c r="C9" s="213"/>
      <c r="D9" s="214"/>
      <c r="E9" s="217"/>
      <c r="F9" s="226">
        <v>7</v>
      </c>
      <c r="G9" s="227" t="s">
        <v>11</v>
      </c>
      <c r="H9" s="228" t="s">
        <v>400</v>
      </c>
      <c r="I9" s="828"/>
      <c r="J9" s="211" t="str">
        <f>+'15'!J9</f>
        <v>F 13 VP OW</v>
      </c>
      <c r="K9" s="234">
        <f>+C18+C25</f>
        <v>11566</v>
      </c>
      <c r="L9" s="234"/>
      <c r="M9" s="116">
        <f>+K9+'15'!M9+L9</f>
        <v>15721</v>
      </c>
      <c r="N9" s="148">
        <v>1200</v>
      </c>
      <c r="O9" s="148">
        <f>+N9-N9*0.25</f>
        <v>900</v>
      </c>
      <c r="P9" s="148">
        <f>10+180</f>
        <v>190</v>
      </c>
      <c r="Q9" s="148">
        <f>+N9*P9</f>
        <v>228000</v>
      </c>
      <c r="R9" s="148">
        <f>+O9*P9</f>
        <v>171000</v>
      </c>
    </row>
    <row r="10" spans="1:18" ht="13.5" thickBot="1">
      <c r="A10" s="825"/>
      <c r="B10" s="212"/>
      <c r="C10" s="213"/>
      <c r="D10" s="214"/>
      <c r="E10" s="216"/>
      <c r="F10" s="226"/>
      <c r="G10" s="224"/>
      <c r="H10" s="228" t="s">
        <v>647</v>
      </c>
      <c r="I10" s="828"/>
      <c r="J10" s="211" t="str">
        <f>+'15'!J10</f>
        <v>N 17 VP OW</v>
      </c>
      <c r="K10" s="234"/>
      <c r="L10" s="234"/>
      <c r="M10" s="116">
        <f>+K10+'15'!M10+L10</f>
        <v>76374</v>
      </c>
      <c r="P10" s="148">
        <f>SUM(P8:P9)</f>
        <v>480</v>
      </c>
      <c r="Q10" s="148">
        <f>SUM(Q8:Q9)</f>
        <v>570200</v>
      </c>
      <c r="R10" s="148">
        <f>SUM(R8:R9)</f>
        <v>427650</v>
      </c>
    </row>
    <row r="11" spans="1:18" ht="13.5" thickBot="1">
      <c r="A11" s="825"/>
      <c r="B11" s="212"/>
      <c r="C11" s="213"/>
      <c r="D11" s="214"/>
      <c r="E11" s="216"/>
      <c r="F11" s="468"/>
      <c r="G11" s="469"/>
      <c r="H11" s="225" t="s">
        <v>639</v>
      </c>
      <c r="I11" s="828"/>
      <c r="J11" s="211" t="str">
        <f>+'15'!J11</f>
        <v>N 17,5 VP OW</v>
      </c>
      <c r="K11" s="234"/>
      <c r="L11" s="234"/>
      <c r="M11" s="116">
        <f>+K11+'15'!M11+L11</f>
        <v>23535</v>
      </c>
      <c r="Q11" s="148">
        <f>+Q10/P10</f>
        <v>1187.9166666666667</v>
      </c>
      <c r="R11" s="148">
        <f>+R10/P10</f>
        <v>890.9375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 t="s">
        <v>638</v>
      </c>
      <c r="I12" s="828"/>
      <c r="J12" s="211" t="str">
        <f>+'15'!J12</f>
        <v>TW 17 VP OW</v>
      </c>
      <c r="K12" s="234"/>
      <c r="L12" s="234"/>
      <c r="M12" s="116">
        <f>+K12+'15'!M12+L12</f>
        <v>243570</v>
      </c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+'15'!J13</f>
        <v>N 15,5 VP OW</v>
      </c>
      <c r="K13" s="234"/>
      <c r="L13" s="234"/>
      <c r="M13" s="116">
        <f>+K13+'15'!M13+L13</f>
        <v>40521</v>
      </c>
    </row>
    <row r="14" spans="1:18" ht="13.5" thickBot="1">
      <c r="A14" s="826"/>
      <c r="B14" s="164" t="s">
        <v>2</v>
      </c>
      <c r="C14" s="98">
        <f>SUM(C7:C13)</f>
        <v>14784</v>
      </c>
      <c r="D14" s="110">
        <f>SUM(D7:D13)</f>
        <v>0</v>
      </c>
      <c r="E14" s="111">
        <f>SUM(E5:E13)</f>
        <v>0</v>
      </c>
      <c r="F14" s="101">
        <f>SUM(F6:F13)</f>
        <v>8</v>
      </c>
      <c r="G14" s="158"/>
      <c r="H14" s="165"/>
      <c r="I14" s="166"/>
      <c r="J14" s="211" t="str">
        <f>+'15'!J14</f>
        <v>N 11 VP OW</v>
      </c>
      <c r="K14" s="234"/>
      <c r="L14" s="234"/>
      <c r="M14" s="116">
        <f>+K14+'15'!M14+L14</f>
        <v>41975</v>
      </c>
    </row>
    <row r="15" spans="1:18" ht="13.5" thickBot="1">
      <c r="A15" s="830" t="s">
        <v>219</v>
      </c>
      <c r="B15" s="498"/>
      <c r="C15" s="112">
        <f>C14/($C$23+$D$23+$E$23)</f>
        <v>0.84872840002296346</v>
      </c>
      <c r="D15" s="113">
        <f>D14/($C$23+$D$23+$E$23)</f>
        <v>0</v>
      </c>
      <c r="E15" s="114">
        <f>E14/($C$23+$D$23+$E$23)</f>
        <v>0</v>
      </c>
      <c r="F15" s="226">
        <v>10</v>
      </c>
      <c r="G15" s="224" t="s">
        <v>11</v>
      </c>
      <c r="H15" s="225" t="s">
        <v>564</v>
      </c>
      <c r="I15" s="827" t="s">
        <v>641</v>
      </c>
      <c r="J15" s="211" t="str">
        <f>+'15'!J15</f>
        <v>T 14 VP OW</v>
      </c>
      <c r="K15" s="234"/>
      <c r="L15" s="234"/>
      <c r="M15" s="116">
        <f>+K15+'15'!M15+L15</f>
        <v>8404</v>
      </c>
    </row>
    <row r="16" spans="1:18" ht="13.5" thickBot="1">
      <c r="A16" s="825"/>
      <c r="B16" s="500" t="s">
        <v>615</v>
      </c>
      <c r="C16" s="499">
        <v>3889</v>
      </c>
      <c r="D16" s="218"/>
      <c r="E16" s="219"/>
      <c r="F16" s="226"/>
      <c r="G16" s="227" t="s">
        <v>11</v>
      </c>
      <c r="H16" s="225" t="s">
        <v>399</v>
      </c>
      <c r="I16" s="828"/>
      <c r="J16" s="211" t="str">
        <f>+'15'!J16</f>
        <v>T 16 VP OW</v>
      </c>
      <c r="K16" s="224">
        <f>+C7+C16</f>
        <v>18673</v>
      </c>
      <c r="L16" s="224"/>
      <c r="M16" s="116">
        <f>+K16+'15'!M16+L16</f>
        <v>62166</v>
      </c>
      <c r="N16" s="148">
        <v>1200</v>
      </c>
      <c r="O16" s="148">
        <f>+N16-N16*0.25</f>
        <v>900</v>
      </c>
      <c r="P16" s="148">
        <f>60+18</f>
        <v>78</v>
      </c>
      <c r="Q16" s="148">
        <f>+N16*P16</f>
        <v>93600</v>
      </c>
      <c r="R16" s="148">
        <f>+O16*P16</f>
        <v>70200</v>
      </c>
    </row>
    <row r="17" spans="1:18" ht="13.5" thickBot="1">
      <c r="A17" s="825"/>
      <c r="B17" s="212" t="s">
        <v>650</v>
      </c>
      <c r="C17" s="213">
        <v>9983</v>
      </c>
      <c r="D17" s="214">
        <v>570</v>
      </c>
      <c r="E17" s="220"/>
      <c r="F17" s="226">
        <v>12</v>
      </c>
      <c r="G17" s="227" t="s">
        <v>11</v>
      </c>
      <c r="H17" s="228" t="s">
        <v>375</v>
      </c>
      <c r="I17" s="828"/>
      <c r="J17" s="211" t="str">
        <f>+'15'!J17</f>
        <v>T 18 VP OW</v>
      </c>
      <c r="K17" s="224"/>
      <c r="L17" s="224"/>
      <c r="M17" s="116">
        <f>+K17+'15'!M17+L17</f>
        <v>44306</v>
      </c>
      <c r="N17" s="148">
        <v>1350</v>
      </c>
      <c r="O17" s="148">
        <f>+N17-N17*0.25</f>
        <v>1012.5</v>
      </c>
      <c r="P17" s="148">
        <f>480-P16</f>
        <v>402</v>
      </c>
      <c r="Q17" s="148">
        <f>+N17*P17</f>
        <v>542700</v>
      </c>
      <c r="R17" s="148">
        <f>+O17*P17</f>
        <v>407025</v>
      </c>
    </row>
    <row r="18" spans="1:18" ht="13.5" thickBot="1">
      <c r="A18" s="825"/>
      <c r="B18" s="212" t="s">
        <v>380</v>
      </c>
      <c r="C18" s="213">
        <f>1433+1544</f>
        <v>2977</v>
      </c>
      <c r="D18" s="214"/>
      <c r="E18" s="220"/>
      <c r="F18" s="226"/>
      <c r="G18" s="224"/>
      <c r="H18" s="228" t="s">
        <v>646</v>
      </c>
      <c r="I18" s="828"/>
      <c r="J18" s="211" t="s">
        <v>650</v>
      </c>
      <c r="K18" s="234">
        <f>+C17</f>
        <v>9983</v>
      </c>
      <c r="L18" s="234"/>
      <c r="M18" s="116">
        <f>+K18+'15'!M18+L18</f>
        <v>9983</v>
      </c>
      <c r="P18" s="148">
        <f>SUM(P16:P17)</f>
        <v>480</v>
      </c>
      <c r="Q18" s="148">
        <f>SUM(Q16:Q17)</f>
        <v>636300</v>
      </c>
      <c r="R18" s="148">
        <f>SUM(R16:R17)</f>
        <v>477225</v>
      </c>
    </row>
    <row r="19" spans="1:18" ht="13.5" thickBot="1">
      <c r="A19" s="825"/>
      <c r="B19" s="212"/>
      <c r="C19" s="213"/>
      <c r="D19" s="214"/>
      <c r="E19" s="220"/>
      <c r="F19" s="223"/>
      <c r="G19" s="227"/>
      <c r="H19" s="225" t="s">
        <v>637</v>
      </c>
      <c r="I19" s="828"/>
      <c r="J19" s="211">
        <f>+'15'!J19</f>
        <v>0</v>
      </c>
      <c r="K19" s="234"/>
      <c r="L19" s="234"/>
      <c r="M19" s="116">
        <f>+K19+'15'!M19+L19</f>
        <v>0</v>
      </c>
      <c r="Q19" s="148">
        <f>+Q18/P18</f>
        <v>1325.625</v>
      </c>
      <c r="R19" s="148">
        <f>+R18/P18</f>
        <v>994.21875</v>
      </c>
    </row>
    <row r="20" spans="1:18" ht="13.5" thickBot="1">
      <c r="A20" s="825"/>
      <c r="B20" s="212"/>
      <c r="C20" s="213"/>
      <c r="D20" s="214"/>
      <c r="E20" s="220"/>
      <c r="F20" s="223"/>
      <c r="G20" s="227"/>
      <c r="H20" s="228" t="s">
        <v>634</v>
      </c>
      <c r="I20" s="828"/>
      <c r="J20" s="211">
        <f>+'15'!J20</f>
        <v>0</v>
      </c>
      <c r="K20" s="235"/>
      <c r="L20" s="235"/>
      <c r="M20" s="116">
        <f>+K20+'15'!M20+L20</f>
        <v>0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+'15'!J21</f>
        <v>0</v>
      </c>
      <c r="K21" s="234"/>
      <c r="L21" s="234"/>
      <c r="M21" s="116">
        <f>+K21+'15'!M21+L21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+'15'!J22</f>
        <v>0</v>
      </c>
      <c r="K22" s="234"/>
      <c r="L22" s="234"/>
      <c r="M22" s="116">
        <f>+K22+'15'!M22+L22</f>
        <v>0</v>
      </c>
    </row>
    <row r="23" spans="1:18" ht="13.5" thickBot="1">
      <c r="A23" s="826"/>
      <c r="B23" s="164" t="s">
        <v>2</v>
      </c>
      <c r="C23" s="98">
        <f>SUM(C16:C22)</f>
        <v>16849</v>
      </c>
      <c r="D23" s="110">
        <f>SUM(D16:D22)</f>
        <v>570</v>
      </c>
      <c r="E23" s="111">
        <f>SUM(E18:E22)</f>
        <v>0</v>
      </c>
      <c r="F23" s="101">
        <f>SUM(F15:F22)</f>
        <v>22</v>
      </c>
      <c r="G23" s="158"/>
      <c r="H23" s="165"/>
      <c r="I23" s="167"/>
      <c r="J23" s="211">
        <f>+'15'!J23</f>
        <v>0</v>
      </c>
      <c r="K23" s="234"/>
      <c r="L23" s="234"/>
      <c r="M23" s="116">
        <f>+K23+'15'!M23+L23</f>
        <v>0</v>
      </c>
    </row>
    <row r="24" spans="1:18" ht="13.5" thickBot="1">
      <c r="A24" s="830" t="s">
        <v>432</v>
      </c>
      <c r="B24" s="498"/>
      <c r="C24" s="112">
        <f>C23/($C$23+$D$23+$E$23)</f>
        <v>0.96727711120041338</v>
      </c>
      <c r="D24" s="113">
        <f>D23/($C$23+$D$23+$E$23)</f>
        <v>3.2722888799586659E-2</v>
      </c>
      <c r="E24" s="114">
        <f>E23/($C$23+$D$23+$E$23)</f>
        <v>0</v>
      </c>
      <c r="F24" s="226"/>
      <c r="G24" s="224" t="s">
        <v>11</v>
      </c>
      <c r="H24" s="225" t="s">
        <v>385</v>
      </c>
      <c r="I24" s="827" t="s">
        <v>645</v>
      </c>
      <c r="J24" s="211">
        <f>+'15'!J24</f>
        <v>0</v>
      </c>
      <c r="K24" s="234"/>
      <c r="L24" s="234"/>
      <c r="M24" s="116">
        <f>+K24+'15'!M24+L24</f>
        <v>0</v>
      </c>
    </row>
    <row r="25" spans="1:18" ht="13.5" thickBot="1">
      <c r="A25" s="831"/>
      <c r="B25" s="212" t="s">
        <v>380</v>
      </c>
      <c r="C25" s="221">
        <v>8589</v>
      </c>
      <c r="D25" s="214">
        <v>586</v>
      </c>
      <c r="E25" s="220"/>
      <c r="F25" s="226">
        <v>1</v>
      </c>
      <c r="G25" s="227" t="s">
        <v>11</v>
      </c>
      <c r="H25" s="225" t="s">
        <v>419</v>
      </c>
      <c r="I25" s="828"/>
      <c r="J25" s="211">
        <f>+'15'!J25</f>
        <v>0</v>
      </c>
      <c r="K25" s="234"/>
      <c r="L25" s="234"/>
      <c r="M25" s="116">
        <f>+K25+'15'!M25+L25</f>
        <v>0</v>
      </c>
    </row>
    <row r="26" spans="1:18" ht="13.5" thickBot="1">
      <c r="A26" s="831"/>
      <c r="B26" s="212"/>
      <c r="C26" s="221"/>
      <c r="D26" s="214"/>
      <c r="E26" s="222"/>
      <c r="F26" s="226">
        <v>5</v>
      </c>
      <c r="G26" s="227" t="s">
        <v>11</v>
      </c>
      <c r="H26" s="228" t="s">
        <v>375</v>
      </c>
      <c r="I26" s="828"/>
      <c r="J26" s="211">
        <f>+'15'!J26</f>
        <v>0</v>
      </c>
      <c r="K26" s="234"/>
      <c r="L26" s="234"/>
      <c r="M26" s="116">
        <f>+K26+'15'!M26+L26</f>
        <v>0</v>
      </c>
      <c r="N26" s="148">
        <v>1350</v>
      </c>
      <c r="O26" s="148">
        <f>+N26-N26*0.25</f>
        <v>1012.5</v>
      </c>
      <c r="P26" s="148">
        <f>480-P27+402</f>
        <v>839</v>
      </c>
      <c r="Q26" s="148">
        <f>+N26*P26</f>
        <v>1132650</v>
      </c>
      <c r="R26" s="148">
        <f>+O26*P26</f>
        <v>849487.5</v>
      </c>
    </row>
    <row r="27" spans="1:18" ht="13.5" thickBot="1">
      <c r="A27" s="831"/>
      <c r="B27" s="212"/>
      <c r="C27" s="213"/>
      <c r="D27" s="214"/>
      <c r="E27" s="220"/>
      <c r="F27" s="226"/>
      <c r="G27" s="224"/>
      <c r="H27" s="228" t="s">
        <v>636</v>
      </c>
      <c r="I27" s="828"/>
      <c r="J27" s="211">
        <f>+'15'!J27</f>
        <v>0</v>
      </c>
      <c r="K27" s="234"/>
      <c r="L27" s="234"/>
      <c r="M27" s="116">
        <f>+K27+'15'!M27+L27</f>
        <v>0</v>
      </c>
      <c r="N27" s="148">
        <v>1200</v>
      </c>
      <c r="O27" s="148">
        <f>+N27-N27*0.25</f>
        <v>900</v>
      </c>
      <c r="P27" s="148">
        <f>12+31</f>
        <v>43</v>
      </c>
      <c r="Q27" s="148">
        <f>+N27*P27</f>
        <v>51600</v>
      </c>
      <c r="R27" s="148">
        <f>+O27*P27</f>
        <v>38700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635</v>
      </c>
      <c r="I28" s="828"/>
      <c r="J28" s="211">
        <f>+'15'!J28</f>
        <v>0</v>
      </c>
      <c r="K28" s="234"/>
      <c r="L28" s="234"/>
      <c r="M28" s="116">
        <f>+K28+'15'!M28+L28</f>
        <v>0</v>
      </c>
      <c r="P28" s="148">
        <f>SUM(P26:P27)</f>
        <v>882</v>
      </c>
      <c r="Q28" s="148">
        <f>SUM(Q26:Q27)</f>
        <v>1184250</v>
      </c>
      <c r="R28" s="148">
        <f>SUM(R26:R27)</f>
        <v>888187.5</v>
      </c>
    </row>
    <row r="29" spans="1:18" ht="26.25" thickBot="1">
      <c r="A29" s="831"/>
      <c r="B29" s="212"/>
      <c r="C29" s="213"/>
      <c r="D29" s="214"/>
      <c r="E29" s="220"/>
      <c r="F29" s="231"/>
      <c r="G29" s="227"/>
      <c r="H29" s="228" t="s">
        <v>631</v>
      </c>
      <c r="I29" s="828"/>
      <c r="J29" s="211">
        <f>+'15'!J29</f>
        <v>0</v>
      </c>
      <c r="K29" s="234"/>
      <c r="L29" s="234"/>
      <c r="M29" s="116">
        <f>+K29+'15'!M29+L29</f>
        <v>0</v>
      </c>
      <c r="Q29" s="148">
        <f>+Q28/P28</f>
        <v>1342.687074829932</v>
      </c>
      <c r="R29" s="148">
        <f>+R28/P28</f>
        <v>1007.015306122449</v>
      </c>
    </row>
    <row r="30" spans="1:18" ht="26.25" thickBot="1">
      <c r="A30" s="831"/>
      <c r="B30" s="212"/>
      <c r="C30" s="221"/>
      <c r="D30" s="214"/>
      <c r="E30" s="220"/>
      <c r="F30" s="231"/>
      <c r="G30" s="227"/>
      <c r="H30" s="228" t="s">
        <v>632</v>
      </c>
      <c r="I30" s="828"/>
      <c r="J30" s="211">
        <f>+'15'!J30</f>
        <v>0</v>
      </c>
      <c r="K30" s="234"/>
      <c r="L30" s="234"/>
      <c r="M30" s="116">
        <f>+K30+'15'!M30+L30</f>
        <v>0</v>
      </c>
      <c r="N30" s="154"/>
    </row>
    <row r="31" spans="1:18" ht="26.25" thickBot="1">
      <c r="A31" s="831"/>
      <c r="B31" s="212"/>
      <c r="C31" s="221"/>
      <c r="D31" s="214"/>
      <c r="E31" s="220"/>
      <c r="F31" s="231"/>
      <c r="G31" s="232"/>
      <c r="H31" s="427" t="s">
        <v>633</v>
      </c>
      <c r="I31" s="829"/>
      <c r="J31" s="211">
        <f>+'15'!J31</f>
        <v>0</v>
      </c>
      <c r="K31" s="234"/>
      <c r="L31" s="234"/>
      <c r="M31" s="116">
        <f>+K31+'15'!M31+L31</f>
        <v>0</v>
      </c>
    </row>
    <row r="32" spans="1:18" ht="13.5" thickBot="1">
      <c r="A32" s="832"/>
      <c r="B32" s="164" t="s">
        <v>2</v>
      </c>
      <c r="C32" s="98">
        <f>SUM(C25:C31)</f>
        <v>8589</v>
      </c>
      <c r="D32" s="99">
        <f>SUM(D25:D31)</f>
        <v>586</v>
      </c>
      <c r="E32" s="100">
        <f>SUM(E25:E31)</f>
        <v>0</v>
      </c>
      <c r="F32" s="98">
        <f>SUM(F24:F31)</f>
        <v>6</v>
      </c>
      <c r="G32" s="168"/>
      <c r="H32" s="169"/>
      <c r="I32" s="167"/>
      <c r="J32" s="211">
        <f>+'15'!J32</f>
        <v>0</v>
      </c>
      <c r="K32" s="236"/>
      <c r="L32" s="238"/>
      <c r="M32" s="116">
        <f>+K32+'15'!M32+L32</f>
        <v>0</v>
      </c>
    </row>
    <row r="33" spans="1:17" ht="13.5" thickBot="1">
      <c r="A33" s="170"/>
      <c r="B33" s="171"/>
      <c r="C33" s="102">
        <f>C32/($C$32+$D$32+$E$32)</f>
        <v>0.93613079019073564</v>
      </c>
      <c r="D33" s="103">
        <f>D32/($C$32+$D$32+$E$32)</f>
        <v>6.3869209809264305E-2</v>
      </c>
      <c r="E33" s="104">
        <f>E32/($C$32+$D$32+$E$32)</f>
        <v>0</v>
      </c>
      <c r="F33" s="105"/>
      <c r="G33" s="172"/>
      <c r="H33" s="173"/>
      <c r="I33" s="174"/>
      <c r="J33" s="120"/>
      <c r="K33" s="121"/>
      <c r="L33" s="210"/>
      <c r="M33" s="118"/>
      <c r="N33" s="148">
        <v>1180</v>
      </c>
      <c r="O33" s="148">
        <v>885</v>
      </c>
      <c r="P33" s="148">
        <v>290</v>
      </c>
      <c r="Q33" s="148" t="s">
        <v>606</v>
      </c>
    </row>
    <row r="34" spans="1:17" ht="13.5" thickBot="1">
      <c r="A34" s="833" t="s">
        <v>53</v>
      </c>
      <c r="B34" s="834"/>
      <c r="C34" s="106">
        <f>C14+C23+C32</f>
        <v>40222</v>
      </c>
      <c r="D34" s="106">
        <f>D14+D23+D32</f>
        <v>1156</v>
      </c>
      <c r="E34" s="106">
        <f>E14+E23+E32</f>
        <v>0</v>
      </c>
      <c r="F34" s="107">
        <f>F14+F23+F32</f>
        <v>36</v>
      </c>
      <c r="H34" s="175"/>
      <c r="I34" s="175"/>
      <c r="J34" s="122" t="s">
        <v>27</v>
      </c>
      <c r="K34" s="123">
        <f>SUM(K7:K32)</f>
        <v>40222</v>
      </c>
      <c r="L34" s="209">
        <f>SUM(L7:L32)</f>
        <v>0</v>
      </c>
      <c r="M34" s="119">
        <f>SUM(M7:M32)</f>
        <v>740807</v>
      </c>
      <c r="N34" s="148">
        <v>1200</v>
      </c>
      <c r="O34" s="148">
        <v>900</v>
      </c>
      <c r="P34" s="148">
        <f>190+78</f>
        <v>268</v>
      </c>
      <c r="Q34" s="148" t="s">
        <v>643</v>
      </c>
    </row>
    <row r="35" spans="1:17" ht="13.5" thickBot="1">
      <c r="A35" s="176"/>
      <c r="B35" s="177"/>
      <c r="C35" s="103">
        <f>C34/($C$34+$D$34+$E$34)</f>
        <v>0.9720624486442071</v>
      </c>
      <c r="D35" s="103">
        <f>D34/($C$34+$D$34+$E$34)</f>
        <v>2.7937551355792935E-2</v>
      </c>
      <c r="E35" s="108">
        <f>E34/($C$34+$D$34+$E$34)</f>
        <v>0</v>
      </c>
      <c r="K35" s="154"/>
      <c r="N35" s="148">
        <v>1342.687074829932</v>
      </c>
      <c r="O35" s="148">
        <v>1007.015306122449</v>
      </c>
      <c r="P35" s="148">
        <v>882</v>
      </c>
      <c r="Q35" s="148" t="s">
        <v>644</v>
      </c>
    </row>
    <row r="36" spans="1:17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  <c r="P36" s="148">
        <f>SUM(P33:P35)</f>
        <v>1440</v>
      </c>
    </row>
    <row r="37" spans="1:17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(16*290+15*268+13*882)/1440*G42*2.85*1440/1000000</f>
        <v>55.20962747656251</v>
      </c>
      <c r="J37" s="124">
        <f>+I37+'15'!J37</f>
        <v>843.13970322139073</v>
      </c>
      <c r="K37" s="125" t="s">
        <v>59</v>
      </c>
      <c r="N37" s="148">
        <v>11.593</v>
      </c>
    </row>
    <row r="38" spans="1:17" ht="17.45" customHeight="1">
      <c r="A38" s="822" t="s">
        <v>11</v>
      </c>
      <c r="B38" s="823"/>
      <c r="C38" s="163">
        <f>SUMIF($G$7:$G$31,"Process",$F$7:$F$31)</f>
        <v>36</v>
      </c>
      <c r="D38" s="117">
        <f>+C38+'15'!D38</f>
        <v>700</v>
      </c>
      <c r="E38" s="142">
        <f t="shared" ref="E38:E51" si="0">D38/60</f>
        <v>11.666666666666666</v>
      </c>
      <c r="F38" s="320">
        <v>1187.9166666666667</v>
      </c>
      <c r="G38" s="320">
        <v>890.9375</v>
      </c>
      <c r="H38" s="184" t="s">
        <v>60</v>
      </c>
      <c r="I38" s="501">
        <f>16.229+16.714+16.256</f>
        <v>49.198999999999998</v>
      </c>
      <c r="J38" s="126">
        <f>+I38+'15'!J38</f>
        <v>785.66499999999985</v>
      </c>
      <c r="K38" s="127" t="s">
        <v>59</v>
      </c>
      <c r="N38" s="148">
        <f>4.636+2.65+2.65</f>
        <v>9.9359999999999999</v>
      </c>
    </row>
    <row r="39" spans="1:17" ht="17.45" customHeight="1">
      <c r="A39" s="818" t="s">
        <v>12</v>
      </c>
      <c r="B39" s="819"/>
      <c r="C39" s="163">
        <f>SUMIF($G$7:$G$31,"Cleaning",$F$7:$F$31)</f>
        <v>0</v>
      </c>
      <c r="D39" s="117">
        <f>+C39+'15'!D39</f>
        <v>0</v>
      </c>
      <c r="E39" s="142">
        <f t="shared" si="0"/>
        <v>0</v>
      </c>
      <c r="F39" s="320">
        <v>1325.625</v>
      </c>
      <c r="G39" s="320">
        <v>994.21875</v>
      </c>
      <c r="H39" s="184" t="s">
        <v>61</v>
      </c>
      <c r="I39" s="141"/>
      <c r="J39" s="128">
        <f>J37/G4</f>
        <v>52.696231451336921</v>
      </c>
      <c r="K39" s="129" t="s">
        <v>59</v>
      </c>
      <c r="N39" s="154">
        <f>+I38-N37-N38</f>
        <v>27.669999999999995</v>
      </c>
    </row>
    <row r="40" spans="1:17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+C40+'15'!D40</f>
        <v>0</v>
      </c>
      <c r="E40" s="142">
        <f t="shared" ca="1" si="0"/>
        <v>0</v>
      </c>
      <c r="F40" s="320">
        <v>1336.5625</v>
      </c>
      <c r="G40" s="320">
        <v>1002.421875</v>
      </c>
      <c r="H40" s="184" t="s">
        <v>63</v>
      </c>
      <c r="I40" s="117">
        <f>(K34+L34)/1000</f>
        <v>40.222000000000001</v>
      </c>
      <c r="J40" s="130">
        <f>+I40+'15'!J40</f>
        <v>740.80700000000002</v>
      </c>
      <c r="K40" s="129" t="s">
        <v>59</v>
      </c>
    </row>
    <row r="41" spans="1:17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+C41+'15'!D41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46.300437500000001</v>
      </c>
      <c r="K41" s="129" t="s">
        <v>59</v>
      </c>
    </row>
    <row r="42" spans="1:17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+C42+'15'!D42</f>
        <v>0</v>
      </c>
      <c r="E42" s="142">
        <f t="shared" ca="1" si="0"/>
        <v>0</v>
      </c>
      <c r="F42" s="320">
        <f>+(F38*480+F39*480+F40*480)/1440</f>
        <v>1283.3680555555557</v>
      </c>
      <c r="G42" s="320">
        <f>+(G38*480+G39*480+G40*480)/1440</f>
        <v>962.52604166666663</v>
      </c>
      <c r="H42" s="184" t="s">
        <v>66</v>
      </c>
      <c r="I42" s="241" t="s">
        <v>642</v>
      </c>
      <c r="J42" s="131"/>
      <c r="K42" s="129" t="s">
        <v>67</v>
      </c>
    </row>
    <row r="43" spans="1:17" ht="17.45" customHeight="1">
      <c r="A43" s="818" t="s">
        <v>68</v>
      </c>
      <c r="B43" s="819"/>
      <c r="C43" s="163">
        <f>SUMIF($G$7:$G$31,"Water",$F$7:$F$31)</f>
        <v>0</v>
      </c>
      <c r="D43" s="117">
        <f ca="1">+C43+'15'!D43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+Report1!T24</f>
        <v>123.7</v>
      </c>
      <c r="J43" s="132">
        <f>+I43+'15'!J43</f>
        <v>1935.3</v>
      </c>
      <c r="K43" s="129" t="s">
        <v>59</v>
      </c>
      <c r="L43" s="186"/>
    </row>
    <row r="44" spans="1:17" ht="17.45" customHeight="1">
      <c r="A44" s="818" t="s">
        <v>16</v>
      </c>
      <c r="B44" s="819"/>
      <c r="C44" s="163">
        <f>SUMIF($G$7:$G$31,"PLN",$F$7:$F$31)</f>
        <v>0</v>
      </c>
      <c r="D44" s="117">
        <f>+C44+'15'!D44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2.5142787455029576</v>
      </c>
      <c r="J44" s="133">
        <f>J43/J38</f>
        <v>2.4632636047170235</v>
      </c>
      <c r="K44" s="129" t="s">
        <v>59</v>
      </c>
    </row>
    <row r="45" spans="1:17" ht="17.45" customHeight="1">
      <c r="A45" s="818" t="s">
        <v>17</v>
      </c>
      <c r="B45" s="819"/>
      <c r="C45" s="163">
        <f>SUMIF($G$7:$G$31,"Boiler",$F$7:$F$31)</f>
        <v>0</v>
      </c>
      <c r="D45" s="117">
        <f>+C45+'15'!D45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3.0754313559743425</v>
      </c>
      <c r="J45" s="133">
        <f>J43/J40</f>
        <v>2.612421318913023</v>
      </c>
      <c r="K45" s="129" t="s">
        <v>59</v>
      </c>
    </row>
    <row r="46" spans="1:17" ht="17.45" customHeight="1">
      <c r="A46" s="818" t="s">
        <v>72</v>
      </c>
      <c r="B46" s="819"/>
      <c r="C46" s="163">
        <f>SUMIF($G$7:$G$31,"Gas",$F$7:$F$31)</f>
        <v>0</v>
      </c>
      <c r="D46" s="117">
        <f>+C46+'15'!D46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+SUMIF(Listrik!AN23,"&gt;0")</f>
        <v>46468.108962937091</v>
      </c>
      <c r="J46" s="134">
        <f>+I46+'15'!J46</f>
        <v>746615.9768490612</v>
      </c>
      <c r="K46" s="129" t="s">
        <v>74</v>
      </c>
    </row>
    <row r="47" spans="1:17" ht="17.45" customHeight="1">
      <c r="A47" s="818" t="s">
        <v>75</v>
      </c>
      <c r="B47" s="819"/>
      <c r="C47" s="163">
        <f>SUMIF($G$7:$G$31,"Gas",$F$7:$F$31)</f>
        <v>0</v>
      </c>
      <c r="D47" s="117">
        <f>+C47+'15'!D47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944.49295642059985</v>
      </c>
      <c r="J47" s="134">
        <f>J46/J38</f>
        <v>950.29812559941115</v>
      </c>
      <c r="K47" s="129" t="s">
        <v>23</v>
      </c>
    </row>
    <row r="48" spans="1:17" ht="17.45" customHeight="1">
      <c r="A48" s="818" t="s">
        <v>13</v>
      </c>
      <c r="B48" s="819"/>
      <c r="C48" s="163">
        <f>SUMIF($G$7:$G$31,"Start Up",$F$7:$F$31)</f>
        <v>0</v>
      </c>
      <c r="D48" s="117">
        <f>+C48+'15'!D48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1155.2908598015288</v>
      </c>
      <c r="J48" s="134">
        <f>J46/J40</f>
        <v>1007.8414173314522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+C49+'15'!D49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+I49+'15'!J49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+C50+'15'!D50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+C51+'15'!D51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36</v>
      </c>
      <c r="D52" s="143">
        <f ca="1">SUM(D38:D51)</f>
        <v>1470</v>
      </c>
      <c r="E52" s="144">
        <f ca="1">SUM(E38:E51)</f>
        <v>24.500000000000004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2.5000000000000001E-2</v>
      </c>
      <c r="D53" s="145">
        <f ca="1">D52/(24*60*G4)</f>
        <v>6.3802083333333329E-2</v>
      </c>
      <c r="E53" s="146">
        <f ca="1">E52/(G4*24)</f>
        <v>6.3802083333333343E-2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+D34+'15'!J56</f>
        <v>22223</v>
      </c>
      <c r="K56" s="198">
        <f>J56/(J40+J56/1000)/1000</f>
        <v>2.9124673997090546E-2</v>
      </c>
    </row>
    <row r="57" spans="1:11">
      <c r="A57" s="173"/>
      <c r="I57" s="196" t="s">
        <v>85</v>
      </c>
      <c r="J57" s="197">
        <f>+E34+'15'!J57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710937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15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394+422+369</f>
        <v>1185</v>
      </c>
    </row>
    <row r="7" spans="1:18" ht="13.5" customHeight="1" thickBot="1">
      <c r="A7" s="824" t="s">
        <v>431</v>
      </c>
      <c r="B7" s="212" t="s">
        <v>616</v>
      </c>
      <c r="C7" s="213">
        <v>16524</v>
      </c>
      <c r="D7" s="214"/>
      <c r="E7" s="215"/>
      <c r="F7" s="226"/>
      <c r="G7" s="552" t="s">
        <v>11</v>
      </c>
      <c r="H7" s="553" t="s">
        <v>385</v>
      </c>
      <c r="I7" s="827" t="s">
        <v>625</v>
      </c>
      <c r="J7" s="211" t="str">
        <f>+'14'!J7</f>
        <v>N 12 VP OW</v>
      </c>
      <c r="K7" s="233"/>
      <c r="L7" s="237"/>
      <c r="M7" s="116">
        <f>+K7+'14'!M7+L7</f>
        <v>107831</v>
      </c>
    </row>
    <row r="8" spans="1:18" ht="13.5" thickBot="1">
      <c r="A8" s="825"/>
      <c r="B8" s="212" t="s">
        <v>615</v>
      </c>
      <c r="C8" s="213">
        <v>654</v>
      </c>
      <c r="D8" s="214"/>
      <c r="E8" s="216"/>
      <c r="F8" s="226">
        <v>2</v>
      </c>
      <c r="G8" s="554" t="s">
        <v>11</v>
      </c>
      <c r="H8" s="553" t="s">
        <v>419</v>
      </c>
      <c r="I8" s="828"/>
      <c r="J8" s="211" t="str">
        <f>+'14'!J8</f>
        <v>F 12.5 VP OW</v>
      </c>
      <c r="K8" s="234"/>
      <c r="L8" s="234"/>
      <c r="M8" s="116">
        <f>+K8+'14'!M8+L8</f>
        <v>66421</v>
      </c>
      <c r="N8" s="148">
        <v>1000</v>
      </c>
      <c r="O8" s="148">
        <f>+N8-N8*0.25</f>
        <v>750</v>
      </c>
      <c r="P8" s="148">
        <f>300+22</f>
        <v>322</v>
      </c>
      <c r="Q8" s="148">
        <f>+N8*P8</f>
        <v>322000</v>
      </c>
      <c r="R8" s="148">
        <f>+O8*P8</f>
        <v>241500</v>
      </c>
    </row>
    <row r="9" spans="1:18" ht="13.5" thickBot="1">
      <c r="A9" s="825"/>
      <c r="B9" s="212"/>
      <c r="C9" s="213"/>
      <c r="D9" s="214"/>
      <c r="E9" s="217"/>
      <c r="F9" s="226">
        <v>9</v>
      </c>
      <c r="G9" s="554" t="s">
        <v>11</v>
      </c>
      <c r="H9" s="555" t="s">
        <v>375</v>
      </c>
      <c r="I9" s="828"/>
      <c r="J9" s="211" t="str">
        <f>+'14'!J9</f>
        <v>F 13 VP OW</v>
      </c>
      <c r="K9" s="234"/>
      <c r="L9" s="234"/>
      <c r="M9" s="116">
        <f>+K9+'14'!M9+L9</f>
        <v>4155</v>
      </c>
      <c r="N9" s="148">
        <v>1180</v>
      </c>
      <c r="O9" s="148">
        <f>+N9-N9*0.25</f>
        <v>885</v>
      </c>
      <c r="P9" s="148">
        <f>60-22+120</f>
        <v>158</v>
      </c>
      <c r="Q9" s="148">
        <f>+N9*P9</f>
        <v>186440</v>
      </c>
      <c r="R9" s="148">
        <f>+O9*P9</f>
        <v>139830</v>
      </c>
    </row>
    <row r="10" spans="1:18" ht="13.5" thickBot="1">
      <c r="A10" s="825"/>
      <c r="B10" s="212"/>
      <c r="C10" s="213"/>
      <c r="D10" s="214"/>
      <c r="E10" s="216"/>
      <c r="F10" s="226"/>
      <c r="G10" s="552"/>
      <c r="H10" s="555" t="s">
        <v>648</v>
      </c>
      <c r="I10" s="828"/>
      <c r="J10" s="211" t="str">
        <f>+'14'!J10</f>
        <v>N 17 VP OW</v>
      </c>
      <c r="K10" s="234"/>
      <c r="L10" s="234"/>
      <c r="M10" s="116">
        <f>+K10+'14'!M10+L10</f>
        <v>76374</v>
      </c>
      <c r="P10" s="173">
        <f>SUM(P8:P9)</f>
        <v>480</v>
      </c>
      <c r="Q10" s="173">
        <f>SUM(Q8:Q9)</f>
        <v>508440</v>
      </c>
      <c r="R10" s="173">
        <f>SUM(R8:R9)</f>
        <v>381330</v>
      </c>
    </row>
    <row r="11" spans="1:18" ht="13.5" thickBot="1">
      <c r="A11" s="825"/>
      <c r="B11" s="212"/>
      <c r="C11" s="213"/>
      <c r="D11" s="214"/>
      <c r="E11" s="216"/>
      <c r="F11" s="468"/>
      <c r="G11" s="469"/>
      <c r="H11" s="225" t="s">
        <v>619</v>
      </c>
      <c r="I11" s="828"/>
      <c r="J11" s="211" t="str">
        <f>+'14'!J11</f>
        <v>N 17,5 VP OW</v>
      </c>
      <c r="K11" s="234"/>
      <c r="L11" s="234"/>
      <c r="M11" s="116">
        <f>+K11+'14'!M11+L11</f>
        <v>23535</v>
      </c>
      <c r="Q11" s="173">
        <f>+Q10/P10</f>
        <v>1059.25</v>
      </c>
      <c r="R11" s="173">
        <f>+R10/P10</f>
        <v>794.4375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 t="s">
        <v>620</v>
      </c>
      <c r="I12" s="828"/>
      <c r="J12" s="211" t="str">
        <f>+'14'!J12</f>
        <v>TW 17 VP OW</v>
      </c>
      <c r="K12" s="234"/>
      <c r="L12" s="234"/>
      <c r="M12" s="116">
        <f>+K12+'14'!M12+L12</f>
        <v>243570</v>
      </c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+'14'!J13</f>
        <v>N 15,5 VP OW</v>
      </c>
      <c r="K13" s="234"/>
      <c r="L13" s="234"/>
      <c r="M13" s="116">
        <f>+K13+'14'!M13+L13</f>
        <v>40521</v>
      </c>
    </row>
    <row r="14" spans="1:18" ht="13.5" thickBot="1">
      <c r="A14" s="826"/>
      <c r="B14" s="164" t="s">
        <v>2</v>
      </c>
      <c r="C14" s="98">
        <f>SUM(C7:C13)</f>
        <v>17178</v>
      </c>
      <c r="D14" s="110">
        <f>SUM(D7:D13)</f>
        <v>0</v>
      </c>
      <c r="E14" s="111">
        <f>SUM(E9:E13)</f>
        <v>0</v>
      </c>
      <c r="F14" s="101">
        <f>SUM(F6:F13)</f>
        <v>11</v>
      </c>
      <c r="G14" s="158"/>
      <c r="H14" s="165"/>
      <c r="I14" s="166"/>
      <c r="J14" s="211" t="str">
        <f>+'14'!J14</f>
        <v>N 11 VP OW</v>
      </c>
      <c r="K14" s="234"/>
      <c r="L14" s="234"/>
      <c r="M14" s="116">
        <f>+K14+'14'!M14+L14</f>
        <v>41975</v>
      </c>
    </row>
    <row r="15" spans="1:18" ht="13.5" customHeight="1" thickBot="1">
      <c r="A15" s="830" t="s">
        <v>353</v>
      </c>
      <c r="B15" s="498"/>
      <c r="C15" s="557">
        <f>C14/($C$32+$D$32+$E$32)</f>
        <v>1.0429872495446266</v>
      </c>
      <c r="D15" s="103">
        <f>D14/($C$32+$D$32+$E$32)</f>
        <v>0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626</v>
      </c>
      <c r="J15" s="211" t="str">
        <f>+'14'!J15</f>
        <v>T 14 VP OW</v>
      </c>
      <c r="K15" s="234"/>
      <c r="L15" s="234"/>
      <c r="M15" s="116">
        <f>+K15+'14'!M15+L15</f>
        <v>8404</v>
      </c>
      <c r="N15" s="148">
        <v>1180</v>
      </c>
      <c r="O15" s="148">
        <f>+N15-N15*0.25</f>
        <v>885</v>
      </c>
      <c r="P15" s="148">
        <f>480+480</f>
        <v>960</v>
      </c>
    </row>
    <row r="16" spans="1:18" ht="13.5" thickBot="1">
      <c r="A16" s="825"/>
      <c r="B16" s="212" t="s">
        <v>615</v>
      </c>
      <c r="C16" s="499">
        <v>17018</v>
      </c>
      <c r="D16" s="218"/>
      <c r="E16" s="219"/>
      <c r="F16" s="226"/>
      <c r="G16" s="554" t="s">
        <v>11</v>
      </c>
      <c r="H16" s="553" t="s">
        <v>399</v>
      </c>
      <c r="I16" s="828"/>
      <c r="J16" s="211" t="str">
        <f>+'14'!J16</f>
        <v>T 16 VP OW</v>
      </c>
      <c r="K16" s="224">
        <f>+C8+C16+C25</f>
        <v>34142</v>
      </c>
      <c r="L16" s="224"/>
      <c r="M16" s="116">
        <f>+K16+'14'!M16+L16</f>
        <v>43493</v>
      </c>
      <c r="N16" s="173"/>
      <c r="O16" s="173"/>
      <c r="P16" s="173"/>
    </row>
    <row r="17" spans="1:18" ht="13.5" thickBot="1">
      <c r="A17" s="825"/>
      <c r="B17" s="212"/>
      <c r="C17" s="213"/>
      <c r="D17" s="214"/>
      <c r="E17" s="220"/>
      <c r="F17" s="226">
        <v>13</v>
      </c>
      <c r="G17" s="554" t="s">
        <v>11</v>
      </c>
      <c r="H17" s="555" t="s">
        <v>628</v>
      </c>
      <c r="I17" s="828"/>
      <c r="J17" s="211" t="str">
        <f>+'14'!J17</f>
        <v>T 18 VP OW</v>
      </c>
      <c r="K17" s="224">
        <f>+C7</f>
        <v>16524</v>
      </c>
      <c r="L17" s="224"/>
      <c r="M17" s="116">
        <f>+K17+'14'!M17+L17</f>
        <v>44306</v>
      </c>
    </row>
    <row r="18" spans="1:18" ht="13.5" thickBot="1">
      <c r="A18" s="825"/>
      <c r="B18" s="212"/>
      <c r="C18" s="213"/>
      <c r="D18" s="214"/>
      <c r="E18" s="220"/>
      <c r="F18" s="226"/>
      <c r="G18" s="552"/>
      <c r="H18" s="555" t="s">
        <v>647</v>
      </c>
      <c r="I18" s="828"/>
      <c r="J18" s="211">
        <f>+'14'!J18</f>
        <v>0</v>
      </c>
      <c r="K18" s="234"/>
      <c r="L18" s="234"/>
      <c r="M18" s="116">
        <f>+K18+'14'!M18+L18</f>
        <v>0</v>
      </c>
    </row>
    <row r="19" spans="1:18" ht="13.5" thickBot="1">
      <c r="A19" s="825"/>
      <c r="B19" s="212"/>
      <c r="C19" s="213"/>
      <c r="D19" s="214"/>
      <c r="E19" s="220"/>
      <c r="F19" s="223"/>
      <c r="G19" s="227"/>
      <c r="H19" s="225" t="s">
        <v>621</v>
      </c>
      <c r="I19" s="828"/>
      <c r="J19" s="211">
        <f>+'14'!J19</f>
        <v>0</v>
      </c>
      <c r="K19" s="234"/>
      <c r="L19" s="234"/>
      <c r="M19" s="116">
        <f>+K19+'14'!M19+L19</f>
        <v>0</v>
      </c>
    </row>
    <row r="20" spans="1:18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+'14'!J20</f>
        <v>0</v>
      </c>
      <c r="K20" s="235"/>
      <c r="L20" s="235"/>
      <c r="M20" s="116">
        <f>+K20+'14'!M20+L20</f>
        <v>0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+'14'!J21</f>
        <v>0</v>
      </c>
      <c r="K21" s="234"/>
      <c r="L21" s="234"/>
      <c r="M21" s="116">
        <f>+K21+'14'!M21+L21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+'14'!J22</f>
        <v>0</v>
      </c>
      <c r="K22" s="234"/>
      <c r="L22" s="234"/>
      <c r="M22" s="116">
        <f>+K22+'14'!M22+L22</f>
        <v>0</v>
      </c>
    </row>
    <row r="23" spans="1:18" ht="13.5" thickBot="1">
      <c r="A23" s="826"/>
      <c r="B23" s="164" t="s">
        <v>2</v>
      </c>
      <c r="C23" s="98">
        <f>SUM(C16:C22)</f>
        <v>17018</v>
      </c>
      <c r="D23" s="110">
        <f>SUM(D16:D22)</f>
        <v>0</v>
      </c>
      <c r="E23" s="111">
        <f>SUM(E18:E22)</f>
        <v>0</v>
      </c>
      <c r="F23" s="101">
        <f>SUM(F15:F22)</f>
        <v>13</v>
      </c>
      <c r="G23" s="158"/>
      <c r="H23" s="165"/>
      <c r="I23" s="167"/>
      <c r="J23" s="211">
        <f>+'14'!J23</f>
        <v>0</v>
      </c>
      <c r="K23" s="234"/>
      <c r="L23" s="234"/>
      <c r="M23" s="116">
        <f>+K23+'14'!M23+L23</f>
        <v>0</v>
      </c>
    </row>
    <row r="24" spans="1:18" ht="13.5" thickBot="1">
      <c r="A24" s="830" t="s">
        <v>432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626</v>
      </c>
      <c r="J24" s="211">
        <f>+'14'!J24</f>
        <v>0</v>
      </c>
      <c r="K24" s="234"/>
      <c r="L24" s="234"/>
      <c r="M24" s="116">
        <f>+K24+'14'!M24+L24</f>
        <v>0</v>
      </c>
    </row>
    <row r="25" spans="1:18" ht="13.5" thickBot="1">
      <c r="A25" s="831"/>
      <c r="B25" s="212" t="s">
        <v>615</v>
      </c>
      <c r="C25" s="221">
        <v>16470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+'14'!J25</f>
        <v>0</v>
      </c>
      <c r="K25" s="234"/>
      <c r="L25" s="234"/>
      <c r="M25" s="116">
        <f>+K25+'14'!M25+L25</f>
        <v>0</v>
      </c>
    </row>
    <row r="26" spans="1:18" ht="13.5" thickBot="1">
      <c r="A26" s="831"/>
      <c r="B26" s="212"/>
      <c r="C26" s="221"/>
      <c r="D26" s="214"/>
      <c r="E26" s="222"/>
      <c r="F26" s="226">
        <v>6</v>
      </c>
      <c r="G26" s="554" t="s">
        <v>11</v>
      </c>
      <c r="H26" s="555" t="s">
        <v>375</v>
      </c>
      <c r="I26" s="828"/>
      <c r="J26" s="211">
        <f>+'14'!J26</f>
        <v>0</v>
      </c>
      <c r="K26" s="234"/>
      <c r="L26" s="234"/>
      <c r="M26" s="116">
        <f>+K26+'14'!M26+L26</f>
        <v>0</v>
      </c>
      <c r="P26" s="173"/>
    </row>
    <row r="27" spans="1:18" ht="13.5" thickBot="1">
      <c r="A27" s="831"/>
      <c r="B27" s="212"/>
      <c r="C27" s="213"/>
      <c r="D27" s="214"/>
      <c r="E27" s="220"/>
      <c r="F27" s="226"/>
      <c r="G27" s="552"/>
      <c r="H27" s="555" t="s">
        <v>647</v>
      </c>
      <c r="I27" s="828"/>
      <c r="J27" s="211">
        <f>+'14'!J27</f>
        <v>0</v>
      </c>
      <c r="K27" s="234"/>
      <c r="L27" s="234"/>
      <c r="M27" s="116">
        <f>+K27+'14'!M27+L27</f>
        <v>0</v>
      </c>
      <c r="Q27" s="173"/>
      <c r="R27" s="173"/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622</v>
      </c>
      <c r="I28" s="828"/>
      <c r="J28" s="211">
        <f>+'14'!J28</f>
        <v>0</v>
      </c>
      <c r="K28" s="234"/>
      <c r="L28" s="234"/>
      <c r="M28" s="116">
        <f>+K28+'14'!M28+L28</f>
        <v>0</v>
      </c>
    </row>
    <row r="29" spans="1:18" ht="13.5" thickBot="1">
      <c r="A29" s="831"/>
      <c r="B29" s="212"/>
      <c r="C29" s="213"/>
      <c r="D29" s="214"/>
      <c r="E29" s="220"/>
      <c r="F29" s="231"/>
      <c r="G29" s="227"/>
      <c r="H29" s="228" t="s">
        <v>623</v>
      </c>
      <c r="I29" s="828"/>
      <c r="J29" s="211">
        <f>+'14'!J29</f>
        <v>0</v>
      </c>
      <c r="K29" s="234"/>
      <c r="L29" s="234"/>
      <c r="M29" s="116">
        <f>+K29+'14'!M29+L29</f>
        <v>0</v>
      </c>
    </row>
    <row r="30" spans="1:18" ht="13.5" thickBot="1">
      <c r="A30" s="831"/>
      <c r="B30" s="212"/>
      <c r="C30" s="221"/>
      <c r="D30" s="214"/>
      <c r="E30" s="220"/>
      <c r="F30" s="231"/>
      <c r="G30" s="227"/>
      <c r="H30" s="228" t="s">
        <v>624</v>
      </c>
      <c r="I30" s="828"/>
      <c r="J30" s="211">
        <f>+'14'!J30</f>
        <v>0</v>
      </c>
      <c r="K30" s="234"/>
      <c r="L30" s="234"/>
      <c r="M30" s="116">
        <f>+K30+'14'!M30+L30</f>
        <v>0</v>
      </c>
      <c r="N30" s="154"/>
    </row>
    <row r="31" spans="1:18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+'14'!J31</f>
        <v>0</v>
      </c>
      <c r="K31" s="234"/>
      <c r="L31" s="234"/>
      <c r="M31" s="116">
        <f>+K31+'14'!M31+L31</f>
        <v>0</v>
      </c>
    </row>
    <row r="32" spans="1:18" ht="13.5" thickBot="1">
      <c r="A32" s="832"/>
      <c r="B32" s="164" t="s">
        <v>2</v>
      </c>
      <c r="C32" s="98">
        <f>SUM(C25:C31)</f>
        <v>16470</v>
      </c>
      <c r="D32" s="99">
        <f>SUM(D25:D31)</f>
        <v>0</v>
      </c>
      <c r="E32" s="100">
        <f>SUM(E25:E31)</f>
        <v>0</v>
      </c>
      <c r="F32" s="98">
        <f>SUM(F24:F31)</f>
        <v>6</v>
      </c>
      <c r="G32" s="168"/>
      <c r="H32" s="169"/>
      <c r="I32" s="167"/>
      <c r="J32" s="211">
        <f>+'14'!J32</f>
        <v>0</v>
      </c>
      <c r="K32" s="236"/>
      <c r="L32" s="238"/>
      <c r="M32" s="116">
        <f>+K32+'14'!M32+L32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50666</v>
      </c>
      <c r="D34" s="106">
        <f>D14+D23+D32</f>
        <v>0</v>
      </c>
      <c r="E34" s="106">
        <f>E14+E23+E32</f>
        <v>0</v>
      </c>
      <c r="F34" s="107">
        <f>F14+F23+F32</f>
        <v>30</v>
      </c>
      <c r="H34" s="175"/>
      <c r="I34" s="175"/>
      <c r="J34" s="122" t="s">
        <v>27</v>
      </c>
      <c r="K34" s="123">
        <f>SUM(K7:K32)</f>
        <v>50666</v>
      </c>
      <c r="L34" s="209">
        <f>SUM(L7:L32)</f>
        <v>0</v>
      </c>
      <c r="M34" s="119">
        <f>SUM(M7:M32)</f>
        <v>700585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(18*322+16*1118)/1440*G42*2.85*1440/1000000</f>
        <v>57.699330862500013</v>
      </c>
      <c r="J37" s="124">
        <f>+I37+'14'!J37</f>
        <v>787.93007574482817</v>
      </c>
      <c r="K37" s="125" t="s">
        <v>59</v>
      </c>
      <c r="N37" s="148">
        <f>2.182+2.182+2.381+2.782+1.441</f>
        <v>10.968</v>
      </c>
    </row>
    <row r="38" spans="1:14" ht="17.45" customHeight="1">
      <c r="A38" s="822" t="s">
        <v>11</v>
      </c>
      <c r="B38" s="823"/>
      <c r="C38" s="163">
        <f>SUMIF($G$7:$G$31,"Process",$F$7:$F$31)</f>
        <v>30</v>
      </c>
      <c r="D38" s="117">
        <f>+C38+'14'!D38</f>
        <v>664</v>
      </c>
      <c r="E38" s="142">
        <f t="shared" ref="E38:E51" si="0">D38/60</f>
        <v>11.066666666666666</v>
      </c>
      <c r="F38" s="320">
        <v>1059.25</v>
      </c>
      <c r="G38" s="320">
        <v>794.4375</v>
      </c>
      <c r="H38" s="184" t="s">
        <v>60</v>
      </c>
      <c r="I38" s="501">
        <f>18.42+17.717+19.298</f>
        <v>55.435000000000002</v>
      </c>
      <c r="J38" s="126">
        <f>+I38+'14'!J38</f>
        <v>736.46599999999989</v>
      </c>
      <c r="K38" s="127" t="s">
        <v>59</v>
      </c>
      <c r="N38" s="154">
        <f>+I38-N37</f>
        <v>44.466999999999999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+C39+'14'!D39</f>
        <v>0</v>
      </c>
      <c r="E39" s="142">
        <f t="shared" si="0"/>
        <v>0</v>
      </c>
      <c r="F39" s="320">
        <v>1180</v>
      </c>
      <c r="G39" s="320">
        <f>+F39-F39*0.25</f>
        <v>885</v>
      </c>
      <c r="H39" s="184" t="s">
        <v>61</v>
      </c>
      <c r="I39" s="141"/>
      <c r="J39" s="128">
        <f>J37/G4</f>
        <v>52.528671716321881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+C40+'14'!D40</f>
        <v>0</v>
      </c>
      <c r="E40" s="142">
        <f t="shared" ca="1" si="0"/>
        <v>0</v>
      </c>
      <c r="F40" s="320">
        <v>1180</v>
      </c>
      <c r="G40" s="320">
        <f>+F40-F40*0.25</f>
        <v>885</v>
      </c>
      <c r="H40" s="184" t="s">
        <v>63</v>
      </c>
      <c r="I40" s="117">
        <f>(K34+L34)/1000</f>
        <v>50.665999999999997</v>
      </c>
      <c r="J40" s="130">
        <f>+I40+'14'!J40</f>
        <v>700.58500000000004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+C41+'14'!D41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46.705666666666666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+C42+'14'!D42</f>
        <v>0</v>
      </c>
      <c r="E42" s="142">
        <f t="shared" ca="1" si="0"/>
        <v>0</v>
      </c>
      <c r="F42" s="320">
        <f>+(F38*480+F39*480+F40*480)/1440</f>
        <v>1139.75</v>
      </c>
      <c r="G42" s="320">
        <f>+(G38*480+G39*480+G40*480)/1440</f>
        <v>854.8125</v>
      </c>
      <c r="H42" s="184" t="s">
        <v>66</v>
      </c>
      <c r="I42" s="241" t="s">
        <v>627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+C43+'14'!D43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+Report1!T23</f>
        <v>125.8</v>
      </c>
      <c r="J43" s="132">
        <f>+I43+'14'!J43</f>
        <v>1811.6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+C44+'14'!D44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2.269324434021827</v>
      </c>
      <c r="J44" s="133">
        <f>J43/J38</f>
        <v>2.4598555805699109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+C45+'14'!D45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2.4829274069395653</v>
      </c>
      <c r="J45" s="133">
        <f>J43/J40</f>
        <v>2.585838977426008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+C46+'14'!D46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+SUMIF(Listrik!AN22,"&gt;0")</f>
        <v>40176.573499645485</v>
      </c>
      <c r="J46" s="134">
        <f>+I46+'14'!J46</f>
        <v>700147.86788612406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+C47+'14'!D47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724.75103273465288</v>
      </c>
      <c r="J47" s="134">
        <f>J46/J38</f>
        <v>950.68593510918924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+C48+'14'!D48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792.96912129723069</v>
      </c>
      <c r="J48" s="134">
        <f>J46/J40</f>
        <v>999.37604699804308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+C49+'14'!D49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+I49+'14'!J49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+C50+'14'!D50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+C51+'14'!D51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30</v>
      </c>
      <c r="D52" s="143">
        <f ca="1">SUM(D38:D51)</f>
        <v>1434</v>
      </c>
      <c r="E52" s="144">
        <f ca="1">SUM(E38:E51)</f>
        <v>23.900000000000002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2.0833333333333332E-2</v>
      </c>
      <c r="D53" s="145">
        <f ca="1">D52/(24*60*G4)</f>
        <v>6.6388888888888886E-2</v>
      </c>
      <c r="E53" s="146">
        <f ca="1">E52/(G4*24)</f>
        <v>6.63888888888889E-2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+D34+'14'!J56</f>
        <v>21067</v>
      </c>
      <c r="K56" s="198">
        <f>J56/(J40+J56/1000)/1000</f>
        <v>2.9192741099588165E-2</v>
      </c>
    </row>
    <row r="57" spans="1:11">
      <c r="A57" s="173"/>
      <c r="I57" s="196" t="s">
        <v>85</v>
      </c>
      <c r="J57" s="197">
        <f>+E34+'14'!J57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H27" sqref="H2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14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574+386+349</f>
        <v>1309</v>
      </c>
    </row>
    <row r="7" spans="1:18" ht="13.5" customHeight="1" thickBot="1">
      <c r="A7" s="824" t="s">
        <v>431</v>
      </c>
      <c r="B7" s="212" t="s">
        <v>448</v>
      </c>
      <c r="C7" s="213">
        <v>8519</v>
      </c>
      <c r="D7" s="214">
        <v>860</v>
      </c>
      <c r="E7" s="215"/>
      <c r="F7" s="226"/>
      <c r="G7" s="552" t="s">
        <v>11</v>
      </c>
      <c r="H7" s="553" t="s">
        <v>385</v>
      </c>
      <c r="I7" s="827" t="s">
        <v>603</v>
      </c>
      <c r="J7" s="211" t="str">
        <f>+'13'!J7</f>
        <v>N 12 VP OW</v>
      </c>
      <c r="K7" s="233"/>
      <c r="L7" s="237"/>
      <c r="M7" s="116">
        <f>+K7+'13'!M7+L7</f>
        <v>107831</v>
      </c>
    </row>
    <row r="8" spans="1:18" ht="13.5" thickBot="1">
      <c r="A8" s="825"/>
      <c r="B8" s="212" t="s">
        <v>614</v>
      </c>
      <c r="C8" s="213">
        <v>6073</v>
      </c>
      <c r="D8" s="214"/>
      <c r="E8" s="216"/>
      <c r="F8" s="226"/>
      <c r="G8" s="554" t="s">
        <v>11</v>
      </c>
      <c r="H8" s="553" t="s">
        <v>399</v>
      </c>
      <c r="I8" s="828"/>
      <c r="J8" s="211" t="str">
        <f>+'13'!J8</f>
        <v>F 12.5 VP OW</v>
      </c>
      <c r="K8" s="234"/>
      <c r="L8" s="234"/>
      <c r="M8" s="116">
        <f>+K8+'13'!M8+L8</f>
        <v>66421</v>
      </c>
      <c r="N8" s="148">
        <v>1360</v>
      </c>
      <c r="O8" s="148">
        <f>+N8-N8*0.2</f>
        <v>1088</v>
      </c>
      <c r="P8" s="148">
        <v>15</v>
      </c>
      <c r="Q8" s="148">
        <f>+N8*P8</f>
        <v>20400</v>
      </c>
      <c r="R8" s="148">
        <f>+O8*P8</f>
        <v>16320</v>
      </c>
    </row>
    <row r="9" spans="1:18" ht="13.5" thickBot="1">
      <c r="A9" s="825"/>
      <c r="B9" s="212" t="s">
        <v>615</v>
      </c>
      <c r="C9" s="213">
        <v>1963</v>
      </c>
      <c r="D9" s="214"/>
      <c r="E9" s="217"/>
      <c r="F9" s="226">
        <v>11</v>
      </c>
      <c r="G9" s="554" t="s">
        <v>11</v>
      </c>
      <c r="H9" s="555" t="s">
        <v>445</v>
      </c>
      <c r="I9" s="828"/>
      <c r="J9" s="211" t="str">
        <f>+'13'!J9</f>
        <v>F 13 VP OW</v>
      </c>
      <c r="K9" s="234"/>
      <c r="L9" s="234"/>
      <c r="M9" s="116">
        <f>+K9+'13'!M9+L9</f>
        <v>4155</v>
      </c>
      <c r="N9" s="148">
        <v>1230</v>
      </c>
      <c r="O9" s="148">
        <f>+N9-N9*0.25</f>
        <v>922.5</v>
      </c>
      <c r="P9" s="148">
        <f>15+240</f>
        <v>255</v>
      </c>
      <c r="Q9" s="148">
        <f>+N9*P9</f>
        <v>313650</v>
      </c>
      <c r="R9" s="148">
        <f>+O9*P9</f>
        <v>235237.5</v>
      </c>
    </row>
    <row r="10" spans="1:18" ht="13.5" thickBot="1">
      <c r="A10" s="825"/>
      <c r="B10" s="212"/>
      <c r="C10" s="213"/>
      <c r="D10" s="214"/>
      <c r="E10" s="216"/>
      <c r="F10" s="226"/>
      <c r="G10" s="552"/>
      <c r="H10" s="555" t="s">
        <v>602</v>
      </c>
      <c r="I10" s="828"/>
      <c r="J10" s="211" t="str">
        <f>+'13'!J10</f>
        <v>N 17 VP OW</v>
      </c>
      <c r="K10" s="234"/>
      <c r="L10" s="234"/>
      <c r="M10" s="116">
        <f>+K10+'13'!M10+L10</f>
        <v>76374</v>
      </c>
      <c r="N10" s="148">
        <v>1180</v>
      </c>
      <c r="O10" s="148">
        <f>+N10-N10*0.25</f>
        <v>885</v>
      </c>
      <c r="P10" s="148">
        <f>30+180</f>
        <v>210</v>
      </c>
      <c r="Q10" s="148">
        <f>+N10*P10</f>
        <v>247800</v>
      </c>
      <c r="R10" s="148">
        <f>+O10*P10</f>
        <v>185850</v>
      </c>
    </row>
    <row r="11" spans="1:18" ht="13.5" thickBot="1">
      <c r="A11" s="825"/>
      <c r="B11" s="212"/>
      <c r="C11" s="213"/>
      <c r="D11" s="214"/>
      <c r="E11" s="216"/>
      <c r="F11" s="468"/>
      <c r="G11" s="469"/>
      <c r="H11" s="225" t="s">
        <v>598</v>
      </c>
      <c r="I11" s="828"/>
      <c r="J11" s="211" t="str">
        <f>+'13'!J11</f>
        <v>N 17,5 VP OW</v>
      </c>
      <c r="K11" s="234"/>
      <c r="L11" s="234"/>
      <c r="M11" s="116">
        <f>+K11+'13'!M11+L11</f>
        <v>23535</v>
      </c>
      <c r="P11" s="173">
        <f>SUM(P8:P10)</f>
        <v>480</v>
      </c>
      <c r="Q11" s="173">
        <f>SUM(Q8:Q10)</f>
        <v>581850</v>
      </c>
      <c r="R11" s="173">
        <f>SUM(R8:R10)</f>
        <v>437407.5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 t="s">
        <v>601</v>
      </c>
      <c r="I12" s="828"/>
      <c r="J12" s="211" t="str">
        <f>+'13'!J12</f>
        <v>TW 17 VP OW</v>
      </c>
      <c r="K12" s="234"/>
      <c r="L12" s="234"/>
      <c r="M12" s="116">
        <f>+K12+'13'!M12+L12</f>
        <v>243570</v>
      </c>
      <c r="Q12" s="173">
        <f>+Q11/P11</f>
        <v>1212.1875</v>
      </c>
      <c r="R12" s="173">
        <f>+R11/P11</f>
        <v>911.265625</v>
      </c>
    </row>
    <row r="13" spans="1:18" ht="13.5" thickBot="1">
      <c r="A13" s="825"/>
      <c r="B13" s="212"/>
      <c r="C13" s="213"/>
      <c r="D13" s="213"/>
      <c r="E13" s="216"/>
      <c r="F13" s="223"/>
      <c r="G13" s="227"/>
      <c r="H13" s="228" t="s">
        <v>596</v>
      </c>
      <c r="I13" s="829"/>
      <c r="J13" s="211" t="str">
        <f>+'13'!J13</f>
        <v>N 15,5 VP OW</v>
      </c>
      <c r="K13" s="234"/>
      <c r="L13" s="234"/>
      <c r="M13" s="116">
        <f>+K13+'13'!M13+L13</f>
        <v>40521</v>
      </c>
    </row>
    <row r="14" spans="1:18" ht="13.5" thickBot="1">
      <c r="A14" s="826"/>
      <c r="B14" s="164" t="s">
        <v>2</v>
      </c>
      <c r="C14" s="98">
        <f>SUM(C7:C13)</f>
        <v>16555</v>
      </c>
      <c r="D14" s="110">
        <f>SUM(D7:D13)</f>
        <v>860</v>
      </c>
      <c r="E14" s="111">
        <f>SUM(E9:E13)</f>
        <v>0</v>
      </c>
      <c r="F14" s="101">
        <f>SUM(F6:F13)</f>
        <v>11</v>
      </c>
      <c r="G14" s="158"/>
      <c r="H14" s="165"/>
      <c r="I14" s="166"/>
      <c r="J14" s="211" t="str">
        <f>+'13'!J14</f>
        <v>N 11 VP OW</v>
      </c>
      <c r="K14" s="234">
        <f>+C7</f>
        <v>8519</v>
      </c>
      <c r="L14" s="234"/>
      <c r="M14" s="116">
        <f>+K14+'13'!M14+L14</f>
        <v>41975</v>
      </c>
    </row>
    <row r="15" spans="1:18" ht="13.5" thickBot="1">
      <c r="A15" s="830" t="s">
        <v>353</v>
      </c>
      <c r="B15" s="498"/>
      <c r="C15" s="557">
        <f>C14/($C$32+$D$32+$E$32)</f>
        <v>1.0652467666173349</v>
      </c>
      <c r="D15" s="103">
        <f>D14/($C$32+$D$32+$E$32)</f>
        <v>5.5337494369731677E-2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604</v>
      </c>
      <c r="J15" s="211" t="s">
        <v>614</v>
      </c>
      <c r="K15" s="234">
        <f>+C8+C16</f>
        <v>8404</v>
      </c>
      <c r="L15" s="234"/>
      <c r="M15" s="116">
        <f>+K15+'13'!M15+L15</f>
        <v>8404</v>
      </c>
    </row>
    <row r="16" spans="1:18" ht="13.5" thickBot="1">
      <c r="A16" s="825"/>
      <c r="B16" s="212" t="s">
        <v>614</v>
      </c>
      <c r="C16" s="499">
        <v>2331</v>
      </c>
      <c r="D16" s="218"/>
      <c r="E16" s="219"/>
      <c r="F16" s="226"/>
      <c r="G16" s="554" t="s">
        <v>11</v>
      </c>
      <c r="H16" s="553" t="s">
        <v>399</v>
      </c>
      <c r="I16" s="828"/>
      <c r="J16" s="211" t="s">
        <v>615</v>
      </c>
      <c r="K16" s="224">
        <f>+C9+C17</f>
        <v>9351</v>
      </c>
      <c r="L16" s="224"/>
      <c r="M16" s="116">
        <f>+K16+'13'!M16+L16</f>
        <v>9351</v>
      </c>
      <c r="N16" s="148">
        <v>1220</v>
      </c>
      <c r="O16" s="148">
        <f>+N16-N16*0.25</f>
        <v>915</v>
      </c>
      <c r="P16" s="148">
        <v>30</v>
      </c>
      <c r="Q16" s="148">
        <f>+N16*P16</f>
        <v>36600</v>
      </c>
      <c r="R16" s="148">
        <f>+O16*P16</f>
        <v>27450</v>
      </c>
    </row>
    <row r="17" spans="1:18" ht="13.5" thickBot="1">
      <c r="A17" s="825"/>
      <c r="B17" s="212" t="s">
        <v>615</v>
      </c>
      <c r="C17" s="213">
        <v>7388</v>
      </c>
      <c r="D17" s="214"/>
      <c r="E17" s="220"/>
      <c r="F17" s="226">
        <v>12</v>
      </c>
      <c r="G17" s="554" t="s">
        <v>11</v>
      </c>
      <c r="H17" s="555" t="s">
        <v>418</v>
      </c>
      <c r="I17" s="828"/>
      <c r="J17" s="211" t="s">
        <v>616</v>
      </c>
      <c r="K17" s="224">
        <f>+C18+C25</f>
        <v>27782</v>
      </c>
      <c r="L17" s="224"/>
      <c r="M17" s="116">
        <f>+K17+'13'!M17+L17</f>
        <v>27782</v>
      </c>
      <c r="N17" s="148">
        <v>1000</v>
      </c>
      <c r="O17" s="148">
        <f>+N17-N17*0.25</f>
        <v>750</v>
      </c>
      <c r="P17" s="148">
        <v>450</v>
      </c>
      <c r="Q17" s="148">
        <f>+N17*P17</f>
        <v>450000</v>
      </c>
      <c r="R17" s="148">
        <f>+O17*P17</f>
        <v>337500</v>
      </c>
    </row>
    <row r="18" spans="1:18" ht="13.5" thickBot="1">
      <c r="A18" s="825"/>
      <c r="B18" s="212" t="s">
        <v>616</v>
      </c>
      <c r="C18" s="213">
        <v>12241</v>
      </c>
      <c r="D18" s="214"/>
      <c r="E18" s="220"/>
      <c r="F18" s="226"/>
      <c r="G18" s="552"/>
      <c r="H18" s="555" t="s">
        <v>597</v>
      </c>
      <c r="I18" s="828"/>
      <c r="J18" s="211">
        <f>+'13'!J18</f>
        <v>0</v>
      </c>
      <c r="K18" s="234"/>
      <c r="L18" s="234"/>
      <c r="M18" s="116">
        <f>+K18+'13'!M18+L18</f>
        <v>0</v>
      </c>
      <c r="P18" s="148">
        <f>SUM(P16:P17)</f>
        <v>480</v>
      </c>
      <c r="Q18" s="148">
        <f>SUM(Q16:Q17)</f>
        <v>486600</v>
      </c>
      <c r="R18" s="148">
        <f>SUM(R16:R17)</f>
        <v>364950</v>
      </c>
    </row>
    <row r="19" spans="1:18" ht="13.5" thickBot="1">
      <c r="A19" s="825"/>
      <c r="B19" s="212"/>
      <c r="C19" s="213"/>
      <c r="D19" s="214"/>
      <c r="E19" s="220"/>
      <c r="F19" s="223"/>
      <c r="G19" s="227"/>
      <c r="H19" s="225" t="s">
        <v>600</v>
      </c>
      <c r="I19" s="828"/>
      <c r="J19" s="211">
        <f>+'13'!J19</f>
        <v>0</v>
      </c>
      <c r="K19" s="234"/>
      <c r="L19" s="234"/>
      <c r="M19" s="116">
        <f>+K19+'13'!M19+L19</f>
        <v>0</v>
      </c>
      <c r="P19" s="173"/>
      <c r="Q19" s="173">
        <f>+Q18/P18</f>
        <v>1013.75</v>
      </c>
      <c r="R19" s="173">
        <f>+R18/P18</f>
        <v>760.3125</v>
      </c>
    </row>
    <row r="20" spans="1:18" ht="13.5" thickBot="1">
      <c r="A20" s="825"/>
      <c r="B20" s="212"/>
      <c r="C20" s="213"/>
      <c r="D20" s="214"/>
      <c r="E20" s="220"/>
      <c r="F20" s="223"/>
      <c r="G20" s="227"/>
      <c r="H20" s="228" t="s">
        <v>599</v>
      </c>
      <c r="I20" s="828"/>
      <c r="J20" s="211">
        <f>+'13'!J20</f>
        <v>0</v>
      </c>
      <c r="K20" s="235"/>
      <c r="L20" s="235"/>
      <c r="M20" s="116">
        <f>+K20+'13'!M20+L20</f>
        <v>0</v>
      </c>
      <c r="Q20" s="173"/>
      <c r="R20" s="173"/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+'13'!J21</f>
        <v>0</v>
      </c>
      <c r="K21" s="234"/>
      <c r="L21" s="234"/>
      <c r="M21" s="116">
        <f>+K21+'13'!M21+L21</f>
        <v>0</v>
      </c>
      <c r="N21" s="148" t="s">
        <v>449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+'13'!J22</f>
        <v>0</v>
      </c>
      <c r="K22" s="234"/>
      <c r="L22" s="234"/>
      <c r="M22" s="116">
        <f>+K22+'13'!M22+L22</f>
        <v>0</v>
      </c>
      <c r="N22" s="148">
        <v>1360</v>
      </c>
      <c r="O22" s="148">
        <f>+N22-N22*0.2</f>
        <v>1088</v>
      </c>
      <c r="P22" s="148">
        <v>15</v>
      </c>
    </row>
    <row r="23" spans="1:18" ht="13.5" thickBot="1">
      <c r="A23" s="826"/>
      <c r="B23" s="164" t="s">
        <v>2</v>
      </c>
      <c r="C23" s="98">
        <f>SUM(C16:C22)</f>
        <v>21960</v>
      </c>
      <c r="D23" s="110">
        <f>SUM(D16:D22)</f>
        <v>0</v>
      </c>
      <c r="E23" s="111">
        <f>SUM(E18:E22)</f>
        <v>0</v>
      </c>
      <c r="F23" s="101">
        <f>SUM(F15:F22)</f>
        <v>12</v>
      </c>
      <c r="G23" s="158"/>
      <c r="H23" s="165"/>
      <c r="I23" s="167"/>
      <c r="J23" s="211">
        <f>+'13'!J23</f>
        <v>0</v>
      </c>
      <c r="K23" s="234"/>
      <c r="L23" s="234"/>
      <c r="M23" s="116">
        <f>+K23+'13'!M23+L23</f>
        <v>0</v>
      </c>
      <c r="N23" s="148" t="s">
        <v>607</v>
      </c>
    </row>
    <row r="24" spans="1:18" ht="13.5" thickBot="1">
      <c r="A24" s="830" t="s">
        <v>432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605</v>
      </c>
      <c r="J24" s="211">
        <f>+'13'!J24</f>
        <v>0</v>
      </c>
      <c r="K24" s="234"/>
      <c r="L24" s="234"/>
      <c r="M24" s="116">
        <f>+K24+'13'!M24+L24</f>
        <v>0</v>
      </c>
      <c r="N24" s="148">
        <v>1230</v>
      </c>
      <c r="O24" s="148">
        <f>+N24-N24*0.25</f>
        <v>922.5</v>
      </c>
      <c r="P24" s="148">
        <f>15+240</f>
        <v>255</v>
      </c>
    </row>
    <row r="25" spans="1:18" ht="13.5" thickBot="1">
      <c r="A25" s="831"/>
      <c r="B25" s="212" t="s">
        <v>616</v>
      </c>
      <c r="C25" s="221">
        <v>15541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+'13'!J25</f>
        <v>0</v>
      </c>
      <c r="K25" s="234"/>
      <c r="L25" s="234"/>
      <c r="M25" s="116">
        <f>+K25+'13'!M25+L25</f>
        <v>0</v>
      </c>
    </row>
    <row r="26" spans="1:18" ht="13.5" thickBot="1">
      <c r="A26" s="831"/>
      <c r="B26" s="212"/>
      <c r="C26" s="221"/>
      <c r="D26" s="214"/>
      <c r="E26" s="222"/>
      <c r="F26" s="226">
        <v>6</v>
      </c>
      <c r="G26" s="554" t="s">
        <v>11</v>
      </c>
      <c r="H26" s="555" t="s">
        <v>400</v>
      </c>
      <c r="I26" s="828"/>
      <c r="J26" s="211">
        <f>+'13'!J26</f>
        <v>0</v>
      </c>
      <c r="K26" s="234"/>
      <c r="L26" s="234"/>
      <c r="M26" s="116">
        <f>+K26+'13'!M26+L26</f>
        <v>0</v>
      </c>
      <c r="N26" s="148" t="s">
        <v>606</v>
      </c>
    </row>
    <row r="27" spans="1:18" ht="13.5" thickBot="1">
      <c r="A27" s="831"/>
      <c r="B27" s="212"/>
      <c r="C27" s="213"/>
      <c r="D27" s="214"/>
      <c r="E27" s="220"/>
      <c r="F27" s="226"/>
      <c r="G27" s="552"/>
      <c r="H27" s="555" t="s">
        <v>648</v>
      </c>
      <c r="I27" s="828"/>
      <c r="J27" s="211">
        <f>+'13'!J27</f>
        <v>0</v>
      </c>
      <c r="K27" s="234"/>
      <c r="L27" s="234"/>
      <c r="M27" s="116">
        <f>+K27+'13'!M27+L27</f>
        <v>0</v>
      </c>
      <c r="N27" s="148">
        <v>1180</v>
      </c>
      <c r="O27" s="148">
        <v>885</v>
      </c>
      <c r="P27" s="148">
        <v>210</v>
      </c>
      <c r="Q27" s="148">
        <v>247800</v>
      </c>
      <c r="R27" s="148">
        <v>185850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/>
      <c r="I28" s="828"/>
      <c r="J28" s="211">
        <f>+'13'!J28</f>
        <v>0</v>
      </c>
      <c r="K28" s="234"/>
      <c r="L28" s="234"/>
      <c r="M28" s="116">
        <f>+K28+'13'!M28+L28</f>
        <v>0</v>
      </c>
      <c r="N28" s="148">
        <v>1220</v>
      </c>
      <c r="O28" s="148">
        <v>915</v>
      </c>
      <c r="P28" s="148">
        <v>30</v>
      </c>
      <c r="Q28" s="148">
        <v>36600</v>
      </c>
      <c r="R28" s="148">
        <v>27450</v>
      </c>
    </row>
    <row r="29" spans="1:18" ht="13.5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+'13'!J29</f>
        <v>0</v>
      </c>
      <c r="K29" s="234"/>
      <c r="L29" s="234"/>
      <c r="M29" s="116">
        <f>+K29+'13'!M29+L29</f>
        <v>0</v>
      </c>
      <c r="P29" s="148">
        <f>SUM(P27:P28)</f>
        <v>240</v>
      </c>
      <c r="Q29" s="148">
        <f>SUM(Q27:Q28)</f>
        <v>284400</v>
      </c>
      <c r="R29" s="148">
        <f>SUM(R27:R28)</f>
        <v>213300</v>
      </c>
    </row>
    <row r="30" spans="1:18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+'13'!J30</f>
        <v>0</v>
      </c>
      <c r="K30" s="234"/>
      <c r="L30" s="234"/>
      <c r="M30" s="116">
        <f>+K30+'13'!M30+L30</f>
        <v>0</v>
      </c>
      <c r="N30" s="154"/>
      <c r="Q30" s="173">
        <f>+Q29/P29</f>
        <v>1185</v>
      </c>
      <c r="R30" s="173">
        <f>+R29/P29</f>
        <v>888.75</v>
      </c>
    </row>
    <row r="31" spans="1:18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+'13'!J31</f>
        <v>0</v>
      </c>
      <c r="K31" s="234"/>
      <c r="L31" s="234"/>
      <c r="M31" s="116">
        <f>+K31+'13'!M31+L31</f>
        <v>0</v>
      </c>
      <c r="N31" s="148" t="s">
        <v>608</v>
      </c>
    </row>
    <row r="32" spans="1:18" ht="13.5" thickBot="1">
      <c r="A32" s="832"/>
      <c r="B32" s="164" t="s">
        <v>2</v>
      </c>
      <c r="C32" s="98">
        <f>SUM(C25:C31)</f>
        <v>15541</v>
      </c>
      <c r="D32" s="99">
        <f>SUM(D25:D31)</f>
        <v>0</v>
      </c>
      <c r="E32" s="100">
        <f>SUM(E25:E31)</f>
        <v>0</v>
      </c>
      <c r="F32" s="98">
        <f>SUM(F24:F31)</f>
        <v>6</v>
      </c>
      <c r="G32" s="168"/>
      <c r="H32" s="169"/>
      <c r="I32" s="167"/>
      <c r="J32" s="211">
        <f>+'13'!J32</f>
        <v>0</v>
      </c>
      <c r="K32" s="236"/>
      <c r="L32" s="238"/>
      <c r="M32" s="116">
        <f>+K32+'13'!M32+L32</f>
        <v>0</v>
      </c>
      <c r="N32" s="148">
        <v>1000</v>
      </c>
      <c r="O32" s="148">
        <f>+N32-N32*0.25</f>
        <v>750</v>
      </c>
      <c r="P32" s="148">
        <f>450+480</f>
        <v>930</v>
      </c>
    </row>
    <row r="33" spans="1:16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  <c r="P33" s="148">
        <f>+P22+P24+P29+P32</f>
        <v>1440</v>
      </c>
    </row>
    <row r="34" spans="1:16" ht="13.5" thickBot="1">
      <c r="A34" s="833" t="s">
        <v>53</v>
      </c>
      <c r="B34" s="834"/>
      <c r="C34" s="106">
        <f>C14+C23+C32</f>
        <v>54056</v>
      </c>
      <c r="D34" s="106">
        <f>D14+D23+D32</f>
        <v>860</v>
      </c>
      <c r="E34" s="106">
        <f>E14+E23+E32</f>
        <v>0</v>
      </c>
      <c r="F34" s="107">
        <f>F14+F23+F32</f>
        <v>29</v>
      </c>
      <c r="H34" s="175"/>
      <c r="I34" s="175"/>
      <c r="J34" s="122" t="s">
        <v>27</v>
      </c>
      <c r="K34" s="123">
        <f>SUM(K7:K32)</f>
        <v>54056</v>
      </c>
      <c r="L34" s="209">
        <f>SUM(L7:L32)</f>
        <v>0</v>
      </c>
      <c r="M34" s="119">
        <f>SUM(M7:M32)</f>
        <v>649919</v>
      </c>
      <c r="N34" s="154"/>
    </row>
    <row r="35" spans="1:16" ht="13.5" thickBot="1">
      <c r="A35" s="176"/>
      <c r="B35" s="177"/>
      <c r="C35" s="103">
        <f>C34/($C$34+$D$34+$E$34)</f>
        <v>0.98433971884332438</v>
      </c>
      <c r="D35" s="103">
        <f>D34/($C$34+$D$34+$E$34)</f>
        <v>1.566028115667565E-2</v>
      </c>
      <c r="E35" s="108">
        <f>E34/($C$34+$D$34+$E$34)</f>
        <v>0</v>
      </c>
      <c r="K35" s="154"/>
    </row>
    <row r="36" spans="1:16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6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(11*15+14*255+16*240+18*930)/1440*G42*2.85*1440/1000000</f>
        <v>55.936638503906259</v>
      </c>
      <c r="J37" s="124">
        <f>+I37+'13'!J37</f>
        <v>730.23074488232817</v>
      </c>
      <c r="K37" s="125" t="s">
        <v>59</v>
      </c>
      <c r="N37" s="148">
        <v>1.0780000000000001</v>
      </c>
    </row>
    <row r="38" spans="1:16" ht="17.45" customHeight="1">
      <c r="A38" s="822" t="s">
        <v>11</v>
      </c>
      <c r="B38" s="823"/>
      <c r="C38" s="163">
        <f>SUMIF($G$7:$G$31,"Process",$F$7:$F$31)</f>
        <v>29</v>
      </c>
      <c r="D38" s="117">
        <f>+C38+'13'!D38</f>
        <v>634</v>
      </c>
      <c r="E38" s="142">
        <f t="shared" ref="E38:E51" si="0">D38/60</f>
        <v>10.566666666666666</v>
      </c>
      <c r="F38" s="320">
        <v>1212.1875</v>
      </c>
      <c r="G38" s="320">
        <v>911.265625</v>
      </c>
      <c r="H38" s="184" t="s">
        <v>60</v>
      </c>
      <c r="I38" s="501">
        <f>16.342+17.714+17.537</f>
        <v>51.592999999999996</v>
      </c>
      <c r="J38" s="126">
        <f>+I38+'13'!J38</f>
        <v>681.03099999999995</v>
      </c>
      <c r="K38" s="127" t="s">
        <v>59</v>
      </c>
      <c r="N38" s="598">
        <v>8.64</v>
      </c>
    </row>
    <row r="39" spans="1:16" ht="17.45" customHeight="1">
      <c r="A39" s="818" t="s">
        <v>12</v>
      </c>
      <c r="B39" s="819"/>
      <c r="C39" s="163">
        <f>SUMIF($G$7:$G$31,"Cleaning",$F$7:$F$31)</f>
        <v>0</v>
      </c>
      <c r="D39" s="117">
        <f>+C39+'13'!D39</f>
        <v>0</v>
      </c>
      <c r="E39" s="142">
        <f t="shared" si="0"/>
        <v>0</v>
      </c>
      <c r="F39" s="320">
        <v>1013.75</v>
      </c>
      <c r="G39" s="320">
        <v>760.3125</v>
      </c>
      <c r="H39" s="184" t="s">
        <v>61</v>
      </c>
      <c r="I39" s="141"/>
      <c r="J39" s="128">
        <f>J37/G4</f>
        <v>52.159338920166299</v>
      </c>
      <c r="K39" s="129" t="s">
        <v>59</v>
      </c>
      <c r="N39" s="148">
        <f>6.624+3.61</f>
        <v>10.234</v>
      </c>
    </row>
    <row r="40" spans="1:16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+C40+'13'!D40</f>
        <v>0</v>
      </c>
      <c r="E40" s="142">
        <f t="shared" ca="1" si="0"/>
        <v>0</v>
      </c>
      <c r="F40" s="320">
        <v>1000</v>
      </c>
      <c r="G40" s="320">
        <v>750</v>
      </c>
      <c r="H40" s="184" t="s">
        <v>63</v>
      </c>
      <c r="I40" s="117">
        <f>(K34+L34)/1000</f>
        <v>54.055999999999997</v>
      </c>
      <c r="J40" s="130">
        <f>+I40+'13'!J40</f>
        <v>649.91899999999998</v>
      </c>
      <c r="K40" s="129" t="s">
        <v>59</v>
      </c>
      <c r="N40" s="598">
        <f>+I38-N37-N38-N39</f>
        <v>31.640999999999991</v>
      </c>
    </row>
    <row r="41" spans="1:16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+C41+'13'!D41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46.422785714285716</v>
      </c>
      <c r="K41" s="129" t="s">
        <v>59</v>
      </c>
    </row>
    <row r="42" spans="1:16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+C42+'13'!D42</f>
        <v>0</v>
      </c>
      <c r="E42" s="142">
        <f t="shared" ca="1" si="0"/>
        <v>0</v>
      </c>
      <c r="F42" s="320">
        <f>+(F38*480+F39*480+F40*480)/1440</f>
        <v>1075.3125</v>
      </c>
      <c r="G42" s="320">
        <f>+(G38*480+G39*480+G40*480)/1440</f>
        <v>807.19270833333337</v>
      </c>
      <c r="H42" s="184" t="s">
        <v>66</v>
      </c>
      <c r="I42" s="241" t="s">
        <v>609</v>
      </c>
      <c r="J42" s="131"/>
      <c r="K42" s="129" t="s">
        <v>67</v>
      </c>
    </row>
    <row r="43" spans="1:16" ht="17.45" customHeight="1">
      <c r="A43" s="818" t="s">
        <v>68</v>
      </c>
      <c r="B43" s="819"/>
      <c r="C43" s="163">
        <f>SUMIF($G$7:$G$31,"Water",$F$7:$F$31)</f>
        <v>0</v>
      </c>
      <c r="D43" s="117">
        <f ca="1">+C43+'13'!D43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+Report1!T22</f>
        <v>123.4</v>
      </c>
      <c r="J43" s="132">
        <f>+I43+'13'!J43</f>
        <v>1685.8</v>
      </c>
      <c r="K43" s="129" t="s">
        <v>59</v>
      </c>
      <c r="L43" s="186"/>
    </row>
    <row r="44" spans="1:16" ht="17.45" customHeight="1">
      <c r="A44" s="818" t="s">
        <v>16</v>
      </c>
      <c r="B44" s="819"/>
      <c r="C44" s="163">
        <f>SUMIF($G$7:$G$31,"PLN",$F$7:$F$31)</f>
        <v>0</v>
      </c>
      <c r="D44" s="117">
        <f>+C44+'13'!D44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2.3917973368480223</v>
      </c>
      <c r="J44" s="133">
        <f>J43/J38</f>
        <v>2.4753645575605225</v>
      </c>
      <c r="K44" s="129" t="s">
        <v>59</v>
      </c>
    </row>
    <row r="45" spans="1:16" ht="17.45" customHeight="1">
      <c r="A45" s="818" t="s">
        <v>17</v>
      </c>
      <c r="B45" s="819"/>
      <c r="C45" s="163">
        <f>SUMIF($G$7:$G$31,"Boiler",$F$7:$F$31)</f>
        <v>0</v>
      </c>
      <c r="D45" s="117">
        <f>+C45+'13'!D45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2.2828178185585322</v>
      </c>
      <c r="J45" s="133">
        <f>J43/J40</f>
        <v>2.5938616966114241</v>
      </c>
      <c r="K45" s="129" t="s">
        <v>59</v>
      </c>
    </row>
    <row r="46" spans="1:16" ht="17.45" customHeight="1">
      <c r="A46" s="818" t="s">
        <v>72</v>
      </c>
      <c r="B46" s="819"/>
      <c r="C46" s="163">
        <f>SUMIF($G$7:$G$31,"Gas",$F$7:$F$31)</f>
        <v>0</v>
      </c>
      <c r="D46" s="117">
        <f>+C46+'13'!D46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+SUMIF(Listrik!AN21,"&gt;0")</f>
        <v>39509.714548418764</v>
      </c>
      <c r="J46" s="134">
        <f>+I46+'13'!J46</f>
        <v>659971.29438647861</v>
      </c>
      <c r="K46" s="129" t="s">
        <v>74</v>
      </c>
    </row>
    <row r="47" spans="1:16" ht="17.45" customHeight="1">
      <c r="A47" s="818" t="s">
        <v>75</v>
      </c>
      <c r="B47" s="819"/>
      <c r="C47" s="163">
        <f>SUMIF($G$7:$G$31,"Gas",$F$7:$F$31)</f>
        <v>0</v>
      </c>
      <c r="D47" s="117">
        <f>+C47+'13'!D47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765.79602946947773</v>
      </c>
      <c r="J47" s="134">
        <f>J46/J38</f>
        <v>969.07672982063764</v>
      </c>
      <c r="K47" s="129" t="s">
        <v>23</v>
      </c>
    </row>
    <row r="48" spans="1:16" ht="17.45" customHeight="1">
      <c r="A48" s="818" t="s">
        <v>13</v>
      </c>
      <c r="B48" s="819"/>
      <c r="C48" s="163">
        <f>SUMIF($G$7:$G$31,"Start Up",$F$7:$F$31)</f>
        <v>0</v>
      </c>
      <c r="D48" s="117">
        <f>+C48+'13'!D48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730.90340662310871</v>
      </c>
      <c r="J48" s="134">
        <f>J46/J40</f>
        <v>1015.4669957125097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+C49+'13'!D49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+I49+'13'!J49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+C50+'13'!D50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+C51+'13'!D51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29</v>
      </c>
      <c r="D52" s="143">
        <f ca="1">SUM(D38:D51)</f>
        <v>1404</v>
      </c>
      <c r="E52" s="144">
        <f ca="1">SUM(E38:E51)</f>
        <v>23.400000000000002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2.013888888888889E-2</v>
      </c>
      <c r="D53" s="145">
        <f ca="1">D52/(24*60*G4)</f>
        <v>6.9642857142857145E-2</v>
      </c>
      <c r="E53" s="146">
        <f ca="1">E52/(G4*24)</f>
        <v>6.9642857142857145E-2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+D34+'13'!J56</f>
        <v>21067</v>
      </c>
      <c r="K56" s="198">
        <f>J56/(J40+J56/1000)/1000</f>
        <v>3.1397078329503149E-2</v>
      </c>
    </row>
    <row r="57" spans="1:11">
      <c r="A57" s="173"/>
      <c r="I57" s="196" t="s">
        <v>85</v>
      </c>
      <c r="J57" s="197">
        <f>+E34+'13'!J57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A7:A14"/>
    <mergeCell ref="I7:I13"/>
    <mergeCell ref="A15:A23"/>
    <mergeCell ref="I15:I22"/>
    <mergeCell ref="A34:B34"/>
  </mergeCells>
  <phoneticPr fontId="31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3" zoomScale="80" zoomScaleNormal="70" zoomScaleSheetLayoutView="80" workbookViewId="0">
      <selection activeCell="A44" sqref="A44:B44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13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443+531+532</f>
        <v>1506</v>
      </c>
    </row>
    <row r="7" spans="1:18" ht="13.5" customHeight="1" thickBot="1">
      <c r="A7" s="824" t="s">
        <v>431</v>
      </c>
      <c r="B7" s="212" t="s">
        <v>448</v>
      </c>
      <c r="C7" s="213">
        <v>3379</v>
      </c>
      <c r="D7" s="214"/>
      <c r="E7" s="215"/>
      <c r="F7" s="226">
        <v>15</v>
      </c>
      <c r="G7" s="552" t="s">
        <v>11</v>
      </c>
      <c r="H7" s="553" t="s">
        <v>585</v>
      </c>
      <c r="I7" s="827" t="s">
        <v>562</v>
      </c>
      <c r="J7" s="211" t="str">
        <f>+'12'!J7</f>
        <v>N 12 VP OW</v>
      </c>
      <c r="K7" s="233"/>
      <c r="L7" s="237"/>
      <c r="M7" s="116">
        <f>+K7+'12'!M7+L7</f>
        <v>107831</v>
      </c>
    </row>
    <row r="8" spans="1:18" ht="13.5" thickBot="1">
      <c r="A8" s="825"/>
      <c r="B8" s="212"/>
      <c r="C8" s="213"/>
      <c r="D8" s="214"/>
      <c r="E8" s="216"/>
      <c r="F8" s="226"/>
      <c r="G8" s="554" t="s">
        <v>11</v>
      </c>
      <c r="H8" s="553" t="s">
        <v>399</v>
      </c>
      <c r="I8" s="828"/>
      <c r="J8" s="211" t="str">
        <f>+'12'!J8</f>
        <v>F 12.5 VP OW</v>
      </c>
      <c r="K8" s="234"/>
      <c r="L8" s="234"/>
      <c r="M8" s="116">
        <f>+K8+'12'!M8+L8</f>
        <v>66421</v>
      </c>
      <c r="N8" s="148">
        <v>1370</v>
      </c>
      <c r="O8" s="148">
        <f>+N8-N8*0.2</f>
        <v>1096</v>
      </c>
      <c r="P8" s="148">
        <v>180</v>
      </c>
    </row>
    <row r="9" spans="1:18" ht="13.5" thickBot="1">
      <c r="A9" s="825"/>
      <c r="B9" s="212"/>
      <c r="C9" s="213"/>
      <c r="D9" s="214"/>
      <c r="E9" s="217"/>
      <c r="F9" s="226">
        <v>4</v>
      </c>
      <c r="G9" s="554" t="s">
        <v>11</v>
      </c>
      <c r="H9" s="555" t="s">
        <v>588</v>
      </c>
      <c r="I9" s="828"/>
      <c r="J9" s="211" t="str">
        <f>+'12'!J9</f>
        <v>F 13 VP OW</v>
      </c>
      <c r="K9" s="234"/>
      <c r="L9" s="234"/>
      <c r="M9" s="116">
        <f>+K9+'12'!M9+L9</f>
        <v>4155</v>
      </c>
      <c r="N9" s="148">
        <v>1235</v>
      </c>
      <c r="O9" s="148">
        <f>+N9-N9*0.2</f>
        <v>988</v>
      </c>
      <c r="P9" s="148">
        <f>480-198</f>
        <v>282</v>
      </c>
    </row>
    <row r="10" spans="1:18" ht="13.5" thickBot="1">
      <c r="A10" s="825"/>
      <c r="B10" s="212"/>
      <c r="C10" s="213"/>
      <c r="D10" s="214"/>
      <c r="E10" s="216"/>
      <c r="F10" s="226"/>
      <c r="G10" s="552"/>
      <c r="H10" s="555" t="s">
        <v>550</v>
      </c>
      <c r="I10" s="828"/>
      <c r="J10" s="211" t="str">
        <f>+'12'!J10</f>
        <v>N 17 VP OW</v>
      </c>
      <c r="K10" s="234"/>
      <c r="L10" s="234"/>
      <c r="M10" s="116">
        <f>+K10+'12'!M10+L10</f>
        <v>76374</v>
      </c>
      <c r="N10" s="148">
        <v>1235</v>
      </c>
      <c r="O10" s="148">
        <f>+N10-N10*0.2</f>
        <v>988</v>
      </c>
      <c r="P10" s="148">
        <v>480</v>
      </c>
    </row>
    <row r="11" spans="1:18" ht="26.25" thickBot="1">
      <c r="A11" s="825"/>
      <c r="B11" s="212"/>
      <c r="C11" s="213"/>
      <c r="D11" s="214"/>
      <c r="E11" s="216"/>
      <c r="F11" s="468"/>
      <c r="G11" s="469"/>
      <c r="H11" s="225" t="s">
        <v>586</v>
      </c>
      <c r="I11" s="828"/>
      <c r="J11" s="211" t="str">
        <f>+'12'!J11</f>
        <v>N 17,5 VP OW</v>
      </c>
      <c r="K11" s="234"/>
      <c r="L11" s="234"/>
      <c r="M11" s="116">
        <f>+K11+'12'!M11+L11</f>
        <v>23535</v>
      </c>
      <c r="P11" s="148">
        <f>SUM(P8:P10)</f>
        <v>942</v>
      </c>
    </row>
    <row r="12" spans="1:18" ht="13.5" thickBot="1">
      <c r="A12" s="825"/>
      <c r="B12" s="212"/>
      <c r="C12" s="213"/>
      <c r="D12" s="214"/>
      <c r="E12" s="216" t="s">
        <v>414</v>
      </c>
      <c r="F12" s="468">
        <v>300</v>
      </c>
      <c r="G12" s="227" t="s">
        <v>16</v>
      </c>
      <c r="H12" s="228" t="s">
        <v>591</v>
      </c>
      <c r="I12" s="828"/>
      <c r="J12" s="211" t="str">
        <f>+'12'!J12</f>
        <v>TW 17 VP OW</v>
      </c>
      <c r="K12" s="234"/>
      <c r="L12" s="234"/>
      <c r="M12" s="116">
        <f>+K12+'12'!M12+L12</f>
        <v>243570</v>
      </c>
    </row>
    <row r="13" spans="1:18" ht="26.25" thickBot="1">
      <c r="A13" s="825"/>
      <c r="B13" s="212"/>
      <c r="C13" s="213"/>
      <c r="D13" s="213"/>
      <c r="E13" s="216"/>
      <c r="F13" s="223"/>
      <c r="G13" s="227"/>
      <c r="H13" s="228" t="s">
        <v>592</v>
      </c>
      <c r="I13" s="829"/>
      <c r="J13" s="211" t="str">
        <f>+'12'!J13</f>
        <v>N 15,5 VP OW</v>
      </c>
      <c r="K13" s="234"/>
      <c r="L13" s="234"/>
      <c r="M13" s="116">
        <f>+K13+'12'!M13+L13</f>
        <v>40521</v>
      </c>
      <c r="P13" s="173"/>
    </row>
    <row r="14" spans="1:18" ht="13.5" thickBot="1">
      <c r="A14" s="826"/>
      <c r="B14" s="164" t="s">
        <v>2</v>
      </c>
      <c r="C14" s="98">
        <f>SUM(C7:C13)</f>
        <v>3379</v>
      </c>
      <c r="D14" s="110">
        <f>SUM(D7:D13)</f>
        <v>0</v>
      </c>
      <c r="E14" s="111">
        <f>SUM(E9:E13)</f>
        <v>0</v>
      </c>
      <c r="F14" s="101">
        <f>SUM(F6:F13)</f>
        <v>319</v>
      </c>
      <c r="G14" s="158"/>
      <c r="H14" s="165"/>
      <c r="I14" s="166"/>
      <c r="J14" s="211" t="str">
        <f>+'12'!J14</f>
        <v>N 11 VP OW</v>
      </c>
      <c r="K14" s="234">
        <f>+C34</f>
        <v>18167</v>
      </c>
      <c r="L14" s="234"/>
      <c r="M14" s="116">
        <f>+K14+'12'!M14+L14</f>
        <v>33456</v>
      </c>
      <c r="Q14" s="173"/>
      <c r="R14" s="173"/>
    </row>
    <row r="15" spans="1:18" ht="13.5" thickBot="1">
      <c r="A15" s="830" t="s">
        <v>353</v>
      </c>
      <c r="B15" s="498"/>
      <c r="C15" s="557">
        <f>C14/($C$32+$D$32+$E$32)</f>
        <v>0.26648264984227127</v>
      </c>
      <c r="D15" s="103">
        <f>D14/($C$32+$D$32+$E$32)</f>
        <v>0</v>
      </c>
      <c r="E15" s="104">
        <f>E14/($C$32+$D$32+$E$32)</f>
        <v>0</v>
      </c>
      <c r="F15" s="226">
        <v>20</v>
      </c>
      <c r="G15" s="552" t="s">
        <v>11</v>
      </c>
      <c r="H15" s="553" t="s">
        <v>474</v>
      </c>
      <c r="I15" s="827" t="s">
        <v>584</v>
      </c>
      <c r="J15" s="211">
        <f>+'12'!J15</f>
        <v>0</v>
      </c>
      <c r="K15" s="234"/>
      <c r="L15" s="234"/>
      <c r="M15" s="116">
        <f>+K15+'12'!M15+L15</f>
        <v>0</v>
      </c>
    </row>
    <row r="16" spans="1:18" ht="13.5" thickBot="1">
      <c r="A16" s="825"/>
      <c r="B16" s="212" t="s">
        <v>448</v>
      </c>
      <c r="C16" s="499">
        <v>6044</v>
      </c>
      <c r="D16" s="218">
        <v>790</v>
      </c>
      <c r="E16" s="219"/>
      <c r="F16" s="226">
        <v>1</v>
      </c>
      <c r="G16" s="554" t="s">
        <v>11</v>
      </c>
      <c r="H16" s="553" t="s">
        <v>420</v>
      </c>
      <c r="I16" s="828"/>
      <c r="J16" s="211">
        <f>+'12'!J16</f>
        <v>0</v>
      </c>
      <c r="K16" s="224"/>
      <c r="L16" s="224"/>
      <c r="M16" s="116">
        <f>+K16+'12'!M16+L16</f>
        <v>0</v>
      </c>
    </row>
    <row r="17" spans="1:18" ht="13.5" thickBot="1">
      <c r="A17" s="825"/>
      <c r="B17" s="212"/>
      <c r="C17" s="213"/>
      <c r="D17" s="214"/>
      <c r="E17" s="220"/>
      <c r="F17" s="226">
        <v>10</v>
      </c>
      <c r="G17" s="554" t="s">
        <v>11</v>
      </c>
      <c r="H17" s="555" t="s">
        <v>472</v>
      </c>
      <c r="I17" s="828"/>
      <c r="J17" s="211">
        <f>+'12'!J17</f>
        <v>0</v>
      </c>
      <c r="K17" s="224"/>
      <c r="L17" s="224"/>
      <c r="M17" s="116">
        <f>+K17+'12'!M17+L17</f>
        <v>0</v>
      </c>
    </row>
    <row r="18" spans="1:18" ht="26.25" thickBot="1">
      <c r="A18" s="825"/>
      <c r="B18" s="212"/>
      <c r="C18" s="213"/>
      <c r="D18" s="214"/>
      <c r="E18" s="220"/>
      <c r="F18" s="223">
        <f>180+18</f>
        <v>198</v>
      </c>
      <c r="G18" s="227" t="s">
        <v>16</v>
      </c>
      <c r="H18" s="555" t="s">
        <v>575</v>
      </c>
      <c r="I18" s="828"/>
      <c r="J18" s="211">
        <f>+'12'!J18</f>
        <v>0</v>
      </c>
      <c r="K18" s="234"/>
      <c r="L18" s="234"/>
      <c r="M18" s="116">
        <f>+K18+'12'!M18+L18</f>
        <v>0</v>
      </c>
    </row>
    <row r="19" spans="1:18" ht="39" thickBot="1">
      <c r="A19" s="825"/>
      <c r="B19" s="212"/>
      <c r="C19" s="213"/>
      <c r="D19" s="214"/>
      <c r="E19" s="220"/>
      <c r="F19" s="223"/>
      <c r="G19" s="227"/>
      <c r="H19" s="225" t="s">
        <v>576</v>
      </c>
      <c r="I19" s="828"/>
      <c r="J19" s="211">
        <f>+'12'!J19</f>
        <v>0</v>
      </c>
      <c r="K19" s="234"/>
      <c r="L19" s="234"/>
      <c r="M19" s="116">
        <f>+K19+'12'!M19+L19</f>
        <v>0</v>
      </c>
      <c r="P19" s="173"/>
    </row>
    <row r="20" spans="1:18" ht="26.25" thickBot="1">
      <c r="A20" s="825"/>
      <c r="B20" s="212"/>
      <c r="C20" s="213"/>
      <c r="D20" s="214"/>
      <c r="E20" s="220"/>
      <c r="F20" s="223"/>
      <c r="G20" s="227"/>
      <c r="H20" s="228" t="s">
        <v>580</v>
      </c>
      <c r="I20" s="828"/>
      <c r="J20" s="211">
        <f>+'12'!J20</f>
        <v>0</v>
      </c>
      <c r="K20" s="235"/>
      <c r="L20" s="235"/>
      <c r="M20" s="116">
        <f>+K20+'12'!M20+L20</f>
        <v>0</v>
      </c>
      <c r="Q20" s="173"/>
      <c r="R20" s="173"/>
    </row>
    <row r="21" spans="1:18" ht="13.5" thickBot="1">
      <c r="A21" s="825"/>
      <c r="B21" s="212"/>
      <c r="C21" s="213"/>
      <c r="D21" s="214"/>
      <c r="E21" s="220"/>
      <c r="F21" s="226"/>
      <c r="G21" s="227"/>
      <c r="H21" s="228" t="s">
        <v>577</v>
      </c>
      <c r="I21" s="828"/>
      <c r="J21" s="211">
        <f>+'12'!J21</f>
        <v>0</v>
      </c>
      <c r="K21" s="234"/>
      <c r="L21" s="234"/>
      <c r="M21" s="116">
        <f>+K21+'12'!M21+L21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 t="s">
        <v>578</v>
      </c>
      <c r="I22" s="829"/>
      <c r="J22" s="211">
        <f>+'12'!J22</f>
        <v>0</v>
      </c>
      <c r="K22" s="234"/>
      <c r="L22" s="234"/>
      <c r="M22" s="116">
        <f>+K22+'12'!M22+L22</f>
        <v>0</v>
      </c>
    </row>
    <row r="23" spans="1:18" ht="13.5" thickBot="1">
      <c r="A23" s="826"/>
      <c r="B23" s="164" t="s">
        <v>2</v>
      </c>
      <c r="C23" s="98">
        <f>SUM(C16:C22)</f>
        <v>6044</v>
      </c>
      <c r="D23" s="110">
        <f>SUM(D16:D22)</f>
        <v>790</v>
      </c>
      <c r="E23" s="111">
        <f>SUM(E18:E22)</f>
        <v>0</v>
      </c>
      <c r="F23" s="101">
        <f>SUM(F15:F22)</f>
        <v>229</v>
      </c>
      <c r="G23" s="158"/>
      <c r="H23" s="165"/>
      <c r="I23" s="167"/>
      <c r="J23" s="211">
        <f>+'12'!J23</f>
        <v>0</v>
      </c>
      <c r="K23" s="234"/>
      <c r="L23" s="234"/>
      <c r="M23" s="116">
        <f>+K23+'12'!M23+L23</f>
        <v>0</v>
      </c>
    </row>
    <row r="24" spans="1:18" ht="13.5" thickBot="1">
      <c r="A24" s="830" t="s">
        <v>219</v>
      </c>
      <c r="B24" s="498"/>
      <c r="C24" s="112">
        <f>C23/($C$23+$D$23+$E$23)</f>
        <v>0.884401521802751</v>
      </c>
      <c r="D24" s="113">
        <f>D23/($C$23+$D$23+$E$23)</f>
        <v>0.11559847819724905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584</v>
      </c>
      <c r="J24" s="211">
        <f>+'12'!J24</f>
        <v>0</v>
      </c>
      <c r="K24" s="234"/>
      <c r="L24" s="234"/>
      <c r="M24" s="116">
        <f>+K24+'12'!M24+L24</f>
        <v>0</v>
      </c>
    </row>
    <row r="25" spans="1:18" ht="13.5" thickBot="1">
      <c r="A25" s="831"/>
      <c r="B25" s="212" t="s">
        <v>448</v>
      </c>
      <c r="C25" s="221">
        <v>8744</v>
      </c>
      <c r="D25" s="214">
        <v>3936</v>
      </c>
      <c r="E25" s="220"/>
      <c r="F25" s="226">
        <v>2</v>
      </c>
      <c r="G25" s="554" t="s">
        <v>11</v>
      </c>
      <c r="H25" s="553" t="s">
        <v>419</v>
      </c>
      <c r="I25" s="828"/>
      <c r="J25" s="211">
        <f>+'12'!J25</f>
        <v>0</v>
      </c>
      <c r="K25" s="234"/>
      <c r="L25" s="234"/>
      <c r="M25" s="116">
        <f>+K25+'12'!M25+L25</f>
        <v>0</v>
      </c>
      <c r="N25" s="173"/>
      <c r="O25" s="173"/>
      <c r="P25" s="173"/>
    </row>
    <row r="26" spans="1:18" ht="13.5" thickBot="1">
      <c r="A26" s="831"/>
      <c r="B26" s="212"/>
      <c r="C26" s="221"/>
      <c r="D26" s="214"/>
      <c r="E26" s="222"/>
      <c r="F26" s="226">
        <v>10</v>
      </c>
      <c r="G26" s="554" t="s">
        <v>11</v>
      </c>
      <c r="H26" s="555" t="s">
        <v>418</v>
      </c>
      <c r="I26" s="828"/>
      <c r="J26" s="211">
        <f>+'12'!J26</f>
        <v>0</v>
      </c>
      <c r="K26" s="234"/>
      <c r="L26" s="234"/>
      <c r="M26" s="116">
        <f>+K26+'12'!M26+L26</f>
        <v>0</v>
      </c>
    </row>
    <row r="27" spans="1:18" ht="13.5" thickBot="1">
      <c r="A27" s="831"/>
      <c r="B27" s="212"/>
      <c r="C27" s="213"/>
      <c r="D27" s="214"/>
      <c r="E27" s="220"/>
      <c r="F27" s="226"/>
      <c r="G27" s="552"/>
      <c r="H27" s="555" t="s">
        <v>579</v>
      </c>
      <c r="I27" s="828"/>
      <c r="J27" s="211">
        <f>+'12'!J27</f>
        <v>0</v>
      </c>
      <c r="K27" s="234"/>
      <c r="L27" s="234"/>
      <c r="M27" s="116">
        <f>+K27+'12'!M27+L27</f>
        <v>0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583</v>
      </c>
      <c r="I28" s="828"/>
      <c r="J28" s="211">
        <f>+'12'!J28</f>
        <v>0</v>
      </c>
      <c r="K28" s="234"/>
      <c r="L28" s="234"/>
      <c r="M28" s="116">
        <f>+K28+'12'!M28+L28</f>
        <v>0</v>
      </c>
    </row>
    <row r="29" spans="1:18" ht="13.5" customHeight="1" thickBot="1">
      <c r="A29" s="831"/>
      <c r="B29" s="212"/>
      <c r="C29" s="213"/>
      <c r="D29" s="214"/>
      <c r="E29" s="220"/>
      <c r="F29" s="231"/>
      <c r="G29" s="227"/>
      <c r="H29" s="228" t="s">
        <v>581</v>
      </c>
      <c r="I29" s="828"/>
      <c r="J29" s="211">
        <f>+'12'!J29</f>
        <v>0</v>
      </c>
      <c r="K29" s="234"/>
      <c r="L29" s="234"/>
      <c r="M29" s="116">
        <f>+K29+'12'!M29+L29</f>
        <v>0</v>
      </c>
    </row>
    <row r="30" spans="1:18" ht="13.5" thickBot="1">
      <c r="A30" s="831"/>
      <c r="B30" s="212"/>
      <c r="C30" s="221"/>
      <c r="D30" s="214"/>
      <c r="E30" s="220"/>
      <c r="F30" s="231"/>
      <c r="G30" s="227"/>
      <c r="H30" s="228" t="s">
        <v>582</v>
      </c>
      <c r="I30" s="828"/>
      <c r="J30" s="211">
        <f>+'12'!J30</f>
        <v>0</v>
      </c>
      <c r="K30" s="234"/>
      <c r="L30" s="234"/>
      <c r="M30" s="116">
        <f>+K30+'12'!M30+L30</f>
        <v>0</v>
      </c>
      <c r="N30" s="154"/>
    </row>
    <row r="31" spans="1:18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+'12'!J31</f>
        <v>0</v>
      </c>
      <c r="K31" s="234"/>
      <c r="L31" s="234"/>
      <c r="M31" s="116">
        <f>+K31+'12'!M31+L31</f>
        <v>0</v>
      </c>
    </row>
    <row r="32" spans="1:18" ht="13.5" thickBot="1">
      <c r="A32" s="832"/>
      <c r="B32" s="164" t="s">
        <v>2</v>
      </c>
      <c r="C32" s="98">
        <f>SUM(C25:C31)</f>
        <v>8744</v>
      </c>
      <c r="D32" s="99">
        <f>SUM(D25:D31)</f>
        <v>3936</v>
      </c>
      <c r="E32" s="100">
        <f>SUM(E25:E31)</f>
        <v>0</v>
      </c>
      <c r="F32" s="98">
        <f>SUM(F24:F31)</f>
        <v>12</v>
      </c>
      <c r="G32" s="168"/>
      <c r="H32" s="169"/>
      <c r="I32" s="167"/>
      <c r="J32" s="211">
        <f>+'12'!J32</f>
        <v>0</v>
      </c>
      <c r="K32" s="236"/>
      <c r="L32" s="238"/>
      <c r="M32" s="116">
        <f>+K32+'12'!M32+L32</f>
        <v>0</v>
      </c>
    </row>
    <row r="33" spans="1:14" ht="13.5" thickBot="1">
      <c r="A33" s="170"/>
      <c r="B33" s="171"/>
      <c r="C33" s="102">
        <f>C32/($C$32+$D$32+$E$32)</f>
        <v>0.68958990536277598</v>
      </c>
      <c r="D33" s="103">
        <f>D32/($C$32+$D$32+$E$32)</f>
        <v>0.31041009463722397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18167</v>
      </c>
      <c r="D34" s="106">
        <f>D14+D23+D32</f>
        <v>4726</v>
      </c>
      <c r="E34" s="106">
        <f>E14+E23+E32</f>
        <v>0</v>
      </c>
      <c r="F34" s="107">
        <f>F14+F23+F32</f>
        <v>560</v>
      </c>
      <c r="H34" s="175"/>
      <c r="I34" s="175"/>
      <c r="J34" s="122" t="s">
        <v>27</v>
      </c>
      <c r="K34" s="123">
        <f>SUM(K7:K32)</f>
        <v>18167</v>
      </c>
      <c r="L34" s="209">
        <f>SUM(L7:L32)</f>
        <v>0</v>
      </c>
      <c r="M34" s="119">
        <f>SUM(M7:M32)</f>
        <v>595863</v>
      </c>
      <c r="N34" s="154"/>
    </row>
    <row r="35" spans="1:14" ht="13.5" thickBot="1">
      <c r="A35" s="176"/>
      <c r="B35" s="177"/>
      <c r="C35" s="103">
        <f>C34/($C$34+$D$34+$E$34)</f>
        <v>0.79356135063119726</v>
      </c>
      <c r="D35" s="103">
        <f>D34/($C$34+$D$34+$E$34)</f>
        <v>0.20643864936880268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(11*942)/942*G42*2.85*942/1000000</f>
        <v>28.846564559999997</v>
      </c>
      <c r="J37" s="124">
        <f>+I37+'12'!J37</f>
        <v>674.29410637842193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62</v>
      </c>
      <c r="D38" s="117">
        <f>+C38+'12'!D38</f>
        <v>605</v>
      </c>
      <c r="E38" s="142">
        <f t="shared" ref="E38:E51" si="0">D38/60</f>
        <v>10.083333333333334</v>
      </c>
      <c r="F38" s="320">
        <v>1370</v>
      </c>
      <c r="G38" s="320">
        <f>+F38-F38*0.2</f>
        <v>1096</v>
      </c>
      <c r="H38" s="184" t="s">
        <v>60</v>
      </c>
      <c r="I38" s="501">
        <f>5.544+5.729+15.893</f>
        <v>27.166</v>
      </c>
      <c r="J38" s="126">
        <f>+I38+'12'!J38</f>
        <v>629.43799999999999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+C39+'12'!D39</f>
        <v>0</v>
      </c>
      <c r="E39" s="142">
        <f t="shared" si="0"/>
        <v>0</v>
      </c>
      <c r="F39" s="320">
        <v>1235</v>
      </c>
      <c r="G39" s="320">
        <f>+F39-F39*0.2</f>
        <v>988</v>
      </c>
      <c r="H39" s="184" t="s">
        <v>61</v>
      </c>
      <c r="I39" s="141"/>
      <c r="J39" s="128">
        <f>J37/G4</f>
        <v>51.868777413724764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+C40+'12'!D40</f>
        <v>0</v>
      </c>
      <c r="E40" s="142">
        <f t="shared" ca="1" si="0"/>
        <v>0</v>
      </c>
      <c r="F40" s="320">
        <v>1235</v>
      </c>
      <c r="G40" s="320">
        <f>+F40-F40*0.2</f>
        <v>988</v>
      </c>
      <c r="H40" s="184" t="s">
        <v>63</v>
      </c>
      <c r="I40" s="117">
        <f>(K34+L34)/1000</f>
        <v>18.167000000000002</v>
      </c>
      <c r="J40" s="130">
        <f>+I40+'12'!J40</f>
        <v>595.86299999999994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+C41+'12'!D41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45.83561538461538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+C42+'12'!D42</f>
        <v>0</v>
      </c>
      <c r="E42" s="142">
        <f t="shared" ca="1" si="0"/>
        <v>0</v>
      </c>
      <c r="F42" s="320">
        <f>+(F38*180+F39*282+F40*942)/1440</f>
        <v>1221</v>
      </c>
      <c r="G42" s="320">
        <f>+(G38*180+G39*282+G40*942)/1440</f>
        <v>976.8</v>
      </c>
      <c r="H42" s="184" t="s">
        <v>66</v>
      </c>
      <c r="I42" s="241" t="s">
        <v>587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+C43+'12'!D43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+Report1!T21</f>
        <v>82.8</v>
      </c>
      <c r="J43" s="132">
        <f>+I43+'12'!J43</f>
        <v>1562.3999999999999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498</v>
      </c>
      <c r="D44" s="117">
        <f>+C44+'12'!D44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>
        <f>I43/I38</f>
        <v>3.0479275565044541</v>
      </c>
      <c r="J44" s="133">
        <f>J43/J38</f>
        <v>2.4822142927500401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+C45+'12'!D45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4.5577145373479384</v>
      </c>
      <c r="J45" s="133">
        <f>J43/J40</f>
        <v>2.6220792363345264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+C46+'12'!D46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+SUMIF(Listrik!AN20,"&gt;0")</f>
        <v>36531.480290306223</v>
      </c>
      <c r="J46" s="134">
        <f>+I46+'12'!J46</f>
        <v>620461.57983805984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+C47+'12'!D47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1344.7500659024597</v>
      </c>
      <c r="J47" s="134">
        <f>J46/J38</f>
        <v>985.73899230434108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+C48+'12'!D48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2010.8702752411637</v>
      </c>
      <c r="J48" s="134">
        <f>J46/J40</f>
        <v>1041.2822743450422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+C49+'12'!D49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+I49+'12'!J49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+C50+'12'!D50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+C51+'12'!D51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560</v>
      </c>
      <c r="D52" s="143">
        <f ca="1">SUM(D38:D51)</f>
        <v>1375</v>
      </c>
      <c r="E52" s="144">
        <f ca="1">SUM(E38:E51)</f>
        <v>22.916666666666668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0.3888888888888889</v>
      </c>
      <c r="D53" s="145">
        <f ca="1">D52/(24*60*G4)</f>
        <v>7.3450854700854704E-2</v>
      </c>
      <c r="E53" s="146">
        <f ca="1">E52/(G4*24)</f>
        <v>7.3450854700854704E-2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+D34+'12'!J56</f>
        <v>20207</v>
      </c>
      <c r="K56" s="198">
        <f>J56/(J40+J56/1000)/1000</f>
        <v>3.2799844173551709E-2</v>
      </c>
    </row>
    <row r="57" spans="1:11">
      <c r="A57" s="173"/>
      <c r="I57" s="196" t="s">
        <v>85</v>
      </c>
      <c r="J57" s="197">
        <f>+E34+'12'!J57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1"/>
  <sheetViews>
    <sheetView view="pageBreakPreview" zoomScale="80" zoomScaleNormal="80" zoomScaleSheetLayoutView="80" workbookViewId="0">
      <selection activeCell="D27" sqref="D2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5" style="148" bestFit="1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12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640+626+607</f>
        <v>1873</v>
      </c>
    </row>
    <row r="7" spans="1:18" ht="13.5" customHeight="1" thickBot="1">
      <c r="A7" s="824" t="s">
        <v>431</v>
      </c>
      <c r="B7" s="212" t="s">
        <v>560</v>
      </c>
      <c r="C7" s="213">
        <v>20153</v>
      </c>
      <c r="D7" s="214"/>
      <c r="E7" s="215"/>
      <c r="F7" s="226"/>
      <c r="G7" s="552" t="s">
        <v>11</v>
      </c>
      <c r="H7" s="553" t="s">
        <v>385</v>
      </c>
      <c r="I7" s="827" t="s">
        <v>567</v>
      </c>
      <c r="J7" s="211" t="str">
        <f>+'11'!J7</f>
        <v>N 12 VP OW</v>
      </c>
      <c r="K7" s="233"/>
      <c r="L7" s="237"/>
      <c r="M7" s="116">
        <f>+K7+'11'!M7+L7</f>
        <v>107831</v>
      </c>
    </row>
    <row r="8" spans="1:18" ht="13.5" thickBot="1">
      <c r="A8" s="825"/>
      <c r="B8" s="212"/>
      <c r="C8" s="213"/>
      <c r="D8" s="214"/>
      <c r="E8" s="216"/>
      <c r="F8" s="226"/>
      <c r="G8" s="554" t="s">
        <v>11</v>
      </c>
      <c r="H8" s="553" t="s">
        <v>399</v>
      </c>
      <c r="I8" s="828"/>
      <c r="J8" s="211" t="str">
        <f>+'11'!J8</f>
        <v>F 12.5 VP OW</v>
      </c>
      <c r="K8" s="234"/>
      <c r="L8" s="234"/>
      <c r="M8" s="116">
        <f>+K8+'11'!M8+L8</f>
        <v>66421</v>
      </c>
      <c r="N8" s="521">
        <v>1050</v>
      </c>
      <c r="O8" s="148">
        <f>+N8-N8*0.22</f>
        <v>819</v>
      </c>
      <c r="P8" s="148">
        <f>480+240</f>
        <v>720</v>
      </c>
    </row>
    <row r="9" spans="1:18" ht="13.5" thickBot="1">
      <c r="A9" s="825"/>
      <c r="B9" s="212"/>
      <c r="C9" s="213"/>
      <c r="D9" s="214"/>
      <c r="E9" s="217"/>
      <c r="F9" s="226">
        <v>12</v>
      </c>
      <c r="G9" s="554" t="s">
        <v>11</v>
      </c>
      <c r="H9" s="555" t="s">
        <v>418</v>
      </c>
      <c r="I9" s="828"/>
      <c r="J9" s="211" t="str">
        <f>+'11'!J9</f>
        <v>F 13 VP OW</v>
      </c>
      <c r="K9" s="234"/>
      <c r="L9" s="234"/>
      <c r="M9" s="116">
        <f>+K9+'11'!M9+L9</f>
        <v>4155</v>
      </c>
      <c r="N9" s="148">
        <v>1370</v>
      </c>
      <c r="O9" s="148">
        <f>+N9-N9*0.2</f>
        <v>1096</v>
      </c>
      <c r="P9" s="148">
        <f>480+240</f>
        <v>720</v>
      </c>
    </row>
    <row r="10" spans="1:18" ht="13.5" thickBot="1">
      <c r="A10" s="825"/>
      <c r="B10" s="212"/>
      <c r="C10" s="213"/>
      <c r="D10" s="214"/>
      <c r="E10" s="216"/>
      <c r="F10" s="226"/>
      <c r="G10" s="552"/>
      <c r="H10" s="555" t="s">
        <v>555</v>
      </c>
      <c r="I10" s="828"/>
      <c r="J10" s="211" t="str">
        <f>+'11'!J10</f>
        <v>N 17 VP OW</v>
      </c>
      <c r="K10" s="234"/>
      <c r="L10" s="234"/>
      <c r="M10" s="116">
        <f>+K10+'11'!M10+L10</f>
        <v>76374</v>
      </c>
      <c r="P10" s="148">
        <f>SUM(P8:P9)</f>
        <v>1440</v>
      </c>
    </row>
    <row r="11" spans="1:18" ht="13.5" thickBot="1">
      <c r="A11" s="825"/>
      <c r="B11" s="212"/>
      <c r="C11" s="213"/>
      <c r="D11" s="214"/>
      <c r="E11" s="216" t="s">
        <v>414</v>
      </c>
      <c r="F11" s="468">
        <v>15</v>
      </c>
      <c r="G11" s="227" t="s">
        <v>64</v>
      </c>
      <c r="H11" s="225" t="s">
        <v>561</v>
      </c>
      <c r="I11" s="828"/>
      <c r="J11" s="211" t="str">
        <f>+'11'!J11</f>
        <v>N 17,5 VP OW</v>
      </c>
      <c r="K11" s="234"/>
      <c r="L11" s="234"/>
      <c r="M11" s="116">
        <f>+K11+'11'!M11+L11</f>
        <v>23535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+'11'!J12</f>
        <v>TW 17 VP OW</v>
      </c>
      <c r="K12" s="234"/>
      <c r="L12" s="234"/>
      <c r="M12" s="116">
        <f>+K12+'11'!M12+L12</f>
        <v>243570</v>
      </c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+'11'!J13</f>
        <v>N 15,5 VP OW</v>
      </c>
      <c r="K13" s="234">
        <f>+C7+C16+C25</f>
        <v>34006</v>
      </c>
      <c r="L13" s="234"/>
      <c r="M13" s="116">
        <f>+K13+'11'!M13+L13</f>
        <v>40521</v>
      </c>
    </row>
    <row r="14" spans="1:18" ht="13.5" thickBot="1">
      <c r="A14" s="826"/>
      <c r="B14" s="164" t="s">
        <v>2</v>
      </c>
      <c r="C14" s="98">
        <f>SUM(C7:C13)</f>
        <v>20153</v>
      </c>
      <c r="D14" s="110">
        <f>SUM(D7:D13)</f>
        <v>0</v>
      </c>
      <c r="E14" s="111">
        <f>SUM(E9:E13)</f>
        <v>0</v>
      </c>
      <c r="F14" s="101">
        <f>SUM(F6:F13)</f>
        <v>27</v>
      </c>
      <c r="G14" s="158"/>
      <c r="H14" s="165"/>
      <c r="I14" s="166"/>
      <c r="J14" s="211" t="s">
        <v>448</v>
      </c>
      <c r="K14" s="234">
        <f>+C17+C26</f>
        <v>15289</v>
      </c>
      <c r="L14" s="234"/>
      <c r="M14" s="116">
        <f>+K14+'11'!M14+L14</f>
        <v>15289</v>
      </c>
    </row>
    <row r="15" spans="1:18" ht="13.5" thickBot="1">
      <c r="A15" s="830" t="s">
        <v>353</v>
      </c>
      <c r="B15" s="498"/>
      <c r="C15" s="557">
        <f>C14/($C$32+$D$32+$E$32)</f>
        <v>1.5224748810153359</v>
      </c>
      <c r="D15" s="103">
        <f>D14/($C$32+$D$32+$E$32)</f>
        <v>0</v>
      </c>
      <c r="E15" s="104">
        <f>E14/($C$32+$D$32+$E$32)</f>
        <v>0</v>
      </c>
      <c r="F15" s="226">
        <v>25</v>
      </c>
      <c r="G15" s="552" t="s">
        <v>11</v>
      </c>
      <c r="H15" s="553" t="s">
        <v>565</v>
      </c>
      <c r="I15" s="827" t="s">
        <v>568</v>
      </c>
      <c r="J15" s="211">
        <f>+'11'!J15</f>
        <v>0</v>
      </c>
      <c r="K15" s="234"/>
      <c r="L15" s="234"/>
      <c r="M15" s="116">
        <f>+K15+'11'!M15+L15</f>
        <v>0</v>
      </c>
    </row>
    <row r="16" spans="1:18" ht="13.5" thickBot="1">
      <c r="A16" s="825"/>
      <c r="B16" s="212" t="s">
        <v>560</v>
      </c>
      <c r="C16" s="499">
        <f>4670+6593</f>
        <v>11263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+'11'!J16</f>
        <v>0</v>
      </c>
      <c r="K16" s="224"/>
      <c r="L16" s="224"/>
      <c r="M16" s="116">
        <f>+K16+'11'!M16+L16</f>
        <v>0</v>
      </c>
      <c r="N16" s="521">
        <v>1050</v>
      </c>
      <c r="O16" s="148">
        <f>+N16-N16*0.22</f>
        <v>819</v>
      </c>
      <c r="P16" s="148">
        <v>240</v>
      </c>
      <c r="Q16" s="148">
        <f>+N16*P16</f>
        <v>252000</v>
      </c>
      <c r="R16" s="148">
        <f>+O16*P16</f>
        <v>196560</v>
      </c>
    </row>
    <row r="17" spans="1:23" ht="13.5" thickBot="1">
      <c r="A17" s="825"/>
      <c r="B17" s="212" t="s">
        <v>448</v>
      </c>
      <c r="C17" s="213">
        <v>4852</v>
      </c>
      <c r="D17" s="214"/>
      <c r="E17" s="220"/>
      <c r="F17" s="226">
        <v>7</v>
      </c>
      <c r="G17" s="554" t="s">
        <v>11</v>
      </c>
      <c r="H17" s="555" t="s">
        <v>400</v>
      </c>
      <c r="I17" s="828"/>
      <c r="J17" s="211">
        <f>+'11'!J17</f>
        <v>0</v>
      </c>
      <c r="K17" s="224"/>
      <c r="L17" s="224"/>
      <c r="M17" s="116">
        <f>+K17+'11'!M17+L17</f>
        <v>0</v>
      </c>
      <c r="N17" s="148">
        <v>1370</v>
      </c>
      <c r="O17" s="148">
        <f>+N17-N17*0.2</f>
        <v>1096</v>
      </c>
      <c r="P17" s="148">
        <v>240</v>
      </c>
      <c r="Q17" s="148">
        <f>+N17*P17</f>
        <v>328800</v>
      </c>
      <c r="R17" s="148">
        <f>+O17*P17</f>
        <v>263040</v>
      </c>
    </row>
    <row r="18" spans="1:23" ht="13.5" thickBot="1">
      <c r="A18" s="825"/>
      <c r="B18" s="212"/>
      <c r="C18" s="213"/>
      <c r="D18" s="214"/>
      <c r="E18" s="220"/>
      <c r="F18" s="226"/>
      <c r="G18" s="552"/>
      <c r="H18" s="555" t="s">
        <v>555</v>
      </c>
      <c r="I18" s="828"/>
      <c r="J18" s="211">
        <f>+'11'!J18</f>
        <v>0</v>
      </c>
      <c r="K18" s="234"/>
      <c r="L18" s="234"/>
      <c r="M18" s="116">
        <f>+K18+'11'!M18+L18</f>
        <v>0</v>
      </c>
      <c r="P18" s="148">
        <f>SUM(P16:P17)</f>
        <v>480</v>
      </c>
      <c r="Q18" s="148">
        <f>SUM(Q16:Q17)</f>
        <v>580800</v>
      </c>
      <c r="R18" s="148">
        <f>SUM(R16:R17)</f>
        <v>459600</v>
      </c>
    </row>
    <row r="19" spans="1:23" ht="13.5" thickBot="1">
      <c r="A19" s="825"/>
      <c r="B19" s="212"/>
      <c r="C19" s="213"/>
      <c r="D19" s="214"/>
      <c r="E19" s="220"/>
      <c r="F19" s="223"/>
      <c r="G19" s="227"/>
      <c r="H19" s="225" t="s">
        <v>549</v>
      </c>
      <c r="I19" s="828"/>
      <c r="J19" s="211">
        <f>+'11'!J19</f>
        <v>0</v>
      </c>
      <c r="K19" s="234"/>
      <c r="L19" s="234"/>
      <c r="M19" s="116">
        <f>+K19+'11'!M19+L19</f>
        <v>0</v>
      </c>
      <c r="Q19" s="148">
        <f>+Q18/P18</f>
        <v>1210</v>
      </c>
      <c r="R19" s="148">
        <f>+R18/P18</f>
        <v>957.5</v>
      </c>
    </row>
    <row r="20" spans="1:23" ht="13.5" thickBot="1">
      <c r="A20" s="825"/>
      <c r="B20" s="212"/>
      <c r="C20" s="213"/>
      <c r="D20" s="214"/>
      <c r="E20" s="220"/>
      <c r="F20" s="223"/>
      <c r="G20" s="227"/>
      <c r="H20" s="228" t="s">
        <v>547</v>
      </c>
      <c r="I20" s="828"/>
      <c r="J20" s="211">
        <f>+'11'!J20</f>
        <v>0</v>
      </c>
      <c r="K20" s="235"/>
      <c r="L20" s="235"/>
      <c r="M20" s="116">
        <f>+K20+'11'!M20+L20</f>
        <v>0</v>
      </c>
    </row>
    <row r="21" spans="1:23" ht="26.25" thickBot="1">
      <c r="A21" s="825"/>
      <c r="B21" s="212"/>
      <c r="C21" s="213"/>
      <c r="D21" s="214"/>
      <c r="E21" s="220"/>
      <c r="F21" s="226"/>
      <c r="G21" s="227"/>
      <c r="H21" s="228" t="s">
        <v>548</v>
      </c>
      <c r="I21" s="828"/>
      <c r="J21" s="211">
        <f>+'11'!J21</f>
        <v>0</v>
      </c>
      <c r="K21" s="234"/>
      <c r="L21" s="234"/>
      <c r="M21" s="116">
        <f>+K21+'11'!M21+L21</f>
        <v>0</v>
      </c>
    </row>
    <row r="22" spans="1:23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+'11'!J22</f>
        <v>0</v>
      </c>
      <c r="K22" s="234"/>
      <c r="L22" s="234"/>
      <c r="M22" s="116">
        <f>+K22+'11'!M22+L22</f>
        <v>0</v>
      </c>
    </row>
    <row r="23" spans="1:23" ht="13.5" thickBot="1">
      <c r="A23" s="826"/>
      <c r="B23" s="164" t="s">
        <v>2</v>
      </c>
      <c r="C23" s="98">
        <f>SUM(C16:C22)</f>
        <v>16115</v>
      </c>
      <c r="D23" s="110">
        <f>SUM(D16:D22)</f>
        <v>0</v>
      </c>
      <c r="E23" s="111">
        <f>SUM(E18:E22)</f>
        <v>0</v>
      </c>
      <c r="F23" s="101">
        <f>SUM(F15:F22)</f>
        <v>32</v>
      </c>
      <c r="G23" s="158"/>
      <c r="H23" s="165"/>
      <c r="I23" s="167"/>
      <c r="J23" s="211">
        <f>+'11'!J23</f>
        <v>0</v>
      </c>
      <c r="K23" s="234"/>
      <c r="L23" s="234"/>
      <c r="M23" s="116">
        <f>+K23+'11'!M23+L23</f>
        <v>0</v>
      </c>
    </row>
    <row r="24" spans="1:23" ht="13.5" thickBot="1">
      <c r="A24" s="830" t="s">
        <v>219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10</v>
      </c>
      <c r="G24" s="552" t="s">
        <v>11</v>
      </c>
      <c r="H24" s="553" t="s">
        <v>564</v>
      </c>
      <c r="I24" s="827" t="s">
        <v>562</v>
      </c>
      <c r="J24" s="211">
        <f>+'11'!J24</f>
        <v>0</v>
      </c>
      <c r="K24" s="234"/>
      <c r="L24" s="234"/>
      <c r="M24" s="116">
        <f>+K24+'11'!M24+L24</f>
        <v>0</v>
      </c>
    </row>
    <row r="25" spans="1:23" ht="13.5" thickBot="1">
      <c r="A25" s="831"/>
      <c r="B25" s="212" t="s">
        <v>560</v>
      </c>
      <c r="C25" s="221">
        <f>1078+1512</f>
        <v>2590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+'11'!J25</f>
        <v>0</v>
      </c>
      <c r="K25" s="234"/>
      <c r="L25" s="234"/>
      <c r="M25" s="116">
        <f>+K25+'11'!M25+L25</f>
        <v>0</v>
      </c>
    </row>
    <row r="26" spans="1:23" ht="13.5" thickBot="1">
      <c r="A26" s="831"/>
      <c r="B26" s="212" t="s">
        <v>448</v>
      </c>
      <c r="C26" s="221">
        <f>2509+7928</f>
        <v>10437</v>
      </c>
      <c r="D26" s="214">
        <v>210</v>
      </c>
      <c r="E26" s="222"/>
      <c r="F26" s="226">
        <v>10</v>
      </c>
      <c r="G26" s="554" t="s">
        <v>11</v>
      </c>
      <c r="H26" s="555" t="s">
        <v>400</v>
      </c>
      <c r="I26" s="828"/>
      <c r="J26" s="211">
        <f>+'11'!J26</f>
        <v>0</v>
      </c>
      <c r="K26" s="234"/>
      <c r="L26" s="234"/>
      <c r="M26" s="116">
        <f>+K26+'11'!M26+L26</f>
        <v>0</v>
      </c>
      <c r="N26" s="178" t="s">
        <v>89</v>
      </c>
      <c r="O26" s="585" t="s">
        <v>530</v>
      </c>
      <c r="P26" s="585" t="s">
        <v>530</v>
      </c>
      <c r="Q26" s="585" t="s">
        <v>531</v>
      </c>
      <c r="R26" s="585" t="s">
        <v>532</v>
      </c>
      <c r="S26" s="585" t="s">
        <v>533</v>
      </c>
      <c r="T26" s="585" t="s">
        <v>534</v>
      </c>
      <c r="U26" s="586" t="s">
        <v>535</v>
      </c>
      <c r="V26" s="585" t="s">
        <v>536</v>
      </c>
      <c r="W26" s="585" t="s">
        <v>537</v>
      </c>
    </row>
    <row r="27" spans="1:23" ht="13.5" thickBot="1">
      <c r="A27" s="831"/>
      <c r="B27" s="212"/>
      <c r="C27" s="213"/>
      <c r="D27" s="214"/>
      <c r="E27" s="220"/>
      <c r="F27" s="226"/>
      <c r="G27" s="552"/>
      <c r="H27" s="555" t="s">
        <v>550</v>
      </c>
      <c r="I27" s="828"/>
      <c r="J27" s="211">
        <f>+'11'!J27</f>
        <v>0</v>
      </c>
      <c r="K27" s="234"/>
      <c r="L27" s="234"/>
      <c r="M27" s="116">
        <f>+K27+'11'!M27+L27</f>
        <v>0</v>
      </c>
      <c r="N27" s="587">
        <v>11</v>
      </c>
      <c r="O27" s="196">
        <v>1370</v>
      </c>
      <c r="P27" s="196">
        <v>1370</v>
      </c>
      <c r="Q27" s="196">
        <f>+P27-P27*0.2</f>
        <v>1096</v>
      </c>
      <c r="R27" s="588">
        <f>1-(Q27/P27)</f>
        <v>0.19999999999999996</v>
      </c>
      <c r="S27" s="589">
        <v>9</v>
      </c>
      <c r="T27" s="590">
        <v>280</v>
      </c>
      <c r="U27" s="591">
        <f>(O27*(1-R27)*N27*T27*S27)/100000000</f>
        <v>0.3038112</v>
      </c>
      <c r="V27" s="592">
        <f>+C34/1000</f>
        <v>49.295000000000002</v>
      </c>
      <c r="W27" s="593">
        <f>SUM(V27:V29)/SUM(U27:U29)</f>
        <v>0.16415043086872419</v>
      </c>
    </row>
    <row r="28" spans="1:23" ht="26.25" thickBot="1">
      <c r="A28" s="831"/>
      <c r="B28" s="212"/>
      <c r="C28" s="213"/>
      <c r="D28" s="214"/>
      <c r="E28" s="220" t="s">
        <v>538</v>
      </c>
      <c r="F28" s="223">
        <v>9</v>
      </c>
      <c r="G28" s="227" t="s">
        <v>64</v>
      </c>
      <c r="H28" s="225" t="s">
        <v>551</v>
      </c>
      <c r="I28" s="828"/>
      <c r="J28" s="211">
        <f>+'11'!J28</f>
        <v>0</v>
      </c>
      <c r="K28" s="234"/>
      <c r="L28" s="234"/>
      <c r="M28" s="116">
        <f>+K28+'11'!M28+L28</f>
        <v>0</v>
      </c>
      <c r="U28" s="148">
        <v>300</v>
      </c>
    </row>
    <row r="29" spans="1:23" ht="13.5" thickBot="1">
      <c r="A29" s="831"/>
      <c r="B29" s="212"/>
      <c r="C29" s="213"/>
      <c r="D29" s="214"/>
      <c r="E29" s="220"/>
      <c r="F29" s="231"/>
      <c r="G29" s="227"/>
      <c r="H29" s="228" t="s">
        <v>552</v>
      </c>
      <c r="I29" s="828"/>
      <c r="J29" s="211">
        <f>+'11'!J29</f>
        <v>0</v>
      </c>
      <c r="K29" s="234"/>
      <c r="L29" s="234"/>
      <c r="M29" s="116">
        <f>+K29+'11'!M29+L29</f>
        <v>0</v>
      </c>
    </row>
    <row r="30" spans="1:23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+'11'!J30</f>
        <v>0</v>
      </c>
      <c r="K30" s="234"/>
      <c r="L30" s="234"/>
      <c r="M30" s="116">
        <f>+K30+'11'!M30+L30</f>
        <v>0</v>
      </c>
      <c r="N30" s="154"/>
    </row>
    <row r="31" spans="1:23" ht="13.5" customHeight="1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+'11'!J31</f>
        <v>0</v>
      </c>
      <c r="K31" s="234"/>
      <c r="L31" s="234"/>
      <c r="M31" s="116">
        <f>+K31+'11'!M31+L31</f>
        <v>0</v>
      </c>
    </row>
    <row r="32" spans="1:23" ht="13.5" customHeight="1" thickBot="1">
      <c r="A32" s="832"/>
      <c r="B32" s="164" t="s">
        <v>2</v>
      </c>
      <c r="C32" s="98">
        <f>SUM(C25:C31)</f>
        <v>13027</v>
      </c>
      <c r="D32" s="99">
        <f>SUM(D25:D31)</f>
        <v>210</v>
      </c>
      <c r="E32" s="100">
        <f>SUM(E25:E31)</f>
        <v>0</v>
      </c>
      <c r="F32" s="98">
        <f>SUM(F24:F31)</f>
        <v>29</v>
      </c>
      <c r="G32" s="168"/>
      <c r="H32" s="169"/>
      <c r="I32" s="167"/>
      <c r="J32" s="211">
        <f>+'1'!J32</f>
        <v>0</v>
      </c>
      <c r="K32" s="236"/>
      <c r="L32" s="238"/>
      <c r="M32" s="116">
        <f>+K32+'11'!M32+L32</f>
        <v>0</v>
      </c>
    </row>
    <row r="33" spans="1:14" ht="13.5" thickBot="1">
      <c r="A33" s="170"/>
      <c r="B33" s="171"/>
      <c r="C33" s="102">
        <f>C32/($C$32+$D$32+$E$32)</f>
        <v>0.98413537810682183</v>
      </c>
      <c r="D33" s="103">
        <f>D32/($C$32+$D$32+$E$32)</f>
        <v>1.5864621893178214E-2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49295</v>
      </c>
      <c r="D34" s="106">
        <f>D14+D23+D32</f>
        <v>210</v>
      </c>
      <c r="E34" s="106">
        <f>E14+E23+E32</f>
        <v>0</v>
      </c>
      <c r="F34" s="107">
        <f>F14+F23+F32</f>
        <v>88</v>
      </c>
      <c r="H34" s="175"/>
      <c r="I34" s="175"/>
      <c r="J34" s="122" t="s">
        <v>27</v>
      </c>
      <c r="K34" s="123">
        <f>SUM(K7:K32)</f>
        <v>49295</v>
      </c>
      <c r="L34" s="209">
        <f>SUM(L7:L32)</f>
        <v>0</v>
      </c>
      <c r="M34" s="119">
        <f>SUM(M7:M32)</f>
        <v>577696</v>
      </c>
      <c r="N34" s="154"/>
    </row>
    <row r="35" spans="1:14" ht="13.5" thickBot="1">
      <c r="A35" s="176"/>
      <c r="B35" s="177"/>
      <c r="C35" s="103">
        <f>C34/($C$34+$D$34+$E$34)</f>
        <v>0.99575800424199579</v>
      </c>
      <c r="D35" s="103">
        <f>D34/($C$34+$D$34+$E$34)</f>
        <v>4.241995758004242E-3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(15.5*720+11*720)/1440*G42*2.85*1440/1000000</f>
        <v>50.94096695999999</v>
      </c>
      <c r="J37" s="124">
        <f>+I37+'11'!J37</f>
        <v>645.44754181842188</v>
      </c>
      <c r="K37" s="125" t="s">
        <v>59</v>
      </c>
      <c r="N37" s="148">
        <f>16.389+2.567</f>
        <v>18.956</v>
      </c>
    </row>
    <row r="38" spans="1:14" ht="17.45" customHeight="1">
      <c r="A38" s="822" t="s">
        <v>11</v>
      </c>
      <c r="B38" s="823"/>
      <c r="C38" s="163">
        <f>SUMIF($G$7:$G$31,"Process",$F$7:$F$31)</f>
        <v>64</v>
      </c>
      <c r="D38" s="117">
        <f>+C38+'11'!D38</f>
        <v>543</v>
      </c>
      <c r="E38" s="142">
        <f t="shared" ref="E38:E51" si="0">D38/60</f>
        <v>9.0500000000000007</v>
      </c>
      <c r="F38" s="522">
        <v>980</v>
      </c>
      <c r="G38" s="522">
        <v>774.2</v>
      </c>
      <c r="H38" s="184" t="s">
        <v>60</v>
      </c>
      <c r="I38" s="501">
        <f>16.389+16.972+14.876</f>
        <v>48.237000000000002</v>
      </c>
      <c r="J38" s="126">
        <f>+I38+'11'!J38</f>
        <v>602.27199999999993</v>
      </c>
      <c r="K38" s="127" t="s">
        <v>59</v>
      </c>
      <c r="N38" s="154">
        <f>+I38-N37</f>
        <v>29.281000000000002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+C39+'11'!D39</f>
        <v>0</v>
      </c>
      <c r="E39" s="142">
        <f t="shared" si="0"/>
        <v>0</v>
      </c>
      <c r="F39" s="522">
        <v>1175</v>
      </c>
      <c r="G39" s="522">
        <v>935.1</v>
      </c>
      <c r="H39" s="184" t="s">
        <v>61</v>
      </c>
      <c r="I39" s="141"/>
      <c r="J39" s="128">
        <f>J37/G4</f>
        <v>53.787295151535155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+C40+'11'!D40</f>
        <v>0</v>
      </c>
      <c r="E40" s="142">
        <f t="shared" ca="1" si="0"/>
        <v>0</v>
      </c>
      <c r="F40" s="320">
        <v>1370</v>
      </c>
      <c r="G40" s="320">
        <v>1096</v>
      </c>
      <c r="H40" s="184" t="s">
        <v>63</v>
      </c>
      <c r="I40" s="117">
        <f>(K34+L34)/1000</f>
        <v>49.295000000000002</v>
      </c>
      <c r="J40" s="130">
        <f>+I40+'11'!J40</f>
        <v>577.69599999999991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24</v>
      </c>
      <c r="D41" s="117">
        <f ca="1">+C41+'11'!D41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48.141333333333328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+C42+'11'!D42</f>
        <v>0</v>
      </c>
      <c r="E42" s="142">
        <f t="shared" ca="1" si="0"/>
        <v>0</v>
      </c>
      <c r="F42" s="320">
        <f>+(F38*465+F39*480+F40*480)/1425</f>
        <v>1177.0526315789473</v>
      </c>
      <c r="G42" s="320">
        <f>+(G38*465+G39*480+G40*480)/1425</f>
        <v>936.79368421052629</v>
      </c>
      <c r="H42" s="184" t="s">
        <v>66</v>
      </c>
      <c r="I42" s="241" t="s">
        <v>563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+C43+'11'!D43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+Report1!T20</f>
        <v>129.6</v>
      </c>
      <c r="J43" s="132">
        <f>+I43+'11'!J43</f>
        <v>1479.6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+C44+'11'!D44</f>
        <v>60</v>
      </c>
      <c r="E44" s="142">
        <f t="shared" si="0"/>
        <v>1</v>
      </c>
      <c r="F44" s="320"/>
      <c r="G44" s="321"/>
      <c r="H44" s="185" t="s">
        <v>70</v>
      </c>
      <c r="I44" s="117">
        <f>I43/I38</f>
        <v>2.6867342496423903</v>
      </c>
      <c r="J44" s="133">
        <f>J43/J38</f>
        <v>2.4566973062005206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+C45+'11'!D45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2.6290698853839132</v>
      </c>
      <c r="J45" s="133">
        <f>J43/J40</f>
        <v>2.5612086633800479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+C46+'11'!D46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+SUMIF(Listrik!AN19,"&gt;0")</f>
        <v>51463.622431761818</v>
      </c>
      <c r="J46" s="134">
        <f>+I46+'11'!J46</f>
        <v>583930.09954775358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+C47+'11'!D47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1066.8910262197446</v>
      </c>
      <c r="J47" s="134">
        <f>J46/J38</f>
        <v>969.54548700214127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+C48+'11'!D48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1043.9927463588967</v>
      </c>
      <c r="J48" s="134">
        <f>J46/J40</f>
        <v>1010.7913150649367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+C49+'11'!D49</f>
        <v>62</v>
      </c>
      <c r="E49" s="142">
        <f t="shared" si="0"/>
        <v>1.0333333333333334</v>
      </c>
      <c r="F49" s="182"/>
      <c r="H49" s="185" t="s">
        <v>78</v>
      </c>
      <c r="I49" s="117">
        <v>0</v>
      </c>
      <c r="J49" s="134">
        <f>+I49+'11'!J49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+C50+'11'!D50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+C51+'11'!D51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88</v>
      </c>
      <c r="D52" s="143">
        <f ca="1">SUM(D38:D51)</f>
        <v>815</v>
      </c>
      <c r="E52" s="144">
        <f ca="1">SUM(E38:E51)</f>
        <v>13.583333333333334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6.1111111111111109E-2</v>
      </c>
      <c r="D53" s="145">
        <f ca="1">D52/(24*60*G4)</f>
        <v>4.7164351851851853E-2</v>
      </c>
      <c r="E53" s="146">
        <f ca="1">E52/(G4*24)</f>
        <v>4.7164351851851853E-2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+D34+'11'!J56</f>
        <v>15481</v>
      </c>
      <c r="K56" s="198">
        <f>J56/(J40+J56/1000)/1000</f>
        <v>2.6098449535298912E-2</v>
      </c>
    </row>
    <row r="57" spans="1:11">
      <c r="A57" s="173"/>
      <c r="I57" s="196" t="s">
        <v>85</v>
      </c>
      <c r="J57" s="197">
        <f>+E34+'11'!J57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  <mergeCell ref="A7:A14"/>
    <mergeCell ref="I7:I13"/>
    <mergeCell ref="A15:A23"/>
    <mergeCell ref="I15:I22"/>
    <mergeCell ref="A46:B46"/>
    <mergeCell ref="A52:B52"/>
    <mergeCell ref="A53:B53"/>
    <mergeCell ref="A48:B48"/>
    <mergeCell ref="A49:B49"/>
    <mergeCell ref="A50:B50"/>
    <mergeCell ref="A51:B51"/>
  </mergeCells>
  <phoneticPr fontId="31" type="noConversion"/>
  <printOptions horizontalCentered="1"/>
  <pageMargins left="0.15625" right="0.15625" top="0.39027777777777778" bottom="0.39027777777777778" header="0" footer="0"/>
  <pageSetup paperSize="9" scale="58" firstPageNumber="4294963191" fitToWidth="20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4" zoomScale="80" zoomScaleNormal="70" zoomScaleSheetLayoutView="80" workbookViewId="0">
      <selection activeCell="D27" sqref="D2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5.5703125" style="148" bestFit="1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11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600+783+648</f>
        <v>2031</v>
      </c>
    </row>
    <row r="7" spans="1:18" ht="13.5" customHeight="1" thickBot="1">
      <c r="A7" s="824" t="s">
        <v>432</v>
      </c>
      <c r="B7" s="212" t="s">
        <v>503</v>
      </c>
      <c r="C7" s="213">
        <v>17316</v>
      </c>
      <c r="D7" s="214"/>
      <c r="E7" s="215"/>
      <c r="F7" s="226"/>
      <c r="G7" s="552" t="s">
        <v>11</v>
      </c>
      <c r="H7" s="553" t="s">
        <v>385</v>
      </c>
      <c r="I7" s="827" t="s">
        <v>511</v>
      </c>
      <c r="J7" s="211" t="str">
        <f>+'10'!J7</f>
        <v>N 12 VP OW</v>
      </c>
      <c r="K7" s="233"/>
      <c r="L7" s="237"/>
      <c r="M7" s="116">
        <f>+K7+'10'!M7+L7</f>
        <v>107831</v>
      </c>
      <c r="N7" s="173" t="s">
        <v>505</v>
      </c>
    </row>
    <row r="8" spans="1:18" ht="13.5" thickBot="1">
      <c r="A8" s="825"/>
      <c r="B8" s="212"/>
      <c r="C8" s="213"/>
      <c r="D8" s="214"/>
      <c r="E8" s="216"/>
      <c r="F8" s="226">
        <v>1</v>
      </c>
      <c r="G8" s="554" t="s">
        <v>11</v>
      </c>
      <c r="H8" s="553" t="s">
        <v>419</v>
      </c>
      <c r="I8" s="828"/>
      <c r="J8" s="211" t="str">
        <f>+'10'!J8</f>
        <v>F 12.5 VP OW</v>
      </c>
      <c r="K8" s="234"/>
      <c r="L8" s="234"/>
      <c r="M8" s="116">
        <f>+K8+'10'!M8+L8</f>
        <v>66421</v>
      </c>
      <c r="N8" s="148">
        <v>980</v>
      </c>
      <c r="O8" s="148">
        <f>+N8-N8*0.2</f>
        <v>784</v>
      </c>
      <c r="P8" s="148">
        <v>480</v>
      </c>
      <c r="Q8" s="148">
        <f>+N8*P8</f>
        <v>470400</v>
      </c>
      <c r="R8" s="148">
        <f>+O8*P8</f>
        <v>376320</v>
      </c>
    </row>
    <row r="9" spans="1:18" ht="13.5" thickBot="1">
      <c r="A9" s="825"/>
      <c r="B9" s="212"/>
      <c r="C9" s="213"/>
      <c r="D9" s="214"/>
      <c r="E9" s="217"/>
      <c r="F9" s="226">
        <v>7</v>
      </c>
      <c r="G9" s="554" t="s">
        <v>11</v>
      </c>
      <c r="H9" s="555" t="s">
        <v>400</v>
      </c>
      <c r="I9" s="828"/>
      <c r="J9" s="211" t="str">
        <f>+'10'!J9</f>
        <v>F 13 VP OW</v>
      </c>
      <c r="K9" s="234"/>
      <c r="L9" s="234"/>
      <c r="M9" s="116">
        <f>+K9+'10'!M9+L9</f>
        <v>4155</v>
      </c>
      <c r="N9" s="148">
        <v>1000</v>
      </c>
      <c r="O9" s="148">
        <f>+N9-N9*0.2</f>
        <v>800</v>
      </c>
      <c r="P9" s="148">
        <v>455</v>
      </c>
      <c r="Q9" s="148">
        <f>+N9*P9</f>
        <v>455000</v>
      </c>
      <c r="R9" s="148">
        <f>+O9*P9</f>
        <v>364000</v>
      </c>
    </row>
    <row r="10" spans="1:18" ht="13.5" thickBot="1">
      <c r="A10" s="825"/>
      <c r="B10" s="212"/>
      <c r="C10" s="213"/>
      <c r="D10" s="214"/>
      <c r="E10" s="216"/>
      <c r="F10" s="226"/>
      <c r="G10" s="552"/>
      <c r="H10" s="555" t="s">
        <v>507</v>
      </c>
      <c r="I10" s="828"/>
      <c r="J10" s="211" t="str">
        <f>+'10'!J10</f>
        <v>N 17 VP OW</v>
      </c>
      <c r="K10" s="234"/>
      <c r="L10" s="234"/>
      <c r="M10" s="116">
        <f>+K10+'10'!M10+L10</f>
        <v>76374</v>
      </c>
      <c r="P10" s="148">
        <f>SUM(P8:P9)</f>
        <v>935</v>
      </c>
      <c r="Q10" s="148">
        <f>SUM(Q8:Q9)</f>
        <v>925400</v>
      </c>
      <c r="R10" s="148">
        <f>SUM(R8:R9)</f>
        <v>740320</v>
      </c>
    </row>
    <row r="11" spans="1:18" ht="13.5" thickBot="1">
      <c r="A11" s="825"/>
      <c r="B11" s="212"/>
      <c r="C11" s="213"/>
      <c r="D11" s="214"/>
      <c r="E11" s="216"/>
      <c r="F11" s="468"/>
      <c r="G11" s="227"/>
      <c r="H11" s="225" t="s">
        <v>542</v>
      </c>
      <c r="I11" s="828"/>
      <c r="J11" s="211" t="str">
        <f>+'10'!J11</f>
        <v>N 17,5 VP OW</v>
      </c>
      <c r="K11" s="234"/>
      <c r="L11" s="234"/>
      <c r="M11" s="116">
        <f>+K11+'10'!M11+L11</f>
        <v>23535</v>
      </c>
      <c r="Q11" s="148">
        <f>+Q10/P10</f>
        <v>989.73262032085563</v>
      </c>
      <c r="R11" s="148">
        <f>+R10/P10</f>
        <v>791.78609625668446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+'10'!J12</f>
        <v>TW 17 VP OW</v>
      </c>
      <c r="K12" s="234">
        <f>+C7+C16+C25</f>
        <v>37240</v>
      </c>
      <c r="L12" s="234"/>
      <c r="M12" s="116">
        <f>+K12+'10'!M12+L12</f>
        <v>243570</v>
      </c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">
        <v>560</v>
      </c>
      <c r="K13" s="234">
        <f>+C26</f>
        <v>6515</v>
      </c>
      <c r="L13" s="234"/>
      <c r="M13" s="116">
        <f>+K13+'10'!M13+L13</f>
        <v>6515</v>
      </c>
    </row>
    <row r="14" spans="1:18" ht="13.5" thickBot="1">
      <c r="A14" s="826"/>
      <c r="B14" s="164" t="s">
        <v>2</v>
      </c>
      <c r="C14" s="98">
        <f>SUM(C7:C13)</f>
        <v>17316</v>
      </c>
      <c r="D14" s="110">
        <f>SUM(D7:D13)</f>
        <v>0</v>
      </c>
      <c r="E14" s="111">
        <f>SUM(E9:E13)</f>
        <v>0</v>
      </c>
      <c r="F14" s="101">
        <f>SUM(F6:F13)</f>
        <v>8</v>
      </c>
      <c r="G14" s="158"/>
      <c r="H14" s="165"/>
      <c r="I14" s="166"/>
      <c r="J14" s="211">
        <f>+'10'!J14</f>
        <v>0</v>
      </c>
      <c r="K14" s="234"/>
      <c r="L14" s="234"/>
      <c r="M14" s="116">
        <f>+K14+'10'!M14+L14</f>
        <v>0</v>
      </c>
    </row>
    <row r="15" spans="1:18" ht="13.5" thickBot="1">
      <c r="A15" s="830" t="s">
        <v>353</v>
      </c>
      <c r="B15" s="498"/>
      <c r="C15" s="557">
        <f>C14/($C$32+$D$32+$E$32)</f>
        <v>1.6169576991315715</v>
      </c>
      <c r="D15" s="103">
        <f>D14/($C$32+$D$32+$E$32)</f>
        <v>0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558</v>
      </c>
      <c r="J15" s="211">
        <f>+'10'!J15</f>
        <v>0</v>
      </c>
      <c r="K15" s="234"/>
      <c r="L15" s="234"/>
      <c r="M15" s="116">
        <f>+K15+'10'!M15+L15</f>
        <v>0</v>
      </c>
    </row>
    <row r="16" spans="1:18" ht="13.5" thickBot="1">
      <c r="A16" s="825"/>
      <c r="B16" s="212" t="s">
        <v>503</v>
      </c>
      <c r="C16" s="499">
        <v>16670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+'10'!J16</f>
        <v>0</v>
      </c>
      <c r="K16" s="224"/>
      <c r="L16" s="224"/>
      <c r="M16" s="116">
        <f>+K16+'10'!M16+L16</f>
        <v>0</v>
      </c>
      <c r="N16" s="148">
        <v>1000</v>
      </c>
      <c r="O16" s="148">
        <f>+N16-N16*0.2</f>
        <v>800</v>
      </c>
      <c r="P16" s="148">
        <v>455</v>
      </c>
      <c r="Q16" s="148">
        <f>+N16*P16</f>
        <v>455000</v>
      </c>
      <c r="R16" s="148">
        <f>+O16*P16</f>
        <v>364000</v>
      </c>
    </row>
    <row r="17" spans="1:18" ht="13.5" thickBot="1">
      <c r="A17" s="825"/>
      <c r="B17" s="212"/>
      <c r="C17" s="213"/>
      <c r="D17" s="214"/>
      <c r="E17" s="220"/>
      <c r="F17" s="226">
        <v>11</v>
      </c>
      <c r="G17" s="554" t="s">
        <v>11</v>
      </c>
      <c r="H17" s="555" t="s">
        <v>400</v>
      </c>
      <c r="I17" s="828"/>
      <c r="J17" s="211">
        <f>+'10'!J17</f>
        <v>0</v>
      </c>
      <c r="K17" s="224"/>
      <c r="L17" s="224"/>
      <c r="M17" s="116">
        <f>+K17+'10'!M17+L17</f>
        <v>0</v>
      </c>
      <c r="N17" s="148">
        <v>1050</v>
      </c>
      <c r="O17" s="148">
        <f>+N17-N17*0.18</f>
        <v>861</v>
      </c>
      <c r="P17" s="148">
        <v>25</v>
      </c>
      <c r="Q17" s="148">
        <f>+N17*P17</f>
        <v>26250</v>
      </c>
      <c r="R17" s="148">
        <f>+O17*P17</f>
        <v>21525</v>
      </c>
    </row>
    <row r="18" spans="1:18" ht="13.5" thickBot="1">
      <c r="A18" s="825"/>
      <c r="B18" s="212"/>
      <c r="C18" s="213"/>
      <c r="D18" s="214"/>
      <c r="E18" s="220"/>
      <c r="F18" s="226"/>
      <c r="G18" s="552"/>
      <c r="H18" s="555" t="s">
        <v>554</v>
      </c>
      <c r="I18" s="828"/>
      <c r="J18" s="211">
        <f>+'10'!J18</f>
        <v>0</v>
      </c>
      <c r="K18" s="234"/>
      <c r="L18" s="234"/>
      <c r="M18" s="116">
        <f>+K18+'10'!M18+L18</f>
        <v>0</v>
      </c>
      <c r="P18" s="148">
        <f>SUM(P16:P17)</f>
        <v>480</v>
      </c>
      <c r="Q18" s="148">
        <f>SUM(Q16:Q17)</f>
        <v>481250</v>
      </c>
      <c r="R18" s="148">
        <f>SUM(R16:R17)</f>
        <v>385525</v>
      </c>
    </row>
    <row r="19" spans="1:18" ht="13.5" thickBot="1">
      <c r="A19" s="825"/>
      <c r="B19" s="212"/>
      <c r="C19" s="213"/>
      <c r="D19" s="214"/>
      <c r="E19" s="220"/>
      <c r="F19" s="223"/>
      <c r="G19" s="227"/>
      <c r="H19" s="225" t="s">
        <v>543</v>
      </c>
      <c r="I19" s="828"/>
      <c r="J19" s="211">
        <f>+'10'!J19</f>
        <v>0</v>
      </c>
      <c r="K19" s="234"/>
      <c r="L19" s="234"/>
      <c r="M19" s="116">
        <f>+K19+'10'!M19+L19</f>
        <v>0</v>
      </c>
      <c r="Q19" s="148">
        <f>+Q18/P18</f>
        <v>1002.6041666666666</v>
      </c>
      <c r="R19" s="148">
        <f>+R18/P18</f>
        <v>803.17708333333337</v>
      </c>
    </row>
    <row r="20" spans="1:18" ht="26.25" thickBot="1">
      <c r="A20" s="825"/>
      <c r="B20" s="212"/>
      <c r="C20" s="213"/>
      <c r="D20" s="214"/>
      <c r="E20" s="220"/>
      <c r="F20" s="223"/>
      <c r="G20" s="227"/>
      <c r="H20" s="228" t="s">
        <v>553</v>
      </c>
      <c r="I20" s="828"/>
      <c r="J20" s="211">
        <f>+'10'!J20</f>
        <v>0</v>
      </c>
      <c r="K20" s="235"/>
      <c r="L20" s="235"/>
      <c r="M20" s="116">
        <f>+K20+'10'!M20+L20</f>
        <v>0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+'10'!J21</f>
        <v>0</v>
      </c>
      <c r="K21" s="234"/>
      <c r="L21" s="234"/>
      <c r="M21" s="116">
        <f>+K21+'10'!M21+L21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+'10'!J22</f>
        <v>0</v>
      </c>
      <c r="K22" s="234"/>
      <c r="L22" s="234"/>
      <c r="M22" s="116">
        <f>+K22+'10'!M22+L22</f>
        <v>0</v>
      </c>
    </row>
    <row r="23" spans="1:18" ht="13.5" thickBot="1">
      <c r="A23" s="826"/>
      <c r="B23" s="164" t="s">
        <v>2</v>
      </c>
      <c r="C23" s="98">
        <f>SUM(C16:C22)</f>
        <v>16670</v>
      </c>
      <c r="D23" s="110">
        <f>SUM(D16:D22)</f>
        <v>0</v>
      </c>
      <c r="E23" s="111">
        <f>SUM(E18:E22)</f>
        <v>0</v>
      </c>
      <c r="F23" s="101">
        <f>SUM(F15:F22)</f>
        <v>11</v>
      </c>
      <c r="G23" s="158"/>
      <c r="H23" s="165"/>
      <c r="I23" s="167"/>
      <c r="J23" s="211">
        <f>+'10'!J23</f>
        <v>0</v>
      </c>
      <c r="K23" s="234"/>
      <c r="L23" s="234"/>
      <c r="M23" s="116">
        <f>+K23+'10'!M23+L23</f>
        <v>0</v>
      </c>
    </row>
    <row r="24" spans="1:18" ht="13.5" thickBot="1">
      <c r="A24" s="830" t="s">
        <v>219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557</v>
      </c>
      <c r="J24" s="211">
        <f>+'10'!J24</f>
        <v>0</v>
      </c>
      <c r="K24" s="234"/>
      <c r="L24" s="234"/>
      <c r="M24" s="116">
        <f>+K24+'10'!M24+L24</f>
        <v>0</v>
      </c>
      <c r="N24" s="173" t="s">
        <v>556</v>
      </c>
    </row>
    <row r="25" spans="1:18" ht="13.5" thickBot="1">
      <c r="A25" s="831"/>
      <c r="B25" s="212" t="s">
        <v>503</v>
      </c>
      <c r="C25" s="221">
        <f>330+2924</f>
        <v>3254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+'10'!J25</f>
        <v>0</v>
      </c>
      <c r="K25" s="234"/>
      <c r="L25" s="234"/>
      <c r="M25" s="116">
        <f>+K25+'10'!M25+L25</f>
        <v>0</v>
      </c>
      <c r="N25" s="148">
        <v>1050</v>
      </c>
      <c r="O25" s="148">
        <f>+N25-N25*0.18</f>
        <v>861</v>
      </c>
      <c r="P25" s="148">
        <f>25+480</f>
        <v>505</v>
      </c>
    </row>
    <row r="26" spans="1:18" ht="13.5" thickBot="1">
      <c r="A26" s="831"/>
      <c r="B26" s="212" t="s">
        <v>560</v>
      </c>
      <c r="C26" s="221">
        <f>2710+3805</f>
        <v>6515</v>
      </c>
      <c r="D26" s="214">
        <v>940</v>
      </c>
      <c r="E26" s="222"/>
      <c r="F26" s="226">
        <v>10</v>
      </c>
      <c r="G26" s="554" t="s">
        <v>11</v>
      </c>
      <c r="H26" s="555" t="s">
        <v>418</v>
      </c>
      <c r="I26" s="828"/>
      <c r="J26" s="211">
        <f>+'10'!J26</f>
        <v>0</v>
      </c>
      <c r="K26" s="224"/>
      <c r="L26" s="224"/>
      <c r="M26" s="116">
        <f>+K26+'10'!M26+L26</f>
        <v>0</v>
      </c>
    </row>
    <row r="27" spans="1:18" ht="13.5" thickBot="1">
      <c r="A27" s="831"/>
      <c r="B27" s="212"/>
      <c r="C27" s="213"/>
      <c r="D27" s="214"/>
      <c r="E27" s="220"/>
      <c r="F27" s="226"/>
      <c r="G27" s="552"/>
      <c r="H27" s="555" t="s">
        <v>555</v>
      </c>
      <c r="I27" s="828"/>
      <c r="J27" s="211">
        <f>+'10'!J27</f>
        <v>0</v>
      </c>
      <c r="K27" s="224"/>
      <c r="L27" s="224"/>
      <c r="M27" s="116">
        <f>+K27+'10'!M27+L27</f>
        <v>0</v>
      </c>
    </row>
    <row r="28" spans="1:18" ht="13.5" thickBot="1">
      <c r="A28" s="831"/>
      <c r="B28" s="212"/>
      <c r="C28" s="213"/>
      <c r="D28" s="214"/>
      <c r="E28" s="220"/>
      <c r="F28" s="223"/>
      <c r="G28" s="227"/>
      <c r="H28" s="225" t="s">
        <v>544</v>
      </c>
      <c r="I28" s="828"/>
      <c r="J28" s="211">
        <f>+'10'!J28</f>
        <v>0</v>
      </c>
      <c r="K28" s="234"/>
      <c r="L28" s="234"/>
      <c r="M28" s="116">
        <f>+K28+'10'!M28+L28</f>
        <v>0</v>
      </c>
    </row>
    <row r="29" spans="1:18" ht="13.5" thickBot="1">
      <c r="A29" s="831"/>
      <c r="B29" s="212"/>
      <c r="C29" s="213"/>
      <c r="D29" s="214"/>
      <c r="E29" s="220"/>
      <c r="F29" s="231"/>
      <c r="G29" s="227"/>
      <c r="H29" s="228" t="s">
        <v>545</v>
      </c>
      <c r="I29" s="828"/>
      <c r="J29" s="211">
        <f>+'10'!J29</f>
        <v>0</v>
      </c>
      <c r="K29" s="234"/>
      <c r="L29" s="234"/>
      <c r="M29" s="116">
        <f>+K29+'10'!M29+L29</f>
        <v>0</v>
      </c>
    </row>
    <row r="30" spans="1:18" ht="39" thickBot="1">
      <c r="A30" s="831"/>
      <c r="B30" s="212"/>
      <c r="C30" s="221"/>
      <c r="D30" s="214"/>
      <c r="E30" s="220"/>
      <c r="F30" s="231"/>
      <c r="G30" s="227"/>
      <c r="H30" s="228" t="s">
        <v>546</v>
      </c>
      <c r="I30" s="828"/>
      <c r="J30" s="211">
        <f>+'10'!J30</f>
        <v>0</v>
      </c>
      <c r="K30" s="235"/>
      <c r="L30" s="235"/>
      <c r="M30" s="116">
        <f>+K30+'10'!M30+L30</f>
        <v>0</v>
      </c>
      <c r="N30" s="154"/>
    </row>
    <row r="31" spans="1:18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+'10'!J31</f>
        <v>0</v>
      </c>
      <c r="K31" s="234"/>
      <c r="L31" s="234"/>
      <c r="M31" s="116">
        <f>+K31+'10'!M31+L31</f>
        <v>0</v>
      </c>
    </row>
    <row r="32" spans="1:18" ht="13.5" thickBot="1">
      <c r="A32" s="832"/>
      <c r="B32" s="164" t="s">
        <v>2</v>
      </c>
      <c r="C32" s="98">
        <f>SUM(C25:C31)</f>
        <v>9769</v>
      </c>
      <c r="D32" s="99">
        <f>SUM(D25:D31)</f>
        <v>940</v>
      </c>
      <c r="E32" s="100">
        <f>SUM(E25:E31)</f>
        <v>0</v>
      </c>
      <c r="F32" s="98">
        <f>SUM(F24:F31)</f>
        <v>10</v>
      </c>
      <c r="G32" s="168"/>
      <c r="H32" s="169"/>
      <c r="I32" s="167"/>
      <c r="J32" s="211">
        <f>+'10'!J32</f>
        <v>0</v>
      </c>
      <c r="K32" s="234"/>
      <c r="L32" s="234"/>
      <c r="M32" s="116">
        <f>+K32+'10'!M32+L32</f>
        <v>0</v>
      </c>
    </row>
    <row r="33" spans="1:14" ht="13.5" thickBot="1">
      <c r="A33" s="170"/>
      <c r="B33" s="171"/>
      <c r="C33" s="102">
        <f>C32/($C$32+$D$32+$E$32)</f>
        <v>0.91222336352600619</v>
      </c>
      <c r="D33" s="103">
        <f>D32/($C$32+$D$32+$E$32)</f>
        <v>8.7776636473993835E-2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43755</v>
      </c>
      <c r="D34" s="106">
        <f>D14+D23+D32</f>
        <v>940</v>
      </c>
      <c r="E34" s="106">
        <f>E14+E23+E32</f>
        <v>0</v>
      </c>
      <c r="F34" s="107">
        <f>F14+F23+F32</f>
        <v>29</v>
      </c>
      <c r="H34" s="175"/>
      <c r="I34" s="175"/>
      <c r="J34" s="122" t="s">
        <v>27</v>
      </c>
      <c r="K34" s="123">
        <f>SUM(K7:K32)</f>
        <v>43755</v>
      </c>
      <c r="L34" s="209">
        <f>SUM(L7:L32)</f>
        <v>0</v>
      </c>
      <c r="M34" s="119">
        <f>SUM(M7:M32)</f>
        <v>528401</v>
      </c>
      <c r="N34" s="154"/>
    </row>
    <row r="35" spans="1:14" ht="13.5" thickBot="1">
      <c r="A35" s="176"/>
      <c r="B35" s="177"/>
      <c r="C35" s="103">
        <f>C34/($C$34+$D$34+$E$34)</f>
        <v>0.97896856471641125</v>
      </c>
      <c r="D35" s="103">
        <f>D34/($C$34+$D$34+$E$34)</f>
        <v>2.1031435283588768E-2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(17*935+15.5*505)/1440*G42*2.85*1440/1000000</f>
        <v>55.173036816406253</v>
      </c>
      <c r="J37" s="124">
        <f>+I37+'10'!J37</f>
        <v>594.50657485842191</v>
      </c>
      <c r="K37" s="125" t="s">
        <v>59</v>
      </c>
      <c r="N37" s="148">
        <f>17.445+17.279</f>
        <v>34.724000000000004</v>
      </c>
    </row>
    <row r="38" spans="1:14" ht="17.45" customHeight="1">
      <c r="A38" s="822" t="s">
        <v>11</v>
      </c>
      <c r="B38" s="823"/>
      <c r="C38" s="163">
        <f>SUMIF($G$7:$G$31,"Process",$F$7:$F$31)</f>
        <v>29</v>
      </c>
      <c r="D38" s="117">
        <f>+C38+'10'!D38</f>
        <v>479</v>
      </c>
      <c r="E38" s="142">
        <f t="shared" ref="E38:E51" si="0">D38/60</f>
        <v>7.9833333333333334</v>
      </c>
      <c r="F38" s="320">
        <v>980</v>
      </c>
      <c r="G38" s="320">
        <f>+F38-F38*0.2</f>
        <v>784</v>
      </c>
      <c r="H38" s="184" t="s">
        <v>60</v>
      </c>
      <c r="I38" s="501">
        <f>17.445+17.279+16.599</f>
        <v>51.323000000000008</v>
      </c>
      <c r="J38" s="126">
        <f>+I38+'10'!J38</f>
        <v>554.03499999999997</v>
      </c>
      <c r="K38" s="127" t="s">
        <v>59</v>
      </c>
      <c r="N38" s="154">
        <f>+I38-N37</f>
        <v>16.599000000000004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+C39+'10'!D39</f>
        <v>0</v>
      </c>
      <c r="E39" s="142">
        <f t="shared" si="0"/>
        <v>0</v>
      </c>
      <c r="F39" s="320">
        <v>1002.6041666666666</v>
      </c>
      <c r="G39" s="320">
        <v>803.17708333333337</v>
      </c>
      <c r="H39" s="184" t="s">
        <v>61</v>
      </c>
      <c r="I39" s="141"/>
      <c r="J39" s="128">
        <f>J37/G4</f>
        <v>54.046052259856538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+C40+'10'!D40</f>
        <v>0</v>
      </c>
      <c r="E40" s="142">
        <f t="shared" ca="1" si="0"/>
        <v>0</v>
      </c>
      <c r="F40" s="320">
        <v>1050</v>
      </c>
      <c r="G40" s="320">
        <f>+F40-F40*0.18</f>
        <v>861</v>
      </c>
      <c r="H40" s="184" t="s">
        <v>63</v>
      </c>
      <c r="I40" s="117">
        <f>(K34+L34)/1000</f>
        <v>43.755000000000003</v>
      </c>
      <c r="J40" s="130">
        <f>+I40+'10'!J40</f>
        <v>528.40099999999995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+C41+'10'!D41</f>
        <v>126</v>
      </c>
      <c r="E41" s="142">
        <f t="shared" ca="1" si="0"/>
        <v>2.1</v>
      </c>
      <c r="F41" s="320"/>
      <c r="G41" s="320"/>
      <c r="H41" s="184" t="s">
        <v>65</v>
      </c>
      <c r="I41" s="141"/>
      <c r="J41" s="128">
        <f>J40/G4</f>
        <v>48.036454545454539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+C42+'10'!D42</f>
        <v>0</v>
      </c>
      <c r="E42" s="142">
        <f t="shared" ca="1" si="0"/>
        <v>0</v>
      </c>
      <c r="F42" s="320">
        <f>+(F38*480+F39*480+F40*480)/1440</f>
        <v>1010.8680555555555</v>
      </c>
      <c r="G42" s="320">
        <f>+(G38*480+G39*480+G40*480)/1440</f>
        <v>816.05902777777783</v>
      </c>
      <c r="H42" s="184" t="s">
        <v>66</v>
      </c>
      <c r="I42" s="241" t="s">
        <v>559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+C43+'10'!D43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+Report1!T19</f>
        <v>128.19999999999999</v>
      </c>
      <c r="J43" s="132">
        <f>+I43+'10'!J43</f>
        <v>1350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+C44+'10'!D44</f>
        <v>60</v>
      </c>
      <c r="E44" s="142">
        <f t="shared" si="0"/>
        <v>1</v>
      </c>
      <c r="F44" s="320"/>
      <c r="G44" s="321"/>
      <c r="H44" s="185" t="s">
        <v>70</v>
      </c>
      <c r="I44" s="117">
        <f>I43/I38</f>
        <v>2.4979054225201169</v>
      </c>
      <c r="J44" s="133">
        <f>J43/J38</f>
        <v>2.4366691635005009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+C45+'10'!D45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2.9299508627585413</v>
      </c>
      <c r="J45" s="133">
        <f>J43/J40</f>
        <v>2.5548778295271966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+C46+'10'!D46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+SUMIF(Listrik!AN18,"&gt;0")</f>
        <v>46365.073856898918</v>
      </c>
      <c r="J46" s="134">
        <f>+I46+'10'!J46</f>
        <v>532466.47711599176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+C47+'10'!D47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903.39757724409935</v>
      </c>
      <c r="J47" s="134">
        <f>J46/J38</f>
        <v>961.07010769354247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+C48+'10'!D48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1059.6520136418446</v>
      </c>
      <c r="J48" s="134">
        <f>J46/J40</f>
        <v>1007.6939239630353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+C49+'10'!D49</f>
        <v>62</v>
      </c>
      <c r="E49" s="142">
        <f t="shared" si="0"/>
        <v>1.0333333333333334</v>
      </c>
      <c r="F49" s="182"/>
      <c r="H49" s="185" t="s">
        <v>174</v>
      </c>
      <c r="I49" s="117">
        <v>0</v>
      </c>
      <c r="J49" s="134">
        <f>+I49+'10'!J49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+C50+'10'!D50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+C51+'10'!D51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29</v>
      </c>
      <c r="D52" s="143">
        <f ca="1">SUM(D38:D51)</f>
        <v>727</v>
      </c>
      <c r="E52" s="144">
        <f ca="1">SUM(E38:E51)</f>
        <v>12.116666666666667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2.013888888888889E-2</v>
      </c>
      <c r="D53" s="145">
        <f ca="1">D52/(24*60*G4)</f>
        <v>4.5896464646464644E-2</v>
      </c>
      <c r="E53" s="146">
        <f ca="1">E52/(G4*24)</f>
        <v>4.5896464646464651E-2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+D34+'10'!J56</f>
        <v>15271</v>
      </c>
      <c r="K56" s="198">
        <f>J56/(J40+J56/1000)/1000</f>
        <v>2.8088626966259075E-2</v>
      </c>
    </row>
    <row r="57" spans="1:11">
      <c r="A57" s="173"/>
      <c r="I57" s="196" t="s">
        <v>85</v>
      </c>
      <c r="J57" s="197">
        <f>+E34+'10'!J57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1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10</v>
      </c>
      <c r="H4" s="153" t="str">
        <f>+'1'!H4</f>
        <v>.06.24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622+731+629</f>
        <v>1982</v>
      </c>
    </row>
    <row r="7" spans="1:18" ht="13.5" customHeight="1" thickBot="1">
      <c r="A7" s="824" t="s">
        <v>432</v>
      </c>
      <c r="B7" s="212" t="s">
        <v>503</v>
      </c>
      <c r="C7" s="213">
        <v>19143</v>
      </c>
      <c r="D7" s="214"/>
      <c r="E7" s="215"/>
      <c r="F7" s="226"/>
      <c r="G7" s="552" t="s">
        <v>11</v>
      </c>
      <c r="H7" s="553" t="s">
        <v>385</v>
      </c>
      <c r="I7" s="827" t="s">
        <v>523</v>
      </c>
      <c r="J7" s="211" t="str">
        <f>+'9'!J7</f>
        <v>N 12 VP OW</v>
      </c>
      <c r="K7" s="233"/>
      <c r="L7" s="237"/>
      <c r="M7" s="116">
        <f>+K7+'9'!M7+L7</f>
        <v>107831</v>
      </c>
    </row>
    <row r="8" spans="1:18" ht="13.5" thickBot="1">
      <c r="A8" s="825"/>
      <c r="B8" s="212"/>
      <c r="C8" s="213"/>
      <c r="D8" s="214"/>
      <c r="E8" s="216"/>
      <c r="F8" s="226"/>
      <c r="G8" s="554" t="s">
        <v>11</v>
      </c>
      <c r="H8" s="553" t="s">
        <v>399</v>
      </c>
      <c r="I8" s="828"/>
      <c r="J8" s="211" t="str">
        <f>+'9'!J8</f>
        <v>F 12.5 VP OW</v>
      </c>
      <c r="K8" s="234"/>
      <c r="L8" s="234"/>
      <c r="M8" s="116">
        <f>+K8+'9'!M8+L8</f>
        <v>66421</v>
      </c>
      <c r="N8" s="148">
        <v>980</v>
      </c>
      <c r="O8" s="148">
        <f>+N8-N8*0.21</f>
        <v>774.2</v>
      </c>
    </row>
    <row r="9" spans="1:18" ht="13.5" thickBot="1">
      <c r="A9" s="825"/>
      <c r="B9" s="212"/>
      <c r="C9" s="213"/>
      <c r="D9" s="214"/>
      <c r="E9" s="217"/>
      <c r="F9" s="226">
        <v>4</v>
      </c>
      <c r="G9" s="554" t="s">
        <v>11</v>
      </c>
      <c r="H9" s="555" t="s">
        <v>418</v>
      </c>
      <c r="I9" s="828"/>
      <c r="J9" s="211" t="str">
        <f>+'9'!J9</f>
        <v>F 13 VP OW</v>
      </c>
      <c r="K9" s="234"/>
      <c r="L9" s="234"/>
      <c r="M9" s="116">
        <f>+K9+'9'!M9+L9</f>
        <v>4155</v>
      </c>
    </row>
    <row r="10" spans="1:18" ht="12.75" customHeight="1" thickBot="1">
      <c r="A10" s="825"/>
      <c r="B10" s="212"/>
      <c r="C10" s="213"/>
      <c r="D10" s="214"/>
      <c r="E10" s="216"/>
      <c r="F10" s="226"/>
      <c r="G10" s="552"/>
      <c r="H10" s="555" t="s">
        <v>513</v>
      </c>
      <c r="I10" s="828"/>
      <c r="J10" s="211" t="str">
        <f>+'9'!J10</f>
        <v>N 17 VP OW</v>
      </c>
      <c r="K10" s="234"/>
      <c r="L10" s="234"/>
      <c r="M10" s="116">
        <f>+K10+'9'!M10+L10</f>
        <v>76374</v>
      </c>
      <c r="P10" s="173"/>
    </row>
    <row r="11" spans="1:18" ht="12.75" customHeight="1" thickBot="1">
      <c r="A11" s="825"/>
      <c r="B11" s="212"/>
      <c r="C11" s="213"/>
      <c r="D11" s="214"/>
      <c r="E11" s="216"/>
      <c r="F11" s="468"/>
      <c r="G11" s="469"/>
      <c r="H11" s="225"/>
      <c r="I11" s="828"/>
      <c r="J11" s="211" t="str">
        <f>+'9'!J11</f>
        <v>N 17,5 VP OW</v>
      </c>
      <c r="K11" s="234"/>
      <c r="L11" s="234"/>
      <c r="M11" s="116">
        <f>+K11+'9'!M11+L11</f>
        <v>23535</v>
      </c>
      <c r="Q11" s="173"/>
      <c r="R11" s="173"/>
    </row>
    <row r="12" spans="1:18" ht="12.75" customHeight="1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+'9'!J12</f>
        <v>TW 17 VP OW</v>
      </c>
      <c r="K12" s="234">
        <f>+C34</f>
        <v>56877</v>
      </c>
      <c r="L12" s="234"/>
      <c r="M12" s="116">
        <f>+K12+'9'!M12+L12</f>
        <v>206330</v>
      </c>
    </row>
    <row r="13" spans="1:18" ht="12.75" customHeight="1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>
        <f>+'9'!J13</f>
        <v>0</v>
      </c>
      <c r="K13" s="234"/>
      <c r="L13" s="234"/>
      <c r="M13" s="116">
        <f>+K13+'9'!M13+L13</f>
        <v>0</v>
      </c>
    </row>
    <row r="14" spans="1:18" ht="12.75" customHeight="1" thickBot="1">
      <c r="A14" s="826"/>
      <c r="B14" s="164" t="s">
        <v>2</v>
      </c>
      <c r="C14" s="98">
        <f>SUM(C7:C13)</f>
        <v>19143</v>
      </c>
      <c r="D14" s="110">
        <f>SUM(D7:D13)</f>
        <v>0</v>
      </c>
      <c r="E14" s="111">
        <f>SUM(E9:E13)</f>
        <v>0</v>
      </c>
      <c r="F14" s="101">
        <f>SUM(F6:F13)</f>
        <v>4</v>
      </c>
      <c r="G14" s="158"/>
      <c r="H14" s="165"/>
      <c r="I14" s="166"/>
      <c r="J14" s="211">
        <f>+'9'!J14</f>
        <v>0</v>
      </c>
      <c r="K14" s="234"/>
      <c r="L14" s="234"/>
      <c r="M14" s="116">
        <f>+K14+'9'!M14+L14</f>
        <v>0</v>
      </c>
    </row>
    <row r="15" spans="1:18" ht="12.75" customHeight="1" thickBot="1">
      <c r="A15" s="830" t="s">
        <v>353</v>
      </c>
      <c r="B15" s="498"/>
      <c r="C15" s="557">
        <f>C14/($C$32+$D$32+$E$32)</f>
        <v>1.147455493616256</v>
      </c>
      <c r="D15" s="103">
        <f>D14/($C$32+$D$32+$E$32)</f>
        <v>0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523</v>
      </c>
      <c r="J15" s="211">
        <f>+'9'!J15</f>
        <v>0</v>
      </c>
      <c r="K15" s="234"/>
      <c r="L15" s="234"/>
      <c r="M15" s="116">
        <f>+K15+'9'!M15+L15</f>
        <v>0</v>
      </c>
    </row>
    <row r="16" spans="1:18" ht="12.75" customHeight="1" thickBot="1">
      <c r="A16" s="825"/>
      <c r="B16" s="212" t="s">
        <v>503</v>
      </c>
      <c r="C16" s="499">
        <v>21051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+'9'!J16</f>
        <v>0</v>
      </c>
      <c r="K16" s="224"/>
      <c r="L16" s="224"/>
      <c r="M16" s="116">
        <f>+K16+'9'!M16+L16</f>
        <v>0</v>
      </c>
      <c r="N16" s="173"/>
      <c r="O16" s="173"/>
      <c r="P16" s="173"/>
    </row>
    <row r="17" spans="1:18" ht="12.75" customHeight="1" thickBot="1">
      <c r="A17" s="825"/>
      <c r="B17" s="212"/>
      <c r="C17" s="213"/>
      <c r="D17" s="214"/>
      <c r="E17" s="220"/>
      <c r="F17" s="226">
        <v>11</v>
      </c>
      <c r="G17" s="554" t="s">
        <v>11</v>
      </c>
      <c r="H17" s="555" t="s">
        <v>375</v>
      </c>
      <c r="I17" s="828"/>
      <c r="J17" s="211">
        <f>+'9'!J17</f>
        <v>0</v>
      </c>
      <c r="K17" s="224"/>
      <c r="L17" s="224"/>
      <c r="M17" s="116">
        <f>+K17+'9'!M17+L17</f>
        <v>0</v>
      </c>
    </row>
    <row r="18" spans="1:18" ht="12.75" customHeight="1" thickBot="1">
      <c r="A18" s="825"/>
      <c r="B18" s="212"/>
      <c r="C18" s="213"/>
      <c r="D18" s="214"/>
      <c r="E18" s="220"/>
      <c r="F18" s="226"/>
      <c r="G18" s="552"/>
      <c r="H18" s="555" t="s">
        <v>513</v>
      </c>
      <c r="I18" s="828"/>
      <c r="J18" s="211">
        <f>+'9'!J18</f>
        <v>0</v>
      </c>
      <c r="K18" s="234"/>
      <c r="L18" s="234"/>
      <c r="M18" s="116">
        <f>+K18+'9'!M18+L18</f>
        <v>0</v>
      </c>
    </row>
    <row r="19" spans="1:18" ht="12.75" customHeight="1" thickBot="1">
      <c r="A19" s="825"/>
      <c r="B19" s="212"/>
      <c r="C19" s="213"/>
      <c r="D19" s="214"/>
      <c r="E19" s="220"/>
      <c r="F19" s="223"/>
      <c r="G19" s="227"/>
      <c r="H19" s="225" t="s">
        <v>540</v>
      </c>
      <c r="I19" s="828"/>
      <c r="J19" s="211">
        <f>+'9'!J19</f>
        <v>0</v>
      </c>
      <c r="K19" s="234"/>
      <c r="L19" s="234"/>
      <c r="M19" s="116">
        <f>+K19+'9'!M19+L19</f>
        <v>0</v>
      </c>
    </row>
    <row r="20" spans="1:18" ht="12.75" customHeight="1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+'9'!J20</f>
        <v>0</v>
      </c>
      <c r="K20" s="235"/>
      <c r="L20" s="235"/>
      <c r="M20" s="116">
        <f>+K20+'9'!M20+L20</f>
        <v>0</v>
      </c>
    </row>
    <row r="21" spans="1:18" ht="12.75" customHeight="1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+'9'!J21</f>
        <v>0</v>
      </c>
      <c r="K21" s="234"/>
      <c r="L21" s="234"/>
      <c r="M21" s="116">
        <f>+K21+'9'!M21+L21</f>
        <v>0</v>
      </c>
    </row>
    <row r="22" spans="1:18" ht="12.75" customHeight="1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+'9'!J22</f>
        <v>0</v>
      </c>
      <c r="K22" s="234"/>
      <c r="L22" s="234"/>
      <c r="M22" s="116">
        <f>+K22+'9'!M22+L22</f>
        <v>0</v>
      </c>
    </row>
    <row r="23" spans="1:18" ht="12.75" customHeight="1" thickBot="1">
      <c r="A23" s="826"/>
      <c r="B23" s="164" t="s">
        <v>2</v>
      </c>
      <c r="C23" s="98">
        <f>SUM(C16:C22)</f>
        <v>21051</v>
      </c>
      <c r="D23" s="110">
        <f>SUM(D16:D22)</f>
        <v>0</v>
      </c>
      <c r="E23" s="111">
        <f>SUM(E18:E22)</f>
        <v>0</v>
      </c>
      <c r="F23" s="101">
        <f>SUM(F15:F22)</f>
        <v>11</v>
      </c>
      <c r="G23" s="158"/>
      <c r="H23" s="165"/>
      <c r="I23" s="167"/>
      <c r="J23" s="211">
        <f>+'9'!J23</f>
        <v>0</v>
      </c>
      <c r="K23" s="234"/>
      <c r="L23" s="234"/>
      <c r="M23" s="116">
        <f>+K23+'9'!M23+L23</f>
        <v>0</v>
      </c>
    </row>
    <row r="24" spans="1:18" ht="12.75" customHeight="1" thickBot="1">
      <c r="A24" s="830" t="s">
        <v>219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523</v>
      </c>
      <c r="J24" s="211">
        <f>+'8'!J24</f>
        <v>0</v>
      </c>
      <c r="K24" s="234"/>
      <c r="L24" s="234"/>
      <c r="M24" s="116">
        <f>+K24+'9'!M24+L24</f>
        <v>0</v>
      </c>
    </row>
    <row r="25" spans="1:18" ht="12.75" customHeight="1" thickBot="1">
      <c r="A25" s="831"/>
      <c r="B25" s="212" t="s">
        <v>503</v>
      </c>
      <c r="C25" s="221">
        <v>16683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+'8'!J25</f>
        <v>0</v>
      </c>
      <c r="K25" s="234"/>
      <c r="L25" s="234"/>
      <c r="M25" s="116">
        <f>+K25+'9'!M25+L25</f>
        <v>0</v>
      </c>
    </row>
    <row r="26" spans="1:18" ht="12.75" customHeight="1" thickBot="1">
      <c r="A26" s="831"/>
      <c r="B26" s="212"/>
      <c r="C26" s="221"/>
      <c r="D26" s="214"/>
      <c r="E26" s="222"/>
      <c r="F26" s="226">
        <v>4</v>
      </c>
      <c r="G26" s="554" t="s">
        <v>11</v>
      </c>
      <c r="H26" s="555" t="s">
        <v>400</v>
      </c>
      <c r="I26" s="828"/>
      <c r="J26" s="211">
        <f>+'8'!J26</f>
        <v>0</v>
      </c>
      <c r="K26" s="234"/>
      <c r="L26" s="234"/>
      <c r="M26" s="116">
        <f>+K26+'9'!M26+L26</f>
        <v>0</v>
      </c>
    </row>
    <row r="27" spans="1:18" ht="12.75" customHeight="1" thickBot="1">
      <c r="A27" s="831"/>
      <c r="B27" s="212"/>
      <c r="C27" s="213"/>
      <c r="D27" s="214"/>
      <c r="E27" s="220"/>
      <c r="F27" s="226"/>
      <c r="G27" s="552"/>
      <c r="H27" s="555" t="s">
        <v>513</v>
      </c>
      <c r="I27" s="828"/>
      <c r="J27" s="211">
        <f>+'8'!J27</f>
        <v>0</v>
      </c>
      <c r="K27" s="234"/>
      <c r="L27" s="234"/>
      <c r="M27" s="116">
        <f>+K27+'9'!M27+L27</f>
        <v>0</v>
      </c>
    </row>
    <row r="28" spans="1:18" ht="12.75" customHeight="1" thickBot="1">
      <c r="A28" s="831"/>
      <c r="B28" s="212"/>
      <c r="C28" s="213"/>
      <c r="D28" s="214"/>
      <c r="E28" s="220"/>
      <c r="F28" s="223"/>
      <c r="G28" s="227"/>
      <c r="H28" s="225"/>
      <c r="I28" s="828"/>
      <c r="J28" s="211">
        <f>+'8'!J28</f>
        <v>0</v>
      </c>
      <c r="K28" s="234"/>
      <c r="L28" s="234"/>
      <c r="M28" s="116">
        <f>+K28+'9'!M28+L28</f>
        <v>0</v>
      </c>
      <c r="P28" s="173"/>
    </row>
    <row r="29" spans="1:18" ht="12.75" customHeight="1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+'8'!J29</f>
        <v>0</v>
      </c>
      <c r="K29" s="234"/>
      <c r="L29" s="234"/>
      <c r="M29" s="116">
        <f>+K29+'9'!M29+L29</f>
        <v>0</v>
      </c>
      <c r="Q29" s="173"/>
      <c r="R29" s="173"/>
    </row>
    <row r="30" spans="1:18" ht="12.75" customHeight="1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+'8'!J30</f>
        <v>0</v>
      </c>
      <c r="K30" s="234"/>
      <c r="L30" s="234"/>
      <c r="M30" s="116">
        <f>+K30+'9'!M30+L30</f>
        <v>0</v>
      </c>
      <c r="N30" s="154"/>
    </row>
    <row r="31" spans="1:18" ht="12.75" customHeight="1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+'8'!J31</f>
        <v>0</v>
      </c>
      <c r="K31" s="234"/>
      <c r="L31" s="234"/>
      <c r="M31" s="116">
        <f>+K31+'9'!M31+L31</f>
        <v>0</v>
      </c>
    </row>
    <row r="32" spans="1:18" ht="12.75" customHeight="1" thickBot="1">
      <c r="A32" s="832"/>
      <c r="B32" s="164" t="s">
        <v>2</v>
      </c>
      <c r="C32" s="98">
        <f>SUM(C25:C31)</f>
        <v>16683</v>
      </c>
      <c r="D32" s="99">
        <f>SUM(D25:D31)</f>
        <v>0</v>
      </c>
      <c r="E32" s="100">
        <f>SUM(E25:E31)</f>
        <v>0</v>
      </c>
      <c r="F32" s="98">
        <f>SUM(F24:F31)</f>
        <v>4</v>
      </c>
      <c r="G32" s="168"/>
      <c r="H32" s="169"/>
      <c r="I32" s="167"/>
      <c r="J32" s="211">
        <f>+'8'!J32</f>
        <v>0</v>
      </c>
      <c r="K32" s="236"/>
      <c r="L32" s="238"/>
      <c r="M32" s="116">
        <f>+K32+'9'!M32+L32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56877</v>
      </c>
      <c r="D34" s="106">
        <f>D14+D23+D32</f>
        <v>0</v>
      </c>
      <c r="E34" s="106">
        <f>E14+E23+E32</f>
        <v>0</v>
      </c>
      <c r="F34" s="107">
        <f>F14+F23+F32</f>
        <v>19</v>
      </c>
      <c r="H34" s="175"/>
      <c r="I34" s="175"/>
      <c r="J34" s="122" t="s">
        <v>27</v>
      </c>
      <c r="K34" s="123">
        <f>SUM(K7:K32)</f>
        <v>56877</v>
      </c>
      <c r="L34" s="209">
        <f>SUM(L7:L32)</f>
        <v>0</v>
      </c>
      <c r="M34" s="119">
        <f>SUM(M7:M32)</f>
        <v>484646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(17*1440)/1440*G42*2.85*1440/1000000</f>
        <v>54.014385600000011</v>
      </c>
      <c r="J37" s="331">
        <f>+I37+'9'!J37</f>
        <v>539.33353804201568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19</v>
      </c>
      <c r="D38" s="117">
        <f>+C38+'9'!D38</f>
        <v>450</v>
      </c>
      <c r="E38" s="142">
        <f t="shared" ref="E38:E51" si="0">D38/60</f>
        <v>7.5</v>
      </c>
      <c r="F38" s="320">
        <v>980</v>
      </c>
      <c r="G38" s="320">
        <f>+F38-F38*0.21</f>
        <v>774.2</v>
      </c>
      <c r="H38" s="184" t="s">
        <v>60</v>
      </c>
      <c r="I38" s="501">
        <f>19.207+17.088+17.136</f>
        <v>53.430999999999997</v>
      </c>
      <c r="J38" s="332">
        <f>+I38+'9'!J38</f>
        <v>502.71199999999999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+C39+'9'!D39</f>
        <v>0</v>
      </c>
      <c r="E39" s="142">
        <f t="shared" si="0"/>
        <v>0</v>
      </c>
      <c r="F39" s="320">
        <v>980</v>
      </c>
      <c r="G39" s="320">
        <f>+F39-F39*0.21</f>
        <v>774.2</v>
      </c>
      <c r="H39" s="184" t="s">
        <v>61</v>
      </c>
      <c r="I39" s="141"/>
      <c r="J39" s="333">
        <f>J37/G4</f>
        <v>53.933353804201566</v>
      </c>
      <c r="K39" s="129" t="s">
        <v>59</v>
      </c>
    </row>
    <row r="40" spans="1:14" ht="17.45" customHeight="1">
      <c r="A40" s="818" t="s">
        <v>62</v>
      </c>
      <c r="B40" s="819"/>
      <c r="C40" s="163">
        <f ca="1">SUMIF($G$7:$G$31,"Mechanical",$F$7:$F$23)</f>
        <v>0</v>
      </c>
      <c r="D40" s="117">
        <f ca="1">+C40+'9'!D40</f>
        <v>0</v>
      </c>
      <c r="E40" s="142">
        <f t="shared" ca="1" si="0"/>
        <v>0</v>
      </c>
      <c r="F40" s="320">
        <v>980</v>
      </c>
      <c r="G40" s="320">
        <f>+F40-F40*0.21</f>
        <v>774.2</v>
      </c>
      <c r="H40" s="184" t="s">
        <v>63</v>
      </c>
      <c r="I40" s="117">
        <f>+(K34+L34)/1000</f>
        <v>56.877000000000002</v>
      </c>
      <c r="J40" s="334">
        <f>+I40+'9'!J40</f>
        <v>484.64599999999996</v>
      </c>
      <c r="K40" s="129" t="s">
        <v>59</v>
      </c>
    </row>
    <row r="41" spans="1:14" ht="17.45" customHeight="1">
      <c r="A41" s="818" t="s">
        <v>64</v>
      </c>
      <c r="B41" s="819"/>
      <c r="C41" s="163">
        <f ca="1">SUMIF($G$7:$G$31,"Electrical",$F$7:$F$23)</f>
        <v>0</v>
      </c>
      <c r="D41" s="117">
        <f ca="1">+C41+'9'!D41</f>
        <v>126</v>
      </c>
      <c r="E41" s="142">
        <f t="shared" ca="1" si="0"/>
        <v>2.1</v>
      </c>
      <c r="F41" s="320"/>
      <c r="G41" s="320"/>
      <c r="H41" s="184" t="s">
        <v>65</v>
      </c>
      <c r="I41" s="141"/>
      <c r="J41" s="333">
        <f>J40/G4</f>
        <v>48.464599999999997</v>
      </c>
      <c r="K41" s="129" t="s">
        <v>59</v>
      </c>
    </row>
    <row r="42" spans="1:14" ht="17.45" customHeight="1">
      <c r="A42" s="818" t="s">
        <v>15</v>
      </c>
      <c r="B42" s="819"/>
      <c r="C42" s="163">
        <f ca="1">SUMIF($G$7:$G$31,"Instrument",$F$7:$F$23)</f>
        <v>0</v>
      </c>
      <c r="D42" s="117">
        <f ca="1">+C42+'9'!D42</f>
        <v>0</v>
      </c>
      <c r="E42" s="142">
        <f t="shared" ca="1" si="0"/>
        <v>0</v>
      </c>
      <c r="F42" s="320">
        <f>+(F38*480+F39*480+F40*480)/1440</f>
        <v>980</v>
      </c>
      <c r="G42" s="320">
        <f>+(G38*480+G39*480+G40*480)/1440</f>
        <v>774.2</v>
      </c>
      <c r="H42" s="184" t="s">
        <v>66</v>
      </c>
      <c r="I42" s="241" t="s">
        <v>523</v>
      </c>
      <c r="J42" s="335"/>
      <c r="K42" s="129" t="s">
        <v>67</v>
      </c>
    </row>
    <row r="43" spans="1:14" ht="17.45" customHeight="1">
      <c r="A43" s="818" t="s">
        <v>68</v>
      </c>
      <c r="B43" s="819"/>
      <c r="C43" s="163">
        <f ca="1">SUMIF($G$7:$G$31,"Water",$F$7:$F$23)</f>
        <v>0</v>
      </c>
      <c r="D43" s="117">
        <f ca="1">+C43+'9'!D43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+Report1!T18</f>
        <v>127.2</v>
      </c>
      <c r="J43" s="336">
        <f>+I43+'9'!J43</f>
        <v>1221.8</v>
      </c>
      <c r="K43" s="129" t="s">
        <v>59</v>
      </c>
      <c r="L43" s="186"/>
    </row>
    <row r="44" spans="1:14">
      <c r="A44" s="818" t="s">
        <v>16</v>
      </c>
      <c r="B44" s="819"/>
      <c r="C44" s="163">
        <f>SUMIF($G$7:$G$23,"PLN",$F$7:$F$23)</f>
        <v>0</v>
      </c>
      <c r="D44" s="117">
        <f>+C44+'9'!D44</f>
        <v>60</v>
      </c>
      <c r="E44" s="142">
        <f t="shared" si="0"/>
        <v>1</v>
      </c>
      <c r="F44" s="320"/>
      <c r="G44" s="321"/>
      <c r="H44" s="185" t="s">
        <v>70</v>
      </c>
      <c r="I44" s="117">
        <f>I43/I38</f>
        <v>2.3806404521719604</v>
      </c>
      <c r="J44" s="336">
        <f>J43/J38</f>
        <v>2.4304174159359633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SUMIF($G$7:$G$23,"Boiler",$F$7:$F$23)</f>
        <v>0</v>
      </c>
      <c r="D45" s="117">
        <f>+C45+'9'!D45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2.2364048736747719</v>
      </c>
      <c r="J45" s="336">
        <f>J43/J40</f>
        <v>2.5210153390309631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SUMIF($G$7:$G$23,"Gas",$F$7:$F$23)</f>
        <v>0</v>
      </c>
      <c r="D46" s="117">
        <f>+C46+'9'!D46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+SUMIF(Listrik!AN17,"&gt;0")</f>
        <v>48563.043086058191</v>
      </c>
      <c r="J46" s="336">
        <f>+I46+'9'!J46</f>
        <v>486101.40325909288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SUMIF($G$7:$G$23,"Gas",$F$7:$F$23)</f>
        <v>0</v>
      </c>
      <c r="D47" s="117">
        <f>+C47+'9'!D47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908.892648201572</v>
      </c>
      <c r="J47" s="336">
        <f>J46/J38</f>
        <v>966.95802618416292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SUMIF($G$7:$G$23,"Start Up",$F$7:$F$23)</f>
        <v>0</v>
      </c>
      <c r="D48" s="117">
        <f>+C48+'9'!D48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853.82567797278671</v>
      </c>
      <c r="J48" s="336">
        <f>J46/J40</f>
        <v>1003.0030233595097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+C49+'9'!D49</f>
        <v>62</v>
      </c>
      <c r="E49" s="142">
        <f t="shared" si="0"/>
        <v>1.0333333333333334</v>
      </c>
      <c r="F49" s="182"/>
      <c r="H49" s="185" t="s">
        <v>174</v>
      </c>
      <c r="I49" s="117">
        <v>0</v>
      </c>
      <c r="J49" s="336">
        <f>+I49+'9'!J49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SUMIF($G$7:$G$23,"Steam",$F$7:$F$23)</f>
        <v>0</v>
      </c>
      <c r="D50" s="117">
        <f>+C50+'9'!D50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336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SUMIF($G$7:$G$23,"Planned shut",$F$7:$F$23)</f>
        <v>0</v>
      </c>
      <c r="D51" s="117">
        <f>+C51+'9'!D51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337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 ca="1">SUM(C38:C51)</f>
        <v>19</v>
      </c>
      <c r="D52" s="143">
        <f ca="1">SUM(D38:D51)</f>
        <v>698</v>
      </c>
      <c r="E52" s="144">
        <f ca="1">SUM(E38:E51)</f>
        <v>11.633333333333333</v>
      </c>
      <c r="F52" s="182"/>
      <c r="H52" s="188"/>
      <c r="I52" s="189"/>
      <c r="J52" s="338"/>
      <c r="K52" s="138"/>
    </row>
    <row r="53" spans="1:11" ht="13.5" thickBot="1">
      <c r="A53" s="816"/>
      <c r="B53" s="817"/>
      <c r="C53" s="145">
        <f ca="1">C52/(24*60)</f>
        <v>1.3194444444444444E-2</v>
      </c>
      <c r="D53" s="145">
        <f ca="1">D52/(24*60*G4)</f>
        <v>4.8472222222222222E-2</v>
      </c>
      <c r="E53" s="146">
        <f ca="1">E52/(G4*24)</f>
        <v>4.8472222222222222E-2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+D34+'9'!J56</f>
        <v>14331</v>
      </c>
      <c r="K56" s="198">
        <f>J56/(J40+J56/1000)/1000</f>
        <v>2.8720762680444187E-2</v>
      </c>
    </row>
    <row r="57" spans="1:11">
      <c r="A57" s="173"/>
      <c r="I57" s="196" t="s">
        <v>85</v>
      </c>
      <c r="J57" s="197"/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10.5703125" style="148" bestFit="1" customWidth="1"/>
    <col min="13" max="13" width="12.140625" style="148" customWidth="1"/>
    <col min="14" max="16384" width="9.140625" style="148"/>
  </cols>
  <sheetData>
    <row r="1" spans="1:15" ht="15.75">
      <c r="A1" s="147"/>
    </row>
    <row r="2" spans="1:15" ht="15.75">
      <c r="A2" s="147" t="s">
        <v>217</v>
      </c>
    </row>
    <row r="3" spans="1:15" ht="15">
      <c r="A3" s="149"/>
    </row>
    <row r="4" spans="1:15" ht="20.25">
      <c r="A4" s="150" t="s">
        <v>3</v>
      </c>
      <c r="B4" s="151"/>
      <c r="F4" s="152" t="s">
        <v>28</v>
      </c>
      <c r="G4" s="153">
        <v>9</v>
      </c>
      <c r="H4" s="153" t="str">
        <f>+'1'!H4</f>
        <v>.06.24</v>
      </c>
    </row>
    <row r="5" spans="1:15" ht="13.5" thickBot="1">
      <c r="C5" s="154"/>
      <c r="D5" s="154"/>
    </row>
    <row r="6" spans="1:15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647+692+635</f>
        <v>1974</v>
      </c>
    </row>
    <row r="7" spans="1:15" ht="13.5" customHeight="1" thickBot="1">
      <c r="A7" s="824" t="s">
        <v>432</v>
      </c>
      <c r="B7" s="212" t="s">
        <v>503</v>
      </c>
      <c r="C7" s="213">
        <v>13249</v>
      </c>
      <c r="D7" s="214"/>
      <c r="E7" s="215"/>
      <c r="F7" s="226"/>
      <c r="G7" s="552" t="s">
        <v>11</v>
      </c>
      <c r="H7" s="553" t="s">
        <v>385</v>
      </c>
      <c r="I7" s="827" t="s">
        <v>523</v>
      </c>
      <c r="J7" s="211" t="str">
        <f>+'8'!J7</f>
        <v>N 12 VP OW</v>
      </c>
      <c r="K7" s="233"/>
      <c r="L7" s="237"/>
      <c r="M7" s="116">
        <f>+K7+'8'!M7+L7</f>
        <v>107831</v>
      </c>
    </row>
    <row r="8" spans="1:15" ht="13.5" thickBot="1">
      <c r="A8" s="825"/>
      <c r="B8" s="212"/>
      <c r="C8" s="213"/>
      <c r="D8" s="214"/>
      <c r="E8" s="216"/>
      <c r="F8" s="226">
        <v>1</v>
      </c>
      <c r="G8" s="554" t="s">
        <v>11</v>
      </c>
      <c r="H8" s="553" t="s">
        <v>419</v>
      </c>
      <c r="I8" s="828"/>
      <c r="J8" s="211" t="str">
        <f>+'8'!J8</f>
        <v>F 12.5 VP OW</v>
      </c>
      <c r="K8" s="234"/>
      <c r="L8" s="234"/>
      <c r="M8" s="116">
        <f>+K8+'8'!M8+L8</f>
        <v>66421</v>
      </c>
      <c r="N8" s="520">
        <v>980</v>
      </c>
      <c r="O8" s="148">
        <f>+N8-N8*0.21</f>
        <v>774.2</v>
      </c>
    </row>
    <row r="9" spans="1:15" ht="13.5" thickBot="1">
      <c r="A9" s="825"/>
      <c r="B9" s="212"/>
      <c r="C9" s="213"/>
      <c r="D9" s="214"/>
      <c r="E9" s="217"/>
      <c r="F9" s="226">
        <v>3</v>
      </c>
      <c r="G9" s="554" t="s">
        <v>11</v>
      </c>
      <c r="H9" s="555" t="s">
        <v>400</v>
      </c>
      <c r="I9" s="828"/>
      <c r="J9" s="211" t="str">
        <f>+'8'!J9</f>
        <v>F 13 VP OW</v>
      </c>
      <c r="K9" s="234"/>
      <c r="L9" s="234"/>
      <c r="M9" s="116">
        <f>+K9+'8'!M9+L9</f>
        <v>4155</v>
      </c>
    </row>
    <row r="10" spans="1:15" ht="13.5" thickBot="1">
      <c r="A10" s="825"/>
      <c r="B10" s="212"/>
      <c r="C10" s="213"/>
      <c r="D10" s="214"/>
      <c r="E10" s="216"/>
      <c r="F10" s="226"/>
      <c r="G10" s="552"/>
      <c r="H10" s="555" t="s">
        <v>513</v>
      </c>
      <c r="I10" s="828"/>
      <c r="J10" s="211" t="str">
        <f>+'8'!J10</f>
        <v>N 17 VP OW</v>
      </c>
      <c r="K10" s="234"/>
      <c r="L10" s="234"/>
      <c r="M10" s="116">
        <f>+K10+'8'!M10+L10</f>
        <v>76374</v>
      </c>
    </row>
    <row r="11" spans="1:15" ht="13.5" thickBot="1">
      <c r="A11" s="825"/>
      <c r="B11" s="212"/>
      <c r="C11" s="213"/>
      <c r="D11" s="214"/>
      <c r="E11" s="216"/>
      <c r="F11" s="468"/>
      <c r="G11" s="469"/>
      <c r="H11" s="225" t="s">
        <v>527</v>
      </c>
      <c r="I11" s="828"/>
      <c r="J11" s="211" t="str">
        <f>+'8'!J11</f>
        <v>N 17,5 VP OW</v>
      </c>
      <c r="K11" s="234"/>
      <c r="L11" s="234"/>
      <c r="M11" s="116">
        <f>+K11+'8'!M11+L11</f>
        <v>23535</v>
      </c>
    </row>
    <row r="12" spans="1:15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+'8'!J12</f>
        <v>TW 17 VP OW</v>
      </c>
      <c r="K12" s="234">
        <f>+C34</f>
        <v>49106</v>
      </c>
      <c r="L12" s="234"/>
      <c r="M12" s="116">
        <f>+K12+'8'!M12+L12</f>
        <v>149453</v>
      </c>
    </row>
    <row r="13" spans="1:15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>
        <f>+'8'!J13</f>
        <v>0</v>
      </c>
      <c r="K13" s="234"/>
      <c r="L13" s="234"/>
      <c r="M13" s="116">
        <f>+K13+'8'!M13+L13</f>
        <v>0</v>
      </c>
    </row>
    <row r="14" spans="1:15" ht="13.5" thickBot="1">
      <c r="A14" s="826"/>
      <c r="B14" s="164" t="s">
        <v>2</v>
      </c>
      <c r="C14" s="98">
        <f>SUM(C7:C13)</f>
        <v>13249</v>
      </c>
      <c r="D14" s="110">
        <f>SUM(D7:D13)</f>
        <v>0</v>
      </c>
      <c r="E14" s="111">
        <f>SUM(E9:E13)</f>
        <v>0</v>
      </c>
      <c r="F14" s="101">
        <f>SUM(F6:F13)</f>
        <v>4</v>
      </c>
      <c r="G14" s="158"/>
      <c r="H14" s="165"/>
      <c r="I14" s="166"/>
      <c r="J14" s="211">
        <f>+'8'!J14</f>
        <v>0</v>
      </c>
      <c r="K14" s="234"/>
      <c r="L14" s="234"/>
      <c r="M14" s="116">
        <f>+K14+'8'!M14+L14</f>
        <v>0</v>
      </c>
    </row>
    <row r="15" spans="1:15" ht="13.5" thickBot="1">
      <c r="A15" s="830" t="s">
        <v>431</v>
      </c>
      <c r="B15" s="498"/>
      <c r="C15" s="557">
        <f>C14/($C$32+$D$32+$E$32)</f>
        <v>0.60492192493836183</v>
      </c>
      <c r="D15" s="103">
        <f>D14/($C$32+$D$32+$E$32)</f>
        <v>0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523</v>
      </c>
      <c r="J15" s="211">
        <f>+'8'!J15</f>
        <v>0</v>
      </c>
      <c r="K15" s="234"/>
      <c r="L15" s="234"/>
      <c r="M15" s="116">
        <f>+K15+'8'!M15+L15</f>
        <v>0</v>
      </c>
    </row>
    <row r="16" spans="1:15" ht="13.5" thickBot="1">
      <c r="A16" s="825"/>
      <c r="B16" s="212" t="s">
        <v>503</v>
      </c>
      <c r="C16" s="499">
        <v>16155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+'8'!J16</f>
        <v>0</v>
      </c>
      <c r="K16" s="224"/>
      <c r="L16" s="224"/>
      <c r="M16" s="116">
        <f>+K16+'8'!M16+L16</f>
        <v>0</v>
      </c>
      <c r="N16" s="520"/>
    </row>
    <row r="17" spans="1:23" ht="13.5" thickBot="1">
      <c r="A17" s="825"/>
      <c r="B17" s="212"/>
      <c r="C17" s="213"/>
      <c r="D17" s="214"/>
      <c r="E17" s="220"/>
      <c r="F17" s="226">
        <v>3</v>
      </c>
      <c r="G17" s="554" t="s">
        <v>11</v>
      </c>
      <c r="H17" s="555" t="s">
        <v>400</v>
      </c>
      <c r="I17" s="828"/>
      <c r="J17" s="211">
        <f>+'8'!J17</f>
        <v>0</v>
      </c>
      <c r="K17" s="224"/>
      <c r="L17" s="224"/>
      <c r="M17" s="116">
        <f>+K17+'8'!M17+L17</f>
        <v>0</v>
      </c>
    </row>
    <row r="18" spans="1:23" ht="13.5" thickBot="1">
      <c r="A18" s="825"/>
      <c r="B18" s="212"/>
      <c r="C18" s="213"/>
      <c r="D18" s="214"/>
      <c r="E18" s="220"/>
      <c r="F18" s="226"/>
      <c r="G18" s="552"/>
      <c r="H18" s="555" t="s">
        <v>513</v>
      </c>
      <c r="I18" s="828"/>
      <c r="J18" s="211">
        <f>+'8'!J18</f>
        <v>0</v>
      </c>
      <c r="K18" s="234"/>
      <c r="L18" s="234"/>
      <c r="M18" s="116">
        <f>+K18+'8'!M18+L18</f>
        <v>0</v>
      </c>
    </row>
    <row r="19" spans="1:23" ht="13.5" thickBot="1">
      <c r="A19" s="825"/>
      <c r="B19" s="212"/>
      <c r="C19" s="213"/>
      <c r="D19" s="214"/>
      <c r="E19" s="220"/>
      <c r="F19" s="223"/>
      <c r="G19" s="227"/>
      <c r="H19" s="225"/>
      <c r="I19" s="828"/>
      <c r="J19" s="211">
        <f>+'8'!J19</f>
        <v>0</v>
      </c>
      <c r="K19" s="234"/>
      <c r="L19" s="234"/>
      <c r="M19" s="116">
        <f>+K19+'8'!M19+L19</f>
        <v>0</v>
      </c>
    </row>
    <row r="20" spans="1:23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+'8'!J20</f>
        <v>0</v>
      </c>
      <c r="K20" s="235"/>
      <c r="L20" s="235"/>
      <c r="M20" s="116">
        <f>+K20+'8'!M20+L20</f>
        <v>0</v>
      </c>
    </row>
    <row r="21" spans="1:23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+'8'!J21</f>
        <v>0</v>
      </c>
      <c r="K21" s="234"/>
      <c r="L21" s="234"/>
      <c r="M21" s="116">
        <f>+K21+'8'!M21+L21</f>
        <v>0</v>
      </c>
    </row>
    <row r="22" spans="1:23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+'8'!J22</f>
        <v>0</v>
      </c>
      <c r="K22" s="234"/>
      <c r="L22" s="234"/>
      <c r="M22" s="116">
        <f>+K22+'8'!M22+L22</f>
        <v>0</v>
      </c>
    </row>
    <row r="23" spans="1:23" ht="13.5" thickBot="1">
      <c r="A23" s="826"/>
      <c r="B23" s="164" t="s">
        <v>2</v>
      </c>
      <c r="C23" s="98">
        <f>SUM(C16:C22)</f>
        <v>16155</v>
      </c>
      <c r="D23" s="110">
        <f>SUM(D16:D22)</f>
        <v>0</v>
      </c>
      <c r="E23" s="111">
        <f>SUM(E18:E22)</f>
        <v>0</v>
      </c>
      <c r="F23" s="101">
        <f>SUM(F15:F22)</f>
        <v>3</v>
      </c>
      <c r="G23" s="158"/>
      <c r="H23" s="165"/>
      <c r="I23" s="167"/>
      <c r="J23" s="211">
        <f>+'8'!J23</f>
        <v>0</v>
      </c>
      <c r="K23" s="234"/>
      <c r="L23" s="234"/>
      <c r="M23" s="116">
        <f>+K23+'8'!M23+L23</f>
        <v>0</v>
      </c>
    </row>
    <row r="24" spans="1:23" ht="13.5" thickBot="1">
      <c r="A24" s="830" t="s">
        <v>219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523</v>
      </c>
      <c r="J24" s="211">
        <f>+'8'!J24</f>
        <v>0</v>
      </c>
      <c r="K24" s="234"/>
      <c r="L24" s="234"/>
      <c r="M24" s="116">
        <f>+K24+'8'!M24+L24</f>
        <v>0</v>
      </c>
    </row>
    <row r="25" spans="1:23" ht="13.5" thickBot="1">
      <c r="A25" s="831"/>
      <c r="B25" s="212" t="s">
        <v>503</v>
      </c>
      <c r="C25" s="221">
        <v>19702</v>
      </c>
      <c r="D25" s="214">
        <v>2200</v>
      </c>
      <c r="E25" s="220"/>
      <c r="F25" s="226">
        <v>2</v>
      </c>
      <c r="G25" s="554" t="s">
        <v>11</v>
      </c>
      <c r="H25" s="553" t="s">
        <v>419</v>
      </c>
      <c r="I25" s="828"/>
      <c r="J25" s="211">
        <f>+'8'!J25</f>
        <v>0</v>
      </c>
      <c r="K25" s="234"/>
      <c r="L25" s="234"/>
      <c r="M25" s="116">
        <f>+K25+'8'!M25+L25</f>
        <v>0</v>
      </c>
      <c r="N25" s="178" t="s">
        <v>89</v>
      </c>
      <c r="O25" s="585" t="s">
        <v>530</v>
      </c>
      <c r="P25" s="585" t="s">
        <v>530</v>
      </c>
      <c r="Q25" s="585" t="s">
        <v>531</v>
      </c>
      <c r="R25" s="585" t="s">
        <v>532</v>
      </c>
      <c r="S25" s="585" t="s">
        <v>533</v>
      </c>
      <c r="T25" s="585" t="s">
        <v>534</v>
      </c>
      <c r="U25" s="586" t="s">
        <v>535</v>
      </c>
      <c r="V25" s="585" t="s">
        <v>536</v>
      </c>
      <c r="W25" s="585" t="s">
        <v>537</v>
      </c>
    </row>
    <row r="26" spans="1:23" ht="13.5" thickBot="1">
      <c r="A26" s="831"/>
      <c r="B26" s="212"/>
      <c r="C26" s="221"/>
      <c r="D26" s="214"/>
      <c r="E26" s="222"/>
      <c r="F26" s="226">
        <v>3</v>
      </c>
      <c r="G26" s="554" t="s">
        <v>11</v>
      </c>
      <c r="H26" s="555" t="s">
        <v>400</v>
      </c>
      <c r="I26" s="828"/>
      <c r="J26" s="211">
        <f>+'8'!J26</f>
        <v>0</v>
      </c>
      <c r="K26" s="234"/>
      <c r="L26" s="234"/>
      <c r="M26" s="116">
        <f>+K26+'8'!M26+L26</f>
        <v>0</v>
      </c>
      <c r="N26" s="587">
        <v>17</v>
      </c>
      <c r="O26" s="196">
        <v>980</v>
      </c>
      <c r="P26" s="196">
        <v>980</v>
      </c>
      <c r="Q26" s="196">
        <f>+P26-P26*0.21</f>
        <v>774.2</v>
      </c>
      <c r="R26" s="588">
        <f>1-(Q26/P26)</f>
        <v>0.20999999999999996</v>
      </c>
      <c r="S26" s="589">
        <v>62</v>
      </c>
      <c r="T26" s="590">
        <f>+'Trim Rwd'!H30</f>
        <v>280</v>
      </c>
      <c r="U26" s="591">
        <f>(O26*(1-R26)*N26*T26*S26)/100000000</f>
        <v>2.2848190400000004</v>
      </c>
      <c r="V26" s="592">
        <f>+C33/1000</f>
        <v>8.9955255227833078E-4</v>
      </c>
      <c r="W26" s="593">
        <f>SUM(V26:V28)/SUM(U26:U28)</f>
        <v>1.9706204000549622E-4</v>
      </c>
    </row>
    <row r="27" spans="1:23" ht="13.5" thickBot="1">
      <c r="A27" s="831"/>
      <c r="B27" s="212"/>
      <c r="C27" s="213"/>
      <c r="D27" s="214"/>
      <c r="E27" s="220"/>
      <c r="F27" s="226"/>
      <c r="G27" s="552"/>
      <c r="H27" s="555" t="s">
        <v>513</v>
      </c>
      <c r="I27" s="828"/>
      <c r="J27" s="211">
        <f>+'8'!J27</f>
        <v>0</v>
      </c>
      <c r="K27" s="234"/>
      <c r="L27" s="234"/>
      <c r="M27" s="116">
        <f>+K27+'8'!M27+L27</f>
        <v>0</v>
      </c>
      <c r="U27" s="148">
        <v>2.2799999999999998</v>
      </c>
    </row>
    <row r="28" spans="1:23" ht="13.5" thickBot="1">
      <c r="A28" s="831"/>
      <c r="B28" s="212"/>
      <c r="C28" s="213"/>
      <c r="D28" s="214"/>
      <c r="E28" s="220"/>
      <c r="F28" s="223"/>
      <c r="G28" s="227"/>
      <c r="H28" s="225" t="s">
        <v>528</v>
      </c>
      <c r="I28" s="828"/>
      <c r="J28" s="211">
        <f>+'8'!J28</f>
        <v>0</v>
      </c>
      <c r="K28" s="234"/>
      <c r="L28" s="234"/>
      <c r="M28" s="116">
        <f>+K28+'8'!M28+L28</f>
        <v>0</v>
      </c>
    </row>
    <row r="29" spans="1:23" ht="26.25" thickBot="1">
      <c r="A29" s="831"/>
      <c r="B29" s="212"/>
      <c r="C29" s="213"/>
      <c r="D29" s="214"/>
      <c r="E29" s="220" t="s">
        <v>538</v>
      </c>
      <c r="F29" s="231">
        <v>62</v>
      </c>
      <c r="G29" s="227" t="s">
        <v>19</v>
      </c>
      <c r="H29" s="228" t="s">
        <v>529</v>
      </c>
      <c r="I29" s="828"/>
      <c r="J29" s="211">
        <f>+'8'!J29</f>
        <v>0</v>
      </c>
      <c r="K29" s="234"/>
      <c r="L29" s="234"/>
      <c r="M29" s="116">
        <f>+K29+'8'!M29+L29</f>
        <v>0</v>
      </c>
    </row>
    <row r="30" spans="1:23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+'8'!J30</f>
        <v>0</v>
      </c>
      <c r="K30" s="234"/>
      <c r="L30" s="234"/>
      <c r="M30" s="116">
        <f>+K30+'8'!M30+L30</f>
        <v>0</v>
      </c>
      <c r="N30" s="154"/>
    </row>
    <row r="31" spans="1:23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+'8'!J31</f>
        <v>0</v>
      </c>
      <c r="K31" s="234"/>
      <c r="L31" s="234"/>
      <c r="M31" s="116">
        <f>+K31+'8'!M31+L31</f>
        <v>0</v>
      </c>
    </row>
    <row r="32" spans="1:23" ht="13.5" thickBot="1">
      <c r="A32" s="832"/>
      <c r="B32" s="164" t="s">
        <v>2</v>
      </c>
      <c r="C32" s="98">
        <f>SUM(C25:C31)</f>
        <v>19702</v>
      </c>
      <c r="D32" s="99">
        <f>SUM(D25:D31)</f>
        <v>2200</v>
      </c>
      <c r="E32" s="100">
        <f>SUM(E25:E31)</f>
        <v>0</v>
      </c>
      <c r="F32" s="98">
        <f>SUM(F24:F31)</f>
        <v>67</v>
      </c>
      <c r="G32" s="168"/>
      <c r="H32" s="169"/>
      <c r="I32" s="167"/>
      <c r="J32" s="211">
        <f>+'8'!J32</f>
        <v>0</v>
      </c>
      <c r="K32" s="236"/>
      <c r="L32" s="238"/>
      <c r="M32" s="116">
        <f>+K32+'8'!M32+L32</f>
        <v>0</v>
      </c>
    </row>
    <row r="33" spans="1:14" ht="13.5" thickBot="1">
      <c r="A33" s="170"/>
      <c r="B33" s="171"/>
      <c r="C33" s="102">
        <f>C32/($C$32+$D$32+$E$32)</f>
        <v>0.89955255227833075</v>
      </c>
      <c r="D33" s="103">
        <f>D32/($C$32+$D$32+$E$32)</f>
        <v>0.10044744772166925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49106</v>
      </c>
      <c r="D34" s="106">
        <f>D14+D23+D32</f>
        <v>2200</v>
      </c>
      <c r="E34" s="106">
        <f>E14+E23+E32</f>
        <v>0</v>
      </c>
      <c r="F34" s="107">
        <f>F14+F23+F32</f>
        <v>74</v>
      </c>
      <c r="H34" s="175"/>
      <c r="I34" s="175"/>
      <c r="J34" s="122" t="s">
        <v>27</v>
      </c>
      <c r="K34" s="123">
        <f>SUM(K7:K32)</f>
        <v>49106</v>
      </c>
      <c r="L34" s="209">
        <f>SUM(L7:L32)</f>
        <v>0</v>
      </c>
      <c r="M34" s="119">
        <f>SUM(M7:M32)</f>
        <v>427769</v>
      </c>
      <c r="N34" s="154"/>
    </row>
    <row r="35" spans="1:14" ht="13.5" thickBot="1">
      <c r="A35" s="176"/>
      <c r="B35" s="177"/>
      <c r="C35" s="103">
        <f>C34/($C$34+$D$34+$E$34)</f>
        <v>0.95712002494834914</v>
      </c>
      <c r="D35" s="103">
        <f>D34/($C$34+$D$34+$E$34)</f>
        <v>4.2879975051650879E-2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(17*1440)/1440*G42*2.85*1440/1000000</f>
        <v>54.014385600000011</v>
      </c>
      <c r="J37" s="124">
        <f>+I37+'8'!J37</f>
        <v>485.31915244201565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12</v>
      </c>
      <c r="D38" s="117">
        <f>+C38+'8'!D38</f>
        <v>431</v>
      </c>
      <c r="E38" s="142">
        <f t="shared" ref="E38:E51" si="0">D38/60</f>
        <v>7.1833333333333336</v>
      </c>
      <c r="F38" s="320">
        <v>980</v>
      </c>
      <c r="G38" s="320">
        <f>+F38-F38*0.21</f>
        <v>774.2</v>
      </c>
      <c r="H38" s="184" t="s">
        <v>60</v>
      </c>
      <c r="I38" s="501">
        <f>19.04+18.326+17.136</f>
        <v>54.501999999999995</v>
      </c>
      <c r="J38" s="126">
        <f>+I38+'8'!J38</f>
        <v>449.28100000000001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+C39+'8'!D39</f>
        <v>0</v>
      </c>
      <c r="E39" s="142">
        <f t="shared" si="0"/>
        <v>0</v>
      </c>
      <c r="F39" s="320">
        <v>980</v>
      </c>
      <c r="G39" s="320">
        <f>+F39-F39*0.21</f>
        <v>774.2</v>
      </c>
      <c r="H39" s="184" t="s">
        <v>61</v>
      </c>
      <c r="I39" s="141"/>
      <c r="J39" s="128">
        <f>J37/G4</f>
        <v>53.924350271335072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>+C40+'8'!D40</f>
        <v>0</v>
      </c>
      <c r="E40" s="142">
        <f t="shared" si="0"/>
        <v>0</v>
      </c>
      <c r="F40" s="320">
        <v>980</v>
      </c>
      <c r="G40" s="320">
        <f>+F40-F40*0.21</f>
        <v>774.2</v>
      </c>
      <c r="H40" s="184" t="s">
        <v>63</v>
      </c>
      <c r="I40" s="117">
        <f>(K34+L34)/1000</f>
        <v>49.106000000000002</v>
      </c>
      <c r="J40" s="130">
        <f>+I40+'8'!J40</f>
        <v>427.76899999999995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>+C41+'8'!D41</f>
        <v>126</v>
      </c>
      <c r="E41" s="142">
        <f t="shared" si="0"/>
        <v>2.1</v>
      </c>
      <c r="F41" s="320"/>
      <c r="G41" s="320"/>
      <c r="H41" s="184" t="s">
        <v>65</v>
      </c>
      <c r="I41" s="141"/>
      <c r="J41" s="128">
        <f>J40/G4</f>
        <v>47.529888888888884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>+C42+'8'!D42</f>
        <v>0</v>
      </c>
      <c r="E42" s="142">
        <f t="shared" si="0"/>
        <v>0</v>
      </c>
      <c r="F42" s="320">
        <f>+(F38*480+F39*480+F40*480)/1440</f>
        <v>980</v>
      </c>
      <c r="G42" s="320">
        <f>+(G38*480+G39*480+G40*480)/1440</f>
        <v>774.2</v>
      </c>
      <c r="H42" s="184" t="s">
        <v>66</v>
      </c>
      <c r="I42" s="241" t="s">
        <v>523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>+C43+'8'!D43</f>
        <v>0</v>
      </c>
      <c r="E43" s="142">
        <f t="shared" si="0"/>
        <v>0</v>
      </c>
      <c r="F43" s="320"/>
      <c r="G43" s="321"/>
      <c r="H43" s="185" t="s">
        <v>69</v>
      </c>
      <c r="I43" s="117">
        <f>+Report1!T17</f>
        <v>127.6</v>
      </c>
      <c r="J43" s="132">
        <f>+I43+'8'!J43</f>
        <v>1094.5999999999999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+C44+'8'!D44</f>
        <v>60</v>
      </c>
      <c r="E44" s="142">
        <f t="shared" si="0"/>
        <v>1</v>
      </c>
      <c r="F44" s="320"/>
      <c r="G44" s="321"/>
      <c r="H44" s="185" t="s">
        <v>70</v>
      </c>
      <c r="I44" s="117">
        <f>I43/I38</f>
        <v>2.3411984881288763</v>
      </c>
      <c r="J44" s="133">
        <f>J43/J38</f>
        <v>2.4363371698335783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+C45+'8'!D45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2.5984604732619232</v>
      </c>
      <c r="J45" s="133">
        <f>J43/J40</f>
        <v>2.5588577012359477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+C46+'8'!D46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+SUMIF(Listrik!AN16,"&gt;0")</f>
        <v>48950.708928317108</v>
      </c>
      <c r="J46" s="134">
        <f>+I46+'8'!J46</f>
        <v>437538.36017303471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+C47+'8'!D47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898.14518601734085</v>
      </c>
      <c r="J47" s="134">
        <f>J46/J38</f>
        <v>973.86348448528804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+C48+'8'!D48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996.83763548888339</v>
      </c>
      <c r="J48" s="134">
        <f>J46/J40</f>
        <v>1022.8379339621029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62</v>
      </c>
      <c r="D49" s="117">
        <f>+C49+'8'!D49</f>
        <v>62</v>
      </c>
      <c r="E49" s="142">
        <f t="shared" si="0"/>
        <v>1.0333333333333334</v>
      </c>
      <c r="F49" s="182"/>
      <c r="H49" s="185" t="s">
        <v>174</v>
      </c>
      <c r="I49" s="117">
        <v>0</v>
      </c>
      <c r="J49" s="134">
        <f>+I49+'8'!J49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+C50+'8'!D50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+C51+'8'!D51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74</v>
      </c>
      <c r="D52" s="143">
        <f>SUM(D38:D51)</f>
        <v>679</v>
      </c>
      <c r="E52" s="144">
        <f>SUM(E38:E51)</f>
        <v>11.316666666666666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5.1388888888888887E-2</v>
      </c>
      <c r="D53" s="145">
        <f>D52/(24*60*G4)</f>
        <v>5.2391975308641973E-2</v>
      </c>
      <c r="E53" s="146">
        <f>E52/(G4*24)</f>
        <v>5.2391975308641973E-2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+D34+'8'!J56</f>
        <v>14331</v>
      </c>
      <c r="K56" s="198">
        <f>J56/(J40+J56/1000)/1000</f>
        <v>3.2415743044560061E-2</v>
      </c>
    </row>
    <row r="57" spans="1:11">
      <c r="A57" s="173"/>
      <c r="I57" s="196" t="s">
        <v>85</v>
      </c>
      <c r="J57" s="197">
        <f>+E34+'8'!J57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1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13.7109375" style="148" bestFit="1" customWidth="1"/>
    <col min="13" max="13" width="1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217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8</v>
      </c>
      <c r="H4" s="153" t="str">
        <f>+'1'!H4</f>
        <v>.06.24</v>
      </c>
    </row>
    <row r="5" spans="1:19" ht="13.5" thickBot="1">
      <c r="C5" s="154"/>
      <c r="D5" s="154"/>
    </row>
    <row r="6" spans="1:19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686+311+618</f>
        <v>1615</v>
      </c>
    </row>
    <row r="7" spans="1:19" ht="13.5" customHeight="1" thickBot="1">
      <c r="A7" s="824" t="s">
        <v>432</v>
      </c>
      <c r="B7" s="212" t="s">
        <v>503</v>
      </c>
      <c r="C7" s="213">
        <v>17400</v>
      </c>
      <c r="D7" s="214"/>
      <c r="E7" s="215"/>
      <c r="F7" s="226"/>
      <c r="G7" s="552" t="s">
        <v>11</v>
      </c>
      <c r="H7" s="553" t="s">
        <v>385</v>
      </c>
      <c r="I7" s="827" t="s">
        <v>523</v>
      </c>
      <c r="J7" s="211" t="str">
        <f>+'7'!J7</f>
        <v>N 12 VP OW</v>
      </c>
      <c r="K7" s="233"/>
      <c r="L7" s="237"/>
      <c r="M7" s="116">
        <f>+K7+'7'!M7+L7</f>
        <v>107831</v>
      </c>
    </row>
    <row r="8" spans="1:19" ht="13.5" thickBot="1">
      <c r="A8" s="825"/>
      <c r="B8" s="212"/>
      <c r="C8" s="213"/>
      <c r="D8" s="214"/>
      <c r="E8" s="216"/>
      <c r="F8" s="226"/>
      <c r="G8" s="554" t="s">
        <v>11</v>
      </c>
      <c r="H8" s="553" t="s">
        <v>399</v>
      </c>
      <c r="I8" s="828"/>
      <c r="J8" s="211" t="str">
        <f>+'7'!J8</f>
        <v>F 12.5 VP OW</v>
      </c>
      <c r="K8" s="234"/>
      <c r="L8" s="234"/>
      <c r="M8" s="116">
        <f>+K8+'7'!M8+L8</f>
        <v>66421</v>
      </c>
      <c r="N8" s="519">
        <v>980</v>
      </c>
      <c r="O8" s="148">
        <f>+N8-N8*0.21</f>
        <v>774.2</v>
      </c>
      <c r="P8" s="148">
        <v>480</v>
      </c>
    </row>
    <row r="9" spans="1:19" ht="13.5" thickBot="1">
      <c r="A9" s="825"/>
      <c r="B9" s="212"/>
      <c r="C9" s="213"/>
      <c r="D9" s="214"/>
      <c r="E9" s="217"/>
      <c r="F9" s="226">
        <v>7</v>
      </c>
      <c r="G9" s="554" t="s">
        <v>11</v>
      </c>
      <c r="H9" s="555" t="s">
        <v>400</v>
      </c>
      <c r="I9" s="828"/>
      <c r="J9" s="211" t="str">
        <f>+'7'!J9</f>
        <v>F 13 VP OW</v>
      </c>
      <c r="K9" s="234"/>
      <c r="L9" s="234"/>
      <c r="M9" s="116">
        <f>+K9+'7'!M9+L9</f>
        <v>4155</v>
      </c>
      <c r="N9" s="519">
        <v>980</v>
      </c>
      <c r="O9" s="148">
        <f>+N9-N9*0.21</f>
        <v>774.2</v>
      </c>
      <c r="P9" s="148">
        <f>50+4+300</f>
        <v>354</v>
      </c>
    </row>
    <row r="10" spans="1:19" ht="13.5" thickBot="1">
      <c r="A10" s="825"/>
      <c r="B10" s="212"/>
      <c r="C10" s="213"/>
      <c r="D10" s="214"/>
      <c r="E10" s="216"/>
      <c r="F10" s="226"/>
      <c r="G10" s="552"/>
      <c r="H10" s="555" t="s">
        <v>513</v>
      </c>
      <c r="I10" s="828"/>
      <c r="J10" s="211" t="str">
        <f>+'7'!J10</f>
        <v>N 17 VP OW</v>
      </c>
      <c r="K10" s="234"/>
      <c r="L10" s="234"/>
      <c r="M10" s="116">
        <f>+K10+'7'!M10+L10</f>
        <v>76374</v>
      </c>
      <c r="N10" s="519">
        <v>980</v>
      </c>
      <c r="O10" s="148">
        <f>+N10-N10*0.21</f>
        <v>774.2</v>
      </c>
      <c r="P10" s="148">
        <v>480</v>
      </c>
      <c r="Q10" s="173"/>
    </row>
    <row r="11" spans="1:19" ht="13.5" thickBot="1">
      <c r="A11" s="825"/>
      <c r="B11" s="212"/>
      <c r="C11" s="213"/>
      <c r="D11" s="214"/>
      <c r="E11" s="216"/>
      <c r="F11" s="468"/>
      <c r="G11" s="469"/>
      <c r="H11" s="225" t="s">
        <v>514</v>
      </c>
      <c r="I11" s="828"/>
      <c r="J11" s="211" t="str">
        <f>+'7'!J11</f>
        <v>N 17,5 VP OW</v>
      </c>
      <c r="K11" s="234"/>
      <c r="L11" s="234"/>
      <c r="M11" s="116">
        <f>+K11+'7'!M11+L11</f>
        <v>23535</v>
      </c>
      <c r="P11" s="148">
        <f>SUM(P8:P10)</f>
        <v>1314</v>
      </c>
      <c r="R11" s="173"/>
      <c r="S11" s="173"/>
    </row>
    <row r="12" spans="1:19" ht="13.5" thickBot="1">
      <c r="A12" s="825"/>
      <c r="B12" s="212"/>
      <c r="C12" s="213"/>
      <c r="D12" s="214"/>
      <c r="E12" s="216"/>
      <c r="F12" s="223"/>
      <c r="G12" s="227"/>
      <c r="H12" s="228" t="s">
        <v>515</v>
      </c>
      <c r="I12" s="828"/>
      <c r="J12" s="211" t="str">
        <f>+'7'!J12</f>
        <v>TW 17 VP OW</v>
      </c>
      <c r="K12" s="234">
        <f>+C34</f>
        <v>46260</v>
      </c>
      <c r="L12" s="234"/>
      <c r="M12" s="116">
        <f>+K12+'7'!M12+L12</f>
        <v>100347</v>
      </c>
    </row>
    <row r="13" spans="1:19" ht="26.25" thickBot="1">
      <c r="A13" s="825"/>
      <c r="B13" s="212"/>
      <c r="C13" s="213"/>
      <c r="D13" s="213"/>
      <c r="E13" s="216"/>
      <c r="F13" s="223"/>
      <c r="G13" s="227"/>
      <c r="H13" s="228" t="s">
        <v>516</v>
      </c>
      <c r="I13" s="829"/>
      <c r="J13" s="211">
        <f>+'7'!J13</f>
        <v>0</v>
      </c>
      <c r="K13" s="234"/>
      <c r="L13" s="234"/>
      <c r="M13" s="116">
        <f>+K13+'7'!M13+L13</f>
        <v>0</v>
      </c>
    </row>
    <row r="14" spans="1:19" ht="13.5" thickBot="1">
      <c r="A14" s="826"/>
      <c r="B14" s="164" t="s">
        <v>2</v>
      </c>
      <c r="C14" s="98">
        <f>SUM(C7:C13)</f>
        <v>17400</v>
      </c>
      <c r="D14" s="110">
        <f>SUM(D7:D13)</f>
        <v>0</v>
      </c>
      <c r="E14" s="111">
        <f>SUM(E9:E13)</f>
        <v>0</v>
      </c>
      <c r="F14" s="101">
        <f>SUM(F6:F13)</f>
        <v>7</v>
      </c>
      <c r="G14" s="158"/>
      <c r="H14" s="165"/>
      <c r="I14" s="166"/>
      <c r="J14" s="211">
        <f>+'7'!J14</f>
        <v>0</v>
      </c>
      <c r="K14" s="234"/>
      <c r="L14" s="234"/>
      <c r="M14" s="116">
        <f>+K14+'7'!M14+L14</f>
        <v>0</v>
      </c>
    </row>
    <row r="15" spans="1:19" ht="13.5" thickBot="1">
      <c r="A15" s="830" t="s">
        <v>431</v>
      </c>
      <c r="B15" s="498"/>
      <c r="C15" s="557">
        <f>C14/($C$32+$D$32+$E$32)</f>
        <v>1.0159397442634437</v>
      </c>
      <c r="D15" s="103">
        <f>D14/($C$32+$D$32+$E$32)</f>
        <v>0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523</v>
      </c>
      <c r="J15" s="211">
        <f>+'7'!J15</f>
        <v>0</v>
      </c>
      <c r="K15" s="234"/>
      <c r="L15" s="234"/>
      <c r="M15" s="116">
        <f>+K15+'7'!M15+L15</f>
        <v>0</v>
      </c>
      <c r="N15" s="519"/>
    </row>
    <row r="16" spans="1:19" ht="13.5" thickBot="1">
      <c r="A16" s="825"/>
      <c r="B16" s="212" t="s">
        <v>503</v>
      </c>
      <c r="C16" s="499">
        <v>11733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+'7'!J16</f>
        <v>0</v>
      </c>
      <c r="K16" s="224"/>
      <c r="L16" s="224"/>
      <c r="M16" s="116">
        <f>+K16+'7'!M16+L16</f>
        <v>0</v>
      </c>
    </row>
    <row r="17" spans="1:19" ht="13.5" thickBot="1">
      <c r="A17" s="825"/>
      <c r="B17" s="212"/>
      <c r="C17" s="213"/>
      <c r="D17" s="214"/>
      <c r="E17" s="220"/>
      <c r="F17" s="226">
        <v>4</v>
      </c>
      <c r="G17" s="554" t="s">
        <v>11</v>
      </c>
      <c r="H17" s="555" t="s">
        <v>473</v>
      </c>
      <c r="I17" s="828"/>
      <c r="J17" s="211">
        <f>+'7'!J17</f>
        <v>0</v>
      </c>
      <c r="K17" s="224"/>
      <c r="L17" s="224"/>
      <c r="M17" s="116">
        <f>+K17+'7'!M17+L17</f>
        <v>0</v>
      </c>
      <c r="N17" s="520"/>
    </row>
    <row r="18" spans="1:19" ht="13.5" thickBot="1">
      <c r="A18" s="825"/>
      <c r="B18" s="212"/>
      <c r="C18" s="213"/>
      <c r="D18" s="214"/>
      <c r="E18" s="220"/>
      <c r="F18" s="226"/>
      <c r="G18" s="552"/>
      <c r="H18" s="555" t="s">
        <v>513</v>
      </c>
      <c r="I18" s="828"/>
      <c r="J18" s="211">
        <f>+'7'!J18</f>
        <v>0</v>
      </c>
      <c r="K18" s="234"/>
      <c r="L18" s="234"/>
      <c r="M18" s="116">
        <f>+K18+'7'!M18+L18</f>
        <v>0</v>
      </c>
      <c r="Q18" s="173"/>
    </row>
    <row r="19" spans="1:19" ht="39" thickBot="1">
      <c r="A19" s="825"/>
      <c r="B19" s="212"/>
      <c r="C19" s="213"/>
      <c r="D19" s="214"/>
      <c r="E19" s="220" t="s">
        <v>414</v>
      </c>
      <c r="F19" s="223">
        <f>10+60+56</f>
        <v>126</v>
      </c>
      <c r="G19" s="227" t="s">
        <v>64</v>
      </c>
      <c r="H19" s="225" t="s">
        <v>517</v>
      </c>
      <c r="I19" s="828"/>
      <c r="J19" s="211">
        <f>+'7'!J19</f>
        <v>0</v>
      </c>
      <c r="K19" s="234"/>
      <c r="L19" s="234"/>
      <c r="M19" s="116">
        <f>+K19+'7'!M19+L19</f>
        <v>0</v>
      </c>
      <c r="R19" s="173"/>
      <c r="S19" s="173"/>
    </row>
    <row r="20" spans="1:19" ht="13.5" thickBot="1">
      <c r="A20" s="825"/>
      <c r="B20" s="212"/>
      <c r="C20" s="213"/>
      <c r="D20" s="214"/>
      <c r="E20" s="220"/>
      <c r="F20" s="223"/>
      <c r="G20" s="227"/>
      <c r="H20" s="228" t="s">
        <v>518</v>
      </c>
      <c r="I20" s="828"/>
      <c r="J20" s="211">
        <f>+'7'!J20</f>
        <v>0</v>
      </c>
      <c r="K20" s="235"/>
      <c r="L20" s="235"/>
      <c r="M20" s="116">
        <f>+K20+'7'!M20+L20</f>
        <v>0</v>
      </c>
    </row>
    <row r="21" spans="1:19" ht="13.5" thickBot="1">
      <c r="A21" s="825"/>
      <c r="B21" s="212"/>
      <c r="C21" s="213"/>
      <c r="D21" s="214"/>
      <c r="E21" s="220"/>
      <c r="F21" s="226"/>
      <c r="G21" s="227"/>
      <c r="H21" s="228" t="s">
        <v>519</v>
      </c>
      <c r="I21" s="828"/>
      <c r="J21" s="211">
        <f>+'7'!J21</f>
        <v>0</v>
      </c>
      <c r="K21" s="234"/>
      <c r="L21" s="234"/>
      <c r="M21" s="116">
        <f>+K21+'7'!M21+L21</f>
        <v>0</v>
      </c>
    </row>
    <row r="22" spans="1:19" ht="13.5" thickBot="1">
      <c r="A22" s="825"/>
      <c r="B22" s="212"/>
      <c r="C22" s="213"/>
      <c r="D22" s="214"/>
      <c r="E22" s="220"/>
      <c r="F22" s="231"/>
      <c r="G22" s="227"/>
      <c r="H22" s="228" t="s">
        <v>520</v>
      </c>
      <c r="I22" s="829"/>
      <c r="J22" s="211">
        <f>+'7'!J22</f>
        <v>0</v>
      </c>
      <c r="K22" s="234"/>
      <c r="L22" s="234"/>
      <c r="M22" s="116">
        <f>+K22+'7'!M22+L22</f>
        <v>0</v>
      </c>
    </row>
    <row r="23" spans="1:19" ht="13.5" thickBot="1">
      <c r="A23" s="826"/>
      <c r="B23" s="164" t="s">
        <v>2</v>
      </c>
      <c r="C23" s="98">
        <f>SUM(C16:C22)</f>
        <v>11733</v>
      </c>
      <c r="D23" s="110">
        <f>SUM(D16:D22)</f>
        <v>0</v>
      </c>
      <c r="E23" s="111">
        <f>SUM(E18:E22)</f>
        <v>0</v>
      </c>
      <c r="F23" s="101">
        <f>SUM(F15:F22)</f>
        <v>130</v>
      </c>
      <c r="G23" s="158"/>
      <c r="H23" s="165"/>
      <c r="I23" s="167"/>
      <c r="J23" s="211">
        <f>+'7'!J23</f>
        <v>0</v>
      </c>
      <c r="K23" s="234"/>
      <c r="L23" s="234"/>
      <c r="M23" s="116">
        <f>+K23+'7'!M23+L23</f>
        <v>0</v>
      </c>
    </row>
    <row r="24" spans="1:19" ht="13.5" thickBot="1">
      <c r="A24" s="830" t="s">
        <v>219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523</v>
      </c>
      <c r="J24" s="211">
        <f>+'7'!J24</f>
        <v>0</v>
      </c>
      <c r="K24" s="234"/>
      <c r="L24" s="234"/>
      <c r="M24" s="116">
        <f>+K24+'7'!M24+L24</f>
        <v>0</v>
      </c>
      <c r="N24" s="520"/>
    </row>
    <row r="25" spans="1:19" ht="13.5" thickBot="1">
      <c r="A25" s="831"/>
      <c r="B25" s="212" t="s">
        <v>503</v>
      </c>
      <c r="C25" s="221">
        <v>17127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+'7'!J25</f>
        <v>0</v>
      </c>
      <c r="K25" s="234"/>
      <c r="L25" s="234"/>
      <c r="M25" s="116">
        <f>+K25+'7'!M25+L25</f>
        <v>0</v>
      </c>
    </row>
    <row r="26" spans="1:19" ht="13.5" thickBot="1">
      <c r="A26" s="831"/>
      <c r="B26" s="212"/>
      <c r="C26" s="221"/>
      <c r="D26" s="214"/>
      <c r="E26" s="222"/>
      <c r="F26" s="226">
        <v>3</v>
      </c>
      <c r="G26" s="554" t="s">
        <v>11</v>
      </c>
      <c r="H26" s="555" t="s">
        <v>473</v>
      </c>
      <c r="I26" s="828"/>
      <c r="J26" s="211">
        <f>+'7'!J26</f>
        <v>0</v>
      </c>
      <c r="K26" s="234"/>
      <c r="L26" s="234"/>
      <c r="M26" s="116">
        <f>+K26+'7'!M26+L26</f>
        <v>0</v>
      </c>
    </row>
    <row r="27" spans="1:19" ht="13.5" thickBot="1">
      <c r="A27" s="831"/>
      <c r="B27" s="212"/>
      <c r="C27" s="213"/>
      <c r="D27" s="214"/>
      <c r="E27" s="220"/>
      <c r="F27" s="226"/>
      <c r="G27" s="552"/>
      <c r="H27" s="555" t="s">
        <v>513</v>
      </c>
      <c r="I27" s="828"/>
      <c r="J27" s="211">
        <f>+'7'!J27</f>
        <v>0</v>
      </c>
      <c r="K27" s="234"/>
      <c r="L27" s="234"/>
      <c r="M27" s="116">
        <f>+K27+'7'!M27+L27</f>
        <v>0</v>
      </c>
    </row>
    <row r="28" spans="1:19" ht="13.5" thickBot="1">
      <c r="A28" s="831"/>
      <c r="B28" s="212"/>
      <c r="C28" s="213"/>
      <c r="D28" s="214"/>
      <c r="E28" s="220"/>
      <c r="F28" s="223"/>
      <c r="G28" s="227"/>
      <c r="H28" s="225" t="s">
        <v>521</v>
      </c>
      <c r="I28" s="828"/>
      <c r="J28" s="211">
        <f>+'7'!J28</f>
        <v>0</v>
      </c>
      <c r="K28" s="234"/>
      <c r="L28" s="234"/>
      <c r="M28" s="116">
        <f>+K28+'7'!M28+L28</f>
        <v>0</v>
      </c>
    </row>
    <row r="29" spans="1:19" ht="13.5" thickBot="1">
      <c r="A29" s="831"/>
      <c r="B29" s="212"/>
      <c r="C29" s="213"/>
      <c r="D29" s="214"/>
      <c r="E29" s="220"/>
      <c r="F29" s="231"/>
      <c r="G29" s="227"/>
      <c r="H29" s="228" t="s">
        <v>522</v>
      </c>
      <c r="I29" s="828"/>
      <c r="J29" s="211">
        <f>+'7'!J29</f>
        <v>0</v>
      </c>
      <c r="K29" s="234"/>
      <c r="L29" s="234"/>
      <c r="M29" s="116">
        <f>+K29+'7'!M29+L29</f>
        <v>0</v>
      </c>
      <c r="N29" s="154"/>
    </row>
    <row r="30" spans="1:19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+'7'!J30</f>
        <v>0</v>
      </c>
      <c r="K30" s="234"/>
      <c r="L30" s="234"/>
      <c r="M30" s="116">
        <f>+K30+'7'!M30+L30</f>
        <v>0</v>
      </c>
      <c r="Q30" s="173"/>
    </row>
    <row r="31" spans="1:19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+'7'!J31</f>
        <v>0</v>
      </c>
      <c r="K31" s="234"/>
      <c r="L31" s="234"/>
      <c r="M31" s="116">
        <f>+K31+'7'!M31+L31</f>
        <v>0</v>
      </c>
      <c r="R31" s="173"/>
      <c r="S31" s="173"/>
    </row>
    <row r="32" spans="1:19" ht="13.5" thickBot="1">
      <c r="A32" s="832"/>
      <c r="B32" s="164" t="s">
        <v>2</v>
      </c>
      <c r="C32" s="98">
        <f>SUM(C25:C31)</f>
        <v>17127</v>
      </c>
      <c r="D32" s="99">
        <f>SUM(D25:D31)</f>
        <v>0</v>
      </c>
      <c r="E32" s="100">
        <f>SUM(E25:E31)</f>
        <v>0</v>
      </c>
      <c r="F32" s="98">
        <f>SUM(F24:F31)</f>
        <v>3</v>
      </c>
      <c r="G32" s="168"/>
      <c r="H32" s="169"/>
      <c r="I32" s="167"/>
      <c r="J32" s="211">
        <f>+'7'!J32</f>
        <v>0</v>
      </c>
      <c r="K32" s="236"/>
      <c r="L32" s="238"/>
      <c r="M32" s="116">
        <f>+K32+'7'!M32+L32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46260</v>
      </c>
      <c r="D34" s="106">
        <f>D14+D23+D32</f>
        <v>0</v>
      </c>
      <c r="E34" s="106">
        <f>E14+E23+E32</f>
        <v>0</v>
      </c>
      <c r="F34" s="107">
        <f>F14+F23+F32</f>
        <v>140</v>
      </c>
      <c r="H34" s="175"/>
      <c r="I34" s="175"/>
      <c r="J34" s="122" t="s">
        <v>27</v>
      </c>
      <c r="K34" s="123">
        <f>SUM(K7:K32)</f>
        <v>46260</v>
      </c>
      <c r="L34" s="209">
        <f>SUM(L7:L32)</f>
        <v>0</v>
      </c>
      <c r="M34" s="119">
        <f>SUM(M7:M32)</f>
        <v>378663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(17*1314)/1314*G42*2.85*1314/1000000</f>
        <v>49.288126860000006</v>
      </c>
      <c r="J37" s="124">
        <f>+I37+'7'!J37</f>
        <v>431.30476684201562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14</v>
      </c>
      <c r="D38" s="117">
        <f>+C38+'7'!D38</f>
        <v>419</v>
      </c>
      <c r="E38" s="142">
        <f t="shared" ref="E38:E51" si="0">D38/60</f>
        <v>6.9833333333333334</v>
      </c>
      <c r="F38" s="320">
        <v>980</v>
      </c>
      <c r="G38" s="320">
        <f>+F38-F38*0.21</f>
        <v>774.2</v>
      </c>
      <c r="H38" s="184" t="s">
        <v>60</v>
      </c>
      <c r="I38" s="501">
        <f>17.041+14.28+17.136</f>
        <v>48.456999999999994</v>
      </c>
      <c r="J38" s="126">
        <f>+I38+'7'!J38</f>
        <v>394.779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+C39+'7'!D39</f>
        <v>0</v>
      </c>
      <c r="E39" s="142">
        <f t="shared" si="0"/>
        <v>0</v>
      </c>
      <c r="F39" s="320">
        <v>980</v>
      </c>
      <c r="G39" s="320">
        <f>+F39-F39*0.21</f>
        <v>774.2</v>
      </c>
      <c r="H39" s="184" t="s">
        <v>61</v>
      </c>
      <c r="I39" s="141"/>
      <c r="J39" s="128">
        <f>J37/G4</f>
        <v>53.913095855251953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>+C40+'7'!D40</f>
        <v>0</v>
      </c>
      <c r="E40" s="142">
        <f t="shared" si="0"/>
        <v>0</v>
      </c>
      <c r="F40" s="320">
        <v>980</v>
      </c>
      <c r="G40" s="320">
        <f>+F40-F40*0.21</f>
        <v>774.2</v>
      </c>
      <c r="H40" s="184" t="s">
        <v>63</v>
      </c>
      <c r="I40" s="117">
        <f>(K34+L34)/1000</f>
        <v>46.26</v>
      </c>
      <c r="J40" s="130">
        <f>+I40+'7'!J40</f>
        <v>378.66299999999995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126</v>
      </c>
      <c r="D41" s="117">
        <f>+C41+'7'!D41</f>
        <v>126</v>
      </c>
      <c r="E41" s="142">
        <f t="shared" si="0"/>
        <v>2.1</v>
      </c>
      <c r="F41" s="320"/>
      <c r="G41" s="320"/>
      <c r="H41" s="184" t="s">
        <v>65</v>
      </c>
      <c r="I41" s="141"/>
      <c r="J41" s="128">
        <f>J40/G4</f>
        <v>47.332874999999994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>+C42+'7'!D42</f>
        <v>0</v>
      </c>
      <c r="E42" s="142">
        <f t="shared" si="0"/>
        <v>0</v>
      </c>
      <c r="F42" s="320">
        <f>+(F38*480+F39*354+F40*480)/1314</f>
        <v>980</v>
      </c>
      <c r="G42" s="320">
        <f>+(G38*480+G39*354+G40*480)/1314</f>
        <v>774.2</v>
      </c>
      <c r="H42" s="184" t="s">
        <v>66</v>
      </c>
      <c r="I42" s="241" t="s">
        <v>523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>+C43+'7'!D43</f>
        <v>0</v>
      </c>
      <c r="E43" s="142">
        <f t="shared" si="0"/>
        <v>0</v>
      </c>
      <c r="F43" s="320"/>
      <c r="G43" s="321"/>
      <c r="H43" s="185" t="s">
        <v>69</v>
      </c>
      <c r="I43" s="117">
        <f>+Report1!T16</f>
        <v>112</v>
      </c>
      <c r="J43" s="132">
        <f>+I43+'7'!J43</f>
        <v>967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+C44+'7'!D44</f>
        <v>60</v>
      </c>
      <c r="E44" s="142">
        <f t="shared" si="0"/>
        <v>1</v>
      </c>
      <c r="F44" s="320"/>
      <c r="G44" s="321"/>
      <c r="H44" s="185" t="s">
        <v>70</v>
      </c>
      <c r="I44" s="117">
        <f>I43/I38</f>
        <v>2.311327568772314</v>
      </c>
      <c r="J44" s="133">
        <f>J43/J38</f>
        <v>2.4494717297525956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+C45+'7'!D45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2.4210981409424992</v>
      </c>
      <c r="J45" s="133">
        <f>J43/J40</f>
        <v>2.5537219110396316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+C46+'7'!D46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+SUMIF(Listrik!AN15,"&gt;0")</f>
        <v>45712.114553798529</v>
      </c>
      <c r="J46" s="134">
        <f>+I46+'7'!J46</f>
        <v>388587.65124471759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+C47+'7'!D47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943.3542017417202</v>
      </c>
      <c r="J47" s="134">
        <f>J46/J38</f>
        <v>984.31692477238551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+C48+'7'!D48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988.15638897100155</v>
      </c>
      <c r="J48" s="134">
        <f>J46/J40</f>
        <v>1026.2097201065792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+C49+'7'!D49</f>
        <v>0</v>
      </c>
      <c r="E49" s="142">
        <f t="shared" si="0"/>
        <v>0</v>
      </c>
      <c r="F49" s="182"/>
      <c r="H49" s="185" t="s">
        <v>174</v>
      </c>
      <c r="I49" s="117">
        <v>0</v>
      </c>
      <c r="J49" s="134">
        <f>+I49+'7'!J49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+C50+'7'!D50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+C51+'7'!D51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140</v>
      </c>
      <c r="D52" s="143">
        <f>SUM(D38:D51)</f>
        <v>605</v>
      </c>
      <c r="E52" s="144">
        <f>SUM(E38:E51)</f>
        <v>10.083333333333334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9.7222222222222224E-2</v>
      </c>
      <c r="D53" s="145">
        <f>D52/(24*60*G4)</f>
        <v>5.2517361111111112E-2</v>
      </c>
      <c r="E53" s="146">
        <f>E52/(G4*24)</f>
        <v>5.2517361111111112E-2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+D34+'7'!J56</f>
        <v>12131</v>
      </c>
      <c r="K56" s="198">
        <f>J56/(J40+J56/1000)/1000</f>
        <v>3.104193001939641E-2</v>
      </c>
    </row>
    <row r="57" spans="1:11">
      <c r="A57" s="173"/>
      <c r="I57" s="196" t="s">
        <v>85</v>
      </c>
      <c r="J57" s="197">
        <f>+E34+'7'!J57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3.28515625" style="148" bestFit="1" customWidth="1"/>
    <col min="12" max="12" width="12" style="148" bestFit="1" customWidth="1"/>
    <col min="13" max="13" width="15.5703125" style="148" bestFit="1" customWidth="1"/>
    <col min="14" max="16384" width="9.140625" style="148"/>
  </cols>
  <sheetData>
    <row r="1" spans="1:15" ht="15.75">
      <c r="A1" s="147"/>
    </row>
    <row r="2" spans="1:15" ht="15.75">
      <c r="A2" s="147" t="s">
        <v>217</v>
      </c>
    </row>
    <row r="3" spans="1:15" ht="15">
      <c r="A3" s="149"/>
    </row>
    <row r="4" spans="1:15" ht="20.25">
      <c r="A4" s="150" t="s">
        <v>3</v>
      </c>
      <c r="B4" s="151"/>
      <c r="F4" s="152" t="s">
        <v>28</v>
      </c>
      <c r="G4" s="153">
        <v>7</v>
      </c>
      <c r="H4" s="153" t="str">
        <f>+'1'!H4</f>
        <v>.06.24</v>
      </c>
    </row>
    <row r="5" spans="1:15" ht="13.5" thickBot="1">
      <c r="C5" s="154"/>
      <c r="D5" s="154"/>
    </row>
    <row r="6" spans="1:15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600+622+659</f>
        <v>1881</v>
      </c>
    </row>
    <row r="7" spans="1:15" ht="13.5" customHeight="1" thickBot="1">
      <c r="A7" s="824" t="s">
        <v>432</v>
      </c>
      <c r="B7" s="212" t="s">
        <v>503</v>
      </c>
      <c r="C7" s="213">
        <f>1744+15235</f>
        <v>16979</v>
      </c>
      <c r="D7" s="214"/>
      <c r="E7" s="215"/>
      <c r="F7" s="226"/>
      <c r="G7" s="552" t="s">
        <v>11</v>
      </c>
      <c r="H7" s="553" t="s">
        <v>385</v>
      </c>
      <c r="I7" s="827" t="s">
        <v>511</v>
      </c>
      <c r="J7" s="211" t="str">
        <f>+'6'!J7</f>
        <v>N 12 VP OW</v>
      </c>
      <c r="K7" s="233"/>
      <c r="L7" s="237"/>
      <c r="M7" s="116">
        <f>+K7+'6'!M7+L7</f>
        <v>107831</v>
      </c>
    </row>
    <row r="8" spans="1:15" ht="13.5" thickBot="1">
      <c r="A8" s="825"/>
      <c r="B8" s="212" t="s">
        <v>502</v>
      </c>
      <c r="C8" s="213">
        <f>470+5734</f>
        <v>6204</v>
      </c>
      <c r="D8" s="214"/>
      <c r="E8" s="216"/>
      <c r="F8" s="226">
        <v>1</v>
      </c>
      <c r="G8" s="554" t="s">
        <v>11</v>
      </c>
      <c r="H8" s="553" t="s">
        <v>419</v>
      </c>
      <c r="I8" s="828"/>
      <c r="J8" s="211" t="str">
        <f>+'6'!J8</f>
        <v>F 12.5 VP OW</v>
      </c>
      <c r="K8" s="234"/>
      <c r="L8" s="234"/>
      <c r="M8" s="116">
        <f>+K8+'6'!M8+L8</f>
        <v>66421</v>
      </c>
      <c r="N8" s="148">
        <v>980</v>
      </c>
      <c r="O8" s="148">
        <f>+N8-N8*0.2</f>
        <v>784</v>
      </c>
    </row>
    <row r="9" spans="1:15" ht="13.5" thickBot="1">
      <c r="A9" s="825"/>
      <c r="B9" s="212"/>
      <c r="C9" s="213"/>
      <c r="D9" s="214"/>
      <c r="E9" s="217"/>
      <c r="F9" s="226">
        <v>5</v>
      </c>
      <c r="G9" s="554" t="s">
        <v>11</v>
      </c>
      <c r="H9" s="555" t="s">
        <v>400</v>
      </c>
      <c r="I9" s="828"/>
      <c r="J9" s="211" t="str">
        <f>+'6'!J9</f>
        <v>F 13 VP OW</v>
      </c>
      <c r="K9" s="234"/>
      <c r="L9" s="234"/>
      <c r="M9" s="116">
        <f>+K9+'6'!M9+L9</f>
        <v>4155</v>
      </c>
    </row>
    <row r="10" spans="1:15" ht="13.5" thickBot="1">
      <c r="A10" s="825"/>
      <c r="B10" s="212"/>
      <c r="C10" s="213"/>
      <c r="D10" s="214"/>
      <c r="E10" s="216"/>
      <c r="F10" s="226"/>
      <c r="G10" s="552"/>
      <c r="H10" s="555" t="s">
        <v>507</v>
      </c>
      <c r="I10" s="828"/>
      <c r="J10" s="211" t="str">
        <f>+'6'!J10</f>
        <v>N 17 VP OW</v>
      </c>
      <c r="K10" s="234"/>
      <c r="L10" s="234"/>
      <c r="M10" s="116">
        <f>+K10+'6'!M10+L10</f>
        <v>76374</v>
      </c>
    </row>
    <row r="11" spans="1:15" ht="13.5" thickBot="1">
      <c r="A11" s="825"/>
      <c r="B11" s="212"/>
      <c r="C11" s="213"/>
      <c r="D11" s="214"/>
      <c r="E11" s="216"/>
      <c r="F11" s="468"/>
      <c r="G11" s="469"/>
      <c r="H11" s="225" t="s">
        <v>508</v>
      </c>
      <c r="I11" s="828"/>
      <c r="J11" s="211" t="str">
        <f>+'6'!J11</f>
        <v>N 17,5 VP OW</v>
      </c>
      <c r="K11" s="234">
        <f>+C8</f>
        <v>6204</v>
      </c>
      <c r="L11" s="234"/>
      <c r="M11" s="116">
        <f>+K11+'6'!M11+L11</f>
        <v>23535</v>
      </c>
    </row>
    <row r="12" spans="1:15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+'6'!J12</f>
        <v>TW 17 VP OW</v>
      </c>
      <c r="K12" s="234">
        <f>+C7+C16+C25</f>
        <v>54087</v>
      </c>
      <c r="L12" s="234"/>
      <c r="M12" s="116">
        <f>+K12+'6'!M12+L12</f>
        <v>54087</v>
      </c>
    </row>
    <row r="13" spans="1:15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>
        <f>+'6'!J13</f>
        <v>0</v>
      </c>
      <c r="K13" s="234"/>
      <c r="L13" s="234"/>
      <c r="M13" s="116">
        <f>+K13+'6'!M13+L13</f>
        <v>0</v>
      </c>
    </row>
    <row r="14" spans="1:15" ht="13.5" thickBot="1">
      <c r="A14" s="826"/>
      <c r="B14" s="164" t="s">
        <v>2</v>
      </c>
      <c r="C14" s="98">
        <f>SUM(C7:C13)</f>
        <v>23183</v>
      </c>
      <c r="D14" s="110">
        <f>SUM(D7:D13)</f>
        <v>0</v>
      </c>
      <c r="E14" s="111">
        <f>SUM(E9:E13)</f>
        <v>0</v>
      </c>
      <c r="F14" s="101">
        <f>SUM(F6:F13)</f>
        <v>6</v>
      </c>
      <c r="G14" s="158"/>
      <c r="H14" s="165"/>
      <c r="I14" s="166"/>
      <c r="J14" s="211">
        <f>+'6'!J14</f>
        <v>0</v>
      </c>
      <c r="K14" s="234"/>
      <c r="L14" s="234"/>
      <c r="M14" s="116">
        <f>+K14+'6'!M14+L14</f>
        <v>0</v>
      </c>
    </row>
    <row r="15" spans="1:15" ht="13.5" thickBot="1">
      <c r="A15" s="830" t="s">
        <v>431</v>
      </c>
      <c r="B15" s="498"/>
      <c r="C15" s="557">
        <f>C14/($C$32+$D$32+$E$32)</f>
        <v>1.2384742774720872</v>
      </c>
      <c r="D15" s="103">
        <f>D14/($C$32+$D$32+$E$32)</f>
        <v>0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511</v>
      </c>
      <c r="J15" s="211">
        <f>+'6'!J15</f>
        <v>0</v>
      </c>
      <c r="K15" s="234"/>
      <c r="L15" s="234"/>
      <c r="M15" s="116">
        <f>+K15+'6'!M15+L15</f>
        <v>0</v>
      </c>
    </row>
    <row r="16" spans="1:15" ht="13.5" thickBot="1">
      <c r="A16" s="825"/>
      <c r="B16" s="212" t="s">
        <v>503</v>
      </c>
      <c r="C16" s="499">
        <v>18389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+'6'!J16</f>
        <v>0</v>
      </c>
      <c r="K16" s="224"/>
      <c r="L16" s="224"/>
      <c r="M16" s="116">
        <f>+K16+'6'!M16+L16</f>
        <v>0</v>
      </c>
    </row>
    <row r="17" spans="1:14" ht="13.5" thickBot="1">
      <c r="A17" s="825"/>
      <c r="B17" s="212"/>
      <c r="C17" s="213"/>
      <c r="D17" s="214"/>
      <c r="E17" s="220"/>
      <c r="F17" s="226">
        <v>5</v>
      </c>
      <c r="G17" s="554" t="s">
        <v>11</v>
      </c>
      <c r="H17" s="555" t="s">
        <v>400</v>
      </c>
      <c r="I17" s="828"/>
      <c r="J17" s="211">
        <f>+'6'!J17</f>
        <v>0</v>
      </c>
      <c r="K17" s="224"/>
      <c r="L17" s="224"/>
      <c r="M17" s="116">
        <f>+K17+'6'!M17+L17</f>
        <v>0</v>
      </c>
    </row>
    <row r="18" spans="1:14" ht="13.5" thickBot="1">
      <c r="A18" s="825"/>
      <c r="B18" s="212"/>
      <c r="C18" s="213"/>
      <c r="D18" s="214"/>
      <c r="E18" s="220"/>
      <c r="F18" s="226"/>
      <c r="G18" s="552"/>
      <c r="H18" s="555" t="s">
        <v>507</v>
      </c>
      <c r="I18" s="828"/>
      <c r="J18" s="211">
        <f>+'6'!J18</f>
        <v>0</v>
      </c>
      <c r="K18" s="234"/>
      <c r="L18" s="234"/>
      <c r="M18" s="116">
        <f>+K18+'6'!M18+L18</f>
        <v>0</v>
      </c>
    </row>
    <row r="19" spans="1:14" ht="13.5" thickBot="1">
      <c r="A19" s="825"/>
      <c r="B19" s="212"/>
      <c r="C19" s="213"/>
      <c r="D19" s="214"/>
      <c r="E19" s="220"/>
      <c r="F19" s="223"/>
      <c r="G19" s="227"/>
      <c r="H19" s="225"/>
      <c r="I19" s="828"/>
      <c r="J19" s="211">
        <f>+'6'!J19</f>
        <v>0</v>
      </c>
      <c r="K19" s="234"/>
      <c r="L19" s="234"/>
      <c r="M19" s="116">
        <f>+K19+'6'!M19+L19</f>
        <v>0</v>
      </c>
    </row>
    <row r="20" spans="1:14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+'6'!J20</f>
        <v>0</v>
      </c>
      <c r="K20" s="235"/>
      <c r="L20" s="235"/>
      <c r="M20" s="116">
        <f>+K20+'6'!M20+L20</f>
        <v>0</v>
      </c>
    </row>
    <row r="21" spans="1:14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+'6'!J21</f>
        <v>0</v>
      </c>
      <c r="K21" s="234"/>
      <c r="L21" s="234"/>
      <c r="M21" s="116">
        <f>+K21+'6'!M21+L21</f>
        <v>0</v>
      </c>
    </row>
    <row r="22" spans="1:14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+'6'!J22</f>
        <v>0</v>
      </c>
      <c r="K22" s="234"/>
      <c r="L22" s="234"/>
      <c r="M22" s="116">
        <f>+K22+'6'!M22+L22</f>
        <v>0</v>
      </c>
    </row>
    <row r="23" spans="1:14" ht="13.5" thickBot="1">
      <c r="A23" s="826"/>
      <c r="B23" s="164" t="s">
        <v>2</v>
      </c>
      <c r="C23" s="98">
        <f>SUM(C16:C22)</f>
        <v>18389</v>
      </c>
      <c r="D23" s="110">
        <f>SUM(D16:D22)</f>
        <v>0</v>
      </c>
      <c r="E23" s="111">
        <f>SUM(E18:E22)</f>
        <v>0</v>
      </c>
      <c r="F23" s="101">
        <f>SUM(F15:F22)</f>
        <v>5</v>
      </c>
      <c r="G23" s="158"/>
      <c r="H23" s="165"/>
      <c r="I23" s="167"/>
      <c r="J23" s="211">
        <f>+'6'!J23</f>
        <v>0</v>
      </c>
      <c r="K23" s="234"/>
      <c r="L23" s="234"/>
      <c r="M23" s="116">
        <f>+K23+'6'!M23+L23</f>
        <v>0</v>
      </c>
    </row>
    <row r="24" spans="1:14" ht="13.5" thickBot="1">
      <c r="A24" s="830" t="s">
        <v>353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511</v>
      </c>
      <c r="J24" s="211">
        <f>+'6'!J24</f>
        <v>0</v>
      </c>
      <c r="K24" s="234"/>
      <c r="L24" s="234"/>
      <c r="M24" s="116">
        <f>+K24+'6'!M24+L24</f>
        <v>0</v>
      </c>
    </row>
    <row r="25" spans="1:14" ht="13.5" thickBot="1">
      <c r="A25" s="831"/>
      <c r="B25" s="212" t="s">
        <v>503</v>
      </c>
      <c r="C25" s="221">
        <v>18719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+'6'!J25</f>
        <v>0</v>
      </c>
      <c r="K25" s="234"/>
      <c r="L25" s="234"/>
      <c r="M25" s="116">
        <f>+K25+'6'!M25+L25</f>
        <v>0</v>
      </c>
    </row>
    <row r="26" spans="1:14" ht="13.5" thickBot="1">
      <c r="A26" s="831"/>
      <c r="B26" s="212"/>
      <c r="C26" s="221"/>
      <c r="D26" s="214"/>
      <c r="E26" s="222"/>
      <c r="F26" s="226">
        <v>9</v>
      </c>
      <c r="G26" s="554" t="s">
        <v>11</v>
      </c>
      <c r="H26" s="555" t="s">
        <v>400</v>
      </c>
      <c r="I26" s="828"/>
      <c r="J26" s="211">
        <f>+'6'!J26</f>
        <v>0</v>
      </c>
      <c r="K26" s="234"/>
      <c r="L26" s="234"/>
      <c r="M26" s="116">
        <f>+K26+'6'!M26+L26</f>
        <v>0</v>
      </c>
    </row>
    <row r="27" spans="1:14" ht="13.5" thickBot="1">
      <c r="A27" s="831"/>
      <c r="B27" s="212"/>
      <c r="C27" s="213"/>
      <c r="D27" s="214"/>
      <c r="E27" s="220"/>
      <c r="F27" s="226"/>
      <c r="G27" s="552"/>
      <c r="H27" s="555" t="s">
        <v>507</v>
      </c>
      <c r="I27" s="828"/>
      <c r="J27" s="211">
        <f>+'6'!J27</f>
        <v>0</v>
      </c>
      <c r="K27" s="234"/>
      <c r="L27" s="234"/>
      <c r="M27" s="116">
        <f>+K27+'6'!M27+L27</f>
        <v>0</v>
      </c>
    </row>
    <row r="28" spans="1:14" ht="13.5" thickBot="1">
      <c r="A28" s="831"/>
      <c r="B28" s="212"/>
      <c r="C28" s="213"/>
      <c r="D28" s="214"/>
      <c r="E28" s="220"/>
      <c r="F28" s="223"/>
      <c r="G28" s="227"/>
      <c r="H28" s="225" t="s">
        <v>509</v>
      </c>
      <c r="I28" s="828"/>
      <c r="J28" s="211">
        <f>+'6'!J28</f>
        <v>0</v>
      </c>
      <c r="K28" s="234"/>
      <c r="L28" s="234"/>
      <c r="M28" s="116">
        <f>+K28+'6'!M28+L28</f>
        <v>0</v>
      </c>
    </row>
    <row r="29" spans="1:14" ht="13.5" thickBot="1">
      <c r="A29" s="831"/>
      <c r="B29" s="212"/>
      <c r="C29" s="213"/>
      <c r="D29" s="214"/>
      <c r="E29" s="220"/>
      <c r="F29" s="231"/>
      <c r="G29" s="227"/>
      <c r="H29" s="228" t="s">
        <v>510</v>
      </c>
      <c r="I29" s="828"/>
      <c r="J29" s="211">
        <f>+'6'!J29</f>
        <v>0</v>
      </c>
      <c r="K29" s="234"/>
      <c r="L29" s="234"/>
      <c r="M29" s="116">
        <f>+K29+'6'!M29+L29</f>
        <v>0</v>
      </c>
    </row>
    <row r="30" spans="1:14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+'6'!J30</f>
        <v>0</v>
      </c>
      <c r="K30" s="234"/>
      <c r="L30" s="234"/>
      <c r="M30" s="116">
        <f>+K30+'6'!M30+L30</f>
        <v>0</v>
      </c>
      <c r="N30" s="154"/>
    </row>
    <row r="31" spans="1:14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+'6'!J31</f>
        <v>0</v>
      </c>
      <c r="K31" s="234"/>
      <c r="L31" s="234"/>
      <c r="M31" s="116">
        <f>+K31+'6'!M31+L31</f>
        <v>0</v>
      </c>
    </row>
    <row r="32" spans="1:14" ht="13.5" thickBot="1">
      <c r="A32" s="832"/>
      <c r="B32" s="164" t="s">
        <v>2</v>
      </c>
      <c r="C32" s="98">
        <f>SUM(C25:C31)</f>
        <v>18719</v>
      </c>
      <c r="D32" s="99">
        <f>SUM(D25:D31)</f>
        <v>0</v>
      </c>
      <c r="E32" s="100">
        <f>SUM(E25:E31)</f>
        <v>0</v>
      </c>
      <c r="F32" s="98">
        <f>SUM(F24:F31)</f>
        <v>9</v>
      </c>
      <c r="G32" s="168"/>
      <c r="H32" s="169"/>
      <c r="I32" s="167"/>
      <c r="J32" s="211">
        <f>+'6'!J32</f>
        <v>0</v>
      </c>
      <c r="K32" s="236"/>
      <c r="L32" s="238"/>
      <c r="M32" s="116">
        <f>+K32+'6'!M32+L32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60291</v>
      </c>
      <c r="D34" s="106">
        <f>D14+D23+D32</f>
        <v>0</v>
      </c>
      <c r="E34" s="106">
        <f>E14+E23+E32</f>
        <v>0</v>
      </c>
      <c r="F34" s="107">
        <f>F14+F23+F32</f>
        <v>20</v>
      </c>
      <c r="H34" s="175"/>
      <c r="I34" s="175"/>
      <c r="J34" s="122" t="s">
        <v>27</v>
      </c>
      <c r="K34" s="123">
        <f>SUM(K7:K32)</f>
        <v>60291</v>
      </c>
      <c r="L34" s="209">
        <f>SUM(L7:L32)</f>
        <v>0</v>
      </c>
      <c r="M34" s="119">
        <f>SUM(M7:M32)</f>
        <v>332403</v>
      </c>
      <c r="N34" s="154"/>
    </row>
    <row r="35" spans="1:14" ht="13.5" thickBot="1">
      <c r="A35" s="176"/>
      <c r="B35" s="177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(17*1440)/1440*G42*2.85*1440/1000000</f>
        <v>54.698112000000009</v>
      </c>
      <c r="J37" s="124">
        <f>+I37+'6'!J37</f>
        <v>382.01663998201559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20</v>
      </c>
      <c r="D38" s="117">
        <f>+C38+'6'!D38</f>
        <v>405</v>
      </c>
      <c r="E38" s="142">
        <f t="shared" ref="E38:E51" si="0">D38/60</f>
        <v>6.75</v>
      </c>
      <c r="F38" s="320">
        <v>980</v>
      </c>
      <c r="G38" s="320">
        <f>+F38-F38*0.2</f>
        <v>784</v>
      </c>
      <c r="H38" s="184" t="s">
        <v>60</v>
      </c>
      <c r="I38" s="501">
        <f>18+17.517+16.946</f>
        <v>52.462999999999994</v>
      </c>
      <c r="J38" s="126">
        <f>+I38+'6'!J38</f>
        <v>346.322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+C39+'6'!D39</f>
        <v>0</v>
      </c>
      <c r="E39" s="142">
        <f t="shared" si="0"/>
        <v>0</v>
      </c>
      <c r="F39" s="320">
        <v>980</v>
      </c>
      <c r="G39" s="320">
        <f>+F39-F39*0.2</f>
        <v>784</v>
      </c>
      <c r="H39" s="184" t="s">
        <v>61</v>
      </c>
      <c r="I39" s="141"/>
      <c r="J39" s="128">
        <f>J37/G4</f>
        <v>54.57380571171651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>+C40+'6'!D40</f>
        <v>0</v>
      </c>
      <c r="E40" s="142">
        <f t="shared" si="0"/>
        <v>0</v>
      </c>
      <c r="F40" s="320">
        <v>980</v>
      </c>
      <c r="G40" s="320">
        <f>+F40-F40*0.2</f>
        <v>784</v>
      </c>
      <c r="H40" s="184" t="s">
        <v>63</v>
      </c>
      <c r="I40" s="117">
        <f>(K34+L34)/1000</f>
        <v>60.290999999999997</v>
      </c>
      <c r="J40" s="130">
        <f>+I40+'6'!J40</f>
        <v>332.40299999999996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>+C41+'6'!D41</f>
        <v>0</v>
      </c>
      <c r="E41" s="142">
        <f t="shared" si="0"/>
        <v>0</v>
      </c>
      <c r="F41" s="320"/>
      <c r="G41" s="320"/>
      <c r="H41" s="184" t="s">
        <v>65</v>
      </c>
      <c r="I41" s="141"/>
      <c r="J41" s="128">
        <f>J40/G4</f>
        <v>47.486142857142852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>+C42+'6'!D42</f>
        <v>0</v>
      </c>
      <c r="E42" s="142">
        <f t="shared" si="0"/>
        <v>0</v>
      </c>
      <c r="F42" s="320">
        <f>+(F38*480+F39*480+F40*480)/1440</f>
        <v>980</v>
      </c>
      <c r="G42" s="320">
        <f>+(G38*480+G39*480+G40*480)/1440</f>
        <v>784</v>
      </c>
      <c r="H42" s="184" t="s">
        <v>66</v>
      </c>
      <c r="I42" s="241" t="s">
        <v>511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>+C43+'6'!D43</f>
        <v>0</v>
      </c>
      <c r="E43" s="142">
        <f t="shared" si="0"/>
        <v>0</v>
      </c>
      <c r="F43" s="320"/>
      <c r="G43" s="321"/>
      <c r="H43" s="185" t="s">
        <v>69</v>
      </c>
      <c r="I43" s="117">
        <f>+Report1!T15</f>
        <v>120.3</v>
      </c>
      <c r="J43" s="132">
        <f>+I43+'6'!J43</f>
        <v>855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+C44+'6'!D44</f>
        <v>60</v>
      </c>
      <c r="E44" s="142">
        <f t="shared" si="0"/>
        <v>1</v>
      </c>
      <c r="F44" s="320"/>
      <c r="G44" s="321"/>
      <c r="H44" s="185" t="s">
        <v>70</v>
      </c>
      <c r="I44" s="117">
        <f>I43/I38</f>
        <v>2.293044621924023</v>
      </c>
      <c r="J44" s="133">
        <f>J43/J38</f>
        <v>2.4688007114766028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+C45+'6'!D45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1.9953226849778574</v>
      </c>
      <c r="J45" s="133">
        <f>J43/J40</f>
        <v>2.5721789514535072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+C46+'6'!D46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+SUMIF(Listrik!AN14,"&gt;0")</f>
        <v>49844.235455525159</v>
      </c>
      <c r="J46" s="134">
        <f>+I46+'6'!J46</f>
        <v>342875.53669091908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+C47+'6'!D47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950.08359139822664</v>
      </c>
      <c r="J47" s="134">
        <f>J46/J38</f>
        <v>990.04838471399182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+C48+'6'!D48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826.72762859340799</v>
      </c>
      <c r="J48" s="134">
        <f>J46/J40</f>
        <v>1031.5055420405927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+C49+'6'!D49</f>
        <v>0</v>
      </c>
      <c r="E49" s="142">
        <f t="shared" si="0"/>
        <v>0</v>
      </c>
      <c r="F49" s="182"/>
      <c r="H49" s="185" t="s">
        <v>174</v>
      </c>
      <c r="I49" s="117">
        <v>0</v>
      </c>
      <c r="J49" s="134">
        <f>+I49+'6'!J49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+C50+'6'!D50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+C51+'6'!D51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20</v>
      </c>
      <c r="D52" s="143">
        <f>SUM(D38:D51)</f>
        <v>465</v>
      </c>
      <c r="E52" s="144">
        <f>SUM(E38:E51)</f>
        <v>7.75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1.3888888888888888E-2</v>
      </c>
      <c r="D53" s="145">
        <f>D52/(24*60*G4)</f>
        <v>4.6130952380952384E-2</v>
      </c>
      <c r="E53" s="146">
        <f>E52/(G4*24)</f>
        <v>4.6130952380952384E-2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+D34+'6'!J56</f>
        <v>12131</v>
      </c>
      <c r="K56" s="198">
        <f>J56/(J40+J56/1000)/1000</f>
        <v>3.5209877689865152E-2</v>
      </c>
    </row>
    <row r="57" spans="1:11">
      <c r="A57" s="173"/>
      <c r="I57" s="196" t="s">
        <v>85</v>
      </c>
      <c r="J57" s="197">
        <f>+E34+'6'!J57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85546875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27" ht="15.75">
      <c r="A1" s="147"/>
      <c r="V1" s="520" t="s">
        <v>381</v>
      </c>
      <c r="W1" s="148">
        <v>1250</v>
      </c>
      <c r="X1" s="148">
        <f t="shared" ref="X1:X8" si="0">+W1-(W1*0.23)</f>
        <v>962.5</v>
      </c>
      <c r="Y1" s="148">
        <f>40+180+27</f>
        <v>247</v>
      </c>
      <c r="Z1" s="148">
        <f t="shared" ref="Z1:Z8" si="1">+W1*Y1</f>
        <v>308750</v>
      </c>
      <c r="AA1" s="148">
        <f t="shared" ref="AA1:AA8" si="2">+X1*Y1</f>
        <v>237737.5</v>
      </c>
    </row>
    <row r="2" spans="1:27" ht="15.75">
      <c r="A2" s="147" t="s">
        <v>217</v>
      </c>
      <c r="W2" s="148">
        <v>1185</v>
      </c>
      <c r="X2" s="148">
        <f t="shared" si="0"/>
        <v>912.45</v>
      </c>
      <c r="Y2" s="148">
        <f>33+59</f>
        <v>92</v>
      </c>
      <c r="Z2" s="148">
        <f t="shared" si="1"/>
        <v>109020</v>
      </c>
      <c r="AA2" s="148">
        <f t="shared" si="2"/>
        <v>83945.400000000009</v>
      </c>
    </row>
    <row r="3" spans="1:27" ht="15">
      <c r="A3" s="149"/>
      <c r="W3" s="148">
        <v>1220</v>
      </c>
      <c r="X3" s="148">
        <f t="shared" si="0"/>
        <v>939.4</v>
      </c>
      <c r="Y3" s="148">
        <f>1+30</f>
        <v>31</v>
      </c>
      <c r="Z3" s="148">
        <f t="shared" si="1"/>
        <v>37820</v>
      </c>
      <c r="AA3" s="148">
        <f t="shared" si="2"/>
        <v>29121.399999999998</v>
      </c>
    </row>
    <row r="4" spans="1:27" ht="20.25">
      <c r="A4" s="150" t="s">
        <v>3</v>
      </c>
      <c r="B4" s="151"/>
      <c r="F4" s="152" t="s">
        <v>28</v>
      </c>
      <c r="G4" s="153">
        <v>6</v>
      </c>
      <c r="H4" s="153" t="str">
        <f>+'1'!H4</f>
        <v>.06.24</v>
      </c>
      <c r="W4" s="148">
        <v>1250</v>
      </c>
      <c r="X4" s="148">
        <f t="shared" si="0"/>
        <v>962.5</v>
      </c>
      <c r="Y4" s="148">
        <v>30</v>
      </c>
      <c r="Z4" s="148">
        <f t="shared" si="1"/>
        <v>37500</v>
      </c>
      <c r="AA4" s="148">
        <f t="shared" si="2"/>
        <v>28875</v>
      </c>
    </row>
    <row r="5" spans="1:27" ht="13.5" thickBot="1">
      <c r="C5" s="154"/>
      <c r="D5" s="154"/>
      <c r="V5" s="520"/>
      <c r="W5" s="148">
        <v>1250</v>
      </c>
      <c r="X5" s="148">
        <f t="shared" si="0"/>
        <v>962.5</v>
      </c>
      <c r="Y5" s="148">
        <v>60</v>
      </c>
      <c r="Z5" s="148">
        <f t="shared" si="1"/>
        <v>75000</v>
      </c>
      <c r="AA5" s="148">
        <f t="shared" si="2"/>
        <v>57750</v>
      </c>
    </row>
    <row r="6" spans="1:27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616+522+715</f>
        <v>1853</v>
      </c>
      <c r="W6" s="148">
        <v>1280</v>
      </c>
      <c r="X6" s="148">
        <f t="shared" si="0"/>
        <v>985.59999999999991</v>
      </c>
      <c r="Y6" s="148">
        <f>180+25</f>
        <v>205</v>
      </c>
      <c r="Z6" s="148">
        <f t="shared" si="1"/>
        <v>262400</v>
      </c>
      <c r="AA6" s="148">
        <f t="shared" si="2"/>
        <v>202047.99999999997</v>
      </c>
    </row>
    <row r="7" spans="1:27" ht="13.5" customHeight="1" thickBot="1">
      <c r="A7" s="824" t="s">
        <v>432</v>
      </c>
      <c r="B7" s="212" t="s">
        <v>475</v>
      </c>
      <c r="C7" s="213">
        <v>11881</v>
      </c>
      <c r="D7" s="214">
        <v>1900</v>
      </c>
      <c r="E7" s="215"/>
      <c r="F7" s="226"/>
      <c r="G7" s="552" t="s">
        <v>11</v>
      </c>
      <c r="H7" s="553" t="s">
        <v>385</v>
      </c>
      <c r="I7" s="827" t="s">
        <v>494</v>
      </c>
      <c r="J7" s="211" t="str">
        <f>+'5'!J7</f>
        <v>N 12 VP OW</v>
      </c>
      <c r="K7" s="233"/>
      <c r="L7" s="237"/>
      <c r="M7" s="116">
        <f>+K7+'5'!M7+L7</f>
        <v>107831</v>
      </c>
      <c r="W7" s="148">
        <v>1300</v>
      </c>
      <c r="X7" s="148">
        <f t="shared" si="0"/>
        <v>1001</v>
      </c>
      <c r="Y7" s="148">
        <f>35+180</f>
        <v>215</v>
      </c>
      <c r="Z7" s="148">
        <f t="shared" si="1"/>
        <v>279500</v>
      </c>
      <c r="AA7" s="148">
        <f t="shared" si="2"/>
        <v>215215</v>
      </c>
    </row>
    <row r="8" spans="1:27" ht="13.5" thickBot="1">
      <c r="A8" s="825"/>
      <c r="B8" s="212"/>
      <c r="C8" s="213"/>
      <c r="D8" s="214"/>
      <c r="E8" s="216"/>
      <c r="F8" s="226"/>
      <c r="G8" s="554" t="s">
        <v>11</v>
      </c>
      <c r="H8" s="553" t="s">
        <v>399</v>
      </c>
      <c r="I8" s="828"/>
      <c r="J8" s="211" t="s">
        <v>379</v>
      </c>
      <c r="K8" s="234"/>
      <c r="L8" s="234"/>
      <c r="M8" s="116">
        <f>+K8+'5'!M8+L8</f>
        <v>66421</v>
      </c>
      <c r="N8" s="519">
        <v>980</v>
      </c>
      <c r="O8" s="173">
        <f>+N8-N8*0.165</f>
        <v>818.3</v>
      </c>
      <c r="P8" s="173">
        <f>480+60+10</f>
        <v>550</v>
      </c>
      <c r="Q8" s="173"/>
      <c r="V8" s="520"/>
      <c r="W8" s="148">
        <v>1300</v>
      </c>
      <c r="X8" s="148">
        <f t="shared" si="0"/>
        <v>1001</v>
      </c>
      <c r="Y8" s="148">
        <v>5</v>
      </c>
      <c r="Z8" s="148">
        <f t="shared" si="1"/>
        <v>6500</v>
      </c>
      <c r="AA8" s="148">
        <f t="shared" si="2"/>
        <v>5005</v>
      </c>
    </row>
    <row r="9" spans="1:27" ht="13.5" thickBot="1">
      <c r="A9" s="825"/>
      <c r="B9" s="212"/>
      <c r="C9" s="213"/>
      <c r="D9" s="214"/>
      <c r="E9" s="217"/>
      <c r="F9" s="226">
        <v>8</v>
      </c>
      <c r="G9" s="554" t="s">
        <v>11</v>
      </c>
      <c r="H9" s="555" t="s">
        <v>400</v>
      </c>
      <c r="I9" s="828"/>
      <c r="J9" s="211" t="s">
        <v>380</v>
      </c>
      <c r="K9" s="234"/>
      <c r="L9" s="234"/>
      <c r="M9" s="116">
        <f>+K9+'5'!M9+L9</f>
        <v>4155</v>
      </c>
      <c r="N9" s="519">
        <v>980</v>
      </c>
      <c r="O9" s="173">
        <f>+N9-N9*0.165</f>
        <v>818.3</v>
      </c>
      <c r="P9" s="148">
        <f>480-70+331</f>
        <v>741</v>
      </c>
      <c r="Y9" s="173">
        <f>SUM(Y1:Y8)</f>
        <v>885</v>
      </c>
      <c r="Z9" s="148">
        <f>SUM(Z1:Z8)</f>
        <v>1116490</v>
      </c>
      <c r="AA9" s="148">
        <f>SUM(AA1:AA8)</f>
        <v>859697.3</v>
      </c>
    </row>
    <row r="10" spans="1:27" ht="13.5" thickBot="1">
      <c r="A10" s="825"/>
      <c r="B10" s="212"/>
      <c r="C10" s="213"/>
      <c r="D10" s="214"/>
      <c r="E10" s="216"/>
      <c r="F10" s="226"/>
      <c r="G10" s="552"/>
      <c r="H10" s="555" t="s">
        <v>484</v>
      </c>
      <c r="I10" s="828"/>
      <c r="J10" s="211" t="str">
        <f>+'5'!J10</f>
        <v>N 17 VP OW</v>
      </c>
      <c r="K10" s="234">
        <f>+C7+C16</f>
        <v>25321</v>
      </c>
      <c r="L10" s="234"/>
      <c r="M10" s="116">
        <f>+K10+'5'!M10+L10</f>
        <v>76374</v>
      </c>
      <c r="N10" s="519">
        <v>980</v>
      </c>
      <c r="O10" s="173">
        <f>+N10-N10*0.2</f>
        <v>784</v>
      </c>
      <c r="P10" s="148">
        <v>149</v>
      </c>
      <c r="Z10" s="173">
        <f>+Z9/Y9</f>
        <v>1261.5706214689264</v>
      </c>
      <c r="AA10" s="173">
        <f>+AA9/Y9</f>
        <v>971.40937853107346</v>
      </c>
    </row>
    <row r="11" spans="1:27" ht="13.5" thickBot="1">
      <c r="A11" s="825"/>
      <c r="B11" s="212"/>
      <c r="C11" s="213"/>
      <c r="D11" s="214"/>
      <c r="E11" s="216"/>
      <c r="F11" s="468"/>
      <c r="G11" s="469"/>
      <c r="H11" s="225" t="s">
        <v>485</v>
      </c>
      <c r="I11" s="828"/>
      <c r="J11" s="211" t="s">
        <v>502</v>
      </c>
      <c r="K11" s="234">
        <f>+C17+C25</f>
        <v>17331</v>
      </c>
      <c r="L11" s="234"/>
      <c r="M11" s="116">
        <f>+K11+'5'!M11+L11</f>
        <v>17331</v>
      </c>
      <c r="P11" s="148">
        <f>SUM(P8:P10)</f>
        <v>1440</v>
      </c>
    </row>
    <row r="12" spans="1:27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">
        <v>503</v>
      </c>
      <c r="K12" s="234">
        <f>+C26</f>
        <v>0</v>
      </c>
      <c r="L12" s="234"/>
      <c r="M12" s="116">
        <f>+K12+'5'!M12+L12</f>
        <v>0</v>
      </c>
    </row>
    <row r="13" spans="1:27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>
        <f>+'5'!J13</f>
        <v>0</v>
      </c>
      <c r="K13" s="234"/>
      <c r="L13" s="234"/>
      <c r="M13" s="116">
        <f>+K13+'5'!M13+L13</f>
        <v>0</v>
      </c>
      <c r="Q13" s="173"/>
    </row>
    <row r="14" spans="1:27" ht="13.5" thickBot="1">
      <c r="A14" s="826"/>
      <c r="B14" s="164" t="s">
        <v>2</v>
      </c>
      <c r="C14" s="98">
        <f>SUM(C7:C13)</f>
        <v>11881</v>
      </c>
      <c r="D14" s="110">
        <f>SUM(D7:D13)</f>
        <v>1900</v>
      </c>
      <c r="E14" s="111">
        <f>SUM(E9:E13)</f>
        <v>0</v>
      </c>
      <c r="F14" s="101">
        <f>SUM(F6:F13)</f>
        <v>8</v>
      </c>
      <c r="G14" s="158"/>
      <c r="H14" s="165"/>
      <c r="I14" s="166"/>
      <c r="J14" s="211">
        <f>+'5'!J14</f>
        <v>0</v>
      </c>
      <c r="K14" s="234"/>
      <c r="L14" s="234"/>
      <c r="M14" s="116">
        <f>+K14+'5'!M14+L14</f>
        <v>0</v>
      </c>
      <c r="R14" s="173"/>
      <c r="S14" s="173"/>
    </row>
    <row r="15" spans="1:27" ht="13.5" customHeight="1" thickBot="1">
      <c r="A15" s="830" t="s">
        <v>431</v>
      </c>
      <c r="B15" s="498"/>
      <c r="C15" s="557">
        <f>C14/($C$32+$D$32+$E$32)</f>
        <v>0.7972220358317117</v>
      </c>
      <c r="D15" s="103">
        <f>D14/($C$32+$D$32+$E$32)</f>
        <v>0.1274911091726498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494</v>
      </c>
      <c r="J15" s="211">
        <f>+'5'!J15</f>
        <v>0</v>
      </c>
      <c r="K15" s="234"/>
      <c r="L15" s="234"/>
      <c r="M15" s="116">
        <f>+K15+'5'!M15+L15</f>
        <v>0</v>
      </c>
    </row>
    <row r="16" spans="1:27" ht="13.5" thickBot="1">
      <c r="A16" s="825"/>
      <c r="B16" s="212" t="s">
        <v>475</v>
      </c>
      <c r="C16" s="499">
        <v>13440</v>
      </c>
      <c r="D16" s="218">
        <v>610</v>
      </c>
      <c r="E16" s="219"/>
      <c r="F16" s="226"/>
      <c r="G16" s="554" t="s">
        <v>11</v>
      </c>
      <c r="H16" s="553" t="s">
        <v>399</v>
      </c>
      <c r="I16" s="828"/>
      <c r="J16" s="211">
        <f>+'5'!J16</f>
        <v>0</v>
      </c>
      <c r="K16" s="224"/>
      <c r="L16" s="224"/>
      <c r="M16" s="116">
        <f>+K16+'5'!M16+L16</f>
        <v>0</v>
      </c>
    </row>
    <row r="17" spans="1:19" ht="13.5" thickBot="1">
      <c r="A17" s="825"/>
      <c r="B17" s="212" t="s">
        <v>502</v>
      </c>
      <c r="C17" s="213">
        <f>204+2224</f>
        <v>2428</v>
      </c>
      <c r="D17" s="214">
        <v>464</v>
      </c>
      <c r="E17" s="220"/>
      <c r="F17" s="226">
        <v>9</v>
      </c>
      <c r="G17" s="554" t="s">
        <v>11</v>
      </c>
      <c r="H17" s="555" t="s">
        <v>473</v>
      </c>
      <c r="I17" s="828"/>
      <c r="J17" s="211">
        <f>+'5'!J17</f>
        <v>0</v>
      </c>
      <c r="K17" s="224"/>
      <c r="L17" s="224"/>
      <c r="M17" s="116">
        <f>+K17+'5'!M17+L17</f>
        <v>0</v>
      </c>
      <c r="N17" s="520"/>
    </row>
    <row r="18" spans="1:19" ht="13.5" thickBot="1">
      <c r="A18" s="825"/>
      <c r="B18" s="212"/>
      <c r="C18" s="213"/>
      <c r="D18" s="214"/>
      <c r="E18" s="220"/>
      <c r="F18" s="226"/>
      <c r="G18" s="552"/>
      <c r="H18" s="555" t="s">
        <v>484</v>
      </c>
      <c r="I18" s="828"/>
      <c r="J18" s="211">
        <f>+'5'!J18</f>
        <v>0</v>
      </c>
      <c r="K18" s="234"/>
      <c r="L18" s="234"/>
      <c r="M18" s="116">
        <f>+K18+'5'!M18+L18</f>
        <v>0</v>
      </c>
    </row>
    <row r="19" spans="1:19" ht="13.5" thickBot="1">
      <c r="A19" s="825"/>
      <c r="B19" s="212"/>
      <c r="C19" s="213"/>
      <c r="D19" s="214"/>
      <c r="E19" s="220"/>
      <c r="F19" s="223"/>
      <c r="G19" s="227"/>
      <c r="H19" s="225" t="s">
        <v>489</v>
      </c>
      <c r="I19" s="828"/>
      <c r="J19" s="211">
        <f>+'5'!J19</f>
        <v>0</v>
      </c>
      <c r="K19" s="234"/>
      <c r="L19" s="234"/>
      <c r="M19" s="116">
        <f>+K19+'5'!M19+L19</f>
        <v>0</v>
      </c>
    </row>
    <row r="20" spans="1:19" ht="13.5" thickBot="1">
      <c r="A20" s="825"/>
      <c r="B20" s="212"/>
      <c r="C20" s="213"/>
      <c r="D20" s="214"/>
      <c r="E20" s="220"/>
      <c r="F20" s="223"/>
      <c r="G20" s="227"/>
      <c r="H20" s="228" t="s">
        <v>486</v>
      </c>
      <c r="I20" s="828"/>
      <c r="J20" s="211">
        <f>+'5'!J20</f>
        <v>0</v>
      </c>
      <c r="K20" s="235"/>
      <c r="L20" s="235"/>
      <c r="M20" s="116">
        <f>+K20+'5'!M20+L20</f>
        <v>0</v>
      </c>
      <c r="Q20" s="525"/>
    </row>
    <row r="21" spans="1:19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+'5'!J21</f>
        <v>0</v>
      </c>
      <c r="K21" s="234"/>
      <c r="L21" s="234"/>
      <c r="M21" s="116">
        <f>+K21+'5'!M21+L21</f>
        <v>0</v>
      </c>
      <c r="R21" s="525"/>
      <c r="S21" s="525"/>
    </row>
    <row r="22" spans="1:19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+'5'!J22</f>
        <v>0</v>
      </c>
      <c r="K22" s="234"/>
      <c r="L22" s="234"/>
      <c r="M22" s="116">
        <f>+K22+'5'!M22+L22</f>
        <v>0</v>
      </c>
    </row>
    <row r="23" spans="1:19" ht="13.5" thickBot="1">
      <c r="A23" s="826"/>
      <c r="B23" s="164" t="s">
        <v>2</v>
      </c>
      <c r="C23" s="98">
        <f>SUM(C16:C22)</f>
        <v>15868</v>
      </c>
      <c r="D23" s="110">
        <f>SUM(D16:D22)</f>
        <v>1074</v>
      </c>
      <c r="E23" s="111">
        <f>SUM(E18:E22)</f>
        <v>0</v>
      </c>
      <c r="F23" s="101">
        <f>SUM(F15:F22)</f>
        <v>9</v>
      </c>
      <c r="G23" s="158"/>
      <c r="H23" s="165"/>
      <c r="I23" s="167"/>
      <c r="J23" s="211">
        <f>+'5'!J23</f>
        <v>0</v>
      </c>
      <c r="K23" s="234"/>
      <c r="L23" s="234"/>
      <c r="M23" s="116">
        <f>+K23+'5'!M23+L23</f>
        <v>0</v>
      </c>
    </row>
    <row r="24" spans="1:19" ht="13.5" customHeight="1" thickBot="1">
      <c r="A24" s="830" t="s">
        <v>353</v>
      </c>
      <c r="B24" s="498"/>
      <c r="C24" s="112">
        <f>C23/($C$23+$D$23+$E$23)</f>
        <v>0.93660724825876518</v>
      </c>
      <c r="D24" s="113">
        <f>D23/($C$23+$D$23+$E$23)</f>
        <v>6.3392751741234807E-2</v>
      </c>
      <c r="E24" s="114">
        <f>E23/($C$23+$D$23+$E$23)</f>
        <v>0</v>
      </c>
      <c r="F24" s="226">
        <v>5</v>
      </c>
      <c r="G24" s="552" t="s">
        <v>11</v>
      </c>
      <c r="H24" s="553" t="s">
        <v>496</v>
      </c>
      <c r="I24" s="827" t="s">
        <v>493</v>
      </c>
      <c r="J24" s="211">
        <f>+'5'!J24</f>
        <v>0</v>
      </c>
      <c r="K24" s="234"/>
      <c r="L24" s="234"/>
      <c r="M24" s="116">
        <f>+K24+'5'!M24+L24</f>
        <v>0</v>
      </c>
    </row>
    <row r="25" spans="1:19" ht="13.5" thickBot="1">
      <c r="A25" s="831"/>
      <c r="B25" s="212" t="s">
        <v>502</v>
      </c>
      <c r="C25" s="221">
        <v>14903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+'5'!J25</f>
        <v>0</v>
      </c>
      <c r="K25" s="234"/>
      <c r="L25" s="234"/>
      <c r="M25" s="116">
        <f>+K25+'5'!M25+L25</f>
        <v>0</v>
      </c>
      <c r="N25" s="519">
        <v>980</v>
      </c>
      <c r="O25" s="173">
        <f>+N25-N25*0.165</f>
        <v>818.3</v>
      </c>
      <c r="P25" s="148">
        <v>331</v>
      </c>
      <c r="Q25" s="148">
        <f>+N25*P25</f>
        <v>324380</v>
      </c>
      <c r="R25" s="148">
        <f>+O25*P25</f>
        <v>270857.3</v>
      </c>
    </row>
    <row r="26" spans="1:19" ht="13.5" thickBot="1">
      <c r="A26" s="831"/>
      <c r="B26" s="212" t="s">
        <v>503</v>
      </c>
      <c r="C26" s="221">
        <v>0</v>
      </c>
      <c r="D26" s="214"/>
      <c r="E26" s="222"/>
      <c r="F26" s="226">
        <v>7</v>
      </c>
      <c r="G26" s="554" t="s">
        <v>11</v>
      </c>
      <c r="H26" s="555" t="s">
        <v>400</v>
      </c>
      <c r="I26" s="828"/>
      <c r="J26" s="211">
        <f>+'5'!J26</f>
        <v>0</v>
      </c>
      <c r="K26" s="234"/>
      <c r="L26" s="234"/>
      <c r="M26" s="116">
        <f>+K26+'5'!M26+L26</f>
        <v>0</v>
      </c>
      <c r="N26" s="519">
        <v>980</v>
      </c>
      <c r="O26" s="173">
        <f>+N26-N26*0.2</f>
        <v>784</v>
      </c>
      <c r="P26" s="559">
        <f>29+120</f>
        <v>149</v>
      </c>
      <c r="Q26" s="148">
        <f>+N26*P26</f>
        <v>146020</v>
      </c>
      <c r="R26" s="148">
        <f>+O26*P26</f>
        <v>116816</v>
      </c>
    </row>
    <row r="27" spans="1:19" ht="13.5" thickBot="1">
      <c r="A27" s="831"/>
      <c r="B27" s="212"/>
      <c r="C27" s="213"/>
      <c r="D27" s="214"/>
      <c r="E27" s="220"/>
      <c r="F27" s="226"/>
      <c r="G27" s="552"/>
      <c r="H27" s="555" t="s">
        <v>490</v>
      </c>
      <c r="I27" s="828"/>
      <c r="J27" s="211">
        <f>+'5'!J27</f>
        <v>0</v>
      </c>
      <c r="K27" s="234"/>
      <c r="L27" s="234"/>
      <c r="M27" s="116">
        <f>+K27+'5'!M27+L27</f>
        <v>0</v>
      </c>
      <c r="P27" s="148">
        <f>SUM(P25:P26)</f>
        <v>480</v>
      </c>
      <c r="Q27" s="148">
        <f>SUM(Q25:Q26)</f>
        <v>470400</v>
      </c>
      <c r="R27" s="148">
        <f>SUM(R25:R26)</f>
        <v>387673.3</v>
      </c>
    </row>
    <row r="28" spans="1:19" ht="26.25" thickBot="1">
      <c r="A28" s="831"/>
      <c r="B28" s="212"/>
      <c r="C28" s="213"/>
      <c r="D28" s="214"/>
      <c r="E28" s="220"/>
      <c r="F28" s="223"/>
      <c r="G28" s="227"/>
      <c r="H28" s="225" t="s">
        <v>491</v>
      </c>
      <c r="I28" s="828"/>
      <c r="J28" s="211">
        <f>+'5'!J28</f>
        <v>0</v>
      </c>
      <c r="K28" s="234"/>
      <c r="L28" s="234"/>
      <c r="M28" s="116">
        <f>+K28+'5'!M28+L28</f>
        <v>0</v>
      </c>
      <c r="Q28" s="148">
        <f>+Q27/P27</f>
        <v>980</v>
      </c>
      <c r="R28" s="173">
        <f>+R27/P27</f>
        <v>807.65270833333329</v>
      </c>
      <c r="S28" s="173"/>
    </row>
    <row r="29" spans="1:19" ht="13.5" thickBot="1">
      <c r="A29" s="831"/>
      <c r="B29" s="212"/>
      <c r="C29" s="213"/>
      <c r="D29" s="214"/>
      <c r="E29" s="220"/>
      <c r="F29" s="231"/>
      <c r="G29" s="227"/>
      <c r="H29" s="228" t="s">
        <v>487</v>
      </c>
      <c r="I29" s="828"/>
      <c r="J29" s="211">
        <f>+'5'!J29</f>
        <v>0</v>
      </c>
      <c r="K29" s="234"/>
      <c r="L29" s="234"/>
      <c r="M29" s="116">
        <f>+K29+'5'!M29+L29</f>
        <v>0</v>
      </c>
      <c r="R29" s="173"/>
      <c r="S29" s="173"/>
    </row>
    <row r="30" spans="1:19" ht="26.25" thickBot="1">
      <c r="A30" s="831"/>
      <c r="B30" s="212"/>
      <c r="C30" s="221"/>
      <c r="D30" s="214"/>
      <c r="E30" s="220"/>
      <c r="F30" s="231"/>
      <c r="G30" s="227"/>
      <c r="H30" s="228" t="s">
        <v>492</v>
      </c>
      <c r="I30" s="828"/>
      <c r="J30" s="211">
        <f>+'5'!J30</f>
        <v>0</v>
      </c>
      <c r="K30" s="234"/>
      <c r="L30" s="234"/>
      <c r="M30" s="116">
        <f>+K30+'5'!M30+L30</f>
        <v>0</v>
      </c>
      <c r="N30" s="154"/>
    </row>
    <row r="31" spans="1:19" ht="13.5" thickBot="1">
      <c r="A31" s="831"/>
      <c r="B31" s="212"/>
      <c r="C31" s="221"/>
      <c r="D31" s="214"/>
      <c r="E31" s="220"/>
      <c r="F31" s="231"/>
      <c r="G31" s="232"/>
      <c r="H31" s="427" t="s">
        <v>488</v>
      </c>
      <c r="I31" s="829"/>
      <c r="J31" s="211">
        <f>+'5'!J31</f>
        <v>0</v>
      </c>
      <c r="K31" s="234"/>
      <c r="L31" s="234"/>
      <c r="M31" s="116">
        <f>+K31+'5'!M31+L31</f>
        <v>0</v>
      </c>
    </row>
    <row r="32" spans="1:19" ht="13.5" thickBot="1">
      <c r="A32" s="832"/>
      <c r="B32" s="164" t="s">
        <v>2</v>
      </c>
      <c r="C32" s="98">
        <f>SUM(C25:C31)</f>
        <v>14903</v>
      </c>
      <c r="D32" s="99">
        <f>SUM(D25:D31)</f>
        <v>0</v>
      </c>
      <c r="E32" s="100">
        <f>SUM(E25:E31)</f>
        <v>0</v>
      </c>
      <c r="F32" s="98">
        <f>SUM(F24:F31)</f>
        <v>12</v>
      </c>
      <c r="G32" s="168"/>
      <c r="H32" s="169"/>
      <c r="I32" s="167"/>
      <c r="J32" s="211">
        <f>+'5'!J32</f>
        <v>0</v>
      </c>
      <c r="K32" s="236"/>
      <c r="L32" s="238"/>
      <c r="M32" s="116">
        <f>+K32+'5'!M32+L32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42652</v>
      </c>
      <c r="D34" s="106">
        <f>D14+D23+D32</f>
        <v>2974</v>
      </c>
      <c r="E34" s="106">
        <f>E14+E23+E32</f>
        <v>0</v>
      </c>
      <c r="F34" s="107">
        <f>F14+F23+F32</f>
        <v>29</v>
      </c>
      <c r="H34" s="175"/>
      <c r="I34" s="175"/>
      <c r="J34" s="122" t="s">
        <v>27</v>
      </c>
      <c r="K34" s="123">
        <f>SUM(K7:K32)</f>
        <v>42652</v>
      </c>
      <c r="L34" s="209">
        <f>SUM(L7:L32)</f>
        <v>0</v>
      </c>
      <c r="M34" s="119">
        <f>SUM(M7:M32)</f>
        <v>272112</v>
      </c>
      <c r="N34" s="154"/>
    </row>
    <row r="35" spans="1:14" ht="13.5" thickBot="1">
      <c r="A35" s="176"/>
      <c r="B35" s="177"/>
      <c r="C35" s="103">
        <f>C34/($C$34+$D$34+$E$34)</f>
        <v>0.93481786700565472</v>
      </c>
      <c r="D35" s="103">
        <f>D34/($C$34+$D$34+$E$34)</f>
        <v>6.5182132994345332E-2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(17*550+17.5*741+17*149)/1440*G42*2.85*1440/1000000</f>
        <v>57.703856832015624</v>
      </c>
      <c r="J37" s="124">
        <f>+I37+'5'!J37</f>
        <v>327.31852798201561</v>
      </c>
      <c r="K37" s="125" t="s">
        <v>59</v>
      </c>
      <c r="N37" s="148">
        <f>18.635+2.754</f>
        <v>21.389000000000003</v>
      </c>
    </row>
    <row r="38" spans="1:14" ht="17.45" customHeight="1">
      <c r="A38" s="822" t="s">
        <v>11</v>
      </c>
      <c r="B38" s="823"/>
      <c r="C38" s="163">
        <f>SUMIF($G$7:$G$31,"Process",$F$7:$F$31)</f>
        <v>29</v>
      </c>
      <c r="D38" s="117">
        <f>+C38+'5'!D38</f>
        <v>385</v>
      </c>
      <c r="E38" s="142">
        <f t="shared" ref="E38:E51" si="3">D38/60</f>
        <v>6.416666666666667</v>
      </c>
      <c r="F38" s="320">
        <v>980</v>
      </c>
      <c r="G38" s="320">
        <f>+F38-F38*0.165</f>
        <v>818.3</v>
      </c>
      <c r="H38" s="184" t="s">
        <v>60</v>
      </c>
      <c r="I38" s="501">
        <f>18.635+16.964+18.449</f>
        <v>54.048000000000002</v>
      </c>
      <c r="J38" s="126">
        <f>+I38+'5'!J38</f>
        <v>293.85899999999998</v>
      </c>
      <c r="K38" s="127" t="s">
        <v>59</v>
      </c>
      <c r="N38" s="154">
        <f>+I38-N37</f>
        <v>32.658999999999999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+C39+'5'!D39</f>
        <v>0</v>
      </c>
      <c r="E39" s="142">
        <f t="shared" si="3"/>
        <v>0</v>
      </c>
      <c r="F39" s="320">
        <v>980</v>
      </c>
      <c r="G39" s="320">
        <f>+F39-F39*0.165</f>
        <v>818.3</v>
      </c>
      <c r="H39" s="184" t="s">
        <v>61</v>
      </c>
      <c r="I39" s="141"/>
      <c r="J39" s="128">
        <f>J37/G4</f>
        <v>54.553087997002599</v>
      </c>
      <c r="K39" s="129" t="s">
        <v>59</v>
      </c>
      <c r="N39" s="148">
        <v>0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>+C40+'5'!D40</f>
        <v>0</v>
      </c>
      <c r="E40" s="142">
        <f t="shared" si="3"/>
        <v>0</v>
      </c>
      <c r="F40" s="320">
        <v>980</v>
      </c>
      <c r="G40" s="320">
        <v>807.65270833333329</v>
      </c>
      <c r="H40" s="184" t="s">
        <v>63</v>
      </c>
      <c r="I40" s="117">
        <f>(K34+L34)/1000</f>
        <v>42.652000000000001</v>
      </c>
      <c r="J40" s="130">
        <f>+I40+'5'!J40</f>
        <v>272.11199999999997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>+C41+'5'!D41</f>
        <v>0</v>
      </c>
      <c r="E41" s="142">
        <f t="shared" si="3"/>
        <v>0</v>
      </c>
      <c r="F41" s="320"/>
      <c r="G41" s="320"/>
      <c r="H41" s="184" t="s">
        <v>65</v>
      </c>
      <c r="I41" s="141"/>
      <c r="J41" s="128">
        <f>J40/G4</f>
        <v>45.351999999999997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>+C42+'5'!D42</f>
        <v>0</v>
      </c>
      <c r="E42" s="142">
        <f t="shared" si="3"/>
        <v>0</v>
      </c>
      <c r="F42" s="320">
        <f>+(F38*480+F39*480+F40*480)/1440</f>
        <v>980</v>
      </c>
      <c r="G42" s="320">
        <f>+(G38*480+G39*480+G40*480)/1440</f>
        <v>814.75090277777781</v>
      </c>
      <c r="H42" s="184" t="s">
        <v>66</v>
      </c>
      <c r="I42" s="241" t="s">
        <v>495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>+C43+'5'!D43</f>
        <v>0</v>
      </c>
      <c r="E43" s="142">
        <f t="shared" si="3"/>
        <v>0</v>
      </c>
      <c r="F43" s="320"/>
      <c r="G43" s="321"/>
      <c r="H43" s="185" t="s">
        <v>69</v>
      </c>
      <c r="I43" s="117">
        <f>+Report1!T14</f>
        <v>119.1</v>
      </c>
      <c r="J43" s="132">
        <f>+I43+'5'!J43</f>
        <v>734.7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+C44+'5'!D44</f>
        <v>60</v>
      </c>
      <c r="E44" s="142">
        <f t="shared" si="3"/>
        <v>1</v>
      </c>
      <c r="F44" s="320"/>
      <c r="G44" s="321"/>
      <c r="H44" s="185" t="s">
        <v>70</v>
      </c>
      <c r="I44" s="117">
        <f>I43/I38</f>
        <v>2.2035968028419179</v>
      </c>
      <c r="J44" s="133">
        <f>J43/J38</f>
        <v>2.5001786571110638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+C45+'5'!D45</f>
        <v>0</v>
      </c>
      <c r="E45" s="142">
        <f t="shared" si="3"/>
        <v>0</v>
      </c>
      <c r="F45" s="320"/>
      <c r="G45" s="323"/>
      <c r="H45" s="185" t="s">
        <v>71</v>
      </c>
      <c r="I45" s="117">
        <f>I43/I40</f>
        <v>2.7923661258557626</v>
      </c>
      <c r="J45" s="133">
        <f>J43/J40</f>
        <v>2.6999911801023111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+C46+'5'!D46</f>
        <v>0</v>
      </c>
      <c r="E46" s="142">
        <f t="shared" si="3"/>
        <v>0</v>
      </c>
      <c r="F46" s="320"/>
      <c r="G46" s="321"/>
      <c r="H46" s="185" t="s">
        <v>73</v>
      </c>
      <c r="I46" s="139">
        <f>+SUMIF(Listrik!AN13,"&gt;0")</f>
        <v>43195.425646184805</v>
      </c>
      <c r="J46" s="134">
        <f>+I46+'5'!J46</f>
        <v>293031.30123539391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+C47+'5'!D47</f>
        <v>0</v>
      </c>
      <c r="E47" s="142">
        <f t="shared" si="3"/>
        <v>0</v>
      </c>
      <c r="F47" s="320"/>
      <c r="G47" s="321"/>
      <c r="H47" s="185" t="s">
        <v>76</v>
      </c>
      <c r="I47" s="117">
        <f>I46/I38</f>
        <v>799.20488540158385</v>
      </c>
      <c r="J47" s="134">
        <f>J46/J38</f>
        <v>997.18334723589862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+C48+'5'!D48</f>
        <v>0</v>
      </c>
      <c r="E48" s="142">
        <f t="shared" si="3"/>
        <v>0</v>
      </c>
      <c r="F48" s="320"/>
      <c r="G48" s="321"/>
      <c r="H48" s="185" t="s">
        <v>77</v>
      </c>
      <c r="I48" s="117">
        <f>I46/I40</f>
        <v>1012.7409182731127</v>
      </c>
      <c r="J48" s="134">
        <f>J46/J40</f>
        <v>1076.8775402606057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+C49+'5'!D49</f>
        <v>0</v>
      </c>
      <c r="E49" s="142">
        <f t="shared" si="3"/>
        <v>0</v>
      </c>
      <c r="F49" s="182"/>
      <c r="H49" s="185" t="s">
        <v>174</v>
      </c>
      <c r="I49" s="117">
        <v>0</v>
      </c>
      <c r="J49" s="134">
        <f>+I49+'5'!J49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+C50+'5'!D50</f>
        <v>0</v>
      </c>
      <c r="E50" s="142">
        <f t="shared" si="3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+C51+'5'!D51</f>
        <v>0</v>
      </c>
      <c r="E51" s="142">
        <f t="shared" si="3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29</v>
      </c>
      <c r="D52" s="143">
        <f>SUM(D38:D51)</f>
        <v>445</v>
      </c>
      <c r="E52" s="144">
        <f>SUM(E38:E51)</f>
        <v>7.416666666666667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2.013888888888889E-2</v>
      </c>
      <c r="D53" s="145">
        <f>D52/(24*60*G4)</f>
        <v>5.1504629629629629E-2</v>
      </c>
      <c r="E53" s="146">
        <f>E52/(G4*24)</f>
        <v>5.1504629629629629E-2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+D34+'5'!J56</f>
        <v>12131</v>
      </c>
      <c r="K56" s="198">
        <f>J56/(J40+J56/1000)/1000</f>
        <v>4.2678271760430347E-2</v>
      </c>
    </row>
    <row r="57" spans="1:11">
      <c r="A57" s="173"/>
      <c r="I57" s="196" t="s">
        <v>85</v>
      </c>
      <c r="J57" s="197">
        <f>+E34+'5'!J57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1"/>
  <sheetViews>
    <sheetView view="pageBreakPreview" topLeftCell="A7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customWidth="1"/>
    <col min="12" max="12" width="8.28515625" style="148" customWidth="1"/>
    <col min="13" max="13" width="14.7109375" style="148" customWidth="1"/>
    <col min="14" max="16384" width="9.140625" style="148"/>
  </cols>
  <sheetData>
    <row r="1" spans="1:34" ht="15.75">
      <c r="A1" s="147"/>
      <c r="V1" s="528"/>
      <c r="AC1" s="519"/>
    </row>
    <row r="2" spans="1:34" ht="15.75">
      <c r="A2" s="147" t="s">
        <v>217</v>
      </c>
      <c r="AC2" s="519"/>
    </row>
    <row r="3" spans="1:34" ht="15">
      <c r="A3" s="149"/>
    </row>
    <row r="4" spans="1:34" ht="20.25">
      <c r="A4" s="150" t="s">
        <v>3</v>
      </c>
      <c r="B4" s="151"/>
      <c r="F4" s="152" t="s">
        <v>28</v>
      </c>
      <c r="G4" s="153">
        <v>5</v>
      </c>
      <c r="H4" s="153" t="s">
        <v>373</v>
      </c>
      <c r="V4" s="528"/>
      <c r="AF4" s="173"/>
    </row>
    <row r="5" spans="1:34" ht="13.5" thickBot="1">
      <c r="C5" s="154"/>
      <c r="D5" s="154"/>
      <c r="AG5" s="173"/>
      <c r="AH5" s="173"/>
    </row>
    <row r="6" spans="1:34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518+489+616</f>
        <v>1623</v>
      </c>
      <c r="Y6" s="529"/>
    </row>
    <row r="7" spans="1:34" ht="13.5" customHeight="1" thickBot="1">
      <c r="A7" s="824" t="s">
        <v>219</v>
      </c>
      <c r="B7" s="212" t="s">
        <v>475</v>
      </c>
      <c r="C7" s="213">
        <v>12563</v>
      </c>
      <c r="D7" s="214">
        <v>1800</v>
      </c>
      <c r="E7" s="215"/>
      <c r="F7" s="226"/>
      <c r="G7" s="552" t="s">
        <v>11</v>
      </c>
      <c r="H7" s="553" t="s">
        <v>385</v>
      </c>
      <c r="I7" s="827" t="s">
        <v>471</v>
      </c>
      <c r="J7" s="211" t="str">
        <f>+'4'!J7</f>
        <v>N 12 VP OW</v>
      </c>
      <c r="K7" s="233"/>
      <c r="L7" s="237"/>
      <c r="M7" s="116">
        <f>+K7+'4'!M7+L7</f>
        <v>107831</v>
      </c>
      <c r="Z7" s="529"/>
      <c r="AA7" s="529"/>
    </row>
    <row r="8" spans="1:34" ht="13.5" thickBot="1">
      <c r="A8" s="825"/>
      <c r="B8" s="212"/>
      <c r="C8" s="213"/>
      <c r="D8" s="214"/>
      <c r="E8" s="216"/>
      <c r="F8" s="226"/>
      <c r="G8" s="554" t="s">
        <v>11</v>
      </c>
      <c r="H8" s="553" t="s">
        <v>399</v>
      </c>
      <c r="I8" s="828"/>
      <c r="J8" s="211" t="str">
        <f>+'4'!J8</f>
        <v>N 11 VP OW</v>
      </c>
      <c r="K8" s="234"/>
      <c r="L8" s="234"/>
      <c r="M8" s="116">
        <f>+K8+'4'!M8+L8</f>
        <v>66421</v>
      </c>
      <c r="N8" s="528">
        <v>980</v>
      </c>
      <c r="O8" s="148">
        <f>+N8-N8*0.15</f>
        <v>833</v>
      </c>
      <c r="P8" s="148">
        <v>480</v>
      </c>
    </row>
    <row r="9" spans="1:34" ht="13.5" thickBot="1">
      <c r="A9" s="825"/>
      <c r="B9" s="212"/>
      <c r="C9" s="213"/>
      <c r="D9" s="214"/>
      <c r="E9" s="217"/>
      <c r="F9" s="226">
        <v>5</v>
      </c>
      <c r="G9" s="554" t="s">
        <v>11</v>
      </c>
      <c r="H9" s="555" t="s">
        <v>400</v>
      </c>
      <c r="I9" s="828"/>
      <c r="J9" s="211" t="str">
        <f>+'4'!J9</f>
        <v>N 16,5 VP OW</v>
      </c>
      <c r="K9" s="234"/>
      <c r="L9" s="234"/>
      <c r="M9" s="116">
        <f>+K9+'4'!M9+L9</f>
        <v>4155</v>
      </c>
      <c r="N9" s="528">
        <v>980</v>
      </c>
      <c r="O9" s="148">
        <f>+N9-N9*0.15</f>
        <v>833</v>
      </c>
      <c r="P9" s="148">
        <f>480-60</f>
        <v>420</v>
      </c>
    </row>
    <row r="10" spans="1:34" ht="13.5" thickBot="1">
      <c r="A10" s="825"/>
      <c r="B10" s="212"/>
      <c r="C10" s="213"/>
      <c r="D10" s="214"/>
      <c r="E10" s="216"/>
      <c r="F10" s="226"/>
      <c r="G10" s="552"/>
      <c r="H10" s="555" t="s">
        <v>457</v>
      </c>
      <c r="I10" s="828"/>
      <c r="J10" s="211" t="str">
        <f>+'4'!J10</f>
        <v>N 17 VP OW</v>
      </c>
      <c r="K10" s="234">
        <f>+C34</f>
        <v>37147</v>
      </c>
      <c r="L10" s="234"/>
      <c r="M10" s="116">
        <f>+K10+'4'!M10+L10</f>
        <v>51053</v>
      </c>
      <c r="N10" s="528">
        <v>980</v>
      </c>
      <c r="O10" s="148">
        <f>+N10-N10*0.15</f>
        <v>833</v>
      </c>
      <c r="P10" s="148">
        <v>480</v>
      </c>
    </row>
    <row r="11" spans="1:34" ht="26.25" thickBot="1">
      <c r="A11" s="825"/>
      <c r="B11" s="212"/>
      <c r="C11" s="213"/>
      <c r="D11" s="214"/>
      <c r="E11" s="216"/>
      <c r="F11" s="468"/>
      <c r="G11" s="469"/>
      <c r="H11" s="225" t="s">
        <v>458</v>
      </c>
      <c r="I11" s="828"/>
      <c r="J11" s="211">
        <f>+'4'!J11</f>
        <v>0</v>
      </c>
      <c r="K11" s="234"/>
      <c r="L11" s="234"/>
      <c r="M11" s="116">
        <f>+K11+'4'!M11+L11</f>
        <v>0</v>
      </c>
      <c r="P11" s="148">
        <f>SUM(P8:P10)</f>
        <v>1380</v>
      </c>
      <c r="Q11" s="529"/>
    </row>
    <row r="12" spans="1:34" ht="26.25" thickBot="1">
      <c r="A12" s="825"/>
      <c r="B12" s="212"/>
      <c r="C12" s="213"/>
      <c r="D12" s="214"/>
      <c r="E12" s="216"/>
      <c r="F12" s="223"/>
      <c r="G12" s="227"/>
      <c r="H12" s="228" t="s">
        <v>459</v>
      </c>
      <c r="I12" s="828"/>
      <c r="J12" s="211">
        <f>+'4'!J12</f>
        <v>0</v>
      </c>
      <c r="K12" s="234"/>
      <c r="L12" s="234"/>
      <c r="M12" s="116">
        <f>+K12+'4'!M12+L12</f>
        <v>0</v>
      </c>
      <c r="R12" s="529"/>
      <c r="S12" s="529"/>
    </row>
    <row r="13" spans="1:34" ht="39" thickBot="1">
      <c r="A13" s="825"/>
      <c r="B13" s="212"/>
      <c r="C13" s="213"/>
      <c r="D13" s="213"/>
      <c r="E13" s="216"/>
      <c r="F13" s="223"/>
      <c r="G13" s="227"/>
      <c r="H13" s="228" t="s">
        <v>456</v>
      </c>
      <c r="I13" s="829"/>
      <c r="J13" s="211">
        <f>+'4'!J13</f>
        <v>0</v>
      </c>
      <c r="K13" s="234"/>
      <c r="L13" s="234"/>
      <c r="M13" s="116">
        <f>+K13+'4'!M13+L13</f>
        <v>0</v>
      </c>
    </row>
    <row r="14" spans="1:34" ht="13.5" thickBot="1">
      <c r="A14" s="826"/>
      <c r="B14" s="164" t="s">
        <v>2</v>
      </c>
      <c r="C14" s="98">
        <f>SUM(C7:C13)</f>
        <v>12563</v>
      </c>
      <c r="D14" s="110">
        <f>SUM(D7:D13)</f>
        <v>1800</v>
      </c>
      <c r="E14" s="111">
        <f>SUM(E9:E13)</f>
        <v>0</v>
      </c>
      <c r="F14" s="101">
        <f>SUM(F6:F13)</f>
        <v>5</v>
      </c>
      <c r="G14" s="158"/>
      <c r="H14" s="165"/>
      <c r="I14" s="166"/>
      <c r="J14" s="211">
        <f>+'4'!J14</f>
        <v>0</v>
      </c>
      <c r="K14" s="234"/>
      <c r="L14" s="234"/>
      <c r="M14" s="116">
        <f>+K14+'4'!M14+L14</f>
        <v>0</v>
      </c>
    </row>
    <row r="15" spans="1:34" ht="13.5" customHeight="1" thickBot="1">
      <c r="A15" s="830" t="s">
        <v>431</v>
      </c>
      <c r="B15" s="498"/>
      <c r="C15" s="557">
        <f>C14/($C$32+$D$32+$E$32)</f>
        <v>0.84896607649682387</v>
      </c>
      <c r="D15" s="103">
        <f>D14/($C$32+$D$32+$E$32)</f>
        <v>0.12163805919718881</v>
      </c>
      <c r="E15" s="104">
        <f>E14/($C$32+$D$32+$E$32)</f>
        <v>0</v>
      </c>
      <c r="F15" s="226">
        <v>20</v>
      </c>
      <c r="G15" s="552" t="s">
        <v>11</v>
      </c>
      <c r="H15" s="553" t="s">
        <v>474</v>
      </c>
      <c r="I15" s="827" t="s">
        <v>471</v>
      </c>
      <c r="J15" s="211">
        <f>+'4'!J15</f>
        <v>0</v>
      </c>
      <c r="K15" s="234"/>
      <c r="L15" s="234"/>
      <c r="M15" s="116">
        <f>+K15+'4'!M15+L15</f>
        <v>0</v>
      </c>
      <c r="N15" s="528"/>
    </row>
    <row r="16" spans="1:34" ht="13.5" thickBot="1">
      <c r="A16" s="825"/>
      <c r="B16" s="212" t="s">
        <v>475</v>
      </c>
      <c r="C16" s="499">
        <v>10966</v>
      </c>
      <c r="D16" s="218">
        <v>2040</v>
      </c>
      <c r="E16" s="219"/>
      <c r="F16" s="226">
        <v>2</v>
      </c>
      <c r="G16" s="554" t="s">
        <v>11</v>
      </c>
      <c r="H16" s="553" t="s">
        <v>419</v>
      </c>
      <c r="I16" s="828"/>
      <c r="J16" s="211">
        <f>+'4'!J16</f>
        <v>0</v>
      </c>
      <c r="K16" s="224"/>
      <c r="L16" s="224"/>
      <c r="M16" s="116">
        <f>+K16+'4'!M16+L16</f>
        <v>0</v>
      </c>
    </row>
    <row r="17" spans="1:19" ht="13.5" thickBot="1">
      <c r="A17" s="825"/>
      <c r="B17" s="212"/>
      <c r="C17" s="213"/>
      <c r="D17" s="214"/>
      <c r="E17" s="220"/>
      <c r="F17" s="226">
        <v>10</v>
      </c>
      <c r="G17" s="554" t="s">
        <v>11</v>
      </c>
      <c r="H17" s="555" t="s">
        <v>472</v>
      </c>
      <c r="I17" s="828"/>
      <c r="J17" s="211">
        <f>+'4'!J17</f>
        <v>0</v>
      </c>
      <c r="K17" s="224"/>
      <c r="L17" s="224"/>
      <c r="M17" s="116">
        <f>+K17+'4'!M17+L17</f>
        <v>0</v>
      </c>
      <c r="N17" s="519"/>
    </row>
    <row r="18" spans="1:19" ht="13.5" thickBot="1">
      <c r="A18" s="825"/>
      <c r="B18" s="212"/>
      <c r="C18" s="213"/>
      <c r="D18" s="214"/>
      <c r="E18" s="220"/>
      <c r="F18" s="226"/>
      <c r="G18" s="552"/>
      <c r="H18" s="555" t="s">
        <v>460</v>
      </c>
      <c r="I18" s="828"/>
      <c r="J18" s="211">
        <f>+'4'!J18</f>
        <v>0</v>
      </c>
      <c r="K18" s="234"/>
      <c r="L18" s="234"/>
      <c r="M18" s="116">
        <f>+K18+'4'!M18+L18</f>
        <v>0</v>
      </c>
      <c r="Q18" s="173"/>
    </row>
    <row r="19" spans="1:19" ht="26.25" thickBot="1">
      <c r="A19" s="825"/>
      <c r="B19" s="212"/>
      <c r="C19" s="213"/>
      <c r="D19" s="214"/>
      <c r="E19" s="220"/>
      <c r="F19" s="223"/>
      <c r="G19" s="469"/>
      <c r="H19" s="225" t="s">
        <v>461</v>
      </c>
      <c r="I19" s="828"/>
      <c r="J19" s="211">
        <f>+'4'!J19</f>
        <v>0</v>
      </c>
      <c r="K19" s="234"/>
      <c r="L19" s="234"/>
      <c r="M19" s="116">
        <f>+K19+'4'!M19+L19</f>
        <v>0</v>
      </c>
      <c r="R19" s="173"/>
      <c r="S19" s="173"/>
    </row>
    <row r="20" spans="1:19" ht="13.5" thickBot="1">
      <c r="A20" s="825"/>
      <c r="B20" s="212"/>
      <c r="C20" s="213"/>
      <c r="D20" s="214"/>
      <c r="E20" s="220" t="s">
        <v>414</v>
      </c>
      <c r="F20" s="223">
        <v>60</v>
      </c>
      <c r="G20" s="469" t="s">
        <v>16</v>
      </c>
      <c r="H20" s="228" t="s">
        <v>462</v>
      </c>
      <c r="I20" s="828"/>
      <c r="J20" s="211">
        <f>+'4'!J20</f>
        <v>0</v>
      </c>
      <c r="K20" s="235"/>
      <c r="L20" s="235"/>
      <c r="M20" s="116">
        <f>+K20+'4'!M20+L20</f>
        <v>0</v>
      </c>
    </row>
    <row r="21" spans="1:19" ht="13.5" thickBot="1">
      <c r="A21" s="825"/>
      <c r="B21" s="212"/>
      <c r="C21" s="213"/>
      <c r="D21" s="214"/>
      <c r="E21" s="220"/>
      <c r="F21" s="226"/>
      <c r="G21" s="227"/>
      <c r="H21" s="228" t="s">
        <v>463</v>
      </c>
      <c r="I21" s="828"/>
      <c r="J21" s="211">
        <f>+'4'!J21</f>
        <v>0</v>
      </c>
      <c r="K21" s="234"/>
      <c r="L21" s="234"/>
      <c r="M21" s="116">
        <f>+K21+'4'!M21+L21</f>
        <v>0</v>
      </c>
    </row>
    <row r="22" spans="1:19" ht="13.5" thickBot="1">
      <c r="A22" s="825"/>
      <c r="B22" s="212"/>
      <c r="C22" s="213"/>
      <c r="D22" s="214"/>
      <c r="E22" s="220"/>
      <c r="F22" s="231"/>
      <c r="G22" s="227"/>
      <c r="H22" s="228" t="s">
        <v>464</v>
      </c>
      <c r="I22" s="829"/>
      <c r="J22" s="211">
        <f>+'4'!J22</f>
        <v>0</v>
      </c>
      <c r="K22" s="234"/>
      <c r="L22" s="234"/>
      <c r="M22" s="116">
        <f>+K22+'4'!M22+L22</f>
        <v>0</v>
      </c>
    </row>
    <row r="23" spans="1:19" ht="13.5" thickBot="1">
      <c r="A23" s="826"/>
      <c r="B23" s="164" t="s">
        <v>2</v>
      </c>
      <c r="C23" s="98">
        <f>SUM(C16:C22)</f>
        <v>10966</v>
      </c>
      <c r="D23" s="110">
        <f>SUM(D16:D22)</f>
        <v>2040</v>
      </c>
      <c r="E23" s="111">
        <f>SUM(E18:E22)</f>
        <v>0</v>
      </c>
      <c r="F23" s="101">
        <f>SUM(F15:F22)</f>
        <v>92</v>
      </c>
      <c r="G23" s="158"/>
      <c r="H23" s="165"/>
      <c r="I23" s="167"/>
      <c r="J23" s="211">
        <f>+'4'!J23</f>
        <v>0</v>
      </c>
      <c r="K23" s="234"/>
      <c r="L23" s="234"/>
      <c r="M23" s="116">
        <f>+K23+'4'!M23+L23</f>
        <v>0</v>
      </c>
    </row>
    <row r="24" spans="1:19" ht="13.5" customHeight="1" thickBot="1">
      <c r="A24" s="830" t="s">
        <v>353</v>
      </c>
      <c r="B24" s="498"/>
      <c r="C24" s="112">
        <f>C23/($C$23+$D$23+$E$23)</f>
        <v>0.84314931570044593</v>
      </c>
      <c r="D24" s="113">
        <f>D23/($C$23+$D$23+$E$23)</f>
        <v>0.15685068429955404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471</v>
      </c>
      <c r="J24" s="211">
        <f>+'4'!J24</f>
        <v>0</v>
      </c>
      <c r="K24" s="234"/>
      <c r="L24" s="234"/>
      <c r="M24" s="116">
        <f>+K24+'4'!M24+L24</f>
        <v>0</v>
      </c>
      <c r="N24" s="519"/>
    </row>
    <row r="25" spans="1:19" ht="13.5" thickBot="1">
      <c r="A25" s="831"/>
      <c r="B25" s="212" t="s">
        <v>475</v>
      </c>
      <c r="C25" s="221">
        <v>13618</v>
      </c>
      <c r="D25" s="214">
        <v>1180</v>
      </c>
      <c r="E25" s="220"/>
      <c r="F25" s="226"/>
      <c r="G25" s="554" t="s">
        <v>11</v>
      </c>
      <c r="H25" s="553" t="s">
        <v>399</v>
      </c>
      <c r="I25" s="828"/>
      <c r="J25" s="211">
        <f>+'4'!J25</f>
        <v>0</v>
      </c>
      <c r="K25" s="234"/>
      <c r="L25" s="234"/>
      <c r="M25" s="116">
        <f>+K25+'4'!M25+L25</f>
        <v>0</v>
      </c>
    </row>
    <row r="26" spans="1:19" ht="13.5" thickBot="1">
      <c r="A26" s="831"/>
      <c r="B26" s="212"/>
      <c r="C26" s="221"/>
      <c r="D26" s="214"/>
      <c r="E26" s="222"/>
      <c r="F26" s="226">
        <v>9</v>
      </c>
      <c r="G26" s="554" t="s">
        <v>11</v>
      </c>
      <c r="H26" s="555" t="s">
        <v>473</v>
      </c>
      <c r="I26" s="828"/>
      <c r="J26" s="211">
        <f>+'4'!J26</f>
        <v>0</v>
      </c>
      <c r="K26" s="234"/>
      <c r="L26" s="234"/>
      <c r="M26" s="116">
        <f>+K26+'4'!M26+L26</f>
        <v>0</v>
      </c>
      <c r="Q26" s="173"/>
    </row>
    <row r="27" spans="1:19" ht="13.5" thickBot="1">
      <c r="A27" s="831"/>
      <c r="B27" s="212"/>
      <c r="C27" s="213"/>
      <c r="D27" s="214"/>
      <c r="E27" s="220"/>
      <c r="F27" s="226"/>
      <c r="G27" s="552"/>
      <c r="H27" s="555" t="s">
        <v>457</v>
      </c>
      <c r="I27" s="828"/>
      <c r="J27" s="211">
        <f>+'4'!J27</f>
        <v>0</v>
      </c>
      <c r="K27" s="234"/>
      <c r="L27" s="234"/>
      <c r="M27" s="116">
        <f>+K27+'4'!M27+L27</f>
        <v>0</v>
      </c>
      <c r="R27" s="173"/>
      <c r="S27" s="173"/>
    </row>
    <row r="28" spans="1:19" ht="13.5" thickBot="1">
      <c r="A28" s="831"/>
      <c r="B28" s="212"/>
      <c r="C28" s="213"/>
      <c r="D28" s="214"/>
      <c r="E28" s="220"/>
      <c r="F28" s="223"/>
      <c r="G28" s="227"/>
      <c r="H28" s="225" t="s">
        <v>465</v>
      </c>
      <c r="I28" s="828"/>
      <c r="J28" s="211">
        <f>+'4'!J28</f>
        <v>0</v>
      </c>
      <c r="K28" s="234"/>
      <c r="L28" s="234"/>
      <c r="M28" s="116">
        <f>+K28+'4'!M28+L28</f>
        <v>0</v>
      </c>
    </row>
    <row r="29" spans="1:19" ht="13.5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+'4'!J29</f>
        <v>0</v>
      </c>
      <c r="K29" s="234"/>
      <c r="L29" s="234"/>
      <c r="M29" s="116">
        <f>+K29+'4'!M29+L29</f>
        <v>0</v>
      </c>
    </row>
    <row r="30" spans="1:19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+'4'!J30</f>
        <v>0</v>
      </c>
      <c r="K30" s="234"/>
      <c r="L30" s="234"/>
      <c r="M30" s="116">
        <f>+K30+'4'!M30+L30</f>
        <v>0</v>
      </c>
      <c r="N30" s="154"/>
    </row>
    <row r="31" spans="1:19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+'4'!J31</f>
        <v>0</v>
      </c>
      <c r="K31" s="234"/>
      <c r="L31" s="234"/>
      <c r="M31" s="116">
        <f>+K31+'4'!M31+L31</f>
        <v>0</v>
      </c>
    </row>
    <row r="32" spans="1:19" ht="13.5" thickBot="1">
      <c r="A32" s="832"/>
      <c r="B32" s="164" t="s">
        <v>2</v>
      </c>
      <c r="C32" s="98">
        <f>SUM(C25:C31)</f>
        <v>13618</v>
      </c>
      <c r="D32" s="99">
        <f>SUM(D25:D31)</f>
        <v>1180</v>
      </c>
      <c r="E32" s="100">
        <f>SUM(E25:E31)</f>
        <v>0</v>
      </c>
      <c r="F32" s="98">
        <f>SUM(F24:F31)</f>
        <v>9</v>
      </c>
      <c r="G32" s="168"/>
      <c r="H32" s="169"/>
      <c r="I32" s="167"/>
      <c r="J32" s="211">
        <f>+'4'!J32</f>
        <v>0</v>
      </c>
      <c r="K32" s="236"/>
      <c r="L32" s="238"/>
      <c r="M32" s="116">
        <v>0</v>
      </c>
    </row>
    <row r="33" spans="1:14" ht="13.5" thickBot="1">
      <c r="A33" s="170"/>
      <c r="B33" s="171"/>
      <c r="C33" s="102">
        <f>C32/($C$32+$D$32+$E$32)</f>
        <v>0.9202594945262873</v>
      </c>
      <c r="D33" s="103">
        <f>D32/($C$32+$D$32+$E$32)</f>
        <v>7.974050547371267E-2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37147</v>
      </c>
      <c r="D34" s="106">
        <f>D14+D23+D32</f>
        <v>5020</v>
      </c>
      <c r="E34" s="106">
        <f>E14+E23+E32</f>
        <v>0</v>
      </c>
      <c r="F34" s="107">
        <f>F14+F23+F32</f>
        <v>106</v>
      </c>
      <c r="H34" s="175"/>
      <c r="I34" s="175"/>
      <c r="J34" s="122" t="s">
        <v>27</v>
      </c>
      <c r="K34" s="123">
        <f>SUM(K7:K32)</f>
        <v>37147</v>
      </c>
      <c r="L34" s="209">
        <f>SUM(L7:L32)</f>
        <v>0</v>
      </c>
      <c r="M34" s="119">
        <f>SUM(M7:M32)</f>
        <v>229460</v>
      </c>
      <c r="N34" s="154"/>
    </row>
    <row r="35" spans="1:14" ht="13.5" thickBot="1">
      <c r="A35" s="176"/>
      <c r="B35" s="177"/>
      <c r="C35" s="103">
        <f>C34/($C$34+$D$34+$E$34)</f>
        <v>0.88094955771100625</v>
      </c>
      <c r="D35" s="103">
        <f>D34/($C$34+$D$34+$E$34)</f>
        <v>0.11905044228899377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(17*1380)/1380*G42*2.85*1380/1000000</f>
        <v>55.695213000000003</v>
      </c>
      <c r="J37" s="124">
        <f>+I37+'4'!J37</f>
        <v>269.61467114999999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46</v>
      </c>
      <c r="D38" s="117">
        <f>+C38+'4'!D38</f>
        <v>356</v>
      </c>
      <c r="E38" s="142">
        <f t="shared" ref="E38:E51" si="0">D38/60</f>
        <v>5.9333333333333336</v>
      </c>
      <c r="F38" s="320">
        <v>980</v>
      </c>
      <c r="G38" s="320">
        <f>+F38-F38*0.15</f>
        <v>833</v>
      </c>
      <c r="H38" s="184" t="s">
        <v>60</v>
      </c>
      <c r="I38" s="501">
        <f>18.957+13.311+15.973</f>
        <v>48.241</v>
      </c>
      <c r="J38" s="126">
        <f>+I38+'4'!J38</f>
        <v>239.81099999999998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+C39+'4'!D39</f>
        <v>0</v>
      </c>
      <c r="E39" s="142">
        <f t="shared" si="0"/>
        <v>0</v>
      </c>
      <c r="F39" s="320">
        <v>980</v>
      </c>
      <c r="G39" s="320">
        <f>+F39-F39*0.15</f>
        <v>833</v>
      </c>
      <c r="H39" s="184" t="s">
        <v>61</v>
      </c>
      <c r="I39" s="141"/>
      <c r="J39" s="128">
        <f>J37/G4</f>
        <v>53.922934229999996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>+C40+'4'!D40</f>
        <v>0</v>
      </c>
      <c r="E40" s="142">
        <f t="shared" si="0"/>
        <v>0</v>
      </c>
      <c r="F40" s="320">
        <v>980</v>
      </c>
      <c r="G40" s="320">
        <f>+F40-F40*0.15</f>
        <v>833</v>
      </c>
      <c r="H40" s="184" t="s">
        <v>63</v>
      </c>
      <c r="I40" s="117">
        <f>(K34+L34)/1000</f>
        <v>37.146999999999998</v>
      </c>
      <c r="J40" s="130">
        <f>+I40+'4'!J40</f>
        <v>229.45999999999998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>+C41+'4'!D41</f>
        <v>0</v>
      </c>
      <c r="E41" s="142">
        <f t="shared" si="0"/>
        <v>0</v>
      </c>
      <c r="F41" s="320"/>
      <c r="G41" s="320"/>
      <c r="H41" s="184" t="s">
        <v>65</v>
      </c>
      <c r="I41" s="141"/>
      <c r="J41" s="128">
        <f>J40/G4</f>
        <v>45.891999999999996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>+C42+'4'!D42</f>
        <v>0</v>
      </c>
      <c r="E42" s="142">
        <f t="shared" si="0"/>
        <v>0</v>
      </c>
      <c r="F42" s="320">
        <f>+(F38*480+F39*420+F40*480)/1380</f>
        <v>980</v>
      </c>
      <c r="G42" s="320">
        <f>+(G38*480+G39*420+G40*480)/1380</f>
        <v>833</v>
      </c>
      <c r="H42" s="184" t="s">
        <v>66</v>
      </c>
      <c r="I42" s="241" t="s">
        <v>471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>+C43+'4'!D43</f>
        <v>0</v>
      </c>
      <c r="E43" s="142">
        <f t="shared" si="0"/>
        <v>0</v>
      </c>
      <c r="F43" s="320"/>
      <c r="G43" s="321"/>
      <c r="H43" s="185" t="s">
        <v>69</v>
      </c>
      <c r="I43" s="117">
        <f>+Report1!T13</f>
        <v>117.8</v>
      </c>
      <c r="J43" s="132">
        <f>+I43+'4'!J43</f>
        <v>615.6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60</v>
      </c>
      <c r="D44" s="117">
        <f>+C44+'4'!D44</f>
        <v>60</v>
      </c>
      <c r="E44" s="142">
        <f t="shared" si="0"/>
        <v>1</v>
      </c>
      <c r="F44" s="320"/>
      <c r="G44" s="321"/>
      <c r="H44" s="185" t="s">
        <v>70</v>
      </c>
      <c r="I44" s="117">
        <f>I43/I38</f>
        <v>2.4419062623079952</v>
      </c>
      <c r="J44" s="133">
        <f>J43/J38</f>
        <v>2.5670215294544456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+C45+'4'!D45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3.1711847524699168</v>
      </c>
      <c r="J45" s="133">
        <f>J43/J40</f>
        <v>2.6828205351695287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+C46+'4'!D46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+SUMIF(Listrik!AN12,"&gt;0")</f>
        <v>44000.882727570228</v>
      </c>
      <c r="J46" s="134">
        <f>+I46+'4'!J46</f>
        <v>249835.87558920908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+C47+'4'!D47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912.10552699094603</v>
      </c>
      <c r="J47" s="134">
        <f>J46/J38</f>
        <v>1041.8032350026026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+C48+'4'!D48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1184.5070322655997</v>
      </c>
      <c r="J48" s="134">
        <f>J46/J40</f>
        <v>1088.7992486237649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+C49+'4'!D49</f>
        <v>0</v>
      </c>
      <c r="E49" s="142">
        <f t="shared" si="0"/>
        <v>0</v>
      </c>
      <c r="F49" s="182"/>
      <c r="H49" s="185" t="s">
        <v>174</v>
      </c>
      <c r="I49" s="117">
        <v>0</v>
      </c>
      <c r="J49" s="134">
        <f>+I49+'4'!J49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+C50+'4'!D50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+C51+'4'!D51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106</v>
      </c>
      <c r="D52" s="143">
        <f>SUM(D38:D51)</f>
        <v>416</v>
      </c>
      <c r="E52" s="144">
        <f>SUM(E38:E51)</f>
        <v>6.9333333333333336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7.3611111111111113E-2</v>
      </c>
      <c r="D53" s="145">
        <f>D52/(24*60*G4)</f>
        <v>5.7777777777777775E-2</v>
      </c>
      <c r="E53" s="146">
        <f>E52/(G4*24)</f>
        <v>5.7777777777777782E-2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+D34+'4'!J56</f>
        <v>9157</v>
      </c>
      <c r="K56" s="198">
        <f>J56/(J40+J56/1000)/1000</f>
        <v>3.8375304358029813E-2</v>
      </c>
    </row>
    <row r="57" spans="1:11">
      <c r="A57" s="173"/>
      <c r="I57" s="196" t="s">
        <v>85</v>
      </c>
      <c r="J57" s="197"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4027777777777778" header="0" footer="0"/>
  <pageSetup paperSize="9" scale="59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7109375" style="148" customWidth="1"/>
    <col min="14" max="16384" width="9.140625" style="148"/>
  </cols>
  <sheetData>
    <row r="1" spans="1:27" ht="15.75">
      <c r="A1" s="147"/>
      <c r="V1" s="528"/>
    </row>
    <row r="2" spans="1:27" ht="15.75">
      <c r="A2" s="147" t="s">
        <v>217</v>
      </c>
    </row>
    <row r="3" spans="1:27" ht="15">
      <c r="A3" s="149"/>
      <c r="V3" s="526"/>
      <c r="W3" s="527"/>
      <c r="X3" s="527"/>
      <c r="Y3" s="527"/>
    </row>
    <row r="4" spans="1:27" ht="20.25">
      <c r="A4" s="150" t="s">
        <v>3</v>
      </c>
      <c r="B4" s="151"/>
      <c r="F4" s="152" t="s">
        <v>28</v>
      </c>
      <c r="G4" s="153">
        <v>4</v>
      </c>
      <c r="H4" s="153" t="s">
        <v>373</v>
      </c>
      <c r="V4" s="526"/>
      <c r="W4" s="527"/>
      <c r="X4" s="527"/>
      <c r="Y4" s="527"/>
    </row>
    <row r="5" spans="1:27" ht="13.5" thickBot="1">
      <c r="C5" s="154"/>
      <c r="D5" s="154"/>
      <c r="V5" s="527"/>
      <c r="W5" s="527"/>
      <c r="X5" s="527"/>
      <c r="Y5" s="558"/>
      <c r="Z5" s="527"/>
      <c r="AA5" s="527"/>
    </row>
    <row r="6" spans="1:27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548+536+526</f>
        <v>1610</v>
      </c>
      <c r="V6" s="527"/>
      <c r="W6" s="527"/>
      <c r="X6" s="527"/>
      <c r="Y6" s="527"/>
      <c r="Z6" s="558"/>
      <c r="AA6" s="173"/>
    </row>
    <row r="7" spans="1:27" ht="13.5" customHeight="1" thickBot="1">
      <c r="A7" s="824" t="s">
        <v>219</v>
      </c>
      <c r="B7" s="212" t="s">
        <v>448</v>
      </c>
      <c r="C7" s="213">
        <v>13450</v>
      </c>
      <c r="D7" s="214">
        <v>540</v>
      </c>
      <c r="E7" s="215"/>
      <c r="F7" s="226"/>
      <c r="G7" s="552" t="s">
        <v>11</v>
      </c>
      <c r="H7" s="553" t="s">
        <v>385</v>
      </c>
      <c r="I7" s="827" t="s">
        <v>416</v>
      </c>
      <c r="J7" s="211" t="str">
        <f>+'3'!J7</f>
        <v>N 12 VP OW</v>
      </c>
      <c r="K7" s="233">
        <f>+C8+C17</f>
        <v>3064</v>
      </c>
      <c r="L7" s="237"/>
      <c r="M7" s="116">
        <f>+K7+'3'!M7+L7</f>
        <v>107831</v>
      </c>
      <c r="V7" s="527"/>
      <c r="W7" s="527"/>
      <c r="X7" s="527"/>
      <c r="Y7" s="527"/>
      <c r="Z7" s="527"/>
    </row>
    <row r="8" spans="1:27" ht="13.5" thickBot="1">
      <c r="A8" s="825"/>
      <c r="B8" s="212" t="s">
        <v>402</v>
      </c>
      <c r="C8" s="213">
        <v>1235</v>
      </c>
      <c r="D8" s="214">
        <v>400</v>
      </c>
      <c r="E8" s="216"/>
      <c r="F8" s="226"/>
      <c r="G8" s="554" t="s">
        <v>11</v>
      </c>
      <c r="H8" s="553" t="s">
        <v>399</v>
      </c>
      <c r="I8" s="828"/>
      <c r="J8" s="211" t="str">
        <f>+'3'!J8</f>
        <v>N 11 VP OW</v>
      </c>
      <c r="K8" s="234">
        <f>+C7+C16</f>
        <v>24406</v>
      </c>
      <c r="L8" s="234"/>
      <c r="M8" s="116">
        <f>+K8+'3'!M8+L8</f>
        <v>66421</v>
      </c>
      <c r="N8" s="519">
        <v>1400</v>
      </c>
      <c r="O8" s="173">
        <f>+N8-N8*0.18</f>
        <v>1148</v>
      </c>
      <c r="P8" s="173">
        <f>120+480</f>
        <v>600</v>
      </c>
      <c r="Q8" s="173"/>
    </row>
    <row r="9" spans="1:27" ht="13.5" thickBot="1">
      <c r="A9" s="825"/>
      <c r="B9" s="212"/>
      <c r="C9" s="213"/>
      <c r="D9" s="214"/>
      <c r="E9" s="217"/>
      <c r="F9" s="226">
        <v>8</v>
      </c>
      <c r="G9" s="554" t="s">
        <v>11</v>
      </c>
      <c r="H9" s="555" t="s">
        <v>400</v>
      </c>
      <c r="I9" s="828"/>
      <c r="J9" s="211" t="s">
        <v>470</v>
      </c>
      <c r="K9" s="234">
        <f>+C18</f>
        <v>4155</v>
      </c>
      <c r="L9" s="234"/>
      <c r="M9" s="116">
        <f>+K9+'3'!M9+L9</f>
        <v>4155</v>
      </c>
      <c r="N9" s="528"/>
    </row>
    <row r="10" spans="1:27" ht="13.5" thickBot="1">
      <c r="A10" s="825"/>
      <c r="B10" s="212"/>
      <c r="C10" s="213"/>
      <c r="D10" s="214"/>
      <c r="E10" s="216"/>
      <c r="F10" s="226"/>
      <c r="G10" s="552"/>
      <c r="H10" s="555" t="s">
        <v>440</v>
      </c>
      <c r="I10" s="828"/>
      <c r="J10" s="211" t="s">
        <v>475</v>
      </c>
      <c r="K10" s="234">
        <f>+C25</f>
        <v>13906</v>
      </c>
      <c r="L10" s="234"/>
      <c r="M10" s="116">
        <f>+K10+'3'!M10+L10</f>
        <v>13906</v>
      </c>
    </row>
    <row r="11" spans="1:27" ht="13.5" thickBot="1">
      <c r="A11" s="825"/>
      <c r="B11" s="212"/>
      <c r="C11" s="213"/>
      <c r="D11" s="214"/>
      <c r="E11" s="216"/>
      <c r="F11" s="468"/>
      <c r="G11" s="469"/>
      <c r="H11" s="225" t="s">
        <v>450</v>
      </c>
      <c r="I11" s="828"/>
      <c r="J11" s="211">
        <f>+'3'!J11</f>
        <v>0</v>
      </c>
      <c r="K11" s="234"/>
      <c r="L11" s="234"/>
      <c r="M11" s="116">
        <f>+K11+'3'!M11+L11</f>
        <v>0</v>
      </c>
      <c r="Q11" s="173"/>
    </row>
    <row r="12" spans="1:27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>
        <f>+'3'!J12</f>
        <v>0</v>
      </c>
      <c r="K12" s="234"/>
      <c r="L12" s="234"/>
      <c r="M12" s="116">
        <f>+K12+'3'!M12+L12</f>
        <v>0</v>
      </c>
      <c r="R12" s="173"/>
      <c r="S12" s="173"/>
    </row>
    <row r="13" spans="1:27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>
        <f>+'3'!J13</f>
        <v>0</v>
      </c>
      <c r="K13" s="234"/>
      <c r="L13" s="234"/>
      <c r="M13" s="116">
        <f>+K13+'3'!M13+L13</f>
        <v>0</v>
      </c>
    </row>
    <row r="14" spans="1:27" ht="13.5" thickBot="1">
      <c r="A14" s="826"/>
      <c r="B14" s="164" t="s">
        <v>2</v>
      </c>
      <c r="C14" s="98">
        <f>SUM(C7:C13)</f>
        <v>14685</v>
      </c>
      <c r="D14" s="110">
        <f>SUM(D7:D13)</f>
        <v>940</v>
      </c>
      <c r="E14" s="111">
        <f>SUM(E9:E13)</f>
        <v>0</v>
      </c>
      <c r="F14" s="101">
        <f>SUM(F6:F13)</f>
        <v>8</v>
      </c>
      <c r="G14" s="158"/>
      <c r="H14" s="165"/>
      <c r="I14" s="166"/>
      <c r="J14" s="211">
        <f>+'3'!J14</f>
        <v>0</v>
      </c>
      <c r="K14" s="234"/>
      <c r="L14" s="234"/>
      <c r="M14" s="116">
        <f>+K14+'3'!M14+L14</f>
        <v>0</v>
      </c>
    </row>
    <row r="15" spans="1:27" ht="13.5" customHeight="1" thickBot="1">
      <c r="A15" s="830" t="s">
        <v>431</v>
      </c>
      <c r="B15" s="498"/>
      <c r="C15" s="557">
        <f>C14/($C$32+$D$32+$E$32)</f>
        <v>0.95381917381137959</v>
      </c>
      <c r="D15" s="103">
        <f>D14/($C$32+$D$32+$E$32)</f>
        <v>6.1054819433619123E-2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466</v>
      </c>
      <c r="J15" s="211">
        <f>+'3'!J15</f>
        <v>0</v>
      </c>
      <c r="K15" s="234"/>
      <c r="L15" s="234"/>
      <c r="M15" s="116">
        <f>+K15+'3'!M15+L15</f>
        <v>0</v>
      </c>
    </row>
    <row r="16" spans="1:27" ht="13.5" thickBot="1">
      <c r="A16" s="825"/>
      <c r="B16" s="212" t="s">
        <v>448</v>
      </c>
      <c r="C16" s="499">
        <v>10956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+'3'!J16</f>
        <v>0</v>
      </c>
      <c r="K16" s="224"/>
      <c r="L16" s="224"/>
      <c r="M16" s="116">
        <f>+K16+'3'!M16+L16</f>
        <v>0</v>
      </c>
    </row>
    <row r="17" spans="1:18" ht="13.5" thickBot="1">
      <c r="A17" s="825"/>
      <c r="B17" s="212" t="s">
        <v>402</v>
      </c>
      <c r="C17" s="213">
        <v>1829</v>
      </c>
      <c r="D17" s="214">
        <v>600</v>
      </c>
      <c r="E17" s="220"/>
      <c r="F17" s="226">
        <v>10</v>
      </c>
      <c r="G17" s="554" t="s">
        <v>11</v>
      </c>
      <c r="H17" s="555" t="s">
        <v>400</v>
      </c>
      <c r="I17" s="828"/>
      <c r="J17" s="211">
        <f>+'3'!J17</f>
        <v>0</v>
      </c>
      <c r="K17" s="224"/>
      <c r="L17" s="224"/>
      <c r="M17" s="116">
        <f>+K17+'3'!M17+L17</f>
        <v>0</v>
      </c>
      <c r="N17" s="519">
        <v>1400</v>
      </c>
      <c r="O17" s="173">
        <f>+N17-N17*0.18</f>
        <v>1148</v>
      </c>
      <c r="P17" s="529">
        <v>120</v>
      </c>
      <c r="Q17" s="529">
        <f>+N17*P17</f>
        <v>168000</v>
      </c>
      <c r="R17" s="148">
        <f>+O17*P17</f>
        <v>137760</v>
      </c>
    </row>
    <row r="18" spans="1:18" ht="13.5" thickBot="1">
      <c r="A18" s="825"/>
      <c r="B18" s="212" t="s">
        <v>470</v>
      </c>
      <c r="C18" s="213">
        <f>2397+1758</f>
        <v>4155</v>
      </c>
      <c r="D18" s="214">
        <v>300</v>
      </c>
      <c r="E18" s="220"/>
      <c r="F18" s="226"/>
      <c r="G18" s="552"/>
      <c r="H18" s="555" t="s">
        <v>440</v>
      </c>
      <c r="I18" s="828"/>
      <c r="J18" s="211">
        <f>+'3'!J18</f>
        <v>0</v>
      </c>
      <c r="K18" s="234"/>
      <c r="L18" s="234"/>
      <c r="M18" s="116">
        <f>+K18+'3'!M18+L18</f>
        <v>0</v>
      </c>
      <c r="N18" s="148">
        <v>1000</v>
      </c>
      <c r="O18" s="173">
        <f>+N18-N18*0.15</f>
        <v>850</v>
      </c>
      <c r="P18" s="148">
        <v>360</v>
      </c>
      <c r="Q18" s="529">
        <f>+N18*P18</f>
        <v>360000</v>
      </c>
      <c r="R18" s="148">
        <f>+O18*P18</f>
        <v>306000</v>
      </c>
    </row>
    <row r="19" spans="1:18" ht="26.25" thickBot="1">
      <c r="A19" s="825"/>
      <c r="B19" s="212"/>
      <c r="C19" s="213"/>
      <c r="D19" s="214"/>
      <c r="E19" s="220"/>
      <c r="F19" s="223"/>
      <c r="G19" s="469"/>
      <c r="H19" s="225" t="s">
        <v>451</v>
      </c>
      <c r="I19" s="828"/>
      <c r="J19" s="211">
        <f>+'3'!J19</f>
        <v>0</v>
      </c>
      <c r="K19" s="234"/>
      <c r="L19" s="234"/>
      <c r="M19" s="116">
        <f>+K19+'3'!M19+L19</f>
        <v>0</v>
      </c>
      <c r="P19" s="148">
        <f>SUM(P17:P18)</f>
        <v>480</v>
      </c>
      <c r="Q19" s="148">
        <f>SUM(Q17:Q18)</f>
        <v>528000</v>
      </c>
      <c r="R19" s="148">
        <f>SUM(R17:R18)</f>
        <v>443760</v>
      </c>
    </row>
    <row r="20" spans="1:18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+'3'!J20</f>
        <v>0</v>
      </c>
      <c r="K20" s="235"/>
      <c r="L20" s="235"/>
      <c r="M20" s="116">
        <f>+K20+'3'!M20+L20</f>
        <v>0</v>
      </c>
      <c r="Q20" s="148">
        <f>+Q19/P19</f>
        <v>1100</v>
      </c>
      <c r="R20" s="148">
        <f>+R19/P19</f>
        <v>924.5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+'3'!J21</f>
        <v>0</v>
      </c>
      <c r="K21" s="234"/>
      <c r="L21" s="234"/>
      <c r="M21" s="116">
        <f>+K21+'3'!M21+L21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+'3'!J22</f>
        <v>0</v>
      </c>
      <c r="K22" s="234"/>
      <c r="L22" s="234"/>
      <c r="M22" s="116">
        <f>+K22+'3'!M22+L22</f>
        <v>0</v>
      </c>
    </row>
    <row r="23" spans="1:18" ht="13.5" thickBot="1">
      <c r="A23" s="826"/>
      <c r="B23" s="164" t="s">
        <v>2</v>
      </c>
      <c r="C23" s="98">
        <f>SUM(C16:C22)</f>
        <v>16940</v>
      </c>
      <c r="D23" s="110">
        <f>SUM(D16:D22)</f>
        <v>900</v>
      </c>
      <c r="E23" s="111">
        <f>SUM(E18:E22)</f>
        <v>0</v>
      </c>
      <c r="F23" s="101">
        <f>SUM(F15:F22)</f>
        <v>10</v>
      </c>
      <c r="G23" s="158"/>
      <c r="H23" s="165"/>
      <c r="I23" s="167"/>
      <c r="J23" s="211">
        <f>+'3'!J23</f>
        <v>0</v>
      </c>
      <c r="K23" s="234"/>
      <c r="L23" s="234"/>
      <c r="M23" s="116">
        <f>+K23+'3'!M23+L23</f>
        <v>0</v>
      </c>
    </row>
    <row r="24" spans="1:18" ht="13.5" customHeight="1" thickBot="1">
      <c r="A24" s="830" t="s">
        <v>353</v>
      </c>
      <c r="B24" s="498"/>
      <c r="C24" s="112">
        <f>C23/($C$23+$D$23+$E$23)</f>
        <v>0.94955156950672648</v>
      </c>
      <c r="D24" s="113">
        <f>D23/($C$23+$D$23+$E$23)</f>
        <v>5.0448430493273543E-2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467</v>
      </c>
      <c r="J24" s="211">
        <f>+'3'!J24</f>
        <v>0</v>
      </c>
      <c r="K24" s="234"/>
      <c r="L24" s="234"/>
      <c r="M24" s="116">
        <f>+K24+'3'!M24+L24</f>
        <v>0</v>
      </c>
      <c r="N24" s="148">
        <v>1000</v>
      </c>
      <c r="O24" s="173">
        <f>+N24-N24*0.15</f>
        <v>850</v>
      </c>
      <c r="P24" s="529">
        <v>24</v>
      </c>
      <c r="Q24" s="529">
        <f>+N24*P24</f>
        <v>24000</v>
      </c>
      <c r="R24" s="148">
        <f>+O24*P24</f>
        <v>20400</v>
      </c>
    </row>
    <row r="25" spans="1:18" ht="13.5" thickBot="1">
      <c r="A25" s="831"/>
      <c r="B25" s="212" t="s">
        <v>475</v>
      </c>
      <c r="C25" s="221">
        <v>13906</v>
      </c>
      <c r="D25" s="214">
        <v>1490</v>
      </c>
      <c r="E25" s="220"/>
      <c r="F25" s="226"/>
      <c r="G25" s="554" t="s">
        <v>11</v>
      </c>
      <c r="H25" s="553" t="s">
        <v>399</v>
      </c>
      <c r="I25" s="828"/>
      <c r="J25" s="211">
        <f>+'3'!J25</f>
        <v>0</v>
      </c>
      <c r="K25" s="234"/>
      <c r="L25" s="234"/>
      <c r="M25" s="116">
        <f>+K25+'3'!M25+L25</f>
        <v>0</v>
      </c>
      <c r="N25" s="148">
        <v>980</v>
      </c>
      <c r="O25" s="173">
        <f>+N25-N25*0.15</f>
        <v>833</v>
      </c>
      <c r="P25" s="148">
        <v>456</v>
      </c>
      <c r="Q25" s="529">
        <f>+N25*P25</f>
        <v>446880</v>
      </c>
      <c r="R25" s="148">
        <f>+O25*P25</f>
        <v>379848</v>
      </c>
    </row>
    <row r="26" spans="1:18" ht="13.5" thickBot="1">
      <c r="A26" s="831"/>
      <c r="B26" s="212"/>
      <c r="C26" s="221"/>
      <c r="D26" s="214"/>
      <c r="E26" s="222"/>
      <c r="F26" s="226">
        <v>10</v>
      </c>
      <c r="G26" s="554" t="s">
        <v>11</v>
      </c>
      <c r="H26" s="555" t="s">
        <v>400</v>
      </c>
      <c r="I26" s="828"/>
      <c r="J26" s="211">
        <f>+'3'!J26</f>
        <v>0</v>
      </c>
      <c r="K26" s="234"/>
      <c r="L26" s="234"/>
      <c r="M26" s="116">
        <f>+K26+'3'!M26+L26</f>
        <v>0</v>
      </c>
      <c r="N26" s="528"/>
      <c r="O26" s="529"/>
      <c r="P26" s="148">
        <f>SUM(P24:P25)</f>
        <v>480</v>
      </c>
      <c r="Q26" s="148">
        <f>SUM(Q24:Q25)</f>
        <v>470880</v>
      </c>
      <c r="R26" s="148">
        <f>SUM(R24:R25)</f>
        <v>400248</v>
      </c>
    </row>
    <row r="27" spans="1:18" ht="13.5" thickBot="1">
      <c r="A27" s="831"/>
      <c r="B27" s="212"/>
      <c r="C27" s="213"/>
      <c r="D27" s="214"/>
      <c r="E27" s="220"/>
      <c r="F27" s="226"/>
      <c r="G27" s="552"/>
      <c r="H27" s="555" t="s">
        <v>452</v>
      </c>
      <c r="I27" s="828"/>
      <c r="J27" s="211">
        <f>+'3'!J27</f>
        <v>0</v>
      </c>
      <c r="K27" s="234"/>
      <c r="L27" s="234"/>
      <c r="M27" s="116">
        <f>+K27+'3'!M27+L27</f>
        <v>0</v>
      </c>
      <c r="Q27" s="148">
        <f>+Q26/P26</f>
        <v>981</v>
      </c>
      <c r="R27" s="148">
        <f>+R26/P26</f>
        <v>833.85</v>
      </c>
    </row>
    <row r="28" spans="1:18" ht="26.25" thickBot="1">
      <c r="A28" s="831"/>
      <c r="B28" s="212"/>
      <c r="C28" s="213"/>
      <c r="D28" s="214"/>
      <c r="E28" s="220"/>
      <c r="F28" s="223"/>
      <c r="G28" s="227"/>
      <c r="H28" s="225" t="s">
        <v>454</v>
      </c>
      <c r="I28" s="828"/>
      <c r="J28" s="211">
        <f>+'3'!J28</f>
        <v>0</v>
      </c>
      <c r="K28" s="234"/>
      <c r="L28" s="234"/>
      <c r="M28" s="116">
        <f>+K28+'3'!M28+L28</f>
        <v>0</v>
      </c>
    </row>
    <row r="29" spans="1:18" ht="26.25" thickBot="1">
      <c r="A29" s="831"/>
      <c r="B29" s="212"/>
      <c r="C29" s="213"/>
      <c r="D29" s="214"/>
      <c r="E29" s="220"/>
      <c r="F29" s="231"/>
      <c r="G29" s="227"/>
      <c r="H29" s="228" t="s">
        <v>455</v>
      </c>
      <c r="I29" s="828"/>
      <c r="J29" s="211">
        <f>+'3'!J29</f>
        <v>0</v>
      </c>
      <c r="K29" s="234"/>
      <c r="L29" s="234"/>
      <c r="M29" s="116">
        <f>+K29+'3'!M29+L29</f>
        <v>0</v>
      </c>
    </row>
    <row r="30" spans="1:18" ht="26.25" thickBot="1">
      <c r="A30" s="831"/>
      <c r="B30" s="212"/>
      <c r="C30" s="221"/>
      <c r="D30" s="214"/>
      <c r="E30" s="220"/>
      <c r="F30" s="231"/>
      <c r="G30" s="227"/>
      <c r="H30" s="228" t="s">
        <v>453</v>
      </c>
      <c r="I30" s="828"/>
      <c r="J30" s="211">
        <f>+'3'!J30</f>
        <v>0</v>
      </c>
      <c r="K30" s="234"/>
      <c r="L30" s="234"/>
      <c r="M30" s="116">
        <f>+K30+'3'!M30+L30</f>
        <v>0</v>
      </c>
      <c r="N30" s="154"/>
    </row>
    <row r="31" spans="1:18" ht="39" thickBot="1">
      <c r="A31" s="831"/>
      <c r="B31" s="212"/>
      <c r="C31" s="221"/>
      <c r="D31" s="214"/>
      <c r="E31" s="220"/>
      <c r="F31" s="231"/>
      <c r="G31" s="232"/>
      <c r="H31" s="427" t="s">
        <v>456</v>
      </c>
      <c r="I31" s="829"/>
      <c r="J31" s="211">
        <f>+'3'!J31</f>
        <v>0</v>
      </c>
      <c r="K31" s="234"/>
      <c r="L31" s="234"/>
      <c r="M31" s="116">
        <f>+K31+'3'!M31+L31</f>
        <v>0</v>
      </c>
    </row>
    <row r="32" spans="1:18" ht="13.5" thickBot="1">
      <c r="A32" s="832"/>
      <c r="B32" s="164" t="s">
        <v>2</v>
      </c>
      <c r="C32" s="98">
        <f>SUM(C25:C31)</f>
        <v>13906</v>
      </c>
      <c r="D32" s="99">
        <f>SUM(D25:D31)</f>
        <v>1490</v>
      </c>
      <c r="E32" s="100">
        <f>SUM(E25:E31)</f>
        <v>0</v>
      </c>
      <c r="F32" s="98">
        <f>SUM(F24:F31)</f>
        <v>10</v>
      </c>
      <c r="G32" s="168"/>
      <c r="H32" s="169"/>
      <c r="I32" s="167"/>
      <c r="J32" s="211">
        <f>+'3'!J32</f>
        <v>0</v>
      </c>
      <c r="K32" s="236"/>
      <c r="L32" s="238"/>
      <c r="M32" s="116">
        <v>0</v>
      </c>
    </row>
    <row r="33" spans="1:14" ht="13.5" thickBot="1">
      <c r="A33" s="170"/>
      <c r="B33" s="171"/>
      <c r="C33" s="102">
        <f>C32/($C$32+$D$32+$E$32)</f>
        <v>0.90322161600415696</v>
      </c>
      <c r="D33" s="103">
        <f>D32/($C$32+$D$32+$E$32)</f>
        <v>9.677838399584307E-2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45531</v>
      </c>
      <c r="D34" s="106">
        <f>D14+D23+D32</f>
        <v>3330</v>
      </c>
      <c r="E34" s="106">
        <f>E14+E23+E32</f>
        <v>0</v>
      </c>
      <c r="F34" s="107">
        <f>F14+F23+F32</f>
        <v>28</v>
      </c>
      <c r="H34" s="175"/>
      <c r="I34" s="175"/>
      <c r="J34" s="122" t="s">
        <v>27</v>
      </c>
      <c r="K34" s="123">
        <f>SUM(K7:K32)</f>
        <v>45531</v>
      </c>
      <c r="L34" s="209">
        <f>SUM(L7:L32)</f>
        <v>0</v>
      </c>
      <c r="M34" s="119">
        <f>SUM(M7:M32)</f>
        <v>192313</v>
      </c>
      <c r="N34" s="154"/>
    </row>
    <row r="35" spans="1:14" ht="13.5" thickBot="1">
      <c r="A35" s="176"/>
      <c r="B35" s="177"/>
      <c r="C35" s="103">
        <f>C34/($C$34+$D$34+$E$34)</f>
        <v>0.93184748572481124</v>
      </c>
      <c r="D35" s="103">
        <f>D34/($C$34+$D$34+$E$34)</f>
        <v>6.81525142751888E-2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/>
      <c r="I37" s="239">
        <f>(11*600+16.5*840)/1440*G42*2.85*1440/1000000</f>
        <v>56.490724950000001</v>
      </c>
      <c r="J37" s="124">
        <f>+I37+'3'!J37</f>
        <v>213.91945814999997</v>
      </c>
      <c r="K37" s="125" t="s">
        <v>59</v>
      </c>
      <c r="N37" s="154">
        <f>+I38-N38-N39</f>
        <v>25.560000000000002</v>
      </c>
    </row>
    <row r="38" spans="1:14" ht="17.45" customHeight="1">
      <c r="A38" s="822" t="s">
        <v>11</v>
      </c>
      <c r="B38" s="823"/>
      <c r="C38" s="163">
        <f>SUMIF($G$7:$G$31,"Process",$F$7:$F$31)</f>
        <v>28</v>
      </c>
      <c r="D38" s="117">
        <f>+C38+'3'!D38</f>
        <v>310</v>
      </c>
      <c r="E38" s="142">
        <f>D38/60</f>
        <v>5.166666666666667</v>
      </c>
      <c r="F38" s="320">
        <v>1400</v>
      </c>
      <c r="G38" s="320">
        <v>1148</v>
      </c>
      <c r="H38" s="184" t="s">
        <v>60</v>
      </c>
      <c r="I38" s="501">
        <f>16.17+16.08+18.176</f>
        <v>50.426000000000002</v>
      </c>
      <c r="J38" s="126">
        <f>+I38+'3'!J38</f>
        <v>191.57</v>
      </c>
      <c r="K38" s="127" t="s">
        <v>59</v>
      </c>
      <c r="N38" s="148">
        <f>1.936+1.992</f>
        <v>3.9279999999999999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+C39+'3'!D39</f>
        <v>0</v>
      </c>
      <c r="E39" s="142">
        <f t="shared" ref="E39:E51" si="0">D39/60</f>
        <v>0</v>
      </c>
      <c r="F39" s="320">
        <v>1100</v>
      </c>
      <c r="G39" s="320">
        <v>924.5</v>
      </c>
      <c r="H39" s="184" t="s">
        <v>61</v>
      </c>
      <c r="I39" s="141"/>
      <c r="J39" s="128">
        <f>J37/G4</f>
        <v>53.479864537499992</v>
      </c>
      <c r="K39" s="129" t="s">
        <v>59</v>
      </c>
      <c r="N39" s="148">
        <f>1.374+2.496+17.068</f>
        <v>20.938000000000002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>+C40+'3'!D40</f>
        <v>0</v>
      </c>
      <c r="E40" s="142">
        <f t="shared" si="0"/>
        <v>0</v>
      </c>
      <c r="F40" s="320">
        <v>981</v>
      </c>
      <c r="G40" s="320">
        <v>833.85</v>
      </c>
      <c r="H40" s="184" t="s">
        <v>63</v>
      </c>
      <c r="I40" s="117">
        <f>(K34+L34)/1000</f>
        <v>45.530999999999999</v>
      </c>
      <c r="J40" s="130">
        <f>+I40+'3'!J40</f>
        <v>192.31299999999999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>+C41+'3'!D41</f>
        <v>0</v>
      </c>
      <c r="E41" s="142">
        <f t="shared" si="0"/>
        <v>0</v>
      </c>
      <c r="F41" s="320"/>
      <c r="G41" s="320"/>
      <c r="H41" s="184" t="s">
        <v>65</v>
      </c>
      <c r="I41" s="141"/>
      <c r="J41" s="128">
        <f>J40/G4</f>
        <v>48.078249999999997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>+C42+'3'!D42</f>
        <v>0</v>
      </c>
      <c r="E42" s="142">
        <f t="shared" si="0"/>
        <v>0</v>
      </c>
      <c r="F42" s="320">
        <f>+(F38*480+F39*480+F40*480)/1440</f>
        <v>1160.3333333333333</v>
      </c>
      <c r="G42" s="320">
        <f>+(G38*480+G39*480+G40*480)/1440</f>
        <v>968.7833333333333</v>
      </c>
      <c r="H42" s="184" t="s">
        <v>66</v>
      </c>
      <c r="I42" s="241" t="s">
        <v>468</v>
      </c>
      <c r="J42" s="131"/>
      <c r="K42" s="129" t="s">
        <v>67</v>
      </c>
      <c r="M42" s="154"/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>+C43+'3'!D43</f>
        <v>0</v>
      </c>
      <c r="E43" s="142">
        <f t="shared" si="0"/>
        <v>0</v>
      </c>
      <c r="F43" s="320"/>
      <c r="G43" s="321"/>
      <c r="H43" s="185" t="s">
        <v>69</v>
      </c>
      <c r="I43" s="117">
        <f>+Report1!T12</f>
        <v>123</v>
      </c>
      <c r="J43" s="132">
        <f>+I43+'3'!J43</f>
        <v>497.8</v>
      </c>
      <c r="K43" s="129" t="s">
        <v>59</v>
      </c>
      <c r="L43" s="186"/>
      <c r="M43" s="154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+C44+'3'!D44</f>
        <v>0</v>
      </c>
      <c r="E44" s="142">
        <f t="shared" si="0"/>
        <v>0</v>
      </c>
      <c r="F44" s="320"/>
      <c r="G44" s="321"/>
      <c r="H44" s="185" t="s">
        <v>70</v>
      </c>
      <c r="I44" s="117">
        <f>I43/I38</f>
        <v>2.4392178638004203</v>
      </c>
      <c r="J44" s="133">
        <f>J43/J38</f>
        <v>2.5985279532285852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+C45+'3'!D45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2.701456150754431</v>
      </c>
      <c r="J45" s="133">
        <f>J43/J40</f>
        <v>2.5884885577158072</v>
      </c>
      <c r="K45" s="129" t="s">
        <v>59</v>
      </c>
    </row>
    <row r="46" spans="1:14" ht="17.45" customHeight="1">
      <c r="A46" s="818" t="s">
        <v>241</v>
      </c>
      <c r="B46" s="819"/>
      <c r="C46" s="163">
        <f>SUMIF($G$7:$G$31,"Sinergy",$F$7:$F$31)</f>
        <v>0</v>
      </c>
      <c r="D46" s="117">
        <f>+C46+'3'!D46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+SUMIF(Listrik!AN11,"&gt;0")</f>
        <v>45869.033634774176</v>
      </c>
      <c r="J46" s="134">
        <f>+I46+'3'!J46</f>
        <v>205834.99286163886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+C47+'3'!D47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909.63061981466251</v>
      </c>
      <c r="J47" s="134">
        <f>J46/J38</f>
        <v>1074.4636052703393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+C48+'3'!D48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1007.4242523725413</v>
      </c>
      <c r="J48" s="134">
        <f>J46/J40</f>
        <v>1070.3124222576678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+C49+'3'!D49</f>
        <v>0</v>
      </c>
      <c r="E49" s="142">
        <f t="shared" si="0"/>
        <v>0</v>
      </c>
      <c r="F49" s="182"/>
      <c r="H49" s="185" t="s">
        <v>174</v>
      </c>
      <c r="I49" s="117">
        <v>0</v>
      </c>
      <c r="J49" s="134">
        <f>+I49+'3'!J49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+C50+'3'!D50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+C51+'3'!D51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28</v>
      </c>
      <c r="D52" s="143">
        <f>SUM(D38:D51)</f>
        <v>310</v>
      </c>
      <c r="E52" s="144">
        <f>SUM(E38:E51)</f>
        <v>5.166666666666667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1.9444444444444445E-2</v>
      </c>
      <c r="D53" s="145">
        <f>D52/(24*60*G4)</f>
        <v>5.3819444444444448E-2</v>
      </c>
      <c r="E53" s="146">
        <f>E52/(G4*24)</f>
        <v>5.3819444444444448E-2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+D34+'3'!J56</f>
        <v>4137</v>
      </c>
      <c r="K56" s="198">
        <f>J56/(J40+J56/1000)/1000</f>
        <v>2.1058793586154239E-2</v>
      </c>
    </row>
    <row r="57" spans="1:11">
      <c r="A57" s="173"/>
      <c r="I57" s="196" t="s">
        <v>85</v>
      </c>
      <c r="J57" s="197"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zoomScale="80" zoomScaleNormal="75" zoomScaleSheetLayoutView="80" workbookViewId="0">
      <selection activeCell="A7" sqref="A7:A14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3.7109375" style="148" bestFit="1" customWidth="1"/>
    <col min="12" max="12" width="8.28515625" style="148" customWidth="1"/>
    <col min="13" max="13" width="14.5703125" style="148" customWidth="1"/>
    <col min="14" max="16384" width="9.140625" style="148"/>
  </cols>
  <sheetData>
    <row r="1" spans="1:24" ht="15.75">
      <c r="A1" s="147"/>
    </row>
    <row r="2" spans="1:24" ht="15.75">
      <c r="A2" s="147" t="s">
        <v>217</v>
      </c>
    </row>
    <row r="3" spans="1:24" ht="15">
      <c r="A3" s="149"/>
    </row>
    <row r="4" spans="1:24" ht="20.25">
      <c r="A4" s="150" t="s">
        <v>3</v>
      </c>
      <c r="B4" s="151"/>
      <c r="F4" s="152" t="s">
        <v>28</v>
      </c>
      <c r="G4" s="153">
        <v>3</v>
      </c>
      <c r="H4" s="153" t="str">
        <f>+'1'!H4</f>
        <v>.06.24</v>
      </c>
    </row>
    <row r="5" spans="1:24" ht="13.5" thickBot="1">
      <c r="C5" s="154"/>
      <c r="D5" s="154"/>
    </row>
    <row r="6" spans="1:24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707+537+593</f>
        <v>1837</v>
      </c>
    </row>
    <row r="7" spans="1:24" ht="13.5" customHeight="1" thickBot="1">
      <c r="A7" s="824" t="s">
        <v>219</v>
      </c>
      <c r="B7" s="212" t="s">
        <v>402</v>
      </c>
      <c r="C7" s="213">
        <v>14145</v>
      </c>
      <c r="D7" s="214">
        <v>208</v>
      </c>
      <c r="E7" s="215"/>
      <c r="F7" s="226"/>
      <c r="G7" s="552" t="s">
        <v>11</v>
      </c>
      <c r="H7" s="553" t="s">
        <v>385</v>
      </c>
      <c r="I7" s="827" t="s">
        <v>416</v>
      </c>
      <c r="J7" s="211" t="str">
        <f>+'2'!J7</f>
        <v>N 12 VP OW</v>
      </c>
      <c r="K7" s="233">
        <f>+C7</f>
        <v>14145</v>
      </c>
      <c r="L7" s="237"/>
      <c r="M7" s="116">
        <f>+K7+'2'!M7+L7</f>
        <v>104767</v>
      </c>
      <c r="V7" s="173"/>
    </row>
    <row r="8" spans="1:24" ht="13.5" thickBot="1">
      <c r="A8" s="825"/>
      <c r="B8" s="212" t="s">
        <v>448</v>
      </c>
      <c r="C8" s="213">
        <v>4740</v>
      </c>
      <c r="D8" s="214"/>
      <c r="E8" s="216"/>
      <c r="F8" s="226"/>
      <c r="G8" s="554" t="s">
        <v>11</v>
      </c>
      <c r="H8" s="553" t="s">
        <v>399</v>
      </c>
      <c r="I8" s="828"/>
      <c r="J8" s="211" t="s">
        <v>448</v>
      </c>
      <c r="K8" s="234">
        <f>+C8+C16+C25</f>
        <v>42015</v>
      </c>
      <c r="L8" s="234"/>
      <c r="M8" s="116">
        <f>+K8+'2'!M8+L8</f>
        <v>42015</v>
      </c>
      <c r="N8" s="148">
        <v>1400</v>
      </c>
      <c r="O8" s="148">
        <f>+N8-N8*0.18</f>
        <v>1148</v>
      </c>
      <c r="P8" s="148">
        <f>60+20</f>
        <v>80</v>
      </c>
      <c r="W8" s="173"/>
      <c r="X8" s="173"/>
    </row>
    <row r="9" spans="1:24" ht="13.5" thickBot="1">
      <c r="A9" s="825"/>
      <c r="B9" s="212"/>
      <c r="C9" s="213"/>
      <c r="D9" s="214"/>
      <c r="E9" s="217"/>
      <c r="F9" s="226">
        <v>5</v>
      </c>
      <c r="G9" s="554" t="s">
        <v>11</v>
      </c>
      <c r="H9" s="555" t="s">
        <v>375</v>
      </c>
      <c r="I9" s="828"/>
      <c r="J9" s="211">
        <f>+'2'!J9</f>
        <v>0</v>
      </c>
      <c r="K9" s="234"/>
      <c r="L9" s="234"/>
      <c r="M9" s="116">
        <f>+K9+'2'!M9+L9</f>
        <v>0</v>
      </c>
      <c r="N9" s="148">
        <v>1400</v>
      </c>
      <c r="O9" s="148">
        <f>+N9-N9*0.18</f>
        <v>1148</v>
      </c>
      <c r="P9" s="148">
        <f>1440-P8</f>
        <v>1360</v>
      </c>
    </row>
    <row r="10" spans="1:24" ht="13.5" thickBot="1">
      <c r="A10" s="825"/>
      <c r="B10" s="212"/>
      <c r="C10" s="213"/>
      <c r="D10" s="214"/>
      <c r="E10" s="216"/>
      <c r="F10" s="226"/>
      <c r="G10" s="552"/>
      <c r="H10" s="555" t="s">
        <v>401</v>
      </c>
      <c r="I10" s="828"/>
      <c r="J10" s="211">
        <f>+'2'!J10</f>
        <v>0</v>
      </c>
      <c r="K10" s="234"/>
      <c r="L10" s="234"/>
      <c r="M10" s="116">
        <f>+K10+'2'!M10+L10</f>
        <v>0</v>
      </c>
      <c r="P10" s="173">
        <f>SUM(P8:P9)</f>
        <v>1440</v>
      </c>
      <c r="Q10" s="173"/>
      <c r="R10" s="173"/>
    </row>
    <row r="11" spans="1:24" ht="13.5" thickBot="1">
      <c r="A11" s="825"/>
      <c r="B11" s="212"/>
      <c r="C11" s="213"/>
      <c r="D11" s="214"/>
      <c r="E11" s="216"/>
      <c r="F11" s="468"/>
      <c r="G11" s="469"/>
      <c r="H11" s="225" t="s">
        <v>444</v>
      </c>
      <c r="I11" s="828"/>
      <c r="J11" s="211">
        <f>+'2'!J11</f>
        <v>0</v>
      </c>
      <c r="K11" s="234"/>
      <c r="L11" s="234"/>
      <c r="M11" s="116">
        <f>+K11+'2'!M11+L11</f>
        <v>0</v>
      </c>
      <c r="Q11" s="173"/>
      <c r="R11" s="173"/>
    </row>
    <row r="12" spans="1:24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>
        <f>+'2'!J12</f>
        <v>0</v>
      </c>
      <c r="K12" s="234"/>
      <c r="L12" s="234"/>
      <c r="M12" s="116">
        <f>+K12+'2'!M12+L12</f>
        <v>0</v>
      </c>
    </row>
    <row r="13" spans="1:24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>
        <f>+'2'!J13</f>
        <v>0</v>
      </c>
      <c r="K13" s="234"/>
      <c r="L13" s="234"/>
      <c r="M13" s="116">
        <f>+K13+'2'!M13+L13</f>
        <v>0</v>
      </c>
    </row>
    <row r="14" spans="1:24" ht="13.5" thickBot="1">
      <c r="A14" s="826"/>
      <c r="B14" s="164" t="s">
        <v>2</v>
      </c>
      <c r="C14" s="98">
        <f>SUM(C7:C13)</f>
        <v>18885</v>
      </c>
      <c r="D14" s="110">
        <f>SUM(D7:D13)</f>
        <v>208</v>
      </c>
      <c r="E14" s="111">
        <f>SUM(E9:E13)</f>
        <v>0</v>
      </c>
      <c r="F14" s="101">
        <f>SUM(F6:F13)</f>
        <v>5</v>
      </c>
      <c r="G14" s="158"/>
      <c r="H14" s="165"/>
      <c r="I14" s="166"/>
      <c r="J14" s="211">
        <f>+'2'!J14</f>
        <v>0</v>
      </c>
      <c r="K14" s="234"/>
      <c r="L14" s="234"/>
      <c r="M14" s="116">
        <f>+K14+'2'!M14+L14</f>
        <v>0</v>
      </c>
    </row>
    <row r="15" spans="1:24" ht="13.5" customHeight="1" thickBot="1">
      <c r="A15" s="830" t="s">
        <v>432</v>
      </c>
      <c r="B15" s="498"/>
      <c r="C15" s="557">
        <f>C14/($C$32+$D$32+$E$32)</f>
        <v>1.0047350500106405</v>
      </c>
      <c r="D15" s="103">
        <f>D14/($C$32+$D$32+$E$32)</f>
        <v>1.1066184294530752E-2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416</v>
      </c>
      <c r="J15" s="211">
        <f>+'2'!J15</f>
        <v>0</v>
      </c>
      <c r="K15" s="234"/>
      <c r="L15" s="234"/>
      <c r="M15" s="116">
        <f>+K15+'2'!M15+L15</f>
        <v>0</v>
      </c>
    </row>
    <row r="16" spans="1:24" ht="13.5" thickBot="1">
      <c r="A16" s="825"/>
      <c r="B16" s="212" t="s">
        <v>448</v>
      </c>
      <c r="C16" s="499">
        <v>18479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+'2'!J16</f>
        <v>0</v>
      </c>
      <c r="K16" s="224"/>
      <c r="L16" s="224"/>
      <c r="M16" s="116">
        <f>+K16+'2'!M16+L16</f>
        <v>0</v>
      </c>
      <c r="N16" s="173"/>
      <c r="O16" s="173"/>
      <c r="P16" s="173"/>
    </row>
    <row r="17" spans="1:14" ht="13.5" thickBot="1">
      <c r="A17" s="825"/>
      <c r="B17" s="212"/>
      <c r="C17" s="213"/>
      <c r="D17" s="214"/>
      <c r="E17" s="220"/>
      <c r="F17" s="226">
        <v>8</v>
      </c>
      <c r="G17" s="554" t="s">
        <v>11</v>
      </c>
      <c r="H17" s="555" t="s">
        <v>418</v>
      </c>
      <c r="I17" s="828"/>
      <c r="J17" s="211">
        <f>+'2'!J17</f>
        <v>0</v>
      </c>
      <c r="K17" s="224"/>
      <c r="L17" s="224"/>
      <c r="M17" s="116">
        <f>+K17+'2'!M17+L17</f>
        <v>0</v>
      </c>
    </row>
    <row r="18" spans="1:14" ht="13.5" thickBot="1">
      <c r="A18" s="825"/>
      <c r="B18" s="212"/>
      <c r="C18" s="213"/>
      <c r="D18" s="214"/>
      <c r="E18" s="220"/>
      <c r="F18" s="226"/>
      <c r="G18" s="552"/>
      <c r="H18" s="555" t="s">
        <v>440</v>
      </c>
      <c r="I18" s="828"/>
      <c r="J18" s="211">
        <f>+'2'!J18</f>
        <v>0</v>
      </c>
      <c r="K18" s="234"/>
      <c r="L18" s="234"/>
      <c r="M18" s="116">
        <f>+K18+'2'!M18+L18</f>
        <v>0</v>
      </c>
    </row>
    <row r="19" spans="1:14" ht="13.5" thickBot="1">
      <c r="A19" s="825"/>
      <c r="B19" s="212"/>
      <c r="C19" s="213"/>
      <c r="D19" s="214"/>
      <c r="E19" s="220"/>
      <c r="F19" s="223"/>
      <c r="G19" s="469"/>
      <c r="H19" s="225" t="s">
        <v>441</v>
      </c>
      <c r="I19" s="828"/>
      <c r="J19" s="211">
        <f>+'2'!J19</f>
        <v>0</v>
      </c>
      <c r="K19" s="234"/>
      <c r="L19" s="234"/>
      <c r="M19" s="116">
        <f>+K19+'2'!M19+L19</f>
        <v>0</v>
      </c>
    </row>
    <row r="20" spans="1:14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>
        <f>+'2'!J20</f>
        <v>0</v>
      </c>
      <c r="K20" s="235"/>
      <c r="L20" s="235"/>
      <c r="M20" s="116">
        <f>+K20+'2'!M20+L20</f>
        <v>0</v>
      </c>
    </row>
    <row r="21" spans="1:14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>
        <f>+'2'!J21</f>
        <v>0</v>
      </c>
      <c r="K21" s="234"/>
      <c r="L21" s="234"/>
      <c r="M21" s="116">
        <f>+K21+'2'!M21+L21</f>
        <v>0</v>
      </c>
    </row>
    <row r="22" spans="1:14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+'2'!J22</f>
        <v>0</v>
      </c>
      <c r="K22" s="234"/>
      <c r="L22" s="234"/>
      <c r="M22" s="116">
        <f>+K22+'2'!M22+L22</f>
        <v>0</v>
      </c>
    </row>
    <row r="23" spans="1:14" ht="13.5" thickBot="1">
      <c r="A23" s="826"/>
      <c r="B23" s="164" t="s">
        <v>2</v>
      </c>
      <c r="C23" s="98">
        <f>SUM(C16:C22)</f>
        <v>18479</v>
      </c>
      <c r="D23" s="110">
        <f>SUM(D16:D22)</f>
        <v>0</v>
      </c>
      <c r="E23" s="111">
        <f>SUM(E18:E22)</f>
        <v>0</v>
      </c>
      <c r="F23" s="101">
        <f>SUM(F15:F22)</f>
        <v>8</v>
      </c>
      <c r="G23" s="158"/>
      <c r="H23" s="165"/>
      <c r="I23" s="167"/>
      <c r="J23" s="211">
        <f>+'2'!J23</f>
        <v>0</v>
      </c>
      <c r="K23" s="234"/>
      <c r="L23" s="234"/>
      <c r="M23" s="116">
        <f>+K23+'2'!M23+L23</f>
        <v>0</v>
      </c>
    </row>
    <row r="24" spans="1:14" ht="13.5" customHeight="1" thickBot="1">
      <c r="A24" s="830" t="s">
        <v>353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416</v>
      </c>
      <c r="J24" s="211">
        <f>+'2'!J24</f>
        <v>0</v>
      </c>
      <c r="K24" s="234"/>
      <c r="L24" s="234"/>
      <c r="M24" s="116">
        <f>+K24+'2'!M24+L24</f>
        <v>0</v>
      </c>
    </row>
    <row r="25" spans="1:14" ht="13.5" thickBot="1">
      <c r="A25" s="831"/>
      <c r="B25" s="212" t="s">
        <v>448</v>
      </c>
      <c r="C25" s="221">
        <v>18796</v>
      </c>
      <c r="D25" s="214"/>
      <c r="E25" s="220"/>
      <c r="F25" s="226"/>
      <c r="G25" s="554" t="s">
        <v>11</v>
      </c>
      <c r="H25" s="553" t="s">
        <v>399</v>
      </c>
      <c r="I25" s="828"/>
      <c r="J25" s="211">
        <f>+'2'!J25</f>
        <v>0</v>
      </c>
      <c r="K25" s="234"/>
      <c r="L25" s="234"/>
      <c r="M25" s="116">
        <f>+K25+'2'!M25+L25</f>
        <v>0</v>
      </c>
    </row>
    <row r="26" spans="1:14" ht="13.5" thickBot="1">
      <c r="A26" s="831"/>
      <c r="B26" s="212"/>
      <c r="C26" s="221"/>
      <c r="D26" s="214"/>
      <c r="E26" s="222"/>
      <c r="F26" s="226">
        <v>10</v>
      </c>
      <c r="G26" s="554" t="s">
        <v>11</v>
      </c>
      <c r="H26" s="555" t="s">
        <v>445</v>
      </c>
      <c r="I26" s="828"/>
      <c r="J26" s="211">
        <f>+'2'!J26</f>
        <v>0</v>
      </c>
      <c r="K26" s="234"/>
      <c r="L26" s="234"/>
      <c r="M26" s="116">
        <f>+K26+'2'!M26+L26</f>
        <v>0</v>
      </c>
    </row>
    <row r="27" spans="1:14" ht="13.5" thickBot="1">
      <c r="A27" s="831"/>
      <c r="B27" s="212"/>
      <c r="C27" s="213"/>
      <c r="D27" s="214"/>
      <c r="E27" s="220"/>
      <c r="F27" s="226"/>
      <c r="G27" s="552"/>
      <c r="H27" s="555" t="s">
        <v>440</v>
      </c>
      <c r="I27" s="828"/>
      <c r="J27" s="211">
        <f>+'2'!J27</f>
        <v>0</v>
      </c>
      <c r="K27" s="234"/>
      <c r="L27" s="234"/>
      <c r="M27" s="116">
        <f>+K27+'2'!M27+L27</f>
        <v>0</v>
      </c>
    </row>
    <row r="28" spans="1:14" ht="13.5" thickBot="1">
      <c r="A28" s="831"/>
      <c r="B28" s="212"/>
      <c r="C28" s="213"/>
      <c r="D28" s="214"/>
      <c r="E28" s="220"/>
      <c r="F28" s="223"/>
      <c r="G28" s="227"/>
      <c r="H28" s="225" t="s">
        <v>442</v>
      </c>
      <c r="I28" s="828"/>
      <c r="J28" s="211">
        <f>+'2'!J28</f>
        <v>0</v>
      </c>
      <c r="K28" s="234"/>
      <c r="L28" s="234"/>
      <c r="M28" s="116">
        <f>+K28+'2'!M28+L28</f>
        <v>0</v>
      </c>
    </row>
    <row r="29" spans="1:14" ht="13.5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+'2'!J29</f>
        <v>0</v>
      </c>
      <c r="K29" s="234"/>
      <c r="L29" s="234"/>
      <c r="M29" s="116">
        <f>+K29+'2'!M29+L29</f>
        <v>0</v>
      </c>
    </row>
    <row r="30" spans="1:14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+'2'!J30</f>
        <v>0</v>
      </c>
      <c r="K30" s="234"/>
      <c r="L30" s="234"/>
      <c r="M30" s="116">
        <f>+K30+'2'!M30+L30</f>
        <v>0</v>
      </c>
      <c r="N30" s="154"/>
    </row>
    <row r="31" spans="1:14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+'2'!J31</f>
        <v>0</v>
      </c>
      <c r="K31" s="234"/>
      <c r="L31" s="234"/>
      <c r="M31" s="116">
        <f>+K31+'2'!M31+L31</f>
        <v>0</v>
      </c>
    </row>
    <row r="32" spans="1:14" ht="13.5" thickBot="1">
      <c r="A32" s="832"/>
      <c r="B32" s="164" t="s">
        <v>2</v>
      </c>
      <c r="C32" s="98">
        <f>SUM(C25:C31)</f>
        <v>18796</v>
      </c>
      <c r="D32" s="99">
        <f>SUM(D25:D31)</f>
        <v>0</v>
      </c>
      <c r="E32" s="100">
        <f>SUM(E25:E31)</f>
        <v>0</v>
      </c>
      <c r="F32" s="98">
        <f>SUM(F24:F31)</f>
        <v>10</v>
      </c>
      <c r="G32" s="168"/>
      <c r="H32" s="169"/>
      <c r="I32" s="167"/>
      <c r="J32" s="211">
        <f>+'2'!J32</f>
        <v>0</v>
      </c>
      <c r="K32" s="236"/>
      <c r="L32" s="238"/>
      <c r="M32" s="116">
        <f>+K32+'2'!M32+L32</f>
        <v>0</v>
      </c>
    </row>
    <row r="33" spans="1:14" ht="13.5" thickBot="1">
      <c r="A33" s="170"/>
      <c r="B33" s="171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56160</v>
      </c>
      <c r="D34" s="106">
        <f>D14+D23+D32</f>
        <v>208</v>
      </c>
      <c r="E34" s="106">
        <f>E14+E23+E32</f>
        <v>0</v>
      </c>
      <c r="F34" s="107">
        <f>F14+F23+F32</f>
        <v>23</v>
      </c>
      <c r="H34" s="175"/>
      <c r="I34" s="175"/>
      <c r="J34" s="122" t="s">
        <v>27</v>
      </c>
      <c r="K34" s="123">
        <f>SUM(K7:K32)</f>
        <v>56160</v>
      </c>
      <c r="L34" s="209">
        <f>SUM(L7:L32)</f>
        <v>0</v>
      </c>
      <c r="M34" s="119">
        <f>SUM(M7:M32)</f>
        <v>146782</v>
      </c>
      <c r="N34" s="154"/>
    </row>
    <row r="35" spans="1:14" ht="13.5" thickBot="1">
      <c r="A35" s="176"/>
      <c r="B35" s="177"/>
      <c r="C35" s="103">
        <f>C34/($C$34+$D$34+$E$34)</f>
        <v>0.99630996309963105</v>
      </c>
      <c r="D35" s="103">
        <f>D34/($C$34+$D$34+$E$34)</f>
        <v>3.6900369003690036E-3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(12*80+11*1360)/1440*G42*2.85*1440/1000000</f>
        <v>52.087055999999997</v>
      </c>
      <c r="J37" s="124">
        <f>+I37+'2'!J37</f>
        <v>157.42873319999998</v>
      </c>
      <c r="K37" s="125" t="s">
        <v>59</v>
      </c>
      <c r="N37" s="148">
        <f>1.613+1.613</f>
        <v>3.226</v>
      </c>
    </row>
    <row r="38" spans="1:14" ht="17.45" customHeight="1">
      <c r="A38" s="822" t="s">
        <v>11</v>
      </c>
      <c r="B38" s="823"/>
      <c r="C38" s="163">
        <f>SUMIF($G$7:$G$31,"Process",$F$7:$F$31)</f>
        <v>23</v>
      </c>
      <c r="D38" s="117">
        <f>+C38+'2'!D38</f>
        <v>282</v>
      </c>
      <c r="E38" s="142">
        <f t="shared" ref="E38:E51" si="0">D38/60</f>
        <v>4.7</v>
      </c>
      <c r="F38" s="320">
        <v>1400</v>
      </c>
      <c r="G38" s="320">
        <f>+F38-F38*0.18</f>
        <v>1148</v>
      </c>
      <c r="H38" s="184" t="s">
        <v>60</v>
      </c>
      <c r="I38" s="501">
        <f>16.808+17.31+16.293</f>
        <v>50.410999999999994</v>
      </c>
      <c r="J38" s="126">
        <f>+I38+'2'!J38</f>
        <v>141.14400000000001</v>
      </c>
      <c r="K38" s="127" t="s">
        <v>59</v>
      </c>
      <c r="N38" s="154">
        <f>+I38-N37</f>
        <v>47.184999999999995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+C39+'2'!D39</f>
        <v>0</v>
      </c>
      <c r="E39" s="142">
        <f t="shared" si="0"/>
        <v>0</v>
      </c>
      <c r="F39" s="320">
        <v>1400</v>
      </c>
      <c r="G39" s="320">
        <f>+F39-F39*0.18</f>
        <v>1148</v>
      </c>
      <c r="H39" s="184" t="s">
        <v>61</v>
      </c>
      <c r="I39" s="141"/>
      <c r="J39" s="128">
        <f>J37/G4</f>
        <v>52.476244399999992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>+C40+'2'!D40</f>
        <v>0</v>
      </c>
      <c r="E40" s="142">
        <f t="shared" si="0"/>
        <v>0</v>
      </c>
      <c r="F40" s="320">
        <v>1400</v>
      </c>
      <c r="G40" s="320">
        <f>+F40-F40*0.18</f>
        <v>1148</v>
      </c>
      <c r="H40" s="184" t="s">
        <v>63</v>
      </c>
      <c r="I40" s="117">
        <f>(K34+L34)/1000</f>
        <v>56.16</v>
      </c>
      <c r="J40" s="130">
        <f>+I40+'2'!J40</f>
        <v>146.78199999999998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>+C41+'2'!D41</f>
        <v>0</v>
      </c>
      <c r="E41" s="142">
        <f t="shared" si="0"/>
        <v>0</v>
      </c>
      <c r="F41" s="320"/>
      <c r="G41" s="320"/>
      <c r="H41" s="184" t="s">
        <v>65</v>
      </c>
      <c r="I41" s="141"/>
      <c r="J41" s="128">
        <f>J40/G4</f>
        <v>48.92733333333333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>+C42+'2'!D42</f>
        <v>0</v>
      </c>
      <c r="E42" s="142">
        <f t="shared" si="0"/>
        <v>0</v>
      </c>
      <c r="F42" s="320">
        <f>+(F38*480+F39*480+F40*480)/1440</f>
        <v>1400</v>
      </c>
      <c r="G42" s="320">
        <f>+(G38*480+G39*480+G40*480)/1440</f>
        <v>1148</v>
      </c>
      <c r="H42" s="184" t="s">
        <v>66</v>
      </c>
      <c r="I42" s="241" t="s">
        <v>416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>+C43+'2'!D43</f>
        <v>0</v>
      </c>
      <c r="E43" s="142">
        <f t="shared" si="0"/>
        <v>0</v>
      </c>
      <c r="F43" s="320"/>
      <c r="G43" s="321"/>
      <c r="H43" s="185" t="s">
        <v>69</v>
      </c>
      <c r="I43" s="117">
        <f>+Report1!T11</f>
        <v>126.8</v>
      </c>
      <c r="J43" s="132">
        <f>+I43+'2'!J43</f>
        <v>374.8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+C44+'2'!D44</f>
        <v>0</v>
      </c>
      <c r="E44" s="142">
        <f t="shared" si="0"/>
        <v>0</v>
      </c>
      <c r="F44" s="320"/>
      <c r="G44" s="321"/>
      <c r="H44" s="185" t="s">
        <v>70</v>
      </c>
      <c r="I44" s="117">
        <f>I43/I38</f>
        <v>2.5153240364206226</v>
      </c>
      <c r="J44" s="133">
        <f>J43/J38</f>
        <v>2.6554440854729919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+C45+'2'!D45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2.257834757834758</v>
      </c>
      <c r="J45" s="133">
        <f>J43/J40</f>
        <v>2.5534466078947013</v>
      </c>
      <c r="K45" s="129" t="s">
        <v>59</v>
      </c>
      <c r="M45" s="154"/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+C46+'2'!D46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+SUMIF(Listrik!AN10,"&gt;0")</f>
        <v>54153.333786935764</v>
      </c>
      <c r="J46" s="134">
        <f>+I46+'2'!J46</f>
        <v>159965.95922686468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+C47+'2'!D47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1074.2364521024333</v>
      </c>
      <c r="J47" s="134">
        <f>J46/J38</f>
        <v>1133.3528823532326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+C48+'2'!D48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964.26876401238906</v>
      </c>
      <c r="J48" s="134">
        <f>J46/J40</f>
        <v>1089.8199999105116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+C49+'2'!D49</f>
        <v>0</v>
      </c>
      <c r="E49" s="142">
        <f t="shared" si="0"/>
        <v>0</v>
      </c>
      <c r="F49" s="182"/>
      <c r="H49" s="185" t="s">
        <v>174</v>
      </c>
      <c r="I49" s="117">
        <v>0</v>
      </c>
      <c r="J49" s="134">
        <f>+I49+'2'!J49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+C50+'2'!D50</f>
        <v>0</v>
      </c>
      <c r="E50" s="142">
        <f t="shared" si="0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+C51+'2'!D51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23</v>
      </c>
      <c r="D52" s="143">
        <f>SUM(D38:D51)</f>
        <v>282</v>
      </c>
      <c r="E52" s="144">
        <f>SUM(E38:E51)</f>
        <v>4.7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1.5972222222222221E-2</v>
      </c>
      <c r="D53" s="145">
        <f>D52/(24*60*G4)</f>
        <v>6.5277777777777782E-2</v>
      </c>
      <c r="E53" s="146">
        <f>E52/(G4*24)</f>
        <v>6.5277777777777782E-2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+D34+'2'!J56</f>
        <v>807</v>
      </c>
      <c r="K56" s="198">
        <f>J56/(J40+J56/1000)/1000</f>
        <v>5.4678871731633121E-3</v>
      </c>
    </row>
    <row r="57" spans="1:11">
      <c r="A57" s="173"/>
      <c r="I57" s="196" t="s">
        <v>85</v>
      </c>
      <c r="J57" s="197">
        <f>+E34+'2'!J57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4" zoomScale="80" zoomScaleNormal="75" zoomScaleSheetLayoutView="80" workbookViewId="0">
      <selection activeCell="F9" activeCellId="2" sqref="F26 F17 F9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customWidth="1"/>
    <col min="7" max="7" width="11.4257812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16" ht="15.75">
      <c r="A1" s="147"/>
    </row>
    <row r="2" spans="1:16" ht="15.75">
      <c r="A2" s="147" t="s">
        <v>217</v>
      </c>
    </row>
    <row r="3" spans="1:16" ht="15">
      <c r="A3" s="149"/>
    </row>
    <row r="4" spans="1:16" ht="20.25">
      <c r="A4" s="150" t="s">
        <v>3</v>
      </c>
      <c r="B4" s="151"/>
      <c r="F4" s="152" t="s">
        <v>28</v>
      </c>
      <c r="G4" s="153">
        <v>2</v>
      </c>
      <c r="H4" s="153" t="str">
        <f>+'1'!H4</f>
        <v>.06.24</v>
      </c>
    </row>
    <row r="5" spans="1:16" ht="13.5" thickBot="1">
      <c r="C5" s="154"/>
      <c r="D5" s="154"/>
    </row>
    <row r="6" spans="1:16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685+941+772</f>
        <v>2398</v>
      </c>
    </row>
    <row r="7" spans="1:16" ht="13.5" customHeight="1" thickBot="1">
      <c r="A7" s="824" t="s">
        <v>219</v>
      </c>
      <c r="B7" s="212" t="s">
        <v>402</v>
      </c>
      <c r="C7" s="213">
        <v>14577</v>
      </c>
      <c r="D7" s="214"/>
      <c r="E7" s="215"/>
      <c r="F7" s="226"/>
      <c r="G7" s="552" t="s">
        <v>11</v>
      </c>
      <c r="H7" s="553" t="s">
        <v>385</v>
      </c>
      <c r="I7" s="827" t="s">
        <v>416</v>
      </c>
      <c r="J7" s="211" t="str">
        <f>+'1'!J7</f>
        <v>N 12 VP OW</v>
      </c>
      <c r="K7" s="233">
        <f>+C7+C16+C25</f>
        <v>53685</v>
      </c>
      <c r="L7" s="237"/>
      <c r="M7" s="116">
        <f>+K7+'1'!M7+L7</f>
        <v>90622</v>
      </c>
    </row>
    <row r="8" spans="1:16" ht="13.5" thickBot="1">
      <c r="A8" s="825"/>
      <c r="B8" s="212"/>
      <c r="C8" s="213"/>
      <c r="D8" s="214"/>
      <c r="E8" s="216"/>
      <c r="F8" s="226">
        <v>3</v>
      </c>
      <c r="G8" s="554" t="s">
        <v>11</v>
      </c>
      <c r="H8" s="553" t="s">
        <v>419</v>
      </c>
      <c r="I8" s="828"/>
      <c r="J8" s="211">
        <f>+'1'!J8</f>
        <v>0</v>
      </c>
      <c r="K8" s="234"/>
      <c r="L8" s="234"/>
      <c r="M8" s="116">
        <f>+K8+'1'!M8+L8</f>
        <v>0</v>
      </c>
      <c r="N8" s="173">
        <v>1400</v>
      </c>
      <c r="O8" s="173">
        <f>+N8-N8*0.18</f>
        <v>1148</v>
      </c>
      <c r="P8" s="173">
        <f>480-16</f>
        <v>464</v>
      </c>
    </row>
    <row r="9" spans="1:16" ht="13.5" thickBot="1">
      <c r="A9" s="825"/>
      <c r="B9" s="212"/>
      <c r="C9" s="213"/>
      <c r="D9" s="214"/>
      <c r="E9" s="217"/>
      <c r="F9" s="226">
        <v>10</v>
      </c>
      <c r="G9" s="554" t="s">
        <v>11</v>
      </c>
      <c r="H9" s="555" t="s">
        <v>418</v>
      </c>
      <c r="I9" s="828"/>
      <c r="J9" s="211">
        <f>+'1'!J9</f>
        <v>0</v>
      </c>
      <c r="K9" s="234"/>
      <c r="L9" s="234"/>
      <c r="M9" s="116">
        <f>+K9+'1'!M9+L9</f>
        <v>0</v>
      </c>
      <c r="N9" s="173">
        <v>1400</v>
      </c>
      <c r="O9" s="173">
        <f>+N9-N9*0.18</f>
        <v>1148</v>
      </c>
      <c r="P9" s="148">
        <v>480</v>
      </c>
    </row>
    <row r="10" spans="1:16" ht="13.5" thickBot="1">
      <c r="A10" s="825"/>
      <c r="B10" s="212"/>
      <c r="C10" s="213"/>
      <c r="D10" s="214"/>
      <c r="E10" s="216"/>
      <c r="F10" s="226"/>
      <c r="G10" s="552"/>
      <c r="H10" s="555" t="s">
        <v>401</v>
      </c>
      <c r="I10" s="828"/>
      <c r="J10" s="211">
        <f>+'1'!J10</f>
        <v>0</v>
      </c>
      <c r="K10" s="234"/>
      <c r="L10" s="234"/>
      <c r="M10" s="116">
        <f>+K10+'1'!M10+L10</f>
        <v>0</v>
      </c>
      <c r="N10" s="173">
        <v>1400</v>
      </c>
      <c r="O10" s="173">
        <f>+N10-N10*0.18</f>
        <v>1148</v>
      </c>
      <c r="P10" s="148">
        <f>480-55</f>
        <v>425</v>
      </c>
    </row>
    <row r="11" spans="1:16" ht="13.5" thickBot="1">
      <c r="A11" s="825"/>
      <c r="B11" s="212"/>
      <c r="C11" s="213"/>
      <c r="D11" s="214"/>
      <c r="E11" s="216"/>
      <c r="F11" s="468"/>
      <c r="G11" s="469"/>
      <c r="H11" s="225" t="s">
        <v>433</v>
      </c>
      <c r="I11" s="828"/>
      <c r="J11" s="211">
        <f>+'1'!J11</f>
        <v>0</v>
      </c>
      <c r="K11" s="234"/>
      <c r="L11" s="234"/>
      <c r="M11" s="116">
        <f>+K11+'1'!M11+L11</f>
        <v>0</v>
      </c>
      <c r="P11" s="148">
        <f>SUM(P8:P10)</f>
        <v>1369</v>
      </c>
    </row>
    <row r="12" spans="1:16" ht="26.25" thickBot="1">
      <c r="A12" s="825"/>
      <c r="B12" s="212"/>
      <c r="C12" s="213"/>
      <c r="D12" s="214"/>
      <c r="E12" s="216" t="s">
        <v>414</v>
      </c>
      <c r="F12" s="468">
        <v>16</v>
      </c>
      <c r="G12" s="227" t="s">
        <v>11</v>
      </c>
      <c r="H12" s="228" t="s">
        <v>434</v>
      </c>
      <c r="I12" s="828"/>
      <c r="J12" s="211">
        <f>+'1'!J12</f>
        <v>0</v>
      </c>
      <c r="K12" s="234"/>
      <c r="L12" s="234"/>
      <c r="M12" s="116">
        <f>+K12+'1'!M12+L12</f>
        <v>0</v>
      </c>
    </row>
    <row r="13" spans="1:16" ht="13.5" thickBot="1">
      <c r="A13" s="825"/>
      <c r="B13" s="212"/>
      <c r="C13" s="213"/>
      <c r="D13" s="213"/>
      <c r="E13" s="216"/>
      <c r="F13" s="223"/>
      <c r="G13" s="227"/>
      <c r="H13" s="228" t="s">
        <v>435</v>
      </c>
      <c r="I13" s="829"/>
      <c r="J13" s="211">
        <f>+'1'!J13</f>
        <v>0</v>
      </c>
      <c r="K13" s="234"/>
      <c r="L13" s="234"/>
      <c r="M13" s="116">
        <f>+K13+'1'!M13+L13</f>
        <v>0</v>
      </c>
    </row>
    <row r="14" spans="1:16" ht="13.5" thickBot="1">
      <c r="A14" s="826"/>
      <c r="B14" s="164" t="s">
        <v>2</v>
      </c>
      <c r="C14" s="98">
        <f>SUM(C7:C13)</f>
        <v>14577</v>
      </c>
      <c r="D14" s="110">
        <f>SUM(D7:D13)</f>
        <v>0</v>
      </c>
      <c r="E14" s="111">
        <f>SUM(E9:E13)</f>
        <v>0</v>
      </c>
      <c r="F14" s="101">
        <f>SUM(F6:F13)</f>
        <v>29</v>
      </c>
      <c r="G14" s="158"/>
      <c r="H14" s="165"/>
      <c r="I14" s="166"/>
      <c r="J14" s="211">
        <f>+'1'!J14</f>
        <v>0</v>
      </c>
      <c r="K14" s="234"/>
      <c r="L14" s="234"/>
      <c r="M14" s="116">
        <f>+K14+'1'!M14+L14</f>
        <v>0</v>
      </c>
    </row>
    <row r="15" spans="1:16" ht="13.5" customHeight="1" thickBot="1">
      <c r="A15" s="830" t="s">
        <v>432</v>
      </c>
      <c r="B15" s="498"/>
      <c r="C15" s="557">
        <f>C14/($C$32+$D$32+$E$32)</f>
        <v>0.68455903071287683</v>
      </c>
      <c r="D15" s="103">
        <f>D14/($C$32+$D$32+$E$32)</f>
        <v>0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416</v>
      </c>
      <c r="J15" s="211">
        <f>+'1'!J15</f>
        <v>0</v>
      </c>
      <c r="K15" s="234"/>
      <c r="L15" s="234"/>
      <c r="M15" s="116">
        <f>+K15+'1'!M15+L15</f>
        <v>0</v>
      </c>
    </row>
    <row r="16" spans="1:16" ht="13.5" thickBot="1">
      <c r="A16" s="825"/>
      <c r="B16" s="212" t="s">
        <v>402</v>
      </c>
      <c r="C16" s="499">
        <v>18017</v>
      </c>
      <c r="D16" s="218"/>
      <c r="E16" s="219"/>
      <c r="F16" s="226"/>
      <c r="G16" s="554" t="s">
        <v>11</v>
      </c>
      <c r="H16" s="553" t="s">
        <v>399</v>
      </c>
      <c r="I16" s="828"/>
      <c r="J16" s="211">
        <f>+'1'!J16</f>
        <v>0</v>
      </c>
      <c r="K16" s="224"/>
      <c r="L16" s="224"/>
      <c r="M16" s="116">
        <f>+K16+'1'!M16+L16</f>
        <v>0</v>
      </c>
    </row>
    <row r="17" spans="1:18" ht="13.5" thickBot="1">
      <c r="A17" s="825"/>
      <c r="B17" s="212"/>
      <c r="C17" s="213"/>
      <c r="D17" s="214"/>
      <c r="E17" s="220"/>
      <c r="F17" s="226">
        <v>10</v>
      </c>
      <c r="G17" s="554" t="s">
        <v>11</v>
      </c>
      <c r="H17" s="555" t="s">
        <v>400</v>
      </c>
      <c r="I17" s="828"/>
      <c r="J17" s="211">
        <f>+'1'!J17</f>
        <v>0</v>
      </c>
      <c r="K17" s="224"/>
      <c r="L17" s="224"/>
      <c r="M17" s="116">
        <f>+K17+'1'!M17+L17</f>
        <v>0</v>
      </c>
    </row>
    <row r="18" spans="1:18" ht="13.5" thickBot="1">
      <c r="A18" s="825"/>
      <c r="B18" s="212"/>
      <c r="C18" s="213"/>
      <c r="D18" s="214"/>
      <c r="E18" s="220"/>
      <c r="F18" s="226"/>
      <c r="G18" s="552"/>
      <c r="H18" s="555" t="s">
        <v>401</v>
      </c>
      <c r="I18" s="828"/>
      <c r="J18" s="211">
        <f>+'1'!J18</f>
        <v>0</v>
      </c>
      <c r="K18" s="234"/>
      <c r="L18" s="234"/>
      <c r="M18" s="116">
        <f>+K18+'1'!M18+L18</f>
        <v>0</v>
      </c>
      <c r="P18" s="173"/>
    </row>
    <row r="19" spans="1:18" ht="13.5" thickBot="1">
      <c r="A19" s="825"/>
      <c r="B19" s="212"/>
      <c r="C19" s="213"/>
      <c r="D19" s="214"/>
      <c r="E19" s="220"/>
      <c r="F19" s="468"/>
      <c r="G19" s="469"/>
      <c r="H19" s="225" t="s">
        <v>438</v>
      </c>
      <c r="I19" s="828"/>
      <c r="J19" s="211">
        <f>+'1'!J19</f>
        <v>0</v>
      </c>
      <c r="K19" s="234"/>
      <c r="L19" s="234"/>
      <c r="M19" s="116">
        <f>+K19+'1'!M19+L19</f>
        <v>0</v>
      </c>
      <c r="Q19" s="173"/>
      <c r="R19" s="173"/>
    </row>
    <row r="20" spans="1:18" ht="13.5" thickBot="1">
      <c r="A20" s="825"/>
      <c r="B20" s="212"/>
      <c r="C20" s="213"/>
      <c r="D20" s="214"/>
      <c r="E20" s="220"/>
      <c r="F20" s="223"/>
      <c r="G20" s="227"/>
      <c r="H20" s="228" t="s">
        <v>436</v>
      </c>
      <c r="I20" s="828"/>
      <c r="J20" s="211">
        <f>+'1'!J20</f>
        <v>0</v>
      </c>
      <c r="K20" s="235"/>
      <c r="L20" s="235"/>
      <c r="M20" s="116">
        <f>+K20+'1'!M20+L20</f>
        <v>0</v>
      </c>
    </row>
    <row r="21" spans="1:18" ht="13.5" thickBot="1">
      <c r="A21" s="825"/>
      <c r="B21" s="212"/>
      <c r="C21" s="213"/>
      <c r="D21" s="214"/>
      <c r="E21" s="220"/>
      <c r="F21" s="226"/>
      <c r="G21" s="227"/>
      <c r="H21" s="228" t="s">
        <v>437</v>
      </c>
      <c r="I21" s="828"/>
      <c r="J21" s="211">
        <f>+'1'!J21</f>
        <v>0</v>
      </c>
      <c r="K21" s="234"/>
      <c r="L21" s="234"/>
      <c r="M21" s="116">
        <f>+K21+'1'!M21+L21</f>
        <v>0</v>
      </c>
    </row>
    <row r="22" spans="1:18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+'1'!J22</f>
        <v>0</v>
      </c>
      <c r="K22" s="234"/>
      <c r="L22" s="234"/>
      <c r="M22" s="116">
        <f>+K22+'1'!M22+L22</f>
        <v>0</v>
      </c>
    </row>
    <row r="23" spans="1:18" ht="13.5" thickBot="1">
      <c r="A23" s="826"/>
      <c r="B23" s="164" t="s">
        <v>2</v>
      </c>
      <c r="C23" s="98">
        <f>SUM(C16:C22)</f>
        <v>18017</v>
      </c>
      <c r="D23" s="110">
        <f>SUM(D16:D22)</f>
        <v>0</v>
      </c>
      <c r="E23" s="111">
        <f>SUM(E18:E22)</f>
        <v>0</v>
      </c>
      <c r="F23" s="101">
        <f>SUM(F15:F22)</f>
        <v>10</v>
      </c>
      <c r="G23" s="158"/>
      <c r="H23" s="165"/>
      <c r="I23" s="167"/>
      <c r="J23" s="211">
        <f>+'1'!J23</f>
        <v>0</v>
      </c>
      <c r="K23" s="234"/>
      <c r="L23" s="234"/>
      <c r="M23" s="116">
        <f>+K23+'1'!M23+L23</f>
        <v>0</v>
      </c>
    </row>
    <row r="24" spans="1:18" ht="13.5" customHeight="1" thickBot="1">
      <c r="A24" s="830" t="s">
        <v>353</v>
      </c>
      <c r="B24" s="498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552" t="s">
        <v>11</v>
      </c>
      <c r="H24" s="553" t="s">
        <v>385</v>
      </c>
      <c r="I24" s="827" t="s">
        <v>416</v>
      </c>
      <c r="J24" s="211">
        <f>+'1'!J24</f>
        <v>0</v>
      </c>
      <c r="K24" s="234"/>
      <c r="L24" s="234"/>
      <c r="M24" s="116">
        <f>+K24+'1'!M24+L24</f>
        <v>0</v>
      </c>
    </row>
    <row r="25" spans="1:18" ht="13.5" thickBot="1">
      <c r="A25" s="831"/>
      <c r="B25" s="212" t="s">
        <v>402</v>
      </c>
      <c r="C25" s="221">
        <v>21091</v>
      </c>
      <c r="D25" s="214">
        <v>203</v>
      </c>
      <c r="E25" s="220"/>
      <c r="F25" s="226"/>
      <c r="G25" s="554" t="s">
        <v>11</v>
      </c>
      <c r="H25" s="553" t="s">
        <v>399</v>
      </c>
      <c r="I25" s="828"/>
      <c r="J25" s="211">
        <f>+'1'!J25</f>
        <v>0</v>
      </c>
      <c r="K25" s="234"/>
      <c r="L25" s="234"/>
      <c r="M25" s="116">
        <f>+K25+'1'!M25+L25</f>
        <v>0</v>
      </c>
    </row>
    <row r="26" spans="1:18" ht="13.5" thickBot="1">
      <c r="A26" s="831"/>
      <c r="B26" s="212"/>
      <c r="C26" s="221"/>
      <c r="D26" s="214"/>
      <c r="E26" s="222"/>
      <c r="F26" s="226">
        <v>9</v>
      </c>
      <c r="G26" s="554" t="s">
        <v>11</v>
      </c>
      <c r="H26" s="555" t="s">
        <v>418</v>
      </c>
      <c r="I26" s="828"/>
      <c r="J26" s="211">
        <f>+'1'!J26</f>
        <v>0</v>
      </c>
      <c r="K26" s="234"/>
      <c r="L26" s="234"/>
      <c r="M26" s="116">
        <f>+K26+'1'!M26+L26</f>
        <v>0</v>
      </c>
    </row>
    <row r="27" spans="1:18" ht="13.5" thickBot="1">
      <c r="A27" s="831"/>
      <c r="B27" s="212"/>
      <c r="C27" s="213"/>
      <c r="D27" s="214"/>
      <c r="E27" s="220"/>
      <c r="F27" s="226"/>
      <c r="G27" s="552"/>
      <c r="H27" s="555" t="s">
        <v>401</v>
      </c>
      <c r="I27" s="828"/>
      <c r="J27" s="211">
        <f>+'1'!J27</f>
        <v>0</v>
      </c>
      <c r="K27" s="234"/>
      <c r="L27" s="234"/>
      <c r="M27" s="116">
        <f>+K27+'1'!M27+L27</f>
        <v>0</v>
      </c>
      <c r="P27" s="173"/>
    </row>
    <row r="28" spans="1:18" ht="26.25" thickBot="1">
      <c r="A28" s="831"/>
      <c r="B28" s="212"/>
      <c r="C28" s="213"/>
      <c r="D28" s="214"/>
      <c r="E28" s="220" t="s">
        <v>414</v>
      </c>
      <c r="F28" s="468">
        <v>55</v>
      </c>
      <c r="G28" s="469" t="s">
        <v>11</v>
      </c>
      <c r="H28" s="225" t="s">
        <v>439</v>
      </c>
      <c r="I28" s="828"/>
      <c r="J28" s="211">
        <f>+'1'!J28</f>
        <v>0</v>
      </c>
      <c r="K28" s="234"/>
      <c r="L28" s="234"/>
      <c r="M28" s="116">
        <f>+K28+'1'!M28+L28</f>
        <v>0</v>
      </c>
      <c r="Q28" s="173"/>
      <c r="R28" s="173"/>
    </row>
    <row r="29" spans="1:18" ht="13.5" thickBot="1">
      <c r="A29" s="831"/>
      <c r="B29" s="212"/>
      <c r="C29" s="213"/>
      <c r="D29" s="214"/>
      <c r="E29" s="220"/>
      <c r="F29" s="231"/>
      <c r="G29" s="227"/>
      <c r="H29" s="228"/>
      <c r="I29" s="828"/>
      <c r="J29" s="211">
        <f>+'1'!J29</f>
        <v>0</v>
      </c>
      <c r="K29" s="234"/>
      <c r="L29" s="234"/>
      <c r="M29" s="116">
        <f>+K29+'1'!M29+L29</f>
        <v>0</v>
      </c>
    </row>
    <row r="30" spans="1:18" ht="13.5" thickBot="1">
      <c r="A30" s="831"/>
      <c r="B30" s="212"/>
      <c r="C30" s="221"/>
      <c r="D30" s="214"/>
      <c r="E30" s="220"/>
      <c r="F30" s="231"/>
      <c r="G30" s="227"/>
      <c r="H30" s="228"/>
      <c r="I30" s="828"/>
      <c r="J30" s="211">
        <f>+'1'!J30</f>
        <v>0</v>
      </c>
      <c r="K30" s="234"/>
      <c r="L30" s="234"/>
      <c r="M30" s="116">
        <f>+K30+'1'!M30+L30</f>
        <v>0</v>
      </c>
      <c r="N30" s="154"/>
    </row>
    <row r="31" spans="1:18" ht="13.5" thickBot="1">
      <c r="A31" s="831"/>
      <c r="B31" s="212"/>
      <c r="C31" s="221"/>
      <c r="D31" s="214"/>
      <c r="E31" s="220"/>
      <c r="F31" s="231"/>
      <c r="G31" s="232"/>
      <c r="H31" s="427"/>
      <c r="I31" s="829"/>
      <c r="J31" s="211">
        <f>+'1'!J31</f>
        <v>0</v>
      </c>
      <c r="K31" s="234"/>
      <c r="L31" s="234"/>
      <c r="M31" s="116">
        <f>+K31+'1'!M31+L31</f>
        <v>0</v>
      </c>
    </row>
    <row r="32" spans="1:18" ht="13.5" thickBot="1">
      <c r="A32" s="832"/>
      <c r="B32" s="164" t="s">
        <v>2</v>
      </c>
      <c r="C32" s="98">
        <f>SUM(C25:C31)</f>
        <v>21091</v>
      </c>
      <c r="D32" s="99">
        <f>SUM(D25:D31)</f>
        <v>203</v>
      </c>
      <c r="E32" s="100">
        <f>SUM(E25:E31)</f>
        <v>0</v>
      </c>
      <c r="F32" s="98">
        <f>SUM(F24:F31)</f>
        <v>64</v>
      </c>
      <c r="G32" s="168"/>
      <c r="H32" s="169"/>
      <c r="I32" s="167"/>
      <c r="J32" s="211">
        <f>+'1'!J32</f>
        <v>0</v>
      </c>
      <c r="K32" s="236"/>
      <c r="L32" s="238"/>
      <c r="M32" s="116">
        <f>+K32+'1'!M32+L32</f>
        <v>0</v>
      </c>
    </row>
    <row r="33" spans="1:14" ht="13.5" thickBot="1">
      <c r="A33" s="170"/>
      <c r="B33" s="171"/>
      <c r="C33" s="102">
        <f>C32/($C$32+$D$32+$E$32)</f>
        <v>0.99046679815910588</v>
      </c>
      <c r="D33" s="103">
        <f>D32/($C$32+$D$32+$E$32)</f>
        <v>9.5332018408941493E-3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53685</v>
      </c>
      <c r="D34" s="106">
        <f>D14+D23+D32</f>
        <v>203</v>
      </c>
      <c r="E34" s="106">
        <f>E14+E23+E32</f>
        <v>0</v>
      </c>
      <c r="F34" s="107">
        <f>F14+F23+F32</f>
        <v>103</v>
      </c>
      <c r="H34" s="175"/>
      <c r="I34" s="175"/>
      <c r="J34" s="122" t="s">
        <v>27</v>
      </c>
      <c r="K34" s="123">
        <f>SUM(K7:K32)</f>
        <v>53685</v>
      </c>
      <c r="L34" s="209">
        <f>SUM(L7:L32)</f>
        <v>0</v>
      </c>
      <c r="M34" s="119">
        <f>SUM(M7:M32)</f>
        <v>90622</v>
      </c>
      <c r="N34" s="154"/>
    </row>
    <row r="35" spans="1:14" ht="13.5" thickBot="1">
      <c r="A35" s="176"/>
      <c r="B35" s="177"/>
      <c r="C35" s="103">
        <f>C34/($C$34+$D$34+$E$34)</f>
        <v>0.99623292755344417</v>
      </c>
      <c r="D35" s="103">
        <f>D34/($C$34+$D$34+$E$34)</f>
        <v>3.7670724465558194E-3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(12*1369)/1369*G42*2.85*1369/1000000</f>
        <v>53.749130399999999</v>
      </c>
      <c r="J37" s="124">
        <f>+I37+'1'!J37</f>
        <v>105.34167719999999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103</v>
      </c>
      <c r="D38" s="117">
        <f>+C38+'1'!D38</f>
        <v>259</v>
      </c>
      <c r="E38" s="142">
        <f t="shared" ref="E38:E51" si="0">D38/60</f>
        <v>4.3166666666666664</v>
      </c>
      <c r="F38" s="320">
        <v>1400</v>
      </c>
      <c r="G38" s="320">
        <f>+F38-F38*0.18</f>
        <v>1148</v>
      </c>
      <c r="H38" s="184" t="s">
        <v>60</v>
      </c>
      <c r="I38" s="501">
        <f>18.48+16.934+17.069</f>
        <v>52.483000000000004</v>
      </c>
      <c r="J38" s="126">
        <f>+I38+'1'!J38</f>
        <v>90.733000000000004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+C39+'1'!D39</f>
        <v>0</v>
      </c>
      <c r="E39" s="142">
        <f t="shared" si="0"/>
        <v>0</v>
      </c>
      <c r="F39" s="320">
        <v>1400</v>
      </c>
      <c r="G39" s="320">
        <f>+F39-F39*0.18</f>
        <v>1148</v>
      </c>
      <c r="H39" s="184" t="s">
        <v>61</v>
      </c>
      <c r="I39" s="141"/>
      <c r="J39" s="128">
        <f>J37/G4</f>
        <v>52.670838599999996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>+C40+'1'!D40</f>
        <v>0</v>
      </c>
      <c r="E40" s="142">
        <f t="shared" si="0"/>
        <v>0</v>
      </c>
      <c r="F40" s="320">
        <v>1400</v>
      </c>
      <c r="G40" s="320">
        <f>+F40-F40*0.18</f>
        <v>1148</v>
      </c>
      <c r="H40" s="184" t="s">
        <v>63</v>
      </c>
      <c r="I40" s="117">
        <f>(K34+L34)/1000</f>
        <v>53.685000000000002</v>
      </c>
      <c r="J40" s="130">
        <f>+I40+'1'!J40</f>
        <v>90.622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>+C41+'1'!D41</f>
        <v>0</v>
      </c>
      <c r="E41" s="142">
        <f t="shared" si="0"/>
        <v>0</v>
      </c>
      <c r="F41" s="320"/>
      <c r="G41" s="320"/>
      <c r="H41" s="184" t="s">
        <v>65</v>
      </c>
      <c r="I41" s="141"/>
      <c r="J41" s="128">
        <f>J40/G4</f>
        <v>45.311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>+C42+'1'!D42</f>
        <v>0</v>
      </c>
      <c r="E42" s="142">
        <f t="shared" si="0"/>
        <v>0</v>
      </c>
      <c r="F42" s="320">
        <f>+(F38*480+F39*480+F40*480)/1440</f>
        <v>1400</v>
      </c>
      <c r="G42" s="320">
        <f>+(G38*480+G39*480+G40*480)/1440</f>
        <v>1148</v>
      </c>
      <c r="H42" s="184" t="s">
        <v>66</v>
      </c>
      <c r="I42" s="241" t="s">
        <v>416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>+C43+'1'!D43</f>
        <v>0</v>
      </c>
      <c r="E43" s="142">
        <f t="shared" si="0"/>
        <v>0</v>
      </c>
      <c r="F43" s="320"/>
      <c r="G43" s="321"/>
      <c r="H43" s="185" t="s">
        <v>69</v>
      </c>
      <c r="I43" s="117">
        <f>+Report1!T10</f>
        <v>126.1</v>
      </c>
      <c r="J43" s="132">
        <f>+I43+'1'!J43</f>
        <v>248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+C44+'1'!D44</f>
        <v>0</v>
      </c>
      <c r="E44" s="142">
        <f t="shared" si="0"/>
        <v>0</v>
      </c>
      <c r="F44" s="320"/>
      <c r="G44" s="321"/>
      <c r="H44" s="185" t="s">
        <v>70</v>
      </c>
      <c r="I44" s="117">
        <f>I43/I38</f>
        <v>2.402682773469504</v>
      </c>
      <c r="J44" s="133">
        <f>J43/J38</f>
        <v>2.7332943912358236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+C45+'1'!D45</f>
        <v>0</v>
      </c>
      <c r="E45" s="142">
        <f t="shared" si="0"/>
        <v>0</v>
      </c>
      <c r="F45" s="320"/>
      <c r="G45" s="323"/>
      <c r="H45" s="185" t="s">
        <v>71</v>
      </c>
      <c r="I45" s="117">
        <f>I43/I40</f>
        <v>2.3488870261711834</v>
      </c>
      <c r="J45" s="133">
        <f>J43/J40</f>
        <v>2.7366423164353026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+C46+'1'!D46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+SUMIF(Listrik!AN9,"&gt;0")</f>
        <v>56751.539103982417</v>
      </c>
      <c r="J46" s="134">
        <f>+I46+'1'!J46</f>
        <v>105812.6254399289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+C47+'1'!D47</f>
        <v>0</v>
      </c>
      <c r="E47" s="142">
        <f t="shared" si="0"/>
        <v>0</v>
      </c>
      <c r="F47" s="320"/>
      <c r="G47" s="321"/>
      <c r="H47" s="185" t="s">
        <v>76</v>
      </c>
      <c r="I47" s="117">
        <f>I46/I38</f>
        <v>1081.3318427677993</v>
      </c>
      <c r="J47" s="134">
        <f>J46/J38</f>
        <v>1166.1978049874785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+C48+'1'!D48</f>
        <v>0</v>
      </c>
      <c r="E48" s="142">
        <f t="shared" si="0"/>
        <v>0</v>
      </c>
      <c r="F48" s="320"/>
      <c r="G48" s="321"/>
      <c r="H48" s="185" t="s">
        <v>77</v>
      </c>
      <c r="I48" s="117">
        <f>I46/I40</f>
        <v>1057.1209668246702</v>
      </c>
      <c r="J48" s="134">
        <f>J46/J40</f>
        <v>1167.6262435162423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+C49+'1'!D49</f>
        <v>0</v>
      </c>
      <c r="E49" s="142">
        <f t="shared" si="0"/>
        <v>0</v>
      </c>
      <c r="F49" s="182"/>
      <c r="H49" s="185" t="s">
        <v>174</v>
      </c>
      <c r="I49" s="117">
        <v>0</v>
      </c>
      <c r="J49" s="134">
        <f>+I49+'1'!J49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+C50+'1'!D50</f>
        <v>0</v>
      </c>
      <c r="E50" s="142">
        <f t="shared" si="0"/>
        <v>0</v>
      </c>
      <c r="F50" s="182"/>
      <c r="H50" s="185" t="s">
        <v>80</v>
      </c>
      <c r="I50" s="139"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+C51+'1'!D51</f>
        <v>0</v>
      </c>
      <c r="E51" s="142">
        <f t="shared" si="0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103</v>
      </c>
      <c r="D52" s="143">
        <f>SUM(D38:D51)</f>
        <v>259</v>
      </c>
      <c r="E52" s="144">
        <f>SUM(E38:E51)</f>
        <v>4.3166666666666664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7.1527777777777773E-2</v>
      </c>
      <c r="D53" s="145">
        <f>D52/(24*60*G4)</f>
        <v>8.9930555555555555E-2</v>
      </c>
      <c r="E53" s="146">
        <f>E52/(G4*24)</f>
        <v>8.9930555555555555E-2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+D34+'1'!J56</f>
        <v>599</v>
      </c>
      <c r="K56" s="198">
        <f>J56/(J40+J56/1000)/1000</f>
        <v>6.5664704399206325E-3</v>
      </c>
    </row>
    <row r="57" spans="1:11">
      <c r="A57" s="173"/>
      <c r="I57" s="196" t="s">
        <v>85</v>
      </c>
      <c r="J57" s="197">
        <f>+E34+'1'!J57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24" sqref="A24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42578125" style="148" bestFit="1" customWidth="1"/>
    <col min="14" max="14" width="9.140625" style="148" bestFit="1"/>
    <col min="15" max="16384" width="9.140625" style="148"/>
  </cols>
  <sheetData>
    <row r="1" spans="1:18" ht="15.75">
      <c r="A1" s="147"/>
    </row>
    <row r="2" spans="1:18" ht="15.75">
      <c r="A2" s="147" t="s">
        <v>217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1</v>
      </c>
      <c r="H4" s="153" t="s">
        <v>372</v>
      </c>
    </row>
    <row r="5" spans="1:18" ht="13.5" thickBot="1">
      <c r="C5" s="154"/>
      <c r="D5" s="154"/>
    </row>
    <row r="6" spans="1:18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  <c r="N6" s="148">
        <f>537+502+505</f>
        <v>1544</v>
      </c>
    </row>
    <row r="7" spans="1:18" ht="13.5" customHeight="1" thickBot="1">
      <c r="A7" s="824" t="s">
        <v>219</v>
      </c>
      <c r="B7" s="212" t="s">
        <v>402</v>
      </c>
      <c r="C7" s="213">
        <v>13249</v>
      </c>
      <c r="D7" s="214"/>
      <c r="E7" s="215"/>
      <c r="F7" s="226"/>
      <c r="G7" s="552" t="s">
        <v>11</v>
      </c>
      <c r="H7" s="553" t="s">
        <v>385</v>
      </c>
      <c r="I7" s="827" t="s">
        <v>416</v>
      </c>
      <c r="J7" s="245" t="s">
        <v>402</v>
      </c>
      <c r="K7" s="233">
        <f>+C7+C16+C25</f>
        <v>36937</v>
      </c>
      <c r="L7" s="237"/>
      <c r="M7" s="116">
        <f>+K7+L7</f>
        <v>36937</v>
      </c>
    </row>
    <row r="8" spans="1:18" ht="13.5" thickBot="1">
      <c r="A8" s="825"/>
      <c r="B8" s="212"/>
      <c r="C8" s="213"/>
      <c r="D8" s="214"/>
      <c r="E8" s="216"/>
      <c r="F8" s="226">
        <v>3</v>
      </c>
      <c r="G8" s="554" t="s">
        <v>11</v>
      </c>
      <c r="H8" s="553" t="s">
        <v>419</v>
      </c>
      <c r="I8" s="828"/>
      <c r="J8" s="246"/>
      <c r="K8" s="234"/>
      <c r="L8" s="234"/>
      <c r="M8" s="116">
        <f t="shared" ref="M8:M32" si="0">+K8+L8</f>
        <v>0</v>
      </c>
      <c r="N8" s="173">
        <v>1400</v>
      </c>
      <c r="O8" s="173">
        <f>+N8-N8*0.18</f>
        <v>1148</v>
      </c>
      <c r="P8" s="173">
        <v>960</v>
      </c>
    </row>
    <row r="9" spans="1:18" ht="13.5" thickBot="1">
      <c r="A9" s="825"/>
      <c r="B9" s="212"/>
      <c r="C9" s="213"/>
      <c r="D9" s="214"/>
      <c r="E9" s="217"/>
      <c r="F9" s="226">
        <v>10</v>
      </c>
      <c r="G9" s="554" t="s">
        <v>11</v>
      </c>
      <c r="H9" s="555" t="s">
        <v>418</v>
      </c>
      <c r="I9" s="828"/>
      <c r="J9" s="246"/>
      <c r="K9" s="234"/>
      <c r="L9" s="234"/>
      <c r="M9" s="116">
        <f t="shared" si="0"/>
        <v>0</v>
      </c>
      <c r="N9" s="173"/>
      <c r="O9" s="173"/>
    </row>
    <row r="10" spans="1:18" ht="13.5" thickBot="1">
      <c r="A10" s="825"/>
      <c r="B10" s="212"/>
      <c r="C10" s="213"/>
      <c r="D10" s="214"/>
      <c r="E10" s="216"/>
      <c r="F10" s="226"/>
      <c r="G10" s="552"/>
      <c r="H10" s="555" t="s">
        <v>401</v>
      </c>
      <c r="I10" s="828"/>
      <c r="J10" s="245"/>
      <c r="K10" s="234"/>
      <c r="L10" s="234"/>
      <c r="M10" s="116">
        <f t="shared" si="0"/>
        <v>0</v>
      </c>
    </row>
    <row r="11" spans="1:18" ht="13.5" thickBot="1">
      <c r="A11" s="825"/>
      <c r="B11" s="212"/>
      <c r="C11" s="213"/>
      <c r="D11" s="214"/>
      <c r="E11" s="216"/>
      <c r="F11" s="468"/>
      <c r="G11" s="469"/>
      <c r="H11" s="225" t="s">
        <v>405</v>
      </c>
      <c r="I11" s="828"/>
      <c r="J11" s="245"/>
      <c r="K11" s="234"/>
      <c r="L11" s="234"/>
      <c r="M11" s="116">
        <f t="shared" si="0"/>
        <v>0</v>
      </c>
    </row>
    <row r="12" spans="1:18" ht="13.5" thickBot="1">
      <c r="A12" s="825"/>
      <c r="B12" s="212"/>
      <c r="C12" s="213"/>
      <c r="D12" s="214"/>
      <c r="E12" s="216"/>
      <c r="F12" s="223"/>
      <c r="G12" s="227"/>
      <c r="H12" s="228" t="s">
        <v>406</v>
      </c>
      <c r="I12" s="828"/>
      <c r="J12" s="245"/>
      <c r="K12" s="234"/>
      <c r="L12" s="234"/>
      <c r="M12" s="116">
        <f t="shared" si="0"/>
        <v>0</v>
      </c>
    </row>
    <row r="13" spans="1:18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45"/>
      <c r="K13" s="234"/>
      <c r="L13" s="234"/>
      <c r="M13" s="116">
        <f t="shared" si="0"/>
        <v>0</v>
      </c>
    </row>
    <row r="14" spans="1:18" ht="13.5" thickBot="1">
      <c r="A14" s="826"/>
      <c r="B14" s="164" t="s">
        <v>2</v>
      </c>
      <c r="C14" s="110">
        <f>SUM(C7:C13)</f>
        <v>13249</v>
      </c>
      <c r="D14" s="110">
        <f>SUM(D7:D13)</f>
        <v>0</v>
      </c>
      <c r="E14" s="111">
        <f>SUM(E5:E13)</f>
        <v>0</v>
      </c>
      <c r="F14" s="101">
        <f>SUM(F6:F13)</f>
        <v>13</v>
      </c>
      <c r="G14" s="158"/>
      <c r="H14" s="165"/>
      <c r="I14" s="166"/>
      <c r="J14" s="245"/>
      <c r="K14" s="234"/>
      <c r="L14" s="234"/>
      <c r="M14" s="116">
        <f t="shared" si="0"/>
        <v>0</v>
      </c>
    </row>
    <row r="15" spans="1:18" ht="13.5" thickBot="1">
      <c r="A15" s="830" t="s">
        <v>369</v>
      </c>
      <c r="B15" s="498"/>
      <c r="C15" s="103">
        <f>C14/($C$32+$D$32+$E$32)</f>
        <v>1.1485912440398787</v>
      </c>
      <c r="D15" s="103">
        <f>D14/($C$32+$D$32+$E$32)</f>
        <v>0</v>
      </c>
      <c r="E15" s="104">
        <f>E14/($C$32+$D$32+$E$32)</f>
        <v>0</v>
      </c>
      <c r="F15" s="226"/>
      <c r="G15" s="552" t="s">
        <v>11</v>
      </c>
      <c r="H15" s="553" t="s">
        <v>385</v>
      </c>
      <c r="I15" s="827" t="s">
        <v>415</v>
      </c>
      <c r="J15" s="245"/>
      <c r="K15" s="234"/>
      <c r="L15" s="234"/>
      <c r="M15" s="116">
        <f t="shared" si="0"/>
        <v>0</v>
      </c>
      <c r="N15" s="148">
        <v>1400</v>
      </c>
      <c r="O15" s="148">
        <f>+N15-N15*0.18</f>
        <v>1148</v>
      </c>
      <c r="P15" s="148">
        <v>62</v>
      </c>
      <c r="Q15" s="148">
        <f>+N15*P15</f>
        <v>86800</v>
      </c>
      <c r="R15" s="148">
        <f>+O15*P15</f>
        <v>71176</v>
      </c>
    </row>
    <row r="16" spans="1:18" ht="13.5" thickBot="1">
      <c r="A16" s="825"/>
      <c r="B16" s="212" t="s">
        <v>402</v>
      </c>
      <c r="C16" s="499">
        <v>12549</v>
      </c>
      <c r="D16" s="218"/>
      <c r="E16" s="219"/>
      <c r="F16" s="226"/>
      <c r="G16" s="554" t="s">
        <v>11</v>
      </c>
      <c r="H16" s="553" t="s">
        <v>399</v>
      </c>
      <c r="I16" s="828"/>
      <c r="J16" s="245"/>
      <c r="K16" s="224"/>
      <c r="L16" s="224"/>
      <c r="M16" s="116">
        <f t="shared" si="0"/>
        <v>0</v>
      </c>
      <c r="N16" s="148">
        <v>1300</v>
      </c>
      <c r="O16" s="148">
        <f>+N16-N16*0.18</f>
        <v>1066</v>
      </c>
      <c r="P16" s="148">
        <f>60+18+5</f>
        <v>83</v>
      </c>
      <c r="Q16" s="148">
        <f>+N16*P16</f>
        <v>107900</v>
      </c>
      <c r="R16" s="148">
        <f>+O16*P16</f>
        <v>88478</v>
      </c>
    </row>
    <row r="17" spans="1:18" ht="13.5" thickBot="1">
      <c r="A17" s="825"/>
      <c r="B17" s="212"/>
      <c r="C17" s="213"/>
      <c r="D17" s="214"/>
      <c r="E17" s="220"/>
      <c r="F17" s="226">
        <v>9</v>
      </c>
      <c r="G17" s="554" t="s">
        <v>11</v>
      </c>
      <c r="H17" s="555" t="s">
        <v>400</v>
      </c>
      <c r="I17" s="828"/>
      <c r="J17" s="245"/>
      <c r="K17" s="224"/>
      <c r="L17" s="224"/>
      <c r="M17" s="116">
        <f t="shared" si="0"/>
        <v>0</v>
      </c>
      <c r="N17" s="148">
        <v>1400</v>
      </c>
      <c r="O17" s="148">
        <f>+N17-N17*0.18</f>
        <v>1148</v>
      </c>
      <c r="P17" s="173">
        <f>35+180</f>
        <v>215</v>
      </c>
      <c r="Q17" s="148">
        <f>+N17*P17</f>
        <v>301000</v>
      </c>
      <c r="R17" s="148">
        <f>+O17*P17</f>
        <v>246820</v>
      </c>
    </row>
    <row r="18" spans="1:18" ht="13.5" thickBot="1">
      <c r="A18" s="825"/>
      <c r="B18" s="212"/>
      <c r="C18" s="213"/>
      <c r="D18" s="214"/>
      <c r="E18" s="220"/>
      <c r="F18" s="226"/>
      <c r="G18" s="552"/>
      <c r="H18" s="555" t="s">
        <v>401</v>
      </c>
      <c r="I18" s="828"/>
      <c r="J18" s="245"/>
      <c r="K18" s="234"/>
      <c r="L18" s="234"/>
      <c r="M18" s="116">
        <f t="shared" si="0"/>
        <v>0</v>
      </c>
      <c r="P18" s="571">
        <f>SUM(P15:P17)</f>
        <v>360</v>
      </c>
      <c r="Q18" s="148">
        <f>SUM(Q15:Q17)</f>
        <v>495700</v>
      </c>
      <c r="R18" s="148">
        <f>SUM(R15:R17)</f>
        <v>406474</v>
      </c>
    </row>
    <row r="19" spans="1:18" ht="39" thickBot="1">
      <c r="A19" s="825"/>
      <c r="B19" s="212"/>
      <c r="C19" s="213"/>
      <c r="D19" s="214"/>
      <c r="E19" s="220" t="s">
        <v>414</v>
      </c>
      <c r="F19" s="468">
        <v>120</v>
      </c>
      <c r="G19" s="469" t="s">
        <v>11</v>
      </c>
      <c r="H19" s="225" t="s">
        <v>407</v>
      </c>
      <c r="I19" s="828"/>
      <c r="J19" s="245"/>
      <c r="K19" s="234"/>
      <c r="L19" s="234"/>
      <c r="M19" s="116">
        <f t="shared" si="0"/>
        <v>0</v>
      </c>
      <c r="Q19" s="148">
        <f>+Q18/P18</f>
        <v>1376.9444444444443</v>
      </c>
      <c r="R19" s="148">
        <f>+R18/P18</f>
        <v>1129.0944444444444</v>
      </c>
    </row>
    <row r="20" spans="1:18" ht="51.75" thickBot="1">
      <c r="A20" s="825"/>
      <c r="B20" s="212"/>
      <c r="C20" s="213"/>
      <c r="D20" s="214"/>
      <c r="E20" s="220"/>
      <c r="F20" s="223"/>
      <c r="G20" s="227"/>
      <c r="H20" s="228" t="s">
        <v>408</v>
      </c>
      <c r="I20" s="828"/>
      <c r="J20" s="245"/>
      <c r="K20" s="235"/>
      <c r="L20" s="235"/>
      <c r="M20" s="116">
        <f t="shared" si="0"/>
        <v>0</v>
      </c>
    </row>
    <row r="21" spans="1:18" ht="51.75" thickBot="1">
      <c r="A21" s="825"/>
      <c r="B21" s="212"/>
      <c r="C21" s="213"/>
      <c r="D21" s="214"/>
      <c r="E21" s="220"/>
      <c r="F21" s="226"/>
      <c r="G21" s="227"/>
      <c r="H21" s="228" t="s">
        <v>409</v>
      </c>
      <c r="I21" s="828"/>
      <c r="J21" s="245"/>
      <c r="K21" s="234"/>
      <c r="L21" s="234"/>
      <c r="M21" s="116">
        <f t="shared" si="0"/>
        <v>0</v>
      </c>
      <c r="P21" s="148">
        <f>+P8+P18</f>
        <v>1320</v>
      </c>
    </row>
    <row r="22" spans="1:18" ht="39" thickBot="1">
      <c r="A22" s="825"/>
      <c r="B22" s="212"/>
      <c r="C22" s="213"/>
      <c r="D22" s="214"/>
      <c r="E22" s="220"/>
      <c r="F22" s="231"/>
      <c r="G22" s="227"/>
      <c r="H22" s="228" t="s">
        <v>410</v>
      </c>
      <c r="I22" s="829"/>
      <c r="J22" s="245"/>
      <c r="K22" s="234"/>
      <c r="L22" s="234"/>
      <c r="M22" s="116">
        <f t="shared" si="0"/>
        <v>0</v>
      </c>
    </row>
    <row r="23" spans="1:18" ht="13.5" thickBot="1">
      <c r="A23" s="826"/>
      <c r="B23" s="164" t="s">
        <v>2</v>
      </c>
      <c r="C23" s="98">
        <f>SUM(C16:C22)</f>
        <v>12549</v>
      </c>
      <c r="D23" s="110">
        <f>SUM(D16:D22)</f>
        <v>0</v>
      </c>
      <c r="E23" s="111">
        <f>SUM(E18:E22)</f>
        <v>0</v>
      </c>
      <c r="F23" s="101">
        <f>SUM(F15:F22)</f>
        <v>129</v>
      </c>
      <c r="G23" s="158"/>
      <c r="H23" s="165"/>
      <c r="I23" s="167"/>
      <c r="J23" s="245"/>
      <c r="K23" s="234"/>
      <c r="L23" s="234"/>
      <c r="M23" s="116">
        <f t="shared" si="0"/>
        <v>0</v>
      </c>
    </row>
    <row r="24" spans="1:18" ht="13.5" customHeight="1" thickBot="1">
      <c r="A24" s="830" t="s">
        <v>431</v>
      </c>
      <c r="B24" s="498"/>
      <c r="C24" s="102">
        <f>C23/($C$32+$D$32+$E$32)</f>
        <v>1.0879063719115736</v>
      </c>
      <c r="D24" s="103">
        <f>D23/($C$32+$D$32+$E$32)</f>
        <v>0</v>
      </c>
      <c r="E24" s="104">
        <f>E23/($C$32+$D$32+$E$32)</f>
        <v>0</v>
      </c>
      <c r="F24" s="226"/>
      <c r="G24" s="552" t="s">
        <v>11</v>
      </c>
      <c r="H24" s="553" t="s">
        <v>385</v>
      </c>
      <c r="I24" s="827" t="s">
        <v>416</v>
      </c>
      <c r="J24" s="245"/>
      <c r="K24" s="234"/>
      <c r="L24" s="234"/>
      <c r="M24" s="116">
        <f t="shared" si="0"/>
        <v>0</v>
      </c>
    </row>
    <row r="25" spans="1:18" ht="13.5" thickBot="1">
      <c r="A25" s="825"/>
      <c r="B25" s="212" t="s">
        <v>402</v>
      </c>
      <c r="C25" s="221">
        <v>11139</v>
      </c>
      <c r="D25" s="214">
        <v>396</v>
      </c>
      <c r="E25" s="220"/>
      <c r="F25" s="226">
        <v>4</v>
      </c>
      <c r="G25" s="554" t="s">
        <v>11</v>
      </c>
      <c r="H25" s="553" t="s">
        <v>419</v>
      </c>
      <c r="I25" s="828"/>
      <c r="J25" s="245"/>
      <c r="K25" s="234"/>
      <c r="L25" s="234"/>
      <c r="M25" s="116">
        <f t="shared" si="0"/>
        <v>0</v>
      </c>
    </row>
    <row r="26" spans="1:18" ht="13.5" thickBot="1">
      <c r="A26" s="825"/>
      <c r="B26" s="212"/>
      <c r="C26" s="221"/>
      <c r="D26" s="214"/>
      <c r="E26" s="222"/>
      <c r="F26" s="226">
        <v>10</v>
      </c>
      <c r="G26" s="554" t="s">
        <v>11</v>
      </c>
      <c r="H26" s="555" t="s">
        <v>400</v>
      </c>
      <c r="I26" s="828"/>
      <c r="J26" s="245"/>
      <c r="K26" s="234"/>
      <c r="L26" s="234"/>
      <c r="M26" s="116">
        <f t="shared" si="0"/>
        <v>0</v>
      </c>
    </row>
    <row r="27" spans="1:18" ht="13.5" thickBot="1">
      <c r="A27" s="825"/>
      <c r="B27" s="212"/>
      <c r="C27" s="213"/>
      <c r="D27" s="214"/>
      <c r="E27" s="220"/>
      <c r="F27" s="226"/>
      <c r="G27" s="552"/>
      <c r="H27" s="555" t="s">
        <v>401</v>
      </c>
      <c r="I27" s="828"/>
      <c r="J27" s="245"/>
      <c r="K27" s="234"/>
      <c r="L27" s="234"/>
      <c r="M27" s="116">
        <f t="shared" si="0"/>
        <v>0</v>
      </c>
      <c r="P27" s="173"/>
    </row>
    <row r="28" spans="1:18" ht="13.5" thickBot="1">
      <c r="A28" s="825"/>
      <c r="B28" s="212"/>
      <c r="C28" s="213"/>
      <c r="D28" s="214"/>
      <c r="E28" s="220"/>
      <c r="F28" s="468"/>
      <c r="G28" s="469"/>
      <c r="H28" s="225" t="s">
        <v>413</v>
      </c>
      <c r="I28" s="828"/>
      <c r="J28" s="245"/>
      <c r="K28" s="234"/>
      <c r="L28" s="234"/>
      <c r="M28" s="116">
        <f t="shared" si="0"/>
        <v>0</v>
      </c>
      <c r="Q28" s="173"/>
      <c r="R28" s="173"/>
    </row>
    <row r="29" spans="1:18" ht="13.5" thickBot="1">
      <c r="A29" s="825"/>
      <c r="B29" s="212"/>
      <c r="C29" s="213"/>
      <c r="D29" s="214"/>
      <c r="E29" s="220"/>
      <c r="F29" s="223"/>
      <c r="G29" s="227"/>
      <c r="H29" s="228" t="s">
        <v>411</v>
      </c>
      <c r="I29" s="828"/>
      <c r="J29" s="245"/>
      <c r="K29" s="234"/>
      <c r="L29" s="234"/>
      <c r="M29" s="116">
        <f t="shared" si="0"/>
        <v>0</v>
      </c>
    </row>
    <row r="30" spans="1:18" ht="13.5" thickBot="1">
      <c r="A30" s="825"/>
      <c r="B30" s="212"/>
      <c r="C30" s="221"/>
      <c r="D30" s="214"/>
      <c r="E30" s="220"/>
      <c r="F30" s="231"/>
      <c r="G30" s="227"/>
      <c r="H30" s="228" t="s">
        <v>412</v>
      </c>
      <c r="I30" s="828"/>
      <c r="J30" s="245"/>
      <c r="K30" s="234"/>
      <c r="L30" s="234"/>
      <c r="M30" s="116">
        <f t="shared" si="0"/>
        <v>0</v>
      </c>
      <c r="N30" s="154"/>
    </row>
    <row r="31" spans="1:18" ht="13.5" thickBot="1">
      <c r="A31" s="825"/>
      <c r="B31" s="212"/>
      <c r="C31" s="221"/>
      <c r="D31" s="214"/>
      <c r="E31" s="220"/>
      <c r="F31" s="231"/>
      <c r="G31" s="232"/>
      <c r="H31" s="427"/>
      <c r="I31" s="829"/>
      <c r="J31" s="245"/>
      <c r="K31" s="234"/>
      <c r="L31" s="234"/>
      <c r="M31" s="116">
        <f t="shared" si="0"/>
        <v>0</v>
      </c>
    </row>
    <row r="32" spans="1:18" ht="13.5" thickBot="1">
      <c r="A32" s="826"/>
      <c r="B32" s="164" t="s">
        <v>2</v>
      </c>
      <c r="C32" s="98">
        <f>SUM(C25:C31)</f>
        <v>11139</v>
      </c>
      <c r="D32" s="99">
        <f>SUM(D25:D31)</f>
        <v>396</v>
      </c>
      <c r="E32" s="100">
        <f>SUM(E25:E31)</f>
        <v>0</v>
      </c>
      <c r="F32" s="98">
        <f>SUM(F24:F31)</f>
        <v>14</v>
      </c>
      <c r="G32" s="168"/>
      <c r="H32" s="169"/>
      <c r="I32" s="167"/>
      <c r="J32" s="247"/>
      <c r="K32" s="236"/>
      <c r="L32" s="238"/>
      <c r="M32" s="116">
        <f t="shared" si="0"/>
        <v>0</v>
      </c>
    </row>
    <row r="33" spans="1:14" ht="13.5" thickBot="1">
      <c r="A33" s="170"/>
      <c r="B33" s="171"/>
      <c r="C33" s="102">
        <f>C32/($C$32+$D$32+$E$32)</f>
        <v>0.96566970091027304</v>
      </c>
      <c r="D33" s="103">
        <f>D32/($C$32+$D$32+$E$32)</f>
        <v>3.4330299089726915E-2</v>
      </c>
      <c r="E33" s="104">
        <f>E32/($C$32+$D$32+$E$32)</f>
        <v>0</v>
      </c>
      <c r="F33" s="105"/>
      <c r="G33" s="172"/>
      <c r="H33" s="173" t="s">
        <v>0</v>
      </c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36937</v>
      </c>
      <c r="D34" s="106">
        <f>D14+D23+D32</f>
        <v>396</v>
      </c>
      <c r="E34" s="106">
        <f>E14+E23+E32</f>
        <v>0</v>
      </c>
      <c r="F34" s="107">
        <f>F14+F23+F32</f>
        <v>156</v>
      </c>
      <c r="H34" s="175"/>
      <c r="I34" s="175"/>
      <c r="J34" s="122" t="s">
        <v>27</v>
      </c>
      <c r="K34" s="123">
        <f>SUM(K7:K32)</f>
        <v>36937</v>
      </c>
      <c r="L34" s="209">
        <f>SUM(L7:L32)</f>
        <v>0</v>
      </c>
      <c r="M34" s="119">
        <f>SUM(M7:M32)</f>
        <v>36937</v>
      </c>
      <c r="N34" s="154"/>
    </row>
    <row r="35" spans="1:14" ht="13.5" thickBot="1">
      <c r="A35" s="176"/>
      <c r="B35" s="177"/>
      <c r="C35" s="103">
        <f>C34/($C$34+$D$34+$E$34)</f>
        <v>0.98939276243537888</v>
      </c>
      <c r="D35" s="103">
        <f>D34/($C$34+$D$34+$E$34)</f>
        <v>1.0607237564621112E-2</v>
      </c>
      <c r="E35" s="108">
        <f>E34/($C$34+$D$34+$E$34)</f>
        <v>0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182"/>
      <c r="G37" s="154"/>
      <c r="H37" s="183" t="s">
        <v>58</v>
      </c>
      <c r="I37" s="239">
        <f>(12*1320)/1320*G42*2.85*1320/1000000</f>
        <v>51.592546799999994</v>
      </c>
      <c r="J37" s="124">
        <f>I37</f>
        <v>51.592546799999994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156</v>
      </c>
      <c r="D38" s="117">
        <f>C38</f>
        <v>156</v>
      </c>
      <c r="E38" s="142">
        <f t="shared" ref="E38:E51" si="1">D38/60</f>
        <v>2.6</v>
      </c>
      <c r="F38" s="182">
        <v>1400</v>
      </c>
      <c r="G38" s="182">
        <f>+F38-F38*0.18</f>
        <v>1148</v>
      </c>
      <c r="H38" s="184" t="s">
        <v>60</v>
      </c>
      <c r="I38" s="501">
        <f>19.152+3.373+15.725</f>
        <v>38.25</v>
      </c>
      <c r="J38" s="126">
        <f>I38</f>
        <v>38.25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C39</f>
        <v>0</v>
      </c>
      <c r="E39" s="142">
        <f t="shared" si="1"/>
        <v>0</v>
      </c>
      <c r="F39" s="182">
        <v>1376.9444444444443</v>
      </c>
      <c r="G39" s="182">
        <v>1129.0944444444444</v>
      </c>
      <c r="H39" s="184" t="s">
        <v>61</v>
      </c>
      <c r="I39" s="141"/>
      <c r="J39" s="128">
        <f>J37/G4</f>
        <v>51.592546799999994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t="shared" ref="D40:D51" si="2">C40</f>
        <v>0</v>
      </c>
      <c r="E40" s="142">
        <f t="shared" si="1"/>
        <v>0</v>
      </c>
      <c r="F40" s="182">
        <v>1400</v>
      </c>
      <c r="G40" s="182">
        <f>+F40-F40*0.18</f>
        <v>1148</v>
      </c>
      <c r="H40" s="184" t="s">
        <v>63</v>
      </c>
      <c r="I40" s="117">
        <f>(K34+L34)/1000</f>
        <v>36.936999999999998</v>
      </c>
      <c r="J40" s="130">
        <f>M34/1000</f>
        <v>36.936999999999998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t="shared" si="2"/>
        <v>0</v>
      </c>
      <c r="E41" s="142">
        <f t="shared" si="1"/>
        <v>0</v>
      </c>
      <c r="F41" s="182"/>
      <c r="G41" s="182"/>
      <c r="H41" s="184" t="s">
        <v>65</v>
      </c>
      <c r="I41" s="141"/>
      <c r="J41" s="128">
        <f>J40/G4</f>
        <v>36.936999999999998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t="shared" si="2"/>
        <v>0</v>
      </c>
      <c r="E42" s="142">
        <f t="shared" si="1"/>
        <v>0</v>
      </c>
      <c r="F42" s="320">
        <f>+(F38*480+F39*360+F40*480)/1320</f>
        <v>1393.7121212121212</v>
      </c>
      <c r="G42" s="320">
        <f>+(G38*480+G39*360+G40*480)/1320</f>
        <v>1142.8439393939393</v>
      </c>
      <c r="H42" s="184" t="s">
        <v>66</v>
      </c>
      <c r="I42" s="241" t="s">
        <v>417</v>
      </c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t="shared" si="2"/>
        <v>0</v>
      </c>
      <c r="E43" s="142">
        <f t="shared" si="1"/>
        <v>0</v>
      </c>
      <c r="F43" s="182"/>
      <c r="H43" s="185" t="s">
        <v>69</v>
      </c>
      <c r="I43" s="117">
        <f>+Report1!T9</f>
        <v>121.9</v>
      </c>
      <c r="J43" s="132">
        <f>I43</f>
        <v>121.9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C44</f>
        <v>0</v>
      </c>
      <c r="E44" s="142">
        <f t="shared" si="1"/>
        <v>0</v>
      </c>
      <c r="F44" s="182"/>
      <c r="H44" s="185" t="s">
        <v>70</v>
      </c>
      <c r="I44" s="117">
        <f>I43/I38</f>
        <v>3.1869281045751636</v>
      </c>
      <c r="J44" s="133">
        <f>J43/J38</f>
        <v>3.1869281045751636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 t="shared" si="2"/>
        <v>0</v>
      </c>
      <c r="E45" s="142">
        <f t="shared" si="1"/>
        <v>0</v>
      </c>
      <c r="F45" s="182"/>
      <c r="G45" s="173"/>
      <c r="H45" s="185" t="s">
        <v>71</v>
      </c>
      <c r="I45" s="117">
        <f>I43/I40</f>
        <v>3.3002138776836238</v>
      </c>
      <c r="J45" s="133">
        <f>J43/J40</f>
        <v>3.3002138776836238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 t="shared" si="2"/>
        <v>0</v>
      </c>
      <c r="E46" s="142">
        <f t="shared" si="1"/>
        <v>0</v>
      </c>
      <c r="F46" s="182"/>
      <c r="H46" s="185" t="s">
        <v>73</v>
      </c>
      <c r="I46" s="139">
        <f>+SUMIF(Listrik!AN8,"&gt;0")</f>
        <v>49061.086335946493</v>
      </c>
      <c r="J46" s="134">
        <f>I46</f>
        <v>49061.086335946493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 t="shared" si="2"/>
        <v>0</v>
      </c>
      <c r="E47" s="142">
        <f t="shared" si="1"/>
        <v>0</v>
      </c>
      <c r="F47" s="182"/>
      <c r="H47" s="185" t="s">
        <v>76</v>
      </c>
      <c r="I47" s="117">
        <f>I46/I38</f>
        <v>1282.642780024745</v>
      </c>
      <c r="J47" s="134">
        <f>J46/J38</f>
        <v>1282.642780024745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 t="shared" si="2"/>
        <v>0</v>
      </c>
      <c r="E48" s="142">
        <f t="shared" si="1"/>
        <v>0</v>
      </c>
      <c r="F48" s="182"/>
      <c r="H48" s="185" t="s">
        <v>77</v>
      </c>
      <c r="I48" s="117">
        <f>I46/I40</f>
        <v>1328.2368989345778</v>
      </c>
      <c r="J48" s="134">
        <f>J46/J40</f>
        <v>1328.2368989345778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 t="shared" si="2"/>
        <v>0</v>
      </c>
      <c r="E49" s="142">
        <f t="shared" si="1"/>
        <v>0</v>
      </c>
      <c r="F49" s="182"/>
      <c r="H49" s="185" t="s">
        <v>174</v>
      </c>
      <c r="I49" s="117"/>
      <c r="J49" s="134">
        <f>I49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 t="shared" si="2"/>
        <v>0</v>
      </c>
      <c r="E50" s="142">
        <f t="shared" si="1"/>
        <v>0</v>
      </c>
      <c r="F50" s="182"/>
      <c r="H50" s="185" t="s">
        <v>80</v>
      </c>
      <c r="I50" s="139">
        <f>I49/I38</f>
        <v>0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 t="shared" si="2"/>
        <v>0</v>
      </c>
      <c r="E51" s="142">
        <f t="shared" si="1"/>
        <v>0</v>
      </c>
      <c r="F51" s="182"/>
      <c r="H51" s="187" t="s">
        <v>82</v>
      </c>
      <c r="I51" s="140">
        <f>I49/I40</f>
        <v>0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156</v>
      </c>
      <c r="D52" s="143">
        <f>SUM(D38:D51)</f>
        <v>156</v>
      </c>
      <c r="E52" s="144">
        <f>SUM(E38:E51)</f>
        <v>2.6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0.10833333333333334</v>
      </c>
      <c r="D53" s="145">
        <f>D52/(24*60*G4)</f>
        <v>0.10833333333333334</v>
      </c>
      <c r="E53" s="146">
        <f>E52/(G4*24)</f>
        <v>0.10833333333333334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D34</f>
        <v>396</v>
      </c>
      <c r="K56" s="198">
        <f>J56/(J40+J56/1000)/1000</f>
        <v>1.0607237564621114E-2</v>
      </c>
    </row>
    <row r="57" spans="1:11">
      <c r="A57" s="173"/>
      <c r="I57" s="196" t="s">
        <v>85</v>
      </c>
      <c r="J57" s="197">
        <f>+E34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</mergeCells>
  <phoneticPr fontId="31" type="noConversion"/>
  <printOptions horizontalCentered="1"/>
  <pageMargins left="0.15625" right="0.15625" top="0.17" bottom="0.16" header="0" footer="0"/>
  <pageSetup paperSize="9" scale="44" firstPageNumber="4294963191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42578125" style="148" customWidth="1"/>
    <col min="14" max="16384" width="9.140625" style="148"/>
  </cols>
  <sheetData>
    <row r="1" spans="1:13" ht="15.75">
      <c r="A1" s="147"/>
    </row>
    <row r="2" spans="1:13" ht="15.75">
      <c r="A2" s="147" t="s">
        <v>217</v>
      </c>
    </row>
    <row r="3" spans="1:13" ht="15">
      <c r="A3" s="149"/>
    </row>
    <row r="4" spans="1:13" ht="20.25">
      <c r="A4" s="150" t="s">
        <v>3</v>
      </c>
      <c r="B4" s="151"/>
      <c r="F4" s="152" t="s">
        <v>28</v>
      </c>
      <c r="G4" s="153">
        <v>31</v>
      </c>
      <c r="H4" s="153" t="str">
        <f>+'1'!H4</f>
        <v>.06.24</v>
      </c>
    </row>
    <row r="5" spans="1:13" ht="13.5" thickBot="1">
      <c r="C5" s="154"/>
      <c r="D5" s="154"/>
    </row>
    <row r="6" spans="1:13" ht="26.25" thickBot="1">
      <c r="A6" s="155" t="s">
        <v>43</v>
      </c>
      <c r="B6" s="156" t="s">
        <v>8</v>
      </c>
      <c r="C6" s="156" t="s">
        <v>44</v>
      </c>
      <c r="D6" s="156" t="s">
        <v>45</v>
      </c>
      <c r="E6" s="157" t="s">
        <v>46</v>
      </c>
      <c r="F6" s="101" t="s">
        <v>47</v>
      </c>
      <c r="G6" s="156" t="s">
        <v>48</v>
      </c>
      <c r="H6" s="158" t="s">
        <v>49</v>
      </c>
      <c r="I6" s="159" t="s">
        <v>50</v>
      </c>
      <c r="J6" s="160" t="s">
        <v>8</v>
      </c>
      <c r="K6" s="161" t="s">
        <v>51</v>
      </c>
      <c r="L6" s="207" t="s">
        <v>138</v>
      </c>
      <c r="M6" s="162" t="s">
        <v>52</v>
      </c>
    </row>
    <row r="7" spans="1:13" ht="13.5" customHeight="1" thickBot="1">
      <c r="A7" s="824" t="s">
        <v>219</v>
      </c>
      <c r="B7" s="212"/>
      <c r="C7" s="213"/>
      <c r="D7" s="214"/>
      <c r="E7" s="215"/>
      <c r="F7" s="223"/>
      <c r="G7" s="224"/>
      <c r="H7" s="225"/>
      <c r="I7" s="827"/>
      <c r="J7" s="211" t="str">
        <f>+'30'!J7</f>
        <v>N 12 VP OW</v>
      </c>
      <c r="K7" s="233"/>
      <c r="L7" s="237"/>
      <c r="M7" s="116">
        <f>+L7+'30'!M7+K7</f>
        <v>107831</v>
      </c>
    </row>
    <row r="8" spans="1:13" ht="13.5" thickBot="1">
      <c r="A8" s="825"/>
      <c r="B8" s="212"/>
      <c r="C8" s="213"/>
      <c r="D8" s="214"/>
      <c r="E8" s="216"/>
      <c r="F8" s="226"/>
      <c r="G8" s="227"/>
      <c r="H8" s="225"/>
      <c r="I8" s="828"/>
      <c r="J8" s="211" t="str">
        <f>+'30'!J8</f>
        <v>F 12.5 VP OW</v>
      </c>
      <c r="K8" s="234"/>
      <c r="L8" s="234"/>
      <c r="M8" s="116">
        <f>+L8+'30'!M8+K8</f>
        <v>66421</v>
      </c>
    </row>
    <row r="9" spans="1:13" ht="13.5" thickBot="1">
      <c r="A9" s="825"/>
      <c r="B9" s="212"/>
      <c r="C9" s="213"/>
      <c r="D9" s="214"/>
      <c r="E9" s="217"/>
      <c r="F9" s="223"/>
      <c r="G9" s="224"/>
      <c r="H9" s="228"/>
      <c r="I9" s="828"/>
      <c r="J9" s="211" t="str">
        <f>+'30'!J9</f>
        <v>F 13 VP OW</v>
      </c>
      <c r="K9" s="234"/>
      <c r="L9" s="234"/>
      <c r="M9" s="116">
        <f>+L9+'30'!M9+K9</f>
        <v>547781</v>
      </c>
    </row>
    <row r="10" spans="1:13" ht="13.5" thickBot="1">
      <c r="A10" s="825"/>
      <c r="B10" s="212"/>
      <c r="C10" s="213"/>
      <c r="D10" s="214"/>
      <c r="E10" s="216"/>
      <c r="F10" s="223"/>
      <c r="G10" s="227"/>
      <c r="H10" s="228"/>
      <c r="I10" s="828"/>
      <c r="J10" s="211" t="str">
        <f>+'30'!J10</f>
        <v>N 17 VP OW</v>
      </c>
      <c r="K10" s="234"/>
      <c r="L10" s="234"/>
      <c r="M10" s="116">
        <f>+L10+'30'!M10+K10</f>
        <v>76374</v>
      </c>
    </row>
    <row r="11" spans="1:13" ht="13.5" thickBot="1">
      <c r="A11" s="825"/>
      <c r="B11" s="212"/>
      <c r="C11" s="213"/>
      <c r="D11" s="214"/>
      <c r="E11" s="216"/>
      <c r="F11" s="223"/>
      <c r="G11" s="227"/>
      <c r="H11" s="228"/>
      <c r="I11" s="828"/>
      <c r="J11" s="211" t="str">
        <f>+'30'!J11</f>
        <v>N 17,5 VP OW</v>
      </c>
      <c r="K11" s="234"/>
      <c r="L11" s="234"/>
      <c r="M11" s="116">
        <f>+L11+'30'!M11+K11</f>
        <v>23535</v>
      </c>
    </row>
    <row r="12" spans="1:13" ht="13.5" thickBot="1">
      <c r="A12" s="825"/>
      <c r="B12" s="212"/>
      <c r="C12" s="213"/>
      <c r="D12" s="214"/>
      <c r="E12" s="216"/>
      <c r="F12" s="223"/>
      <c r="G12" s="227"/>
      <c r="H12" s="228"/>
      <c r="I12" s="828"/>
      <c r="J12" s="211" t="str">
        <f>+'30'!J12</f>
        <v>TW 17 VP OW</v>
      </c>
      <c r="K12" s="234"/>
      <c r="L12" s="234"/>
      <c r="M12" s="116">
        <f>+L12+'30'!M12+K12</f>
        <v>243570</v>
      </c>
    </row>
    <row r="13" spans="1:13" ht="13.5" thickBot="1">
      <c r="A13" s="825"/>
      <c r="B13" s="212"/>
      <c r="C13" s="213"/>
      <c r="D13" s="213"/>
      <c r="E13" s="216"/>
      <c r="F13" s="223"/>
      <c r="G13" s="227"/>
      <c r="H13" s="228"/>
      <c r="I13" s="829"/>
      <c r="J13" s="211" t="str">
        <f>+'30'!J13</f>
        <v>N 15,5 VP OW</v>
      </c>
      <c r="K13" s="234"/>
      <c r="L13" s="234"/>
      <c r="M13" s="116">
        <f>+L13+'30'!M13+K13</f>
        <v>40521</v>
      </c>
    </row>
    <row r="14" spans="1:13" ht="13.5" thickBot="1">
      <c r="A14" s="826"/>
      <c r="B14" s="164" t="s">
        <v>2</v>
      </c>
      <c r="C14" s="98">
        <f>SUM(C7:C13)</f>
        <v>0</v>
      </c>
      <c r="D14" s="110">
        <f>SUM(D7:D13)</f>
        <v>0</v>
      </c>
      <c r="E14" s="111">
        <f>SUM(E5:E13)</f>
        <v>0</v>
      </c>
      <c r="F14" s="115">
        <f>SUM(F7:F13)</f>
        <v>0</v>
      </c>
      <c r="G14" s="158"/>
      <c r="H14" s="165"/>
      <c r="I14" s="166"/>
      <c r="J14" s="211" t="str">
        <f>+'30'!J14</f>
        <v>N 11 VP OW</v>
      </c>
      <c r="K14" s="234"/>
      <c r="L14" s="234"/>
      <c r="M14" s="116">
        <f>+L14+'30'!M14+K14</f>
        <v>41975</v>
      </c>
    </row>
    <row r="15" spans="1:13" ht="13.5" customHeight="1" thickBot="1">
      <c r="A15" s="830" t="s">
        <v>369</v>
      </c>
      <c r="B15" s="498"/>
      <c r="C15" s="112" t="e">
        <f>C14/($C$23+$D$23+$E$23)</f>
        <v>#DIV/0!</v>
      </c>
      <c r="D15" s="113" t="e">
        <f>D14/($C$23+$D$23+$E$23)</f>
        <v>#DIV/0!</v>
      </c>
      <c r="E15" s="114" t="e">
        <f>E14/($C$23+$D$23+$E$23)</f>
        <v>#DIV/0!</v>
      </c>
      <c r="F15" s="223"/>
      <c r="G15" s="224"/>
      <c r="H15" s="225"/>
      <c r="I15" s="827"/>
      <c r="J15" s="211" t="str">
        <f>+'30'!J15</f>
        <v>T 14 VP OW</v>
      </c>
      <c r="K15" s="234"/>
      <c r="L15" s="234"/>
      <c r="M15" s="116">
        <f>+L15+'30'!M15+K15</f>
        <v>29360</v>
      </c>
    </row>
    <row r="16" spans="1:13" ht="13.5" thickBot="1">
      <c r="A16" s="825"/>
      <c r="B16" s="500"/>
      <c r="C16" s="499"/>
      <c r="D16" s="218"/>
      <c r="E16" s="219"/>
      <c r="F16" s="223"/>
      <c r="G16" s="227"/>
      <c r="H16" s="225"/>
      <c r="I16" s="828"/>
      <c r="J16" s="211" t="str">
        <f>+'30'!J16</f>
        <v>T 16 VP OW</v>
      </c>
      <c r="K16" s="224"/>
      <c r="L16" s="224"/>
      <c r="M16" s="116">
        <f>+L16+'30'!M16+K16</f>
        <v>67771</v>
      </c>
    </row>
    <row r="17" spans="1:14" ht="13.5" thickBot="1">
      <c r="A17" s="825"/>
      <c r="B17" s="212"/>
      <c r="C17" s="213"/>
      <c r="D17" s="214"/>
      <c r="E17" s="220"/>
      <c r="F17" s="223"/>
      <c r="G17" s="227"/>
      <c r="H17" s="228"/>
      <c r="I17" s="828"/>
      <c r="J17" s="211" t="str">
        <f>+'30'!J17</f>
        <v>T 18 VP OW</v>
      </c>
      <c r="K17" s="224"/>
      <c r="L17" s="224"/>
      <c r="M17" s="116">
        <f>+L17+'30'!M17+K17</f>
        <v>47203</v>
      </c>
    </row>
    <row r="18" spans="1:14" ht="13.5" thickBot="1">
      <c r="A18" s="825"/>
      <c r="B18" s="212"/>
      <c r="C18" s="213"/>
      <c r="D18" s="214"/>
      <c r="E18" s="220"/>
      <c r="F18" s="223"/>
      <c r="G18" s="227"/>
      <c r="H18" s="228"/>
      <c r="I18" s="828"/>
      <c r="J18" s="211" t="str">
        <f>+'30'!J18</f>
        <v>T 15 VP OW</v>
      </c>
      <c r="K18" s="234"/>
      <c r="L18" s="234"/>
      <c r="M18" s="116">
        <f>+L18+'30'!M18+K18</f>
        <v>48284</v>
      </c>
    </row>
    <row r="19" spans="1:14" ht="13.5" thickBot="1">
      <c r="A19" s="825"/>
      <c r="B19" s="212"/>
      <c r="C19" s="213"/>
      <c r="D19" s="214"/>
      <c r="E19" s="220"/>
      <c r="F19" s="230"/>
      <c r="G19" s="227"/>
      <c r="H19" s="228"/>
      <c r="I19" s="828"/>
      <c r="J19" s="211" t="str">
        <f>+'30'!J19</f>
        <v>F 12 VP OW</v>
      </c>
      <c r="K19" s="234"/>
      <c r="L19" s="234"/>
      <c r="M19" s="116">
        <f>+L19+'30'!M19+K19</f>
        <v>19235</v>
      </c>
    </row>
    <row r="20" spans="1:14" ht="13.5" thickBot="1">
      <c r="A20" s="825"/>
      <c r="B20" s="212"/>
      <c r="C20" s="213"/>
      <c r="D20" s="214"/>
      <c r="E20" s="220"/>
      <c r="F20" s="223"/>
      <c r="G20" s="227"/>
      <c r="H20" s="228"/>
      <c r="I20" s="828"/>
      <c r="J20" s="211" t="str">
        <f>+'30'!J20</f>
        <v>F 14 VP OW</v>
      </c>
      <c r="K20" s="235"/>
      <c r="L20" s="235"/>
      <c r="M20" s="116">
        <f>+L20+'30'!M20+K20</f>
        <v>18330</v>
      </c>
    </row>
    <row r="21" spans="1:14" ht="13.5" thickBot="1">
      <c r="A21" s="825"/>
      <c r="B21" s="212"/>
      <c r="C21" s="213"/>
      <c r="D21" s="214"/>
      <c r="E21" s="220"/>
      <c r="F21" s="226"/>
      <c r="G21" s="227"/>
      <c r="H21" s="228"/>
      <c r="I21" s="828"/>
      <c r="J21" s="211" t="str">
        <f>+'30'!J21</f>
        <v>T 19 VP OW</v>
      </c>
      <c r="K21" s="234"/>
      <c r="L21" s="234"/>
      <c r="M21" s="116">
        <f>+L21+'30'!M21+K21</f>
        <v>0</v>
      </c>
    </row>
    <row r="22" spans="1:14" ht="13.5" thickBot="1">
      <c r="A22" s="825"/>
      <c r="B22" s="212"/>
      <c r="C22" s="213"/>
      <c r="D22" s="214"/>
      <c r="E22" s="220"/>
      <c r="F22" s="231"/>
      <c r="G22" s="227"/>
      <c r="H22" s="228"/>
      <c r="I22" s="829"/>
      <c r="J22" s="211">
        <f>+'30'!J22</f>
        <v>0</v>
      </c>
      <c r="K22" s="234"/>
      <c r="L22" s="234"/>
      <c r="M22" s="116">
        <f>+L22+'30'!M22+K22</f>
        <v>0</v>
      </c>
    </row>
    <row r="23" spans="1:14" ht="13.5" thickBot="1">
      <c r="A23" s="826"/>
      <c r="B23" s="164" t="s">
        <v>2</v>
      </c>
      <c r="C23" s="98">
        <f>SUM(C16:C22)</f>
        <v>0</v>
      </c>
      <c r="D23" s="110">
        <f>SUM(D16:D22)</f>
        <v>0</v>
      </c>
      <c r="E23" s="111">
        <f>SUM(E18:E22)</f>
        <v>0</v>
      </c>
      <c r="F23" s="115">
        <f>SUM(F15:F22)</f>
        <v>0</v>
      </c>
      <c r="G23" s="158"/>
      <c r="H23" s="165"/>
      <c r="I23" s="167"/>
      <c r="J23" s="211">
        <f>+'30'!J23</f>
        <v>0</v>
      </c>
      <c r="K23" s="234"/>
      <c r="L23" s="234"/>
      <c r="M23" s="116">
        <f>+L23+'30'!M23+K23</f>
        <v>0</v>
      </c>
    </row>
    <row r="24" spans="1:14" ht="13.5" customHeight="1" thickBot="1">
      <c r="A24" s="830" t="s">
        <v>353</v>
      </c>
      <c r="B24" s="498"/>
      <c r="C24" s="112" t="e">
        <f>C23/($C$23+$D$23+$E$23)</f>
        <v>#DIV/0!</v>
      </c>
      <c r="D24" s="113" t="e">
        <f>D23/($C$23+$D$23+$E$23)</f>
        <v>#DIV/0!</v>
      </c>
      <c r="E24" s="114" t="e">
        <f>E23/($C$23+$D$23+$E$23)</f>
        <v>#DIV/0!</v>
      </c>
      <c r="F24" s="231"/>
      <c r="G24" s="224"/>
      <c r="H24" s="225"/>
      <c r="I24" s="827"/>
      <c r="J24" s="211">
        <f>+'30'!J24</f>
        <v>0</v>
      </c>
      <c r="K24" s="234"/>
      <c r="L24" s="234"/>
      <c r="M24" s="116">
        <f>+L24+'30'!M24+K24</f>
        <v>0</v>
      </c>
    </row>
    <row r="25" spans="1:14" ht="13.5" thickBot="1">
      <c r="A25" s="825"/>
      <c r="B25" s="212"/>
      <c r="C25" s="221"/>
      <c r="D25" s="214"/>
      <c r="E25" s="220"/>
      <c r="F25" s="226"/>
      <c r="G25" s="227"/>
      <c r="H25" s="225"/>
      <c r="I25" s="828"/>
      <c r="J25" s="211">
        <f>+'30'!J25</f>
        <v>0</v>
      </c>
      <c r="K25" s="234"/>
      <c r="L25" s="234"/>
      <c r="M25" s="116">
        <f>+L25+'30'!M25+K25</f>
        <v>0</v>
      </c>
    </row>
    <row r="26" spans="1:14" ht="13.5" thickBot="1">
      <c r="A26" s="825"/>
      <c r="B26" s="212"/>
      <c r="C26" s="221"/>
      <c r="D26" s="214"/>
      <c r="E26" s="222"/>
      <c r="F26" s="226"/>
      <c r="G26" s="224"/>
      <c r="H26" s="228"/>
      <c r="I26" s="828"/>
      <c r="J26" s="211">
        <f>+'30'!J26</f>
        <v>0</v>
      </c>
      <c r="K26" s="234"/>
      <c r="L26" s="234"/>
      <c r="M26" s="116">
        <f>+L26+'30'!M26+K26</f>
        <v>0</v>
      </c>
    </row>
    <row r="27" spans="1:14" ht="13.5" thickBot="1">
      <c r="A27" s="825"/>
      <c r="B27" s="212"/>
      <c r="C27" s="213"/>
      <c r="D27" s="214"/>
      <c r="E27" s="220"/>
      <c r="F27" s="226"/>
      <c r="G27" s="232"/>
      <c r="H27" s="228"/>
      <c r="I27" s="828"/>
      <c r="J27" s="211">
        <f>+'30'!J27</f>
        <v>0</v>
      </c>
      <c r="K27" s="234"/>
      <c r="L27" s="234"/>
      <c r="M27" s="116">
        <f>+L27+'30'!M27+K27</f>
        <v>0</v>
      </c>
    </row>
    <row r="28" spans="1:14" ht="13.5" thickBot="1">
      <c r="A28" s="825"/>
      <c r="B28" s="212"/>
      <c r="C28" s="213"/>
      <c r="D28" s="214"/>
      <c r="E28" s="220"/>
      <c r="F28" s="226"/>
      <c r="G28" s="227"/>
      <c r="H28" s="228"/>
      <c r="I28" s="828"/>
      <c r="J28" s="211">
        <f>+'30'!J28</f>
        <v>0</v>
      </c>
      <c r="K28" s="234"/>
      <c r="L28" s="234"/>
      <c r="M28" s="116">
        <f>+L28+'30'!M28+K28</f>
        <v>0</v>
      </c>
    </row>
    <row r="29" spans="1:14" ht="13.5" thickBot="1">
      <c r="A29" s="825"/>
      <c r="B29" s="212"/>
      <c r="C29" s="213"/>
      <c r="D29" s="214"/>
      <c r="E29" s="220"/>
      <c r="F29" s="231"/>
      <c r="G29" s="227"/>
      <c r="H29" s="228"/>
      <c r="I29" s="828"/>
      <c r="J29" s="211">
        <f>+'30'!J29</f>
        <v>0</v>
      </c>
      <c r="K29" s="234"/>
      <c r="L29" s="234"/>
      <c r="M29" s="116">
        <f>+L29+'30'!M29+K29</f>
        <v>0</v>
      </c>
    </row>
    <row r="30" spans="1:14" ht="13.5" thickBot="1">
      <c r="A30" s="825"/>
      <c r="B30" s="212"/>
      <c r="C30" s="221"/>
      <c r="D30" s="214"/>
      <c r="E30" s="220"/>
      <c r="F30" s="231"/>
      <c r="G30" s="227"/>
      <c r="H30" s="228"/>
      <c r="I30" s="828"/>
      <c r="J30" s="211">
        <f>+'30'!J30</f>
        <v>0</v>
      </c>
      <c r="K30" s="234"/>
      <c r="L30" s="234"/>
      <c r="M30" s="116">
        <f>+L30+'30'!M30+K30</f>
        <v>0</v>
      </c>
      <c r="N30" s="154"/>
    </row>
    <row r="31" spans="1:14" ht="13.5" thickBot="1">
      <c r="A31" s="825"/>
      <c r="B31" s="212"/>
      <c r="C31" s="221"/>
      <c r="D31" s="214"/>
      <c r="E31" s="220"/>
      <c r="F31" s="231"/>
      <c r="G31" s="232"/>
      <c r="H31" s="229"/>
      <c r="I31" s="829"/>
      <c r="J31" s="211">
        <f>+'30'!J31</f>
        <v>0</v>
      </c>
      <c r="K31" s="234"/>
      <c r="L31" s="234"/>
      <c r="M31" s="116">
        <f>+L31+'30'!M31+K31</f>
        <v>0</v>
      </c>
    </row>
    <row r="32" spans="1:14" ht="13.5" thickBot="1">
      <c r="A32" s="826"/>
      <c r="B32" s="164" t="s">
        <v>2</v>
      </c>
      <c r="C32" s="98">
        <f>SUM(C25:C31)</f>
        <v>0</v>
      </c>
      <c r="D32" s="99">
        <f>SUM(D25:D31)</f>
        <v>0</v>
      </c>
      <c r="E32" s="100">
        <f>SUM(E25:E31)</f>
        <v>0</v>
      </c>
      <c r="F32" s="98">
        <f>SUM(F24:F31)</f>
        <v>0</v>
      </c>
      <c r="G32" s="168"/>
      <c r="H32" s="169"/>
      <c r="I32" s="167"/>
      <c r="J32" s="211">
        <f>+'30'!J32</f>
        <v>0</v>
      </c>
      <c r="K32" s="236"/>
      <c r="L32" s="238"/>
      <c r="M32" s="116">
        <f>+L32+'30'!M32+K32</f>
        <v>0</v>
      </c>
    </row>
    <row r="33" spans="1:14" ht="13.5" thickBot="1">
      <c r="A33" s="170"/>
      <c r="B33" s="171"/>
      <c r="C33" s="102" t="e">
        <f>C32/($C$32+$D$32+$E$32)</f>
        <v>#DIV/0!</v>
      </c>
      <c r="D33" s="103" t="e">
        <f>D32/($C$32+$D$32+$E$32)</f>
        <v>#DIV/0!</v>
      </c>
      <c r="E33" s="104" t="e">
        <f>E32/($C$32+$D$32+$E$32)</f>
        <v>#DIV/0!</v>
      </c>
      <c r="F33" s="105"/>
      <c r="G33" s="172"/>
      <c r="H33" s="173"/>
      <c r="I33" s="174"/>
      <c r="J33" s="120"/>
      <c r="K33" s="121"/>
      <c r="L33" s="210"/>
      <c r="M33" s="118"/>
    </row>
    <row r="34" spans="1:14" ht="13.5" thickBot="1">
      <c r="A34" s="833" t="s">
        <v>53</v>
      </c>
      <c r="B34" s="834"/>
      <c r="C34" s="106">
        <f>C14+C23+C32</f>
        <v>0</v>
      </c>
      <c r="D34" s="106">
        <f>D14+D23+D32</f>
        <v>0</v>
      </c>
      <c r="E34" s="106">
        <f>E14+E23+E32</f>
        <v>0</v>
      </c>
      <c r="F34" s="107">
        <f>F14+F23+F32</f>
        <v>0</v>
      </c>
      <c r="H34" s="175"/>
      <c r="I34" s="175"/>
      <c r="J34" s="122" t="s">
        <v>27</v>
      </c>
      <c r="K34" s="123">
        <f>SUM(K7:K32)</f>
        <v>0</v>
      </c>
      <c r="L34" s="209">
        <f>SUM(L7:L32)</f>
        <v>0</v>
      </c>
      <c r="M34" s="119">
        <f>SUM(M7:M32)</f>
        <v>1378191</v>
      </c>
      <c r="N34" s="154"/>
    </row>
    <row r="35" spans="1:14" ht="13.5" thickBot="1">
      <c r="A35" s="176"/>
      <c r="B35" s="177"/>
      <c r="C35" s="103" t="e">
        <f>C34/($C$34+$D$34+$E$34)</f>
        <v>#DIV/0!</v>
      </c>
      <c r="D35" s="103" t="e">
        <f>D34/($C$34+$D$34+$E$34)</f>
        <v>#DIV/0!</v>
      </c>
      <c r="E35" s="108" t="e">
        <f>E34/($C$34+$D$34+$E$34)</f>
        <v>#DIV/0!</v>
      </c>
      <c r="K35" s="154"/>
    </row>
    <row r="36" spans="1:14" ht="13.5" thickBot="1">
      <c r="A36" s="175"/>
      <c r="B36" s="175"/>
      <c r="C36" s="154"/>
      <c r="D36" s="154"/>
      <c r="E36" s="154"/>
      <c r="G36" s="154"/>
      <c r="H36" s="178"/>
      <c r="I36" s="161" t="s">
        <v>35</v>
      </c>
      <c r="J36" s="161" t="s">
        <v>36</v>
      </c>
      <c r="K36" s="179"/>
    </row>
    <row r="37" spans="1:14" ht="17.45" customHeight="1" thickBot="1">
      <c r="A37" s="835" t="s">
        <v>54</v>
      </c>
      <c r="B37" s="836"/>
      <c r="C37" s="161" t="s">
        <v>55</v>
      </c>
      <c r="D37" s="180" t="s">
        <v>56</v>
      </c>
      <c r="E37" s="181" t="s">
        <v>57</v>
      </c>
      <c r="F37" s="320"/>
      <c r="G37" s="322"/>
      <c r="H37" s="183" t="s">
        <v>58</v>
      </c>
      <c r="I37" s="239">
        <f>(17*1440)/1440*G42*2.85*1440/1000000</f>
        <v>0</v>
      </c>
      <c r="J37" s="124">
        <f>+I37+'30'!J37</f>
        <v>1549.4612047969865</v>
      </c>
      <c r="K37" s="125" t="s">
        <v>59</v>
      </c>
    </row>
    <row r="38" spans="1:14" ht="17.45" customHeight="1">
      <c r="A38" s="822" t="s">
        <v>11</v>
      </c>
      <c r="B38" s="823"/>
      <c r="C38" s="163">
        <f>SUMIF($G$7:$G$31,"Process",$F$7:$F$31)</f>
        <v>0</v>
      </c>
      <c r="D38" s="117">
        <f>+C38+'30'!D38</f>
        <v>1242</v>
      </c>
      <c r="E38" s="142">
        <f t="shared" ref="E38:E51" si="0">D38/60</f>
        <v>20.7</v>
      </c>
      <c r="F38" s="320"/>
      <c r="G38" s="320"/>
      <c r="H38" s="184" t="s">
        <v>60</v>
      </c>
      <c r="I38" s="240"/>
      <c r="J38" s="126">
        <f>+I38+'30'!J38</f>
        <v>1443.3009999999997</v>
      </c>
      <c r="K38" s="127" t="s">
        <v>59</v>
      </c>
    </row>
    <row r="39" spans="1:14" ht="17.45" customHeight="1">
      <c r="A39" s="818" t="s">
        <v>12</v>
      </c>
      <c r="B39" s="819"/>
      <c r="C39" s="163">
        <f>SUMIF($G$7:$G$31,"Cleaning",$F$7:$F$31)</f>
        <v>0</v>
      </c>
      <c r="D39" s="117">
        <f>+C39+'30'!D39</f>
        <v>0</v>
      </c>
      <c r="E39" s="142">
        <f t="shared" si="0"/>
        <v>0</v>
      </c>
      <c r="F39" s="320"/>
      <c r="G39" s="320"/>
      <c r="H39" s="184" t="s">
        <v>61</v>
      </c>
      <c r="I39" s="141"/>
      <c r="J39" s="128">
        <f>J37/G4</f>
        <v>49.982619509580211</v>
      </c>
      <c r="K39" s="129" t="s">
        <v>59</v>
      </c>
    </row>
    <row r="40" spans="1:14" ht="17.45" customHeight="1">
      <c r="A40" s="818" t="s">
        <v>62</v>
      </c>
      <c r="B40" s="819"/>
      <c r="C40" s="163">
        <f>SUMIF($G$7:$G$31,"Mechanical",$F$7:$F$31)</f>
        <v>0</v>
      </c>
      <c r="D40" s="117">
        <f ca="1">+C40+'30'!D40</f>
        <v>8</v>
      </c>
      <c r="E40" s="142">
        <f t="shared" ca="1" si="0"/>
        <v>0.13333333333333333</v>
      </c>
      <c r="F40" s="320"/>
      <c r="G40" s="320"/>
      <c r="H40" s="184" t="s">
        <v>63</v>
      </c>
      <c r="I40" s="117">
        <f>(K34+L34)/1000</f>
        <v>0</v>
      </c>
      <c r="J40" s="130">
        <f>+I40+'30'!J40</f>
        <v>1378.1910000000005</v>
      </c>
      <c r="K40" s="129" t="s">
        <v>59</v>
      </c>
    </row>
    <row r="41" spans="1:14" ht="17.45" customHeight="1">
      <c r="A41" s="818" t="s">
        <v>64</v>
      </c>
      <c r="B41" s="819"/>
      <c r="C41" s="163">
        <f>SUMIF($G$7:$G$31,"Electrical",$F$7:$F$31)</f>
        <v>0</v>
      </c>
      <c r="D41" s="117">
        <f ca="1">+C41+'30'!D41</f>
        <v>150</v>
      </c>
      <c r="E41" s="142">
        <f t="shared" ca="1" si="0"/>
        <v>2.5</v>
      </c>
      <c r="F41" s="320"/>
      <c r="G41" s="320"/>
      <c r="H41" s="184" t="s">
        <v>65</v>
      </c>
      <c r="I41" s="141"/>
      <c r="J41" s="128">
        <f>J40/G4</f>
        <v>44.457774193548403</v>
      </c>
      <c r="K41" s="129" t="s">
        <v>59</v>
      </c>
    </row>
    <row r="42" spans="1:14" ht="17.45" customHeight="1">
      <c r="A42" s="818" t="s">
        <v>15</v>
      </c>
      <c r="B42" s="819"/>
      <c r="C42" s="163">
        <f>SUMIF($G$7:$G$31,"Instrument",$F$7:$F$31)</f>
        <v>0</v>
      </c>
      <c r="D42" s="117">
        <f ca="1">+C42+'30'!D42</f>
        <v>0</v>
      </c>
      <c r="E42" s="142">
        <f t="shared" ca="1" si="0"/>
        <v>0</v>
      </c>
      <c r="F42" s="320">
        <f>+(F38*480+F39*480+F40*480)/1440</f>
        <v>0</v>
      </c>
      <c r="G42" s="320">
        <f>+(G38*480+G39*480+G40*480)/1440</f>
        <v>0</v>
      </c>
      <c r="H42" s="184" t="s">
        <v>66</v>
      </c>
      <c r="I42" s="241"/>
      <c r="J42" s="131"/>
      <c r="K42" s="129" t="s">
        <v>67</v>
      </c>
    </row>
    <row r="43" spans="1:14" ht="17.45" customHeight="1">
      <c r="A43" s="818" t="s">
        <v>68</v>
      </c>
      <c r="B43" s="819"/>
      <c r="C43" s="163">
        <f>SUMIF($G$7:$G$31,"Water",$F$7:$F$31)</f>
        <v>0</v>
      </c>
      <c r="D43" s="117">
        <f ca="1">+C43+'30'!D43</f>
        <v>0</v>
      </c>
      <c r="E43" s="142">
        <f t="shared" ca="1" si="0"/>
        <v>0</v>
      </c>
      <c r="F43" s="320"/>
      <c r="G43" s="321"/>
      <c r="H43" s="185" t="s">
        <v>69</v>
      </c>
      <c r="I43" s="117">
        <f>+Report1!T39</f>
        <v>0</v>
      </c>
      <c r="J43" s="132">
        <f>+I43+'30'!J43</f>
        <v>3551.2</v>
      </c>
      <c r="K43" s="129" t="s">
        <v>59</v>
      </c>
      <c r="L43" s="186"/>
    </row>
    <row r="44" spans="1:14" ht="17.45" customHeight="1">
      <c r="A44" s="818" t="s">
        <v>16</v>
      </c>
      <c r="B44" s="819"/>
      <c r="C44" s="163">
        <f>SUMIF($G$7:$G$31,"PLN",$F$7:$F$31)</f>
        <v>0</v>
      </c>
      <c r="D44" s="117">
        <f>+C44+'30'!D44</f>
        <v>558</v>
      </c>
      <c r="E44" s="142">
        <f t="shared" si="0"/>
        <v>9.3000000000000007</v>
      </c>
      <c r="F44" s="320"/>
      <c r="G44" s="321"/>
      <c r="H44" s="185" t="s">
        <v>70</v>
      </c>
      <c r="I44" s="117" t="e">
        <f>I43/I38</f>
        <v>#DIV/0!</v>
      </c>
      <c r="J44" s="133">
        <f>J43/J38</f>
        <v>2.4604708234803416</v>
      </c>
      <c r="K44" s="129" t="s">
        <v>59</v>
      </c>
    </row>
    <row r="45" spans="1:14" ht="17.45" customHeight="1">
      <c r="A45" s="818" t="s">
        <v>17</v>
      </c>
      <c r="B45" s="819"/>
      <c r="C45" s="163">
        <f>SUMIF($G$7:$G$31,"Boiler",$F$7:$F$31)</f>
        <v>0</v>
      </c>
      <c r="D45" s="117">
        <f>+C45+'30'!D45</f>
        <v>0</v>
      </c>
      <c r="E45" s="142">
        <f t="shared" si="0"/>
        <v>0</v>
      </c>
      <c r="F45" s="320"/>
      <c r="G45" s="323"/>
      <c r="H45" s="185" t="s">
        <v>71</v>
      </c>
      <c r="I45" s="117" t="e">
        <f>I43/I40</f>
        <v>#DIV/0!</v>
      </c>
      <c r="J45" s="133">
        <f>J43/J40</f>
        <v>2.5767110654473862</v>
      </c>
      <c r="K45" s="129" t="s">
        <v>59</v>
      </c>
    </row>
    <row r="46" spans="1:14" ht="17.45" customHeight="1">
      <c r="A46" s="818" t="s">
        <v>72</v>
      </c>
      <c r="B46" s="819"/>
      <c r="C46" s="163">
        <f>SUMIF($G$7:$G$31,"Gas",$F$7:$F$31)</f>
        <v>0</v>
      </c>
      <c r="D46" s="117">
        <f>+C46+'30'!D46</f>
        <v>0</v>
      </c>
      <c r="E46" s="142">
        <f t="shared" si="0"/>
        <v>0</v>
      </c>
      <c r="F46" s="320"/>
      <c r="G46" s="321"/>
      <c r="H46" s="185" t="s">
        <v>73</v>
      </c>
      <c r="I46" s="139">
        <f>+SUMIF(Listrik!AN38,"&gt;0")</f>
        <v>0</v>
      </c>
      <c r="J46" s="134">
        <f>+I46+'30'!J46</f>
        <v>1360440.5471897284</v>
      </c>
      <c r="K46" s="129" t="s">
        <v>74</v>
      </c>
    </row>
    <row r="47" spans="1:14" ht="17.45" customHeight="1">
      <c r="A47" s="818" t="s">
        <v>75</v>
      </c>
      <c r="B47" s="819"/>
      <c r="C47" s="163">
        <f>SUMIF($G$7:$G$31,"Gas",$F$7:$F$31)</f>
        <v>0</v>
      </c>
      <c r="D47" s="117">
        <f>+C47+'30'!D47</f>
        <v>0</v>
      </c>
      <c r="E47" s="142">
        <f t="shared" si="0"/>
        <v>0</v>
      </c>
      <c r="F47" s="320"/>
      <c r="G47" s="321"/>
      <c r="H47" s="185" t="s">
        <v>76</v>
      </c>
      <c r="I47" s="117" t="e">
        <f>I46/I38</f>
        <v>#DIV/0!</v>
      </c>
      <c r="J47" s="134">
        <f>J46/J38</f>
        <v>942.58962419462648</v>
      </c>
      <c r="K47" s="129" t="s">
        <v>23</v>
      </c>
    </row>
    <row r="48" spans="1:14" ht="17.45" customHeight="1">
      <c r="A48" s="818" t="s">
        <v>13</v>
      </c>
      <c r="B48" s="819"/>
      <c r="C48" s="163">
        <f>SUMIF($G$7:$G$31,"Start Up",$F$7:$F$31)</f>
        <v>0</v>
      </c>
      <c r="D48" s="117">
        <f>+C48+'30'!D48</f>
        <v>0</v>
      </c>
      <c r="E48" s="142">
        <f t="shared" si="0"/>
        <v>0</v>
      </c>
      <c r="F48" s="320"/>
      <c r="G48" s="321"/>
      <c r="H48" s="185" t="s">
        <v>77</v>
      </c>
      <c r="I48" s="117" t="e">
        <f>I46/I40</f>
        <v>#DIV/0!</v>
      </c>
      <c r="J48" s="134">
        <f>J46/J40</f>
        <v>987.12046965168679</v>
      </c>
      <c r="K48" s="129" t="s">
        <v>23</v>
      </c>
    </row>
    <row r="49" spans="1:11" ht="17.45" customHeight="1">
      <c r="A49" s="818" t="s">
        <v>19</v>
      </c>
      <c r="B49" s="819"/>
      <c r="C49" s="163">
        <f>SUMIF($G$7:$G$31,"Others",$F$7:$F$31)</f>
        <v>0</v>
      </c>
      <c r="D49" s="117">
        <f>+C49+'30'!D49</f>
        <v>545</v>
      </c>
      <c r="E49" s="142">
        <f t="shared" si="0"/>
        <v>9.0833333333333339</v>
      </c>
      <c r="F49" s="182"/>
      <c r="H49" s="185" t="s">
        <v>78</v>
      </c>
      <c r="I49" s="117">
        <v>0</v>
      </c>
      <c r="J49" s="134">
        <f>+I49+'30'!J49</f>
        <v>0</v>
      </c>
      <c r="K49" s="129" t="s">
        <v>79</v>
      </c>
    </row>
    <row r="50" spans="1:11" ht="17.45" customHeight="1">
      <c r="A50" s="818" t="s">
        <v>18</v>
      </c>
      <c r="B50" s="819"/>
      <c r="C50" s="163">
        <f>SUMIF($G$7:$G$31,"Steam",$F$7:$F$31)</f>
        <v>0</v>
      </c>
      <c r="D50" s="117">
        <f>+C50+'30'!D50</f>
        <v>0</v>
      </c>
      <c r="E50" s="142">
        <f t="shared" si="0"/>
        <v>0</v>
      </c>
      <c r="F50" s="182"/>
      <c r="H50" s="185" t="s">
        <v>80</v>
      </c>
      <c r="I50" s="139" t="e">
        <f>I49/I38</f>
        <v>#DIV/0!</v>
      </c>
      <c r="J50" s="132">
        <f>J49/J38</f>
        <v>0</v>
      </c>
      <c r="K50" s="129" t="s">
        <v>79</v>
      </c>
    </row>
    <row r="51" spans="1:11" ht="17.45" customHeight="1" thickBot="1">
      <c r="A51" s="820" t="s">
        <v>81</v>
      </c>
      <c r="B51" s="821"/>
      <c r="C51" s="163">
        <f>SUMIF($G$7:$G$31,"Planned shut",$F$7:$F$31)</f>
        <v>0</v>
      </c>
      <c r="D51" s="117">
        <f>+C51+'30'!D51</f>
        <v>540</v>
      </c>
      <c r="E51" s="142">
        <f t="shared" si="0"/>
        <v>9</v>
      </c>
      <c r="F51" s="182"/>
      <c r="H51" s="187" t="s">
        <v>82</v>
      </c>
      <c r="I51" s="140" t="e">
        <f>I49/I40</f>
        <v>#DIV/0!</v>
      </c>
      <c r="J51" s="135">
        <f>J49/J40</f>
        <v>0</v>
      </c>
      <c r="K51" s="136" t="s">
        <v>79</v>
      </c>
    </row>
    <row r="52" spans="1:11" ht="13.5" thickBot="1">
      <c r="A52" s="822" t="s">
        <v>27</v>
      </c>
      <c r="B52" s="823"/>
      <c r="C52" s="143">
        <f>SUM(C38:C51)</f>
        <v>0</v>
      </c>
      <c r="D52" s="143">
        <f ca="1">SUM(D38:D51)</f>
        <v>3043</v>
      </c>
      <c r="E52" s="144">
        <f ca="1">SUM(E38:E51)</f>
        <v>50.716666666666669</v>
      </c>
      <c r="F52" s="182"/>
      <c r="H52" s="188"/>
      <c r="I52" s="189"/>
      <c r="J52" s="137"/>
      <c r="K52" s="138"/>
    </row>
    <row r="53" spans="1:11" ht="13.5" thickBot="1">
      <c r="A53" s="816"/>
      <c r="B53" s="817"/>
      <c r="C53" s="145">
        <f>C52/(24*60)</f>
        <v>0</v>
      </c>
      <c r="D53" s="145">
        <f ca="1">D52/(24*60*G4)</f>
        <v>6.8167562724014336E-2</v>
      </c>
      <c r="E53" s="146">
        <f ca="1">E52/(G4*24)</f>
        <v>6.8167562724014336E-2</v>
      </c>
      <c r="F53" s="182"/>
    </row>
    <row r="54" spans="1:11">
      <c r="E54" s="190"/>
      <c r="F54" s="182"/>
    </row>
    <row r="55" spans="1:11">
      <c r="E55" s="190"/>
    </row>
    <row r="56" spans="1:11">
      <c r="A56" s="191" t="s">
        <v>83</v>
      </c>
      <c r="B56" s="192"/>
      <c r="C56" s="193"/>
      <c r="D56" s="193"/>
      <c r="E56" s="193"/>
      <c r="F56" s="194"/>
      <c r="G56" s="193"/>
      <c r="H56" s="195"/>
      <c r="I56" s="196" t="s">
        <v>84</v>
      </c>
      <c r="J56" s="197">
        <f>+D34+'30'!J56</f>
        <v>28846</v>
      </c>
      <c r="K56" s="198">
        <f>J56/(J40+J56/1000)/1000</f>
        <v>2.0501237707323965E-2</v>
      </c>
    </row>
    <row r="57" spans="1:11">
      <c r="A57" s="173"/>
      <c r="I57" s="196" t="s">
        <v>85</v>
      </c>
      <c r="J57" s="197">
        <f>+E34+'30'!J57</f>
        <v>0</v>
      </c>
      <c r="K57" s="198">
        <f>J57/(J40+J57/1000)/1000</f>
        <v>0</v>
      </c>
    </row>
    <row r="58" spans="1:11">
      <c r="A58" s="199"/>
      <c r="B58" s="200"/>
      <c r="F58" s="182"/>
      <c r="H58" s="201"/>
    </row>
    <row r="59" spans="1:11">
      <c r="A59" s="202"/>
      <c r="B59" s="173"/>
      <c r="C59" s="173"/>
      <c r="D59" s="173"/>
      <c r="E59" s="173"/>
      <c r="F59" s="186"/>
      <c r="G59" s="173"/>
      <c r="H59" s="201"/>
    </row>
    <row r="60" spans="1:11">
      <c r="H60" s="201"/>
    </row>
    <row r="61" spans="1:11">
      <c r="A61" s="203"/>
      <c r="B61" s="204"/>
      <c r="C61" s="204"/>
      <c r="D61" s="204"/>
      <c r="E61" s="204"/>
      <c r="F61" s="205"/>
      <c r="G61" s="204"/>
      <c r="H61" s="206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37</vt:i4>
      </vt:variant>
    </vt:vector>
  </HeadingPairs>
  <TitlesOfParts>
    <vt:vector size="83" baseType="lpstr">
      <vt:lpstr>eff all value</vt:lpstr>
      <vt:lpstr>eff all value (2)</vt:lpstr>
      <vt:lpstr>eff all value (3)</vt:lpstr>
      <vt:lpstr>eff all value (4)</vt:lpstr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31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  <vt:lpstr>summary!Print_Area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2026-05-04T08:11:04Z</cp:lastPrinted>
  <dcterms:created xsi:type="dcterms:W3CDTF">2007-07-30T03:52:39Z</dcterms:created>
  <dcterms:modified xsi:type="dcterms:W3CDTF">2026-05-04T09:00:40Z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  <property fmtid="{D5CDD505-2E9C-101B-9397-08002B2CF9AE}" pid="3" name="NXPowerLiteLastOptimized">
    <vt:lpwstr>521628</vt:lpwstr>
  </property>
  <property fmtid="{D5CDD505-2E9C-101B-9397-08002B2CF9AE}" pid="4" name="NXPowerLiteSettings">
    <vt:lpwstr>C7000400038000</vt:lpwstr>
  </property>
  <property fmtid="{D5CDD505-2E9C-101B-9397-08002B2CF9AE}" pid="5" name="NXPowerLiteVersion">
    <vt:lpwstr>S10.3.1</vt:lpwstr>
  </property>
</Properties>
</file>